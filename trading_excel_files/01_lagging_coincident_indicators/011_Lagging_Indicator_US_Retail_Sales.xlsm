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259E1A0-1A3A-7F40-ADB5-5CC84456C767}" xr6:coauthVersionLast="47" xr6:coauthVersionMax="47" xr10:uidLastSave="{00000000-0000-0000-0000-000000000000}"/>
  <bookViews>
    <workbookView xWindow="0" yWindow="500" windowWidth="28800" windowHeight="17500" activeTab="3"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3" i="4" l="1"/>
  <c r="D63" i="4"/>
  <c r="E63" i="4"/>
  <c r="F63" i="4"/>
  <c r="G63" i="4"/>
  <c r="H63" i="4"/>
  <c r="I63" i="4"/>
  <c r="J63" i="4"/>
  <c r="K63" i="4"/>
  <c r="L63" i="4"/>
  <c r="M63" i="4"/>
  <c r="N63" i="4"/>
  <c r="O63" i="4"/>
  <c r="P63" i="4"/>
  <c r="Q63" i="4"/>
  <c r="R63" i="4"/>
  <c r="S63" i="4"/>
  <c r="T63" i="4"/>
  <c r="U63" i="4"/>
  <c r="V63" i="4"/>
  <c r="W63" i="4"/>
  <c r="X63" i="4"/>
  <c r="Y63" i="4"/>
  <c r="Z63" i="4"/>
  <c r="AA63" i="4"/>
  <c r="AB63" i="4"/>
  <c r="AC63" i="4"/>
  <c r="AD63" i="4"/>
  <c r="AE63" i="4"/>
  <c r="AF63" i="4"/>
  <c r="B373" i="5"/>
  <c r="C373" i="5" s="1"/>
  <c r="B373" i="14"/>
  <c r="C373" i="14" s="1"/>
  <c r="B373" i="9"/>
  <c r="C373" i="9" s="1"/>
  <c r="B373" i="19"/>
  <c r="C373" i="19" s="1"/>
  <c r="B373" i="18"/>
  <c r="C373" i="18" s="1"/>
  <c r="B373" i="17"/>
  <c r="C373" i="17" s="1"/>
  <c r="B373" i="16"/>
  <c r="C373" i="16" s="1"/>
  <c r="B373" i="15"/>
  <c r="C373" i="15" s="1"/>
  <c r="B373" i="13"/>
  <c r="C373" i="13" s="1"/>
  <c r="B373" i="12"/>
  <c r="C373" i="12" s="1"/>
  <c r="B373" i="11"/>
  <c r="C373" i="11" s="1"/>
  <c r="B373" i="10"/>
  <c r="C373" i="10" s="1"/>
  <c r="B373" i="8"/>
  <c r="C373" i="8" s="1"/>
  <c r="B373" i="7"/>
  <c r="C373" i="7" s="1"/>
  <c r="B373" i="6"/>
  <c r="B372" i="19"/>
  <c r="D372" i="19" s="1"/>
  <c r="B371" i="19"/>
  <c r="C371" i="19" s="1"/>
  <c r="Y61" i="4" s="1"/>
  <c r="B370" i="19"/>
  <c r="C370" i="19" s="1"/>
  <c r="Y60" i="4" s="1"/>
  <c r="B369" i="19"/>
  <c r="B368" i="19"/>
  <c r="B367" i="19"/>
  <c r="D367" i="19" s="1"/>
  <c r="Z57" i="4" s="1"/>
  <c r="B366" i="19"/>
  <c r="B365" i="19"/>
  <c r="B364" i="19"/>
  <c r="B363" i="19"/>
  <c r="D363" i="19" s="1"/>
  <c r="Z53" i="4" s="1"/>
  <c r="B362" i="19"/>
  <c r="C362" i="19" s="1"/>
  <c r="Y52" i="4" s="1"/>
  <c r="B361" i="19"/>
  <c r="B360" i="19"/>
  <c r="D360" i="19" s="1"/>
  <c r="B359" i="19"/>
  <c r="D359" i="19" s="1"/>
  <c r="Z49" i="4" s="1"/>
  <c r="B358" i="19"/>
  <c r="C359" i="19" s="1"/>
  <c r="B357" i="19"/>
  <c r="D357" i="19" s="1"/>
  <c r="B356" i="19"/>
  <c r="D355" i="19"/>
  <c r="B355" i="19"/>
  <c r="C355" i="19" s="1"/>
  <c r="Y45" i="4" s="1"/>
  <c r="B354" i="19"/>
  <c r="C354" i="19" s="1"/>
  <c r="Y44" i="4" s="1"/>
  <c r="B353" i="19"/>
  <c r="B352" i="19"/>
  <c r="B351" i="19"/>
  <c r="D351" i="19" s="1"/>
  <c r="Z41" i="4" s="1"/>
  <c r="B350" i="19"/>
  <c r="B349" i="19"/>
  <c r="B348" i="19"/>
  <c r="B347" i="19"/>
  <c r="D347" i="19" s="1"/>
  <c r="Z37" i="4" s="1"/>
  <c r="B346" i="19"/>
  <c r="C346" i="19" s="1"/>
  <c r="Y36" i="4" s="1"/>
  <c r="B345" i="19"/>
  <c r="B344" i="19"/>
  <c r="C344" i="19" s="1"/>
  <c r="B343" i="19"/>
  <c r="D343" i="19" s="1"/>
  <c r="Z33" i="4" s="1"/>
  <c r="B342" i="19"/>
  <c r="D354" i="19" s="1"/>
  <c r="B341" i="19"/>
  <c r="B340" i="19"/>
  <c r="D339" i="19"/>
  <c r="B339" i="19"/>
  <c r="C339" i="19" s="1"/>
  <c r="Y29" i="4" s="1"/>
  <c r="B338" i="19"/>
  <c r="C338" i="19" s="1"/>
  <c r="Y28" i="4" s="1"/>
  <c r="B337" i="19"/>
  <c r="D336" i="19"/>
  <c r="B336" i="19"/>
  <c r="C336" i="19" s="1"/>
  <c r="D335" i="19"/>
  <c r="B335" i="19"/>
  <c r="B334" i="19"/>
  <c r="B333" i="19"/>
  <c r="B332" i="19"/>
  <c r="B331" i="19"/>
  <c r="D331" i="19" s="1"/>
  <c r="Z21" i="4" s="1"/>
  <c r="B330" i="19"/>
  <c r="C331" i="19" s="1"/>
  <c r="Y21" i="4" s="1"/>
  <c r="B329" i="19"/>
  <c r="B328" i="19"/>
  <c r="C328" i="19" s="1"/>
  <c r="B327" i="19"/>
  <c r="D327" i="19" s="1"/>
  <c r="Z17" i="4" s="1"/>
  <c r="B326" i="19"/>
  <c r="B325" i="19"/>
  <c r="B324" i="19"/>
  <c r="D323" i="19"/>
  <c r="B323" i="19"/>
  <c r="C323" i="19" s="1"/>
  <c r="Y13" i="4" s="1"/>
  <c r="B322" i="19"/>
  <c r="B321" i="19"/>
  <c r="B320" i="19"/>
  <c r="B319" i="19"/>
  <c r="B318" i="19"/>
  <c r="B317" i="19"/>
  <c r="B316" i="19"/>
  <c r="B315" i="19"/>
  <c r="D315" i="19" s="1"/>
  <c r="Z5" i="4" s="1"/>
  <c r="B314" i="19"/>
  <c r="B313" i="19"/>
  <c r="B312" i="19"/>
  <c r="C312" i="19" s="1"/>
  <c r="B311" i="19"/>
  <c r="D311" i="19" s="1"/>
  <c r="B310" i="19"/>
  <c r="B309" i="19"/>
  <c r="B308" i="19"/>
  <c r="B307" i="19"/>
  <c r="D319" i="19" s="1"/>
  <c r="Z9" i="4" s="1"/>
  <c r="B306" i="19"/>
  <c r="B305" i="19"/>
  <c r="B304" i="19"/>
  <c r="B303" i="19"/>
  <c r="D303" i="19" s="1"/>
  <c r="B302" i="19"/>
  <c r="B301" i="19"/>
  <c r="B300" i="19"/>
  <c r="C299" i="19"/>
  <c r="B299" i="19"/>
  <c r="B298" i="19"/>
  <c r="B297" i="19"/>
  <c r="B296" i="19"/>
  <c r="B295" i="19"/>
  <c r="D295" i="19" s="1"/>
  <c r="B294" i="19"/>
  <c r="B293" i="19"/>
  <c r="B292" i="19"/>
  <c r="B291" i="19"/>
  <c r="D291" i="19" s="1"/>
  <c r="B290" i="19"/>
  <c r="B289" i="19"/>
  <c r="B288" i="19"/>
  <c r="C288" i="19" s="1"/>
  <c r="D287" i="19"/>
  <c r="B287" i="19"/>
  <c r="D299" i="19" s="1"/>
  <c r="B286" i="19"/>
  <c r="B285" i="19"/>
  <c r="B284" i="19"/>
  <c r="D283" i="19"/>
  <c r="C283" i="19"/>
  <c r="B283" i="19"/>
  <c r="B282" i="19"/>
  <c r="B281" i="19"/>
  <c r="B280" i="19"/>
  <c r="B279" i="19"/>
  <c r="D279" i="19" s="1"/>
  <c r="B278" i="19"/>
  <c r="B277" i="19"/>
  <c r="B276" i="19"/>
  <c r="D275" i="19"/>
  <c r="B275" i="19"/>
  <c r="C275" i="19" s="1"/>
  <c r="B274" i="19"/>
  <c r="B273" i="19"/>
  <c r="B272" i="19"/>
  <c r="C272" i="19" s="1"/>
  <c r="D271" i="19"/>
  <c r="B271" i="19"/>
  <c r="B270" i="19"/>
  <c r="B269" i="19"/>
  <c r="B268" i="19"/>
  <c r="B267" i="19"/>
  <c r="D267" i="19" s="1"/>
  <c r="B266" i="19"/>
  <c r="C267" i="19" s="1"/>
  <c r="B265" i="19"/>
  <c r="B264" i="19"/>
  <c r="C264" i="19" s="1"/>
  <c r="B263" i="19"/>
  <c r="D263" i="19" s="1"/>
  <c r="B262" i="19"/>
  <c r="B261" i="19"/>
  <c r="B260" i="19"/>
  <c r="D259" i="19"/>
  <c r="B259" i="19"/>
  <c r="C259" i="19" s="1"/>
  <c r="B258" i="19"/>
  <c r="B257" i="19"/>
  <c r="B256" i="19"/>
  <c r="B255" i="19"/>
  <c r="B254" i="19"/>
  <c r="B253" i="19"/>
  <c r="B252" i="19"/>
  <c r="B251" i="19"/>
  <c r="D251" i="19" s="1"/>
  <c r="B250" i="19"/>
  <c r="B249" i="19"/>
  <c r="B248" i="19"/>
  <c r="B247" i="19"/>
  <c r="D247" i="19" s="1"/>
  <c r="B246" i="19"/>
  <c r="B245" i="19"/>
  <c r="B244" i="19"/>
  <c r="B243" i="19"/>
  <c r="D255" i="19" s="1"/>
  <c r="B242" i="19"/>
  <c r="B241" i="19"/>
  <c r="B240" i="19"/>
  <c r="B239" i="19"/>
  <c r="D239" i="19" s="1"/>
  <c r="B238" i="19"/>
  <c r="B237" i="19"/>
  <c r="B236" i="19"/>
  <c r="D235" i="19"/>
  <c r="C235" i="19"/>
  <c r="B235" i="19"/>
  <c r="B234" i="19"/>
  <c r="B233" i="19"/>
  <c r="B232" i="19"/>
  <c r="B231" i="19"/>
  <c r="D231" i="19" s="1"/>
  <c r="B230" i="19"/>
  <c r="B229" i="19"/>
  <c r="B228" i="19"/>
  <c r="B227" i="19"/>
  <c r="D227" i="19" s="1"/>
  <c r="B226" i="19"/>
  <c r="B225" i="19"/>
  <c r="B224" i="19"/>
  <c r="D223" i="19"/>
  <c r="B223" i="19"/>
  <c r="B222" i="19"/>
  <c r="B221" i="19"/>
  <c r="B220" i="19"/>
  <c r="D219" i="19"/>
  <c r="C219" i="19"/>
  <c r="B219" i="19"/>
  <c r="B218" i="19"/>
  <c r="B217" i="19"/>
  <c r="B216" i="19"/>
  <c r="B215" i="19"/>
  <c r="D215" i="19" s="1"/>
  <c r="B214" i="19"/>
  <c r="B213" i="19"/>
  <c r="B212" i="19"/>
  <c r="D211" i="19"/>
  <c r="B211" i="19"/>
  <c r="C211" i="19" s="1"/>
  <c r="B210" i="19"/>
  <c r="B209" i="19"/>
  <c r="B208" i="19"/>
  <c r="D207" i="19"/>
  <c r="B207" i="19"/>
  <c r="B206" i="19"/>
  <c r="B205" i="19"/>
  <c r="B204" i="19"/>
  <c r="B203" i="19"/>
  <c r="D203" i="19" s="1"/>
  <c r="B202" i="19"/>
  <c r="C203" i="19" s="1"/>
  <c r="B201" i="19"/>
  <c r="B200" i="19"/>
  <c r="B199" i="19"/>
  <c r="D199" i="19" s="1"/>
  <c r="B198" i="19"/>
  <c r="B197" i="19"/>
  <c r="B196" i="19"/>
  <c r="D195" i="19"/>
  <c r="B195" i="19"/>
  <c r="C195" i="19" s="1"/>
  <c r="B194" i="19"/>
  <c r="B193" i="19"/>
  <c r="B192" i="19"/>
  <c r="B191" i="19"/>
  <c r="B190" i="19"/>
  <c r="B189" i="19"/>
  <c r="B188" i="19"/>
  <c r="B187" i="19"/>
  <c r="D187" i="19" s="1"/>
  <c r="B186" i="19"/>
  <c r="B185" i="19"/>
  <c r="B184" i="19"/>
  <c r="B183" i="19"/>
  <c r="D183" i="19" s="1"/>
  <c r="B182" i="19"/>
  <c r="B181" i="19"/>
  <c r="B180" i="19"/>
  <c r="B179" i="19"/>
  <c r="D191" i="19" s="1"/>
  <c r="B178" i="19"/>
  <c r="B177" i="19"/>
  <c r="B176" i="19"/>
  <c r="B175" i="19"/>
  <c r="D175" i="19" s="1"/>
  <c r="B174" i="19"/>
  <c r="B173" i="19"/>
  <c r="B172" i="19"/>
  <c r="D171" i="19"/>
  <c r="C171" i="19"/>
  <c r="B171" i="19"/>
  <c r="B170" i="19"/>
  <c r="B169" i="19"/>
  <c r="B168" i="19"/>
  <c r="B167" i="19"/>
  <c r="D167" i="19" s="1"/>
  <c r="B166" i="19"/>
  <c r="B165" i="19"/>
  <c r="B164" i="19"/>
  <c r="B163" i="19"/>
  <c r="D163" i="19" s="1"/>
  <c r="B162" i="19"/>
  <c r="B161" i="19"/>
  <c r="B160" i="19"/>
  <c r="D159" i="19"/>
  <c r="B159" i="19"/>
  <c r="B158" i="19"/>
  <c r="B157" i="19"/>
  <c r="B156" i="19"/>
  <c r="D155" i="19"/>
  <c r="C155" i="19"/>
  <c r="B155" i="19"/>
  <c r="B154" i="19"/>
  <c r="B153" i="19"/>
  <c r="B152" i="19"/>
  <c r="B151" i="19"/>
  <c r="D151" i="19" s="1"/>
  <c r="B150" i="19"/>
  <c r="B149" i="19"/>
  <c r="B148" i="19"/>
  <c r="D147" i="19"/>
  <c r="B147" i="19"/>
  <c r="C147" i="19" s="1"/>
  <c r="B146" i="19"/>
  <c r="B145" i="19"/>
  <c r="B144" i="19"/>
  <c r="D143" i="19"/>
  <c r="B143" i="19"/>
  <c r="B142" i="19"/>
  <c r="B141" i="19"/>
  <c r="B140" i="19"/>
  <c r="C139" i="19"/>
  <c r="B139" i="19"/>
  <c r="D139" i="19" s="1"/>
  <c r="B138" i="19"/>
  <c r="B137" i="19"/>
  <c r="B136" i="19"/>
  <c r="B135" i="19"/>
  <c r="D135" i="19" s="1"/>
  <c r="B134" i="19"/>
  <c r="B133" i="19"/>
  <c r="B132" i="19"/>
  <c r="D132" i="19" s="1"/>
  <c r="B131" i="19"/>
  <c r="C131" i="19" s="1"/>
  <c r="B130" i="19"/>
  <c r="B129" i="19"/>
  <c r="B128" i="19"/>
  <c r="B127" i="19"/>
  <c r="B126" i="19"/>
  <c r="B125" i="19"/>
  <c r="B124" i="19"/>
  <c r="D123" i="19"/>
  <c r="B123" i="19"/>
  <c r="C123" i="19" s="1"/>
  <c r="B122" i="19"/>
  <c r="C122" i="19" s="1"/>
  <c r="B121" i="19"/>
  <c r="C121" i="19" s="1"/>
  <c r="B120" i="19"/>
  <c r="B119" i="19"/>
  <c r="C120" i="19" s="1"/>
  <c r="C118" i="19"/>
  <c r="B118" i="19"/>
  <c r="C119" i="19" s="1"/>
  <c r="D117" i="19"/>
  <c r="B117" i="19"/>
  <c r="C117" i="19" s="1"/>
  <c r="B116" i="19"/>
  <c r="B115" i="19"/>
  <c r="B114" i="19"/>
  <c r="C114" i="19" s="1"/>
  <c r="B113" i="19"/>
  <c r="B112" i="19"/>
  <c r="B111" i="19"/>
  <c r="B110" i="19"/>
  <c r="B109" i="19"/>
  <c r="B108" i="19"/>
  <c r="D120" i="19" s="1"/>
  <c r="D107" i="19"/>
  <c r="B107" i="19"/>
  <c r="C107" i="19" s="1"/>
  <c r="B106" i="19"/>
  <c r="C106" i="19" s="1"/>
  <c r="B105" i="19"/>
  <c r="C105" i="19" s="1"/>
  <c r="C104" i="19"/>
  <c r="B104" i="19"/>
  <c r="D104" i="19" s="1"/>
  <c r="D103" i="19"/>
  <c r="B103" i="19"/>
  <c r="B102" i="19"/>
  <c r="B101" i="19"/>
  <c r="C102" i="19" s="1"/>
  <c r="B100" i="19"/>
  <c r="B99" i="19"/>
  <c r="B98" i="19"/>
  <c r="D110" i="19" s="1"/>
  <c r="B97" i="19"/>
  <c r="B96" i="19"/>
  <c r="B95" i="19"/>
  <c r="D94" i="19"/>
  <c r="B94" i="19"/>
  <c r="C95" i="19" s="1"/>
  <c r="B93" i="19"/>
  <c r="B92" i="19"/>
  <c r="B91" i="19"/>
  <c r="C91" i="19" s="1"/>
  <c r="B90" i="19"/>
  <c r="B89" i="19"/>
  <c r="C89" i="19" s="1"/>
  <c r="C88" i="19"/>
  <c r="B88" i="19"/>
  <c r="B87" i="19"/>
  <c r="B86" i="19"/>
  <c r="C87" i="19" s="1"/>
  <c r="B85" i="19"/>
  <c r="C85" i="19" s="1"/>
  <c r="B84" i="19"/>
  <c r="B83" i="19"/>
  <c r="C82" i="19"/>
  <c r="B82" i="19"/>
  <c r="B81" i="19"/>
  <c r="B80" i="19"/>
  <c r="B79" i="19"/>
  <c r="D91" i="19" s="1"/>
  <c r="B78" i="19"/>
  <c r="C79" i="19" s="1"/>
  <c r="B77" i="19"/>
  <c r="B76" i="19"/>
  <c r="B75" i="19"/>
  <c r="D87" i="19" s="1"/>
  <c r="B74" i="19"/>
  <c r="B73" i="19"/>
  <c r="D85" i="19" s="1"/>
  <c r="D72" i="19"/>
  <c r="B72" i="19"/>
  <c r="C72" i="19" s="1"/>
  <c r="B71" i="19"/>
  <c r="D71" i="19" s="1"/>
  <c r="B70" i="19"/>
  <c r="B69" i="19"/>
  <c r="D69" i="19" s="1"/>
  <c r="B68" i="19"/>
  <c r="B67" i="19"/>
  <c r="B66" i="19"/>
  <c r="C66" i="19" s="1"/>
  <c r="B65" i="19"/>
  <c r="D65" i="19" s="1"/>
  <c r="B64" i="19"/>
  <c r="B63" i="19"/>
  <c r="B62" i="19"/>
  <c r="B61" i="19"/>
  <c r="B60" i="19"/>
  <c r="B59" i="19"/>
  <c r="D59" i="19" s="1"/>
  <c r="B58" i="19"/>
  <c r="C57" i="19"/>
  <c r="B57" i="19"/>
  <c r="B56" i="19"/>
  <c r="B55" i="19"/>
  <c r="C56" i="19" s="1"/>
  <c r="B54" i="19"/>
  <c r="C54" i="19" s="1"/>
  <c r="C53" i="19"/>
  <c r="B53" i="19"/>
  <c r="B52" i="19"/>
  <c r="B51" i="19"/>
  <c r="B50" i="19"/>
  <c r="C50" i="19" s="1"/>
  <c r="B49" i="19"/>
  <c r="D49" i="19" s="1"/>
  <c r="B48" i="19"/>
  <c r="B47" i="19"/>
  <c r="B46" i="19"/>
  <c r="D46" i="19" s="1"/>
  <c r="B45" i="19"/>
  <c r="B44" i="19"/>
  <c r="B43" i="19"/>
  <c r="D43" i="19" s="1"/>
  <c r="B42" i="19"/>
  <c r="B41" i="19"/>
  <c r="C41" i="19" s="1"/>
  <c r="B40" i="19"/>
  <c r="D40" i="19" s="1"/>
  <c r="B39" i="19"/>
  <c r="B38" i="19"/>
  <c r="D50" i="19" s="1"/>
  <c r="B37" i="19"/>
  <c r="B36" i="19"/>
  <c r="C37" i="19" s="1"/>
  <c r="B35" i="19"/>
  <c r="D35" i="19" s="1"/>
  <c r="B34" i="19"/>
  <c r="C34" i="19" s="1"/>
  <c r="B33" i="19"/>
  <c r="B32" i="19"/>
  <c r="C32" i="19" s="1"/>
  <c r="B31" i="19"/>
  <c r="B30" i="19"/>
  <c r="B29" i="19"/>
  <c r="D29" i="19" s="1"/>
  <c r="B28" i="19"/>
  <c r="D28" i="19" s="1"/>
  <c r="B27" i="19"/>
  <c r="C27" i="19" s="1"/>
  <c r="B26" i="19"/>
  <c r="D26" i="19" s="1"/>
  <c r="B25" i="19"/>
  <c r="D37" i="19" s="1"/>
  <c r="D24" i="19"/>
  <c r="B24" i="19"/>
  <c r="C25" i="19" s="1"/>
  <c r="B23" i="19"/>
  <c r="B22" i="19"/>
  <c r="B21" i="19"/>
  <c r="B20" i="19"/>
  <c r="D32" i="19" s="1"/>
  <c r="B19" i="19"/>
  <c r="C18" i="19"/>
  <c r="B18" i="19"/>
  <c r="B17" i="19"/>
  <c r="C17" i="19" s="1"/>
  <c r="B16" i="19"/>
  <c r="B15" i="19"/>
  <c r="C16" i="19" s="1"/>
  <c r="B14" i="19"/>
  <c r="C14" i="19" s="1"/>
  <c r="B13" i="19"/>
  <c r="C13" i="19" s="1"/>
  <c r="B12" i="19"/>
  <c r="B11" i="19"/>
  <c r="C10" i="19"/>
  <c r="B10" i="19"/>
  <c r="B9" i="19"/>
  <c r="B8" i="19"/>
  <c r="B7" i="19"/>
  <c r="C8" i="19" s="1"/>
  <c r="B372" i="18"/>
  <c r="D372" i="18" s="1"/>
  <c r="B371" i="18"/>
  <c r="B370" i="18"/>
  <c r="B369" i="18"/>
  <c r="D369" i="18" s="1"/>
  <c r="AD59" i="4" s="1"/>
  <c r="B368" i="18"/>
  <c r="B367" i="18"/>
  <c r="B366" i="18"/>
  <c r="C366" i="18" s="1"/>
  <c r="D365" i="18"/>
  <c r="B365" i="18"/>
  <c r="C365" i="18" s="1"/>
  <c r="D364" i="18"/>
  <c r="B364" i="18"/>
  <c r="B363" i="18"/>
  <c r="B362" i="18"/>
  <c r="B361" i="18"/>
  <c r="D361" i="18" s="1"/>
  <c r="AD51" i="4" s="1"/>
  <c r="B360" i="18"/>
  <c r="D360" i="18" s="1"/>
  <c r="B359" i="18"/>
  <c r="B358" i="18"/>
  <c r="C358" i="18" s="1"/>
  <c r="B357" i="18"/>
  <c r="B356" i="18"/>
  <c r="B355" i="18"/>
  <c r="B354" i="18"/>
  <c r="B353" i="18"/>
  <c r="D353" i="18" s="1"/>
  <c r="AD43" i="4" s="1"/>
  <c r="B352" i="18"/>
  <c r="B351" i="18"/>
  <c r="B350" i="18"/>
  <c r="B349" i="18"/>
  <c r="C349" i="18" s="1"/>
  <c r="D348" i="18"/>
  <c r="B348" i="18"/>
  <c r="B347" i="18"/>
  <c r="B346" i="18"/>
  <c r="B345" i="18"/>
  <c r="D345" i="18" s="1"/>
  <c r="AD35" i="4" s="1"/>
  <c r="B344" i="18"/>
  <c r="B343" i="18"/>
  <c r="B342" i="18"/>
  <c r="C342" i="18" s="1"/>
  <c r="B341" i="18"/>
  <c r="C341" i="18" s="1"/>
  <c r="B340" i="18"/>
  <c r="D340" i="18" s="1"/>
  <c r="AD30" i="4" s="1"/>
  <c r="B339" i="18"/>
  <c r="B338" i="18"/>
  <c r="D337" i="18"/>
  <c r="B337" i="18"/>
  <c r="B336" i="18"/>
  <c r="D336" i="18" s="1"/>
  <c r="C335" i="18"/>
  <c r="B335" i="18"/>
  <c r="B334" i="18"/>
  <c r="B333" i="18"/>
  <c r="B332" i="18"/>
  <c r="B331" i="18"/>
  <c r="B330" i="18"/>
  <c r="C330" i="18" s="1"/>
  <c r="AC20" i="4" s="1"/>
  <c r="B329" i="18"/>
  <c r="D329" i="18" s="1"/>
  <c r="AD19" i="4" s="1"/>
  <c r="B328" i="18"/>
  <c r="B327" i="18"/>
  <c r="B326" i="18"/>
  <c r="C326" i="18" s="1"/>
  <c r="B325" i="18"/>
  <c r="C325" i="18" s="1"/>
  <c r="AC15" i="4" s="1"/>
  <c r="B324" i="18"/>
  <c r="B323" i="18"/>
  <c r="B322" i="18"/>
  <c r="D334" i="18" s="1"/>
  <c r="B321" i="18"/>
  <c r="B320" i="18"/>
  <c r="B319" i="18"/>
  <c r="D319" i="18" s="1"/>
  <c r="B318" i="18"/>
  <c r="B317" i="18"/>
  <c r="C316" i="18"/>
  <c r="B316" i="18"/>
  <c r="D316" i="18" s="1"/>
  <c r="AD6" i="4" s="1"/>
  <c r="B315" i="18"/>
  <c r="B314" i="18"/>
  <c r="B313" i="18"/>
  <c r="D325" i="18" s="1"/>
  <c r="AD15" i="4" s="1"/>
  <c r="B312" i="18"/>
  <c r="C312" i="18" s="1"/>
  <c r="D311" i="18"/>
  <c r="B311" i="18"/>
  <c r="C311" i="18" s="1"/>
  <c r="B310" i="18"/>
  <c r="B309" i="18"/>
  <c r="C309" i="18" s="1"/>
  <c r="C308" i="18"/>
  <c r="B308" i="18"/>
  <c r="D308" i="18" s="1"/>
  <c r="B307" i="18"/>
  <c r="B306" i="18"/>
  <c r="B305" i="18"/>
  <c r="D305" i="18" s="1"/>
  <c r="B304" i="18"/>
  <c r="B303" i="18"/>
  <c r="C303" i="18" s="1"/>
  <c r="B302" i="18"/>
  <c r="D314" i="18" s="1"/>
  <c r="AD4" i="4" s="1"/>
  <c r="B301" i="18"/>
  <c r="C300" i="18"/>
  <c r="B300" i="18"/>
  <c r="B299" i="18"/>
  <c r="B298" i="18"/>
  <c r="D310" i="18" s="1"/>
  <c r="B297" i="18"/>
  <c r="D297" i="18" s="1"/>
  <c r="B296" i="18"/>
  <c r="B295" i="18"/>
  <c r="B294" i="18"/>
  <c r="B293" i="18"/>
  <c r="D293" i="18" s="1"/>
  <c r="B292" i="18"/>
  <c r="C293" i="18" s="1"/>
  <c r="B291" i="18"/>
  <c r="C290" i="18"/>
  <c r="B290" i="18"/>
  <c r="B289" i="18"/>
  <c r="B288" i="18"/>
  <c r="B287" i="18"/>
  <c r="D287" i="18" s="1"/>
  <c r="B286" i="18"/>
  <c r="C286" i="18" s="1"/>
  <c r="D285" i="18"/>
  <c r="B285" i="18"/>
  <c r="C285" i="18" s="1"/>
  <c r="B284" i="18"/>
  <c r="B283" i="18"/>
  <c r="B282" i="18"/>
  <c r="D294" i="18" s="1"/>
  <c r="B281" i="18"/>
  <c r="B280" i="18"/>
  <c r="B279" i="18"/>
  <c r="D279" i="18" s="1"/>
  <c r="B278" i="18"/>
  <c r="D290" i="18" s="1"/>
  <c r="B277" i="18"/>
  <c r="C277" i="18" s="1"/>
  <c r="D276" i="18"/>
  <c r="B276" i="18"/>
  <c r="C276" i="18" s="1"/>
  <c r="B275" i="18"/>
  <c r="B274" i="18"/>
  <c r="B273" i="18"/>
  <c r="D273" i="18" s="1"/>
  <c r="C272" i="18"/>
  <c r="B272" i="18"/>
  <c r="D284" i="18" s="1"/>
  <c r="B271" i="18"/>
  <c r="B270" i="18"/>
  <c r="B269" i="18"/>
  <c r="B268" i="18"/>
  <c r="C268" i="18" s="1"/>
  <c r="B267" i="18"/>
  <c r="B266" i="18"/>
  <c r="B265" i="18"/>
  <c r="B264" i="18"/>
  <c r="B263" i="18"/>
  <c r="B262" i="18"/>
  <c r="C262" i="18" s="1"/>
  <c r="D261" i="18"/>
  <c r="B261" i="18"/>
  <c r="C261" i="18" s="1"/>
  <c r="B260" i="18"/>
  <c r="B259" i="18"/>
  <c r="B258" i="18"/>
  <c r="D270" i="18" s="1"/>
  <c r="B257" i="18"/>
  <c r="B256" i="18"/>
  <c r="B255" i="18"/>
  <c r="D255" i="18" s="1"/>
  <c r="B254" i="18"/>
  <c r="B253" i="18"/>
  <c r="D252" i="18"/>
  <c r="C252" i="18"/>
  <c r="B252" i="18"/>
  <c r="B251" i="18"/>
  <c r="B250" i="18"/>
  <c r="B249" i="18"/>
  <c r="C249" i="18" s="1"/>
  <c r="B248" i="18"/>
  <c r="D260" i="18" s="1"/>
  <c r="B247" i="18"/>
  <c r="B246" i="18"/>
  <c r="C246" i="18" s="1"/>
  <c r="B245" i="18"/>
  <c r="D245" i="18" s="1"/>
  <c r="B244" i="18"/>
  <c r="B243" i="18"/>
  <c r="B242" i="18"/>
  <c r="D254" i="18" s="1"/>
  <c r="B241" i="18"/>
  <c r="B240" i="18"/>
  <c r="C240" i="18" s="1"/>
  <c r="B239" i="18"/>
  <c r="C239" i="18" s="1"/>
  <c r="B238" i="18"/>
  <c r="B237" i="18"/>
  <c r="C236" i="18"/>
  <c r="B236" i="18"/>
  <c r="B235" i="18"/>
  <c r="B234" i="18"/>
  <c r="B233" i="18"/>
  <c r="C233" i="18" s="1"/>
  <c r="B232" i="18"/>
  <c r="B231" i="18"/>
  <c r="B230" i="18"/>
  <c r="C230" i="18" s="1"/>
  <c r="D229" i="18"/>
  <c r="B229" i="18"/>
  <c r="B228" i="18"/>
  <c r="B227" i="18"/>
  <c r="B226" i="18"/>
  <c r="D238" i="18" s="1"/>
  <c r="B225" i="18"/>
  <c r="B224" i="18"/>
  <c r="D224" i="18" s="1"/>
  <c r="B223" i="18"/>
  <c r="D223" i="18" s="1"/>
  <c r="B222" i="18"/>
  <c r="B221" i="18"/>
  <c r="D221" i="18" s="1"/>
  <c r="D220" i="18"/>
  <c r="B220" i="18"/>
  <c r="B219" i="18"/>
  <c r="B218" i="18"/>
  <c r="B217" i="18"/>
  <c r="D217" i="18" s="1"/>
  <c r="B216" i="18"/>
  <c r="B215" i="18"/>
  <c r="C215" i="18" s="1"/>
  <c r="D214" i="18"/>
  <c r="B214" i="18"/>
  <c r="B213" i="18"/>
  <c r="B212" i="18"/>
  <c r="C213" i="18" s="1"/>
  <c r="B211" i="18"/>
  <c r="B210" i="18"/>
  <c r="B209" i="18"/>
  <c r="B208" i="18"/>
  <c r="B207" i="18"/>
  <c r="D207" i="18" s="1"/>
  <c r="B206" i="18"/>
  <c r="D205" i="18"/>
  <c r="B205" i="18"/>
  <c r="C205" i="18" s="1"/>
  <c r="B204" i="18"/>
  <c r="C204" i="18" s="1"/>
  <c r="B203" i="18"/>
  <c r="B202" i="18"/>
  <c r="B201" i="18"/>
  <c r="D201" i="18" s="1"/>
  <c r="D200" i="18"/>
  <c r="B200" i="18"/>
  <c r="B199" i="18"/>
  <c r="B198" i="18"/>
  <c r="B197" i="18"/>
  <c r="D197" i="18" s="1"/>
  <c r="B196" i="18"/>
  <c r="B195" i="18"/>
  <c r="B194" i="18"/>
  <c r="D194" i="18" s="1"/>
  <c r="B193" i="18"/>
  <c r="B192" i="18"/>
  <c r="C193" i="18" s="1"/>
  <c r="D191" i="18"/>
  <c r="B191" i="18"/>
  <c r="B190" i="18"/>
  <c r="B189" i="18"/>
  <c r="D189" i="18" s="1"/>
  <c r="B188" i="18"/>
  <c r="D188" i="18" s="1"/>
  <c r="B187" i="18"/>
  <c r="D186" i="18"/>
  <c r="B186" i="18"/>
  <c r="C186" i="18" s="1"/>
  <c r="B185" i="18"/>
  <c r="B184" i="18"/>
  <c r="B183" i="18"/>
  <c r="D183" i="18" s="1"/>
  <c r="B182" i="18"/>
  <c r="B181" i="18"/>
  <c r="B180" i="18"/>
  <c r="B179" i="18"/>
  <c r="B178" i="18"/>
  <c r="C178" i="18" s="1"/>
  <c r="D177" i="18"/>
  <c r="C177" i="18"/>
  <c r="B177" i="18"/>
  <c r="B176" i="18"/>
  <c r="B175" i="18"/>
  <c r="B174" i="18"/>
  <c r="B173" i="18"/>
  <c r="D185" i="18" s="1"/>
  <c r="B172" i="18"/>
  <c r="B171" i="18"/>
  <c r="D171" i="18" s="1"/>
  <c r="B170" i="18"/>
  <c r="D182" i="18" s="1"/>
  <c r="C169" i="18"/>
  <c r="B169" i="18"/>
  <c r="B168" i="18"/>
  <c r="B167" i="18"/>
  <c r="C168" i="18" s="1"/>
  <c r="B166" i="18"/>
  <c r="C165" i="18"/>
  <c r="B165" i="18"/>
  <c r="D165" i="18" s="1"/>
  <c r="B164" i="18"/>
  <c r="B163" i="18"/>
  <c r="B162" i="18"/>
  <c r="C163" i="18" s="1"/>
  <c r="B161" i="18"/>
  <c r="D173" i="18" s="1"/>
  <c r="B160" i="18"/>
  <c r="D172" i="18" s="1"/>
  <c r="B159" i="18"/>
  <c r="D159" i="18" s="1"/>
  <c r="B158" i="18"/>
  <c r="B157" i="18"/>
  <c r="D169" i="18" s="1"/>
  <c r="D156" i="18"/>
  <c r="B156" i="18"/>
  <c r="D168" i="18" s="1"/>
  <c r="B155" i="18"/>
  <c r="B154" i="18"/>
  <c r="B153" i="18"/>
  <c r="D153" i="18" s="1"/>
  <c r="B152" i="18"/>
  <c r="B151" i="18"/>
  <c r="D150" i="18"/>
  <c r="B150" i="18"/>
  <c r="B149" i="18"/>
  <c r="C149" i="18" s="1"/>
  <c r="B148" i="18"/>
  <c r="D148" i="18" s="1"/>
  <c r="B147" i="18"/>
  <c r="B146" i="18"/>
  <c r="B145" i="18"/>
  <c r="C145" i="18" s="1"/>
  <c r="B144" i="18"/>
  <c r="B143" i="18"/>
  <c r="B142" i="18"/>
  <c r="B141" i="18"/>
  <c r="C141" i="18" s="1"/>
  <c r="B140" i="18"/>
  <c r="B139" i="18"/>
  <c r="B138" i="18"/>
  <c r="B137" i="18"/>
  <c r="D137" i="18" s="1"/>
  <c r="B136" i="18"/>
  <c r="B135" i="18"/>
  <c r="D134" i="18"/>
  <c r="B134" i="18"/>
  <c r="B133" i="18"/>
  <c r="D133" i="18" s="1"/>
  <c r="B132" i="18"/>
  <c r="B131" i="18"/>
  <c r="B130" i="18"/>
  <c r="B129" i="18"/>
  <c r="C130" i="18" s="1"/>
  <c r="B128" i="18"/>
  <c r="C129" i="18" s="1"/>
  <c r="C127" i="18"/>
  <c r="B127" i="18"/>
  <c r="D127" i="18" s="1"/>
  <c r="B126" i="18"/>
  <c r="D125" i="18"/>
  <c r="B125" i="18"/>
  <c r="B124" i="18"/>
  <c r="D124" i="18" s="1"/>
  <c r="B123" i="18"/>
  <c r="C122" i="18"/>
  <c r="B122" i="18"/>
  <c r="B121" i="18"/>
  <c r="B120" i="18"/>
  <c r="B119" i="18"/>
  <c r="C119" i="18" s="1"/>
  <c r="D118" i="18"/>
  <c r="B118" i="18"/>
  <c r="D130" i="18" s="1"/>
  <c r="B117" i="18"/>
  <c r="B116" i="18"/>
  <c r="C116" i="18" s="1"/>
  <c r="B115" i="18"/>
  <c r="B114" i="18"/>
  <c r="D113" i="18"/>
  <c r="C113" i="18"/>
  <c r="B113" i="18"/>
  <c r="B112" i="18"/>
  <c r="B111" i="18"/>
  <c r="B110" i="18"/>
  <c r="B109" i="18"/>
  <c r="D121" i="18" s="1"/>
  <c r="B108" i="18"/>
  <c r="C109" i="18" s="1"/>
  <c r="B107" i="18"/>
  <c r="D107" i="18" s="1"/>
  <c r="B106" i="18"/>
  <c r="C106" i="18" s="1"/>
  <c r="B105" i="18"/>
  <c r="B104" i="18"/>
  <c r="B103" i="18"/>
  <c r="C102" i="18"/>
  <c r="B102" i="18"/>
  <c r="D102" i="18" s="1"/>
  <c r="B101" i="18"/>
  <c r="B100" i="18"/>
  <c r="B99" i="18"/>
  <c r="C100" i="18" s="1"/>
  <c r="B98" i="18"/>
  <c r="D98" i="18" s="1"/>
  <c r="B97" i="18"/>
  <c r="D97" i="18" s="1"/>
  <c r="B96" i="18"/>
  <c r="C96" i="18" s="1"/>
  <c r="B95" i="18"/>
  <c r="B94" i="18"/>
  <c r="B93" i="18"/>
  <c r="D105" i="18" s="1"/>
  <c r="B92" i="18"/>
  <c r="D92" i="18" s="1"/>
  <c r="B91" i="18"/>
  <c r="D91" i="18" s="1"/>
  <c r="B90" i="18"/>
  <c r="C90" i="18" s="1"/>
  <c r="B89" i="18"/>
  <c r="B88" i="18"/>
  <c r="B87" i="18"/>
  <c r="D99" i="18" s="1"/>
  <c r="C86" i="18"/>
  <c r="B86" i="18"/>
  <c r="D86" i="18" s="1"/>
  <c r="B85" i="18"/>
  <c r="B84" i="18"/>
  <c r="B83" i="18"/>
  <c r="C84" i="18" s="1"/>
  <c r="B82" i="18"/>
  <c r="D82" i="18" s="1"/>
  <c r="B81" i="18"/>
  <c r="D81" i="18" s="1"/>
  <c r="B80" i="18"/>
  <c r="C80" i="18" s="1"/>
  <c r="B79" i="18"/>
  <c r="B78" i="18"/>
  <c r="B77" i="18"/>
  <c r="D89" i="18" s="1"/>
  <c r="B76" i="18"/>
  <c r="D76" i="18" s="1"/>
  <c r="B75" i="18"/>
  <c r="D75" i="18" s="1"/>
  <c r="B74" i="18"/>
  <c r="C74" i="18" s="1"/>
  <c r="B73" i="18"/>
  <c r="B72" i="18"/>
  <c r="B71" i="18"/>
  <c r="D83" i="18" s="1"/>
  <c r="C70" i="18"/>
  <c r="B70" i="18"/>
  <c r="D70" i="18" s="1"/>
  <c r="B69" i="18"/>
  <c r="B68" i="18"/>
  <c r="B67" i="18"/>
  <c r="C68" i="18" s="1"/>
  <c r="B66" i="18"/>
  <c r="D66" i="18" s="1"/>
  <c r="B65" i="18"/>
  <c r="D65" i="18" s="1"/>
  <c r="B64" i="18"/>
  <c r="C64" i="18" s="1"/>
  <c r="B63" i="18"/>
  <c r="B62" i="18"/>
  <c r="B61" i="18"/>
  <c r="D73" i="18" s="1"/>
  <c r="B60" i="18"/>
  <c r="D60" i="18" s="1"/>
  <c r="B59" i="18"/>
  <c r="D59" i="18" s="1"/>
  <c r="B58" i="18"/>
  <c r="C58" i="18" s="1"/>
  <c r="B57" i="18"/>
  <c r="B56" i="18"/>
  <c r="B55" i="18"/>
  <c r="D67" i="18" s="1"/>
  <c r="B54" i="18"/>
  <c r="D54" i="18" s="1"/>
  <c r="B53" i="18"/>
  <c r="B52" i="18"/>
  <c r="B51" i="18"/>
  <c r="C52" i="18" s="1"/>
  <c r="B50" i="18"/>
  <c r="D50" i="18" s="1"/>
  <c r="B49" i="18"/>
  <c r="B48" i="18"/>
  <c r="C48" i="18" s="1"/>
  <c r="B47" i="18"/>
  <c r="B46" i="18"/>
  <c r="B45" i="18"/>
  <c r="D57" i="18" s="1"/>
  <c r="B44" i="18"/>
  <c r="D44" i="18" s="1"/>
  <c r="B43" i="18"/>
  <c r="D43" i="18" s="1"/>
  <c r="B42" i="18"/>
  <c r="C42" i="18" s="1"/>
  <c r="B41" i="18"/>
  <c r="B40" i="18"/>
  <c r="B39" i="18"/>
  <c r="D51" i="18" s="1"/>
  <c r="B38" i="18"/>
  <c r="C38" i="18" s="1"/>
  <c r="B37" i="18"/>
  <c r="B36" i="18"/>
  <c r="D48" i="18" s="1"/>
  <c r="B35" i="18"/>
  <c r="C35" i="18" s="1"/>
  <c r="B34" i="18"/>
  <c r="B33" i="18"/>
  <c r="D32" i="18"/>
  <c r="C32" i="18"/>
  <c r="B32" i="18"/>
  <c r="B31" i="18"/>
  <c r="B30" i="18"/>
  <c r="B29" i="18"/>
  <c r="D41" i="18" s="1"/>
  <c r="B28" i="18"/>
  <c r="D28" i="18" s="1"/>
  <c r="B27" i="18"/>
  <c r="D27" i="18" s="1"/>
  <c r="B26" i="18"/>
  <c r="B25" i="18"/>
  <c r="C25" i="18" s="1"/>
  <c r="B24" i="18"/>
  <c r="B23" i="18"/>
  <c r="B22" i="18"/>
  <c r="B21" i="18"/>
  <c r="C21" i="18" s="1"/>
  <c r="B20" i="18"/>
  <c r="B19" i="18"/>
  <c r="B18" i="18"/>
  <c r="C19" i="18" s="1"/>
  <c r="B17" i="18"/>
  <c r="C17" i="18" s="1"/>
  <c r="C16" i="18"/>
  <c r="B16" i="18"/>
  <c r="B15" i="18"/>
  <c r="B14" i="18"/>
  <c r="B13" i="18"/>
  <c r="D25" i="18" s="1"/>
  <c r="B12" i="18"/>
  <c r="C12" i="18" s="1"/>
  <c r="B11" i="18"/>
  <c r="B10" i="18"/>
  <c r="B9" i="18"/>
  <c r="B8" i="18"/>
  <c r="C9" i="18" s="1"/>
  <c r="B7" i="18"/>
  <c r="B372" i="17"/>
  <c r="D372" i="17" s="1"/>
  <c r="D371" i="17"/>
  <c r="C371" i="17"/>
  <c r="B371" i="17"/>
  <c r="B370" i="17"/>
  <c r="B369" i="17"/>
  <c r="B368" i="17"/>
  <c r="B367" i="17"/>
  <c r="D367" i="17" s="1"/>
  <c r="D366" i="17"/>
  <c r="C366" i="17"/>
  <c r="B366" i="17"/>
  <c r="B365" i="17"/>
  <c r="C365" i="17" s="1"/>
  <c r="B364" i="17"/>
  <c r="B363" i="17"/>
  <c r="D363" i="17" s="1"/>
  <c r="AB53" i="4" s="1"/>
  <c r="B362" i="17"/>
  <c r="D362" i="17" s="1"/>
  <c r="B361" i="17"/>
  <c r="B360" i="17"/>
  <c r="C361" i="17" s="1"/>
  <c r="AA51" i="4" s="1"/>
  <c r="B359" i="17"/>
  <c r="B358" i="17"/>
  <c r="D358" i="17" s="1"/>
  <c r="AB48" i="4" s="1"/>
  <c r="B357" i="17"/>
  <c r="B356" i="17"/>
  <c r="C355" i="17"/>
  <c r="B355" i="17"/>
  <c r="B354" i="17"/>
  <c r="B353" i="17"/>
  <c r="D353" i="17" s="1"/>
  <c r="B352" i="17"/>
  <c r="B351" i="17"/>
  <c r="D351" i="17" s="1"/>
  <c r="C350" i="17"/>
  <c r="B350" i="17"/>
  <c r="D350" i="17" s="1"/>
  <c r="AB40" i="4" s="1"/>
  <c r="B349" i="17"/>
  <c r="B348" i="17"/>
  <c r="D347" i="17"/>
  <c r="C347" i="17"/>
  <c r="B347" i="17"/>
  <c r="B346" i="17"/>
  <c r="B345" i="17"/>
  <c r="B344" i="17"/>
  <c r="B343" i="17"/>
  <c r="D355" i="17" s="1"/>
  <c r="AB45" i="4" s="1"/>
  <c r="C342" i="17"/>
  <c r="B342" i="17"/>
  <c r="D342" i="17" s="1"/>
  <c r="AB32" i="4" s="1"/>
  <c r="B341" i="17"/>
  <c r="B340" i="17"/>
  <c r="B339" i="17"/>
  <c r="C339" i="17" s="1"/>
  <c r="AA29" i="4" s="1"/>
  <c r="B338" i="17"/>
  <c r="B337" i="17"/>
  <c r="B336" i="17"/>
  <c r="B335" i="17"/>
  <c r="D335" i="17" s="1"/>
  <c r="C334" i="17"/>
  <c r="B334" i="17"/>
  <c r="D334" i="17" s="1"/>
  <c r="AB24" i="4" s="1"/>
  <c r="B333" i="17"/>
  <c r="B332" i="17"/>
  <c r="C331" i="17"/>
  <c r="B331" i="17"/>
  <c r="B330" i="17"/>
  <c r="B329" i="17"/>
  <c r="C329" i="17" s="1"/>
  <c r="AA19" i="4" s="1"/>
  <c r="B328" i="17"/>
  <c r="B327" i="17"/>
  <c r="B326" i="17"/>
  <c r="B325" i="17"/>
  <c r="C325" i="17" s="1"/>
  <c r="B324" i="17"/>
  <c r="C324" i="17" s="1"/>
  <c r="AA14" i="4" s="1"/>
  <c r="B323" i="17"/>
  <c r="C323" i="17" s="1"/>
  <c r="AA13" i="4" s="1"/>
  <c r="B322" i="17"/>
  <c r="B321" i="17"/>
  <c r="D333" i="17" s="1"/>
  <c r="B320" i="17"/>
  <c r="B319" i="17"/>
  <c r="B318" i="17"/>
  <c r="B317" i="17"/>
  <c r="C317" i="17" s="1"/>
  <c r="B316" i="17"/>
  <c r="B315" i="17"/>
  <c r="C315" i="17" s="1"/>
  <c r="AA5" i="4" s="1"/>
  <c r="B314" i="17"/>
  <c r="D313" i="17"/>
  <c r="B313" i="17"/>
  <c r="C313" i="17" s="1"/>
  <c r="B312" i="17"/>
  <c r="B311" i="17"/>
  <c r="B310" i="17"/>
  <c r="B309" i="17"/>
  <c r="C309" i="17" s="1"/>
  <c r="B308" i="17"/>
  <c r="D308" i="17" s="1"/>
  <c r="B307" i="17"/>
  <c r="C307" i="17" s="1"/>
  <c r="B306" i="17"/>
  <c r="B305" i="17"/>
  <c r="D317" i="17" s="1"/>
  <c r="B304" i="17"/>
  <c r="B303" i="17"/>
  <c r="B302" i="17"/>
  <c r="B301" i="17"/>
  <c r="C301" i="17" s="1"/>
  <c r="B300" i="17"/>
  <c r="B299" i="17"/>
  <c r="C299" i="17" s="1"/>
  <c r="B298" i="17"/>
  <c r="D297" i="17"/>
  <c r="B297" i="17"/>
  <c r="C297" i="17" s="1"/>
  <c r="B296" i="17"/>
  <c r="B295" i="17"/>
  <c r="B294" i="17"/>
  <c r="B293" i="17"/>
  <c r="C293" i="17" s="1"/>
  <c r="B292" i="17"/>
  <c r="D292" i="17" s="1"/>
  <c r="B291" i="17"/>
  <c r="C291" i="17" s="1"/>
  <c r="B290" i="17"/>
  <c r="B289" i="17"/>
  <c r="D301" i="17" s="1"/>
  <c r="B288" i="17"/>
  <c r="B287" i="17"/>
  <c r="B286" i="17"/>
  <c r="B285" i="17"/>
  <c r="C285" i="17" s="1"/>
  <c r="B284" i="17"/>
  <c r="B283" i="17"/>
  <c r="C283" i="17" s="1"/>
  <c r="B282" i="17"/>
  <c r="B281" i="17"/>
  <c r="B280" i="17"/>
  <c r="B279" i="17"/>
  <c r="B278" i="17"/>
  <c r="B277" i="17"/>
  <c r="C276" i="17"/>
  <c r="B276" i="17"/>
  <c r="C275" i="17"/>
  <c r="B275" i="17"/>
  <c r="B274" i="17"/>
  <c r="B273" i="17"/>
  <c r="B272" i="17"/>
  <c r="B271" i="17"/>
  <c r="B270" i="17"/>
  <c r="B269" i="17"/>
  <c r="C269" i="17" s="1"/>
  <c r="B268" i="17"/>
  <c r="D268" i="17" s="1"/>
  <c r="B267" i="17"/>
  <c r="C267" i="17" s="1"/>
  <c r="B266" i="17"/>
  <c r="B265" i="17"/>
  <c r="D277" i="17" s="1"/>
  <c r="B264" i="17"/>
  <c r="B263" i="17"/>
  <c r="B262" i="17"/>
  <c r="B261" i="17"/>
  <c r="B260" i="17"/>
  <c r="C259" i="17"/>
  <c r="B259" i="17"/>
  <c r="B258" i="17"/>
  <c r="B257" i="17"/>
  <c r="D257" i="17" s="1"/>
  <c r="B256" i="17"/>
  <c r="B255" i="17"/>
  <c r="B254" i="17"/>
  <c r="B253" i="17"/>
  <c r="D265" i="17" s="1"/>
  <c r="C252" i="17"/>
  <c r="B252" i="17"/>
  <c r="D252" i="17" s="1"/>
  <c r="B251" i="17"/>
  <c r="C251" i="17" s="1"/>
  <c r="B250" i="17"/>
  <c r="B249" i="17"/>
  <c r="D261" i="17" s="1"/>
  <c r="B248" i="17"/>
  <c r="B247" i="17"/>
  <c r="B246" i="17"/>
  <c r="B245" i="17"/>
  <c r="B244" i="17"/>
  <c r="B243" i="17"/>
  <c r="C244" i="17" s="1"/>
  <c r="B242" i="17"/>
  <c r="B241" i="17"/>
  <c r="B240" i="17"/>
  <c r="B239" i="17"/>
  <c r="B238" i="17"/>
  <c r="B237" i="17"/>
  <c r="B236" i="17"/>
  <c r="D236" i="17" s="1"/>
  <c r="B235" i="17"/>
  <c r="C235" i="17" s="1"/>
  <c r="B234" i="17"/>
  <c r="B233" i="17"/>
  <c r="D245" i="17" s="1"/>
  <c r="B232" i="17"/>
  <c r="B231" i="17"/>
  <c r="B230" i="17"/>
  <c r="B229" i="17"/>
  <c r="C228" i="17"/>
  <c r="B228" i="17"/>
  <c r="C227" i="17"/>
  <c r="B227" i="17"/>
  <c r="B226" i="17"/>
  <c r="B225" i="17"/>
  <c r="D237" i="17" s="1"/>
  <c r="B224" i="17"/>
  <c r="B223" i="17"/>
  <c r="B222" i="17"/>
  <c r="B221" i="17"/>
  <c r="D233" i="17" s="1"/>
  <c r="B220" i="17"/>
  <c r="B219" i="17"/>
  <c r="C219" i="17" s="1"/>
  <c r="B218" i="17"/>
  <c r="B217" i="17"/>
  <c r="B216" i="17"/>
  <c r="B215" i="17"/>
  <c r="B214" i="17"/>
  <c r="B213" i="17"/>
  <c r="C212" i="17"/>
  <c r="B212" i="17"/>
  <c r="C211" i="17"/>
  <c r="B211" i="17"/>
  <c r="B210" i="17"/>
  <c r="B209" i="17"/>
  <c r="B208" i="17"/>
  <c r="B207" i="17"/>
  <c r="B206" i="17"/>
  <c r="B205" i="17"/>
  <c r="D217" i="17" s="1"/>
  <c r="B204" i="17"/>
  <c r="D204" i="17" s="1"/>
  <c r="B203" i="17"/>
  <c r="C203" i="17" s="1"/>
  <c r="B202" i="17"/>
  <c r="B201" i="17"/>
  <c r="D213" i="17" s="1"/>
  <c r="B200" i="17"/>
  <c r="B199" i="17"/>
  <c r="B198" i="17"/>
  <c r="B197" i="17"/>
  <c r="B196" i="17"/>
  <c r="C195" i="17"/>
  <c r="B195" i="17"/>
  <c r="B194" i="17"/>
  <c r="B193" i="17"/>
  <c r="D193" i="17" s="1"/>
  <c r="B192" i="17"/>
  <c r="B191" i="17"/>
  <c r="B190" i="17"/>
  <c r="B189" i="17"/>
  <c r="D201" i="17" s="1"/>
  <c r="C188" i="17"/>
  <c r="B188" i="17"/>
  <c r="D188" i="17" s="1"/>
  <c r="B187" i="17"/>
  <c r="C187" i="17" s="1"/>
  <c r="B186" i="17"/>
  <c r="B185" i="17"/>
  <c r="D197" i="17" s="1"/>
  <c r="B184" i="17"/>
  <c r="B183" i="17"/>
  <c r="B182" i="17"/>
  <c r="B181" i="17"/>
  <c r="B180" i="17"/>
  <c r="B179" i="17"/>
  <c r="C180" i="17" s="1"/>
  <c r="B178" i="17"/>
  <c r="B177" i="17"/>
  <c r="B176" i="17"/>
  <c r="B175" i="17"/>
  <c r="B174" i="17"/>
  <c r="B173" i="17"/>
  <c r="B172" i="17"/>
  <c r="D172" i="17" s="1"/>
  <c r="B171" i="17"/>
  <c r="C171" i="17" s="1"/>
  <c r="B170" i="17"/>
  <c r="B169" i="17"/>
  <c r="D181" i="17" s="1"/>
  <c r="B168" i="17"/>
  <c r="B167" i="17"/>
  <c r="B166" i="17"/>
  <c r="B165" i="17"/>
  <c r="C164" i="17"/>
  <c r="B164" i="17"/>
  <c r="C163" i="17"/>
  <c r="B163" i="17"/>
  <c r="B162" i="17"/>
  <c r="B161" i="17"/>
  <c r="D173" i="17" s="1"/>
  <c r="B160" i="17"/>
  <c r="B159" i="17"/>
  <c r="B158" i="17"/>
  <c r="B157" i="17"/>
  <c r="D169" i="17" s="1"/>
  <c r="B156" i="17"/>
  <c r="B155" i="17"/>
  <c r="C155" i="17" s="1"/>
  <c r="B154" i="17"/>
  <c r="B153" i="17"/>
  <c r="B152" i="17"/>
  <c r="B151" i="17"/>
  <c r="B150" i="17"/>
  <c r="B149" i="17"/>
  <c r="B148" i="17"/>
  <c r="D148" i="17" s="1"/>
  <c r="B147" i="17"/>
  <c r="C147" i="17" s="1"/>
  <c r="B146" i="17"/>
  <c r="B145" i="17"/>
  <c r="B144" i="17"/>
  <c r="B143" i="17"/>
  <c r="B142" i="17"/>
  <c r="B141" i="17"/>
  <c r="B140" i="17"/>
  <c r="B139" i="17"/>
  <c r="C139" i="17" s="1"/>
  <c r="B138" i="17"/>
  <c r="B137" i="17"/>
  <c r="B136" i="17"/>
  <c r="B135" i="17"/>
  <c r="B134" i="17"/>
  <c r="B133" i="17"/>
  <c r="B132" i="17"/>
  <c r="C132" i="17" s="1"/>
  <c r="B131" i="17"/>
  <c r="C131" i="17" s="1"/>
  <c r="B130" i="17"/>
  <c r="B129" i="17"/>
  <c r="B128" i="17"/>
  <c r="D128" i="17" s="1"/>
  <c r="B127" i="17"/>
  <c r="B126" i="17"/>
  <c r="B125" i="17"/>
  <c r="B124" i="17"/>
  <c r="C123" i="17"/>
  <c r="B123" i="17"/>
  <c r="B122" i="17"/>
  <c r="B121" i="17"/>
  <c r="B120" i="17"/>
  <c r="B119" i="17"/>
  <c r="B118" i="17"/>
  <c r="B117" i="17"/>
  <c r="C116" i="17"/>
  <c r="B116" i="17"/>
  <c r="C115" i="17"/>
  <c r="B115" i="17"/>
  <c r="B114" i="17"/>
  <c r="B113" i="17"/>
  <c r="B112" i="17"/>
  <c r="D112" i="17" s="1"/>
  <c r="B111" i="17"/>
  <c r="B110" i="17"/>
  <c r="B109" i="17"/>
  <c r="B108" i="17"/>
  <c r="C107" i="17"/>
  <c r="B107" i="17"/>
  <c r="B106" i="17"/>
  <c r="B105" i="17"/>
  <c r="B104" i="17"/>
  <c r="B103" i="17"/>
  <c r="B102" i="17"/>
  <c r="B101" i="17"/>
  <c r="B100" i="17"/>
  <c r="B99" i="17"/>
  <c r="C100" i="17" s="1"/>
  <c r="B98" i="17"/>
  <c r="B97" i="17"/>
  <c r="D96" i="17"/>
  <c r="B96" i="17"/>
  <c r="B95" i="17"/>
  <c r="B94" i="17"/>
  <c r="B93" i="17"/>
  <c r="B92" i="17"/>
  <c r="C91" i="17"/>
  <c r="B91" i="17"/>
  <c r="B90" i="17"/>
  <c r="B89" i="17"/>
  <c r="B88" i="17"/>
  <c r="B87" i="17"/>
  <c r="B86" i="17"/>
  <c r="B85" i="17"/>
  <c r="C84" i="17"/>
  <c r="B84" i="17"/>
  <c r="C83" i="17"/>
  <c r="B83" i="17"/>
  <c r="B82" i="17"/>
  <c r="B81" i="17"/>
  <c r="B80" i="17"/>
  <c r="D80" i="17" s="1"/>
  <c r="B79" i="17"/>
  <c r="B78" i="17"/>
  <c r="B77" i="17"/>
  <c r="B76" i="17"/>
  <c r="C75" i="17"/>
  <c r="B75" i="17"/>
  <c r="B74" i="17"/>
  <c r="B73" i="17"/>
  <c r="B72" i="17"/>
  <c r="B71" i="17"/>
  <c r="B70" i="17"/>
  <c r="B69" i="17"/>
  <c r="B68" i="17"/>
  <c r="B67" i="17"/>
  <c r="D67" i="17" s="1"/>
  <c r="B66" i="17"/>
  <c r="D66" i="17" s="1"/>
  <c r="B65" i="17"/>
  <c r="D65" i="17" s="1"/>
  <c r="B64" i="17"/>
  <c r="D64" i="17" s="1"/>
  <c r="B63" i="17"/>
  <c r="B62" i="17"/>
  <c r="C62" i="17" s="1"/>
  <c r="D61" i="17"/>
  <c r="B61" i="17"/>
  <c r="B60" i="17"/>
  <c r="B59" i="17"/>
  <c r="B58" i="17"/>
  <c r="B57" i="17"/>
  <c r="D69" i="17" s="1"/>
  <c r="D56" i="17"/>
  <c r="B56" i="17"/>
  <c r="C55" i="17"/>
  <c r="B55" i="17"/>
  <c r="D54" i="17"/>
  <c r="B54" i="17"/>
  <c r="B53" i="17"/>
  <c r="C54" i="17" s="1"/>
  <c r="B52" i="17"/>
  <c r="D52" i="17" s="1"/>
  <c r="B51" i="17"/>
  <c r="D51" i="17" s="1"/>
  <c r="B50" i="17"/>
  <c r="B49" i="17"/>
  <c r="B48" i="17"/>
  <c r="B47" i="17"/>
  <c r="B46" i="17"/>
  <c r="B45" i="17"/>
  <c r="B44" i="17"/>
  <c r="B43" i="17"/>
  <c r="B42" i="17"/>
  <c r="B41" i="17"/>
  <c r="D41" i="17" s="1"/>
  <c r="B40" i="17"/>
  <c r="C39" i="17"/>
  <c r="B39" i="17"/>
  <c r="B38" i="17"/>
  <c r="B37" i="17"/>
  <c r="C38" i="17" s="1"/>
  <c r="B36" i="17"/>
  <c r="D36" i="17" s="1"/>
  <c r="B35" i="17"/>
  <c r="B34" i="17"/>
  <c r="B33" i="17"/>
  <c r="B32" i="17"/>
  <c r="B31" i="17"/>
  <c r="C32" i="17" s="1"/>
  <c r="B30" i="17"/>
  <c r="B29" i="17"/>
  <c r="B28" i="17"/>
  <c r="C28" i="17" s="1"/>
  <c r="B27" i="17"/>
  <c r="B26" i="17"/>
  <c r="D38" i="17" s="1"/>
  <c r="B25" i="17"/>
  <c r="C25" i="17" s="1"/>
  <c r="B24" i="17"/>
  <c r="B23" i="17"/>
  <c r="C22" i="17"/>
  <c r="B22" i="17"/>
  <c r="B21" i="17"/>
  <c r="B20" i="17"/>
  <c r="C19" i="17"/>
  <c r="B19" i="17"/>
  <c r="B18" i="17"/>
  <c r="B17" i="17"/>
  <c r="D29" i="17" s="1"/>
  <c r="B16" i="17"/>
  <c r="B15" i="17"/>
  <c r="C15" i="17" s="1"/>
  <c r="B14" i="17"/>
  <c r="B13" i="17"/>
  <c r="B12" i="17"/>
  <c r="B11" i="17"/>
  <c r="C11" i="17" s="1"/>
  <c r="B10" i="17"/>
  <c r="C10" i="17" s="1"/>
  <c r="B9" i="17"/>
  <c r="B8" i="17"/>
  <c r="B7" i="17"/>
  <c r="B372" i="16"/>
  <c r="D372" i="16" s="1"/>
  <c r="B371" i="16"/>
  <c r="D371" i="16" s="1"/>
  <c r="V61" i="4" s="1"/>
  <c r="B370" i="16"/>
  <c r="C370" i="16" s="1"/>
  <c r="B369" i="16"/>
  <c r="C369" i="16" s="1"/>
  <c r="U59" i="4" s="1"/>
  <c r="B368" i="16"/>
  <c r="C368" i="16" s="1"/>
  <c r="B367" i="16"/>
  <c r="B366" i="16"/>
  <c r="B365" i="16"/>
  <c r="B364" i="16"/>
  <c r="B363" i="16"/>
  <c r="C363" i="16" s="1"/>
  <c r="B362" i="16"/>
  <c r="B361" i="16"/>
  <c r="B360" i="16"/>
  <c r="C360" i="16" s="1"/>
  <c r="B359" i="16"/>
  <c r="B358" i="16"/>
  <c r="B357" i="16"/>
  <c r="D357" i="16" s="1"/>
  <c r="B356" i="16"/>
  <c r="C357" i="16" s="1"/>
  <c r="U47" i="4" s="1"/>
  <c r="B355" i="16"/>
  <c r="B354" i="16"/>
  <c r="B353" i="16"/>
  <c r="B352" i="16"/>
  <c r="B351" i="16"/>
  <c r="C351" i="16" s="1"/>
  <c r="U41" i="4" s="1"/>
  <c r="C350" i="16"/>
  <c r="B350" i="16"/>
  <c r="B349" i="16"/>
  <c r="B348" i="16"/>
  <c r="B347" i="16"/>
  <c r="D359" i="16" s="1"/>
  <c r="C346" i="16"/>
  <c r="B346" i="16"/>
  <c r="B345" i="16"/>
  <c r="B344" i="16"/>
  <c r="D344" i="16" s="1"/>
  <c r="B343" i="16"/>
  <c r="C343" i="16" s="1"/>
  <c r="U33" i="4" s="1"/>
  <c r="B342" i="16"/>
  <c r="B341" i="16"/>
  <c r="B340" i="16"/>
  <c r="D340" i="16" s="1"/>
  <c r="V30" i="4" s="1"/>
  <c r="D339" i="16"/>
  <c r="B339" i="16"/>
  <c r="D351" i="16" s="1"/>
  <c r="B338" i="16"/>
  <c r="D338" i="16" s="1"/>
  <c r="C337" i="16"/>
  <c r="B337" i="16"/>
  <c r="D349" i="16" s="1"/>
  <c r="V39" i="4" s="1"/>
  <c r="B336" i="16"/>
  <c r="B335" i="16"/>
  <c r="C336" i="16" s="1"/>
  <c r="U26" i="4" s="1"/>
  <c r="B334" i="16"/>
  <c r="C334" i="16" s="1"/>
  <c r="C333" i="16"/>
  <c r="B333" i="16"/>
  <c r="B332" i="16"/>
  <c r="B331" i="16"/>
  <c r="B330" i="16"/>
  <c r="D330" i="16" s="1"/>
  <c r="V20" i="4" s="1"/>
  <c r="B329" i="16"/>
  <c r="B328" i="16"/>
  <c r="C328" i="16" s="1"/>
  <c r="C327" i="16"/>
  <c r="B327" i="16"/>
  <c r="B326" i="16"/>
  <c r="B325" i="16"/>
  <c r="D324" i="16"/>
  <c r="C324" i="16"/>
  <c r="B324" i="16"/>
  <c r="D336" i="16" s="1"/>
  <c r="B323" i="16"/>
  <c r="B322" i="16"/>
  <c r="C323" i="16" s="1"/>
  <c r="B321" i="16"/>
  <c r="D321" i="16" s="1"/>
  <c r="V11" i="4" s="1"/>
  <c r="B320" i="16"/>
  <c r="B319" i="16"/>
  <c r="B318" i="16"/>
  <c r="C318" i="16" s="1"/>
  <c r="U8" i="4" s="1"/>
  <c r="B317" i="16"/>
  <c r="B316" i="16"/>
  <c r="B315" i="16"/>
  <c r="D315" i="16" s="1"/>
  <c r="V5" i="4" s="1"/>
  <c r="B314" i="16"/>
  <c r="D314" i="16" s="1"/>
  <c r="B313" i="16"/>
  <c r="C313" i="16" s="1"/>
  <c r="B312" i="16"/>
  <c r="B311" i="16"/>
  <c r="D311" i="16" s="1"/>
  <c r="B310" i="16"/>
  <c r="C311" i="16" s="1"/>
  <c r="C309" i="16"/>
  <c r="B309" i="16"/>
  <c r="B308" i="16"/>
  <c r="B307" i="16"/>
  <c r="C308" i="16" s="1"/>
  <c r="B306" i="16"/>
  <c r="D306" i="16" s="1"/>
  <c r="B305" i="16"/>
  <c r="D305" i="16" s="1"/>
  <c r="B304" i="16"/>
  <c r="C304" i="16" s="1"/>
  <c r="B303" i="16"/>
  <c r="B302" i="16"/>
  <c r="B301" i="16"/>
  <c r="D301" i="16" s="1"/>
  <c r="C300" i="16"/>
  <c r="B300" i="16"/>
  <c r="D300" i="16" s="1"/>
  <c r="B299" i="16"/>
  <c r="B298" i="16"/>
  <c r="B297" i="16"/>
  <c r="C297" i="16" s="1"/>
  <c r="B296" i="16"/>
  <c r="C296" i="16" s="1"/>
  <c r="C295" i="16"/>
  <c r="B295" i="16"/>
  <c r="B294" i="16"/>
  <c r="C294" i="16" s="1"/>
  <c r="B293" i="16"/>
  <c r="C292" i="16"/>
  <c r="B292" i="16"/>
  <c r="D292" i="16" s="1"/>
  <c r="D291" i="16"/>
  <c r="B291" i="16"/>
  <c r="D303" i="16" s="1"/>
  <c r="B290" i="16"/>
  <c r="B289" i="16"/>
  <c r="C289" i="16" s="1"/>
  <c r="B288" i="16"/>
  <c r="B287" i="16"/>
  <c r="D299" i="16" s="1"/>
  <c r="D286" i="16"/>
  <c r="C286" i="16"/>
  <c r="B286" i="16"/>
  <c r="D298" i="16" s="1"/>
  <c r="B285" i="16"/>
  <c r="B284" i="16"/>
  <c r="C283" i="16"/>
  <c r="B283" i="16"/>
  <c r="D283" i="16" s="1"/>
  <c r="B282" i="16"/>
  <c r="D282" i="16" s="1"/>
  <c r="B281" i="16"/>
  <c r="B280" i="16"/>
  <c r="C280" i="16" s="1"/>
  <c r="B279" i="16"/>
  <c r="B278" i="16"/>
  <c r="C277" i="16"/>
  <c r="B277" i="16"/>
  <c r="D289" i="16" s="1"/>
  <c r="C276" i="16"/>
  <c r="B276" i="16"/>
  <c r="D276" i="16" s="1"/>
  <c r="B275" i="16"/>
  <c r="C275" i="16" s="1"/>
  <c r="B274" i="16"/>
  <c r="D274" i="16" s="1"/>
  <c r="B273" i="16"/>
  <c r="B272" i="16"/>
  <c r="C272" i="16" s="1"/>
  <c r="B271" i="16"/>
  <c r="D271" i="16" s="1"/>
  <c r="B270" i="16"/>
  <c r="B269" i="16"/>
  <c r="B268" i="16"/>
  <c r="D268" i="16" s="1"/>
  <c r="B267" i="16"/>
  <c r="C266" i="16"/>
  <c r="B266" i="16"/>
  <c r="B265" i="16"/>
  <c r="C265" i="16" s="1"/>
  <c r="B264" i="16"/>
  <c r="B263" i="16"/>
  <c r="D275" i="16" s="1"/>
  <c r="B262" i="16"/>
  <c r="B261" i="16"/>
  <c r="B260" i="16"/>
  <c r="B259" i="16"/>
  <c r="C260" i="16" s="1"/>
  <c r="B258" i="16"/>
  <c r="D257" i="16"/>
  <c r="C257" i="16"/>
  <c r="B257" i="16"/>
  <c r="B256" i="16"/>
  <c r="B255" i="16"/>
  <c r="B254" i="16"/>
  <c r="D254" i="16" s="1"/>
  <c r="B253" i="16"/>
  <c r="B252" i="16"/>
  <c r="C251" i="16"/>
  <c r="B251" i="16"/>
  <c r="B250" i="16"/>
  <c r="B249" i="16"/>
  <c r="D248" i="16"/>
  <c r="B248" i="16"/>
  <c r="D260" i="16" s="1"/>
  <c r="B247" i="16"/>
  <c r="B246" i="16"/>
  <c r="B245" i="16"/>
  <c r="B244" i="16"/>
  <c r="C245" i="16" s="1"/>
  <c r="B243" i="16"/>
  <c r="C243" i="16" s="1"/>
  <c r="B242" i="16"/>
  <c r="D242" i="16" s="1"/>
  <c r="B241" i="16"/>
  <c r="B240" i="16"/>
  <c r="C240" i="16" s="1"/>
  <c r="D239" i="16"/>
  <c r="B239" i="16"/>
  <c r="D251" i="16" s="1"/>
  <c r="B238" i="16"/>
  <c r="B237" i="16"/>
  <c r="B236" i="16"/>
  <c r="B235" i="16"/>
  <c r="C236" i="16" s="1"/>
  <c r="B234" i="16"/>
  <c r="B233" i="16"/>
  <c r="B232" i="16"/>
  <c r="B231" i="16"/>
  <c r="D231" i="16" s="1"/>
  <c r="B230" i="16"/>
  <c r="B229" i="16"/>
  <c r="B228" i="16"/>
  <c r="C228" i="16" s="1"/>
  <c r="B227" i="16"/>
  <c r="C226" i="16"/>
  <c r="B226" i="16"/>
  <c r="C225" i="16"/>
  <c r="B225" i="16"/>
  <c r="B224" i="16"/>
  <c r="D236" i="16" s="1"/>
  <c r="B223" i="16"/>
  <c r="D222" i="16"/>
  <c r="B222" i="16"/>
  <c r="C223" i="16" s="1"/>
  <c r="B221" i="16"/>
  <c r="C222" i="16" s="1"/>
  <c r="B220" i="16"/>
  <c r="B219" i="16"/>
  <c r="B218" i="16"/>
  <c r="C219" i="16" s="1"/>
  <c r="B217" i="16"/>
  <c r="B216" i="16"/>
  <c r="C216" i="16" s="1"/>
  <c r="B215" i="16"/>
  <c r="B214" i="16"/>
  <c r="B213" i="16"/>
  <c r="C213" i="16" s="1"/>
  <c r="C212" i="16"/>
  <c r="B212" i="16"/>
  <c r="C211" i="16"/>
  <c r="B211" i="16"/>
  <c r="B210" i="16"/>
  <c r="B209" i="16"/>
  <c r="B208" i="16"/>
  <c r="C208" i="16" s="1"/>
  <c r="B207" i="16"/>
  <c r="D219" i="16" s="1"/>
  <c r="B206" i="16"/>
  <c r="B205" i="16"/>
  <c r="C205" i="16" s="1"/>
  <c r="B204" i="16"/>
  <c r="D204" i="16" s="1"/>
  <c r="B203" i="16"/>
  <c r="D202" i="16"/>
  <c r="C202" i="16"/>
  <c r="B202" i="16"/>
  <c r="B201" i="16"/>
  <c r="B200" i="16"/>
  <c r="C199" i="16"/>
  <c r="B199" i="16"/>
  <c r="D211" i="16" s="1"/>
  <c r="B198" i="16"/>
  <c r="B197" i="16"/>
  <c r="B196" i="16"/>
  <c r="B195" i="16"/>
  <c r="B194" i="16"/>
  <c r="D193" i="16"/>
  <c r="B193" i="16"/>
  <c r="C193" i="16" s="1"/>
  <c r="B192" i="16"/>
  <c r="B191" i="16"/>
  <c r="B190" i="16"/>
  <c r="B189" i="16"/>
  <c r="C190" i="16" s="1"/>
  <c r="B188" i="16"/>
  <c r="C187" i="16"/>
  <c r="B187" i="16"/>
  <c r="B186" i="16"/>
  <c r="B185" i="16"/>
  <c r="D184" i="16"/>
  <c r="B184" i="16"/>
  <c r="C184" i="16" s="1"/>
  <c r="B183" i="16"/>
  <c r="C182" i="16"/>
  <c r="B182" i="16"/>
  <c r="B181" i="16"/>
  <c r="C180" i="16"/>
  <c r="B180" i="16"/>
  <c r="D180" i="16" s="1"/>
  <c r="B179" i="16"/>
  <c r="C179" i="16" s="1"/>
  <c r="B178" i="16"/>
  <c r="D190" i="16" s="1"/>
  <c r="B177" i="16"/>
  <c r="B176" i="16"/>
  <c r="C176" i="16" s="1"/>
  <c r="D175" i="16"/>
  <c r="B175" i="16"/>
  <c r="D187" i="16" s="1"/>
  <c r="B174" i="16"/>
  <c r="B173" i="16"/>
  <c r="B172" i="16"/>
  <c r="B171" i="16"/>
  <c r="C172" i="16" s="1"/>
  <c r="B170" i="16"/>
  <c r="B169" i="16"/>
  <c r="B168" i="16"/>
  <c r="B167" i="16"/>
  <c r="B166" i="16"/>
  <c r="B165" i="16"/>
  <c r="B164" i="16"/>
  <c r="B163" i="16"/>
  <c r="B162" i="16"/>
  <c r="C161" i="16"/>
  <c r="B161" i="16"/>
  <c r="C162" i="16" s="1"/>
  <c r="B160" i="16"/>
  <c r="D172" i="16" s="1"/>
  <c r="C159" i="16"/>
  <c r="B159" i="16"/>
  <c r="B158" i="16"/>
  <c r="C158" i="16" s="1"/>
  <c r="B157" i="16"/>
  <c r="B156" i="16"/>
  <c r="D155" i="16"/>
  <c r="C155" i="16"/>
  <c r="B155" i="16"/>
  <c r="B154" i="16"/>
  <c r="B153" i="16"/>
  <c r="D152" i="16"/>
  <c r="B152" i="16"/>
  <c r="C152" i="16" s="1"/>
  <c r="B151" i="16"/>
  <c r="D151" i="16" s="1"/>
  <c r="B150" i="16"/>
  <c r="C149" i="16"/>
  <c r="B149" i="16"/>
  <c r="B148" i="16"/>
  <c r="B147" i="16"/>
  <c r="C147" i="16" s="1"/>
  <c r="B146" i="16"/>
  <c r="D158" i="16" s="1"/>
  <c r="B145" i="16"/>
  <c r="B144" i="16"/>
  <c r="C144" i="16" s="1"/>
  <c r="B143" i="16"/>
  <c r="D143" i="16" s="1"/>
  <c r="B142" i="16"/>
  <c r="C141" i="16"/>
  <c r="B141" i="16"/>
  <c r="D141" i="16" s="1"/>
  <c r="D140" i="16"/>
  <c r="C140" i="16"/>
  <c r="B140" i="16"/>
  <c r="B139" i="16"/>
  <c r="B138" i="16"/>
  <c r="B137" i="16"/>
  <c r="B136" i="16"/>
  <c r="B135" i="16"/>
  <c r="B134" i="16"/>
  <c r="C134" i="16" s="1"/>
  <c r="B133" i="16"/>
  <c r="B132" i="16"/>
  <c r="D131" i="16"/>
  <c r="B131" i="16"/>
  <c r="B130" i="16"/>
  <c r="C130" i="16" s="1"/>
  <c r="C129" i="16"/>
  <c r="B129" i="16"/>
  <c r="B128" i="16"/>
  <c r="B127" i="16"/>
  <c r="B126" i="16"/>
  <c r="C126" i="16" s="1"/>
  <c r="B125" i="16"/>
  <c r="B124" i="16"/>
  <c r="B123" i="16"/>
  <c r="D123" i="16" s="1"/>
  <c r="B122" i="16"/>
  <c r="B121" i="16"/>
  <c r="C122" i="16" s="1"/>
  <c r="B120" i="16"/>
  <c r="C120" i="16" s="1"/>
  <c r="B119" i="16"/>
  <c r="C118" i="16"/>
  <c r="B118" i="16"/>
  <c r="C119" i="16" s="1"/>
  <c r="B117" i="16"/>
  <c r="C117" i="16" s="1"/>
  <c r="B116" i="16"/>
  <c r="C116" i="16" s="1"/>
  <c r="B115" i="16"/>
  <c r="C115" i="16" s="1"/>
  <c r="B114" i="16"/>
  <c r="D114" i="16" s="1"/>
  <c r="B113" i="16"/>
  <c r="D112" i="16"/>
  <c r="B112" i="16"/>
  <c r="C112" i="16" s="1"/>
  <c r="B111" i="16"/>
  <c r="B110" i="16"/>
  <c r="B109" i="16"/>
  <c r="D108" i="16"/>
  <c r="B108" i="16"/>
  <c r="C108" i="16" s="1"/>
  <c r="B107" i="16"/>
  <c r="B106" i="16"/>
  <c r="B105" i="16"/>
  <c r="B104" i="16"/>
  <c r="B103" i="16"/>
  <c r="B102" i="16"/>
  <c r="B101" i="16"/>
  <c r="D100" i="16"/>
  <c r="B100" i="16"/>
  <c r="C100" i="16" s="1"/>
  <c r="B99" i="16"/>
  <c r="D111" i="16" s="1"/>
  <c r="B98" i="16"/>
  <c r="C98" i="16" s="1"/>
  <c r="C97" i="16"/>
  <c r="B97" i="16"/>
  <c r="B96" i="16"/>
  <c r="B95" i="16"/>
  <c r="C95" i="16" s="1"/>
  <c r="C94" i="16"/>
  <c r="B94" i="16"/>
  <c r="D106" i="16" s="1"/>
  <c r="B93" i="16"/>
  <c r="B92" i="16"/>
  <c r="C92" i="16" s="1"/>
  <c r="D91" i="16"/>
  <c r="B91" i="16"/>
  <c r="B90" i="16"/>
  <c r="C91" i="16" s="1"/>
  <c r="B89" i="16"/>
  <c r="B88" i="16"/>
  <c r="B87" i="16"/>
  <c r="B86" i="16"/>
  <c r="C87" i="16" s="1"/>
  <c r="C85" i="16"/>
  <c r="B85" i="16"/>
  <c r="D97" i="16" s="1"/>
  <c r="C84" i="16"/>
  <c r="B84" i="16"/>
  <c r="B83" i="16"/>
  <c r="B82" i="16"/>
  <c r="C83" i="16" s="1"/>
  <c r="B81" i="16"/>
  <c r="B80" i="16"/>
  <c r="C80" i="16" s="1"/>
  <c r="D79" i="16"/>
  <c r="B79" i="16"/>
  <c r="B78" i="16"/>
  <c r="B77" i="16"/>
  <c r="C76" i="16"/>
  <c r="B76" i="16"/>
  <c r="D88" i="16" s="1"/>
  <c r="B75" i="16"/>
  <c r="B74" i="16"/>
  <c r="B73" i="16"/>
  <c r="B72" i="16"/>
  <c r="B71" i="16"/>
  <c r="D71" i="16" s="1"/>
  <c r="B70" i="16"/>
  <c r="B69" i="16"/>
  <c r="B68" i="16"/>
  <c r="B67" i="16"/>
  <c r="B66" i="16"/>
  <c r="B65" i="16"/>
  <c r="C65" i="16" s="1"/>
  <c r="B64" i="16"/>
  <c r="D63" i="16"/>
  <c r="B63" i="16"/>
  <c r="B62" i="16"/>
  <c r="B61" i="16"/>
  <c r="B60" i="16"/>
  <c r="B59" i="16"/>
  <c r="B58" i="16"/>
  <c r="B57" i="16"/>
  <c r="C57" i="16" s="1"/>
  <c r="B56" i="16"/>
  <c r="D55" i="16"/>
  <c r="B55" i="16"/>
  <c r="B54" i="16"/>
  <c r="B53" i="16"/>
  <c r="B52" i="16"/>
  <c r="B51" i="16"/>
  <c r="B50" i="16"/>
  <c r="B49" i="16"/>
  <c r="C49" i="16" s="1"/>
  <c r="B48" i="16"/>
  <c r="B47" i="16"/>
  <c r="B46" i="16"/>
  <c r="B45" i="16"/>
  <c r="B44" i="16"/>
  <c r="B43" i="16"/>
  <c r="B42" i="16"/>
  <c r="C41" i="16"/>
  <c r="B41" i="16"/>
  <c r="B40" i="16"/>
  <c r="B39" i="16"/>
  <c r="C40" i="16" s="1"/>
  <c r="B38" i="16"/>
  <c r="B37" i="16"/>
  <c r="B36" i="16"/>
  <c r="B35" i="16"/>
  <c r="D47" i="16" s="1"/>
  <c r="B34" i="16"/>
  <c r="D34" i="16" s="1"/>
  <c r="B33" i="16"/>
  <c r="C33" i="16" s="1"/>
  <c r="B32" i="16"/>
  <c r="B31" i="16"/>
  <c r="B30" i="16"/>
  <c r="B29" i="16"/>
  <c r="B28" i="16"/>
  <c r="B27" i="16"/>
  <c r="B26" i="16"/>
  <c r="B25" i="16"/>
  <c r="D25" i="16" s="1"/>
  <c r="B24" i="16"/>
  <c r="D24" i="16" s="1"/>
  <c r="B23" i="16"/>
  <c r="B22" i="16"/>
  <c r="B21" i="16"/>
  <c r="B20" i="16"/>
  <c r="B19" i="16"/>
  <c r="D31" i="16" s="1"/>
  <c r="B18" i="16"/>
  <c r="B17" i="16"/>
  <c r="C17" i="16" s="1"/>
  <c r="C16" i="16"/>
  <c r="B16" i="16"/>
  <c r="B15" i="16"/>
  <c r="B14" i="16"/>
  <c r="B13" i="16"/>
  <c r="B12" i="16"/>
  <c r="B11" i="16"/>
  <c r="C11" i="16" s="1"/>
  <c r="B10" i="16"/>
  <c r="B9" i="16"/>
  <c r="C9" i="16" s="1"/>
  <c r="B8" i="16"/>
  <c r="C8" i="16" s="1"/>
  <c r="B7" i="16"/>
  <c r="B372" i="15"/>
  <c r="D371" i="15"/>
  <c r="C371" i="15"/>
  <c r="B371" i="15"/>
  <c r="B370" i="15"/>
  <c r="C370" i="15" s="1"/>
  <c r="B369" i="15"/>
  <c r="D369" i="15" s="1"/>
  <c r="C368" i="15"/>
  <c r="B368" i="15"/>
  <c r="B367" i="15"/>
  <c r="D367" i="15" s="1"/>
  <c r="D366" i="15"/>
  <c r="C366" i="15"/>
  <c r="B366" i="15"/>
  <c r="C367" i="15" s="1"/>
  <c r="B365" i="15"/>
  <c r="B364" i="15"/>
  <c r="D363" i="15"/>
  <c r="C363" i="15"/>
  <c r="B363" i="15"/>
  <c r="B362" i="15"/>
  <c r="C362" i="15" s="1"/>
  <c r="B361" i="15"/>
  <c r="D361" i="15" s="1"/>
  <c r="C360" i="15"/>
  <c r="B360" i="15"/>
  <c r="B359" i="15"/>
  <c r="D359" i="15" s="1"/>
  <c r="D358" i="15"/>
  <c r="C358" i="15"/>
  <c r="B358" i="15"/>
  <c r="C359" i="15" s="1"/>
  <c r="B357" i="15"/>
  <c r="B356" i="15"/>
  <c r="D355" i="15"/>
  <c r="C355" i="15"/>
  <c r="B355" i="15"/>
  <c r="B354" i="15"/>
  <c r="C354" i="15" s="1"/>
  <c r="B353" i="15"/>
  <c r="D353" i="15" s="1"/>
  <c r="C352" i="15"/>
  <c r="B352" i="15"/>
  <c r="B351" i="15"/>
  <c r="D351" i="15" s="1"/>
  <c r="D350" i="15"/>
  <c r="C350" i="15"/>
  <c r="B350" i="15"/>
  <c r="C351" i="15" s="1"/>
  <c r="B349" i="15"/>
  <c r="B348" i="15"/>
  <c r="D347" i="15"/>
  <c r="C347" i="15"/>
  <c r="B347" i="15"/>
  <c r="B346" i="15"/>
  <c r="C346" i="15" s="1"/>
  <c r="B345" i="15"/>
  <c r="D345" i="15" s="1"/>
  <c r="C344" i="15"/>
  <c r="B344" i="15"/>
  <c r="B343" i="15"/>
  <c r="D343" i="15" s="1"/>
  <c r="D342" i="15"/>
  <c r="C342" i="15"/>
  <c r="B342" i="15"/>
  <c r="C343" i="15" s="1"/>
  <c r="B341" i="15"/>
  <c r="B340" i="15"/>
  <c r="D339" i="15"/>
  <c r="C339" i="15"/>
  <c r="B339" i="15"/>
  <c r="B338" i="15"/>
  <c r="C338" i="15" s="1"/>
  <c r="B337" i="15"/>
  <c r="D337" i="15" s="1"/>
  <c r="C336" i="15"/>
  <c r="B336" i="15"/>
  <c r="B335" i="15"/>
  <c r="D335" i="15" s="1"/>
  <c r="D334" i="15"/>
  <c r="C334" i="15"/>
  <c r="B334" i="15"/>
  <c r="C335" i="15" s="1"/>
  <c r="B333" i="15"/>
  <c r="B332" i="15"/>
  <c r="D331" i="15"/>
  <c r="C331" i="15"/>
  <c r="B331" i="15"/>
  <c r="B330" i="15"/>
  <c r="C330" i="15" s="1"/>
  <c r="B329" i="15"/>
  <c r="D329" i="15" s="1"/>
  <c r="C328" i="15"/>
  <c r="B328" i="15"/>
  <c r="B327" i="15"/>
  <c r="D327" i="15" s="1"/>
  <c r="D326" i="15"/>
  <c r="C326" i="15"/>
  <c r="B326" i="15"/>
  <c r="C327" i="15" s="1"/>
  <c r="B325" i="15"/>
  <c r="B324" i="15"/>
  <c r="D323" i="15"/>
  <c r="C323" i="15"/>
  <c r="B323" i="15"/>
  <c r="B322" i="15"/>
  <c r="C322" i="15" s="1"/>
  <c r="B321" i="15"/>
  <c r="D321" i="15" s="1"/>
  <c r="C320" i="15"/>
  <c r="B320" i="15"/>
  <c r="B319" i="15"/>
  <c r="D319" i="15" s="1"/>
  <c r="D318" i="15"/>
  <c r="C318" i="15"/>
  <c r="B318" i="15"/>
  <c r="C319" i="15" s="1"/>
  <c r="B317" i="15"/>
  <c r="B316" i="15"/>
  <c r="D315" i="15"/>
  <c r="C315" i="15"/>
  <c r="B315" i="15"/>
  <c r="B314" i="15"/>
  <c r="C314" i="15" s="1"/>
  <c r="B313" i="15"/>
  <c r="D313" i="15" s="1"/>
  <c r="C312" i="15"/>
  <c r="B312" i="15"/>
  <c r="B311" i="15"/>
  <c r="D311" i="15" s="1"/>
  <c r="D310" i="15"/>
  <c r="C310" i="15"/>
  <c r="B310" i="15"/>
  <c r="C311" i="15" s="1"/>
  <c r="B309" i="15"/>
  <c r="B308" i="15"/>
  <c r="D307" i="15"/>
  <c r="C307" i="15"/>
  <c r="B307" i="15"/>
  <c r="B306" i="15"/>
  <c r="C306" i="15" s="1"/>
  <c r="B305" i="15"/>
  <c r="D305" i="15" s="1"/>
  <c r="C304" i="15"/>
  <c r="B304" i="15"/>
  <c r="B303" i="15"/>
  <c r="D303" i="15" s="1"/>
  <c r="D302" i="15"/>
  <c r="C302" i="15"/>
  <c r="B302" i="15"/>
  <c r="C303" i="15" s="1"/>
  <c r="B301" i="15"/>
  <c r="B300" i="15"/>
  <c r="D299" i="15"/>
  <c r="C299" i="15"/>
  <c r="B299" i="15"/>
  <c r="B298" i="15"/>
  <c r="C298" i="15" s="1"/>
  <c r="B297" i="15"/>
  <c r="D297" i="15" s="1"/>
  <c r="C296" i="15"/>
  <c r="B296" i="15"/>
  <c r="B295" i="15"/>
  <c r="D295" i="15" s="1"/>
  <c r="D294" i="15"/>
  <c r="C294" i="15"/>
  <c r="B294" i="15"/>
  <c r="C295" i="15" s="1"/>
  <c r="B293" i="15"/>
  <c r="B292" i="15"/>
  <c r="D291" i="15"/>
  <c r="C291" i="15"/>
  <c r="B291" i="15"/>
  <c r="B290" i="15"/>
  <c r="C290" i="15" s="1"/>
  <c r="B289" i="15"/>
  <c r="D289" i="15" s="1"/>
  <c r="C288" i="15"/>
  <c r="B288" i="15"/>
  <c r="B287" i="15"/>
  <c r="D287" i="15" s="1"/>
  <c r="D286" i="15"/>
  <c r="C286" i="15"/>
  <c r="B286" i="15"/>
  <c r="C287" i="15" s="1"/>
  <c r="B285" i="15"/>
  <c r="B284" i="15"/>
  <c r="D283" i="15"/>
  <c r="C283" i="15"/>
  <c r="B283" i="15"/>
  <c r="B282" i="15"/>
  <c r="C282" i="15" s="1"/>
  <c r="B281" i="15"/>
  <c r="D281" i="15" s="1"/>
  <c r="C280" i="15"/>
  <c r="B280" i="15"/>
  <c r="B279" i="15"/>
  <c r="D279" i="15" s="1"/>
  <c r="D278" i="15"/>
  <c r="C278" i="15"/>
  <c r="B278" i="15"/>
  <c r="C279" i="15" s="1"/>
  <c r="B277" i="15"/>
  <c r="B276" i="15"/>
  <c r="D275" i="15"/>
  <c r="C275" i="15"/>
  <c r="B275" i="15"/>
  <c r="B274" i="15"/>
  <c r="C274" i="15" s="1"/>
  <c r="B273" i="15"/>
  <c r="D273" i="15" s="1"/>
  <c r="C272" i="15"/>
  <c r="B272" i="15"/>
  <c r="B271" i="15"/>
  <c r="D271" i="15" s="1"/>
  <c r="C270" i="15"/>
  <c r="B270" i="15"/>
  <c r="C271" i="15" s="1"/>
  <c r="B269" i="15"/>
  <c r="B268" i="15"/>
  <c r="D267" i="15"/>
  <c r="C267" i="15"/>
  <c r="B267" i="15"/>
  <c r="B266" i="15"/>
  <c r="C266" i="15" s="1"/>
  <c r="B265" i="15"/>
  <c r="D265" i="15" s="1"/>
  <c r="C264" i="15"/>
  <c r="B264" i="15"/>
  <c r="C263" i="15"/>
  <c r="B263" i="15"/>
  <c r="D263" i="15" s="1"/>
  <c r="D262" i="15"/>
  <c r="B262" i="15"/>
  <c r="C262" i="15" s="1"/>
  <c r="B261" i="15"/>
  <c r="D260" i="15"/>
  <c r="B260" i="15"/>
  <c r="D259" i="15"/>
  <c r="C259" i="15"/>
  <c r="B259" i="15"/>
  <c r="B258" i="15"/>
  <c r="D270" i="15" s="1"/>
  <c r="B257" i="15"/>
  <c r="D256" i="15"/>
  <c r="C256" i="15"/>
  <c r="B256" i="15"/>
  <c r="B255" i="15"/>
  <c r="B254" i="15"/>
  <c r="B253" i="15"/>
  <c r="B252" i="15"/>
  <c r="D251" i="15"/>
  <c r="B251" i="15"/>
  <c r="B250" i="15"/>
  <c r="C249" i="15"/>
  <c r="B249" i="15"/>
  <c r="C248" i="15"/>
  <c r="B248" i="15"/>
  <c r="B247" i="15"/>
  <c r="D246" i="15"/>
  <c r="C246" i="15"/>
  <c r="B246" i="15"/>
  <c r="C247" i="15" s="1"/>
  <c r="B245" i="15"/>
  <c r="B244" i="15"/>
  <c r="B243" i="15"/>
  <c r="D243" i="15" s="1"/>
  <c r="B242" i="15"/>
  <c r="B241" i="15"/>
  <c r="C240" i="15"/>
  <c r="B240" i="15"/>
  <c r="B239" i="15"/>
  <c r="D239" i="15" s="1"/>
  <c r="B238" i="15"/>
  <c r="C238" i="15" s="1"/>
  <c r="B237" i="15"/>
  <c r="B236" i="15"/>
  <c r="D235" i="15"/>
  <c r="B235" i="15"/>
  <c r="B234" i="15"/>
  <c r="B233" i="15"/>
  <c r="D233" i="15" s="1"/>
  <c r="C232" i="15"/>
  <c r="B232" i="15"/>
  <c r="C231" i="15"/>
  <c r="B231" i="15"/>
  <c r="D231" i="15" s="1"/>
  <c r="B230" i="15"/>
  <c r="C230" i="15" s="1"/>
  <c r="B229" i="15"/>
  <c r="B228" i="15"/>
  <c r="D227" i="15"/>
  <c r="C227" i="15"/>
  <c r="B227" i="15"/>
  <c r="B226" i="15"/>
  <c r="B225" i="15"/>
  <c r="D224" i="15"/>
  <c r="C224" i="15"/>
  <c r="B224" i="15"/>
  <c r="C223" i="15"/>
  <c r="B223" i="15"/>
  <c r="B222" i="15"/>
  <c r="B221" i="15"/>
  <c r="B220" i="15"/>
  <c r="D219" i="15"/>
  <c r="B219" i="15"/>
  <c r="B218" i="15"/>
  <c r="C217" i="15"/>
  <c r="B217" i="15"/>
  <c r="C216" i="15"/>
  <c r="B216" i="15"/>
  <c r="B215" i="15"/>
  <c r="B214" i="15"/>
  <c r="C215" i="15" s="1"/>
  <c r="B213" i="15"/>
  <c r="B212" i="15"/>
  <c r="B211" i="15"/>
  <c r="D211" i="15" s="1"/>
  <c r="B210" i="15"/>
  <c r="B209" i="15"/>
  <c r="C208" i="15"/>
  <c r="B208" i="15"/>
  <c r="C207" i="15"/>
  <c r="B207" i="15"/>
  <c r="D207" i="15" s="1"/>
  <c r="B206" i="15"/>
  <c r="C206" i="15" s="1"/>
  <c r="B205" i="15"/>
  <c r="B204" i="15"/>
  <c r="D203" i="15"/>
  <c r="C203" i="15"/>
  <c r="B203" i="15"/>
  <c r="B202" i="15"/>
  <c r="B201" i="15"/>
  <c r="D201" i="15" s="1"/>
  <c r="C200" i="15"/>
  <c r="B200" i="15"/>
  <c r="C199" i="15"/>
  <c r="B199" i="15"/>
  <c r="B198" i="15"/>
  <c r="C198" i="15" s="1"/>
  <c r="C197" i="15"/>
  <c r="B197" i="15"/>
  <c r="D196" i="15"/>
  <c r="B196" i="15"/>
  <c r="D195" i="15"/>
  <c r="B195" i="15"/>
  <c r="B194" i="15"/>
  <c r="C193" i="15"/>
  <c r="B193" i="15"/>
  <c r="C192" i="15"/>
  <c r="B192" i="15"/>
  <c r="B191" i="15"/>
  <c r="B190" i="15"/>
  <c r="C191" i="15" s="1"/>
  <c r="C189" i="15"/>
  <c r="B189" i="15"/>
  <c r="D188" i="15"/>
  <c r="B188" i="15"/>
  <c r="B187" i="15"/>
  <c r="D187" i="15" s="1"/>
  <c r="B186" i="15"/>
  <c r="B185" i="15"/>
  <c r="D185" i="15" s="1"/>
  <c r="C184" i="15"/>
  <c r="B184" i="15"/>
  <c r="D184" i="15" s="1"/>
  <c r="B183" i="15"/>
  <c r="B182" i="15"/>
  <c r="C182" i="15" s="1"/>
  <c r="C181" i="15"/>
  <c r="B181" i="15"/>
  <c r="B180" i="15"/>
  <c r="B179" i="15"/>
  <c r="B178" i="15"/>
  <c r="B177" i="15"/>
  <c r="C176" i="15"/>
  <c r="B176" i="15"/>
  <c r="B175" i="15"/>
  <c r="B174" i="15"/>
  <c r="C175" i="15" s="1"/>
  <c r="C173" i="15"/>
  <c r="B173" i="15"/>
  <c r="D172" i="15"/>
  <c r="B172" i="15"/>
  <c r="B171" i="15"/>
  <c r="D171" i="15" s="1"/>
  <c r="B170" i="15"/>
  <c r="B169" i="15"/>
  <c r="C168" i="15"/>
  <c r="B168" i="15"/>
  <c r="D168" i="15" s="1"/>
  <c r="B167" i="15"/>
  <c r="B166" i="15"/>
  <c r="C166" i="15" s="1"/>
  <c r="C165" i="15"/>
  <c r="B165" i="15"/>
  <c r="B164" i="15"/>
  <c r="B163" i="15"/>
  <c r="B162" i="15"/>
  <c r="B161" i="15"/>
  <c r="C160" i="15"/>
  <c r="B160" i="15"/>
  <c r="B159" i="15"/>
  <c r="B158" i="15"/>
  <c r="D158" i="15" s="1"/>
  <c r="C157" i="15"/>
  <c r="B157" i="15"/>
  <c r="D156" i="15"/>
  <c r="B156" i="15"/>
  <c r="B155" i="15"/>
  <c r="D155" i="15" s="1"/>
  <c r="B154" i="15"/>
  <c r="B153" i="15"/>
  <c r="C152" i="15"/>
  <c r="B152" i="15"/>
  <c r="D152" i="15" s="1"/>
  <c r="B151" i="15"/>
  <c r="B150" i="15"/>
  <c r="C150" i="15" s="1"/>
  <c r="C149" i="15"/>
  <c r="B149" i="15"/>
  <c r="B148" i="15"/>
  <c r="D147" i="15"/>
  <c r="B147" i="15"/>
  <c r="B146" i="15"/>
  <c r="B145" i="15"/>
  <c r="C144" i="15"/>
  <c r="B144" i="15"/>
  <c r="C143" i="15"/>
  <c r="B143" i="15"/>
  <c r="B142" i="15"/>
  <c r="D142" i="15" s="1"/>
  <c r="C141" i="15"/>
  <c r="B141" i="15"/>
  <c r="D140" i="15"/>
  <c r="B140" i="15"/>
  <c r="B139" i="15"/>
  <c r="C139" i="15" s="1"/>
  <c r="B138" i="15"/>
  <c r="B137" i="15"/>
  <c r="B136" i="15"/>
  <c r="D136" i="15" s="1"/>
  <c r="C135" i="15"/>
  <c r="B135" i="15"/>
  <c r="B134" i="15"/>
  <c r="C134" i="15" s="1"/>
  <c r="C133" i="15"/>
  <c r="B133" i="15"/>
  <c r="B132" i="15"/>
  <c r="D131" i="15"/>
  <c r="B131" i="15"/>
  <c r="C131" i="15" s="1"/>
  <c r="B130" i="15"/>
  <c r="B129" i="15"/>
  <c r="C128" i="15"/>
  <c r="B128" i="15"/>
  <c r="C127" i="15"/>
  <c r="B127" i="15"/>
  <c r="B126" i="15"/>
  <c r="C126" i="15" s="1"/>
  <c r="C125" i="15"/>
  <c r="B125" i="15"/>
  <c r="D124" i="15"/>
  <c r="B124" i="15"/>
  <c r="D123" i="15"/>
  <c r="B123" i="15"/>
  <c r="B122" i="15"/>
  <c r="C123" i="15" s="1"/>
  <c r="B121" i="15"/>
  <c r="C120" i="15"/>
  <c r="B120" i="15"/>
  <c r="D120" i="15" s="1"/>
  <c r="C119" i="15"/>
  <c r="B119" i="15"/>
  <c r="D119" i="15" s="1"/>
  <c r="D118" i="15"/>
  <c r="B118" i="15"/>
  <c r="C118" i="15" s="1"/>
  <c r="B117" i="15"/>
  <c r="B116" i="15"/>
  <c r="D115" i="15"/>
  <c r="C115" i="15"/>
  <c r="B115" i="15"/>
  <c r="B114" i="15"/>
  <c r="B113" i="15"/>
  <c r="C112" i="15"/>
  <c r="B112" i="15"/>
  <c r="C111" i="15"/>
  <c r="B111" i="15"/>
  <c r="D111" i="15" s="1"/>
  <c r="B110" i="15"/>
  <c r="C110" i="15" s="1"/>
  <c r="B109" i="15"/>
  <c r="D108" i="15"/>
  <c r="C108" i="15"/>
  <c r="B108" i="15"/>
  <c r="C109" i="15" s="1"/>
  <c r="C107" i="15"/>
  <c r="B107" i="15"/>
  <c r="B106" i="15"/>
  <c r="B105" i="15"/>
  <c r="D117" i="15" s="1"/>
  <c r="C104" i="15"/>
  <c r="B104" i="15"/>
  <c r="B103" i="15"/>
  <c r="B102" i="15"/>
  <c r="C103" i="15" s="1"/>
  <c r="C101" i="15"/>
  <c r="B101" i="15"/>
  <c r="B100" i="15"/>
  <c r="D99" i="15"/>
  <c r="C99" i="15"/>
  <c r="B99" i="15"/>
  <c r="D98" i="15"/>
  <c r="B98" i="15"/>
  <c r="D97" i="15"/>
  <c r="B97" i="15"/>
  <c r="C96" i="15"/>
  <c r="B96" i="15"/>
  <c r="C95" i="15"/>
  <c r="B95" i="15"/>
  <c r="D95" i="15" s="1"/>
  <c r="D94" i="15"/>
  <c r="B94" i="15"/>
  <c r="C94" i="15" s="1"/>
  <c r="B93" i="15"/>
  <c r="B92" i="15"/>
  <c r="B91" i="15"/>
  <c r="D91" i="15" s="1"/>
  <c r="D90" i="15"/>
  <c r="B90" i="15"/>
  <c r="B89" i="15"/>
  <c r="B88" i="15"/>
  <c r="D88" i="15" s="1"/>
  <c r="C87" i="15"/>
  <c r="B87" i="15"/>
  <c r="D86" i="15"/>
  <c r="B86" i="15"/>
  <c r="C86" i="15" s="1"/>
  <c r="B85" i="15"/>
  <c r="B84" i="15"/>
  <c r="C84" i="15" s="1"/>
  <c r="C83" i="15"/>
  <c r="B83" i="15"/>
  <c r="D82" i="15"/>
  <c r="B82" i="15"/>
  <c r="B81" i="15"/>
  <c r="C81" i="15" s="1"/>
  <c r="B80" i="15"/>
  <c r="D79" i="15"/>
  <c r="C79" i="15"/>
  <c r="B79" i="15"/>
  <c r="C80" i="15" s="1"/>
  <c r="B78" i="15"/>
  <c r="B77" i="15"/>
  <c r="C77" i="15" s="1"/>
  <c r="D76" i="15"/>
  <c r="C76" i="15"/>
  <c r="B76" i="15"/>
  <c r="D75" i="15"/>
  <c r="B75" i="15"/>
  <c r="B74" i="15"/>
  <c r="D74" i="15" s="1"/>
  <c r="B73" i="15"/>
  <c r="C72" i="15"/>
  <c r="B72" i="15"/>
  <c r="C71" i="15"/>
  <c r="B71" i="15"/>
  <c r="D83" i="15" s="1"/>
  <c r="B70" i="15"/>
  <c r="D69" i="15"/>
  <c r="B69" i="15"/>
  <c r="C69" i="15" s="1"/>
  <c r="D68" i="15"/>
  <c r="C68" i="15"/>
  <c r="B68" i="15"/>
  <c r="D80" i="15" s="1"/>
  <c r="B67" i="15"/>
  <c r="B66" i="15"/>
  <c r="B65" i="15"/>
  <c r="C65" i="15" s="1"/>
  <c r="C64" i="15"/>
  <c r="B64" i="15"/>
  <c r="C63" i="15"/>
  <c r="B63" i="15"/>
  <c r="D63" i="15" s="1"/>
  <c r="C62" i="15"/>
  <c r="B62" i="15"/>
  <c r="D61" i="15"/>
  <c r="B61" i="15"/>
  <c r="C61" i="15" s="1"/>
  <c r="D60" i="15"/>
  <c r="B60" i="15"/>
  <c r="D72" i="15" s="1"/>
  <c r="B59" i="15"/>
  <c r="D71" i="15" s="1"/>
  <c r="B58" i="15"/>
  <c r="D57" i="15"/>
  <c r="B57" i="15"/>
  <c r="C57" i="15" s="1"/>
  <c r="B56" i="15"/>
  <c r="C55" i="15"/>
  <c r="B55" i="15"/>
  <c r="C56" i="15" s="1"/>
  <c r="C54" i="15"/>
  <c r="B54" i="15"/>
  <c r="B53" i="15"/>
  <c r="C53" i="15" s="1"/>
  <c r="D52" i="15"/>
  <c r="B52" i="15"/>
  <c r="D64" i="15" s="1"/>
  <c r="B51" i="15"/>
  <c r="C51" i="15" s="1"/>
  <c r="C50" i="15"/>
  <c r="B50" i="15"/>
  <c r="B49" i="15"/>
  <c r="C49" i="15" s="1"/>
  <c r="B48" i="15"/>
  <c r="D47" i="15"/>
  <c r="C47" i="15"/>
  <c r="B47" i="15"/>
  <c r="C48" i="15" s="1"/>
  <c r="B46" i="15"/>
  <c r="B45" i="15"/>
  <c r="C45" i="15" s="1"/>
  <c r="D44" i="15"/>
  <c r="C44" i="15"/>
  <c r="B44" i="15"/>
  <c r="D56" i="15" s="1"/>
  <c r="D43" i="15"/>
  <c r="B43" i="15"/>
  <c r="B42" i="15"/>
  <c r="B41" i="15"/>
  <c r="C41" i="15" s="1"/>
  <c r="C40" i="15"/>
  <c r="B40" i="15"/>
  <c r="C39" i="15"/>
  <c r="B39" i="15"/>
  <c r="B38" i="15"/>
  <c r="D37" i="15"/>
  <c r="B37" i="15"/>
  <c r="C37" i="15" s="1"/>
  <c r="D36" i="15"/>
  <c r="C36" i="15"/>
  <c r="B36" i="15"/>
  <c r="D48" i="15" s="1"/>
  <c r="B35" i="15"/>
  <c r="B34" i="15"/>
  <c r="B33" i="15"/>
  <c r="C33" i="15" s="1"/>
  <c r="C32" i="15"/>
  <c r="B32" i="15"/>
  <c r="C31" i="15"/>
  <c r="B31" i="15"/>
  <c r="D31" i="15" s="1"/>
  <c r="D30" i="15"/>
  <c r="C30" i="15"/>
  <c r="B30" i="15"/>
  <c r="B29" i="15"/>
  <c r="B28" i="15"/>
  <c r="D40" i="15" s="1"/>
  <c r="D27" i="15"/>
  <c r="B27" i="15"/>
  <c r="C27" i="15" s="1"/>
  <c r="C26" i="15"/>
  <c r="B26" i="15"/>
  <c r="B25" i="15"/>
  <c r="C25" i="15" s="1"/>
  <c r="B24" i="15"/>
  <c r="C23" i="15"/>
  <c r="B23" i="15"/>
  <c r="C24" i="15" s="1"/>
  <c r="B22" i="15"/>
  <c r="B21" i="15"/>
  <c r="C21" i="15" s="1"/>
  <c r="D20" i="15"/>
  <c r="C20" i="15"/>
  <c r="B20" i="15"/>
  <c r="D32" i="15" s="1"/>
  <c r="D19" i="15"/>
  <c r="B19" i="15"/>
  <c r="B18" i="15"/>
  <c r="B17" i="15"/>
  <c r="C17" i="15" s="1"/>
  <c r="B16" i="15"/>
  <c r="C16" i="15" s="1"/>
  <c r="B15" i="15"/>
  <c r="C15" i="15" s="1"/>
  <c r="B14" i="15"/>
  <c r="B13" i="15"/>
  <c r="C13" i="15" s="1"/>
  <c r="B12" i="15"/>
  <c r="D24" i="15" s="1"/>
  <c r="B11" i="15"/>
  <c r="B10" i="15"/>
  <c r="C10" i="15" s="1"/>
  <c r="C9" i="15"/>
  <c r="B9" i="15"/>
  <c r="B8" i="15"/>
  <c r="C8" i="15" s="1"/>
  <c r="B7" i="15"/>
  <c r="B372" i="14"/>
  <c r="C372" i="14" s="1"/>
  <c r="D371" i="14"/>
  <c r="C371" i="14"/>
  <c r="B371" i="14"/>
  <c r="B370" i="14"/>
  <c r="B369" i="14"/>
  <c r="D368" i="14"/>
  <c r="C368" i="14"/>
  <c r="B368" i="14"/>
  <c r="B367" i="14"/>
  <c r="C366" i="14"/>
  <c r="B366" i="14"/>
  <c r="C367" i="14" s="1"/>
  <c r="D365" i="14"/>
  <c r="C365" i="14"/>
  <c r="B365" i="14"/>
  <c r="B364" i="14"/>
  <c r="C363" i="14"/>
  <c r="B363" i="14"/>
  <c r="D363" i="14" s="1"/>
  <c r="D362" i="14"/>
  <c r="C362" i="14"/>
  <c r="B362" i="14"/>
  <c r="B361" i="14"/>
  <c r="B360" i="14"/>
  <c r="D360" i="14" s="1"/>
  <c r="D359" i="14"/>
  <c r="C359" i="14"/>
  <c r="B359" i="14"/>
  <c r="B358" i="14"/>
  <c r="D358" i="14" s="1"/>
  <c r="C357" i="14"/>
  <c r="B357" i="14"/>
  <c r="C358" i="14" s="1"/>
  <c r="D356" i="14"/>
  <c r="B356" i="14"/>
  <c r="C356" i="14" s="1"/>
  <c r="B355" i="14"/>
  <c r="D355" i="14" s="1"/>
  <c r="C354" i="14"/>
  <c r="B354" i="14"/>
  <c r="C355" i="14" s="1"/>
  <c r="C353" i="14"/>
  <c r="B353" i="14"/>
  <c r="C352" i="14"/>
  <c r="B352" i="14"/>
  <c r="D352" i="14" s="1"/>
  <c r="D351" i="14"/>
  <c r="C351" i="14"/>
  <c r="B351" i="14"/>
  <c r="D350" i="14"/>
  <c r="B350" i="14"/>
  <c r="B349" i="14"/>
  <c r="D349" i="14" s="1"/>
  <c r="B348" i="14"/>
  <c r="C348" i="14" s="1"/>
  <c r="D347" i="14"/>
  <c r="B347" i="14"/>
  <c r="B346" i="14"/>
  <c r="D346" i="14" s="1"/>
  <c r="B345" i="14"/>
  <c r="D345" i="14" s="1"/>
  <c r="D344" i="14"/>
  <c r="C344" i="14"/>
  <c r="B344" i="14"/>
  <c r="B343" i="14"/>
  <c r="D342" i="14"/>
  <c r="C342" i="14"/>
  <c r="B342" i="14"/>
  <c r="C343" i="14" s="1"/>
  <c r="B341" i="14"/>
  <c r="C341" i="14" s="1"/>
  <c r="B340" i="14"/>
  <c r="C340" i="14" s="1"/>
  <c r="D339" i="14"/>
  <c r="C339" i="14"/>
  <c r="B339" i="14"/>
  <c r="B338" i="14"/>
  <c r="C338" i="14" s="1"/>
  <c r="B337" i="14"/>
  <c r="D336" i="14"/>
  <c r="C336" i="14"/>
  <c r="B336" i="14"/>
  <c r="D335" i="14"/>
  <c r="B335" i="14"/>
  <c r="C334" i="14"/>
  <c r="B334" i="14"/>
  <c r="C335" i="14" s="1"/>
  <c r="D333" i="14"/>
  <c r="C333" i="14"/>
  <c r="B333" i="14"/>
  <c r="B332" i="14"/>
  <c r="C331" i="14"/>
  <c r="B331" i="14"/>
  <c r="D343" i="14" s="1"/>
  <c r="D330" i="14"/>
  <c r="C330" i="14"/>
  <c r="B330" i="14"/>
  <c r="B329" i="14"/>
  <c r="C328" i="14"/>
  <c r="B328" i="14"/>
  <c r="D327" i="14"/>
  <c r="C327" i="14"/>
  <c r="B327" i="14"/>
  <c r="B326" i="14"/>
  <c r="D326" i="14" s="1"/>
  <c r="B325" i="14"/>
  <c r="C326" i="14" s="1"/>
  <c r="D324" i="14"/>
  <c r="B324" i="14"/>
  <c r="C324" i="14" s="1"/>
  <c r="B323" i="14"/>
  <c r="D323" i="14" s="1"/>
  <c r="B322" i="14"/>
  <c r="C323" i="14" s="1"/>
  <c r="C321" i="14"/>
  <c r="B321" i="14"/>
  <c r="C320" i="14"/>
  <c r="B320" i="14"/>
  <c r="D319" i="14"/>
  <c r="C319" i="14"/>
  <c r="B319" i="14"/>
  <c r="D318" i="14"/>
  <c r="B318" i="14"/>
  <c r="B317" i="14"/>
  <c r="D317" i="14" s="1"/>
  <c r="B316" i="14"/>
  <c r="D315" i="14"/>
  <c r="B315" i="14"/>
  <c r="B314" i="14"/>
  <c r="B313" i="14"/>
  <c r="D312" i="14"/>
  <c r="C312" i="14"/>
  <c r="B312" i="14"/>
  <c r="B311" i="14"/>
  <c r="D310" i="14"/>
  <c r="C310" i="14"/>
  <c r="B310" i="14"/>
  <c r="C311" i="14" s="1"/>
  <c r="B309" i="14"/>
  <c r="B308" i="14"/>
  <c r="D307" i="14"/>
  <c r="C307" i="14"/>
  <c r="B307" i="14"/>
  <c r="B306" i="14"/>
  <c r="C306" i="14" s="1"/>
  <c r="B305" i="14"/>
  <c r="D304" i="14"/>
  <c r="C304" i="14"/>
  <c r="B304" i="14"/>
  <c r="B303" i="14"/>
  <c r="B302" i="14"/>
  <c r="C301" i="14"/>
  <c r="B301" i="14"/>
  <c r="B300" i="14"/>
  <c r="D300" i="14" s="1"/>
  <c r="B299" i="14"/>
  <c r="B298" i="14"/>
  <c r="B297" i="14"/>
  <c r="D296" i="14"/>
  <c r="C296" i="14"/>
  <c r="B296" i="14"/>
  <c r="B295" i="14"/>
  <c r="B294" i="14"/>
  <c r="D294" i="14" s="1"/>
  <c r="C293" i="14"/>
  <c r="B293" i="14"/>
  <c r="B292" i="14"/>
  <c r="B291" i="14"/>
  <c r="B290" i="14"/>
  <c r="B289" i="14"/>
  <c r="D301" i="14" s="1"/>
  <c r="D288" i="14"/>
  <c r="C288" i="14"/>
  <c r="B288" i="14"/>
  <c r="B287" i="14"/>
  <c r="B286" i="14"/>
  <c r="C285" i="14"/>
  <c r="B285" i="14"/>
  <c r="B284" i="14"/>
  <c r="B283" i="14"/>
  <c r="C284" i="14" s="1"/>
  <c r="B282" i="14"/>
  <c r="B281" i="14"/>
  <c r="D280" i="14"/>
  <c r="B280" i="14"/>
  <c r="C280" i="14" s="1"/>
  <c r="B279" i="14"/>
  <c r="B278" i="14"/>
  <c r="C277" i="14"/>
  <c r="B277" i="14"/>
  <c r="B276" i="14"/>
  <c r="B275" i="14"/>
  <c r="C276" i="14" s="1"/>
  <c r="B274" i="14"/>
  <c r="B273" i="14"/>
  <c r="D272" i="14"/>
  <c r="B272" i="14"/>
  <c r="C272" i="14" s="1"/>
  <c r="B271" i="14"/>
  <c r="B270" i="14"/>
  <c r="D270" i="14" s="1"/>
  <c r="C269" i="14"/>
  <c r="B269" i="14"/>
  <c r="B268" i="14"/>
  <c r="B267" i="14"/>
  <c r="C268" i="14" s="1"/>
  <c r="B266" i="14"/>
  <c r="B265" i="14"/>
  <c r="D264" i="14"/>
  <c r="B264" i="14"/>
  <c r="C264" i="14" s="1"/>
  <c r="B263" i="14"/>
  <c r="B262" i="14"/>
  <c r="D262" i="14" s="1"/>
  <c r="C261" i="14"/>
  <c r="B261" i="14"/>
  <c r="B260" i="14"/>
  <c r="B259" i="14"/>
  <c r="C260" i="14" s="1"/>
  <c r="B258" i="14"/>
  <c r="B257" i="14"/>
  <c r="D256" i="14"/>
  <c r="B256" i="14"/>
  <c r="C256" i="14" s="1"/>
  <c r="B255" i="14"/>
  <c r="B254" i="14"/>
  <c r="D254" i="14" s="1"/>
  <c r="C253" i="14"/>
  <c r="B253" i="14"/>
  <c r="B252" i="14"/>
  <c r="B251" i="14"/>
  <c r="C252" i="14" s="1"/>
  <c r="B250" i="14"/>
  <c r="B249" i="14"/>
  <c r="D248" i="14"/>
  <c r="B248" i="14"/>
  <c r="C248" i="14" s="1"/>
  <c r="B247" i="14"/>
  <c r="B246" i="14"/>
  <c r="D246" i="14" s="1"/>
  <c r="C245" i="14"/>
  <c r="B245" i="14"/>
  <c r="B244" i="14"/>
  <c r="B243" i="14"/>
  <c r="C244" i="14" s="1"/>
  <c r="B242" i="14"/>
  <c r="B241" i="14"/>
  <c r="D240" i="14"/>
  <c r="B240" i="14"/>
  <c r="C240" i="14" s="1"/>
  <c r="B239" i="14"/>
  <c r="B238" i="14"/>
  <c r="D238" i="14" s="1"/>
  <c r="C237" i="14"/>
  <c r="B237" i="14"/>
  <c r="B236" i="14"/>
  <c r="B235" i="14"/>
  <c r="C236" i="14" s="1"/>
  <c r="B234" i="14"/>
  <c r="B233" i="14"/>
  <c r="D232" i="14"/>
  <c r="B232" i="14"/>
  <c r="C232" i="14" s="1"/>
  <c r="B231" i="14"/>
  <c r="B230" i="14"/>
  <c r="D230" i="14" s="1"/>
  <c r="C229" i="14"/>
  <c r="B229" i="14"/>
  <c r="B228" i="14"/>
  <c r="B227" i="14"/>
  <c r="C228" i="14" s="1"/>
  <c r="B226" i="14"/>
  <c r="B225" i="14"/>
  <c r="D224" i="14"/>
  <c r="B224" i="14"/>
  <c r="C224" i="14" s="1"/>
  <c r="B223" i="14"/>
  <c r="B222" i="14"/>
  <c r="D222" i="14" s="1"/>
  <c r="C221" i="14"/>
  <c r="B221" i="14"/>
  <c r="B220" i="14"/>
  <c r="B219" i="14"/>
  <c r="C220" i="14" s="1"/>
  <c r="B218" i="14"/>
  <c r="B217" i="14"/>
  <c r="D216" i="14"/>
  <c r="B216" i="14"/>
  <c r="C216" i="14" s="1"/>
  <c r="B215" i="14"/>
  <c r="B214" i="14"/>
  <c r="D214" i="14" s="1"/>
  <c r="C213" i="14"/>
  <c r="B213" i="14"/>
  <c r="B212" i="14"/>
  <c r="B211" i="14"/>
  <c r="C212" i="14" s="1"/>
  <c r="B210" i="14"/>
  <c r="B209" i="14"/>
  <c r="D208" i="14"/>
  <c r="B208" i="14"/>
  <c r="C208" i="14" s="1"/>
  <c r="B207" i="14"/>
  <c r="B206" i="14"/>
  <c r="D206" i="14" s="1"/>
  <c r="C205" i="14"/>
  <c r="B205" i="14"/>
  <c r="B204" i="14"/>
  <c r="B203" i="14"/>
  <c r="C204" i="14" s="1"/>
  <c r="B202" i="14"/>
  <c r="B201" i="14"/>
  <c r="B200" i="14"/>
  <c r="C200" i="14" s="1"/>
  <c r="B199" i="14"/>
  <c r="B198" i="14"/>
  <c r="D198" i="14" s="1"/>
  <c r="C197" i="14"/>
  <c r="B197" i="14"/>
  <c r="B196" i="14"/>
  <c r="B195" i="14"/>
  <c r="C196" i="14" s="1"/>
  <c r="B194" i="14"/>
  <c r="B193" i="14"/>
  <c r="B192" i="14"/>
  <c r="C192" i="14" s="1"/>
  <c r="B191" i="14"/>
  <c r="B190" i="14"/>
  <c r="D190" i="14" s="1"/>
  <c r="C189" i="14"/>
  <c r="B189" i="14"/>
  <c r="B188" i="14"/>
  <c r="B187" i="14"/>
  <c r="C188" i="14" s="1"/>
  <c r="B186" i="14"/>
  <c r="B185" i="14"/>
  <c r="B184" i="14"/>
  <c r="C184" i="14" s="1"/>
  <c r="B183" i="14"/>
  <c r="B182" i="14"/>
  <c r="D182" i="14" s="1"/>
  <c r="C181" i="14"/>
  <c r="B181" i="14"/>
  <c r="B180" i="14"/>
  <c r="B179" i="14"/>
  <c r="C180" i="14" s="1"/>
  <c r="B178" i="14"/>
  <c r="B177" i="14"/>
  <c r="B176" i="14"/>
  <c r="C176" i="14" s="1"/>
  <c r="B175" i="14"/>
  <c r="B174" i="14"/>
  <c r="D174" i="14" s="1"/>
  <c r="C173" i="14"/>
  <c r="B173" i="14"/>
  <c r="B172" i="14"/>
  <c r="B171" i="14"/>
  <c r="C172" i="14" s="1"/>
  <c r="B170" i="14"/>
  <c r="B169" i="14"/>
  <c r="B168" i="14"/>
  <c r="C168" i="14" s="1"/>
  <c r="B167" i="14"/>
  <c r="B166" i="14"/>
  <c r="D166" i="14" s="1"/>
  <c r="C165" i="14"/>
  <c r="B165" i="14"/>
  <c r="B164" i="14"/>
  <c r="B163" i="14"/>
  <c r="C164" i="14" s="1"/>
  <c r="B162" i="14"/>
  <c r="B161" i="14"/>
  <c r="B160" i="14"/>
  <c r="C160" i="14" s="1"/>
  <c r="B159" i="14"/>
  <c r="C158" i="14"/>
  <c r="B158" i="14"/>
  <c r="D158" i="14" s="1"/>
  <c r="C157" i="14"/>
  <c r="B157" i="14"/>
  <c r="B156" i="14"/>
  <c r="B155" i="14"/>
  <c r="B154" i="14"/>
  <c r="B153" i="14"/>
  <c r="B152" i="14"/>
  <c r="C152" i="14" s="1"/>
  <c r="B151" i="14"/>
  <c r="C150" i="14"/>
  <c r="B150" i="14"/>
  <c r="D150" i="14" s="1"/>
  <c r="C149" i="14"/>
  <c r="B149" i="14"/>
  <c r="B148" i="14"/>
  <c r="B147" i="14"/>
  <c r="B146" i="14"/>
  <c r="B145" i="14"/>
  <c r="B144" i="14"/>
  <c r="C144" i="14" s="1"/>
  <c r="B143" i="14"/>
  <c r="C142" i="14"/>
  <c r="B142" i="14"/>
  <c r="D142" i="14" s="1"/>
  <c r="C141" i="14"/>
  <c r="B141" i="14"/>
  <c r="B140" i="14"/>
  <c r="B139" i="14"/>
  <c r="B138" i="14"/>
  <c r="B137" i="14"/>
  <c r="B136" i="14"/>
  <c r="C136" i="14" s="1"/>
  <c r="B135" i="14"/>
  <c r="C134" i="14"/>
  <c r="B134" i="14"/>
  <c r="D134" i="14" s="1"/>
  <c r="C133" i="14"/>
  <c r="B133" i="14"/>
  <c r="B132" i="14"/>
  <c r="B131" i="14"/>
  <c r="B130" i="14"/>
  <c r="B129" i="14"/>
  <c r="B128" i="14"/>
  <c r="C128" i="14" s="1"/>
  <c r="B127" i="14"/>
  <c r="C126" i="14"/>
  <c r="B126" i="14"/>
  <c r="C125" i="14"/>
  <c r="B125" i="14"/>
  <c r="B124" i="14"/>
  <c r="B123" i="14"/>
  <c r="D122" i="14"/>
  <c r="B122" i="14"/>
  <c r="B121" i="14"/>
  <c r="B120" i="14"/>
  <c r="C120" i="14" s="1"/>
  <c r="B119" i="14"/>
  <c r="B118" i="14"/>
  <c r="D118" i="14" s="1"/>
  <c r="C117" i="14"/>
  <c r="B117" i="14"/>
  <c r="B116" i="14"/>
  <c r="B115" i="14"/>
  <c r="D114" i="14"/>
  <c r="B114" i="14"/>
  <c r="B113" i="14"/>
  <c r="B112" i="14"/>
  <c r="C112" i="14" s="1"/>
  <c r="B111" i="14"/>
  <c r="C110" i="14"/>
  <c r="B110" i="14"/>
  <c r="D110" i="14" s="1"/>
  <c r="C109" i="14"/>
  <c r="B109" i="14"/>
  <c r="B108" i="14"/>
  <c r="B107" i="14"/>
  <c r="B106" i="14"/>
  <c r="B105" i="14"/>
  <c r="B104" i="14"/>
  <c r="C104" i="14" s="1"/>
  <c r="B103" i="14"/>
  <c r="C102" i="14"/>
  <c r="B102" i="14"/>
  <c r="D102" i="14" s="1"/>
  <c r="C101" i="14"/>
  <c r="B101" i="14"/>
  <c r="B100" i="14"/>
  <c r="B99" i="14"/>
  <c r="B98" i="14"/>
  <c r="B97" i="14"/>
  <c r="B96" i="14"/>
  <c r="C96" i="14" s="1"/>
  <c r="B95" i="14"/>
  <c r="B94" i="14"/>
  <c r="D94" i="14" s="1"/>
  <c r="C93" i="14"/>
  <c r="B93" i="14"/>
  <c r="B92" i="14"/>
  <c r="B91" i="14"/>
  <c r="B90" i="14"/>
  <c r="B89" i="14"/>
  <c r="B88" i="14"/>
  <c r="C88" i="14" s="1"/>
  <c r="B87" i="14"/>
  <c r="B86" i="14"/>
  <c r="D86" i="14" s="1"/>
  <c r="C85" i="14"/>
  <c r="B85" i="14"/>
  <c r="B84" i="14"/>
  <c r="B83" i="14"/>
  <c r="B82" i="14"/>
  <c r="B81" i="14"/>
  <c r="B80" i="14"/>
  <c r="C80" i="14" s="1"/>
  <c r="B79" i="14"/>
  <c r="B78" i="14"/>
  <c r="D78" i="14" s="1"/>
  <c r="C77" i="14"/>
  <c r="B77" i="14"/>
  <c r="B76" i="14"/>
  <c r="B75" i="14"/>
  <c r="D74" i="14"/>
  <c r="B74" i="14"/>
  <c r="B73" i="14"/>
  <c r="B72" i="14"/>
  <c r="C72" i="14" s="1"/>
  <c r="B71" i="14"/>
  <c r="B70" i="14"/>
  <c r="D70" i="14" s="1"/>
  <c r="C69" i="14"/>
  <c r="B69" i="14"/>
  <c r="B68" i="14"/>
  <c r="B67" i="14"/>
  <c r="B66" i="14"/>
  <c r="B65" i="14"/>
  <c r="B64" i="14"/>
  <c r="C64" i="14" s="1"/>
  <c r="B63" i="14"/>
  <c r="C62" i="14"/>
  <c r="B62" i="14"/>
  <c r="D62" i="14" s="1"/>
  <c r="C61" i="14"/>
  <c r="B61" i="14"/>
  <c r="B60" i="14"/>
  <c r="B59" i="14"/>
  <c r="D58" i="14"/>
  <c r="B58" i="14"/>
  <c r="B57" i="14"/>
  <c r="B56" i="14"/>
  <c r="C56" i="14" s="1"/>
  <c r="B55" i="14"/>
  <c r="B54" i="14"/>
  <c r="D54" i="14" s="1"/>
  <c r="C53" i="14"/>
  <c r="B53" i="14"/>
  <c r="B52" i="14"/>
  <c r="B51" i="14"/>
  <c r="D50" i="14"/>
  <c r="B50" i="14"/>
  <c r="B49" i="14"/>
  <c r="B48" i="14"/>
  <c r="C48" i="14" s="1"/>
  <c r="B47" i="14"/>
  <c r="C46" i="14"/>
  <c r="B46" i="14"/>
  <c r="D46" i="14" s="1"/>
  <c r="C45" i="14"/>
  <c r="B45" i="14"/>
  <c r="B44" i="14"/>
  <c r="B43" i="14"/>
  <c r="B42" i="14"/>
  <c r="B41" i="14"/>
  <c r="B40" i="14"/>
  <c r="C40" i="14" s="1"/>
  <c r="B39" i="14"/>
  <c r="C38" i="14"/>
  <c r="B38" i="14"/>
  <c r="D38" i="14" s="1"/>
  <c r="C37" i="14"/>
  <c r="B37" i="14"/>
  <c r="B36" i="14"/>
  <c r="B35" i="14"/>
  <c r="D34" i="14"/>
  <c r="B34" i="14"/>
  <c r="B33" i="14"/>
  <c r="B32" i="14"/>
  <c r="C32" i="14" s="1"/>
  <c r="B31" i="14"/>
  <c r="B30" i="14"/>
  <c r="D30" i="14" s="1"/>
  <c r="D29" i="14"/>
  <c r="C29" i="14"/>
  <c r="B29" i="14"/>
  <c r="B28" i="14"/>
  <c r="B27" i="14"/>
  <c r="D26" i="14"/>
  <c r="B26" i="14"/>
  <c r="B25" i="14"/>
  <c r="B24" i="14"/>
  <c r="C24" i="14" s="1"/>
  <c r="B23" i="14"/>
  <c r="C22" i="14"/>
  <c r="B22" i="14"/>
  <c r="D22" i="14" s="1"/>
  <c r="D21" i="14"/>
  <c r="C21" i="14"/>
  <c r="B21" i="14"/>
  <c r="B20" i="14"/>
  <c r="B19" i="14"/>
  <c r="C18" i="14"/>
  <c r="B18" i="14"/>
  <c r="B17" i="14"/>
  <c r="C17" i="14" s="1"/>
  <c r="B16" i="14"/>
  <c r="B15" i="14"/>
  <c r="C15" i="14" s="1"/>
  <c r="C14" i="14"/>
  <c r="B14" i="14"/>
  <c r="B13" i="14"/>
  <c r="C13" i="14" s="1"/>
  <c r="B12" i="14"/>
  <c r="C12" i="14" s="1"/>
  <c r="C11" i="14"/>
  <c r="B11" i="14"/>
  <c r="C10" i="14"/>
  <c r="B10" i="14"/>
  <c r="B9" i="14"/>
  <c r="B8" i="14"/>
  <c r="C8" i="14" s="1"/>
  <c r="B7" i="14"/>
  <c r="C372" i="13"/>
  <c r="B372" i="13"/>
  <c r="B371" i="13"/>
  <c r="B370" i="13"/>
  <c r="B369" i="13"/>
  <c r="B368" i="13"/>
  <c r="B367" i="13"/>
  <c r="C367" i="13" s="1"/>
  <c r="B366" i="13"/>
  <c r="C365" i="13"/>
  <c r="B365" i="13"/>
  <c r="D365" i="13" s="1"/>
  <c r="C364" i="13"/>
  <c r="B364" i="13"/>
  <c r="B363" i="13"/>
  <c r="B362" i="13"/>
  <c r="D361" i="13"/>
  <c r="B361" i="13"/>
  <c r="B360" i="13"/>
  <c r="B359" i="13"/>
  <c r="C359" i="13" s="1"/>
  <c r="B358" i="13"/>
  <c r="B357" i="13"/>
  <c r="D357" i="13" s="1"/>
  <c r="C356" i="13"/>
  <c r="B356" i="13"/>
  <c r="B355" i="13"/>
  <c r="B354" i="13"/>
  <c r="D353" i="13"/>
  <c r="B353" i="13"/>
  <c r="B352" i="13"/>
  <c r="B351" i="13"/>
  <c r="C351" i="13" s="1"/>
  <c r="B350" i="13"/>
  <c r="C349" i="13"/>
  <c r="B349" i="13"/>
  <c r="D349" i="13" s="1"/>
  <c r="C348" i="13"/>
  <c r="B348" i="13"/>
  <c r="B347" i="13"/>
  <c r="B346" i="13"/>
  <c r="B345" i="13"/>
  <c r="B344" i="13"/>
  <c r="B343" i="13"/>
  <c r="C343" i="13" s="1"/>
  <c r="B342" i="13"/>
  <c r="C341" i="13"/>
  <c r="B341" i="13"/>
  <c r="D341" i="13" s="1"/>
  <c r="C340" i="13"/>
  <c r="B340" i="13"/>
  <c r="B339" i="13"/>
  <c r="B338" i="13"/>
  <c r="B337" i="13"/>
  <c r="B336" i="13"/>
  <c r="B335" i="13"/>
  <c r="C335" i="13" s="1"/>
  <c r="B334" i="13"/>
  <c r="B333" i="13"/>
  <c r="D333" i="13" s="1"/>
  <c r="C332" i="13"/>
  <c r="B332" i="13"/>
  <c r="B331" i="13"/>
  <c r="B330" i="13"/>
  <c r="B329" i="13"/>
  <c r="B328" i="13"/>
  <c r="B327" i="13"/>
  <c r="C327" i="13" s="1"/>
  <c r="B326" i="13"/>
  <c r="B325" i="13"/>
  <c r="D325" i="13" s="1"/>
  <c r="C324" i="13"/>
  <c r="B324" i="13"/>
  <c r="B323" i="13"/>
  <c r="B322" i="13"/>
  <c r="D321" i="13"/>
  <c r="B321" i="13"/>
  <c r="B320" i="13"/>
  <c r="B319" i="13"/>
  <c r="C319" i="13" s="1"/>
  <c r="B318" i="13"/>
  <c r="B317" i="13"/>
  <c r="D317" i="13" s="1"/>
  <c r="C316" i="13"/>
  <c r="B316" i="13"/>
  <c r="B315" i="13"/>
  <c r="B314" i="13"/>
  <c r="D313" i="13"/>
  <c r="B313" i="13"/>
  <c r="B312" i="13"/>
  <c r="B311" i="13"/>
  <c r="C311" i="13" s="1"/>
  <c r="B310" i="13"/>
  <c r="C309" i="13"/>
  <c r="B309" i="13"/>
  <c r="D309" i="13" s="1"/>
  <c r="C308" i="13"/>
  <c r="B308" i="13"/>
  <c r="B307" i="13"/>
  <c r="B306" i="13"/>
  <c r="B305" i="13"/>
  <c r="B304" i="13"/>
  <c r="B303" i="13"/>
  <c r="C303" i="13" s="1"/>
  <c r="B302" i="13"/>
  <c r="C301" i="13"/>
  <c r="B301" i="13"/>
  <c r="D301" i="13" s="1"/>
  <c r="C300" i="13"/>
  <c r="B300" i="13"/>
  <c r="B299" i="13"/>
  <c r="B298" i="13"/>
  <c r="D297" i="13"/>
  <c r="B297" i="13"/>
  <c r="B296" i="13"/>
  <c r="B295" i="13"/>
  <c r="C295" i="13" s="1"/>
  <c r="B294" i="13"/>
  <c r="B293" i="13"/>
  <c r="D293" i="13" s="1"/>
  <c r="C292" i="13"/>
  <c r="B292" i="13"/>
  <c r="B291" i="13"/>
  <c r="B290" i="13"/>
  <c r="D289" i="13"/>
  <c r="B289" i="13"/>
  <c r="B288" i="13"/>
  <c r="B287" i="13"/>
  <c r="C287" i="13" s="1"/>
  <c r="B286" i="13"/>
  <c r="C285" i="13"/>
  <c r="B285" i="13"/>
  <c r="D285" i="13" s="1"/>
  <c r="C284" i="13"/>
  <c r="B284" i="13"/>
  <c r="B283" i="13"/>
  <c r="B282" i="13"/>
  <c r="B281" i="13"/>
  <c r="B280" i="13"/>
  <c r="B279" i="13"/>
  <c r="C279" i="13" s="1"/>
  <c r="B278" i="13"/>
  <c r="C277" i="13"/>
  <c r="B277" i="13"/>
  <c r="D277" i="13" s="1"/>
  <c r="C276" i="13"/>
  <c r="B276" i="13"/>
  <c r="B275" i="13"/>
  <c r="B274" i="13"/>
  <c r="B273" i="13"/>
  <c r="B272" i="13"/>
  <c r="B271" i="13"/>
  <c r="C271" i="13" s="1"/>
  <c r="B270" i="13"/>
  <c r="B269" i="13"/>
  <c r="D269" i="13" s="1"/>
  <c r="C268" i="13"/>
  <c r="B268" i="13"/>
  <c r="B267" i="13"/>
  <c r="B266" i="13"/>
  <c r="B265" i="13"/>
  <c r="B264" i="13"/>
  <c r="B263" i="13"/>
  <c r="C263" i="13" s="1"/>
  <c r="B262" i="13"/>
  <c r="B261" i="13"/>
  <c r="D261" i="13" s="1"/>
  <c r="C260" i="13"/>
  <c r="B260" i="13"/>
  <c r="B259" i="13"/>
  <c r="B258" i="13"/>
  <c r="D257" i="13"/>
  <c r="B257" i="13"/>
  <c r="B256" i="13"/>
  <c r="B255" i="13"/>
  <c r="C255" i="13" s="1"/>
  <c r="B254" i="13"/>
  <c r="B253" i="13"/>
  <c r="D253" i="13" s="1"/>
  <c r="C252" i="13"/>
  <c r="B252" i="13"/>
  <c r="B251" i="13"/>
  <c r="B250" i="13"/>
  <c r="D249" i="13"/>
  <c r="B249" i="13"/>
  <c r="B248" i="13"/>
  <c r="B247" i="13"/>
  <c r="C247" i="13" s="1"/>
  <c r="B246" i="13"/>
  <c r="C245" i="13"/>
  <c r="B245" i="13"/>
  <c r="D245" i="13" s="1"/>
  <c r="C244" i="13"/>
  <c r="B244" i="13"/>
  <c r="B243" i="13"/>
  <c r="B242" i="13"/>
  <c r="B241" i="13"/>
  <c r="B240" i="13"/>
  <c r="B239" i="13"/>
  <c r="C239" i="13" s="1"/>
  <c r="B238" i="13"/>
  <c r="C237" i="13"/>
  <c r="B237" i="13"/>
  <c r="D237" i="13" s="1"/>
  <c r="C236" i="13"/>
  <c r="B236" i="13"/>
  <c r="B235" i="13"/>
  <c r="B234" i="13"/>
  <c r="D233" i="13"/>
  <c r="B233" i="13"/>
  <c r="B232" i="13"/>
  <c r="B231" i="13"/>
  <c r="C231" i="13" s="1"/>
  <c r="B230" i="13"/>
  <c r="B229" i="13"/>
  <c r="D229" i="13" s="1"/>
  <c r="C228" i="13"/>
  <c r="B228" i="13"/>
  <c r="B227" i="13"/>
  <c r="B226" i="13"/>
  <c r="D225" i="13"/>
  <c r="B225" i="13"/>
  <c r="B224" i="13"/>
  <c r="B223" i="13"/>
  <c r="C223" i="13" s="1"/>
  <c r="B222" i="13"/>
  <c r="C221" i="13"/>
  <c r="B221" i="13"/>
  <c r="D221" i="13" s="1"/>
  <c r="C220" i="13"/>
  <c r="B220" i="13"/>
  <c r="B219" i="13"/>
  <c r="D219" i="13" s="1"/>
  <c r="B218" i="13"/>
  <c r="C217" i="13"/>
  <c r="B217" i="13"/>
  <c r="B216" i="13"/>
  <c r="D228" i="13" s="1"/>
  <c r="C215" i="13"/>
  <c r="B215" i="13"/>
  <c r="D215" i="13" s="1"/>
  <c r="B214" i="13"/>
  <c r="B213" i="13"/>
  <c r="D213" i="13" s="1"/>
  <c r="B212" i="13"/>
  <c r="C211" i="13"/>
  <c r="B211" i="13"/>
  <c r="C210" i="13"/>
  <c r="B210" i="13"/>
  <c r="D209" i="13"/>
  <c r="B209" i="13"/>
  <c r="B208" i="13"/>
  <c r="C208" i="13" s="1"/>
  <c r="D207" i="13"/>
  <c r="B207" i="13"/>
  <c r="D206" i="13"/>
  <c r="B206" i="13"/>
  <c r="C207" i="13" s="1"/>
  <c r="B205" i="13"/>
  <c r="C204" i="13"/>
  <c r="B204" i="13"/>
  <c r="B203" i="13"/>
  <c r="D203" i="13" s="1"/>
  <c r="B202" i="13"/>
  <c r="C201" i="13"/>
  <c r="B201" i="13"/>
  <c r="B200" i="13"/>
  <c r="B199" i="13"/>
  <c r="D199" i="13" s="1"/>
  <c r="B198" i="13"/>
  <c r="D210" i="13" s="1"/>
  <c r="B197" i="13"/>
  <c r="D197" i="13" s="1"/>
  <c r="B196" i="13"/>
  <c r="C195" i="13"/>
  <c r="B195" i="13"/>
  <c r="D194" i="13"/>
  <c r="C194" i="13"/>
  <c r="B194" i="13"/>
  <c r="D193" i="13"/>
  <c r="B193" i="13"/>
  <c r="D192" i="13"/>
  <c r="B192" i="13"/>
  <c r="C192" i="13" s="1"/>
  <c r="D191" i="13"/>
  <c r="B191" i="13"/>
  <c r="D190" i="13"/>
  <c r="B190" i="13"/>
  <c r="C191" i="13" s="1"/>
  <c r="C189" i="13"/>
  <c r="B189" i="13"/>
  <c r="C188" i="13"/>
  <c r="B188" i="13"/>
  <c r="B187" i="13"/>
  <c r="D187" i="13" s="1"/>
  <c r="B186" i="13"/>
  <c r="C185" i="13"/>
  <c r="B185" i="13"/>
  <c r="B184" i="13"/>
  <c r="C183" i="13"/>
  <c r="B183" i="13"/>
  <c r="D183" i="13" s="1"/>
  <c r="B182" i="13"/>
  <c r="B181" i="13"/>
  <c r="D181" i="13" s="1"/>
  <c r="B180" i="13"/>
  <c r="C179" i="13"/>
  <c r="B179" i="13"/>
  <c r="D178" i="13"/>
  <c r="C178" i="13"/>
  <c r="B178" i="13"/>
  <c r="D177" i="13"/>
  <c r="B177" i="13"/>
  <c r="D176" i="13"/>
  <c r="B176" i="13"/>
  <c r="C176" i="13" s="1"/>
  <c r="D175" i="13"/>
  <c r="B175" i="13"/>
  <c r="D174" i="13"/>
  <c r="B174" i="13"/>
  <c r="C175" i="13" s="1"/>
  <c r="B173" i="13"/>
  <c r="D172" i="13"/>
  <c r="C172" i="13"/>
  <c r="B172" i="13"/>
  <c r="B171" i="13"/>
  <c r="C170" i="13"/>
  <c r="B170" i="13"/>
  <c r="D170" i="13" s="1"/>
  <c r="D169" i="13"/>
  <c r="C169" i="13"/>
  <c r="B169" i="13"/>
  <c r="B168" i="13"/>
  <c r="D167" i="13"/>
  <c r="C167" i="13"/>
  <c r="B167" i="13"/>
  <c r="C168" i="13" s="1"/>
  <c r="D166" i="13"/>
  <c r="B166" i="13"/>
  <c r="B165" i="13"/>
  <c r="D165" i="13" s="1"/>
  <c r="C164" i="13"/>
  <c r="B164" i="13"/>
  <c r="C165" i="13" s="1"/>
  <c r="C163" i="13"/>
  <c r="B163" i="13"/>
  <c r="C162" i="13"/>
  <c r="B162" i="13"/>
  <c r="C161" i="13"/>
  <c r="B161" i="13"/>
  <c r="D160" i="13"/>
  <c r="B160" i="13"/>
  <c r="B159" i="13"/>
  <c r="B158" i="13"/>
  <c r="C158" i="13" s="1"/>
  <c r="D157" i="13"/>
  <c r="B157" i="13"/>
  <c r="B156" i="13"/>
  <c r="C155" i="13"/>
  <c r="B155" i="13"/>
  <c r="D155" i="13" s="1"/>
  <c r="D154" i="13"/>
  <c r="C154" i="13"/>
  <c r="B154" i="13"/>
  <c r="B153" i="13"/>
  <c r="B152" i="13"/>
  <c r="B151" i="13"/>
  <c r="C151" i="13" s="1"/>
  <c r="B150" i="13"/>
  <c r="D149" i="13"/>
  <c r="B149" i="13"/>
  <c r="C149" i="13" s="1"/>
  <c r="B148" i="13"/>
  <c r="B147" i="13"/>
  <c r="B146" i="13"/>
  <c r="C146" i="13" s="1"/>
  <c r="B145" i="13"/>
  <c r="B144" i="13"/>
  <c r="D143" i="13"/>
  <c r="C143" i="13"/>
  <c r="B143" i="13"/>
  <c r="B142" i="13"/>
  <c r="C141" i="13"/>
  <c r="B141" i="13"/>
  <c r="D140" i="13"/>
  <c r="C140" i="13"/>
  <c r="B140" i="13"/>
  <c r="B139" i="13"/>
  <c r="B138" i="13"/>
  <c r="D138" i="13" s="1"/>
  <c r="D137" i="13"/>
  <c r="C137" i="13"/>
  <c r="B137" i="13"/>
  <c r="B136" i="13"/>
  <c r="D135" i="13"/>
  <c r="C135" i="13"/>
  <c r="B135" i="13"/>
  <c r="C136" i="13" s="1"/>
  <c r="D134" i="13"/>
  <c r="B134" i="13"/>
  <c r="B133" i="13"/>
  <c r="D133" i="13" s="1"/>
  <c r="C132" i="13"/>
  <c r="B132" i="13"/>
  <c r="C133" i="13" s="1"/>
  <c r="C131" i="13"/>
  <c r="B131" i="13"/>
  <c r="C130" i="13"/>
  <c r="B130" i="13"/>
  <c r="D130" i="13" s="1"/>
  <c r="D129" i="13"/>
  <c r="C129" i="13"/>
  <c r="B129" i="13"/>
  <c r="D128" i="13"/>
  <c r="B128" i="13"/>
  <c r="B127" i="13"/>
  <c r="B126" i="13"/>
  <c r="C126" i="13" s="1"/>
  <c r="D125" i="13"/>
  <c r="B125" i="13"/>
  <c r="B124" i="13"/>
  <c r="C123" i="13"/>
  <c r="B123" i="13"/>
  <c r="D123" i="13" s="1"/>
  <c r="D122" i="13"/>
  <c r="C122" i="13"/>
  <c r="B122" i="13"/>
  <c r="B121" i="13"/>
  <c r="B120" i="13"/>
  <c r="B119" i="13"/>
  <c r="C119" i="13" s="1"/>
  <c r="B118" i="13"/>
  <c r="B117" i="13"/>
  <c r="C117" i="13" s="1"/>
  <c r="B116" i="13"/>
  <c r="C116" i="13" s="1"/>
  <c r="B115" i="13"/>
  <c r="B114" i="13"/>
  <c r="C114" i="13" s="1"/>
  <c r="B113" i="13"/>
  <c r="B112" i="13"/>
  <c r="D111" i="13"/>
  <c r="C111" i="13"/>
  <c r="B111" i="13"/>
  <c r="B110" i="13"/>
  <c r="C109" i="13"/>
  <c r="B109" i="13"/>
  <c r="D108" i="13"/>
  <c r="C108" i="13"/>
  <c r="B108" i="13"/>
  <c r="B107" i="13"/>
  <c r="C106" i="13"/>
  <c r="B106" i="13"/>
  <c r="D106" i="13" s="1"/>
  <c r="D105" i="13"/>
  <c r="C105" i="13"/>
  <c r="B105" i="13"/>
  <c r="B104" i="13"/>
  <c r="D103" i="13"/>
  <c r="C103" i="13"/>
  <c r="B103" i="13"/>
  <c r="C104" i="13" s="1"/>
  <c r="D102" i="13"/>
  <c r="B102" i="13"/>
  <c r="C102" i="13" s="1"/>
  <c r="B101" i="13"/>
  <c r="D101" i="13" s="1"/>
  <c r="B100" i="13"/>
  <c r="C101" i="13" s="1"/>
  <c r="C99" i="13"/>
  <c r="B99" i="13"/>
  <c r="C98" i="13"/>
  <c r="B98" i="13"/>
  <c r="D98" i="13" s="1"/>
  <c r="D97" i="13"/>
  <c r="C97" i="13"/>
  <c r="B97" i="13"/>
  <c r="B96" i="13"/>
  <c r="B95" i="13"/>
  <c r="D94" i="13"/>
  <c r="C94" i="13"/>
  <c r="B94" i="13"/>
  <c r="B93" i="13"/>
  <c r="B92" i="13"/>
  <c r="D92" i="13" s="1"/>
  <c r="D91" i="13"/>
  <c r="C91" i="13"/>
  <c r="B91" i="13"/>
  <c r="B90" i="13"/>
  <c r="D90" i="13" s="1"/>
  <c r="D89" i="13"/>
  <c r="B89" i="13"/>
  <c r="C90" i="13" s="1"/>
  <c r="B88" i="13"/>
  <c r="B87" i="13"/>
  <c r="D86" i="13"/>
  <c r="C86" i="13"/>
  <c r="B86" i="13"/>
  <c r="B85" i="13"/>
  <c r="B84" i="13"/>
  <c r="D84" i="13" s="1"/>
  <c r="D83" i="13"/>
  <c r="C83" i="13"/>
  <c r="B83" i="13"/>
  <c r="B82" i="13"/>
  <c r="D82" i="13" s="1"/>
  <c r="D81" i="13"/>
  <c r="B81" i="13"/>
  <c r="C82" i="13" s="1"/>
  <c r="B80" i="13"/>
  <c r="B79" i="13"/>
  <c r="D78" i="13"/>
  <c r="C78" i="13"/>
  <c r="B78" i="13"/>
  <c r="B77" i="13"/>
  <c r="B76" i="13"/>
  <c r="D76" i="13" s="1"/>
  <c r="D75" i="13"/>
  <c r="C75" i="13"/>
  <c r="B75" i="13"/>
  <c r="B74" i="13"/>
  <c r="D74" i="13" s="1"/>
  <c r="D73" i="13"/>
  <c r="B73" i="13"/>
  <c r="C74" i="13" s="1"/>
  <c r="B72" i="13"/>
  <c r="B71" i="13"/>
  <c r="D70" i="13"/>
  <c r="C70" i="13"/>
  <c r="B70" i="13"/>
  <c r="B69" i="13"/>
  <c r="B68" i="13"/>
  <c r="D68" i="13" s="1"/>
  <c r="D67" i="13"/>
  <c r="C67" i="13"/>
  <c r="B67" i="13"/>
  <c r="B66" i="13"/>
  <c r="D66" i="13" s="1"/>
  <c r="D65" i="13"/>
  <c r="B65" i="13"/>
  <c r="C66" i="13" s="1"/>
  <c r="B64" i="13"/>
  <c r="B63" i="13"/>
  <c r="D62" i="13"/>
  <c r="C62" i="13"/>
  <c r="B62" i="13"/>
  <c r="B61" i="13"/>
  <c r="B60" i="13"/>
  <c r="D60" i="13" s="1"/>
  <c r="C59" i="13"/>
  <c r="B59" i="13"/>
  <c r="B58" i="13"/>
  <c r="D58" i="13" s="1"/>
  <c r="D57" i="13"/>
  <c r="B57" i="13"/>
  <c r="C58" i="13" s="1"/>
  <c r="B56" i="13"/>
  <c r="B55" i="13"/>
  <c r="D54" i="13"/>
  <c r="C54" i="13"/>
  <c r="B54" i="13"/>
  <c r="B53" i="13"/>
  <c r="B52" i="13"/>
  <c r="D52" i="13" s="1"/>
  <c r="C51" i="13"/>
  <c r="B51" i="13"/>
  <c r="B50" i="13"/>
  <c r="D50" i="13" s="1"/>
  <c r="D49" i="13"/>
  <c r="B49" i="13"/>
  <c r="C50" i="13" s="1"/>
  <c r="B48" i="13"/>
  <c r="B47" i="13"/>
  <c r="D46" i="13"/>
  <c r="C46" i="13"/>
  <c r="B46" i="13"/>
  <c r="B45" i="13"/>
  <c r="B44" i="13"/>
  <c r="D44" i="13" s="1"/>
  <c r="C43" i="13"/>
  <c r="B43" i="13"/>
  <c r="B42" i="13"/>
  <c r="D42" i="13" s="1"/>
  <c r="D41" i="13"/>
  <c r="B41" i="13"/>
  <c r="C42" i="13" s="1"/>
  <c r="B40" i="13"/>
  <c r="B39" i="13"/>
  <c r="D38" i="13"/>
  <c r="C38" i="13"/>
  <c r="B38" i="13"/>
  <c r="B37" i="13"/>
  <c r="B36" i="13"/>
  <c r="D36" i="13" s="1"/>
  <c r="C35" i="13"/>
  <c r="B35" i="13"/>
  <c r="B34" i="13"/>
  <c r="D34" i="13" s="1"/>
  <c r="D33" i="13"/>
  <c r="B33" i="13"/>
  <c r="C34" i="13" s="1"/>
  <c r="B32" i="13"/>
  <c r="B31" i="13"/>
  <c r="D30" i="13"/>
  <c r="C30" i="13"/>
  <c r="B30" i="13"/>
  <c r="B29" i="13"/>
  <c r="B28" i="13"/>
  <c r="D28" i="13" s="1"/>
  <c r="D27" i="13"/>
  <c r="C27" i="13"/>
  <c r="B27" i="13"/>
  <c r="B26" i="13"/>
  <c r="D26" i="13" s="1"/>
  <c r="B25" i="13"/>
  <c r="C26" i="13" s="1"/>
  <c r="B24" i="13"/>
  <c r="B23" i="13"/>
  <c r="D22" i="13"/>
  <c r="C22" i="13"/>
  <c r="B22" i="13"/>
  <c r="B21" i="13"/>
  <c r="B20" i="13"/>
  <c r="C19" i="13"/>
  <c r="B19" i="13"/>
  <c r="B18" i="13"/>
  <c r="C18" i="13" s="1"/>
  <c r="B17" i="13"/>
  <c r="C17" i="13" s="1"/>
  <c r="B16" i="13"/>
  <c r="C16" i="13" s="1"/>
  <c r="C15" i="13"/>
  <c r="B15" i="13"/>
  <c r="B14" i="13"/>
  <c r="C14" i="13" s="1"/>
  <c r="B13" i="13"/>
  <c r="C13" i="13" s="1"/>
  <c r="C12" i="13"/>
  <c r="B12" i="13"/>
  <c r="D24" i="13" s="1"/>
  <c r="C11" i="13"/>
  <c r="B11" i="13"/>
  <c r="B10" i="13"/>
  <c r="B9" i="13"/>
  <c r="C9" i="13" s="1"/>
  <c r="B8" i="13"/>
  <c r="B7" i="13"/>
  <c r="D19" i="13" s="1"/>
  <c r="B372" i="12"/>
  <c r="C372" i="12" s="1"/>
  <c r="B371" i="12"/>
  <c r="D371" i="12" s="1"/>
  <c r="C370" i="12"/>
  <c r="B370" i="12"/>
  <c r="B369" i="12"/>
  <c r="D368" i="12"/>
  <c r="C368" i="12"/>
  <c r="B368" i="12"/>
  <c r="C369" i="12" s="1"/>
  <c r="B367" i="12"/>
  <c r="B366" i="12"/>
  <c r="B365" i="12"/>
  <c r="D365" i="12" s="1"/>
  <c r="B364" i="12"/>
  <c r="C364" i="12" s="1"/>
  <c r="B363" i="12"/>
  <c r="D363" i="12" s="1"/>
  <c r="C362" i="12"/>
  <c r="B362" i="12"/>
  <c r="B361" i="12"/>
  <c r="D360" i="12"/>
  <c r="C360" i="12"/>
  <c r="B360" i="12"/>
  <c r="C361" i="12" s="1"/>
  <c r="B359" i="12"/>
  <c r="B358" i="12"/>
  <c r="B357" i="12"/>
  <c r="D357" i="12" s="1"/>
  <c r="B356" i="12"/>
  <c r="C356" i="12" s="1"/>
  <c r="B355" i="12"/>
  <c r="D355" i="12" s="1"/>
  <c r="C354" i="12"/>
  <c r="B354" i="12"/>
  <c r="B353" i="12"/>
  <c r="D352" i="12"/>
  <c r="C352" i="12"/>
  <c r="B352" i="12"/>
  <c r="C353" i="12" s="1"/>
  <c r="B351" i="12"/>
  <c r="B350" i="12"/>
  <c r="B349" i="12"/>
  <c r="D349" i="12" s="1"/>
  <c r="B348" i="12"/>
  <c r="C348" i="12" s="1"/>
  <c r="B347" i="12"/>
  <c r="D347" i="12" s="1"/>
  <c r="C346" i="12"/>
  <c r="B346" i="12"/>
  <c r="B345" i="12"/>
  <c r="D344" i="12"/>
  <c r="C344" i="12"/>
  <c r="B344" i="12"/>
  <c r="C345" i="12" s="1"/>
  <c r="B343" i="12"/>
  <c r="B342" i="12"/>
  <c r="B341" i="12"/>
  <c r="D341" i="12" s="1"/>
  <c r="B340" i="12"/>
  <c r="C340" i="12" s="1"/>
  <c r="B339" i="12"/>
  <c r="D339" i="12" s="1"/>
  <c r="C338" i="12"/>
  <c r="B338" i="12"/>
  <c r="B337" i="12"/>
  <c r="D337" i="12" s="1"/>
  <c r="D336" i="12"/>
  <c r="C336" i="12"/>
  <c r="B336" i="12"/>
  <c r="C337" i="12" s="1"/>
  <c r="B335" i="12"/>
  <c r="B334" i="12"/>
  <c r="B333" i="12"/>
  <c r="D333" i="12" s="1"/>
  <c r="B332" i="12"/>
  <c r="C332" i="12" s="1"/>
  <c r="B331" i="12"/>
  <c r="D331" i="12" s="1"/>
  <c r="C330" i="12"/>
  <c r="B330" i="12"/>
  <c r="C329" i="12"/>
  <c r="B329" i="12"/>
  <c r="D329" i="12" s="1"/>
  <c r="B328" i="12"/>
  <c r="C328" i="12" s="1"/>
  <c r="B327" i="12"/>
  <c r="D326" i="12"/>
  <c r="B326" i="12"/>
  <c r="D325" i="12"/>
  <c r="C325" i="12"/>
  <c r="B325" i="12"/>
  <c r="B324" i="12"/>
  <c r="B323" i="12"/>
  <c r="D323" i="12" s="1"/>
  <c r="D322" i="12"/>
  <c r="C322" i="12"/>
  <c r="B322" i="12"/>
  <c r="B321" i="12"/>
  <c r="B320" i="12"/>
  <c r="D320" i="12" s="1"/>
  <c r="D319" i="12"/>
  <c r="B319" i="12"/>
  <c r="D318" i="12"/>
  <c r="B318" i="12"/>
  <c r="B317" i="12"/>
  <c r="D317" i="12" s="1"/>
  <c r="B316" i="12"/>
  <c r="D328" i="12" s="1"/>
  <c r="C315" i="12"/>
  <c r="B315" i="12"/>
  <c r="D315" i="12" s="1"/>
  <c r="C314" i="12"/>
  <c r="B314" i="12"/>
  <c r="B313" i="12"/>
  <c r="D312" i="12"/>
  <c r="C312" i="12"/>
  <c r="B312" i="12"/>
  <c r="C313" i="12" s="1"/>
  <c r="D311" i="12"/>
  <c r="B311" i="12"/>
  <c r="B310" i="12"/>
  <c r="C309" i="12"/>
  <c r="B309" i="12"/>
  <c r="D309" i="12" s="1"/>
  <c r="B308" i="12"/>
  <c r="C307" i="12"/>
  <c r="B307" i="12"/>
  <c r="D307" i="12" s="1"/>
  <c r="C306" i="12"/>
  <c r="B306" i="12"/>
  <c r="C305" i="12"/>
  <c r="B305" i="12"/>
  <c r="D305" i="12" s="1"/>
  <c r="D304" i="12"/>
  <c r="C304" i="12"/>
  <c r="B304" i="12"/>
  <c r="B303" i="12"/>
  <c r="B302" i="12"/>
  <c r="D314" i="12" s="1"/>
  <c r="B301" i="12"/>
  <c r="D301" i="12" s="1"/>
  <c r="B300" i="12"/>
  <c r="B299" i="12"/>
  <c r="D299" i="12" s="1"/>
  <c r="C298" i="12"/>
  <c r="B298" i="12"/>
  <c r="C297" i="12"/>
  <c r="B297" i="12"/>
  <c r="D297" i="12" s="1"/>
  <c r="B296" i="12"/>
  <c r="C296" i="12" s="1"/>
  <c r="B295" i="12"/>
  <c r="B294" i="12"/>
  <c r="D293" i="12"/>
  <c r="C293" i="12"/>
  <c r="B293" i="12"/>
  <c r="B292" i="12"/>
  <c r="B291" i="12"/>
  <c r="D291" i="12" s="1"/>
  <c r="D290" i="12"/>
  <c r="C290" i="12"/>
  <c r="B290" i="12"/>
  <c r="B289" i="12"/>
  <c r="B288" i="12"/>
  <c r="D288" i="12" s="1"/>
  <c r="D287" i="12"/>
  <c r="B287" i="12"/>
  <c r="D286" i="12"/>
  <c r="B286" i="12"/>
  <c r="B285" i="12"/>
  <c r="D285" i="12" s="1"/>
  <c r="B284" i="12"/>
  <c r="B283" i="12"/>
  <c r="D283" i="12" s="1"/>
  <c r="C282" i="12"/>
  <c r="B282" i="12"/>
  <c r="B281" i="12"/>
  <c r="D280" i="12"/>
  <c r="B280" i="12"/>
  <c r="C281" i="12" s="1"/>
  <c r="D279" i="12"/>
  <c r="B279" i="12"/>
  <c r="B278" i="12"/>
  <c r="C277" i="12"/>
  <c r="B277" i="12"/>
  <c r="D277" i="12" s="1"/>
  <c r="B276" i="12"/>
  <c r="C275" i="12"/>
  <c r="B275" i="12"/>
  <c r="D275" i="12" s="1"/>
  <c r="C274" i="12"/>
  <c r="B274" i="12"/>
  <c r="C273" i="12"/>
  <c r="B273" i="12"/>
  <c r="D273" i="12" s="1"/>
  <c r="D272" i="12"/>
  <c r="C272" i="12"/>
  <c r="B272" i="12"/>
  <c r="B271" i="12"/>
  <c r="B270" i="12"/>
  <c r="B269" i="12"/>
  <c r="D269" i="12" s="1"/>
  <c r="B268" i="12"/>
  <c r="B267" i="12"/>
  <c r="D267" i="12" s="1"/>
  <c r="C266" i="12"/>
  <c r="B266" i="12"/>
  <c r="C265" i="12"/>
  <c r="B265" i="12"/>
  <c r="D265" i="12" s="1"/>
  <c r="B264" i="12"/>
  <c r="C264" i="12" s="1"/>
  <c r="B263" i="12"/>
  <c r="B262" i="12"/>
  <c r="D261" i="12"/>
  <c r="C261" i="12"/>
  <c r="B261" i="12"/>
  <c r="B260" i="12"/>
  <c r="B259" i="12"/>
  <c r="D258" i="12"/>
  <c r="C258" i="12"/>
  <c r="B258" i="12"/>
  <c r="B257" i="12"/>
  <c r="B256" i="12"/>
  <c r="D255" i="12"/>
  <c r="B255" i="12"/>
  <c r="D254" i="12"/>
  <c r="B254" i="12"/>
  <c r="B253" i="12"/>
  <c r="D253" i="12" s="1"/>
  <c r="B252" i="12"/>
  <c r="B251" i="12"/>
  <c r="D251" i="12" s="1"/>
  <c r="C250" i="12"/>
  <c r="B250" i="12"/>
  <c r="B249" i="12"/>
  <c r="D248" i="12"/>
  <c r="B248" i="12"/>
  <c r="C249" i="12" s="1"/>
  <c r="D247" i="12"/>
  <c r="B247" i="12"/>
  <c r="B246" i="12"/>
  <c r="C245" i="12"/>
  <c r="B245" i="12"/>
  <c r="D245" i="12" s="1"/>
  <c r="B244" i="12"/>
  <c r="C243" i="12"/>
  <c r="B243" i="12"/>
  <c r="D243" i="12" s="1"/>
  <c r="C242" i="12"/>
  <c r="B242" i="12"/>
  <c r="C241" i="12"/>
  <c r="B241" i="12"/>
  <c r="D241" i="12" s="1"/>
  <c r="D240" i="12"/>
  <c r="C240" i="12"/>
  <c r="B240" i="12"/>
  <c r="B239" i="12"/>
  <c r="B238" i="12"/>
  <c r="B237" i="12"/>
  <c r="D237" i="12" s="1"/>
  <c r="B236" i="12"/>
  <c r="B235" i="12"/>
  <c r="D235" i="12" s="1"/>
  <c r="C234" i="12"/>
  <c r="B234" i="12"/>
  <c r="C233" i="12"/>
  <c r="B233" i="12"/>
  <c r="D233" i="12" s="1"/>
  <c r="B232" i="12"/>
  <c r="C232" i="12" s="1"/>
  <c r="B231" i="12"/>
  <c r="B230" i="12"/>
  <c r="D229" i="12"/>
  <c r="C229" i="12"/>
  <c r="B229" i="12"/>
  <c r="B228" i="12"/>
  <c r="B227" i="12"/>
  <c r="D226" i="12"/>
  <c r="C226" i="12"/>
  <c r="B226" i="12"/>
  <c r="B225" i="12"/>
  <c r="B224" i="12"/>
  <c r="D223" i="12"/>
  <c r="B223" i="12"/>
  <c r="D222" i="12"/>
  <c r="B222" i="12"/>
  <c r="B221" i="12"/>
  <c r="D221" i="12" s="1"/>
  <c r="B220" i="12"/>
  <c r="B219" i="12"/>
  <c r="D219" i="12" s="1"/>
  <c r="C218" i="12"/>
  <c r="B218" i="12"/>
  <c r="B217" i="12"/>
  <c r="D216" i="12"/>
  <c r="B216" i="12"/>
  <c r="C217" i="12" s="1"/>
  <c r="D215" i="12"/>
  <c r="B215" i="12"/>
  <c r="B214" i="12"/>
  <c r="B213" i="12"/>
  <c r="D213" i="12" s="1"/>
  <c r="B212" i="12"/>
  <c r="C211" i="12"/>
  <c r="B211" i="12"/>
  <c r="D211" i="12" s="1"/>
  <c r="C210" i="12"/>
  <c r="B210" i="12"/>
  <c r="C209" i="12"/>
  <c r="B209" i="12"/>
  <c r="D209" i="12" s="1"/>
  <c r="D208" i="12"/>
  <c r="C208" i="12"/>
  <c r="B208" i="12"/>
  <c r="B207" i="12"/>
  <c r="B206" i="12"/>
  <c r="C205" i="12"/>
  <c r="B205" i="12"/>
  <c r="D205" i="12" s="1"/>
  <c r="B204" i="12"/>
  <c r="B203" i="12"/>
  <c r="D203" i="12" s="1"/>
  <c r="C202" i="12"/>
  <c r="B202" i="12"/>
  <c r="C201" i="12"/>
  <c r="B201" i="12"/>
  <c r="D201" i="12" s="1"/>
  <c r="B200" i="12"/>
  <c r="C200" i="12" s="1"/>
  <c r="B199" i="12"/>
  <c r="B198" i="12"/>
  <c r="D197" i="12"/>
  <c r="C197" i="12"/>
  <c r="B197" i="12"/>
  <c r="B196" i="12"/>
  <c r="B195" i="12"/>
  <c r="D194" i="12"/>
  <c r="C194" i="12"/>
  <c r="B194" i="12"/>
  <c r="B193" i="12"/>
  <c r="B192" i="12"/>
  <c r="D191" i="12"/>
  <c r="B191" i="12"/>
  <c r="D190" i="12"/>
  <c r="B190" i="12"/>
  <c r="B189" i="12"/>
  <c r="D189" i="12" s="1"/>
  <c r="B188" i="12"/>
  <c r="B187" i="12"/>
  <c r="D186" i="12"/>
  <c r="C186" i="12"/>
  <c r="B186" i="12"/>
  <c r="B185" i="12"/>
  <c r="B184" i="12"/>
  <c r="D183" i="12"/>
  <c r="B183" i="12"/>
  <c r="B182" i="12"/>
  <c r="C181" i="12"/>
  <c r="B181" i="12"/>
  <c r="D181" i="12" s="1"/>
  <c r="B180" i="12"/>
  <c r="C179" i="12"/>
  <c r="B179" i="12"/>
  <c r="D179" i="12" s="1"/>
  <c r="C178" i="12"/>
  <c r="B178" i="12"/>
  <c r="C177" i="12"/>
  <c r="B177" i="12"/>
  <c r="D177" i="12" s="1"/>
  <c r="D176" i="12"/>
  <c r="C176" i="12"/>
  <c r="B176" i="12"/>
  <c r="B175" i="12"/>
  <c r="B174" i="12"/>
  <c r="B173" i="12"/>
  <c r="D173" i="12" s="1"/>
  <c r="B172" i="12"/>
  <c r="B171" i="12"/>
  <c r="D171" i="12" s="1"/>
  <c r="C170" i="12"/>
  <c r="B170" i="12"/>
  <c r="C169" i="12"/>
  <c r="B169" i="12"/>
  <c r="D169" i="12" s="1"/>
  <c r="B168" i="12"/>
  <c r="C168" i="12" s="1"/>
  <c r="B167" i="12"/>
  <c r="B166" i="12"/>
  <c r="D165" i="12"/>
  <c r="C165" i="12"/>
  <c r="B165" i="12"/>
  <c r="B164" i="12"/>
  <c r="B163" i="12"/>
  <c r="D162" i="12"/>
  <c r="C162" i="12"/>
  <c r="B162" i="12"/>
  <c r="B161" i="12"/>
  <c r="B160" i="12"/>
  <c r="D159" i="12"/>
  <c r="B159" i="12"/>
  <c r="D158" i="12"/>
  <c r="B158" i="12"/>
  <c r="B157" i="12"/>
  <c r="D157" i="12" s="1"/>
  <c r="B156" i="12"/>
  <c r="B155" i="12"/>
  <c r="C154" i="12"/>
  <c r="B154" i="12"/>
  <c r="B153" i="12"/>
  <c r="B152" i="12"/>
  <c r="D151" i="12"/>
  <c r="B151" i="12"/>
  <c r="B150" i="12"/>
  <c r="B149" i="12"/>
  <c r="D149" i="12" s="1"/>
  <c r="B148" i="12"/>
  <c r="C147" i="12"/>
  <c r="B147" i="12"/>
  <c r="D147" i="12" s="1"/>
  <c r="C146" i="12"/>
  <c r="B146" i="12"/>
  <c r="C145" i="12"/>
  <c r="B145" i="12"/>
  <c r="D145" i="12" s="1"/>
  <c r="D144" i="12"/>
  <c r="C144" i="12"/>
  <c r="B144" i="12"/>
  <c r="B143" i="12"/>
  <c r="B142" i="12"/>
  <c r="D154" i="12" s="1"/>
  <c r="C141" i="12"/>
  <c r="B141" i="12"/>
  <c r="D141" i="12" s="1"/>
  <c r="B140" i="12"/>
  <c r="B139" i="12"/>
  <c r="D139" i="12" s="1"/>
  <c r="C138" i="12"/>
  <c r="B138" i="12"/>
  <c r="C137" i="12"/>
  <c r="B137" i="12"/>
  <c r="D137" i="12" s="1"/>
  <c r="B136" i="12"/>
  <c r="C136" i="12" s="1"/>
  <c r="B135" i="12"/>
  <c r="B134" i="12"/>
  <c r="D133" i="12"/>
  <c r="C133" i="12"/>
  <c r="B133" i="12"/>
  <c r="B132" i="12"/>
  <c r="B131" i="12"/>
  <c r="D130" i="12"/>
  <c r="C130" i="12"/>
  <c r="B130" i="12"/>
  <c r="B129" i="12"/>
  <c r="B128" i="12"/>
  <c r="D127" i="12"/>
  <c r="B127" i="12"/>
  <c r="D126" i="12"/>
  <c r="B126" i="12"/>
  <c r="B125" i="12"/>
  <c r="D125" i="12" s="1"/>
  <c r="B124" i="12"/>
  <c r="B123" i="12"/>
  <c r="D122" i="12"/>
  <c r="C122" i="12"/>
  <c r="B122" i="12"/>
  <c r="B121" i="12"/>
  <c r="D120" i="12"/>
  <c r="B120" i="12"/>
  <c r="D119" i="12"/>
  <c r="B119" i="12"/>
  <c r="B118" i="12"/>
  <c r="B117" i="12"/>
  <c r="D117" i="12" s="1"/>
  <c r="B116" i="12"/>
  <c r="C115" i="12"/>
  <c r="B115" i="12"/>
  <c r="D115" i="12" s="1"/>
  <c r="C114" i="12"/>
  <c r="B114" i="12"/>
  <c r="C113" i="12"/>
  <c r="B113" i="12"/>
  <c r="D113" i="12" s="1"/>
  <c r="D112" i="12"/>
  <c r="C112" i="12"/>
  <c r="B112" i="12"/>
  <c r="B111" i="12"/>
  <c r="B110" i="12"/>
  <c r="B109" i="12"/>
  <c r="D109" i="12" s="1"/>
  <c r="B108" i="12"/>
  <c r="B107" i="12"/>
  <c r="D107" i="12" s="1"/>
  <c r="C106" i="12"/>
  <c r="B106" i="12"/>
  <c r="C105" i="12"/>
  <c r="B105" i="12"/>
  <c r="D105" i="12" s="1"/>
  <c r="B104" i="12"/>
  <c r="C104" i="12" s="1"/>
  <c r="B103" i="12"/>
  <c r="B102" i="12"/>
  <c r="D101" i="12"/>
  <c r="C101" i="12"/>
  <c r="B101" i="12"/>
  <c r="B100" i="12"/>
  <c r="B99" i="12"/>
  <c r="D98" i="12"/>
  <c r="C98" i="12"/>
  <c r="B98" i="12"/>
  <c r="B97" i="12"/>
  <c r="B96" i="12"/>
  <c r="D95" i="12"/>
  <c r="B95" i="12"/>
  <c r="D94" i="12"/>
  <c r="B94" i="12"/>
  <c r="B93" i="12"/>
  <c r="D93" i="12" s="1"/>
  <c r="B92" i="12"/>
  <c r="B91" i="12"/>
  <c r="D90" i="12"/>
  <c r="C90" i="12"/>
  <c r="B90" i="12"/>
  <c r="B89" i="12"/>
  <c r="B88" i="12"/>
  <c r="D87" i="12"/>
  <c r="B87" i="12"/>
  <c r="B86" i="12"/>
  <c r="C85" i="12"/>
  <c r="B85" i="12"/>
  <c r="D85" i="12" s="1"/>
  <c r="B84" i="12"/>
  <c r="C83" i="12"/>
  <c r="B83" i="12"/>
  <c r="D83" i="12" s="1"/>
  <c r="C82" i="12"/>
  <c r="B82" i="12"/>
  <c r="C81" i="12"/>
  <c r="B81" i="12"/>
  <c r="D81" i="12" s="1"/>
  <c r="D80" i="12"/>
  <c r="C80" i="12"/>
  <c r="B80" i="12"/>
  <c r="B79" i="12"/>
  <c r="B78" i="12"/>
  <c r="B77" i="12"/>
  <c r="D77" i="12" s="1"/>
  <c r="B76" i="12"/>
  <c r="B75" i="12"/>
  <c r="D75" i="12" s="1"/>
  <c r="C74" i="12"/>
  <c r="B74" i="12"/>
  <c r="C73" i="12"/>
  <c r="B73" i="12"/>
  <c r="D73" i="12" s="1"/>
  <c r="B72" i="12"/>
  <c r="C72" i="12" s="1"/>
  <c r="B71" i="12"/>
  <c r="B70" i="12"/>
  <c r="D69" i="12"/>
  <c r="C69" i="12"/>
  <c r="B69" i="12"/>
  <c r="B68" i="12"/>
  <c r="B67" i="12"/>
  <c r="D66" i="12"/>
  <c r="C66" i="12"/>
  <c r="B66" i="12"/>
  <c r="B65" i="12"/>
  <c r="B64" i="12"/>
  <c r="D63" i="12"/>
  <c r="B63" i="12"/>
  <c r="D62" i="12"/>
  <c r="B62" i="12"/>
  <c r="B61" i="12"/>
  <c r="D61" i="12" s="1"/>
  <c r="B60" i="12"/>
  <c r="B59" i="12"/>
  <c r="C58" i="12"/>
  <c r="B58" i="12"/>
  <c r="B57" i="12"/>
  <c r="B56" i="12"/>
  <c r="D55" i="12"/>
  <c r="B55" i="12"/>
  <c r="B54" i="12"/>
  <c r="B53" i="12"/>
  <c r="B52" i="12"/>
  <c r="C51" i="12"/>
  <c r="B51" i="12"/>
  <c r="D51" i="12" s="1"/>
  <c r="C50" i="12"/>
  <c r="B50" i="12"/>
  <c r="C49" i="12"/>
  <c r="B49" i="12"/>
  <c r="D49" i="12" s="1"/>
  <c r="C48" i="12"/>
  <c r="B48" i="12"/>
  <c r="B47" i="12"/>
  <c r="B46" i="12"/>
  <c r="C45" i="12"/>
  <c r="B45" i="12"/>
  <c r="B44" i="12"/>
  <c r="B43" i="12"/>
  <c r="D43" i="12" s="1"/>
  <c r="B42" i="12"/>
  <c r="C41" i="12"/>
  <c r="B41" i="12"/>
  <c r="D41" i="12" s="1"/>
  <c r="D40" i="12"/>
  <c r="B40" i="12"/>
  <c r="C40" i="12" s="1"/>
  <c r="B39" i="12"/>
  <c r="B38" i="12"/>
  <c r="D37" i="12"/>
  <c r="B37" i="12"/>
  <c r="C37" i="12" s="1"/>
  <c r="B36" i="12"/>
  <c r="C35" i="12"/>
  <c r="B35" i="12"/>
  <c r="D34" i="12"/>
  <c r="B34" i="12"/>
  <c r="B33" i="12"/>
  <c r="B32" i="12"/>
  <c r="D32" i="12" s="1"/>
  <c r="D31" i="12"/>
  <c r="B31" i="12"/>
  <c r="C30" i="12"/>
  <c r="B30" i="12"/>
  <c r="C31" i="12" s="1"/>
  <c r="D29" i="12"/>
  <c r="C29" i="12"/>
  <c r="B29" i="12"/>
  <c r="B28" i="12"/>
  <c r="C27" i="12"/>
  <c r="B27" i="12"/>
  <c r="C26" i="12"/>
  <c r="B26" i="12"/>
  <c r="B25" i="12"/>
  <c r="D25" i="12" s="1"/>
  <c r="B24" i="12"/>
  <c r="D24" i="12" s="1"/>
  <c r="D23" i="12"/>
  <c r="C23" i="12"/>
  <c r="B23" i="12"/>
  <c r="B22" i="12"/>
  <c r="B21" i="12"/>
  <c r="C22" i="12" s="1"/>
  <c r="D20" i="12"/>
  <c r="B20" i="12"/>
  <c r="C20" i="12" s="1"/>
  <c r="B19" i="12"/>
  <c r="D19" i="12" s="1"/>
  <c r="B18" i="12"/>
  <c r="C19" i="12" s="1"/>
  <c r="C17" i="12"/>
  <c r="B17" i="12"/>
  <c r="C16" i="12"/>
  <c r="B16" i="12"/>
  <c r="B15" i="12"/>
  <c r="C14" i="12"/>
  <c r="B14" i="12"/>
  <c r="C15" i="12" s="1"/>
  <c r="C13" i="12"/>
  <c r="B13" i="12"/>
  <c r="C12" i="12"/>
  <c r="B12" i="12"/>
  <c r="B11" i="12"/>
  <c r="C10" i="12"/>
  <c r="B10" i="12"/>
  <c r="C11" i="12" s="1"/>
  <c r="C9" i="12"/>
  <c r="B9" i="12"/>
  <c r="C8" i="12"/>
  <c r="B8" i="12"/>
  <c r="B7" i="12"/>
  <c r="C372" i="11"/>
  <c r="B372" i="11"/>
  <c r="D371" i="11"/>
  <c r="B371" i="11"/>
  <c r="C371" i="11" s="1"/>
  <c r="D370" i="11"/>
  <c r="B370" i="11"/>
  <c r="B369" i="11"/>
  <c r="C368" i="11"/>
  <c r="B368" i="11"/>
  <c r="D368" i="11" s="1"/>
  <c r="D367" i="11"/>
  <c r="B367" i="11"/>
  <c r="C367" i="11" s="1"/>
  <c r="C366" i="11"/>
  <c r="B366" i="11"/>
  <c r="D365" i="11"/>
  <c r="C365" i="11"/>
  <c r="B365" i="11"/>
  <c r="B364" i="11"/>
  <c r="D364" i="11" s="1"/>
  <c r="B363" i="11"/>
  <c r="D362" i="11"/>
  <c r="C362" i="11"/>
  <c r="B362" i="11"/>
  <c r="B361" i="11"/>
  <c r="B360" i="11"/>
  <c r="D359" i="11"/>
  <c r="C359" i="11"/>
  <c r="B359" i="11"/>
  <c r="B358" i="11"/>
  <c r="B357" i="11"/>
  <c r="C358" i="11" s="1"/>
  <c r="D356" i="11"/>
  <c r="C356" i="11"/>
  <c r="B356" i="11"/>
  <c r="B355" i="11"/>
  <c r="B354" i="11"/>
  <c r="D366" i="11" s="1"/>
  <c r="D353" i="11"/>
  <c r="C353" i="11"/>
  <c r="B353" i="11"/>
  <c r="B352" i="11"/>
  <c r="B351" i="11"/>
  <c r="C352" i="11" s="1"/>
  <c r="D350" i="11"/>
  <c r="B350" i="11"/>
  <c r="B349" i="11"/>
  <c r="D348" i="11"/>
  <c r="B348" i="11"/>
  <c r="C348" i="11" s="1"/>
  <c r="D347" i="11"/>
  <c r="B347" i="11"/>
  <c r="B346" i="11"/>
  <c r="D345" i="11"/>
  <c r="C345" i="11"/>
  <c r="B345" i="11"/>
  <c r="B344" i="11"/>
  <c r="B343" i="11"/>
  <c r="D342" i="11"/>
  <c r="C342" i="11"/>
  <c r="B342" i="11"/>
  <c r="D341" i="11"/>
  <c r="B341" i="11"/>
  <c r="C341" i="11" s="1"/>
  <c r="C340" i="11"/>
  <c r="B340" i="11"/>
  <c r="B339" i="11"/>
  <c r="C339" i="11" s="1"/>
  <c r="D338" i="11"/>
  <c r="B338" i="11"/>
  <c r="B337" i="11"/>
  <c r="D337" i="11" s="1"/>
  <c r="C336" i="11"/>
  <c r="B336" i="11"/>
  <c r="D336" i="11" s="1"/>
  <c r="D335" i="11"/>
  <c r="B335" i="11"/>
  <c r="C335" i="11" s="1"/>
  <c r="C334" i="11"/>
  <c r="B334" i="11"/>
  <c r="D333" i="11"/>
  <c r="C333" i="11"/>
  <c r="B333" i="11"/>
  <c r="B332" i="11"/>
  <c r="D332" i="11" s="1"/>
  <c r="B331" i="11"/>
  <c r="D330" i="11"/>
  <c r="C330" i="11"/>
  <c r="B330" i="11"/>
  <c r="B329" i="11"/>
  <c r="D329" i="11" s="1"/>
  <c r="C328" i="11"/>
  <c r="B328" i="11"/>
  <c r="D327" i="11"/>
  <c r="C327" i="11"/>
  <c r="B327" i="11"/>
  <c r="B326" i="11"/>
  <c r="D325" i="11"/>
  <c r="C325" i="11"/>
  <c r="B325" i="11"/>
  <c r="C326" i="11" s="1"/>
  <c r="D324" i="11"/>
  <c r="C324" i="11"/>
  <c r="B324" i="11"/>
  <c r="B323" i="11"/>
  <c r="B322" i="11"/>
  <c r="D334" i="11" s="1"/>
  <c r="D321" i="11"/>
  <c r="C321" i="11"/>
  <c r="B321" i="11"/>
  <c r="B320" i="11"/>
  <c r="B319" i="11"/>
  <c r="C320" i="11" s="1"/>
  <c r="D318" i="11"/>
  <c r="B318" i="11"/>
  <c r="B317" i="11"/>
  <c r="B316" i="11"/>
  <c r="D316" i="11" s="1"/>
  <c r="D315" i="11"/>
  <c r="B315" i="11"/>
  <c r="B314" i="11"/>
  <c r="D313" i="11"/>
  <c r="B313" i="11"/>
  <c r="C313" i="11" s="1"/>
  <c r="B312" i="11"/>
  <c r="B311" i="11"/>
  <c r="D310" i="11"/>
  <c r="C310" i="11"/>
  <c r="B310" i="11"/>
  <c r="D309" i="11"/>
  <c r="B309" i="11"/>
  <c r="B308" i="11"/>
  <c r="D308" i="11" s="1"/>
  <c r="B307" i="11"/>
  <c r="C307" i="11" s="1"/>
  <c r="D306" i="11"/>
  <c r="B306" i="11"/>
  <c r="C306" i="11" s="1"/>
  <c r="B305" i="11"/>
  <c r="B304" i="11"/>
  <c r="D304" i="11" s="1"/>
  <c r="B303" i="11"/>
  <c r="C303" i="11" s="1"/>
  <c r="C302" i="11"/>
  <c r="B302" i="11"/>
  <c r="D301" i="11"/>
  <c r="C301" i="11"/>
  <c r="B301" i="11"/>
  <c r="B300" i="11"/>
  <c r="B299" i="11"/>
  <c r="D298" i="11"/>
  <c r="C298" i="11"/>
  <c r="B298" i="11"/>
  <c r="B297" i="11"/>
  <c r="D297" i="11" s="1"/>
  <c r="B296" i="11"/>
  <c r="C295" i="11"/>
  <c r="B295" i="11"/>
  <c r="B294" i="11"/>
  <c r="D293" i="11"/>
  <c r="C293" i="11"/>
  <c r="B293" i="11"/>
  <c r="C294" i="11" s="1"/>
  <c r="B292" i="11"/>
  <c r="B291" i="11"/>
  <c r="B290" i="11"/>
  <c r="D302" i="11" s="1"/>
  <c r="B289" i="11"/>
  <c r="C289" i="11" s="1"/>
  <c r="B288" i="11"/>
  <c r="D288" i="11" s="1"/>
  <c r="C287" i="11"/>
  <c r="B287" i="11"/>
  <c r="B286" i="11"/>
  <c r="D285" i="11"/>
  <c r="C285" i="11"/>
  <c r="B285" i="11"/>
  <c r="C286" i="11" s="1"/>
  <c r="B284" i="11"/>
  <c r="B283" i="11"/>
  <c r="B282" i="11"/>
  <c r="D294" i="11" s="1"/>
  <c r="B281" i="11"/>
  <c r="C281" i="11" s="1"/>
  <c r="B280" i="11"/>
  <c r="D280" i="11" s="1"/>
  <c r="C279" i="11"/>
  <c r="B279" i="11"/>
  <c r="B278" i="11"/>
  <c r="D277" i="11"/>
  <c r="C277" i="11"/>
  <c r="B277" i="11"/>
  <c r="B276" i="11"/>
  <c r="B275" i="11"/>
  <c r="B274" i="11"/>
  <c r="D274" i="11" s="1"/>
  <c r="B273" i="11"/>
  <c r="B272" i="11"/>
  <c r="D272" i="11" s="1"/>
  <c r="C271" i="11"/>
  <c r="B271" i="11"/>
  <c r="B270" i="11"/>
  <c r="D269" i="11"/>
  <c r="C269" i="11"/>
  <c r="B269" i="11"/>
  <c r="B268" i="11"/>
  <c r="B267" i="11"/>
  <c r="B266" i="11"/>
  <c r="D266" i="11" s="1"/>
  <c r="B265" i="11"/>
  <c r="B264" i="11"/>
  <c r="D264" i="11" s="1"/>
  <c r="C263" i="11"/>
  <c r="B263" i="11"/>
  <c r="B262" i="11"/>
  <c r="D261" i="11"/>
  <c r="C261" i="11"/>
  <c r="B261" i="11"/>
  <c r="B260" i="11"/>
  <c r="B259" i="11"/>
  <c r="B258" i="11"/>
  <c r="D258" i="11" s="1"/>
  <c r="B257" i="11"/>
  <c r="B256" i="11"/>
  <c r="D256" i="11" s="1"/>
  <c r="C255" i="11"/>
  <c r="B255" i="11"/>
  <c r="B254" i="11"/>
  <c r="D253" i="11"/>
  <c r="C253" i="11"/>
  <c r="B253" i="11"/>
  <c r="B252" i="11"/>
  <c r="B251" i="11"/>
  <c r="B250" i="11"/>
  <c r="D250" i="11" s="1"/>
  <c r="B249" i="11"/>
  <c r="B248" i="11"/>
  <c r="D248" i="11" s="1"/>
  <c r="C247" i="11"/>
  <c r="B247" i="11"/>
  <c r="B246" i="11"/>
  <c r="D245" i="11"/>
  <c r="C245" i="11"/>
  <c r="B245" i="11"/>
  <c r="B244" i="11"/>
  <c r="B243" i="11"/>
  <c r="B242" i="11"/>
  <c r="D242" i="11" s="1"/>
  <c r="B241" i="11"/>
  <c r="B240" i="11"/>
  <c r="D240" i="11" s="1"/>
  <c r="C239" i="11"/>
  <c r="B239" i="11"/>
  <c r="B238" i="11"/>
  <c r="D237" i="11"/>
  <c r="C237" i="11"/>
  <c r="B237" i="11"/>
  <c r="B236" i="11"/>
  <c r="B235" i="11"/>
  <c r="B234" i="11"/>
  <c r="D234" i="11" s="1"/>
  <c r="B233" i="11"/>
  <c r="B232" i="11"/>
  <c r="D232" i="11" s="1"/>
  <c r="C231" i="11"/>
  <c r="B231" i="11"/>
  <c r="B230" i="11"/>
  <c r="D229" i="11"/>
  <c r="C229" i="11"/>
  <c r="B229" i="11"/>
  <c r="B228" i="11"/>
  <c r="B227" i="11"/>
  <c r="B226" i="11"/>
  <c r="D226" i="11" s="1"/>
  <c r="B225" i="11"/>
  <c r="B224" i="11"/>
  <c r="D224" i="11" s="1"/>
  <c r="C223" i="11"/>
  <c r="B223" i="11"/>
  <c r="B222" i="11"/>
  <c r="D221" i="11"/>
  <c r="C221" i="11"/>
  <c r="B221" i="11"/>
  <c r="B220" i="11"/>
  <c r="B219" i="11"/>
  <c r="B218" i="11"/>
  <c r="D218" i="11" s="1"/>
  <c r="B217" i="11"/>
  <c r="B216" i="11"/>
  <c r="D216" i="11" s="1"/>
  <c r="C215" i="11"/>
  <c r="B215" i="11"/>
  <c r="B214" i="11"/>
  <c r="D213" i="11"/>
  <c r="C213" i="11"/>
  <c r="B213" i="11"/>
  <c r="B212" i="11"/>
  <c r="B211" i="11"/>
  <c r="B210" i="11"/>
  <c r="D210" i="11" s="1"/>
  <c r="B209" i="11"/>
  <c r="B208" i="11"/>
  <c r="D208" i="11" s="1"/>
  <c r="C207" i="11"/>
  <c r="B207" i="11"/>
  <c r="B206" i="11"/>
  <c r="D205" i="11"/>
  <c r="C205" i="11"/>
  <c r="B205" i="11"/>
  <c r="B204" i="11"/>
  <c r="B203" i="11"/>
  <c r="B202" i="11"/>
  <c r="D202" i="11" s="1"/>
  <c r="B201" i="11"/>
  <c r="B200" i="11"/>
  <c r="D200" i="11" s="1"/>
  <c r="C199" i="11"/>
  <c r="B199" i="11"/>
  <c r="B198" i="11"/>
  <c r="D197" i="11"/>
  <c r="C197" i="11"/>
  <c r="B197" i="11"/>
  <c r="B196" i="11"/>
  <c r="B195" i="11"/>
  <c r="B194" i="11"/>
  <c r="D194" i="11" s="1"/>
  <c r="B193" i="11"/>
  <c r="B192" i="11"/>
  <c r="D192" i="11" s="1"/>
  <c r="C191" i="11"/>
  <c r="B191" i="11"/>
  <c r="B190" i="11"/>
  <c r="D189" i="11"/>
  <c r="B189" i="11"/>
  <c r="C189" i="11" s="1"/>
  <c r="B188" i="11"/>
  <c r="B187" i="11"/>
  <c r="B186" i="11"/>
  <c r="D186" i="11" s="1"/>
  <c r="B185" i="11"/>
  <c r="B184" i="11"/>
  <c r="D184" i="11" s="1"/>
  <c r="C183" i="11"/>
  <c r="B183" i="11"/>
  <c r="B182" i="11"/>
  <c r="D181" i="11"/>
  <c r="B181" i="11"/>
  <c r="C181" i="11" s="1"/>
  <c r="B180" i="11"/>
  <c r="B179" i="11"/>
  <c r="B178" i="11"/>
  <c r="D178" i="11" s="1"/>
  <c r="B177" i="11"/>
  <c r="B176" i="11"/>
  <c r="D176" i="11" s="1"/>
  <c r="C175" i="11"/>
  <c r="B175" i="11"/>
  <c r="B174" i="11"/>
  <c r="D173" i="11"/>
  <c r="B173" i="11"/>
  <c r="C173" i="11" s="1"/>
  <c r="B172" i="11"/>
  <c r="B171" i="11"/>
  <c r="B170" i="11"/>
  <c r="D170" i="11" s="1"/>
  <c r="B169" i="11"/>
  <c r="B168" i="11"/>
  <c r="D168" i="11" s="1"/>
  <c r="C167" i="11"/>
  <c r="B167" i="11"/>
  <c r="B166" i="11"/>
  <c r="D165" i="11"/>
  <c r="B165" i="11"/>
  <c r="C165" i="11" s="1"/>
  <c r="B164" i="11"/>
  <c r="B163" i="11"/>
  <c r="B162" i="11"/>
  <c r="D162" i="11" s="1"/>
  <c r="B161" i="11"/>
  <c r="B160" i="11"/>
  <c r="D160" i="11" s="1"/>
  <c r="C159" i="11"/>
  <c r="B159" i="11"/>
  <c r="B158" i="11"/>
  <c r="D157" i="11"/>
  <c r="B157" i="11"/>
  <c r="C157" i="11" s="1"/>
  <c r="B156" i="11"/>
  <c r="B155" i="11"/>
  <c r="B154" i="11"/>
  <c r="D154" i="11" s="1"/>
  <c r="B153" i="11"/>
  <c r="B152" i="11"/>
  <c r="D152" i="11" s="1"/>
  <c r="C151" i="11"/>
  <c r="B151" i="11"/>
  <c r="B150" i="11"/>
  <c r="D149" i="11"/>
  <c r="B149" i="11"/>
  <c r="C149" i="11" s="1"/>
  <c r="B148" i="11"/>
  <c r="B147" i="11"/>
  <c r="B146" i="11"/>
  <c r="D146" i="11" s="1"/>
  <c r="B145" i="11"/>
  <c r="B144" i="11"/>
  <c r="D144" i="11" s="1"/>
  <c r="C143" i="11"/>
  <c r="B143" i="11"/>
  <c r="B142" i="11"/>
  <c r="D141" i="11"/>
  <c r="B141" i="11"/>
  <c r="C141" i="11" s="1"/>
  <c r="B140" i="11"/>
  <c r="B139" i="11"/>
  <c r="B138" i="11"/>
  <c r="D138" i="11" s="1"/>
  <c r="B137" i="11"/>
  <c r="B136" i="11"/>
  <c r="D136" i="11" s="1"/>
  <c r="C135" i="11"/>
  <c r="B135" i="11"/>
  <c r="B134" i="11"/>
  <c r="D133" i="11"/>
  <c r="B133" i="11"/>
  <c r="C133" i="11" s="1"/>
  <c r="B132" i="11"/>
  <c r="B131" i="11"/>
  <c r="B130" i="11"/>
  <c r="D130" i="11" s="1"/>
  <c r="B129" i="11"/>
  <c r="B128" i="11"/>
  <c r="D128" i="11" s="1"/>
  <c r="C127" i="11"/>
  <c r="B127" i="11"/>
  <c r="B126" i="11"/>
  <c r="D125" i="11"/>
  <c r="B125" i="11"/>
  <c r="C125" i="11" s="1"/>
  <c r="B124" i="11"/>
  <c r="B123" i="11"/>
  <c r="B122" i="11"/>
  <c r="D122" i="11" s="1"/>
  <c r="B121" i="11"/>
  <c r="B120" i="11"/>
  <c r="D120" i="11" s="1"/>
  <c r="C119" i="11"/>
  <c r="B119" i="11"/>
  <c r="B118" i="11"/>
  <c r="D117" i="11"/>
  <c r="B117" i="11"/>
  <c r="C117" i="11" s="1"/>
  <c r="B116" i="11"/>
  <c r="B115" i="11"/>
  <c r="B114" i="11"/>
  <c r="D114" i="11" s="1"/>
  <c r="B113" i="11"/>
  <c r="B112" i="11"/>
  <c r="D112" i="11" s="1"/>
  <c r="C111" i="11"/>
  <c r="B111" i="11"/>
  <c r="B110" i="11"/>
  <c r="D109" i="11"/>
  <c r="B109" i="11"/>
  <c r="C109" i="11" s="1"/>
  <c r="B108" i="11"/>
  <c r="B107" i="11"/>
  <c r="B106" i="11"/>
  <c r="D106" i="11" s="1"/>
  <c r="B105" i="11"/>
  <c r="B104" i="11"/>
  <c r="D104" i="11" s="1"/>
  <c r="C103" i="11"/>
  <c r="B103" i="11"/>
  <c r="B102" i="11"/>
  <c r="D101" i="11"/>
  <c r="B101" i="11"/>
  <c r="C101" i="11" s="1"/>
  <c r="B100" i="11"/>
  <c r="B99" i="11"/>
  <c r="B98" i="11"/>
  <c r="D98" i="11" s="1"/>
  <c r="B97" i="11"/>
  <c r="B96" i="11"/>
  <c r="D96" i="11" s="1"/>
  <c r="C95" i="11"/>
  <c r="B95" i="11"/>
  <c r="B94" i="11"/>
  <c r="D93" i="11"/>
  <c r="B93" i="11"/>
  <c r="C93" i="11" s="1"/>
  <c r="B92" i="11"/>
  <c r="B91" i="11"/>
  <c r="B90" i="11"/>
  <c r="D90" i="11" s="1"/>
  <c r="B89" i="11"/>
  <c r="B88" i="11"/>
  <c r="D88" i="11" s="1"/>
  <c r="C87" i="11"/>
  <c r="B87" i="11"/>
  <c r="B86" i="11"/>
  <c r="D85" i="11"/>
  <c r="B85" i="11"/>
  <c r="C85" i="11" s="1"/>
  <c r="B84" i="11"/>
  <c r="B83" i="11"/>
  <c r="B82" i="11"/>
  <c r="D82" i="11" s="1"/>
  <c r="B81" i="11"/>
  <c r="B80" i="11"/>
  <c r="D80" i="11" s="1"/>
  <c r="C79" i="11"/>
  <c r="B79" i="11"/>
  <c r="B78" i="11"/>
  <c r="D77" i="11"/>
  <c r="B77" i="11"/>
  <c r="C77" i="11" s="1"/>
  <c r="B76" i="11"/>
  <c r="B75" i="11"/>
  <c r="B74" i="11"/>
  <c r="B73" i="11"/>
  <c r="B72" i="11"/>
  <c r="D72" i="11" s="1"/>
  <c r="C71" i="11"/>
  <c r="B71" i="11"/>
  <c r="B70" i="11"/>
  <c r="D69" i="11"/>
  <c r="B69" i="11"/>
  <c r="C69" i="11" s="1"/>
  <c r="B68" i="11"/>
  <c r="B67" i="11"/>
  <c r="B66" i="11"/>
  <c r="B65" i="11"/>
  <c r="B64" i="11"/>
  <c r="D64" i="11" s="1"/>
  <c r="C63" i="11"/>
  <c r="B63" i="11"/>
  <c r="B62" i="11"/>
  <c r="D61" i="11"/>
  <c r="B61" i="11"/>
  <c r="C61" i="11" s="1"/>
  <c r="B60" i="11"/>
  <c r="B59" i="11"/>
  <c r="B58" i="11"/>
  <c r="B57" i="11"/>
  <c r="B56" i="11"/>
  <c r="D56" i="11" s="1"/>
  <c r="C55" i="11"/>
  <c r="B55" i="11"/>
  <c r="B54" i="11"/>
  <c r="D53" i="11"/>
  <c r="B53" i="11"/>
  <c r="C53" i="11" s="1"/>
  <c r="B52" i="11"/>
  <c r="B51" i="11"/>
  <c r="B50" i="11"/>
  <c r="B49" i="11"/>
  <c r="B48" i="11"/>
  <c r="D48" i="11" s="1"/>
  <c r="C47" i="11"/>
  <c r="B47" i="11"/>
  <c r="B46" i="11"/>
  <c r="D46" i="11" s="1"/>
  <c r="D45" i="11"/>
  <c r="B45" i="11"/>
  <c r="C45" i="11" s="1"/>
  <c r="B44" i="11"/>
  <c r="B43" i="11"/>
  <c r="B42" i="11"/>
  <c r="B41" i="11"/>
  <c r="B40" i="11"/>
  <c r="D40" i="11" s="1"/>
  <c r="C39" i="11"/>
  <c r="B39" i="11"/>
  <c r="B38" i="11"/>
  <c r="D38" i="11" s="1"/>
  <c r="D37" i="11"/>
  <c r="B37" i="11"/>
  <c r="C37" i="11" s="1"/>
  <c r="B36" i="11"/>
  <c r="B35" i="11"/>
  <c r="D34" i="11"/>
  <c r="C34" i="11"/>
  <c r="B34" i="11"/>
  <c r="B33" i="11"/>
  <c r="B32" i="11"/>
  <c r="D32" i="11" s="1"/>
  <c r="B31" i="11"/>
  <c r="B30" i="11"/>
  <c r="C29" i="11"/>
  <c r="B29" i="11"/>
  <c r="D28" i="11"/>
  <c r="B28" i="11"/>
  <c r="B27" i="11"/>
  <c r="B26" i="11"/>
  <c r="C26" i="11" s="1"/>
  <c r="B25" i="11"/>
  <c r="C25" i="11" s="1"/>
  <c r="C24" i="11"/>
  <c r="B24" i="11"/>
  <c r="D24" i="11" s="1"/>
  <c r="D23" i="11"/>
  <c r="B23" i="11"/>
  <c r="C23" i="11" s="1"/>
  <c r="B22" i="11"/>
  <c r="C21" i="11"/>
  <c r="B21" i="11"/>
  <c r="C22" i="11" s="1"/>
  <c r="D20" i="11"/>
  <c r="C20" i="11"/>
  <c r="B20" i="11"/>
  <c r="B19" i="11"/>
  <c r="B18" i="11"/>
  <c r="C17" i="11"/>
  <c r="B17" i="11"/>
  <c r="D29" i="11" s="1"/>
  <c r="B16" i="11"/>
  <c r="B15" i="11"/>
  <c r="C15" i="11" s="1"/>
  <c r="B14" i="11"/>
  <c r="C14" i="11" s="1"/>
  <c r="C13" i="11"/>
  <c r="B13" i="11"/>
  <c r="D25" i="11" s="1"/>
  <c r="B12" i="11"/>
  <c r="C12" i="11" s="1"/>
  <c r="B11" i="11"/>
  <c r="B10" i="11"/>
  <c r="C10" i="11" s="1"/>
  <c r="B9" i="11"/>
  <c r="C9" i="11" s="1"/>
  <c r="B8" i="11"/>
  <c r="C8" i="11" s="1"/>
  <c r="B7" i="11"/>
  <c r="D372" i="10"/>
  <c r="C372" i="10"/>
  <c r="B372" i="10"/>
  <c r="D371" i="10"/>
  <c r="B371" i="10"/>
  <c r="B370" i="10"/>
  <c r="C371" i="10" s="1"/>
  <c r="C369" i="10"/>
  <c r="B369" i="10"/>
  <c r="D369" i="10" s="1"/>
  <c r="D368" i="10"/>
  <c r="B368" i="10"/>
  <c r="C368" i="10" s="1"/>
  <c r="B367" i="10"/>
  <c r="D367" i="10" s="1"/>
  <c r="B366" i="10"/>
  <c r="D366" i="10" s="1"/>
  <c r="B365" i="10"/>
  <c r="D365" i="10" s="1"/>
  <c r="D364" i="10"/>
  <c r="C364" i="10"/>
  <c r="B364" i="10"/>
  <c r="C365" i="10" s="1"/>
  <c r="B363" i="10"/>
  <c r="B362" i="10"/>
  <c r="B361" i="10"/>
  <c r="B360" i="10"/>
  <c r="C360" i="10" s="1"/>
  <c r="B359" i="10"/>
  <c r="D359" i="10" s="1"/>
  <c r="D358" i="10"/>
  <c r="C358" i="10"/>
  <c r="B358" i="10"/>
  <c r="C359" i="10" s="1"/>
  <c r="B357" i="10"/>
  <c r="D357" i="10" s="1"/>
  <c r="B356" i="10"/>
  <c r="C357" i="10" s="1"/>
  <c r="C355" i="10"/>
  <c r="B355" i="10"/>
  <c r="B354" i="10"/>
  <c r="D353" i="10"/>
  <c r="B353" i="10"/>
  <c r="C353" i="10" s="1"/>
  <c r="B352" i="10"/>
  <c r="C351" i="10"/>
  <c r="B351" i="10"/>
  <c r="D351" i="10" s="1"/>
  <c r="D350" i="10"/>
  <c r="C350" i="10"/>
  <c r="B350" i="10"/>
  <c r="B349" i="10"/>
  <c r="B348" i="10"/>
  <c r="C349" i="10" s="1"/>
  <c r="D347" i="10"/>
  <c r="C347" i="10"/>
  <c r="B347" i="10"/>
  <c r="B346" i="10"/>
  <c r="D345" i="10"/>
  <c r="C345" i="10"/>
  <c r="B345" i="10"/>
  <c r="D344" i="10"/>
  <c r="B344" i="10"/>
  <c r="B343" i="10"/>
  <c r="B342" i="10"/>
  <c r="C342" i="10" s="1"/>
  <c r="B341" i="10"/>
  <c r="C340" i="10"/>
  <c r="B340" i="10"/>
  <c r="C341" i="10" s="1"/>
  <c r="D339" i="10"/>
  <c r="B339" i="10"/>
  <c r="D338" i="10"/>
  <c r="B338" i="10"/>
  <c r="C339" i="10" s="1"/>
  <c r="D337" i="10"/>
  <c r="C337" i="10"/>
  <c r="B337" i="10"/>
  <c r="D336" i="10"/>
  <c r="B336" i="10"/>
  <c r="B335" i="10"/>
  <c r="D335" i="10" s="1"/>
  <c r="C334" i="10"/>
  <c r="B334" i="10"/>
  <c r="D334" i="10" s="1"/>
  <c r="C333" i="10"/>
  <c r="B333" i="10"/>
  <c r="D333" i="10" s="1"/>
  <c r="B332" i="10"/>
  <c r="C332" i="10" s="1"/>
  <c r="B331" i="10"/>
  <c r="B330" i="10"/>
  <c r="B329" i="10"/>
  <c r="C329" i="10" s="1"/>
  <c r="B328" i="10"/>
  <c r="C328" i="10" s="1"/>
  <c r="C327" i="10"/>
  <c r="B327" i="10"/>
  <c r="D327" i="10" s="1"/>
  <c r="B326" i="10"/>
  <c r="C326" i="10" s="1"/>
  <c r="B325" i="10"/>
  <c r="C324" i="10"/>
  <c r="B324" i="10"/>
  <c r="C325" i="10" s="1"/>
  <c r="D323" i="10"/>
  <c r="B323" i="10"/>
  <c r="D322" i="10"/>
  <c r="B322" i="10"/>
  <c r="C323" i="10" s="1"/>
  <c r="D321" i="10"/>
  <c r="C321" i="10"/>
  <c r="B321" i="10"/>
  <c r="D320" i="10"/>
  <c r="B320" i="10"/>
  <c r="B319" i="10"/>
  <c r="D319" i="10" s="1"/>
  <c r="C318" i="10"/>
  <c r="B318" i="10"/>
  <c r="D318" i="10" s="1"/>
  <c r="C317" i="10"/>
  <c r="B317" i="10"/>
  <c r="D317" i="10" s="1"/>
  <c r="B316" i="10"/>
  <c r="C316" i="10" s="1"/>
  <c r="B315" i="10"/>
  <c r="B314" i="10"/>
  <c r="D326" i="10" s="1"/>
  <c r="B313" i="10"/>
  <c r="C313" i="10" s="1"/>
  <c r="B312" i="10"/>
  <c r="C312" i="10" s="1"/>
  <c r="C311" i="10"/>
  <c r="B311" i="10"/>
  <c r="D311" i="10" s="1"/>
  <c r="B310" i="10"/>
  <c r="C310" i="10" s="1"/>
  <c r="B309" i="10"/>
  <c r="C308" i="10"/>
  <c r="B308" i="10"/>
  <c r="C309" i="10" s="1"/>
  <c r="D307" i="10"/>
  <c r="B307" i="10"/>
  <c r="D306" i="10"/>
  <c r="B306" i="10"/>
  <c r="C307" i="10" s="1"/>
  <c r="D305" i="10"/>
  <c r="C305" i="10"/>
  <c r="B305" i="10"/>
  <c r="D304" i="10"/>
  <c r="B304" i="10"/>
  <c r="B303" i="10"/>
  <c r="D303" i="10" s="1"/>
  <c r="C302" i="10"/>
  <c r="B302" i="10"/>
  <c r="D302" i="10" s="1"/>
  <c r="C301" i="10"/>
  <c r="B301" i="10"/>
  <c r="D301" i="10" s="1"/>
  <c r="B300" i="10"/>
  <c r="C300" i="10" s="1"/>
  <c r="B299" i="10"/>
  <c r="B298" i="10"/>
  <c r="B297" i="10"/>
  <c r="C297" i="10" s="1"/>
  <c r="B296" i="10"/>
  <c r="C296" i="10" s="1"/>
  <c r="C295" i="10"/>
  <c r="B295" i="10"/>
  <c r="D295" i="10" s="1"/>
  <c r="B294" i="10"/>
  <c r="C294" i="10" s="1"/>
  <c r="B293" i="10"/>
  <c r="C292" i="10"/>
  <c r="B292" i="10"/>
  <c r="C293" i="10" s="1"/>
  <c r="D291" i="10"/>
  <c r="B291" i="10"/>
  <c r="D290" i="10"/>
  <c r="B290" i="10"/>
  <c r="C291" i="10" s="1"/>
  <c r="D289" i="10"/>
  <c r="C289" i="10"/>
  <c r="B289" i="10"/>
  <c r="D288" i="10"/>
  <c r="B288" i="10"/>
  <c r="B287" i="10"/>
  <c r="D287" i="10" s="1"/>
  <c r="C286" i="10"/>
  <c r="B286" i="10"/>
  <c r="D286" i="10" s="1"/>
  <c r="C285" i="10"/>
  <c r="B285" i="10"/>
  <c r="D285" i="10" s="1"/>
  <c r="B284" i="10"/>
  <c r="C284" i="10" s="1"/>
  <c r="B283" i="10"/>
  <c r="B282" i="10"/>
  <c r="D294" i="10" s="1"/>
  <c r="B281" i="10"/>
  <c r="B280" i="10"/>
  <c r="D292" i="10" s="1"/>
  <c r="C279" i="10"/>
  <c r="B279" i="10"/>
  <c r="D279" i="10" s="1"/>
  <c r="B278" i="10"/>
  <c r="C278" i="10" s="1"/>
  <c r="B277" i="10"/>
  <c r="D276" i="10"/>
  <c r="C276" i="10"/>
  <c r="B276" i="10"/>
  <c r="C277" i="10" s="1"/>
  <c r="D275" i="10"/>
  <c r="B275" i="10"/>
  <c r="D274" i="10"/>
  <c r="B274" i="10"/>
  <c r="C275" i="10" s="1"/>
  <c r="D273" i="10"/>
  <c r="B273" i="10"/>
  <c r="C273" i="10" s="1"/>
  <c r="D272" i="10"/>
  <c r="B272" i="10"/>
  <c r="B271" i="10"/>
  <c r="D271" i="10" s="1"/>
  <c r="C270" i="10"/>
  <c r="B270" i="10"/>
  <c r="D270" i="10" s="1"/>
  <c r="C269" i="10"/>
  <c r="B269" i="10"/>
  <c r="D269" i="10" s="1"/>
  <c r="B268" i="10"/>
  <c r="C268" i="10" s="1"/>
  <c r="B267" i="10"/>
  <c r="B266" i="10"/>
  <c r="D278" i="10" s="1"/>
  <c r="B265" i="10"/>
  <c r="C265" i="10" s="1"/>
  <c r="B264" i="10"/>
  <c r="B263" i="10"/>
  <c r="D263" i="10" s="1"/>
  <c r="B262" i="10"/>
  <c r="C262" i="10" s="1"/>
  <c r="B261" i="10"/>
  <c r="D260" i="10"/>
  <c r="B260" i="10"/>
  <c r="C261" i="10" s="1"/>
  <c r="D259" i="10"/>
  <c r="B259" i="10"/>
  <c r="D258" i="10"/>
  <c r="B258" i="10"/>
  <c r="C259" i="10" s="1"/>
  <c r="D257" i="10"/>
  <c r="B257" i="10"/>
  <c r="C257" i="10" s="1"/>
  <c r="D256" i="10"/>
  <c r="B256" i="10"/>
  <c r="B255" i="10"/>
  <c r="D255" i="10" s="1"/>
  <c r="C254" i="10"/>
  <c r="B254" i="10"/>
  <c r="D254" i="10" s="1"/>
  <c r="C253" i="10"/>
  <c r="B253" i="10"/>
  <c r="D253" i="10" s="1"/>
  <c r="B252" i="10"/>
  <c r="C252" i="10" s="1"/>
  <c r="C251" i="10"/>
  <c r="B251" i="10"/>
  <c r="B250" i="10"/>
  <c r="B249" i="10"/>
  <c r="C249" i="10" s="1"/>
  <c r="B248" i="10"/>
  <c r="B247" i="10"/>
  <c r="D247" i="10" s="1"/>
  <c r="D246" i="10"/>
  <c r="B246" i="10"/>
  <c r="C246" i="10" s="1"/>
  <c r="B245" i="10"/>
  <c r="D244" i="10"/>
  <c r="B244" i="10"/>
  <c r="C245" i="10" s="1"/>
  <c r="D243" i="10"/>
  <c r="B243" i="10"/>
  <c r="D242" i="10"/>
  <c r="B242" i="10"/>
  <c r="C243" i="10" s="1"/>
  <c r="D241" i="10"/>
  <c r="B241" i="10"/>
  <c r="C241" i="10" s="1"/>
  <c r="D240" i="10"/>
  <c r="B240" i="10"/>
  <c r="B239" i="10"/>
  <c r="D239" i="10" s="1"/>
  <c r="C238" i="10"/>
  <c r="B238" i="10"/>
  <c r="D238" i="10" s="1"/>
  <c r="C237" i="10"/>
  <c r="B237" i="10"/>
  <c r="D237" i="10" s="1"/>
  <c r="B236" i="10"/>
  <c r="C236" i="10" s="1"/>
  <c r="C235" i="10"/>
  <c r="B235" i="10"/>
  <c r="D234" i="10"/>
  <c r="C234" i="10"/>
  <c r="B234" i="10"/>
  <c r="D233" i="10"/>
  <c r="B233" i="10"/>
  <c r="D232" i="10"/>
  <c r="B232" i="10"/>
  <c r="C232" i="10" s="1"/>
  <c r="D231" i="10"/>
  <c r="C231" i="10"/>
  <c r="B231" i="10"/>
  <c r="B230" i="10"/>
  <c r="C229" i="10"/>
  <c r="B229" i="10"/>
  <c r="D228" i="10"/>
  <c r="C228" i="10"/>
  <c r="B228" i="10"/>
  <c r="B227" i="10"/>
  <c r="B226" i="10"/>
  <c r="C227" i="10" s="1"/>
  <c r="D225" i="10"/>
  <c r="B225" i="10"/>
  <c r="C225" i="10" s="1"/>
  <c r="B224" i="10"/>
  <c r="D223" i="10"/>
  <c r="B223" i="10"/>
  <c r="D235" i="10" s="1"/>
  <c r="D222" i="10"/>
  <c r="B222" i="10"/>
  <c r="C222" i="10" s="1"/>
  <c r="B221" i="10"/>
  <c r="B220" i="10"/>
  <c r="D219" i="10"/>
  <c r="B219" i="10"/>
  <c r="B218" i="10"/>
  <c r="C217" i="10"/>
  <c r="B217" i="10"/>
  <c r="B216" i="10"/>
  <c r="D216" i="10" s="1"/>
  <c r="B215" i="10"/>
  <c r="B214" i="10"/>
  <c r="D214" i="10" s="1"/>
  <c r="B213" i="10"/>
  <c r="D213" i="10" s="1"/>
  <c r="B212" i="10"/>
  <c r="D211" i="10"/>
  <c r="C211" i="10"/>
  <c r="B211" i="10"/>
  <c r="B210" i="10"/>
  <c r="C210" i="10" s="1"/>
  <c r="B209" i="10"/>
  <c r="D209" i="10" s="1"/>
  <c r="B208" i="10"/>
  <c r="C208" i="10" s="1"/>
  <c r="B207" i="10"/>
  <c r="C207" i="10" s="1"/>
  <c r="B206" i="10"/>
  <c r="B205" i="10"/>
  <c r="D205" i="10" s="1"/>
  <c r="B204" i="10"/>
  <c r="C204" i="10" s="1"/>
  <c r="C203" i="10"/>
  <c r="B203" i="10"/>
  <c r="D202" i="10"/>
  <c r="C202" i="10"/>
  <c r="B202" i="10"/>
  <c r="D201" i="10"/>
  <c r="B201" i="10"/>
  <c r="D200" i="10"/>
  <c r="B200" i="10"/>
  <c r="C200" i="10" s="1"/>
  <c r="D199" i="10"/>
  <c r="C199" i="10"/>
  <c r="B199" i="10"/>
  <c r="B198" i="10"/>
  <c r="C197" i="10"/>
  <c r="B197" i="10"/>
  <c r="D196" i="10"/>
  <c r="C196" i="10"/>
  <c r="B196" i="10"/>
  <c r="B195" i="10"/>
  <c r="B194" i="10"/>
  <c r="D193" i="10"/>
  <c r="B193" i="10"/>
  <c r="C193" i="10" s="1"/>
  <c r="B192" i="10"/>
  <c r="B191" i="10"/>
  <c r="D190" i="10"/>
  <c r="B190" i="10"/>
  <c r="C190" i="10" s="1"/>
  <c r="B189" i="10"/>
  <c r="B188" i="10"/>
  <c r="D187" i="10"/>
  <c r="B187" i="10"/>
  <c r="B186" i="10"/>
  <c r="C185" i="10"/>
  <c r="B185" i="10"/>
  <c r="B184" i="10"/>
  <c r="D184" i="10" s="1"/>
  <c r="B183" i="10"/>
  <c r="C182" i="10"/>
  <c r="B182" i="10"/>
  <c r="D182" i="10" s="1"/>
  <c r="B181" i="10"/>
  <c r="D181" i="10" s="1"/>
  <c r="B180" i="10"/>
  <c r="D179" i="10"/>
  <c r="C179" i="10"/>
  <c r="B179" i="10"/>
  <c r="B178" i="10"/>
  <c r="C177" i="10"/>
  <c r="B177" i="10"/>
  <c r="D176" i="10"/>
  <c r="B176" i="10"/>
  <c r="C176" i="10" s="1"/>
  <c r="B175" i="10"/>
  <c r="B174" i="10"/>
  <c r="B173" i="10"/>
  <c r="D173" i="10" s="1"/>
  <c r="B172" i="10"/>
  <c r="C172" i="10" s="1"/>
  <c r="C171" i="10"/>
  <c r="B171" i="10"/>
  <c r="D170" i="10"/>
  <c r="C170" i="10"/>
  <c r="B170" i="10"/>
  <c r="D169" i="10"/>
  <c r="B169" i="10"/>
  <c r="B168" i="10"/>
  <c r="D167" i="10"/>
  <c r="C167" i="10"/>
  <c r="B167" i="10"/>
  <c r="B166" i="10"/>
  <c r="B165" i="10"/>
  <c r="D164" i="10"/>
  <c r="C164" i="10"/>
  <c r="B164" i="10"/>
  <c r="B163" i="10"/>
  <c r="B162" i="10"/>
  <c r="C163" i="10" s="1"/>
  <c r="D161" i="10"/>
  <c r="B161" i="10"/>
  <c r="C161" i="10" s="1"/>
  <c r="B160" i="10"/>
  <c r="D159" i="10"/>
  <c r="B159" i="10"/>
  <c r="D171" i="10" s="1"/>
  <c r="D158" i="10"/>
  <c r="B158" i="10"/>
  <c r="C158" i="10" s="1"/>
  <c r="B157" i="10"/>
  <c r="D156" i="10"/>
  <c r="C156" i="10"/>
  <c r="B156" i="10"/>
  <c r="C157" i="10" s="1"/>
  <c r="D155" i="10"/>
  <c r="B155" i="10"/>
  <c r="B154" i="10"/>
  <c r="C153" i="10"/>
  <c r="B153" i="10"/>
  <c r="D153" i="10" s="1"/>
  <c r="B152" i="10"/>
  <c r="B151" i="10"/>
  <c r="B150" i="10"/>
  <c r="D150" i="10" s="1"/>
  <c r="B149" i="10"/>
  <c r="B148" i="10"/>
  <c r="D147" i="10"/>
  <c r="C147" i="10"/>
  <c r="B147" i="10"/>
  <c r="B146" i="10"/>
  <c r="B145" i="10"/>
  <c r="D145" i="10" s="1"/>
  <c r="C144" i="10"/>
  <c r="B144" i="10"/>
  <c r="B143" i="10"/>
  <c r="D142" i="10"/>
  <c r="B142" i="10"/>
  <c r="C143" i="10" s="1"/>
  <c r="B141" i="10"/>
  <c r="B140" i="10"/>
  <c r="D139" i="10"/>
  <c r="C139" i="10"/>
  <c r="B139" i="10"/>
  <c r="B138" i="10"/>
  <c r="B137" i="10"/>
  <c r="D137" i="10" s="1"/>
  <c r="C136" i="10"/>
  <c r="B136" i="10"/>
  <c r="B135" i="10"/>
  <c r="D134" i="10"/>
  <c r="B134" i="10"/>
  <c r="C135" i="10" s="1"/>
  <c r="B133" i="10"/>
  <c r="B132" i="10"/>
  <c r="D131" i="10"/>
  <c r="C131" i="10"/>
  <c r="B131" i="10"/>
  <c r="D143" i="10" s="1"/>
  <c r="B130" i="10"/>
  <c r="B129" i="10"/>
  <c r="D129" i="10" s="1"/>
  <c r="C128" i="10"/>
  <c r="B128" i="10"/>
  <c r="B127" i="10"/>
  <c r="D126" i="10"/>
  <c r="B126" i="10"/>
  <c r="C127" i="10" s="1"/>
  <c r="B125" i="10"/>
  <c r="B124" i="10"/>
  <c r="D123" i="10"/>
  <c r="C123" i="10"/>
  <c r="B123" i="10"/>
  <c r="D135" i="10" s="1"/>
  <c r="B122" i="10"/>
  <c r="B121" i="10"/>
  <c r="D121" i="10" s="1"/>
  <c r="C120" i="10"/>
  <c r="B120" i="10"/>
  <c r="B119" i="10"/>
  <c r="D118" i="10"/>
  <c r="B118" i="10"/>
  <c r="C119" i="10" s="1"/>
  <c r="B117" i="10"/>
  <c r="B116" i="10"/>
  <c r="D115" i="10"/>
  <c r="C115" i="10"/>
  <c r="B115" i="10"/>
  <c r="D127" i="10" s="1"/>
  <c r="B114" i="10"/>
  <c r="B113" i="10"/>
  <c r="D113" i="10" s="1"/>
  <c r="C112" i="10"/>
  <c r="B112" i="10"/>
  <c r="B111" i="10"/>
  <c r="D110" i="10"/>
  <c r="B110" i="10"/>
  <c r="C111" i="10" s="1"/>
  <c r="B109" i="10"/>
  <c r="B108" i="10"/>
  <c r="D107" i="10"/>
  <c r="C107" i="10"/>
  <c r="B107" i="10"/>
  <c r="D119" i="10" s="1"/>
  <c r="B106" i="10"/>
  <c r="B105" i="10"/>
  <c r="D105" i="10" s="1"/>
  <c r="C104" i="10"/>
  <c r="B104" i="10"/>
  <c r="B103" i="10"/>
  <c r="D102" i="10"/>
  <c r="B102" i="10"/>
  <c r="C103" i="10" s="1"/>
  <c r="B101" i="10"/>
  <c r="B100" i="10"/>
  <c r="D99" i="10"/>
  <c r="C99" i="10"/>
  <c r="B99" i="10"/>
  <c r="D111" i="10" s="1"/>
  <c r="B98" i="10"/>
  <c r="B97" i="10"/>
  <c r="D97" i="10" s="1"/>
  <c r="C96" i="10"/>
  <c r="B96" i="10"/>
  <c r="B95" i="10"/>
  <c r="D94" i="10"/>
  <c r="B94" i="10"/>
  <c r="C95" i="10" s="1"/>
  <c r="B93" i="10"/>
  <c r="B92" i="10"/>
  <c r="D91" i="10"/>
  <c r="C91" i="10"/>
  <c r="B91" i="10"/>
  <c r="D103" i="10" s="1"/>
  <c r="B90" i="10"/>
  <c r="B89" i="10"/>
  <c r="D89" i="10" s="1"/>
  <c r="C88" i="10"/>
  <c r="B88" i="10"/>
  <c r="B87" i="10"/>
  <c r="D86" i="10"/>
  <c r="B86" i="10"/>
  <c r="C87" i="10" s="1"/>
  <c r="B85" i="10"/>
  <c r="B84" i="10"/>
  <c r="D83" i="10"/>
  <c r="C83" i="10"/>
  <c r="B83" i="10"/>
  <c r="D95" i="10" s="1"/>
  <c r="B82" i="10"/>
  <c r="B81" i="10"/>
  <c r="D81" i="10" s="1"/>
  <c r="C80" i="10"/>
  <c r="B80" i="10"/>
  <c r="B79" i="10"/>
  <c r="D78" i="10"/>
  <c r="B78" i="10"/>
  <c r="C79" i="10" s="1"/>
  <c r="B77" i="10"/>
  <c r="B76" i="10"/>
  <c r="D75" i="10"/>
  <c r="C75" i="10"/>
  <c r="B75" i="10"/>
  <c r="D87" i="10" s="1"/>
  <c r="B74" i="10"/>
  <c r="B73" i="10"/>
  <c r="D73" i="10" s="1"/>
  <c r="C72" i="10"/>
  <c r="B72" i="10"/>
  <c r="B71" i="10"/>
  <c r="D70" i="10"/>
  <c r="B70" i="10"/>
  <c r="C71" i="10" s="1"/>
  <c r="B69" i="10"/>
  <c r="B68" i="10"/>
  <c r="D67" i="10"/>
  <c r="C67" i="10"/>
  <c r="B67" i="10"/>
  <c r="D79" i="10" s="1"/>
  <c r="B66" i="10"/>
  <c r="B65" i="10"/>
  <c r="D65" i="10" s="1"/>
  <c r="C64" i="10"/>
  <c r="B64" i="10"/>
  <c r="B63" i="10"/>
  <c r="D62" i="10"/>
  <c r="B62" i="10"/>
  <c r="C63" i="10" s="1"/>
  <c r="B61" i="10"/>
  <c r="B60" i="10"/>
  <c r="D59" i="10"/>
  <c r="C59" i="10"/>
  <c r="B59" i="10"/>
  <c r="D71" i="10" s="1"/>
  <c r="B58" i="10"/>
  <c r="B57" i="10"/>
  <c r="D57" i="10" s="1"/>
  <c r="C56" i="10"/>
  <c r="B56" i="10"/>
  <c r="B55" i="10"/>
  <c r="D54" i="10"/>
  <c r="B54" i="10"/>
  <c r="C55" i="10" s="1"/>
  <c r="B53" i="10"/>
  <c r="B52" i="10"/>
  <c r="D51" i="10"/>
  <c r="C51" i="10"/>
  <c r="B51" i="10"/>
  <c r="D63" i="10" s="1"/>
  <c r="B50" i="10"/>
  <c r="B49" i="10"/>
  <c r="D49" i="10" s="1"/>
  <c r="C48" i="10"/>
  <c r="B48" i="10"/>
  <c r="B47" i="10"/>
  <c r="D46" i="10"/>
  <c r="B46" i="10"/>
  <c r="C47" i="10" s="1"/>
  <c r="B45" i="10"/>
  <c r="B44" i="10"/>
  <c r="D43" i="10"/>
  <c r="C43" i="10"/>
  <c r="B43" i="10"/>
  <c r="D55" i="10" s="1"/>
  <c r="B42" i="10"/>
  <c r="B41" i="10"/>
  <c r="D41" i="10" s="1"/>
  <c r="C40" i="10"/>
  <c r="B40" i="10"/>
  <c r="B39" i="10"/>
  <c r="D38" i="10"/>
  <c r="B38" i="10"/>
  <c r="C39" i="10" s="1"/>
  <c r="B37" i="10"/>
  <c r="B36" i="10"/>
  <c r="D35" i="10"/>
  <c r="C35" i="10"/>
  <c r="B35" i="10"/>
  <c r="D47" i="10" s="1"/>
  <c r="B34" i="10"/>
  <c r="B33" i="10"/>
  <c r="D33" i="10" s="1"/>
  <c r="C32" i="10"/>
  <c r="B32" i="10"/>
  <c r="B31" i="10"/>
  <c r="D30" i="10"/>
  <c r="B30" i="10"/>
  <c r="C31" i="10" s="1"/>
  <c r="D29" i="10"/>
  <c r="B29" i="10"/>
  <c r="B28" i="10"/>
  <c r="C27" i="10"/>
  <c r="B27" i="10"/>
  <c r="D39" i="10" s="1"/>
  <c r="B26" i="10"/>
  <c r="B25" i="10"/>
  <c r="D25" i="10" s="1"/>
  <c r="D24" i="10"/>
  <c r="C24" i="10"/>
  <c r="B24" i="10"/>
  <c r="B23" i="10"/>
  <c r="D22" i="10"/>
  <c r="B22" i="10"/>
  <c r="C23" i="10" s="1"/>
  <c r="D21" i="10"/>
  <c r="B21" i="10"/>
  <c r="B20" i="10"/>
  <c r="D19" i="10"/>
  <c r="C19" i="10"/>
  <c r="B19" i="10"/>
  <c r="D31" i="10" s="1"/>
  <c r="B18" i="10"/>
  <c r="C18" i="10" s="1"/>
  <c r="B17" i="10"/>
  <c r="B16" i="10"/>
  <c r="C17" i="10" s="1"/>
  <c r="C15" i="10"/>
  <c r="B15" i="10"/>
  <c r="C16" i="10" s="1"/>
  <c r="B14" i="10"/>
  <c r="C14" i="10" s="1"/>
  <c r="B13" i="10"/>
  <c r="B12" i="10"/>
  <c r="C13" i="10" s="1"/>
  <c r="B11" i="10"/>
  <c r="D23" i="10" s="1"/>
  <c r="B10" i="10"/>
  <c r="C10" i="10" s="1"/>
  <c r="B9" i="10"/>
  <c r="C8" i="10"/>
  <c r="B8" i="10"/>
  <c r="C9" i="10" s="1"/>
  <c r="B7" i="10"/>
  <c r="B372" i="9"/>
  <c r="B371" i="9"/>
  <c r="D370" i="9"/>
  <c r="B370" i="9"/>
  <c r="C370" i="9" s="1"/>
  <c r="B369" i="9"/>
  <c r="C369" i="9" s="1"/>
  <c r="B368" i="9"/>
  <c r="D368" i="9" s="1"/>
  <c r="C367" i="9"/>
  <c r="B367" i="9"/>
  <c r="B366" i="9"/>
  <c r="D365" i="9"/>
  <c r="C365" i="9"/>
  <c r="B365" i="9"/>
  <c r="C366" i="9" s="1"/>
  <c r="B364" i="9"/>
  <c r="B363" i="9"/>
  <c r="D362" i="9"/>
  <c r="B362" i="9"/>
  <c r="C362" i="9" s="1"/>
  <c r="B361" i="9"/>
  <c r="C361" i="9" s="1"/>
  <c r="B360" i="9"/>
  <c r="D360" i="9" s="1"/>
  <c r="C359" i="9"/>
  <c r="B359" i="9"/>
  <c r="B358" i="9"/>
  <c r="D357" i="9"/>
  <c r="C357" i="9"/>
  <c r="B357" i="9"/>
  <c r="C358" i="9" s="1"/>
  <c r="B356" i="9"/>
  <c r="B355" i="9"/>
  <c r="D354" i="9"/>
  <c r="B354" i="9"/>
  <c r="D366" i="9" s="1"/>
  <c r="B353" i="9"/>
  <c r="C353" i="9" s="1"/>
  <c r="B352" i="9"/>
  <c r="D352" i="9" s="1"/>
  <c r="C351" i="9"/>
  <c r="B351" i="9"/>
  <c r="B350" i="9"/>
  <c r="D349" i="9"/>
  <c r="C349" i="9"/>
  <c r="B349" i="9"/>
  <c r="C350" i="9" s="1"/>
  <c r="B348" i="9"/>
  <c r="B347" i="9"/>
  <c r="D346" i="9"/>
  <c r="B346" i="9"/>
  <c r="D358" i="9" s="1"/>
  <c r="B345" i="9"/>
  <c r="C345" i="9" s="1"/>
  <c r="B344" i="9"/>
  <c r="D344" i="9" s="1"/>
  <c r="C343" i="9"/>
  <c r="B343" i="9"/>
  <c r="B342" i="9"/>
  <c r="D341" i="9"/>
  <c r="C341" i="9"/>
  <c r="B341" i="9"/>
  <c r="C342" i="9" s="1"/>
  <c r="B340" i="9"/>
  <c r="B339" i="9"/>
  <c r="B338" i="9"/>
  <c r="D350" i="9" s="1"/>
  <c r="B337" i="9"/>
  <c r="C337" i="9" s="1"/>
  <c r="B336" i="9"/>
  <c r="D336" i="9" s="1"/>
  <c r="C335" i="9"/>
  <c r="B335" i="9"/>
  <c r="B334" i="9"/>
  <c r="D333" i="9"/>
  <c r="C333" i="9"/>
  <c r="B333" i="9"/>
  <c r="C334" i="9" s="1"/>
  <c r="B332" i="9"/>
  <c r="B331" i="9"/>
  <c r="B330" i="9"/>
  <c r="D342" i="9" s="1"/>
  <c r="B329" i="9"/>
  <c r="C329" i="9" s="1"/>
  <c r="B328" i="9"/>
  <c r="D328" i="9" s="1"/>
  <c r="C327" i="9"/>
  <c r="B327" i="9"/>
  <c r="B326" i="9"/>
  <c r="D325" i="9"/>
  <c r="C325" i="9"/>
  <c r="B325" i="9"/>
  <c r="C326" i="9" s="1"/>
  <c r="B324" i="9"/>
  <c r="B323" i="9"/>
  <c r="B322" i="9"/>
  <c r="D334" i="9" s="1"/>
  <c r="B321" i="9"/>
  <c r="C321" i="9" s="1"/>
  <c r="B320" i="9"/>
  <c r="D320" i="9" s="1"/>
  <c r="C319" i="9"/>
  <c r="B319" i="9"/>
  <c r="B318" i="9"/>
  <c r="D317" i="9"/>
  <c r="C317" i="9"/>
  <c r="B317" i="9"/>
  <c r="C318" i="9" s="1"/>
  <c r="B316" i="9"/>
  <c r="B315" i="9"/>
  <c r="B314" i="9"/>
  <c r="D326" i="9" s="1"/>
  <c r="B313" i="9"/>
  <c r="C313" i="9" s="1"/>
  <c r="B312" i="9"/>
  <c r="D312" i="9" s="1"/>
  <c r="C311" i="9"/>
  <c r="B311" i="9"/>
  <c r="B310" i="9"/>
  <c r="D309" i="9"/>
  <c r="C309" i="9"/>
  <c r="B309" i="9"/>
  <c r="C310" i="9" s="1"/>
  <c r="B308" i="9"/>
  <c r="B307" i="9"/>
  <c r="B306" i="9"/>
  <c r="D318" i="9" s="1"/>
  <c r="B305" i="9"/>
  <c r="C305" i="9" s="1"/>
  <c r="B304" i="9"/>
  <c r="D304" i="9" s="1"/>
  <c r="C303" i="9"/>
  <c r="B303" i="9"/>
  <c r="B302" i="9"/>
  <c r="D301" i="9"/>
  <c r="C301" i="9"/>
  <c r="B301" i="9"/>
  <c r="C302" i="9" s="1"/>
  <c r="B300" i="9"/>
  <c r="B299" i="9"/>
  <c r="B298" i="9"/>
  <c r="D310" i="9" s="1"/>
  <c r="B297" i="9"/>
  <c r="C297" i="9" s="1"/>
  <c r="B296" i="9"/>
  <c r="D296" i="9" s="1"/>
  <c r="C295" i="9"/>
  <c r="B295" i="9"/>
  <c r="B294" i="9"/>
  <c r="D293" i="9"/>
  <c r="C293" i="9"/>
  <c r="B293" i="9"/>
  <c r="C294" i="9" s="1"/>
  <c r="B292" i="9"/>
  <c r="B291" i="9"/>
  <c r="B290" i="9"/>
  <c r="D302" i="9" s="1"/>
  <c r="B289" i="9"/>
  <c r="B288" i="9"/>
  <c r="D288" i="9" s="1"/>
  <c r="C287" i="9"/>
  <c r="B287" i="9"/>
  <c r="B286" i="9"/>
  <c r="D285" i="9"/>
  <c r="C285" i="9"/>
  <c r="B285" i="9"/>
  <c r="C286" i="9" s="1"/>
  <c r="B284" i="9"/>
  <c r="B283" i="9"/>
  <c r="B282" i="9"/>
  <c r="D294" i="9" s="1"/>
  <c r="B281" i="9"/>
  <c r="B280" i="9"/>
  <c r="D280" i="9" s="1"/>
  <c r="C279" i="9"/>
  <c r="B279" i="9"/>
  <c r="B278" i="9"/>
  <c r="D277" i="9"/>
  <c r="C277" i="9"/>
  <c r="B277" i="9"/>
  <c r="C278" i="9" s="1"/>
  <c r="B276" i="9"/>
  <c r="B275" i="9"/>
  <c r="B274" i="9"/>
  <c r="D286" i="9" s="1"/>
  <c r="B273" i="9"/>
  <c r="B272" i="9"/>
  <c r="D272" i="9" s="1"/>
  <c r="C271" i="9"/>
  <c r="B271" i="9"/>
  <c r="B270" i="9"/>
  <c r="D269" i="9"/>
  <c r="C269" i="9"/>
  <c r="B269" i="9"/>
  <c r="C270" i="9" s="1"/>
  <c r="B268" i="9"/>
  <c r="B267" i="9"/>
  <c r="B266" i="9"/>
  <c r="D278" i="9" s="1"/>
  <c r="B265" i="9"/>
  <c r="B264" i="9"/>
  <c r="D264" i="9" s="1"/>
  <c r="C263" i="9"/>
  <c r="B263" i="9"/>
  <c r="B262" i="9"/>
  <c r="D261" i="9"/>
  <c r="C261" i="9"/>
  <c r="B261" i="9"/>
  <c r="C262" i="9" s="1"/>
  <c r="B260" i="9"/>
  <c r="B259" i="9"/>
  <c r="B258" i="9"/>
  <c r="D270" i="9" s="1"/>
  <c r="B257" i="9"/>
  <c r="B256" i="9"/>
  <c r="D256" i="9" s="1"/>
  <c r="C255" i="9"/>
  <c r="B255" i="9"/>
  <c r="B254" i="9"/>
  <c r="D253" i="9"/>
  <c r="C253" i="9"/>
  <c r="B253" i="9"/>
  <c r="C254" i="9" s="1"/>
  <c r="B252" i="9"/>
  <c r="B251" i="9"/>
  <c r="B250" i="9"/>
  <c r="D262" i="9" s="1"/>
  <c r="B249" i="9"/>
  <c r="B248" i="9"/>
  <c r="D248" i="9" s="1"/>
  <c r="C247" i="9"/>
  <c r="B247" i="9"/>
  <c r="B246" i="9"/>
  <c r="D245" i="9"/>
  <c r="C245" i="9"/>
  <c r="B245" i="9"/>
  <c r="C246" i="9" s="1"/>
  <c r="B244" i="9"/>
  <c r="B243" i="9"/>
  <c r="B242" i="9"/>
  <c r="D254" i="9" s="1"/>
  <c r="B241" i="9"/>
  <c r="B240" i="9"/>
  <c r="D240" i="9" s="1"/>
  <c r="C239" i="9"/>
  <c r="B239" i="9"/>
  <c r="B238" i="9"/>
  <c r="D237" i="9"/>
  <c r="C237" i="9"/>
  <c r="B237" i="9"/>
  <c r="C238" i="9" s="1"/>
  <c r="B236" i="9"/>
  <c r="B235" i="9"/>
  <c r="B234" i="9"/>
  <c r="D246" i="9" s="1"/>
  <c r="B233" i="9"/>
  <c r="B232" i="9"/>
  <c r="D232" i="9" s="1"/>
  <c r="C231" i="9"/>
  <c r="B231" i="9"/>
  <c r="B230" i="9"/>
  <c r="D229" i="9"/>
  <c r="C229" i="9"/>
  <c r="B229" i="9"/>
  <c r="C230" i="9" s="1"/>
  <c r="B228" i="9"/>
  <c r="B227" i="9"/>
  <c r="B226" i="9"/>
  <c r="D238" i="9" s="1"/>
  <c r="B225" i="9"/>
  <c r="B224" i="9"/>
  <c r="D224" i="9" s="1"/>
  <c r="C223" i="9"/>
  <c r="B223" i="9"/>
  <c r="B222" i="9"/>
  <c r="D221" i="9"/>
  <c r="C221" i="9"/>
  <c r="B221" i="9"/>
  <c r="C222" i="9" s="1"/>
  <c r="B220" i="9"/>
  <c r="B219" i="9"/>
  <c r="B218" i="9"/>
  <c r="D230" i="9" s="1"/>
  <c r="B217" i="9"/>
  <c r="B216" i="9"/>
  <c r="D216" i="9" s="1"/>
  <c r="C215" i="9"/>
  <c r="B215" i="9"/>
  <c r="B214" i="9"/>
  <c r="D213" i="9"/>
  <c r="C213" i="9"/>
  <c r="B213" i="9"/>
  <c r="C214" i="9" s="1"/>
  <c r="B212" i="9"/>
  <c r="B211" i="9"/>
  <c r="B210" i="9"/>
  <c r="D222" i="9" s="1"/>
  <c r="B209" i="9"/>
  <c r="B208" i="9"/>
  <c r="D208" i="9" s="1"/>
  <c r="C207" i="9"/>
  <c r="B207" i="9"/>
  <c r="B206" i="9"/>
  <c r="D205" i="9"/>
  <c r="C205" i="9"/>
  <c r="B205" i="9"/>
  <c r="C206" i="9" s="1"/>
  <c r="B204" i="9"/>
  <c r="B203" i="9"/>
  <c r="B202" i="9"/>
  <c r="B201" i="9"/>
  <c r="B200" i="9"/>
  <c r="D200" i="9" s="1"/>
  <c r="C199" i="9"/>
  <c r="B199" i="9"/>
  <c r="B198" i="9"/>
  <c r="D197" i="9"/>
  <c r="C197" i="9"/>
  <c r="B197" i="9"/>
  <c r="C198" i="9" s="1"/>
  <c r="B196" i="9"/>
  <c r="B195" i="9"/>
  <c r="B194" i="9"/>
  <c r="B193" i="9"/>
  <c r="B192" i="9"/>
  <c r="D192" i="9" s="1"/>
  <c r="C191" i="9"/>
  <c r="B191" i="9"/>
  <c r="B190" i="9"/>
  <c r="D189" i="9"/>
  <c r="C189" i="9"/>
  <c r="B189" i="9"/>
  <c r="C190" i="9" s="1"/>
  <c r="B188" i="9"/>
  <c r="B187" i="9"/>
  <c r="B186" i="9"/>
  <c r="B185" i="9"/>
  <c r="B184" i="9"/>
  <c r="D184" i="9" s="1"/>
  <c r="C183" i="9"/>
  <c r="B183" i="9"/>
  <c r="B182" i="9"/>
  <c r="D181" i="9"/>
  <c r="C181" i="9"/>
  <c r="B181" i="9"/>
  <c r="C182" i="9" s="1"/>
  <c r="B180" i="9"/>
  <c r="B179" i="9"/>
  <c r="B178" i="9"/>
  <c r="B177" i="9"/>
  <c r="B176" i="9"/>
  <c r="D176" i="9" s="1"/>
  <c r="C175" i="9"/>
  <c r="B175" i="9"/>
  <c r="B174" i="9"/>
  <c r="D173" i="9"/>
  <c r="C173" i="9"/>
  <c r="B173" i="9"/>
  <c r="C174" i="9" s="1"/>
  <c r="B172" i="9"/>
  <c r="B171" i="9"/>
  <c r="B170" i="9"/>
  <c r="B169" i="9"/>
  <c r="B168" i="9"/>
  <c r="D168" i="9" s="1"/>
  <c r="C167" i="9"/>
  <c r="B167" i="9"/>
  <c r="B166" i="9"/>
  <c r="D165" i="9"/>
  <c r="C165" i="9"/>
  <c r="B165" i="9"/>
  <c r="C166" i="9" s="1"/>
  <c r="B164" i="9"/>
  <c r="B163" i="9"/>
  <c r="B162" i="9"/>
  <c r="B161" i="9"/>
  <c r="B160" i="9"/>
  <c r="D160" i="9" s="1"/>
  <c r="C159" i="9"/>
  <c r="B159" i="9"/>
  <c r="B158" i="9"/>
  <c r="D157" i="9"/>
  <c r="C157" i="9"/>
  <c r="B157" i="9"/>
  <c r="C158" i="9" s="1"/>
  <c r="B156" i="9"/>
  <c r="B155" i="9"/>
  <c r="B154" i="9"/>
  <c r="B153" i="9"/>
  <c r="B152" i="9"/>
  <c r="D152" i="9" s="1"/>
  <c r="C151" i="9"/>
  <c r="B151" i="9"/>
  <c r="B150" i="9"/>
  <c r="D149" i="9"/>
  <c r="C149" i="9"/>
  <c r="B149" i="9"/>
  <c r="C150" i="9" s="1"/>
  <c r="B148" i="9"/>
  <c r="B147" i="9"/>
  <c r="B146" i="9"/>
  <c r="B145" i="9"/>
  <c r="B144" i="9"/>
  <c r="D144" i="9" s="1"/>
  <c r="C143" i="9"/>
  <c r="B143" i="9"/>
  <c r="B142" i="9"/>
  <c r="D141" i="9"/>
  <c r="C141" i="9"/>
  <c r="B141" i="9"/>
  <c r="C142" i="9" s="1"/>
  <c r="B140" i="9"/>
  <c r="B139" i="9"/>
  <c r="B138" i="9"/>
  <c r="B137" i="9"/>
  <c r="B136" i="9"/>
  <c r="D136" i="9" s="1"/>
  <c r="C135" i="9"/>
  <c r="B135" i="9"/>
  <c r="B134" i="9"/>
  <c r="D133" i="9"/>
  <c r="C133" i="9"/>
  <c r="B133" i="9"/>
  <c r="C134" i="9" s="1"/>
  <c r="B132" i="9"/>
  <c r="B131" i="9"/>
  <c r="B130" i="9"/>
  <c r="B129" i="9"/>
  <c r="B128" i="9"/>
  <c r="D128" i="9" s="1"/>
  <c r="C127" i="9"/>
  <c r="B127" i="9"/>
  <c r="B126" i="9"/>
  <c r="D125" i="9"/>
  <c r="C125" i="9"/>
  <c r="B125" i="9"/>
  <c r="C126" i="9" s="1"/>
  <c r="B124" i="9"/>
  <c r="B123" i="9"/>
  <c r="B122" i="9"/>
  <c r="B121" i="9"/>
  <c r="B120" i="9"/>
  <c r="D120" i="9" s="1"/>
  <c r="C119" i="9"/>
  <c r="B119" i="9"/>
  <c r="B118" i="9"/>
  <c r="D117" i="9"/>
  <c r="C117" i="9"/>
  <c r="B117" i="9"/>
  <c r="C118" i="9" s="1"/>
  <c r="B116" i="9"/>
  <c r="B115" i="9"/>
  <c r="B114" i="9"/>
  <c r="B113" i="9"/>
  <c r="B112" i="9"/>
  <c r="D112" i="9" s="1"/>
  <c r="C111" i="9"/>
  <c r="B111" i="9"/>
  <c r="B110" i="9"/>
  <c r="D109" i="9"/>
  <c r="C109" i="9"/>
  <c r="B109" i="9"/>
  <c r="C110" i="9" s="1"/>
  <c r="B108" i="9"/>
  <c r="B107" i="9"/>
  <c r="B106" i="9"/>
  <c r="B105" i="9"/>
  <c r="B104" i="9"/>
  <c r="D104" i="9" s="1"/>
  <c r="C103" i="9"/>
  <c r="B103" i="9"/>
  <c r="B102" i="9"/>
  <c r="D101" i="9"/>
  <c r="C101" i="9"/>
  <c r="B101" i="9"/>
  <c r="C102" i="9" s="1"/>
  <c r="B100" i="9"/>
  <c r="B99" i="9"/>
  <c r="B98" i="9"/>
  <c r="B97" i="9"/>
  <c r="B96" i="9"/>
  <c r="D96" i="9" s="1"/>
  <c r="C95" i="9"/>
  <c r="B95" i="9"/>
  <c r="B94" i="9"/>
  <c r="D93" i="9"/>
  <c r="C93" i="9"/>
  <c r="B93" i="9"/>
  <c r="C94" i="9" s="1"/>
  <c r="B92" i="9"/>
  <c r="B91" i="9"/>
  <c r="B90" i="9"/>
  <c r="B89" i="9"/>
  <c r="B88" i="9"/>
  <c r="D88" i="9" s="1"/>
  <c r="C87" i="9"/>
  <c r="B87" i="9"/>
  <c r="B86" i="9"/>
  <c r="D85" i="9"/>
  <c r="C85" i="9"/>
  <c r="B85" i="9"/>
  <c r="C86" i="9" s="1"/>
  <c r="B84" i="9"/>
  <c r="B83" i="9"/>
  <c r="B82" i="9"/>
  <c r="B81" i="9"/>
  <c r="B80" i="9"/>
  <c r="D80" i="9" s="1"/>
  <c r="C79" i="9"/>
  <c r="B79" i="9"/>
  <c r="B78" i="9"/>
  <c r="D77" i="9"/>
  <c r="C77" i="9"/>
  <c r="B77" i="9"/>
  <c r="C78" i="9" s="1"/>
  <c r="B76" i="9"/>
  <c r="B75" i="9"/>
  <c r="B74" i="9"/>
  <c r="B73" i="9"/>
  <c r="B72" i="9"/>
  <c r="D72" i="9" s="1"/>
  <c r="C71" i="9"/>
  <c r="B71" i="9"/>
  <c r="B70" i="9"/>
  <c r="D69" i="9"/>
  <c r="C69" i="9"/>
  <c r="B69" i="9"/>
  <c r="C70" i="9" s="1"/>
  <c r="B68" i="9"/>
  <c r="B67" i="9"/>
  <c r="B66" i="9"/>
  <c r="B65" i="9"/>
  <c r="B64" i="9"/>
  <c r="D64" i="9" s="1"/>
  <c r="C63" i="9"/>
  <c r="B63" i="9"/>
  <c r="B62" i="9"/>
  <c r="D61" i="9"/>
  <c r="B61" i="9"/>
  <c r="C62" i="9" s="1"/>
  <c r="B60" i="9"/>
  <c r="B59" i="9"/>
  <c r="B58" i="9"/>
  <c r="B57" i="9"/>
  <c r="B56" i="9"/>
  <c r="D56" i="9" s="1"/>
  <c r="C55" i="9"/>
  <c r="B55" i="9"/>
  <c r="B54" i="9"/>
  <c r="D53" i="9"/>
  <c r="B53" i="9"/>
  <c r="C54" i="9" s="1"/>
  <c r="B52" i="9"/>
  <c r="B51" i="9"/>
  <c r="B50" i="9"/>
  <c r="B49" i="9"/>
  <c r="B48" i="9"/>
  <c r="D48" i="9" s="1"/>
  <c r="C47" i="9"/>
  <c r="B47" i="9"/>
  <c r="B46" i="9"/>
  <c r="D45" i="9"/>
  <c r="B45" i="9"/>
  <c r="C46" i="9" s="1"/>
  <c r="B44" i="9"/>
  <c r="B43" i="9"/>
  <c r="B42" i="9"/>
  <c r="B41" i="9"/>
  <c r="B40" i="9"/>
  <c r="D40" i="9" s="1"/>
  <c r="C39" i="9"/>
  <c r="B39" i="9"/>
  <c r="B38" i="9"/>
  <c r="D37" i="9"/>
  <c r="B37" i="9"/>
  <c r="C38" i="9" s="1"/>
  <c r="B36" i="9"/>
  <c r="B35" i="9"/>
  <c r="B34" i="9"/>
  <c r="B33" i="9"/>
  <c r="B32" i="9"/>
  <c r="D32" i="9" s="1"/>
  <c r="C31" i="9"/>
  <c r="B31" i="9"/>
  <c r="B30" i="9"/>
  <c r="D29" i="9"/>
  <c r="B29" i="9"/>
  <c r="C30" i="9" s="1"/>
  <c r="D28" i="9"/>
  <c r="B28" i="9"/>
  <c r="B27" i="9"/>
  <c r="B26" i="9"/>
  <c r="B25" i="9"/>
  <c r="B24" i="9"/>
  <c r="D24" i="9" s="1"/>
  <c r="D23" i="9"/>
  <c r="C23" i="9"/>
  <c r="B23" i="9"/>
  <c r="B22" i="9"/>
  <c r="D21" i="9"/>
  <c r="B21" i="9"/>
  <c r="C22" i="9" s="1"/>
  <c r="D20" i="9"/>
  <c r="B20" i="9"/>
  <c r="B19" i="9"/>
  <c r="C18" i="9"/>
  <c r="B18" i="9"/>
  <c r="D30" i="9" s="1"/>
  <c r="C17" i="9"/>
  <c r="B17" i="9"/>
  <c r="B16" i="9"/>
  <c r="B15" i="9"/>
  <c r="B14" i="9"/>
  <c r="C14" i="9" s="1"/>
  <c r="C13" i="9"/>
  <c r="B13" i="9"/>
  <c r="B12" i="9"/>
  <c r="C12" i="9" s="1"/>
  <c r="B11" i="9"/>
  <c r="B10" i="9"/>
  <c r="D22" i="9" s="1"/>
  <c r="C9" i="9"/>
  <c r="B9" i="9"/>
  <c r="B8" i="9"/>
  <c r="C8" i="9" s="1"/>
  <c r="B7" i="9"/>
  <c r="D372" i="8"/>
  <c r="B372" i="8"/>
  <c r="C372" i="8" s="1"/>
  <c r="B371" i="8"/>
  <c r="B370" i="8"/>
  <c r="B369" i="8"/>
  <c r="B368" i="8"/>
  <c r="B367" i="8"/>
  <c r="D367" i="8" s="1"/>
  <c r="C366" i="8"/>
  <c r="B366" i="8"/>
  <c r="B365" i="8"/>
  <c r="D364" i="8"/>
  <c r="B364" i="8"/>
  <c r="C365" i="8" s="1"/>
  <c r="B363" i="8"/>
  <c r="B362" i="8"/>
  <c r="B361" i="8"/>
  <c r="B360" i="8"/>
  <c r="B359" i="8"/>
  <c r="D359" i="8" s="1"/>
  <c r="C358" i="8"/>
  <c r="B358" i="8"/>
  <c r="B357" i="8"/>
  <c r="D356" i="8"/>
  <c r="B356" i="8"/>
  <c r="C357" i="8" s="1"/>
  <c r="B355" i="8"/>
  <c r="B354" i="8"/>
  <c r="B353" i="8"/>
  <c r="B352" i="8"/>
  <c r="B351" i="8"/>
  <c r="D351" i="8" s="1"/>
  <c r="C350" i="8"/>
  <c r="B350" i="8"/>
  <c r="B349" i="8"/>
  <c r="D348" i="8"/>
  <c r="B348" i="8"/>
  <c r="C349" i="8" s="1"/>
  <c r="B347" i="8"/>
  <c r="B346" i="8"/>
  <c r="B345" i="8"/>
  <c r="B344" i="8"/>
  <c r="B343" i="8"/>
  <c r="D343" i="8" s="1"/>
  <c r="C342" i="8"/>
  <c r="B342" i="8"/>
  <c r="B341" i="8"/>
  <c r="D340" i="8"/>
  <c r="B340" i="8"/>
  <c r="C341" i="8" s="1"/>
  <c r="B339" i="8"/>
  <c r="B338" i="8"/>
  <c r="B337" i="8"/>
  <c r="B336" i="8"/>
  <c r="B335" i="8"/>
  <c r="D335" i="8" s="1"/>
  <c r="C334" i="8"/>
  <c r="B334" i="8"/>
  <c r="B333" i="8"/>
  <c r="D332" i="8"/>
  <c r="B332" i="8"/>
  <c r="C333" i="8" s="1"/>
  <c r="B331" i="8"/>
  <c r="B330" i="8"/>
  <c r="B329" i="8"/>
  <c r="B328" i="8"/>
  <c r="B327" i="8"/>
  <c r="D327" i="8" s="1"/>
  <c r="C326" i="8"/>
  <c r="B326" i="8"/>
  <c r="B325" i="8"/>
  <c r="D324" i="8"/>
  <c r="B324" i="8"/>
  <c r="C325" i="8" s="1"/>
  <c r="B323" i="8"/>
  <c r="B322" i="8"/>
  <c r="B321" i="8"/>
  <c r="B320" i="8"/>
  <c r="B319" i="8"/>
  <c r="D319" i="8" s="1"/>
  <c r="C318" i="8"/>
  <c r="B318" i="8"/>
  <c r="B317" i="8"/>
  <c r="D316" i="8"/>
  <c r="B316" i="8"/>
  <c r="C317" i="8" s="1"/>
  <c r="B315" i="8"/>
  <c r="B314" i="8"/>
  <c r="B313" i="8"/>
  <c r="B312" i="8"/>
  <c r="B311" i="8"/>
  <c r="D311" i="8" s="1"/>
  <c r="C310" i="8"/>
  <c r="B310" i="8"/>
  <c r="B309" i="8"/>
  <c r="D308" i="8"/>
  <c r="B308" i="8"/>
  <c r="C309" i="8" s="1"/>
  <c r="B307" i="8"/>
  <c r="B306" i="8"/>
  <c r="B305" i="8"/>
  <c r="B304" i="8"/>
  <c r="B303" i="8"/>
  <c r="D303" i="8" s="1"/>
  <c r="C302" i="8"/>
  <c r="B302" i="8"/>
  <c r="B301" i="8"/>
  <c r="D300" i="8"/>
  <c r="B300" i="8"/>
  <c r="C301" i="8" s="1"/>
  <c r="B299" i="8"/>
  <c r="B298" i="8"/>
  <c r="B297" i="8"/>
  <c r="B296" i="8"/>
  <c r="B295" i="8"/>
  <c r="D295" i="8" s="1"/>
  <c r="C294" i="8"/>
  <c r="B294" i="8"/>
  <c r="B293" i="8"/>
  <c r="D292" i="8"/>
  <c r="B292" i="8"/>
  <c r="C293" i="8" s="1"/>
  <c r="B291" i="8"/>
  <c r="B290" i="8"/>
  <c r="B289" i="8"/>
  <c r="B288" i="8"/>
  <c r="B287" i="8"/>
  <c r="D287" i="8" s="1"/>
  <c r="C286" i="8"/>
  <c r="B286" i="8"/>
  <c r="B285" i="8"/>
  <c r="D284" i="8"/>
  <c r="B284" i="8"/>
  <c r="C285" i="8" s="1"/>
  <c r="B283" i="8"/>
  <c r="B282" i="8"/>
  <c r="B281" i="8"/>
  <c r="B280" i="8"/>
  <c r="B279" i="8"/>
  <c r="D279" i="8" s="1"/>
  <c r="D278" i="8"/>
  <c r="C278" i="8"/>
  <c r="B278" i="8"/>
  <c r="B277" i="8"/>
  <c r="B276" i="8"/>
  <c r="C276" i="8" s="1"/>
  <c r="B275" i="8"/>
  <c r="C275" i="8" s="1"/>
  <c r="D274" i="8"/>
  <c r="B274" i="8"/>
  <c r="D273" i="8"/>
  <c r="B273" i="8"/>
  <c r="D285" i="8" s="1"/>
  <c r="B272" i="8"/>
  <c r="B271" i="8"/>
  <c r="C270" i="8"/>
  <c r="B270" i="8"/>
  <c r="B269" i="8"/>
  <c r="B268" i="8"/>
  <c r="D267" i="8"/>
  <c r="B267" i="8"/>
  <c r="C267" i="8" s="1"/>
  <c r="D266" i="8"/>
  <c r="B266" i="8"/>
  <c r="D265" i="8"/>
  <c r="B265" i="8"/>
  <c r="D277" i="8" s="1"/>
  <c r="B264" i="8"/>
  <c r="C263" i="8"/>
  <c r="B263" i="8"/>
  <c r="D263" i="8" s="1"/>
  <c r="C262" i="8"/>
  <c r="B262" i="8"/>
  <c r="C261" i="8"/>
  <c r="B261" i="8"/>
  <c r="D260" i="8"/>
  <c r="C260" i="8"/>
  <c r="B260" i="8"/>
  <c r="D259" i="8"/>
  <c r="B259" i="8"/>
  <c r="B258" i="8"/>
  <c r="C258" i="8" s="1"/>
  <c r="C257" i="8"/>
  <c r="B257" i="8"/>
  <c r="D269" i="8" s="1"/>
  <c r="B256" i="8"/>
  <c r="C255" i="8"/>
  <c r="B255" i="8"/>
  <c r="D255" i="8" s="1"/>
  <c r="C254" i="8"/>
  <c r="B254" i="8"/>
  <c r="C253" i="8"/>
  <c r="B253" i="8"/>
  <c r="C252" i="8"/>
  <c r="B252" i="8"/>
  <c r="B251" i="8"/>
  <c r="B250" i="8"/>
  <c r="B249" i="8"/>
  <c r="B248" i="8"/>
  <c r="B247" i="8"/>
  <c r="D247" i="8" s="1"/>
  <c r="C246" i="8"/>
  <c r="B246" i="8"/>
  <c r="B245" i="8"/>
  <c r="B244" i="8"/>
  <c r="C244" i="8" s="1"/>
  <c r="B243" i="8"/>
  <c r="C243" i="8" s="1"/>
  <c r="D242" i="8"/>
  <c r="B242" i="8"/>
  <c r="C242" i="8" s="1"/>
  <c r="D241" i="8"/>
  <c r="B241" i="8"/>
  <c r="D253" i="8" s="1"/>
  <c r="B240" i="8"/>
  <c r="D252" i="8" s="1"/>
  <c r="B239" i="8"/>
  <c r="C238" i="8"/>
  <c r="B238" i="8"/>
  <c r="B237" i="8"/>
  <c r="B236" i="8"/>
  <c r="D235" i="8"/>
  <c r="B235" i="8"/>
  <c r="C235" i="8" s="1"/>
  <c r="D234" i="8"/>
  <c r="B234" i="8"/>
  <c r="C234" i="8" s="1"/>
  <c r="D233" i="8"/>
  <c r="B233" i="8"/>
  <c r="D245" i="8" s="1"/>
  <c r="B232" i="8"/>
  <c r="C231" i="8"/>
  <c r="B231" i="8"/>
  <c r="D231" i="8" s="1"/>
  <c r="D230" i="8"/>
  <c r="C230" i="8"/>
  <c r="B230" i="8"/>
  <c r="C229" i="8"/>
  <c r="B229" i="8"/>
  <c r="D228" i="8"/>
  <c r="C228" i="8"/>
  <c r="B228" i="8"/>
  <c r="D227" i="8"/>
  <c r="B227" i="8"/>
  <c r="B226" i="8"/>
  <c r="C226" i="8" s="1"/>
  <c r="C225" i="8"/>
  <c r="B225" i="8"/>
  <c r="D237" i="8" s="1"/>
  <c r="B224" i="8"/>
  <c r="C223" i="8"/>
  <c r="B223" i="8"/>
  <c r="D223" i="8" s="1"/>
  <c r="C222" i="8"/>
  <c r="B222" i="8"/>
  <c r="C221" i="8"/>
  <c r="B221" i="8"/>
  <c r="C220" i="8"/>
  <c r="B220" i="8"/>
  <c r="B219" i="8"/>
  <c r="B218" i="8"/>
  <c r="B217" i="8"/>
  <c r="B216" i="8"/>
  <c r="B215" i="8"/>
  <c r="D215" i="8" s="1"/>
  <c r="C214" i="8"/>
  <c r="B214" i="8"/>
  <c r="B213" i="8"/>
  <c r="B212" i="8"/>
  <c r="C212" i="8" s="1"/>
  <c r="B211" i="8"/>
  <c r="C211" i="8" s="1"/>
  <c r="D210" i="8"/>
  <c r="B210" i="8"/>
  <c r="C210" i="8" s="1"/>
  <c r="D209" i="8"/>
  <c r="B209" i="8"/>
  <c r="D221" i="8" s="1"/>
  <c r="B208" i="8"/>
  <c r="D220" i="8" s="1"/>
  <c r="B207" i="8"/>
  <c r="C206" i="8"/>
  <c r="B206" i="8"/>
  <c r="B205" i="8"/>
  <c r="B204" i="8"/>
  <c r="D203" i="8"/>
  <c r="B203" i="8"/>
  <c r="C203" i="8" s="1"/>
  <c r="D202" i="8"/>
  <c r="B202" i="8"/>
  <c r="C202" i="8" s="1"/>
  <c r="D201" i="8"/>
  <c r="B201" i="8"/>
  <c r="D213" i="8" s="1"/>
  <c r="B200" i="8"/>
  <c r="B199" i="8"/>
  <c r="D199" i="8" s="1"/>
  <c r="C198" i="8"/>
  <c r="B198" i="8"/>
  <c r="C197" i="8"/>
  <c r="B197" i="8"/>
  <c r="D196" i="8"/>
  <c r="B196" i="8"/>
  <c r="C196" i="8" s="1"/>
  <c r="D195" i="8"/>
  <c r="B195" i="8"/>
  <c r="B194" i="8"/>
  <c r="C194" i="8" s="1"/>
  <c r="C193" i="8"/>
  <c r="B193" i="8"/>
  <c r="D205" i="8" s="1"/>
  <c r="B192" i="8"/>
  <c r="C191" i="8"/>
  <c r="B191" i="8"/>
  <c r="D191" i="8" s="1"/>
  <c r="C190" i="8"/>
  <c r="B190" i="8"/>
  <c r="C189" i="8"/>
  <c r="B189" i="8"/>
  <c r="C188" i="8"/>
  <c r="B188" i="8"/>
  <c r="B187" i="8"/>
  <c r="B186" i="8"/>
  <c r="D198" i="8" s="1"/>
  <c r="B185" i="8"/>
  <c r="B184" i="8"/>
  <c r="B183" i="8"/>
  <c r="D183" i="8" s="1"/>
  <c r="C182" i="8"/>
  <c r="B182" i="8"/>
  <c r="B181" i="8"/>
  <c r="B180" i="8"/>
  <c r="C180" i="8" s="1"/>
  <c r="B179" i="8"/>
  <c r="C179" i="8" s="1"/>
  <c r="B178" i="8"/>
  <c r="C178" i="8" s="1"/>
  <c r="D177" i="8"/>
  <c r="B177" i="8"/>
  <c r="D189" i="8" s="1"/>
  <c r="B176" i="8"/>
  <c r="D188" i="8" s="1"/>
  <c r="B175" i="8"/>
  <c r="C174" i="8"/>
  <c r="B174" i="8"/>
  <c r="B173" i="8"/>
  <c r="B172" i="8"/>
  <c r="D171" i="8"/>
  <c r="B171" i="8"/>
  <c r="C171" i="8" s="1"/>
  <c r="D170" i="8"/>
  <c r="B170" i="8"/>
  <c r="C170" i="8" s="1"/>
  <c r="D169" i="8"/>
  <c r="B169" i="8"/>
  <c r="D181" i="8" s="1"/>
  <c r="B168" i="8"/>
  <c r="B167" i="8"/>
  <c r="D166" i="8"/>
  <c r="C166" i="8"/>
  <c r="B166" i="8"/>
  <c r="B165" i="8"/>
  <c r="D164" i="8"/>
  <c r="B164" i="8"/>
  <c r="C165" i="8" s="1"/>
  <c r="D163" i="8"/>
  <c r="B163" i="8"/>
  <c r="B162" i="8"/>
  <c r="C162" i="8" s="1"/>
  <c r="C161" i="8"/>
  <c r="B161" i="8"/>
  <c r="D173" i="8" s="1"/>
  <c r="B160" i="8"/>
  <c r="B159" i="8"/>
  <c r="D159" i="8" s="1"/>
  <c r="C158" i="8"/>
  <c r="B158" i="8"/>
  <c r="C157" i="8"/>
  <c r="B157" i="8"/>
  <c r="B156" i="8"/>
  <c r="C156" i="8" s="1"/>
  <c r="B155" i="8"/>
  <c r="B154" i="8"/>
  <c r="C154" i="8" s="1"/>
  <c r="D153" i="8"/>
  <c r="B153" i="8"/>
  <c r="D165" i="8" s="1"/>
  <c r="C152" i="8"/>
  <c r="B152" i="8"/>
  <c r="C151" i="8"/>
  <c r="B151" i="8"/>
  <c r="C150" i="8"/>
  <c r="B150" i="8"/>
  <c r="B149" i="8"/>
  <c r="D148" i="8"/>
  <c r="B148" i="8"/>
  <c r="C149" i="8" s="1"/>
  <c r="D147" i="8"/>
  <c r="B147" i="8"/>
  <c r="B146" i="8"/>
  <c r="C146" i="8" s="1"/>
  <c r="C145" i="8"/>
  <c r="B145" i="8"/>
  <c r="D145" i="8" s="1"/>
  <c r="B144" i="8"/>
  <c r="B143" i="8"/>
  <c r="D143" i="8" s="1"/>
  <c r="C142" i="8"/>
  <c r="B142" i="8"/>
  <c r="C141" i="8"/>
  <c r="B141" i="8"/>
  <c r="B140" i="8"/>
  <c r="C140" i="8" s="1"/>
  <c r="B139" i="8"/>
  <c r="B138" i="8"/>
  <c r="C138" i="8" s="1"/>
  <c r="D137" i="8"/>
  <c r="B137" i="8"/>
  <c r="D149" i="8" s="1"/>
  <c r="B136" i="8"/>
  <c r="C135" i="8"/>
  <c r="B135" i="8"/>
  <c r="C134" i="8"/>
  <c r="B134" i="8"/>
  <c r="B133" i="8"/>
  <c r="D132" i="8"/>
  <c r="B132" i="8"/>
  <c r="C133" i="8" s="1"/>
  <c r="D131" i="8"/>
  <c r="B131" i="8"/>
  <c r="B130" i="8"/>
  <c r="C129" i="8"/>
  <c r="B129" i="8"/>
  <c r="D129" i="8" s="1"/>
  <c r="B128" i="8"/>
  <c r="B127" i="8"/>
  <c r="D127" i="8" s="1"/>
  <c r="C126" i="8"/>
  <c r="B126" i="8"/>
  <c r="C125" i="8"/>
  <c r="B125" i="8"/>
  <c r="B124" i="8"/>
  <c r="C124" i="8" s="1"/>
  <c r="B123" i="8"/>
  <c r="B122" i="8"/>
  <c r="C122" i="8" s="1"/>
  <c r="D121" i="8"/>
  <c r="B121" i="8"/>
  <c r="D133" i="8" s="1"/>
  <c r="B120" i="8"/>
  <c r="C119" i="8"/>
  <c r="B119" i="8"/>
  <c r="C118" i="8"/>
  <c r="B118" i="8"/>
  <c r="B117" i="8"/>
  <c r="D116" i="8"/>
  <c r="B116" i="8"/>
  <c r="C117" i="8" s="1"/>
  <c r="D115" i="8"/>
  <c r="B115" i="8"/>
  <c r="B114" i="8"/>
  <c r="C113" i="8"/>
  <c r="B113" i="8"/>
  <c r="D113" i="8" s="1"/>
  <c r="B112" i="8"/>
  <c r="B111" i="8"/>
  <c r="D111" i="8" s="1"/>
  <c r="C110" i="8"/>
  <c r="B110" i="8"/>
  <c r="C109" i="8"/>
  <c r="B109" i="8"/>
  <c r="B108" i="8"/>
  <c r="C108" i="8" s="1"/>
  <c r="B107" i="8"/>
  <c r="B106" i="8"/>
  <c r="C106" i="8" s="1"/>
  <c r="D105" i="8"/>
  <c r="B105" i="8"/>
  <c r="D117" i="8" s="1"/>
  <c r="B104" i="8"/>
  <c r="C103" i="8"/>
  <c r="B103" i="8"/>
  <c r="C102" i="8"/>
  <c r="B102" i="8"/>
  <c r="B101" i="8"/>
  <c r="D100" i="8"/>
  <c r="B100" i="8"/>
  <c r="C101" i="8" s="1"/>
  <c r="D99" i="8"/>
  <c r="B99" i="8"/>
  <c r="B98" i="8"/>
  <c r="C97" i="8"/>
  <c r="B97" i="8"/>
  <c r="D97" i="8" s="1"/>
  <c r="B96" i="8"/>
  <c r="B95" i="8"/>
  <c r="D95" i="8" s="1"/>
  <c r="C94" i="8"/>
  <c r="B94" i="8"/>
  <c r="C93" i="8"/>
  <c r="B93" i="8"/>
  <c r="B92" i="8"/>
  <c r="C92" i="8" s="1"/>
  <c r="B91" i="8"/>
  <c r="B90" i="8"/>
  <c r="C90" i="8" s="1"/>
  <c r="D89" i="8"/>
  <c r="B89" i="8"/>
  <c r="D101" i="8" s="1"/>
  <c r="B88" i="8"/>
  <c r="C87" i="8"/>
  <c r="B87" i="8"/>
  <c r="C86" i="8"/>
  <c r="B86" i="8"/>
  <c r="B85" i="8"/>
  <c r="B84" i="8"/>
  <c r="D83" i="8"/>
  <c r="B83" i="8"/>
  <c r="B82" i="8"/>
  <c r="B81" i="8"/>
  <c r="D81" i="8" s="1"/>
  <c r="B80" i="8"/>
  <c r="C81" i="8" s="1"/>
  <c r="B79" i="8"/>
  <c r="D79" i="8" s="1"/>
  <c r="C78" i="8"/>
  <c r="B78" i="8"/>
  <c r="C77" i="8"/>
  <c r="B77" i="8"/>
  <c r="B76" i="8"/>
  <c r="B75" i="8"/>
  <c r="B74" i="8"/>
  <c r="D73" i="8"/>
  <c r="B73" i="8"/>
  <c r="D85" i="8" s="1"/>
  <c r="B72" i="8"/>
  <c r="C71" i="8"/>
  <c r="B71" i="8"/>
  <c r="C70" i="8"/>
  <c r="B70" i="8"/>
  <c r="B69" i="8"/>
  <c r="B68" i="8"/>
  <c r="D67" i="8"/>
  <c r="B67" i="8"/>
  <c r="B66" i="8"/>
  <c r="B65" i="8"/>
  <c r="D65" i="8" s="1"/>
  <c r="C64" i="8"/>
  <c r="B64" i="8"/>
  <c r="D64" i="8" s="1"/>
  <c r="B63" i="8"/>
  <c r="D63" i="8" s="1"/>
  <c r="C62" i="8"/>
  <c r="B62" i="8"/>
  <c r="C61" i="8"/>
  <c r="B61" i="8"/>
  <c r="B60" i="8"/>
  <c r="B59" i="8"/>
  <c r="B58" i="8"/>
  <c r="D57" i="8"/>
  <c r="B57" i="8"/>
  <c r="D69" i="8" s="1"/>
  <c r="B56" i="8"/>
  <c r="C55" i="8"/>
  <c r="B55" i="8"/>
  <c r="C54" i="8"/>
  <c r="B54" i="8"/>
  <c r="B53" i="8"/>
  <c r="D52" i="8"/>
  <c r="B52" i="8"/>
  <c r="D51" i="8"/>
  <c r="B51" i="8"/>
  <c r="B50" i="8"/>
  <c r="C49" i="8"/>
  <c r="B49" i="8"/>
  <c r="D49" i="8" s="1"/>
  <c r="C48" i="8"/>
  <c r="B48" i="8"/>
  <c r="D48" i="8" s="1"/>
  <c r="B47" i="8"/>
  <c r="D47" i="8" s="1"/>
  <c r="C46" i="8"/>
  <c r="B46" i="8"/>
  <c r="C45" i="8"/>
  <c r="B45" i="8"/>
  <c r="B44" i="8"/>
  <c r="B43" i="8"/>
  <c r="B42" i="8"/>
  <c r="D41" i="8"/>
  <c r="B41" i="8"/>
  <c r="D53" i="8" s="1"/>
  <c r="B40" i="8"/>
  <c r="C39" i="8"/>
  <c r="B39" i="8"/>
  <c r="C38" i="8"/>
  <c r="B38" i="8"/>
  <c r="B37" i="8"/>
  <c r="B36" i="8"/>
  <c r="D35" i="8"/>
  <c r="B35" i="8"/>
  <c r="B34" i="8"/>
  <c r="C33" i="8"/>
  <c r="B33" i="8"/>
  <c r="C32" i="8"/>
  <c r="B32" i="8"/>
  <c r="D32" i="8" s="1"/>
  <c r="B31" i="8"/>
  <c r="C31" i="8" s="1"/>
  <c r="C30" i="8"/>
  <c r="B30" i="8"/>
  <c r="D29" i="8"/>
  <c r="C29" i="8"/>
  <c r="B29" i="8"/>
  <c r="B28" i="8"/>
  <c r="C28" i="8" s="1"/>
  <c r="B27" i="8"/>
  <c r="B26" i="8"/>
  <c r="D26" i="8" s="1"/>
  <c r="B25" i="8"/>
  <c r="D37" i="8" s="1"/>
  <c r="B24" i="8"/>
  <c r="D23" i="8"/>
  <c r="C23" i="8"/>
  <c r="B23" i="8"/>
  <c r="B22" i="8"/>
  <c r="B21" i="8"/>
  <c r="D20" i="8"/>
  <c r="C20" i="8"/>
  <c r="B20" i="8"/>
  <c r="B19" i="8"/>
  <c r="B18" i="8"/>
  <c r="B17" i="8"/>
  <c r="C17" i="8" s="1"/>
  <c r="C16" i="8"/>
  <c r="B16" i="8"/>
  <c r="B15" i="8"/>
  <c r="C15" i="8" s="1"/>
  <c r="B14" i="8"/>
  <c r="B13" i="8"/>
  <c r="C14" i="8" s="1"/>
  <c r="B12" i="8"/>
  <c r="C12" i="8" s="1"/>
  <c r="B11" i="8"/>
  <c r="B10" i="8"/>
  <c r="B9" i="8"/>
  <c r="C9" i="8" s="1"/>
  <c r="C8" i="8"/>
  <c r="B8" i="8"/>
  <c r="B7" i="8"/>
  <c r="B372" i="7"/>
  <c r="B371" i="7"/>
  <c r="B370" i="7"/>
  <c r="C370" i="7" s="1"/>
  <c r="B369" i="7"/>
  <c r="C369" i="7" s="1"/>
  <c r="B368" i="7"/>
  <c r="B367" i="7"/>
  <c r="B366" i="7"/>
  <c r="B365" i="7"/>
  <c r="C365" i="7" s="1"/>
  <c r="E55" i="4" s="1"/>
  <c r="D364" i="7"/>
  <c r="C364" i="7"/>
  <c r="B364" i="7"/>
  <c r="B363" i="7"/>
  <c r="B362" i="7"/>
  <c r="B361" i="7"/>
  <c r="D361" i="7" s="1"/>
  <c r="F51" i="4" s="1"/>
  <c r="B360" i="7"/>
  <c r="B359" i="7"/>
  <c r="B358" i="7"/>
  <c r="B357" i="7"/>
  <c r="C358" i="7" s="1"/>
  <c r="E48" i="4" s="1"/>
  <c r="B356" i="7"/>
  <c r="C357" i="7" s="1"/>
  <c r="E47" i="4" s="1"/>
  <c r="B355" i="7"/>
  <c r="C355" i="7" s="1"/>
  <c r="E45" i="4" s="1"/>
  <c r="B354" i="7"/>
  <c r="B353" i="7"/>
  <c r="B352" i="7"/>
  <c r="C353" i="7" s="1"/>
  <c r="E43" i="4" s="1"/>
  <c r="B351" i="7"/>
  <c r="B350" i="7"/>
  <c r="B349" i="7"/>
  <c r="C349" i="7" s="1"/>
  <c r="E39" i="4" s="1"/>
  <c r="B348" i="7"/>
  <c r="B347" i="7"/>
  <c r="C347" i="7" s="1"/>
  <c r="E37" i="4" s="1"/>
  <c r="B346" i="7"/>
  <c r="D358" i="7" s="1"/>
  <c r="F48" i="4" s="1"/>
  <c r="B345" i="7"/>
  <c r="B344" i="7"/>
  <c r="B343" i="7"/>
  <c r="B342" i="7"/>
  <c r="D354" i="7" s="1"/>
  <c r="B341" i="7"/>
  <c r="B340" i="7"/>
  <c r="B339" i="7"/>
  <c r="C339" i="7" s="1"/>
  <c r="E29" i="4" s="1"/>
  <c r="B338" i="7"/>
  <c r="B337" i="7"/>
  <c r="B336" i="7"/>
  <c r="B335" i="7"/>
  <c r="B334" i="7"/>
  <c r="D346" i="7" s="1"/>
  <c r="F36" i="4" s="1"/>
  <c r="B333" i="7"/>
  <c r="B332" i="7"/>
  <c r="B331" i="7"/>
  <c r="C331" i="7" s="1"/>
  <c r="E21" i="4" s="1"/>
  <c r="B330" i="7"/>
  <c r="B329" i="7"/>
  <c r="C330" i="7" s="1"/>
  <c r="B328" i="7"/>
  <c r="B327" i="7"/>
  <c r="B326" i="7"/>
  <c r="D338" i="7" s="1"/>
  <c r="B325" i="7"/>
  <c r="C325" i="7" s="1"/>
  <c r="B324" i="7"/>
  <c r="D324" i="7" s="1"/>
  <c r="B323" i="7"/>
  <c r="C323" i="7" s="1"/>
  <c r="E13" i="4" s="1"/>
  <c r="B322" i="7"/>
  <c r="B321" i="7"/>
  <c r="C322" i="7" s="1"/>
  <c r="E12" i="4" s="1"/>
  <c r="B320" i="7"/>
  <c r="B319" i="7"/>
  <c r="B318" i="7"/>
  <c r="D330" i="7" s="1"/>
  <c r="B317" i="7"/>
  <c r="C317" i="7" s="1"/>
  <c r="B316" i="7"/>
  <c r="D316" i="7" s="1"/>
  <c r="B315" i="7"/>
  <c r="C315" i="7" s="1"/>
  <c r="E5" i="4" s="1"/>
  <c r="B314" i="7"/>
  <c r="B313" i="7"/>
  <c r="C314" i="7" s="1"/>
  <c r="B312" i="7"/>
  <c r="B311" i="7"/>
  <c r="B310" i="7"/>
  <c r="B309" i="7"/>
  <c r="B308" i="7"/>
  <c r="D308" i="7" s="1"/>
  <c r="B307" i="7"/>
  <c r="C307" i="7" s="1"/>
  <c r="B306" i="7"/>
  <c r="B305" i="7"/>
  <c r="C306" i="7" s="1"/>
  <c r="B304" i="7"/>
  <c r="B303" i="7"/>
  <c r="B302" i="7"/>
  <c r="B301" i="7"/>
  <c r="B300" i="7"/>
  <c r="D300" i="7" s="1"/>
  <c r="B299" i="7"/>
  <c r="C299" i="7" s="1"/>
  <c r="B298" i="7"/>
  <c r="B297" i="7"/>
  <c r="C298" i="7" s="1"/>
  <c r="B296" i="7"/>
  <c r="B295" i="7"/>
  <c r="B294" i="7"/>
  <c r="D306" i="7" s="1"/>
  <c r="B293" i="7"/>
  <c r="C293" i="7" s="1"/>
  <c r="B292" i="7"/>
  <c r="C292" i="7" s="1"/>
  <c r="B291" i="7"/>
  <c r="C291" i="7" s="1"/>
  <c r="C290" i="7"/>
  <c r="B290" i="7"/>
  <c r="D289" i="7"/>
  <c r="C289" i="7"/>
  <c r="B289" i="7"/>
  <c r="B288" i="7"/>
  <c r="B287" i="7"/>
  <c r="B286" i="7"/>
  <c r="D298" i="7" s="1"/>
  <c r="B285" i="7"/>
  <c r="B284" i="7"/>
  <c r="D284" i="7" s="1"/>
  <c r="B283" i="7"/>
  <c r="C283" i="7" s="1"/>
  <c r="B282" i="7"/>
  <c r="C282" i="7" s="1"/>
  <c r="B281" i="7"/>
  <c r="B280" i="7"/>
  <c r="D279" i="7"/>
  <c r="B279" i="7"/>
  <c r="C279" i="7" s="1"/>
  <c r="D278" i="7"/>
  <c r="C278" i="7"/>
  <c r="B278" i="7"/>
  <c r="B277" i="7"/>
  <c r="B276" i="7"/>
  <c r="B275" i="7"/>
  <c r="D275" i="7" s="1"/>
  <c r="B274" i="7"/>
  <c r="B273" i="7"/>
  <c r="D273" i="7" s="1"/>
  <c r="B272" i="7"/>
  <c r="C272" i="7" s="1"/>
  <c r="B271" i="7"/>
  <c r="B270" i="7"/>
  <c r="D282" i="7" s="1"/>
  <c r="B269" i="7"/>
  <c r="D281" i="7" s="1"/>
  <c r="B268" i="7"/>
  <c r="C267" i="7"/>
  <c r="B267" i="7"/>
  <c r="B266" i="7"/>
  <c r="D265" i="7"/>
  <c r="C265" i="7"/>
  <c r="B265" i="7"/>
  <c r="C266" i="7" s="1"/>
  <c r="D264" i="7"/>
  <c r="B264" i="7"/>
  <c r="B263" i="7"/>
  <c r="B262" i="7"/>
  <c r="B261" i="7"/>
  <c r="B260" i="7"/>
  <c r="B259" i="7"/>
  <c r="C259" i="7" s="1"/>
  <c r="B258" i="7"/>
  <c r="C258" i="7" s="1"/>
  <c r="B257" i="7"/>
  <c r="D257" i="7" s="1"/>
  <c r="B256" i="7"/>
  <c r="B255" i="7"/>
  <c r="D267" i="7" s="1"/>
  <c r="B254" i="7"/>
  <c r="D266" i="7" s="1"/>
  <c r="B253" i="7"/>
  <c r="B252" i="7"/>
  <c r="B251" i="7"/>
  <c r="C251" i="7" s="1"/>
  <c r="B250" i="7"/>
  <c r="C250" i="7" s="1"/>
  <c r="B249" i="7"/>
  <c r="B248" i="7"/>
  <c r="C248" i="7" s="1"/>
  <c r="B247" i="7"/>
  <c r="D247" i="7" s="1"/>
  <c r="B246" i="7"/>
  <c r="D258" i="7" s="1"/>
  <c r="B245" i="7"/>
  <c r="B244" i="7"/>
  <c r="D244" i="7" s="1"/>
  <c r="D243" i="7"/>
  <c r="B243" i="7"/>
  <c r="C243" i="7" s="1"/>
  <c r="B242" i="7"/>
  <c r="B241" i="7"/>
  <c r="B240" i="7"/>
  <c r="C240" i="7" s="1"/>
  <c r="B239" i="7"/>
  <c r="C239" i="7" s="1"/>
  <c r="B238" i="7"/>
  <c r="B237" i="7"/>
  <c r="B236" i="7"/>
  <c r="D236" i="7" s="1"/>
  <c r="B235" i="7"/>
  <c r="C235" i="7" s="1"/>
  <c r="B234" i="7"/>
  <c r="D233" i="7"/>
  <c r="B233" i="7"/>
  <c r="B232" i="7"/>
  <c r="B231" i="7"/>
  <c r="B230" i="7"/>
  <c r="D242" i="7" s="1"/>
  <c r="B229" i="7"/>
  <c r="C228" i="7"/>
  <c r="B228" i="7"/>
  <c r="B227" i="7"/>
  <c r="B226" i="7"/>
  <c r="C227" i="7" s="1"/>
  <c r="D225" i="7"/>
  <c r="B225" i="7"/>
  <c r="C225" i="7" s="1"/>
  <c r="B224" i="7"/>
  <c r="B223" i="7"/>
  <c r="C223" i="7" s="1"/>
  <c r="B222" i="7"/>
  <c r="B221" i="7"/>
  <c r="B220" i="7"/>
  <c r="C219" i="7"/>
  <c r="B219" i="7"/>
  <c r="C218" i="7"/>
  <c r="B218" i="7"/>
  <c r="B217" i="7"/>
  <c r="C217" i="7" s="1"/>
  <c r="B216" i="7"/>
  <c r="B215" i="7"/>
  <c r="C214" i="7"/>
  <c r="B214" i="7"/>
  <c r="D226" i="7" s="1"/>
  <c r="B213" i="7"/>
  <c r="B212" i="7"/>
  <c r="B211" i="7"/>
  <c r="C211" i="7" s="1"/>
  <c r="B210" i="7"/>
  <c r="B209" i="7"/>
  <c r="D209" i="7" s="1"/>
  <c r="B208" i="7"/>
  <c r="C208" i="7" s="1"/>
  <c r="B207" i="7"/>
  <c r="C207" i="7" s="1"/>
  <c r="B206" i="7"/>
  <c r="B205" i="7"/>
  <c r="B204" i="7"/>
  <c r="D204" i="7" s="1"/>
  <c r="B203" i="7"/>
  <c r="B202" i="7"/>
  <c r="C203" i="7" s="1"/>
  <c r="B201" i="7"/>
  <c r="D201" i="7" s="1"/>
  <c r="B200" i="7"/>
  <c r="B199" i="7"/>
  <c r="D211" i="7" s="1"/>
  <c r="B198" i="7"/>
  <c r="D210" i="7" s="1"/>
  <c r="B197" i="7"/>
  <c r="C196" i="7"/>
  <c r="B196" i="7"/>
  <c r="B195" i="7"/>
  <c r="B194" i="7"/>
  <c r="C195" i="7" s="1"/>
  <c r="B193" i="7"/>
  <c r="D193" i="7" s="1"/>
  <c r="B192" i="7"/>
  <c r="B191" i="7"/>
  <c r="C191" i="7" s="1"/>
  <c r="B190" i="7"/>
  <c r="B189" i="7"/>
  <c r="B188" i="7"/>
  <c r="D188" i="7" s="1"/>
  <c r="B187" i="7"/>
  <c r="C187" i="7" s="1"/>
  <c r="B186" i="7"/>
  <c r="C186" i="7" s="1"/>
  <c r="B185" i="7"/>
  <c r="B184" i="7"/>
  <c r="B183" i="7"/>
  <c r="B182" i="7"/>
  <c r="D194" i="7" s="1"/>
  <c r="B181" i="7"/>
  <c r="B180" i="7"/>
  <c r="B179" i="7"/>
  <c r="D179" i="7" s="1"/>
  <c r="B178" i="7"/>
  <c r="B177" i="7"/>
  <c r="D176" i="7"/>
  <c r="B176" i="7"/>
  <c r="C176" i="7" s="1"/>
  <c r="D175" i="7"/>
  <c r="B175" i="7"/>
  <c r="B174" i="7"/>
  <c r="B173" i="7"/>
  <c r="D185" i="7" s="1"/>
  <c r="B172" i="7"/>
  <c r="D172" i="7" s="1"/>
  <c r="B171" i="7"/>
  <c r="C171" i="7" s="1"/>
  <c r="B170" i="7"/>
  <c r="B169" i="7"/>
  <c r="B168" i="7"/>
  <c r="D168" i="7" s="1"/>
  <c r="B167" i="7"/>
  <c r="B166" i="7"/>
  <c r="B165" i="7"/>
  <c r="B164" i="7"/>
  <c r="C164" i="7" s="1"/>
  <c r="B163" i="7"/>
  <c r="C163" i="7" s="1"/>
  <c r="B162" i="7"/>
  <c r="C162" i="7" s="1"/>
  <c r="D161" i="7"/>
  <c r="C161" i="7"/>
  <c r="B161" i="7"/>
  <c r="B160" i="7"/>
  <c r="B159" i="7"/>
  <c r="B158" i="7"/>
  <c r="D170" i="7" s="1"/>
  <c r="B157" i="7"/>
  <c r="D169" i="7" s="1"/>
  <c r="B156" i="7"/>
  <c r="D156" i="7" s="1"/>
  <c r="C155" i="7"/>
  <c r="B155" i="7"/>
  <c r="C154" i="7"/>
  <c r="B154" i="7"/>
  <c r="B153" i="7"/>
  <c r="B152" i="7"/>
  <c r="B151" i="7"/>
  <c r="C151" i="7" s="1"/>
  <c r="D150" i="7"/>
  <c r="C150" i="7"/>
  <c r="B150" i="7"/>
  <c r="B149" i="7"/>
  <c r="B148" i="7"/>
  <c r="B147" i="7"/>
  <c r="C147" i="7" s="1"/>
  <c r="B146" i="7"/>
  <c r="B145" i="7"/>
  <c r="B144" i="7"/>
  <c r="C144" i="7" s="1"/>
  <c r="B143" i="7"/>
  <c r="B142" i="7"/>
  <c r="D154" i="7" s="1"/>
  <c r="B141" i="7"/>
  <c r="D153" i="7" s="1"/>
  <c r="B140" i="7"/>
  <c r="D140" i="7" s="1"/>
  <c r="C139" i="7"/>
  <c r="B139" i="7"/>
  <c r="B138" i="7"/>
  <c r="B137" i="7"/>
  <c r="B136" i="7"/>
  <c r="B135" i="7"/>
  <c r="B134" i="7"/>
  <c r="D146" i="7" s="1"/>
  <c r="B133" i="7"/>
  <c r="B132" i="7"/>
  <c r="C132" i="7" s="1"/>
  <c r="B131" i="7"/>
  <c r="C131" i="7" s="1"/>
  <c r="B130" i="7"/>
  <c r="C130" i="7" s="1"/>
  <c r="D129" i="7"/>
  <c r="C129" i="7"/>
  <c r="B129" i="7"/>
  <c r="B128" i="7"/>
  <c r="B127" i="7"/>
  <c r="B126" i="7"/>
  <c r="D138" i="7" s="1"/>
  <c r="B125" i="7"/>
  <c r="B124" i="7"/>
  <c r="D124" i="7" s="1"/>
  <c r="C123" i="7"/>
  <c r="B123" i="7"/>
  <c r="C122" i="7"/>
  <c r="B122" i="7"/>
  <c r="B121" i="7"/>
  <c r="B120" i="7"/>
  <c r="B119" i="7"/>
  <c r="C119" i="7" s="1"/>
  <c r="D118" i="7"/>
  <c r="C118" i="7"/>
  <c r="B118" i="7"/>
  <c r="B117" i="7"/>
  <c r="B116" i="7"/>
  <c r="B115" i="7"/>
  <c r="C115" i="7" s="1"/>
  <c r="B114" i="7"/>
  <c r="B113" i="7"/>
  <c r="B112" i="7"/>
  <c r="C112" i="7" s="1"/>
  <c r="B111" i="7"/>
  <c r="B110" i="7"/>
  <c r="D122" i="7" s="1"/>
  <c r="B109" i="7"/>
  <c r="D121" i="7" s="1"/>
  <c r="B108" i="7"/>
  <c r="D108" i="7" s="1"/>
  <c r="C107" i="7"/>
  <c r="B107" i="7"/>
  <c r="B106" i="7"/>
  <c r="B105" i="7"/>
  <c r="B104" i="7"/>
  <c r="D104" i="7" s="1"/>
  <c r="B103" i="7"/>
  <c r="B102" i="7"/>
  <c r="D114" i="7" s="1"/>
  <c r="B101" i="7"/>
  <c r="B100" i="7"/>
  <c r="C100" i="7" s="1"/>
  <c r="B99" i="7"/>
  <c r="C99" i="7" s="1"/>
  <c r="B98" i="7"/>
  <c r="C98" i="7" s="1"/>
  <c r="D97" i="7"/>
  <c r="C97" i="7"/>
  <c r="B97" i="7"/>
  <c r="B96" i="7"/>
  <c r="B95" i="7"/>
  <c r="B94" i="7"/>
  <c r="D106" i="7" s="1"/>
  <c r="B93" i="7"/>
  <c r="B92" i="7"/>
  <c r="D92" i="7" s="1"/>
  <c r="C91" i="7"/>
  <c r="B91" i="7"/>
  <c r="C90" i="7"/>
  <c r="B90" i="7"/>
  <c r="B89" i="7"/>
  <c r="B88" i="7"/>
  <c r="B87" i="7"/>
  <c r="C87" i="7" s="1"/>
  <c r="D86" i="7"/>
  <c r="C86" i="7"/>
  <c r="B86" i="7"/>
  <c r="B85" i="7"/>
  <c r="B84" i="7"/>
  <c r="B83" i="7"/>
  <c r="D83" i="7" s="1"/>
  <c r="B82" i="7"/>
  <c r="B81" i="7"/>
  <c r="B80" i="7"/>
  <c r="C80" i="7" s="1"/>
  <c r="B79" i="7"/>
  <c r="B78" i="7"/>
  <c r="D90" i="7" s="1"/>
  <c r="B77" i="7"/>
  <c r="D89" i="7" s="1"/>
  <c r="B76" i="7"/>
  <c r="D76" i="7" s="1"/>
  <c r="C75" i="7"/>
  <c r="B75" i="7"/>
  <c r="B74" i="7"/>
  <c r="B73" i="7"/>
  <c r="B72" i="7"/>
  <c r="D72" i="7" s="1"/>
  <c r="B71" i="7"/>
  <c r="B70" i="7"/>
  <c r="D82" i="7" s="1"/>
  <c r="B69" i="7"/>
  <c r="B68" i="7"/>
  <c r="C68" i="7" s="1"/>
  <c r="B67" i="7"/>
  <c r="C67" i="7" s="1"/>
  <c r="B66" i="7"/>
  <c r="C66" i="7" s="1"/>
  <c r="D65" i="7"/>
  <c r="C65" i="7"/>
  <c r="B65" i="7"/>
  <c r="B64" i="7"/>
  <c r="B63" i="7"/>
  <c r="B62" i="7"/>
  <c r="D74" i="7" s="1"/>
  <c r="B61" i="7"/>
  <c r="B60" i="7"/>
  <c r="D60" i="7" s="1"/>
  <c r="C59" i="7"/>
  <c r="B59" i="7"/>
  <c r="C58" i="7"/>
  <c r="B58" i="7"/>
  <c r="B57" i="7"/>
  <c r="B56" i="7"/>
  <c r="B55" i="7"/>
  <c r="C55" i="7" s="1"/>
  <c r="D54" i="7"/>
  <c r="C54" i="7"/>
  <c r="B54" i="7"/>
  <c r="B53" i="7"/>
  <c r="B52" i="7"/>
  <c r="B51" i="7"/>
  <c r="C51" i="7" s="1"/>
  <c r="B50" i="7"/>
  <c r="B49" i="7"/>
  <c r="B48" i="7"/>
  <c r="C48" i="7" s="1"/>
  <c r="B47" i="7"/>
  <c r="B46" i="7"/>
  <c r="D58" i="7" s="1"/>
  <c r="B45" i="7"/>
  <c r="D57" i="7" s="1"/>
  <c r="B44" i="7"/>
  <c r="D44" i="7" s="1"/>
  <c r="C43" i="7"/>
  <c r="B43" i="7"/>
  <c r="B42" i="7"/>
  <c r="B41" i="7"/>
  <c r="B40" i="7"/>
  <c r="D40" i="7" s="1"/>
  <c r="B39" i="7"/>
  <c r="B38" i="7"/>
  <c r="D50" i="7" s="1"/>
  <c r="B37" i="7"/>
  <c r="B36" i="7"/>
  <c r="C36" i="7" s="1"/>
  <c r="B35" i="7"/>
  <c r="C35" i="7" s="1"/>
  <c r="B34" i="7"/>
  <c r="C34" i="7" s="1"/>
  <c r="D33" i="7"/>
  <c r="C33" i="7"/>
  <c r="B33" i="7"/>
  <c r="B32" i="7"/>
  <c r="B31" i="7"/>
  <c r="B30" i="7"/>
  <c r="D42" i="7" s="1"/>
  <c r="B29" i="7"/>
  <c r="B28" i="7"/>
  <c r="D28" i="7" s="1"/>
  <c r="D27" i="7"/>
  <c r="B27" i="7"/>
  <c r="C27" i="7" s="1"/>
  <c r="B26" i="7"/>
  <c r="C26" i="7" s="1"/>
  <c r="B25" i="7"/>
  <c r="D24" i="7"/>
  <c r="B24" i="7"/>
  <c r="B23" i="7"/>
  <c r="C23" i="7" s="1"/>
  <c r="B22" i="7"/>
  <c r="C22" i="7" s="1"/>
  <c r="B21" i="7"/>
  <c r="B20" i="7"/>
  <c r="C19" i="7"/>
  <c r="B19" i="7"/>
  <c r="D19" i="7" s="1"/>
  <c r="B18" i="7"/>
  <c r="C18" i="7" s="1"/>
  <c r="B17" i="7"/>
  <c r="C16" i="7"/>
  <c r="B16" i="7"/>
  <c r="B15" i="7"/>
  <c r="B14" i="7"/>
  <c r="B13" i="7"/>
  <c r="C13" i="7" s="1"/>
  <c r="B12" i="7"/>
  <c r="C12" i="7" s="1"/>
  <c r="B11" i="7"/>
  <c r="B10" i="7"/>
  <c r="C10" i="7" s="1"/>
  <c r="B9" i="7"/>
  <c r="B8" i="7"/>
  <c r="C8" i="7" s="1"/>
  <c r="B7" i="7"/>
  <c r="B372" i="6"/>
  <c r="B371" i="6"/>
  <c r="B370" i="6"/>
  <c r="C370" i="6" s="1"/>
  <c r="C60" i="4" s="1"/>
  <c r="B369" i="6"/>
  <c r="B368" i="6"/>
  <c r="D368" i="6" s="1"/>
  <c r="D58" i="4" s="1"/>
  <c r="B367" i="6"/>
  <c r="B366" i="6"/>
  <c r="C366" i="6" s="1"/>
  <c r="C56" i="4" s="1"/>
  <c r="B365" i="6"/>
  <c r="B364" i="6"/>
  <c r="B363" i="6"/>
  <c r="B362" i="6"/>
  <c r="B361" i="6"/>
  <c r="C362" i="6" s="1"/>
  <c r="C52" i="4" s="1"/>
  <c r="B360" i="6"/>
  <c r="B359" i="6"/>
  <c r="B358" i="6"/>
  <c r="B357" i="6"/>
  <c r="D369" i="6" s="1"/>
  <c r="D59" i="4" s="1"/>
  <c r="B356" i="6"/>
  <c r="B355" i="6"/>
  <c r="B354" i="6"/>
  <c r="B353" i="6"/>
  <c r="B352" i="6"/>
  <c r="B351" i="6"/>
  <c r="B350" i="6"/>
  <c r="B349" i="6"/>
  <c r="B348" i="6"/>
  <c r="B347" i="6"/>
  <c r="C347" i="6" s="1"/>
  <c r="C37" i="4" s="1"/>
  <c r="B346" i="6"/>
  <c r="B345" i="6"/>
  <c r="C345" i="6" s="1"/>
  <c r="C35" i="4" s="1"/>
  <c r="B344" i="6"/>
  <c r="B343" i="6"/>
  <c r="C344" i="6" s="1"/>
  <c r="C34" i="4" s="1"/>
  <c r="B342" i="6"/>
  <c r="B341" i="6"/>
  <c r="B340" i="6"/>
  <c r="B339" i="6"/>
  <c r="B338" i="6"/>
  <c r="B337" i="6"/>
  <c r="B336" i="6"/>
  <c r="B335" i="6"/>
  <c r="B334" i="6"/>
  <c r="B333" i="6"/>
  <c r="B332" i="6"/>
  <c r="B331" i="6"/>
  <c r="C331" i="6" s="1"/>
  <c r="C21" i="4" s="1"/>
  <c r="B330" i="6"/>
  <c r="D342" i="6" s="1"/>
  <c r="D32" i="4" s="1"/>
  <c r="B329" i="6"/>
  <c r="C329" i="6" s="1"/>
  <c r="C19" i="4" s="1"/>
  <c r="B328" i="6"/>
  <c r="B327" i="6"/>
  <c r="C328" i="6" s="1"/>
  <c r="C18" i="4" s="1"/>
  <c r="B326" i="6"/>
  <c r="B325" i="6"/>
  <c r="B324" i="6"/>
  <c r="B323" i="6"/>
  <c r="B322" i="6"/>
  <c r="B321" i="6"/>
  <c r="B320" i="6"/>
  <c r="B319" i="6"/>
  <c r="B318" i="6"/>
  <c r="B317" i="6"/>
  <c r="B316" i="6"/>
  <c r="B315" i="6"/>
  <c r="B314" i="6"/>
  <c r="B313" i="6"/>
  <c r="C313" i="6" s="1"/>
  <c r="B312" i="6"/>
  <c r="B311" i="6"/>
  <c r="B310" i="6"/>
  <c r="B309" i="6"/>
  <c r="B308" i="6"/>
  <c r="C308" i="6" s="1"/>
  <c r="B307" i="6"/>
  <c r="B306" i="6"/>
  <c r="B305" i="6"/>
  <c r="B304" i="6"/>
  <c r="B303" i="6"/>
  <c r="B302" i="6"/>
  <c r="B301" i="6"/>
  <c r="B300" i="6"/>
  <c r="B299" i="6"/>
  <c r="B298" i="6"/>
  <c r="B297" i="6"/>
  <c r="B296" i="6"/>
  <c r="B295" i="6"/>
  <c r="B294" i="6"/>
  <c r="B293" i="6"/>
  <c r="B292" i="6"/>
  <c r="B291" i="6"/>
  <c r="B290" i="6"/>
  <c r="B289" i="6"/>
  <c r="B288" i="6"/>
  <c r="B287" i="6"/>
  <c r="B286" i="6"/>
  <c r="B285" i="6"/>
  <c r="B284" i="6"/>
  <c r="B283" i="6"/>
  <c r="B282" i="6"/>
  <c r="B281" i="6"/>
  <c r="C281" i="6" s="1"/>
  <c r="B280" i="6"/>
  <c r="B279" i="6"/>
  <c r="B278" i="6"/>
  <c r="B277" i="6"/>
  <c r="B276" i="6"/>
  <c r="B275" i="6"/>
  <c r="C275" i="6" s="1"/>
  <c r="B274" i="6"/>
  <c r="B273" i="6"/>
  <c r="B272" i="6"/>
  <c r="B271" i="6"/>
  <c r="B270" i="6"/>
  <c r="B269" i="6"/>
  <c r="B268" i="6"/>
  <c r="C268" i="6" s="1"/>
  <c r="B267" i="6"/>
  <c r="B266" i="6"/>
  <c r="B265" i="6"/>
  <c r="B264" i="6"/>
  <c r="C265" i="6" s="1"/>
  <c r="B263" i="6"/>
  <c r="B262" i="6"/>
  <c r="D274" i="6" s="1"/>
  <c r="B261" i="6"/>
  <c r="D273" i="6" s="1"/>
  <c r="B260" i="6"/>
  <c r="B259" i="6"/>
  <c r="B258" i="6"/>
  <c r="B257" i="6"/>
  <c r="B256" i="6"/>
  <c r="C257" i="6" s="1"/>
  <c r="B255" i="6"/>
  <c r="B254" i="6"/>
  <c r="B253" i="6"/>
  <c r="D265" i="6" s="1"/>
  <c r="B252" i="6"/>
  <c r="D252" i="6" s="1"/>
  <c r="B251" i="6"/>
  <c r="B250" i="6"/>
  <c r="C251" i="6" s="1"/>
  <c r="B249" i="6"/>
  <c r="B248" i="6"/>
  <c r="D248" i="6" s="1"/>
  <c r="B247" i="6"/>
  <c r="B246" i="6"/>
  <c r="D246" i="6" s="1"/>
  <c r="B245" i="6"/>
  <c r="D257" i="6" s="1"/>
  <c r="B244" i="6"/>
  <c r="D256" i="6" s="1"/>
  <c r="B243" i="6"/>
  <c r="B242" i="6"/>
  <c r="B241" i="6"/>
  <c r="B240" i="6"/>
  <c r="B239" i="6"/>
  <c r="B238" i="6"/>
  <c r="D238" i="6" s="1"/>
  <c r="B237" i="6"/>
  <c r="B236" i="6"/>
  <c r="B235" i="6"/>
  <c r="B234" i="6"/>
  <c r="D234" i="6" s="1"/>
  <c r="B233" i="6"/>
  <c r="B232" i="6"/>
  <c r="B231" i="6"/>
  <c r="B230" i="6"/>
  <c r="B229" i="6"/>
  <c r="B228" i="6"/>
  <c r="B227" i="6"/>
  <c r="B226" i="6"/>
  <c r="B225" i="6"/>
  <c r="B224" i="6"/>
  <c r="C225" i="6" s="1"/>
  <c r="B223" i="6"/>
  <c r="B222" i="6"/>
  <c r="B221" i="6"/>
  <c r="D233" i="6" s="1"/>
  <c r="B220" i="6"/>
  <c r="C220" i="6" s="1"/>
  <c r="B219" i="6"/>
  <c r="B218" i="6"/>
  <c r="C219" i="6" s="1"/>
  <c r="B217" i="6"/>
  <c r="B216" i="6"/>
  <c r="B215" i="6"/>
  <c r="B214" i="6"/>
  <c r="B213" i="6"/>
  <c r="B212" i="6"/>
  <c r="B211" i="6"/>
  <c r="B210" i="6"/>
  <c r="B209" i="6"/>
  <c r="B208" i="6"/>
  <c r="B207" i="6"/>
  <c r="D207" i="6" s="1"/>
  <c r="B206" i="6"/>
  <c r="C206" i="6" s="1"/>
  <c r="B205" i="6"/>
  <c r="B204" i="6"/>
  <c r="C204" i="6" s="1"/>
  <c r="B203" i="6"/>
  <c r="B202" i="6"/>
  <c r="B201" i="6"/>
  <c r="B200" i="6"/>
  <c r="B199" i="6"/>
  <c r="B198" i="6"/>
  <c r="B197" i="6"/>
  <c r="B196" i="6"/>
  <c r="C197" i="6" s="1"/>
  <c r="B195" i="6"/>
  <c r="B194" i="6"/>
  <c r="C195" i="6" s="1"/>
  <c r="B193" i="6"/>
  <c r="B192" i="6"/>
  <c r="B191" i="6"/>
  <c r="B190" i="6"/>
  <c r="D202" i="6" s="1"/>
  <c r="B189" i="6"/>
  <c r="B188" i="6"/>
  <c r="C188" i="6" s="1"/>
  <c r="B187" i="6"/>
  <c r="B186" i="6"/>
  <c r="B185" i="6"/>
  <c r="B184" i="6"/>
  <c r="D184" i="6" s="1"/>
  <c r="B183" i="6"/>
  <c r="B182" i="6"/>
  <c r="C182" i="6" s="1"/>
  <c r="B181" i="6"/>
  <c r="B180" i="6"/>
  <c r="C180" i="6" s="1"/>
  <c r="B179" i="6"/>
  <c r="B178" i="6"/>
  <c r="B177" i="6"/>
  <c r="B176" i="6"/>
  <c r="B175" i="6"/>
  <c r="B174" i="6"/>
  <c r="B173" i="6"/>
  <c r="B172" i="6"/>
  <c r="C172" i="6" s="1"/>
  <c r="B171" i="6"/>
  <c r="B170" i="6"/>
  <c r="B169" i="6"/>
  <c r="B168" i="6"/>
  <c r="B167" i="6"/>
  <c r="C167" i="6" s="1"/>
  <c r="B166" i="6"/>
  <c r="B165" i="6"/>
  <c r="D177" i="6" s="1"/>
  <c r="B164" i="6"/>
  <c r="B163" i="6"/>
  <c r="B162" i="6"/>
  <c r="B161" i="6"/>
  <c r="B160" i="6"/>
  <c r="B159" i="6"/>
  <c r="B158" i="6"/>
  <c r="B157" i="6"/>
  <c r="B156" i="6"/>
  <c r="B155" i="6"/>
  <c r="B154" i="6"/>
  <c r="B153" i="6"/>
  <c r="D153" i="6" s="1"/>
  <c r="B152" i="6"/>
  <c r="B151" i="6"/>
  <c r="B150" i="6"/>
  <c r="B149" i="6"/>
  <c r="B148" i="6"/>
  <c r="C148" i="6" s="1"/>
  <c r="B147" i="6"/>
  <c r="B146" i="6"/>
  <c r="B145" i="6"/>
  <c r="B144" i="6"/>
  <c r="B143" i="6"/>
  <c r="B142" i="6"/>
  <c r="C142" i="6" s="1"/>
  <c r="B141" i="6"/>
  <c r="B140" i="6"/>
  <c r="B139" i="6"/>
  <c r="B138" i="6"/>
  <c r="B137" i="6"/>
  <c r="B136" i="6"/>
  <c r="B135" i="6"/>
  <c r="B134" i="6"/>
  <c r="B133" i="6"/>
  <c r="B132" i="6"/>
  <c r="B131" i="6"/>
  <c r="B130" i="6"/>
  <c r="B129" i="6"/>
  <c r="D129" i="6" s="1"/>
  <c r="B128" i="6"/>
  <c r="B127" i="6"/>
  <c r="B126" i="6"/>
  <c r="B125" i="6"/>
  <c r="B124" i="6"/>
  <c r="B123" i="6"/>
  <c r="B122" i="6"/>
  <c r="B121" i="6"/>
  <c r="B120" i="6"/>
  <c r="D120" i="6" s="1"/>
  <c r="B119" i="6"/>
  <c r="B118" i="6"/>
  <c r="B117" i="6"/>
  <c r="B116" i="6"/>
  <c r="C117" i="6" s="1"/>
  <c r="B115" i="6"/>
  <c r="B114" i="6"/>
  <c r="B113" i="6"/>
  <c r="B112" i="6"/>
  <c r="B111" i="6"/>
  <c r="B110" i="6"/>
  <c r="B109" i="6"/>
  <c r="B108" i="6"/>
  <c r="B107" i="6"/>
  <c r="C108" i="6" s="1"/>
  <c r="B106" i="6"/>
  <c r="B105" i="6"/>
  <c r="B104" i="6"/>
  <c r="B103" i="6"/>
  <c r="B102" i="6"/>
  <c r="C103" i="6" s="1"/>
  <c r="B101" i="6"/>
  <c r="B100" i="6"/>
  <c r="B99" i="6"/>
  <c r="B98" i="6"/>
  <c r="D98" i="6" s="1"/>
  <c r="B97" i="6"/>
  <c r="D97" i="6" s="1"/>
  <c r="B96" i="6"/>
  <c r="B95" i="6"/>
  <c r="B94" i="6"/>
  <c r="B93" i="6"/>
  <c r="B92" i="6"/>
  <c r="B91" i="6"/>
  <c r="B90" i="6"/>
  <c r="D90" i="6" s="1"/>
  <c r="B89" i="6"/>
  <c r="B88" i="6"/>
  <c r="B87" i="6"/>
  <c r="B86" i="6"/>
  <c r="C86" i="6" s="1"/>
  <c r="B85" i="6"/>
  <c r="B84" i="6"/>
  <c r="C85" i="6" s="1"/>
  <c r="B83" i="6"/>
  <c r="B82" i="6"/>
  <c r="B81" i="6"/>
  <c r="B80" i="6"/>
  <c r="B79" i="6"/>
  <c r="B78" i="6"/>
  <c r="B77" i="6"/>
  <c r="B76" i="6"/>
  <c r="B75" i="6"/>
  <c r="D75" i="6" s="1"/>
  <c r="B74" i="6"/>
  <c r="B73" i="6"/>
  <c r="B72" i="6"/>
  <c r="B71" i="6"/>
  <c r="B70" i="6"/>
  <c r="B69" i="6"/>
  <c r="B68" i="6"/>
  <c r="B67" i="6"/>
  <c r="B66" i="6"/>
  <c r="C67" i="6" s="1"/>
  <c r="B65" i="6"/>
  <c r="B64" i="6"/>
  <c r="B63" i="6"/>
  <c r="B62" i="6"/>
  <c r="B61" i="6"/>
  <c r="B60" i="6"/>
  <c r="B59" i="6"/>
  <c r="B58" i="6"/>
  <c r="B57" i="6"/>
  <c r="B56" i="6"/>
  <c r="B55" i="6"/>
  <c r="B54" i="6"/>
  <c r="B53" i="6"/>
  <c r="B52" i="6"/>
  <c r="B51" i="6"/>
  <c r="B50" i="6"/>
  <c r="B49" i="6"/>
  <c r="B48" i="6"/>
  <c r="B47" i="6"/>
  <c r="B46" i="6"/>
  <c r="B45" i="6"/>
  <c r="B44" i="6"/>
  <c r="B43" i="6"/>
  <c r="B42" i="6"/>
  <c r="C43" i="6" s="1"/>
  <c r="B41" i="6"/>
  <c r="B40" i="6"/>
  <c r="B39" i="6"/>
  <c r="C39" i="6" s="1"/>
  <c r="B38" i="6"/>
  <c r="B37" i="6"/>
  <c r="B36" i="6"/>
  <c r="B35" i="6"/>
  <c r="B34" i="6"/>
  <c r="B33" i="6"/>
  <c r="B32" i="6"/>
  <c r="B31" i="6"/>
  <c r="B30" i="6"/>
  <c r="B29" i="6"/>
  <c r="C29" i="6" s="1"/>
  <c r="B28" i="6"/>
  <c r="B27" i="6"/>
  <c r="B26" i="6"/>
  <c r="B25" i="6"/>
  <c r="B24" i="6"/>
  <c r="B23" i="6"/>
  <c r="B22" i="6"/>
  <c r="B21" i="6"/>
  <c r="C21" i="6" s="1"/>
  <c r="D20" i="6"/>
  <c r="B20" i="6"/>
  <c r="C20" i="6" s="1"/>
  <c r="B19" i="6"/>
  <c r="B18" i="6"/>
  <c r="B17" i="6"/>
  <c r="B16" i="6"/>
  <c r="B15" i="6"/>
  <c r="B14" i="6"/>
  <c r="B13" i="6"/>
  <c r="B12" i="6"/>
  <c r="B11" i="6"/>
  <c r="B10" i="6"/>
  <c r="B9" i="6"/>
  <c r="B8" i="6"/>
  <c r="B7" i="6"/>
  <c r="C8" i="6" s="1"/>
  <c r="B372" i="5"/>
  <c r="D372" i="5" s="1"/>
  <c r="C371" i="5"/>
  <c r="G61" i="4" s="1"/>
  <c r="B371" i="5"/>
  <c r="B370" i="5"/>
  <c r="B369" i="5"/>
  <c r="C370" i="5" s="1"/>
  <c r="G60" i="4" s="1"/>
  <c r="B368" i="5"/>
  <c r="B367" i="5"/>
  <c r="D367" i="5" s="1"/>
  <c r="H57" i="4" s="1"/>
  <c r="B366" i="5"/>
  <c r="D366" i="5" s="1"/>
  <c r="H56" i="4" s="1"/>
  <c r="B365" i="5"/>
  <c r="C365" i="5" s="1"/>
  <c r="B364" i="5"/>
  <c r="B363" i="5"/>
  <c r="C364" i="5" s="1"/>
  <c r="G54" i="4" s="1"/>
  <c r="B362" i="5"/>
  <c r="B361" i="5"/>
  <c r="C362" i="5" s="1"/>
  <c r="G52" i="4" s="1"/>
  <c r="B360" i="5"/>
  <c r="B359" i="5"/>
  <c r="B358" i="5"/>
  <c r="B357" i="5"/>
  <c r="C357" i="5" s="1"/>
  <c r="G47" i="4" s="1"/>
  <c r="C356" i="5"/>
  <c r="B356" i="5"/>
  <c r="D356" i="5" s="1"/>
  <c r="H46" i="4" s="1"/>
  <c r="C355" i="5"/>
  <c r="G45" i="4" s="1"/>
  <c r="B355" i="5"/>
  <c r="B354" i="5"/>
  <c r="B353" i="5"/>
  <c r="C354" i="5" s="1"/>
  <c r="G44" i="4" s="1"/>
  <c r="B352" i="5"/>
  <c r="B351" i="5"/>
  <c r="D351" i="5" s="1"/>
  <c r="H41" i="4" s="1"/>
  <c r="B350" i="5"/>
  <c r="D350" i="5" s="1"/>
  <c r="H40" i="4" s="1"/>
  <c r="B349" i="5"/>
  <c r="C349" i="5" s="1"/>
  <c r="B348" i="5"/>
  <c r="B347" i="5"/>
  <c r="C348" i="5" s="1"/>
  <c r="G38" i="4" s="1"/>
  <c r="B346" i="5"/>
  <c r="B345" i="5"/>
  <c r="C346" i="5" s="1"/>
  <c r="G36" i="4" s="1"/>
  <c r="B344" i="5"/>
  <c r="B343" i="5"/>
  <c r="B342" i="5"/>
  <c r="B341" i="5"/>
  <c r="C341" i="5" s="1"/>
  <c r="C340" i="5"/>
  <c r="B340" i="5"/>
  <c r="D340" i="5" s="1"/>
  <c r="C339" i="5"/>
  <c r="G29" i="4" s="1"/>
  <c r="B339" i="5"/>
  <c r="B338" i="5"/>
  <c r="B337" i="5"/>
  <c r="C338" i="5" s="1"/>
  <c r="G28" i="4" s="1"/>
  <c r="B336" i="5"/>
  <c r="B335" i="5"/>
  <c r="D335" i="5" s="1"/>
  <c r="B334" i="5"/>
  <c r="D334" i="5" s="1"/>
  <c r="H24" i="4" s="1"/>
  <c r="B333" i="5"/>
  <c r="C333" i="5" s="1"/>
  <c r="B332" i="5"/>
  <c r="B331" i="5"/>
  <c r="C332" i="5" s="1"/>
  <c r="G22" i="4" s="1"/>
  <c r="B330" i="5"/>
  <c r="B329" i="5"/>
  <c r="C330" i="5" s="1"/>
  <c r="B328" i="5"/>
  <c r="B327" i="5"/>
  <c r="B326" i="5"/>
  <c r="B325" i="5"/>
  <c r="C325" i="5" s="1"/>
  <c r="C324" i="5"/>
  <c r="G14" i="4" s="1"/>
  <c r="B324" i="5"/>
  <c r="D324" i="5" s="1"/>
  <c r="H14" i="4" s="1"/>
  <c r="C323" i="5"/>
  <c r="B323" i="5"/>
  <c r="B322" i="5"/>
  <c r="B321" i="5"/>
  <c r="C322" i="5" s="1"/>
  <c r="B320" i="5"/>
  <c r="B319" i="5"/>
  <c r="D319" i="5" s="1"/>
  <c r="B318" i="5"/>
  <c r="D318" i="5" s="1"/>
  <c r="H8" i="4" s="1"/>
  <c r="B317" i="5"/>
  <c r="C317" i="5" s="1"/>
  <c r="B316" i="5"/>
  <c r="B315" i="5"/>
  <c r="C316" i="5" s="1"/>
  <c r="G6" i="4" s="1"/>
  <c r="B314" i="5"/>
  <c r="B313" i="5"/>
  <c r="C314" i="5" s="1"/>
  <c r="G4" i="4" s="1"/>
  <c r="B312" i="5"/>
  <c r="B311" i="5"/>
  <c r="B310" i="5"/>
  <c r="B309" i="5"/>
  <c r="C309" i="5" s="1"/>
  <c r="C308" i="5"/>
  <c r="B308" i="5"/>
  <c r="D308" i="5" s="1"/>
  <c r="C307" i="5"/>
  <c r="B307" i="5"/>
  <c r="B306" i="5"/>
  <c r="B305" i="5"/>
  <c r="C306" i="5" s="1"/>
  <c r="B304" i="5"/>
  <c r="B303" i="5"/>
  <c r="D303" i="5" s="1"/>
  <c r="B302" i="5"/>
  <c r="D302" i="5" s="1"/>
  <c r="B301" i="5"/>
  <c r="C301" i="5" s="1"/>
  <c r="B300" i="5"/>
  <c r="B299" i="5"/>
  <c r="C300" i="5" s="1"/>
  <c r="B298" i="5"/>
  <c r="B297" i="5"/>
  <c r="C298" i="5" s="1"/>
  <c r="B296" i="5"/>
  <c r="B295" i="5"/>
  <c r="B294" i="5"/>
  <c r="B293" i="5"/>
  <c r="C293" i="5" s="1"/>
  <c r="C292" i="5"/>
  <c r="B292" i="5"/>
  <c r="D292" i="5" s="1"/>
  <c r="C291" i="5"/>
  <c r="B291" i="5"/>
  <c r="B290" i="5"/>
  <c r="B289" i="5"/>
  <c r="C290" i="5" s="1"/>
  <c r="B288" i="5"/>
  <c r="B287" i="5"/>
  <c r="D287" i="5" s="1"/>
  <c r="B286" i="5"/>
  <c r="D286" i="5" s="1"/>
  <c r="B285" i="5"/>
  <c r="C285" i="5" s="1"/>
  <c r="B284" i="5"/>
  <c r="B283" i="5"/>
  <c r="C284" i="5" s="1"/>
  <c r="B282" i="5"/>
  <c r="D282" i="5" s="1"/>
  <c r="B281" i="5"/>
  <c r="C282" i="5" s="1"/>
  <c r="B280" i="5"/>
  <c r="B279" i="5"/>
  <c r="B278" i="5"/>
  <c r="B277" i="5"/>
  <c r="B276" i="5"/>
  <c r="D276" i="5" s="1"/>
  <c r="C275" i="5"/>
  <c r="B275" i="5"/>
  <c r="B274" i="5"/>
  <c r="B273" i="5"/>
  <c r="C274" i="5" s="1"/>
  <c r="D272" i="5"/>
  <c r="B272" i="5"/>
  <c r="B271" i="5"/>
  <c r="D271" i="5" s="1"/>
  <c r="C270" i="5"/>
  <c r="B270" i="5"/>
  <c r="B269" i="5"/>
  <c r="B268" i="5"/>
  <c r="D268" i="5" s="1"/>
  <c r="B267" i="5"/>
  <c r="B266" i="5"/>
  <c r="D266" i="5" s="1"/>
  <c r="B265" i="5"/>
  <c r="B264" i="5"/>
  <c r="D264" i="5" s="1"/>
  <c r="B263" i="5"/>
  <c r="D263" i="5" s="1"/>
  <c r="B262" i="5"/>
  <c r="D262" i="5" s="1"/>
  <c r="B261" i="5"/>
  <c r="C261" i="5" s="1"/>
  <c r="C260" i="5"/>
  <c r="B260" i="5"/>
  <c r="B259" i="5"/>
  <c r="C259" i="5" s="1"/>
  <c r="B258" i="5"/>
  <c r="D258" i="5" s="1"/>
  <c r="D257" i="5"/>
  <c r="B257" i="5"/>
  <c r="D256" i="5"/>
  <c r="B256" i="5"/>
  <c r="B255" i="5"/>
  <c r="B254" i="5"/>
  <c r="B253" i="5"/>
  <c r="C253" i="5" s="1"/>
  <c r="C252" i="5"/>
  <c r="B252" i="5"/>
  <c r="D252" i="5" s="1"/>
  <c r="C251" i="5"/>
  <c r="B251" i="5"/>
  <c r="B250" i="5"/>
  <c r="B249" i="5"/>
  <c r="C250" i="5" s="1"/>
  <c r="B248" i="5"/>
  <c r="D248" i="5" s="1"/>
  <c r="B247" i="5"/>
  <c r="C246" i="5"/>
  <c r="B246" i="5"/>
  <c r="B245" i="5"/>
  <c r="B244" i="5"/>
  <c r="B243" i="5"/>
  <c r="C243" i="5" s="1"/>
  <c r="B242" i="5"/>
  <c r="D242" i="5" s="1"/>
  <c r="B241" i="5"/>
  <c r="B240" i="5"/>
  <c r="B239" i="5"/>
  <c r="B238" i="5"/>
  <c r="D238" i="5" s="1"/>
  <c r="B237" i="5"/>
  <c r="B236" i="5"/>
  <c r="D236" i="5" s="1"/>
  <c r="B235" i="5"/>
  <c r="B234" i="5"/>
  <c r="B233" i="5"/>
  <c r="D233" i="5" s="1"/>
  <c r="B232" i="5"/>
  <c r="D232" i="5" s="1"/>
  <c r="B231" i="5"/>
  <c r="B230" i="5"/>
  <c r="B229" i="5"/>
  <c r="B228" i="5"/>
  <c r="D240" i="5" s="1"/>
  <c r="B227" i="5"/>
  <c r="C227" i="5" s="1"/>
  <c r="B226" i="5"/>
  <c r="D226" i="5" s="1"/>
  <c r="B225" i="5"/>
  <c r="B224" i="5"/>
  <c r="D224" i="5" s="1"/>
  <c r="B223" i="5"/>
  <c r="D235" i="5" s="1"/>
  <c r="B222" i="5"/>
  <c r="D222" i="5" s="1"/>
  <c r="B221" i="5"/>
  <c r="C221" i="5" s="1"/>
  <c r="B220" i="5"/>
  <c r="B219" i="5"/>
  <c r="C219" i="5" s="1"/>
  <c r="B218" i="5"/>
  <c r="B217" i="5"/>
  <c r="B216" i="5"/>
  <c r="D216" i="5" s="1"/>
  <c r="B215" i="5"/>
  <c r="B214" i="5"/>
  <c r="B213" i="5"/>
  <c r="B212" i="5"/>
  <c r="D212" i="5" s="1"/>
  <c r="B211" i="5"/>
  <c r="C211" i="5" s="1"/>
  <c r="B210" i="5"/>
  <c r="B209" i="5"/>
  <c r="B208" i="5"/>
  <c r="D208" i="5" s="1"/>
  <c r="B207" i="5"/>
  <c r="D219" i="5" s="1"/>
  <c r="B206" i="5"/>
  <c r="D206" i="5" s="1"/>
  <c r="B205" i="5"/>
  <c r="C205" i="5" s="1"/>
  <c r="B204" i="5"/>
  <c r="B203" i="5"/>
  <c r="D203" i="5" s="1"/>
  <c r="B202" i="5"/>
  <c r="B201" i="5"/>
  <c r="D201" i="5" s="1"/>
  <c r="D200" i="5"/>
  <c r="B200" i="5"/>
  <c r="B199" i="5"/>
  <c r="B198" i="5"/>
  <c r="B197" i="5"/>
  <c r="B196" i="5"/>
  <c r="D196" i="5" s="1"/>
  <c r="B195" i="5"/>
  <c r="B194" i="5"/>
  <c r="B193" i="5"/>
  <c r="B192" i="5"/>
  <c r="B191" i="5"/>
  <c r="B190" i="5"/>
  <c r="D190" i="5" s="1"/>
  <c r="B189" i="5"/>
  <c r="C189" i="5" s="1"/>
  <c r="B188" i="5"/>
  <c r="B187" i="5"/>
  <c r="C188" i="5" s="1"/>
  <c r="B186" i="5"/>
  <c r="D185" i="5"/>
  <c r="C185" i="5"/>
  <c r="B185" i="5"/>
  <c r="B184" i="5"/>
  <c r="B183" i="5"/>
  <c r="D195" i="5" s="1"/>
  <c r="B182" i="5"/>
  <c r="B181" i="5"/>
  <c r="B180" i="5"/>
  <c r="D180" i="5" s="1"/>
  <c r="D179" i="5"/>
  <c r="C179" i="5"/>
  <c r="B179" i="5"/>
  <c r="B178" i="5"/>
  <c r="B177" i="5"/>
  <c r="D177" i="5" s="1"/>
  <c r="B176" i="5"/>
  <c r="B175" i="5"/>
  <c r="B174" i="5"/>
  <c r="D174" i="5" s="1"/>
  <c r="B173" i="5"/>
  <c r="B172" i="5"/>
  <c r="B171" i="5"/>
  <c r="D171" i="5" s="1"/>
  <c r="B170" i="5"/>
  <c r="D169" i="5"/>
  <c r="C169" i="5"/>
  <c r="B169" i="5"/>
  <c r="B168" i="5"/>
  <c r="B167" i="5"/>
  <c r="B166" i="5"/>
  <c r="B165" i="5"/>
  <c r="B164" i="5"/>
  <c r="D164" i="5" s="1"/>
  <c r="D163" i="5"/>
  <c r="C163" i="5"/>
  <c r="B163" i="5"/>
  <c r="B162" i="5"/>
  <c r="B161" i="5"/>
  <c r="C161" i="5" s="1"/>
  <c r="B160" i="5"/>
  <c r="B159" i="5"/>
  <c r="B158" i="5"/>
  <c r="D158" i="5" s="1"/>
  <c r="B157" i="5"/>
  <c r="B156" i="5"/>
  <c r="B155" i="5"/>
  <c r="C155" i="5" s="1"/>
  <c r="B154" i="5"/>
  <c r="D153" i="5"/>
  <c r="B153" i="5"/>
  <c r="C153" i="5" s="1"/>
  <c r="B152" i="5"/>
  <c r="B151" i="5"/>
  <c r="B150" i="5"/>
  <c r="B149" i="5"/>
  <c r="B148" i="5"/>
  <c r="D148" i="5" s="1"/>
  <c r="D147" i="5"/>
  <c r="B147" i="5"/>
  <c r="C147" i="5" s="1"/>
  <c r="B146" i="5"/>
  <c r="B145" i="5"/>
  <c r="C145" i="5" s="1"/>
  <c r="B144" i="5"/>
  <c r="B143" i="5"/>
  <c r="B142" i="5"/>
  <c r="D142" i="5" s="1"/>
  <c r="B141" i="5"/>
  <c r="B140" i="5"/>
  <c r="B139" i="5"/>
  <c r="C139" i="5" s="1"/>
  <c r="B138" i="5"/>
  <c r="D137" i="5"/>
  <c r="B137" i="5"/>
  <c r="C137" i="5" s="1"/>
  <c r="B136" i="5"/>
  <c r="B135" i="5"/>
  <c r="B134" i="5"/>
  <c r="B133" i="5"/>
  <c r="B132" i="5"/>
  <c r="D132" i="5" s="1"/>
  <c r="D131" i="5"/>
  <c r="B131" i="5"/>
  <c r="C131" i="5" s="1"/>
  <c r="B130" i="5"/>
  <c r="B129" i="5"/>
  <c r="C129" i="5" s="1"/>
  <c r="B128" i="5"/>
  <c r="B127" i="5"/>
  <c r="B126" i="5"/>
  <c r="B125" i="5"/>
  <c r="B124" i="5"/>
  <c r="B123" i="5"/>
  <c r="C123" i="5" s="1"/>
  <c r="B122" i="5"/>
  <c r="B121" i="5"/>
  <c r="B120" i="5"/>
  <c r="B119" i="5"/>
  <c r="B118" i="5"/>
  <c r="B117" i="5"/>
  <c r="B116" i="5"/>
  <c r="D115" i="5"/>
  <c r="C115" i="5"/>
  <c r="B115" i="5"/>
  <c r="B114" i="5"/>
  <c r="B113" i="5"/>
  <c r="D113" i="5" s="1"/>
  <c r="B112" i="5"/>
  <c r="B111" i="5"/>
  <c r="B110" i="5"/>
  <c r="B109" i="5"/>
  <c r="D121" i="5" s="1"/>
  <c r="B108" i="5"/>
  <c r="D108" i="5" s="1"/>
  <c r="B107" i="5"/>
  <c r="D107" i="5" s="1"/>
  <c r="B106" i="5"/>
  <c r="B105" i="5"/>
  <c r="B104" i="5"/>
  <c r="B103" i="5"/>
  <c r="B102" i="5"/>
  <c r="D102" i="5" s="1"/>
  <c r="B101" i="5"/>
  <c r="B100" i="5"/>
  <c r="B99" i="5"/>
  <c r="D99" i="5" s="1"/>
  <c r="B98" i="5"/>
  <c r="C99" i="5" s="1"/>
  <c r="B97" i="5"/>
  <c r="D97" i="5" s="1"/>
  <c r="B96" i="5"/>
  <c r="B95" i="5"/>
  <c r="B94" i="5"/>
  <c r="B93" i="5"/>
  <c r="D105" i="5" s="1"/>
  <c r="B92" i="5"/>
  <c r="D92" i="5" s="1"/>
  <c r="D91" i="5"/>
  <c r="B91" i="5"/>
  <c r="C91" i="5" s="1"/>
  <c r="B90" i="5"/>
  <c r="B89" i="5"/>
  <c r="D89" i="5" s="1"/>
  <c r="B88" i="5"/>
  <c r="B87" i="5"/>
  <c r="B86" i="5"/>
  <c r="D86" i="5" s="1"/>
  <c r="B85" i="5"/>
  <c r="B84" i="5"/>
  <c r="B83" i="5"/>
  <c r="D83" i="5" s="1"/>
  <c r="B82" i="5"/>
  <c r="B81" i="5"/>
  <c r="D81" i="5" s="1"/>
  <c r="B80" i="5"/>
  <c r="B79" i="5"/>
  <c r="B78" i="5"/>
  <c r="B77" i="5"/>
  <c r="B76" i="5"/>
  <c r="B75" i="5"/>
  <c r="D75" i="5" s="1"/>
  <c r="B74" i="5"/>
  <c r="B73" i="5"/>
  <c r="B72" i="5"/>
  <c r="B71" i="5"/>
  <c r="B70" i="5"/>
  <c r="D70" i="5" s="1"/>
  <c r="B69" i="5"/>
  <c r="B68" i="5"/>
  <c r="D68" i="5" s="1"/>
  <c r="D67" i="5"/>
  <c r="B67" i="5"/>
  <c r="B66" i="5"/>
  <c r="C67" i="5" s="1"/>
  <c r="B65" i="5"/>
  <c r="D65" i="5" s="1"/>
  <c r="B64" i="5"/>
  <c r="B63" i="5"/>
  <c r="B62" i="5"/>
  <c r="B61" i="5"/>
  <c r="D73" i="5" s="1"/>
  <c r="B60" i="5"/>
  <c r="B59" i="5"/>
  <c r="D59" i="5" s="1"/>
  <c r="B58" i="5"/>
  <c r="B57" i="5"/>
  <c r="B56" i="5"/>
  <c r="B55" i="5"/>
  <c r="B54" i="5"/>
  <c r="B53" i="5"/>
  <c r="B52" i="5"/>
  <c r="D51" i="5"/>
  <c r="C51" i="5"/>
  <c r="B51" i="5"/>
  <c r="B50" i="5"/>
  <c r="B49" i="5"/>
  <c r="D49" i="5" s="1"/>
  <c r="B48" i="5"/>
  <c r="B47" i="5"/>
  <c r="B46" i="5"/>
  <c r="B45" i="5"/>
  <c r="D57" i="5" s="1"/>
  <c r="B44" i="5"/>
  <c r="D44" i="5" s="1"/>
  <c r="B43" i="5"/>
  <c r="D43" i="5" s="1"/>
  <c r="B42" i="5"/>
  <c r="B41" i="5"/>
  <c r="B40" i="5"/>
  <c r="B39" i="5"/>
  <c r="B38" i="5"/>
  <c r="D38" i="5" s="1"/>
  <c r="B37" i="5"/>
  <c r="B36" i="5"/>
  <c r="B35" i="5"/>
  <c r="D35" i="5" s="1"/>
  <c r="B34" i="5"/>
  <c r="C35" i="5" s="1"/>
  <c r="B33" i="5"/>
  <c r="D33" i="5" s="1"/>
  <c r="B32" i="5"/>
  <c r="B31" i="5"/>
  <c r="B30" i="5"/>
  <c r="B29" i="5"/>
  <c r="D41" i="5" s="1"/>
  <c r="B28" i="5"/>
  <c r="D27" i="5"/>
  <c r="B27" i="5"/>
  <c r="C27" i="5" s="1"/>
  <c r="B26" i="5"/>
  <c r="B25" i="5"/>
  <c r="D25" i="5" s="1"/>
  <c r="D24" i="5"/>
  <c r="B24" i="5"/>
  <c r="B23" i="5"/>
  <c r="B22" i="5"/>
  <c r="B21" i="5"/>
  <c r="B20" i="5"/>
  <c r="B19" i="5"/>
  <c r="C19" i="5" s="1"/>
  <c r="B18" i="5"/>
  <c r="B17" i="5"/>
  <c r="B16" i="5"/>
  <c r="C16" i="5" s="1"/>
  <c r="B15" i="5"/>
  <c r="C15" i="5" s="1"/>
  <c r="B14" i="5"/>
  <c r="B13" i="5"/>
  <c r="B12" i="5"/>
  <c r="B11" i="5"/>
  <c r="B10" i="5"/>
  <c r="C10" i="5" s="1"/>
  <c r="B9" i="5"/>
  <c r="B8" i="5"/>
  <c r="B7" i="5"/>
  <c r="AE62" i="4"/>
  <c r="AB62" i="4"/>
  <c r="Z62" i="4"/>
  <c r="X62" i="4"/>
  <c r="W62" i="4"/>
  <c r="S62" i="4"/>
  <c r="Q62" i="4"/>
  <c r="O62" i="4"/>
  <c r="N62" i="4"/>
  <c r="M62" i="4"/>
  <c r="H62" i="4"/>
  <c r="AF61" i="4"/>
  <c r="AE61" i="4"/>
  <c r="AB61" i="4"/>
  <c r="AA61" i="4"/>
  <c r="X61" i="4"/>
  <c r="W61" i="4"/>
  <c r="T61" i="4"/>
  <c r="S61" i="4"/>
  <c r="R61" i="4"/>
  <c r="J61" i="4"/>
  <c r="I61" i="4"/>
  <c r="AF60" i="4"/>
  <c r="U60" i="4"/>
  <c r="Q60" i="4"/>
  <c r="L60" i="4"/>
  <c r="K60" i="4"/>
  <c r="I60" i="4"/>
  <c r="E60" i="4"/>
  <c r="X59" i="4"/>
  <c r="W59" i="4"/>
  <c r="Q59" i="4"/>
  <c r="K59" i="4"/>
  <c r="J59" i="4"/>
  <c r="E59" i="4"/>
  <c r="AF58" i="4"/>
  <c r="AE58" i="4"/>
  <c r="X58" i="4"/>
  <c r="W58" i="4"/>
  <c r="U58" i="4"/>
  <c r="T58" i="4"/>
  <c r="S58" i="4"/>
  <c r="R58" i="4"/>
  <c r="Q58" i="4"/>
  <c r="L58" i="4"/>
  <c r="I58" i="4"/>
  <c r="AF57" i="4"/>
  <c r="AE57" i="4"/>
  <c r="AB57" i="4"/>
  <c r="X57" i="4"/>
  <c r="S57" i="4"/>
  <c r="O57" i="4"/>
  <c r="N57" i="4"/>
  <c r="K57" i="4"/>
  <c r="J57" i="4"/>
  <c r="I57" i="4"/>
  <c r="AF56" i="4"/>
  <c r="AE56" i="4"/>
  <c r="AC56" i="4"/>
  <c r="AB56" i="4"/>
  <c r="AA56" i="4"/>
  <c r="X56" i="4"/>
  <c r="S56" i="4"/>
  <c r="M56" i="4"/>
  <c r="L56" i="4"/>
  <c r="K56" i="4"/>
  <c r="J56" i="4"/>
  <c r="I56" i="4"/>
  <c r="AF55" i="4"/>
  <c r="AE55" i="4"/>
  <c r="AD55" i="4"/>
  <c r="AC55" i="4"/>
  <c r="AA55" i="4"/>
  <c r="X55" i="4"/>
  <c r="W55" i="4"/>
  <c r="T55" i="4"/>
  <c r="S55" i="4"/>
  <c r="R55" i="4"/>
  <c r="P55" i="4"/>
  <c r="O55" i="4"/>
  <c r="M55" i="4"/>
  <c r="L55" i="4"/>
  <c r="K55" i="4"/>
  <c r="G55" i="4"/>
  <c r="AF54" i="4"/>
  <c r="AD54" i="4"/>
  <c r="X54" i="4"/>
  <c r="W54" i="4"/>
  <c r="Q54" i="4"/>
  <c r="O54" i="4"/>
  <c r="N54" i="4"/>
  <c r="F54" i="4"/>
  <c r="E54" i="4"/>
  <c r="U53" i="4"/>
  <c r="T53" i="4"/>
  <c r="S53" i="4"/>
  <c r="R53" i="4"/>
  <c r="J53" i="4"/>
  <c r="I53" i="4"/>
  <c r="AF52" i="4"/>
  <c r="AE52" i="4"/>
  <c r="AB52" i="4"/>
  <c r="T52" i="4"/>
  <c r="S52" i="4"/>
  <c r="Q52" i="4"/>
  <c r="L52" i="4"/>
  <c r="K52" i="4"/>
  <c r="I52" i="4"/>
  <c r="Q51" i="4"/>
  <c r="P51" i="4"/>
  <c r="K51" i="4"/>
  <c r="J51" i="4"/>
  <c r="AD50" i="4"/>
  <c r="Z50" i="4"/>
  <c r="W50" i="4"/>
  <c r="U50" i="4"/>
  <c r="T50" i="4"/>
  <c r="R50" i="4"/>
  <c r="Q50" i="4"/>
  <c r="L50" i="4"/>
  <c r="I50" i="4"/>
  <c r="AF49" i="4"/>
  <c r="AE49" i="4"/>
  <c r="Y49" i="4"/>
  <c r="X49" i="4"/>
  <c r="W49" i="4"/>
  <c r="V49" i="4"/>
  <c r="T49" i="4"/>
  <c r="S49" i="4"/>
  <c r="O49" i="4"/>
  <c r="N49" i="4"/>
  <c r="K49" i="4"/>
  <c r="J49" i="4"/>
  <c r="I49" i="4"/>
  <c r="AE48" i="4"/>
  <c r="AC48" i="4"/>
  <c r="X48" i="4"/>
  <c r="W48" i="4"/>
  <c r="T48" i="4"/>
  <c r="S48" i="4"/>
  <c r="M48" i="4"/>
  <c r="L48" i="4"/>
  <c r="K48" i="4"/>
  <c r="J48" i="4"/>
  <c r="I48" i="4"/>
  <c r="Z47" i="4"/>
  <c r="X47" i="4"/>
  <c r="W47" i="4"/>
  <c r="V47" i="4"/>
  <c r="S47" i="4"/>
  <c r="R47" i="4"/>
  <c r="P47" i="4"/>
  <c r="M47" i="4"/>
  <c r="L47" i="4"/>
  <c r="K47" i="4"/>
  <c r="AF46" i="4"/>
  <c r="AE46" i="4"/>
  <c r="T46" i="4"/>
  <c r="S46" i="4"/>
  <c r="Q46" i="4"/>
  <c r="O46" i="4"/>
  <c r="N46" i="4"/>
  <c r="G46" i="4"/>
  <c r="AA45" i="4"/>
  <c r="Z45" i="4"/>
  <c r="W45" i="4"/>
  <c r="T45" i="4"/>
  <c r="S45" i="4"/>
  <c r="R45" i="4"/>
  <c r="J45" i="4"/>
  <c r="I45" i="4"/>
  <c r="Z44" i="4"/>
  <c r="S44" i="4"/>
  <c r="Q44" i="4"/>
  <c r="L44" i="4"/>
  <c r="I44" i="4"/>
  <c r="F44" i="4"/>
  <c r="AF43" i="4"/>
  <c r="AE43" i="4"/>
  <c r="AB43" i="4"/>
  <c r="X43" i="4"/>
  <c r="W43" i="4"/>
  <c r="S43" i="4"/>
  <c r="Q43" i="4"/>
  <c r="P43" i="4"/>
  <c r="K43" i="4"/>
  <c r="J43" i="4"/>
  <c r="AE42" i="4"/>
  <c r="T42" i="4"/>
  <c r="S42" i="4"/>
  <c r="R42" i="4"/>
  <c r="Q42" i="4"/>
  <c r="L42" i="4"/>
  <c r="I42" i="4"/>
  <c r="AB41" i="4"/>
  <c r="X41" i="4"/>
  <c r="W41" i="4"/>
  <c r="V41" i="4"/>
  <c r="T41" i="4"/>
  <c r="S41" i="4"/>
  <c r="O41" i="4"/>
  <c r="N41" i="4"/>
  <c r="K41" i="4"/>
  <c r="J41" i="4"/>
  <c r="I41" i="4"/>
  <c r="AF40" i="4"/>
  <c r="AA40" i="4"/>
  <c r="X40" i="4"/>
  <c r="W40" i="4"/>
  <c r="U40" i="4"/>
  <c r="T40" i="4"/>
  <c r="M40" i="4"/>
  <c r="L40" i="4"/>
  <c r="K40" i="4"/>
  <c r="J40" i="4"/>
  <c r="I40" i="4"/>
  <c r="AC39" i="4"/>
  <c r="W39" i="4"/>
  <c r="T39" i="4"/>
  <c r="R39" i="4"/>
  <c r="P39" i="4"/>
  <c r="O39" i="4"/>
  <c r="M39" i="4"/>
  <c r="L39" i="4"/>
  <c r="K39" i="4"/>
  <c r="G39" i="4"/>
  <c r="AF38" i="4"/>
  <c r="AE38" i="4"/>
  <c r="AD38" i="4"/>
  <c r="S38" i="4"/>
  <c r="Q38" i="4"/>
  <c r="O38" i="4"/>
  <c r="N38" i="4"/>
  <c r="AF37" i="4"/>
  <c r="AB37" i="4"/>
  <c r="AA37" i="4"/>
  <c r="X37" i="4"/>
  <c r="W37" i="4"/>
  <c r="T37" i="4"/>
  <c r="R37" i="4"/>
  <c r="J37" i="4"/>
  <c r="I37" i="4"/>
  <c r="U36" i="4"/>
  <c r="T36" i="4"/>
  <c r="Q36" i="4"/>
  <c r="L36" i="4"/>
  <c r="I36" i="4"/>
  <c r="AF35" i="4"/>
  <c r="AE35" i="4"/>
  <c r="X35" i="4"/>
  <c r="W35" i="4"/>
  <c r="T35" i="4"/>
  <c r="Q35" i="4"/>
  <c r="K35" i="4"/>
  <c r="J35" i="4"/>
  <c r="Y34" i="4"/>
  <c r="X34" i="4"/>
  <c r="V34" i="4"/>
  <c r="T34" i="4"/>
  <c r="S34" i="4"/>
  <c r="R34" i="4"/>
  <c r="Q34" i="4"/>
  <c r="L34" i="4"/>
  <c r="I34" i="4"/>
  <c r="T33" i="4"/>
  <c r="S33" i="4"/>
  <c r="O33" i="4"/>
  <c r="N33" i="4"/>
  <c r="K33" i="4"/>
  <c r="J33" i="4"/>
  <c r="I33" i="4"/>
  <c r="AF32" i="4"/>
  <c r="AE32" i="4"/>
  <c r="AC32" i="4"/>
  <c r="AA32" i="4"/>
  <c r="W32" i="4"/>
  <c r="T32" i="4"/>
  <c r="S32" i="4"/>
  <c r="M32" i="4"/>
  <c r="L32" i="4"/>
  <c r="K32" i="4"/>
  <c r="J32" i="4"/>
  <c r="I32" i="4"/>
  <c r="AF31" i="4"/>
  <c r="AE31" i="4"/>
  <c r="AC31" i="4"/>
  <c r="W31" i="4"/>
  <c r="S31" i="4"/>
  <c r="R31" i="4"/>
  <c r="P31" i="4"/>
  <c r="O31" i="4"/>
  <c r="M31" i="4"/>
  <c r="L31" i="4"/>
  <c r="K31" i="4"/>
  <c r="G31" i="4"/>
  <c r="AE30" i="4"/>
  <c r="W30" i="4"/>
  <c r="S30" i="4"/>
  <c r="Q30" i="4"/>
  <c r="O30" i="4"/>
  <c r="N30" i="4"/>
  <c r="H30" i="4"/>
  <c r="G30" i="4"/>
  <c r="AE29" i="4"/>
  <c r="Z29" i="4"/>
  <c r="X29" i="4"/>
  <c r="W29" i="4"/>
  <c r="V29" i="4"/>
  <c r="T29" i="4"/>
  <c r="S29" i="4"/>
  <c r="R29" i="4"/>
  <c r="J29" i="4"/>
  <c r="I29" i="4"/>
  <c r="AF28" i="4"/>
  <c r="X28" i="4"/>
  <c r="V28" i="4"/>
  <c r="S28" i="4"/>
  <c r="Q28" i="4"/>
  <c r="I28" i="4"/>
  <c r="F28" i="4"/>
  <c r="AF27" i="4"/>
  <c r="AD27" i="4"/>
  <c r="X27" i="4"/>
  <c r="W27" i="4"/>
  <c r="U27" i="4"/>
  <c r="R27" i="4"/>
  <c r="Q27" i="4"/>
  <c r="K27" i="4"/>
  <c r="J27" i="4"/>
  <c r="AF26" i="4"/>
  <c r="AE26" i="4"/>
  <c r="AD26" i="4"/>
  <c r="Z26" i="4"/>
  <c r="Y26" i="4"/>
  <c r="X26" i="4"/>
  <c r="V26" i="4"/>
  <c r="T26" i="4"/>
  <c r="S26" i="4"/>
  <c r="R26" i="4"/>
  <c r="Q26" i="4"/>
  <c r="L26" i="4"/>
  <c r="I26" i="4"/>
  <c r="AF25" i="4"/>
  <c r="AE25" i="4"/>
  <c r="AC25" i="4"/>
  <c r="AB25" i="4"/>
  <c r="Z25" i="4"/>
  <c r="X25" i="4"/>
  <c r="T25" i="4"/>
  <c r="S25" i="4"/>
  <c r="O25" i="4"/>
  <c r="N25" i="4"/>
  <c r="K25" i="4"/>
  <c r="J25" i="4"/>
  <c r="I25" i="4"/>
  <c r="H25" i="4"/>
  <c r="AF24" i="4"/>
  <c r="AE24" i="4"/>
  <c r="AD24" i="4"/>
  <c r="AA24" i="4"/>
  <c r="X24" i="4"/>
  <c r="W24" i="4"/>
  <c r="U24" i="4"/>
  <c r="S24" i="4"/>
  <c r="M24" i="4"/>
  <c r="L24" i="4"/>
  <c r="K24" i="4"/>
  <c r="J24" i="4"/>
  <c r="I24" i="4"/>
  <c r="AF23" i="4"/>
  <c r="AE23" i="4"/>
  <c r="AB23" i="4"/>
  <c r="X23" i="4"/>
  <c r="W23" i="4"/>
  <c r="U23" i="4"/>
  <c r="T23" i="4"/>
  <c r="S23" i="4"/>
  <c r="R23" i="4"/>
  <c r="P23" i="4"/>
  <c r="M23" i="4"/>
  <c r="L23" i="4"/>
  <c r="K23" i="4"/>
  <c r="G23" i="4"/>
  <c r="AF22" i="4"/>
  <c r="W22" i="4"/>
  <c r="Q22" i="4"/>
  <c r="O22" i="4"/>
  <c r="N22" i="4"/>
  <c r="AA21" i="4"/>
  <c r="S21" i="4"/>
  <c r="R21" i="4"/>
  <c r="J21" i="4"/>
  <c r="I21" i="4"/>
  <c r="AF20" i="4"/>
  <c r="AE20" i="4"/>
  <c r="T20" i="4"/>
  <c r="S20" i="4"/>
  <c r="Q20" i="4"/>
  <c r="I20" i="4"/>
  <c r="G20" i="4"/>
  <c r="F20" i="4"/>
  <c r="E20" i="4"/>
  <c r="AF19" i="4"/>
  <c r="W19" i="4"/>
  <c r="R19" i="4"/>
  <c r="Q19" i="4"/>
  <c r="K19" i="4"/>
  <c r="J19" i="4"/>
  <c r="AE18" i="4"/>
  <c r="Y18" i="4"/>
  <c r="W18" i="4"/>
  <c r="U18" i="4"/>
  <c r="S18" i="4"/>
  <c r="R18" i="4"/>
  <c r="Q18" i="4"/>
  <c r="L18" i="4"/>
  <c r="I18" i="4"/>
  <c r="AF17" i="4"/>
  <c r="AE17" i="4"/>
  <c r="X17" i="4"/>
  <c r="W17" i="4"/>
  <c r="U17" i="4"/>
  <c r="T17" i="4"/>
  <c r="S17" i="4"/>
  <c r="O17" i="4"/>
  <c r="N17" i="4"/>
  <c r="K17" i="4"/>
  <c r="J17" i="4"/>
  <c r="I17" i="4"/>
  <c r="AE16" i="4"/>
  <c r="AC16" i="4"/>
  <c r="X16" i="4"/>
  <c r="W16" i="4"/>
  <c r="T16" i="4"/>
  <c r="S16" i="4"/>
  <c r="R16" i="4"/>
  <c r="M16" i="4"/>
  <c r="L16" i="4"/>
  <c r="K16" i="4"/>
  <c r="J16" i="4"/>
  <c r="I16" i="4"/>
  <c r="AF15" i="4"/>
  <c r="AE15" i="4"/>
  <c r="AA15" i="4"/>
  <c r="W15" i="4"/>
  <c r="R15" i="4"/>
  <c r="Q15" i="4"/>
  <c r="P15" i="4"/>
  <c r="M15" i="4"/>
  <c r="L15" i="4"/>
  <c r="K15" i="4"/>
  <c r="G15" i="4"/>
  <c r="E15" i="4"/>
  <c r="AF14" i="4"/>
  <c r="AE14" i="4"/>
  <c r="W14" i="4"/>
  <c r="V14" i="4"/>
  <c r="U14" i="4"/>
  <c r="T14" i="4"/>
  <c r="S14" i="4"/>
  <c r="O14" i="4"/>
  <c r="N14" i="4"/>
  <c r="F14" i="4"/>
  <c r="Z13" i="4"/>
  <c r="X13" i="4"/>
  <c r="W13" i="4"/>
  <c r="U13" i="4"/>
  <c r="T13" i="4"/>
  <c r="S13" i="4"/>
  <c r="R13" i="4"/>
  <c r="J13" i="4"/>
  <c r="I13" i="4"/>
  <c r="G13" i="4"/>
  <c r="X12" i="4"/>
  <c r="R12" i="4"/>
  <c r="Q12" i="4"/>
  <c r="I12" i="4"/>
  <c r="G12" i="4"/>
  <c r="AF11" i="4"/>
  <c r="AE11" i="4"/>
  <c r="X11" i="4"/>
  <c r="W11" i="4"/>
  <c r="S11" i="4"/>
  <c r="P11" i="4"/>
  <c r="K11" i="4"/>
  <c r="J11" i="4"/>
  <c r="AE10" i="4"/>
  <c r="X10" i="4"/>
  <c r="S10" i="4"/>
  <c r="R10" i="4"/>
  <c r="L10" i="4"/>
  <c r="I10" i="4"/>
  <c r="AD9" i="4"/>
  <c r="X9" i="4"/>
  <c r="T9" i="4"/>
  <c r="S9" i="4"/>
  <c r="R9" i="4"/>
  <c r="O9" i="4"/>
  <c r="N9" i="4"/>
  <c r="K9" i="4"/>
  <c r="J9" i="4"/>
  <c r="I9" i="4"/>
  <c r="H9" i="4"/>
  <c r="AF8" i="4"/>
  <c r="X8" i="4"/>
  <c r="W8" i="4"/>
  <c r="T8" i="4"/>
  <c r="R8" i="4"/>
  <c r="M8" i="4"/>
  <c r="L8" i="4"/>
  <c r="K8" i="4"/>
  <c r="J8" i="4"/>
  <c r="I8" i="4"/>
  <c r="AB7" i="4"/>
  <c r="AA7" i="4"/>
  <c r="X7" i="4"/>
  <c r="W7" i="4"/>
  <c r="T7" i="4"/>
  <c r="R7" i="4"/>
  <c r="P7" i="4"/>
  <c r="M7" i="4"/>
  <c r="L7" i="4"/>
  <c r="K7" i="4"/>
  <c r="G7" i="4"/>
  <c r="E7" i="4"/>
  <c r="AF6" i="4"/>
  <c r="AC6" i="4"/>
  <c r="W6" i="4"/>
  <c r="O6" i="4"/>
  <c r="N6" i="4"/>
  <c r="F6" i="4"/>
  <c r="AF5" i="4"/>
  <c r="T5" i="4"/>
  <c r="R5" i="4"/>
  <c r="Q5" i="4"/>
  <c r="J5" i="4"/>
  <c r="I5" i="4"/>
  <c r="V4" i="4"/>
  <c r="R4" i="4"/>
  <c r="Q4" i="4"/>
  <c r="I4" i="4"/>
  <c r="E4" i="4"/>
  <c r="E21" i="3"/>
  <c r="E20" i="3"/>
  <c r="G19" i="3"/>
  <c r="Q28" i="1" s="1"/>
  <c r="E19" i="3"/>
  <c r="G18" i="3"/>
  <c r="Q27" i="1" s="1"/>
  <c r="E18" i="3"/>
  <c r="G17" i="3"/>
  <c r="E17" i="3"/>
  <c r="E16" i="3"/>
  <c r="E15" i="3"/>
  <c r="D15" i="3"/>
  <c r="E14" i="3"/>
  <c r="E13" i="3"/>
  <c r="G12" i="3"/>
  <c r="Q21" i="1" s="1"/>
  <c r="E12" i="3"/>
  <c r="E11" i="3"/>
  <c r="E10" i="3"/>
  <c r="E9" i="3"/>
  <c r="E8" i="3"/>
  <c r="E7" i="3"/>
  <c r="E2" i="3"/>
  <c r="D21" i="3" s="1"/>
  <c r="N35" i="1"/>
  <c r="N34" i="1"/>
  <c r="Q26" i="1"/>
  <c r="D30" i="5" l="1"/>
  <c r="D166" i="5"/>
  <c r="C171" i="5"/>
  <c r="C177" i="5"/>
  <c r="C187" i="5"/>
  <c r="D218" i="5"/>
  <c r="D22" i="5"/>
  <c r="D62" i="5"/>
  <c r="D126" i="5"/>
  <c r="C204" i="5"/>
  <c r="C220" i="5"/>
  <c r="D243" i="5"/>
  <c r="D246" i="5"/>
  <c r="D265" i="5"/>
  <c r="D280" i="5"/>
  <c r="D28" i="5"/>
  <c r="D46" i="5"/>
  <c r="C75" i="5"/>
  <c r="D110" i="5"/>
  <c r="C196" i="5"/>
  <c r="C236" i="5"/>
  <c r="C258" i="5"/>
  <c r="C276" i="5"/>
  <c r="D281" i="5"/>
  <c r="C286" i="5"/>
  <c r="D297" i="5"/>
  <c r="C302" i="5"/>
  <c r="D313" i="5"/>
  <c r="C318" i="5"/>
  <c r="G8" i="4" s="1"/>
  <c r="D329" i="5"/>
  <c r="H19" i="4" s="1"/>
  <c r="C334" i="5"/>
  <c r="G24" i="4" s="1"/>
  <c r="D345" i="5"/>
  <c r="H35" i="4" s="1"/>
  <c r="C350" i="5"/>
  <c r="G40" i="4" s="1"/>
  <c r="D361" i="5"/>
  <c r="H51" i="4" s="1"/>
  <c r="C366" i="5"/>
  <c r="G56" i="4" s="1"/>
  <c r="C11" i="5"/>
  <c r="D52" i="5"/>
  <c r="D116" i="5"/>
  <c r="C197" i="5"/>
  <c r="D202" i="5"/>
  <c r="C206" i="5"/>
  <c r="C222" i="5"/>
  <c r="D228" i="5"/>
  <c r="C237" i="5"/>
  <c r="C262" i="5"/>
  <c r="C267" i="5"/>
  <c r="C277" i="5"/>
  <c r="D298" i="5"/>
  <c r="D314" i="5"/>
  <c r="H4" i="4" s="1"/>
  <c r="D330" i="5"/>
  <c r="H20" i="4" s="1"/>
  <c r="D346" i="5"/>
  <c r="H36" i="4" s="1"/>
  <c r="D362" i="5"/>
  <c r="H52" i="4" s="1"/>
  <c r="C372" i="5"/>
  <c r="G62" i="4" s="1"/>
  <c r="D182" i="5"/>
  <c r="D278" i="5"/>
  <c r="C12" i="5"/>
  <c r="C59" i="5"/>
  <c r="D94" i="5"/>
  <c r="D150" i="5"/>
  <c r="D198" i="5"/>
  <c r="C212" i="5"/>
  <c r="C228" i="5"/>
  <c r="D36" i="5"/>
  <c r="D54" i="5"/>
  <c r="C83" i="5"/>
  <c r="D100" i="5"/>
  <c r="D118" i="5"/>
  <c r="D123" i="5"/>
  <c r="D129" i="5"/>
  <c r="D139" i="5"/>
  <c r="D145" i="5"/>
  <c r="D155" i="5"/>
  <c r="D161" i="5"/>
  <c r="D187" i="5"/>
  <c r="D194" i="5"/>
  <c r="C198" i="5"/>
  <c r="C203" i="5"/>
  <c r="C213" i="5"/>
  <c r="C229" i="5"/>
  <c r="D234" i="5"/>
  <c r="C238" i="5"/>
  <c r="D244" i="5"/>
  <c r="D254" i="5"/>
  <c r="C268" i="5"/>
  <c r="D273" i="5"/>
  <c r="C278" i="5"/>
  <c r="C283" i="5"/>
  <c r="D294" i="5"/>
  <c r="C299" i="5"/>
  <c r="D310" i="5"/>
  <c r="C315" i="5"/>
  <c r="G5" i="4" s="1"/>
  <c r="D326" i="5"/>
  <c r="H16" i="4" s="1"/>
  <c r="C331" i="5"/>
  <c r="G21" i="4" s="1"/>
  <c r="D342" i="5"/>
  <c r="H32" i="4" s="1"/>
  <c r="C347" i="5"/>
  <c r="G37" i="4" s="1"/>
  <c r="D358" i="5"/>
  <c r="H48" i="4" s="1"/>
  <c r="C363" i="5"/>
  <c r="G53" i="4" s="1"/>
  <c r="D373" i="5"/>
  <c r="G9" i="3" s="1"/>
  <c r="Q18" i="1" s="1"/>
  <c r="D76" i="5"/>
  <c r="D134" i="5"/>
  <c r="C8" i="5"/>
  <c r="C14" i="5"/>
  <c r="D20" i="5"/>
  <c r="D26" i="5"/>
  <c r="C43" i="5"/>
  <c r="D60" i="5"/>
  <c r="D78" i="5"/>
  <c r="C107" i="5"/>
  <c r="D124" i="5"/>
  <c r="D140" i="5"/>
  <c r="D156" i="5"/>
  <c r="D172" i="5"/>
  <c r="D188" i="5"/>
  <c r="D211" i="5"/>
  <c r="D214" i="5"/>
  <c r="D230" i="5"/>
  <c r="C244" i="5"/>
  <c r="D249" i="5"/>
  <c r="C254" i="5"/>
  <c r="C269" i="5"/>
  <c r="D274" i="5"/>
  <c r="D279" i="5"/>
  <c r="D284" i="5"/>
  <c r="D289" i="5"/>
  <c r="C294" i="5"/>
  <c r="D300" i="5"/>
  <c r="D305" i="5"/>
  <c r="C310" i="5"/>
  <c r="D316" i="5"/>
  <c r="H6" i="4" s="1"/>
  <c r="D321" i="5"/>
  <c r="H11" i="4" s="1"/>
  <c r="C326" i="5"/>
  <c r="G16" i="4" s="1"/>
  <c r="D332" i="5"/>
  <c r="H22" i="4" s="1"/>
  <c r="D337" i="5"/>
  <c r="H27" i="4" s="1"/>
  <c r="C342" i="5"/>
  <c r="G32" i="4" s="1"/>
  <c r="D348" i="5"/>
  <c r="H38" i="4" s="1"/>
  <c r="D353" i="5"/>
  <c r="H43" i="4" s="1"/>
  <c r="C358" i="5"/>
  <c r="G48" i="4" s="1"/>
  <c r="D364" i="5"/>
  <c r="H54" i="4" s="1"/>
  <c r="D369" i="5"/>
  <c r="H59" i="4" s="1"/>
  <c r="D84" i="5"/>
  <c r="C195" i="5"/>
  <c r="D204" i="5"/>
  <c r="C214" i="5"/>
  <c r="D220" i="5"/>
  <c r="C230" i="5"/>
  <c r="C235" i="5"/>
  <c r="C245" i="5"/>
  <c r="D250" i="5"/>
  <c r="D260" i="5"/>
  <c r="C266" i="5"/>
  <c r="D270" i="5"/>
  <c r="D290" i="5"/>
  <c r="D295" i="5"/>
  <c r="D306" i="5"/>
  <c r="D311" i="5"/>
  <c r="D322" i="5"/>
  <c r="H12" i="4" s="1"/>
  <c r="D327" i="5"/>
  <c r="H17" i="4" s="1"/>
  <c r="D338" i="5"/>
  <c r="H28" i="4" s="1"/>
  <c r="D343" i="5"/>
  <c r="H33" i="4" s="1"/>
  <c r="D354" i="5"/>
  <c r="H44" i="4" s="1"/>
  <c r="D359" i="5"/>
  <c r="H49" i="4" s="1"/>
  <c r="D370" i="5"/>
  <c r="H60" i="4" s="1"/>
  <c r="D373" i="14"/>
  <c r="D373" i="9"/>
  <c r="D12" i="3"/>
  <c r="F12" i="3" s="1"/>
  <c r="P21" i="1" s="1"/>
  <c r="F15" i="3"/>
  <c r="P24" i="1" s="1"/>
  <c r="D20" i="3"/>
  <c r="C23" i="19"/>
  <c r="C63" i="19"/>
  <c r="C98" i="19"/>
  <c r="C351" i="19"/>
  <c r="Y41" i="4" s="1"/>
  <c r="C367" i="19"/>
  <c r="Y57" i="4" s="1"/>
  <c r="D62" i="19"/>
  <c r="D131" i="19"/>
  <c r="C69" i="19"/>
  <c r="D78" i="19"/>
  <c r="D113" i="19"/>
  <c r="C179" i="19"/>
  <c r="C243" i="19"/>
  <c r="C307" i="19"/>
  <c r="D20" i="19"/>
  <c r="C29" i="19"/>
  <c r="C43" i="19"/>
  <c r="D179" i="19"/>
  <c r="D243" i="19"/>
  <c r="C296" i="19"/>
  <c r="D307" i="19"/>
  <c r="D368" i="19"/>
  <c r="Z58" i="4" s="1"/>
  <c r="D33" i="19"/>
  <c r="C59" i="19"/>
  <c r="C101" i="19"/>
  <c r="C163" i="19"/>
  <c r="C227" i="19"/>
  <c r="C291" i="19"/>
  <c r="C320" i="19"/>
  <c r="Y10" i="4" s="1"/>
  <c r="C347" i="19"/>
  <c r="Y37" i="4" s="1"/>
  <c r="D353" i="19"/>
  <c r="Z43" i="4" s="1"/>
  <c r="C363" i="19"/>
  <c r="Y53" i="4" s="1"/>
  <c r="C9" i="19"/>
  <c r="C21" i="19"/>
  <c r="C26" i="19"/>
  <c r="C40" i="19"/>
  <c r="D55" i="19"/>
  <c r="C75" i="19"/>
  <c r="D81" i="19"/>
  <c r="C86" i="19"/>
  <c r="D101" i="19"/>
  <c r="D119" i="19"/>
  <c r="C187" i="19"/>
  <c r="C251" i="19"/>
  <c r="C280" i="19"/>
  <c r="C315" i="19"/>
  <c r="Y5" i="4" s="1"/>
  <c r="D373" i="19"/>
  <c r="D21" i="19"/>
  <c r="C31" i="19"/>
  <c r="C35" i="19"/>
  <c r="D75" i="19"/>
  <c r="D97" i="19"/>
  <c r="C103" i="19"/>
  <c r="C111" i="19"/>
  <c r="C304" i="19"/>
  <c r="D364" i="19"/>
  <c r="Z54" i="4" s="1"/>
  <c r="D34" i="19"/>
  <c r="C33" i="19"/>
  <c r="C47" i="19"/>
  <c r="D349" i="19"/>
  <c r="Z39" i="4" s="1"/>
  <c r="D371" i="19"/>
  <c r="Z61" i="4" s="1"/>
  <c r="G20" i="3"/>
  <c r="Q29" i="1" s="1"/>
  <c r="AD62" i="4"/>
  <c r="C11" i="18"/>
  <c r="D20" i="18"/>
  <c r="C26" i="18"/>
  <c r="C36" i="18"/>
  <c r="C140" i="18"/>
  <c r="C160" i="18"/>
  <c r="D195" i="18"/>
  <c r="D204" i="18"/>
  <c r="D209" i="18"/>
  <c r="D241" i="18"/>
  <c r="D278" i="18"/>
  <c r="C271" i="18"/>
  <c r="D313" i="18"/>
  <c r="D341" i="18"/>
  <c r="AD31" i="4" s="1"/>
  <c r="D371" i="18"/>
  <c r="AD61" i="4" s="1"/>
  <c r="D49" i="18"/>
  <c r="D131" i="18"/>
  <c r="D140" i="18"/>
  <c r="D145" i="18"/>
  <c r="D160" i="18"/>
  <c r="C54" i="18"/>
  <c r="D136" i="18"/>
  <c r="C372" i="18"/>
  <c r="AC62" i="4" s="1"/>
  <c r="C22" i="18"/>
  <c r="D33" i="18"/>
  <c r="D114" i="18"/>
  <c r="D141" i="18"/>
  <c r="C151" i="18"/>
  <c r="C170" i="18"/>
  <c r="C174" i="18"/>
  <c r="C183" i="18"/>
  <c r="C197" i="18"/>
  <c r="C201" i="18"/>
  <c r="C206" i="18"/>
  <c r="C226" i="18"/>
  <c r="D237" i="18"/>
  <c r="C242" i="18"/>
  <c r="D253" i="18"/>
  <c r="C258" i="18"/>
  <c r="C282" i="18"/>
  <c r="C322" i="18"/>
  <c r="AC12" i="4" s="1"/>
  <c r="C333" i="18"/>
  <c r="AC23" i="4" s="1"/>
  <c r="D344" i="18"/>
  <c r="AD34" i="4" s="1"/>
  <c r="D349" i="18"/>
  <c r="AD39" i="4" s="1"/>
  <c r="D23" i="18"/>
  <c r="C29" i="18"/>
  <c r="C45" i="18"/>
  <c r="C61" i="18"/>
  <c r="C77" i="18"/>
  <c r="C93" i="18"/>
  <c r="C110" i="18"/>
  <c r="D120" i="18"/>
  <c r="C124" i="18"/>
  <c r="C133" i="18"/>
  <c r="C137" i="18"/>
  <c r="C142" i="18"/>
  <c r="C162" i="18"/>
  <c r="C166" i="18"/>
  <c r="D174" i="18"/>
  <c r="C212" i="18"/>
  <c r="D226" i="18"/>
  <c r="D232" i="18"/>
  <c r="D242" i="18"/>
  <c r="D258" i="18"/>
  <c r="C263" i="18"/>
  <c r="D281" i="18"/>
  <c r="D282" i="18"/>
  <c r="D298" i="18"/>
  <c r="C304" i="18"/>
  <c r="C317" i="18"/>
  <c r="AC7" i="4" s="1"/>
  <c r="D322" i="18"/>
  <c r="AD12" i="4" s="1"/>
  <c r="D328" i="18"/>
  <c r="AD18" i="4" s="1"/>
  <c r="D333" i="18"/>
  <c r="AD23" i="4" s="1"/>
  <c r="C350" i="18"/>
  <c r="AC40" i="4" s="1"/>
  <c r="D356" i="18"/>
  <c r="AD46" i="4" s="1"/>
  <c r="D362" i="18"/>
  <c r="AD52" i="4" s="1"/>
  <c r="D368" i="18"/>
  <c r="AD58" i="4" s="1"/>
  <c r="C8" i="18"/>
  <c r="C13" i="18"/>
  <c r="D19" i="18"/>
  <c r="C23" i="18"/>
  <c r="D29" i="18"/>
  <c r="D40" i="18"/>
  <c r="D46" i="18"/>
  <c r="C51" i="18"/>
  <c r="D56" i="18"/>
  <c r="D62" i="18"/>
  <c r="C67" i="18"/>
  <c r="D72" i="18"/>
  <c r="D78" i="18"/>
  <c r="C83" i="18"/>
  <c r="D88" i="18"/>
  <c r="D94" i="18"/>
  <c r="C99" i="18"/>
  <c r="D104" i="18"/>
  <c r="D110" i="18"/>
  <c r="C120" i="18"/>
  <c r="D143" i="18"/>
  <c r="C148" i="18"/>
  <c r="D162" i="18"/>
  <c r="C171" i="18"/>
  <c r="C175" i="18"/>
  <c r="C198" i="18"/>
  <c r="C202" i="18"/>
  <c r="C208" i="18"/>
  <c r="D212" i="18"/>
  <c r="D227" i="18"/>
  <c r="C269" i="18"/>
  <c r="D326" i="18"/>
  <c r="AD16" i="4" s="1"/>
  <c r="D317" i="18"/>
  <c r="AD7" i="4" s="1"/>
  <c r="C334" i="18"/>
  <c r="AC24" i="4" s="1"/>
  <c r="C357" i="18"/>
  <c r="AC47" i="4" s="1"/>
  <c r="D373" i="18"/>
  <c r="D21" i="18"/>
  <c r="C15" i="18"/>
  <c r="D24" i="18"/>
  <c r="D30" i="18"/>
  <c r="C41" i="18"/>
  <c r="D64" i="18"/>
  <c r="C57" i="18"/>
  <c r="D80" i="18"/>
  <c r="C73" i="18"/>
  <c r="D96" i="18"/>
  <c r="C89" i="18"/>
  <c r="D112" i="18"/>
  <c r="C105" i="18"/>
  <c r="C112" i="18"/>
  <c r="C125" i="18"/>
  <c r="C134" i="18"/>
  <c r="C138" i="18"/>
  <c r="C144" i="18"/>
  <c r="D163" i="18"/>
  <c r="D175" i="18"/>
  <c r="D180" i="18"/>
  <c r="C189" i="18"/>
  <c r="C194" i="18"/>
  <c r="D198" i="18"/>
  <c r="D203" i="18"/>
  <c r="C227" i="18"/>
  <c r="C255" i="18"/>
  <c r="D269" i="18"/>
  <c r="C279" i="18"/>
  <c r="D302" i="18"/>
  <c r="C294" i="18"/>
  <c r="C314" i="18"/>
  <c r="AC4" i="4" s="1"/>
  <c r="C318" i="18"/>
  <c r="AC8" i="4" s="1"/>
  <c r="D352" i="18"/>
  <c r="AD42" i="4" s="1"/>
  <c r="D357" i="18"/>
  <c r="AD47" i="4" s="1"/>
  <c r="F20" i="3"/>
  <c r="P29" i="1" s="1"/>
  <c r="C20" i="18"/>
  <c r="D139" i="18"/>
  <c r="D154" i="18"/>
  <c r="C161" i="18"/>
  <c r="C172" i="18"/>
  <c r="C176" i="18"/>
  <c r="C209" i="18"/>
  <c r="D218" i="18"/>
  <c r="C225" i="18"/>
  <c r="D246" i="18"/>
  <c r="D257" i="18"/>
  <c r="D265" i="18"/>
  <c r="D370" i="18"/>
  <c r="AD60" i="4" s="1"/>
  <c r="C8" i="17"/>
  <c r="C44" i="17"/>
  <c r="D76" i="17"/>
  <c r="D108" i="17"/>
  <c r="D164" i="17"/>
  <c r="C204" i="17"/>
  <c r="D229" i="17"/>
  <c r="D228" i="17"/>
  <c r="C268" i="17"/>
  <c r="D293" i="17"/>
  <c r="D302" i="17"/>
  <c r="D318" i="17"/>
  <c r="AB8" i="4" s="1"/>
  <c r="D346" i="17"/>
  <c r="AB36" i="4" s="1"/>
  <c r="C362" i="17"/>
  <c r="AA52" i="4" s="1"/>
  <c r="D140" i="17"/>
  <c r="D189" i="17"/>
  <c r="D253" i="17"/>
  <c r="D281" i="17"/>
  <c r="C9" i="17"/>
  <c r="D22" i="17"/>
  <c r="C36" i="17"/>
  <c r="C52" i="17"/>
  <c r="D84" i="17"/>
  <c r="D116" i="17"/>
  <c r="C140" i="17"/>
  <c r="D177" i="17"/>
  <c r="D212" i="17"/>
  <c r="D241" i="17"/>
  <c r="D276" i="17"/>
  <c r="C292" i="17"/>
  <c r="C308" i="17"/>
  <c r="C17" i="17"/>
  <c r="D37" i="17"/>
  <c r="C41" i="17"/>
  <c r="D53" i="17"/>
  <c r="D92" i="17"/>
  <c r="D124" i="17"/>
  <c r="C148" i="17"/>
  <c r="D161" i="17"/>
  <c r="C172" i="17"/>
  <c r="D196" i="17"/>
  <c r="D225" i="17"/>
  <c r="C236" i="17"/>
  <c r="D260" i="17"/>
  <c r="C277" i="17"/>
  <c r="C289" i="17"/>
  <c r="C305" i="17"/>
  <c r="D310" i="17"/>
  <c r="C321" i="17"/>
  <c r="AA11" i="4" s="1"/>
  <c r="D326" i="17"/>
  <c r="AB16" i="4" s="1"/>
  <c r="C353" i="17"/>
  <c r="AA43" i="4" s="1"/>
  <c r="C358" i="17"/>
  <c r="AA48" i="4" s="1"/>
  <c r="C363" i="17"/>
  <c r="AA53" i="4" s="1"/>
  <c r="C57" i="17"/>
  <c r="C67" i="17"/>
  <c r="D74" i="17"/>
  <c r="C99" i="17"/>
  <c r="C124" i="17"/>
  <c r="D156" i="17"/>
  <c r="C179" i="17"/>
  <c r="D185" i="17"/>
  <c r="C196" i="17"/>
  <c r="D221" i="17"/>
  <c r="D220" i="17"/>
  <c r="C243" i="17"/>
  <c r="D249" i="17"/>
  <c r="C260" i="17"/>
  <c r="D285" i="17"/>
  <c r="D284" i="17"/>
  <c r="D289" i="17"/>
  <c r="D300" i="17"/>
  <c r="D305" i="17"/>
  <c r="D316" i="17"/>
  <c r="AB6" i="4" s="1"/>
  <c r="D321" i="17"/>
  <c r="AB11" i="4" s="1"/>
  <c r="D327" i="17"/>
  <c r="AB17" i="4" s="1"/>
  <c r="D343" i="17"/>
  <c r="AB33" i="4" s="1"/>
  <c r="C349" i="17"/>
  <c r="AA39" i="4" s="1"/>
  <c r="D354" i="17"/>
  <c r="AB44" i="4" s="1"/>
  <c r="C370" i="17"/>
  <c r="AA60" i="4" s="1"/>
  <c r="D373" i="17"/>
  <c r="C51" i="17"/>
  <c r="D57" i="17"/>
  <c r="D68" i="17"/>
  <c r="D100" i="17"/>
  <c r="C156" i="17"/>
  <c r="D180" i="17"/>
  <c r="D209" i="17"/>
  <c r="C220" i="17"/>
  <c r="D244" i="17"/>
  <c r="D273" i="17"/>
  <c r="C284" i="17"/>
  <c r="C300" i="17"/>
  <c r="C316" i="17"/>
  <c r="AA6" i="4" s="1"/>
  <c r="D359" i="17"/>
  <c r="AB49" i="4" s="1"/>
  <c r="D364" i="17"/>
  <c r="AB54" i="4" s="1"/>
  <c r="C369" i="17"/>
  <c r="AA59" i="4" s="1"/>
  <c r="C68" i="17"/>
  <c r="D205" i="17"/>
  <c r="D269" i="17"/>
  <c r="D309" i="17"/>
  <c r="D325" i="17"/>
  <c r="AB15" i="4" s="1"/>
  <c r="D339" i="17"/>
  <c r="AB29" i="4" s="1"/>
  <c r="D370" i="17"/>
  <c r="AB60" i="4" s="1"/>
  <c r="V62" i="4"/>
  <c r="G16" i="3"/>
  <c r="Q25" i="1" s="1"/>
  <c r="D23" i="16"/>
  <c r="C75" i="16"/>
  <c r="D120" i="16"/>
  <c r="D129" i="16"/>
  <c r="D173" i="16"/>
  <c r="D178" i="16"/>
  <c r="D196" i="16"/>
  <c r="C203" i="16"/>
  <c r="D215" i="16"/>
  <c r="D220" i="16"/>
  <c r="D237" i="16"/>
  <c r="C267" i="16"/>
  <c r="D270" i="16"/>
  <c r="D280" i="16"/>
  <c r="C291" i="16"/>
  <c r="D307" i="16"/>
  <c r="D327" i="16"/>
  <c r="V17" i="4" s="1"/>
  <c r="D354" i="16"/>
  <c r="V44" i="4" s="1"/>
  <c r="D42" i="16"/>
  <c r="D135" i="16"/>
  <c r="D163" i="16"/>
  <c r="C171" i="16"/>
  <c r="D182" i="16"/>
  <c r="D228" i="16"/>
  <c r="C235" i="16"/>
  <c r="D238" i="16"/>
  <c r="D247" i="16"/>
  <c r="D318" i="16"/>
  <c r="V8" i="4" s="1"/>
  <c r="D342" i="16"/>
  <c r="V32" i="4" s="1"/>
  <c r="D355" i="16"/>
  <c r="V45" i="4" s="1"/>
  <c r="D368" i="16"/>
  <c r="V58" i="4" s="1"/>
  <c r="D30" i="16"/>
  <c r="C32" i="16"/>
  <c r="D94" i="16"/>
  <c r="D103" i="16"/>
  <c r="C121" i="16"/>
  <c r="C135" i="16"/>
  <c r="D146" i="16"/>
  <c r="D164" i="16"/>
  <c r="C170" i="16"/>
  <c r="D183" i="16"/>
  <c r="C198" i="16"/>
  <c r="D216" i="16"/>
  <c r="D225" i="16"/>
  <c r="C234" i="16"/>
  <c r="C248" i="16"/>
  <c r="C262" i="16"/>
  <c r="D266" i="16"/>
  <c r="D295" i="16"/>
  <c r="D319" i="16"/>
  <c r="V9" i="4" s="1"/>
  <c r="D333" i="16"/>
  <c r="V23" i="4" s="1"/>
  <c r="C12" i="16"/>
  <c r="C25" i="16"/>
  <c r="D50" i="16"/>
  <c r="D126" i="16"/>
  <c r="D170" i="16"/>
  <c r="D188" i="16"/>
  <c r="D207" i="16"/>
  <c r="C218" i="16"/>
  <c r="D234" i="16"/>
  <c r="D243" i="16"/>
  <c r="C310" i="16"/>
  <c r="C315" i="16"/>
  <c r="U5" i="4" s="1"/>
  <c r="C347" i="16"/>
  <c r="U37" i="4" s="1"/>
  <c r="C13" i="16"/>
  <c r="D76" i="16"/>
  <c r="D99" i="16"/>
  <c r="C105" i="16"/>
  <c r="C254" i="16"/>
  <c r="C263" i="16"/>
  <c r="D273" i="16"/>
  <c r="C330" i="16"/>
  <c r="U20" i="4" s="1"/>
  <c r="C348" i="16"/>
  <c r="U38" i="4" s="1"/>
  <c r="C14" i="16"/>
  <c r="D39" i="16"/>
  <c r="D58" i="16"/>
  <c r="C71" i="16"/>
  <c r="D77" i="16"/>
  <c r="D82" i="16"/>
  <c r="D87" i="16"/>
  <c r="C107" i="16"/>
  <c r="D118" i="16"/>
  <c r="C123" i="16"/>
  <c r="C132" i="16"/>
  <c r="D148" i="16"/>
  <c r="C154" i="16"/>
  <c r="D161" i="16"/>
  <c r="C167" i="16"/>
  <c r="D176" i="16"/>
  <c r="C186" i="16"/>
  <c r="D199" i="16"/>
  <c r="C204" i="16"/>
  <c r="C231" i="16"/>
  <c r="D240" i="16"/>
  <c r="C244" i="16"/>
  <c r="D250" i="16"/>
  <c r="D259" i="16"/>
  <c r="D263" i="16"/>
  <c r="C268" i="16"/>
  <c r="C299" i="16"/>
  <c r="D302" i="16"/>
  <c r="C307" i="16"/>
  <c r="C312" i="16"/>
  <c r="D316" i="16"/>
  <c r="V6" i="4" s="1"/>
  <c r="C321" i="16"/>
  <c r="U11" i="4" s="1"/>
  <c r="C326" i="16"/>
  <c r="U16" i="4" s="1"/>
  <c r="D335" i="16"/>
  <c r="V25" i="4" s="1"/>
  <c r="C344" i="16"/>
  <c r="U34" i="4" s="1"/>
  <c r="D348" i="16"/>
  <c r="V38" i="4" s="1"/>
  <c r="D352" i="16"/>
  <c r="V42" i="4" s="1"/>
  <c r="D373" i="16"/>
  <c r="C48" i="16"/>
  <c r="C77" i="16"/>
  <c r="C88" i="16"/>
  <c r="C106" i="16"/>
  <c r="D119" i="16"/>
  <c r="D132" i="16"/>
  <c r="C148" i="16"/>
  <c r="D153" i="16"/>
  <c r="D167" i="16"/>
  <c r="C181" i="16"/>
  <c r="C185" i="16"/>
  <c r="C215" i="16"/>
  <c r="D227" i="16"/>
  <c r="D241" i="16"/>
  <c r="C264" i="16"/>
  <c r="D279" i="16"/>
  <c r="C298" i="16"/>
  <c r="D308" i="16"/>
  <c r="D312" i="16"/>
  <c r="C331" i="16"/>
  <c r="U21" i="4" s="1"/>
  <c r="D345" i="16"/>
  <c r="V35" i="4" s="1"/>
  <c r="C352" i="16"/>
  <c r="U42" i="4" s="1"/>
  <c r="C24" i="16"/>
  <c r="D116" i="16"/>
  <c r="D124" i="16"/>
  <c r="C183" i="16"/>
  <c r="D195" i="16"/>
  <c r="D205" i="16"/>
  <c r="D210" i="16"/>
  <c r="D214" i="16"/>
  <c r="D269" i="16"/>
  <c r="C314" i="16"/>
  <c r="U4" i="4" s="1"/>
  <c r="D341" i="16"/>
  <c r="V31" i="4" s="1"/>
  <c r="C345" i="16"/>
  <c r="U35" i="4" s="1"/>
  <c r="C349" i="16"/>
  <c r="U39" i="4" s="1"/>
  <c r="D367" i="16"/>
  <c r="V57" i="4" s="1"/>
  <c r="D373" i="15"/>
  <c r="D373" i="13"/>
  <c r="D373" i="12"/>
  <c r="D373" i="11"/>
  <c r="D373" i="10"/>
  <c r="D373" i="8"/>
  <c r="C83" i="7"/>
  <c r="C136" i="7"/>
  <c r="D48" i="7"/>
  <c r="D66" i="7"/>
  <c r="D80" i="7"/>
  <c r="D98" i="7"/>
  <c r="D112" i="7"/>
  <c r="D130" i="7"/>
  <c r="D144" i="7"/>
  <c r="D162" i="7"/>
  <c r="D196" i="7"/>
  <c r="D207" i="7"/>
  <c r="D212" i="7"/>
  <c r="D228" i="7"/>
  <c r="C234" i="7"/>
  <c r="D250" i="7"/>
  <c r="C264" i="7"/>
  <c r="D272" i="7"/>
  <c r="D290" i="7"/>
  <c r="C324" i="7"/>
  <c r="E14" i="4" s="1"/>
  <c r="C338" i="7"/>
  <c r="E28" i="4" s="1"/>
  <c r="C342" i="7"/>
  <c r="E32" i="4" s="1"/>
  <c r="C348" i="7"/>
  <c r="E38" i="4" s="1"/>
  <c r="D49" i="7"/>
  <c r="D81" i="7"/>
  <c r="D113" i="7"/>
  <c r="D145" i="7"/>
  <c r="D268" i="7"/>
  <c r="D332" i="7"/>
  <c r="F22" i="4" s="1"/>
  <c r="D178" i="7"/>
  <c r="D177" i="7"/>
  <c r="C182" i="7"/>
  <c r="C193" i="7"/>
  <c r="D208" i="7"/>
  <c r="D239" i="7"/>
  <c r="C249" i="7"/>
  <c r="C268" i="7"/>
  <c r="C300" i="7"/>
  <c r="C332" i="7"/>
  <c r="E22" i="4" s="1"/>
  <c r="D350" i="7"/>
  <c r="F40" i="4" s="1"/>
  <c r="D371" i="7"/>
  <c r="F61" i="4" s="1"/>
  <c r="D182" i="7"/>
  <c r="D260" i="7"/>
  <c r="C301" i="7"/>
  <c r="C333" i="7"/>
  <c r="E23" i="4" s="1"/>
  <c r="C350" i="7"/>
  <c r="E40" i="4" s="1"/>
  <c r="C356" i="7"/>
  <c r="E46" i="4" s="1"/>
  <c r="D214" i="7"/>
  <c r="D220" i="7"/>
  <c r="C230" i="7"/>
  <c r="D240" i="7"/>
  <c r="C260" i="7"/>
  <c r="C275" i="7"/>
  <c r="D314" i="7"/>
  <c r="F4" i="4" s="1"/>
  <c r="C308" i="7"/>
  <c r="D340" i="7"/>
  <c r="F30" i="4" s="1"/>
  <c r="D356" i="7"/>
  <c r="F46" i="4" s="1"/>
  <c r="C361" i="7"/>
  <c r="E51" i="4" s="1"/>
  <c r="D20" i="7"/>
  <c r="C30" i="7"/>
  <c r="C47" i="7"/>
  <c r="D51" i="7"/>
  <c r="C57" i="7"/>
  <c r="C62" i="7"/>
  <c r="C79" i="7"/>
  <c r="C89" i="7"/>
  <c r="C94" i="7"/>
  <c r="C111" i="7"/>
  <c r="D115" i="7"/>
  <c r="C121" i="7"/>
  <c r="C126" i="7"/>
  <c r="D136" i="7"/>
  <c r="C143" i="7"/>
  <c r="D147" i="7"/>
  <c r="C153" i="7"/>
  <c r="C158" i="7"/>
  <c r="D186" i="7"/>
  <c r="C179" i="7"/>
  <c r="D202" i="7"/>
  <c r="C194" i="7"/>
  <c r="C200" i="7"/>
  <c r="D217" i="7"/>
  <c r="C215" i="7"/>
  <c r="C226" i="7"/>
  <c r="D241" i="7"/>
  <c r="C246" i="7"/>
  <c r="C257" i="7"/>
  <c r="C271" i="7"/>
  <c r="C280" i="7"/>
  <c r="C309" i="7"/>
  <c r="C334" i="7"/>
  <c r="E24" i="4" s="1"/>
  <c r="C340" i="7"/>
  <c r="E30" i="4" s="1"/>
  <c r="C366" i="7"/>
  <c r="E56" i="4" s="1"/>
  <c r="D373" i="7"/>
  <c r="C40" i="7"/>
  <c r="C72" i="7"/>
  <c r="C104" i="7"/>
  <c r="C168" i="7"/>
  <c r="C183" i="7"/>
  <c r="C31" i="7"/>
  <c r="C42" i="7"/>
  <c r="D47" i="7"/>
  <c r="D52" i="7"/>
  <c r="C63" i="7"/>
  <c r="C74" i="7"/>
  <c r="D79" i="7"/>
  <c r="D84" i="7"/>
  <c r="C95" i="7"/>
  <c r="C106" i="7"/>
  <c r="D111" i="7"/>
  <c r="D116" i="7"/>
  <c r="C127" i="7"/>
  <c r="C138" i="7"/>
  <c r="D143" i="7"/>
  <c r="D148" i="7"/>
  <c r="C159" i="7"/>
  <c r="C170" i="7"/>
  <c r="C175" i="7"/>
  <c r="C185" i="7"/>
  <c r="C190" i="7"/>
  <c r="D200" i="7"/>
  <c r="D218" i="7"/>
  <c r="D234" i="7"/>
  <c r="C232" i="7"/>
  <c r="C236" i="7"/>
  <c r="D246" i="7"/>
  <c r="D274" i="7"/>
  <c r="D271" i="7"/>
  <c r="D276" i="7"/>
  <c r="C281" i="7"/>
  <c r="D322" i="7"/>
  <c r="F12" i="4" s="1"/>
  <c r="C316" i="7"/>
  <c r="E6" i="4" s="1"/>
  <c r="C341" i="7"/>
  <c r="E31" i="4" s="1"/>
  <c r="D365" i="7"/>
  <c r="F55" i="4" s="1"/>
  <c r="D367" i="7"/>
  <c r="F57" i="4" s="1"/>
  <c r="C25" i="7"/>
  <c r="D34" i="7"/>
  <c r="D36" i="7"/>
  <c r="D68" i="7"/>
  <c r="D100" i="7"/>
  <c r="D132" i="7"/>
  <c r="D164" i="7"/>
  <c r="D180" i="7"/>
  <c r="C202" i="7"/>
  <c r="D232" i="7"/>
  <c r="D249" i="7"/>
  <c r="C247" i="7"/>
  <c r="D252" i="7"/>
  <c r="D292" i="7"/>
  <c r="D27" i="6"/>
  <c r="D34" i="6"/>
  <c r="D41" i="6"/>
  <c r="D49" i="6"/>
  <c r="D104" i="6"/>
  <c r="C150" i="6"/>
  <c r="C267" i="6"/>
  <c r="D320" i="6"/>
  <c r="D10" i="4" s="1"/>
  <c r="C353" i="6"/>
  <c r="C43" i="4" s="1"/>
  <c r="D367" i="6"/>
  <c r="D57" i="4" s="1"/>
  <c r="C283" i="6"/>
  <c r="C299" i="6"/>
  <c r="C322" i="6"/>
  <c r="C12" i="4" s="1"/>
  <c r="C338" i="6"/>
  <c r="C28" i="4" s="1"/>
  <c r="C76" i="6"/>
  <c r="C22" i="6"/>
  <c r="C44" i="6"/>
  <c r="C60" i="6"/>
  <c r="C10" i="6"/>
  <c r="D61" i="6"/>
  <c r="D69" i="6"/>
  <c r="C93" i="6"/>
  <c r="C101" i="6"/>
  <c r="D123" i="6"/>
  <c r="D139" i="6"/>
  <c r="D169" i="6"/>
  <c r="D193" i="6"/>
  <c r="D255" i="6"/>
  <c r="D328" i="6"/>
  <c r="D18" i="4" s="1"/>
  <c r="C325" i="6"/>
  <c r="C15" i="4" s="1"/>
  <c r="D222" i="6"/>
  <c r="C309" i="6"/>
  <c r="D353" i="6"/>
  <c r="D43" i="4" s="1"/>
  <c r="D79" i="6"/>
  <c r="D125" i="6"/>
  <c r="C156" i="6"/>
  <c r="D203" i="6"/>
  <c r="C212" i="6"/>
  <c r="C227" i="6"/>
  <c r="D241" i="6"/>
  <c r="D249" i="6"/>
  <c r="D370" i="6"/>
  <c r="D60" i="4" s="1"/>
  <c r="D33" i="6"/>
  <c r="D40" i="6"/>
  <c r="D56" i="6"/>
  <c r="D149" i="6"/>
  <c r="D254" i="6"/>
  <c r="C282" i="6"/>
  <c r="D288" i="6"/>
  <c r="D296" i="6"/>
  <c r="C373" i="6"/>
  <c r="D64" i="6"/>
  <c r="D105" i="6"/>
  <c r="D154" i="6"/>
  <c r="D223" i="6"/>
  <c r="C19" i="6"/>
  <c r="D65" i="6"/>
  <c r="C79" i="6"/>
  <c r="C107" i="6"/>
  <c r="D128" i="6"/>
  <c r="D143" i="6"/>
  <c r="D168" i="6"/>
  <c r="D189" i="6"/>
  <c r="D197" i="6"/>
  <c r="C223" i="6"/>
  <c r="D301" i="6"/>
  <c r="C323" i="6"/>
  <c r="C13" i="4" s="1"/>
  <c r="D351" i="6"/>
  <c r="D41" i="4" s="1"/>
  <c r="D80" i="6"/>
  <c r="D121" i="6"/>
  <c r="D31" i="6"/>
  <c r="C75" i="6"/>
  <c r="D113" i="6"/>
  <c r="C143" i="6"/>
  <c r="D162" i="6"/>
  <c r="C12" i="6"/>
  <c r="D32" i="6"/>
  <c r="D51" i="6"/>
  <c r="D59" i="6"/>
  <c r="D74" i="6"/>
  <c r="D81" i="6"/>
  <c r="D89" i="6"/>
  <c r="D95" i="6"/>
  <c r="C131" i="6"/>
  <c r="D144" i="6"/>
  <c r="D218" i="6"/>
  <c r="C226" i="6"/>
  <c r="C233" i="6"/>
  <c r="C252" i="6"/>
  <c r="C264" i="6"/>
  <c r="D269" i="6"/>
  <c r="C290" i="6"/>
  <c r="C296" i="6"/>
  <c r="C310" i="6"/>
  <c r="C324" i="6"/>
  <c r="C14" i="4" s="1"/>
  <c r="C346" i="6"/>
  <c r="C36" i="4" s="1"/>
  <c r="C352" i="6"/>
  <c r="C42" i="4" s="1"/>
  <c r="C361" i="6"/>
  <c r="C51" i="4" s="1"/>
  <c r="D366" i="6"/>
  <c r="D56" i="4" s="1"/>
  <c r="C53" i="6"/>
  <c r="D115" i="6"/>
  <c r="C139" i="6"/>
  <c r="C157" i="6"/>
  <c r="C171" i="6"/>
  <c r="D192" i="6"/>
  <c r="C247" i="6"/>
  <c r="D258" i="6"/>
  <c r="D264" i="6"/>
  <c r="C276" i="6"/>
  <c r="C292" i="6"/>
  <c r="C297" i="6"/>
  <c r="D325" i="6"/>
  <c r="D15" i="4" s="1"/>
  <c r="C332" i="6"/>
  <c r="C22" i="4" s="1"/>
  <c r="C339" i="6"/>
  <c r="C29" i="4" s="1"/>
  <c r="C259" i="6"/>
  <c r="C284" i="6"/>
  <c r="C291" i="6"/>
  <c r="C298" i="6"/>
  <c r="C319" i="6"/>
  <c r="C9" i="4" s="1"/>
  <c r="C326" i="6"/>
  <c r="C16" i="4" s="1"/>
  <c r="D345" i="6"/>
  <c r="D35" i="4" s="1"/>
  <c r="C354" i="6"/>
  <c r="C44" i="4" s="1"/>
  <c r="C47" i="6"/>
  <c r="C140" i="6"/>
  <c r="D228" i="6"/>
  <c r="D253" i="6"/>
  <c r="C54" i="6"/>
  <c r="D133" i="6"/>
  <c r="D159" i="6"/>
  <c r="C207" i="6"/>
  <c r="C17" i="6"/>
  <c r="C78" i="6"/>
  <c r="D85" i="6"/>
  <c r="C92" i="6"/>
  <c r="C111" i="6"/>
  <c r="C118" i="6"/>
  <c r="C133" i="6"/>
  <c r="C149" i="6"/>
  <c r="D179" i="6"/>
  <c r="D187" i="6"/>
  <c r="C203" i="6"/>
  <c r="D208" i="6"/>
  <c r="D215" i="6"/>
  <c r="D229" i="6"/>
  <c r="C244" i="6"/>
  <c r="D266" i="6"/>
  <c r="C274" i="6"/>
  <c r="C315" i="6"/>
  <c r="C5" i="4" s="1"/>
  <c r="C335" i="6"/>
  <c r="C25" i="4" s="1"/>
  <c r="D361" i="6"/>
  <c r="D51" i="4" s="1"/>
  <c r="D363" i="6"/>
  <c r="D53" i="4" s="1"/>
  <c r="C369" i="6"/>
  <c r="C59" i="4" s="1"/>
  <c r="D280" i="6"/>
  <c r="C300" i="6"/>
  <c r="C314" i="6"/>
  <c r="C4" i="4" s="1"/>
  <c r="D350" i="6"/>
  <c r="D40" i="4" s="1"/>
  <c r="C51" i="6"/>
  <c r="D50" i="6"/>
  <c r="C179" i="6"/>
  <c r="D178" i="6"/>
  <c r="D235" i="6"/>
  <c r="C235" i="6"/>
  <c r="D318" i="6"/>
  <c r="D8" i="4" s="1"/>
  <c r="C306" i="6"/>
  <c r="D99" i="6"/>
  <c r="C100" i="6"/>
  <c r="D119" i="6"/>
  <c r="C119" i="6"/>
  <c r="D261" i="6"/>
  <c r="C261" i="6"/>
  <c r="C286" i="6"/>
  <c r="D286" i="6"/>
  <c r="C307" i="6"/>
  <c r="C27" i="6"/>
  <c r="D26" i="6"/>
  <c r="D45" i="6"/>
  <c r="C45" i="6"/>
  <c r="D173" i="6"/>
  <c r="C173" i="6"/>
  <c r="C94" i="6"/>
  <c r="C95" i="6"/>
  <c r="D231" i="6"/>
  <c r="C232" i="6"/>
  <c r="D28" i="6"/>
  <c r="C69" i="6"/>
  <c r="C115" i="6"/>
  <c r="D114" i="6"/>
  <c r="C16" i="6"/>
  <c r="D35" i="6"/>
  <c r="C36" i="6"/>
  <c r="D55" i="6"/>
  <c r="C55" i="6"/>
  <c r="D163" i="6"/>
  <c r="C164" i="6"/>
  <c r="D183" i="6"/>
  <c r="C183" i="6"/>
  <c r="D239" i="6"/>
  <c r="C239" i="6"/>
  <c r="C84" i="6"/>
  <c r="D109" i="6"/>
  <c r="C109" i="6"/>
  <c r="C124" i="6"/>
  <c r="D138" i="6"/>
  <c r="D145" i="6"/>
  <c r="C30" i="6"/>
  <c r="C31" i="6"/>
  <c r="D57" i="6"/>
  <c r="C158" i="6"/>
  <c r="C159" i="6"/>
  <c r="D185" i="6"/>
  <c r="D225" i="6"/>
  <c r="C213" i="6"/>
  <c r="D277" i="6"/>
  <c r="C277" i="6"/>
  <c r="D312" i="6"/>
  <c r="D21" i="6"/>
  <c r="C70" i="6"/>
  <c r="C91" i="6"/>
  <c r="C134" i="6"/>
  <c r="C155" i="6"/>
  <c r="C198" i="6"/>
  <c r="D244" i="6"/>
  <c r="C334" i="6"/>
  <c r="C24" i="4" s="1"/>
  <c r="D358" i="6"/>
  <c r="D48" i="4" s="1"/>
  <c r="D362" i="6"/>
  <c r="D52" i="4" s="1"/>
  <c r="D135" i="6"/>
  <c r="D199" i="6"/>
  <c r="C214" i="6"/>
  <c r="D236" i="6"/>
  <c r="C240" i="6"/>
  <c r="C278" i="6"/>
  <c r="C287" i="6"/>
  <c r="D334" i="6"/>
  <c r="D24" i="4" s="1"/>
  <c r="C359" i="6"/>
  <c r="C49" i="4" s="1"/>
  <c r="D371" i="6"/>
  <c r="D61" i="4" s="1"/>
  <c r="D66" i="6"/>
  <c r="D293" i="6"/>
  <c r="C302" i="6"/>
  <c r="C312" i="6"/>
  <c r="C330" i="6"/>
  <c r="C20" i="4" s="1"/>
  <c r="D359" i="6"/>
  <c r="D49" i="4" s="1"/>
  <c r="C363" i="6"/>
  <c r="C53" i="4" s="1"/>
  <c r="C371" i="6"/>
  <c r="C61" i="4" s="1"/>
  <c r="D25" i="6"/>
  <c r="C110" i="6"/>
  <c r="C174" i="6"/>
  <c r="D37" i="6"/>
  <c r="D91" i="6"/>
  <c r="D165" i="6"/>
  <c r="D175" i="6"/>
  <c r="D232" i="6"/>
  <c r="C236" i="6"/>
  <c r="C258" i="6"/>
  <c r="C262" i="6"/>
  <c r="C270" i="6"/>
  <c r="C9" i="6"/>
  <c r="C15" i="6"/>
  <c r="C18" i="6"/>
  <c r="D23" i="6"/>
  <c r="C28" i="6"/>
  <c r="C37" i="6"/>
  <c r="D42" i="6"/>
  <c r="C52" i="6"/>
  <c r="C62" i="6"/>
  <c r="D67" i="6"/>
  <c r="D72" i="6"/>
  <c r="D77" i="6"/>
  <c r="C83" i="6"/>
  <c r="D87" i="6"/>
  <c r="D106" i="6"/>
  <c r="C116" i="6"/>
  <c r="C126" i="6"/>
  <c r="D131" i="6"/>
  <c r="D136" i="6"/>
  <c r="D141" i="6"/>
  <c r="C147" i="6"/>
  <c r="D151" i="6"/>
  <c r="C165" i="6"/>
  <c r="D170" i="6"/>
  <c r="C175" i="6"/>
  <c r="C190" i="6"/>
  <c r="D195" i="6"/>
  <c r="D200" i="6"/>
  <c r="D205" i="6"/>
  <c r="D210" i="6"/>
  <c r="C215" i="6"/>
  <c r="C229" i="6"/>
  <c r="C237" i="6"/>
  <c r="D250" i="6"/>
  <c r="D262" i="6"/>
  <c r="C266" i="6"/>
  <c r="D270" i="6"/>
  <c r="C293" i="6"/>
  <c r="D302" i="6"/>
  <c r="C316" i="6"/>
  <c r="C6" i="4" s="1"/>
  <c r="D336" i="6"/>
  <c r="D26" i="4" s="1"/>
  <c r="C341" i="6"/>
  <c r="C31" i="4" s="1"/>
  <c r="D355" i="6"/>
  <c r="D45" i="4" s="1"/>
  <c r="C368" i="6"/>
  <c r="C58" i="4" s="1"/>
  <c r="D71" i="6"/>
  <c r="C13" i="6"/>
  <c r="D47" i="6"/>
  <c r="D96" i="6"/>
  <c r="D111" i="6"/>
  <c r="C125" i="6"/>
  <c r="D160" i="6"/>
  <c r="C11" i="6"/>
  <c r="C14" i="6"/>
  <c r="D19" i="6"/>
  <c r="C23" i="6"/>
  <c r="C38" i="6"/>
  <c r="D43" i="6"/>
  <c r="D48" i="6"/>
  <c r="D53" i="6"/>
  <c r="C59" i="6"/>
  <c r="D63" i="6"/>
  <c r="C77" i="6"/>
  <c r="D82" i="6"/>
  <c r="C87" i="6"/>
  <c r="C102" i="6"/>
  <c r="D107" i="6"/>
  <c r="D112" i="6"/>
  <c r="D117" i="6"/>
  <c r="C123" i="6"/>
  <c r="D127" i="6"/>
  <c r="C141" i="6"/>
  <c r="D146" i="6"/>
  <c r="C151" i="6"/>
  <c r="D161" i="6"/>
  <c r="C166" i="6"/>
  <c r="D171" i="6"/>
  <c r="D176" i="6"/>
  <c r="D181" i="6"/>
  <c r="C187" i="6"/>
  <c r="D191" i="6"/>
  <c r="C205" i="6"/>
  <c r="D211" i="6"/>
  <c r="D216" i="6"/>
  <c r="D221" i="6"/>
  <c r="D237" i="6"/>
  <c r="C241" i="6"/>
  <c r="C255" i="6"/>
  <c r="D263" i="6"/>
  <c r="C271" i="6"/>
  <c r="C280" i="6"/>
  <c r="C294" i="6"/>
  <c r="C303" i="6"/>
  <c r="D317" i="6"/>
  <c r="D7" i="4" s="1"/>
  <c r="D341" i="6"/>
  <c r="D31" i="4" s="1"/>
  <c r="C355" i="6"/>
  <c r="C45" i="4" s="1"/>
  <c r="C360" i="6"/>
  <c r="C50" i="4" s="1"/>
  <c r="C365" i="6"/>
  <c r="C55" i="4" s="1"/>
  <c r="C46" i="6"/>
  <c r="C61" i="6"/>
  <c r="C71" i="6"/>
  <c r="D101" i="6"/>
  <c r="D130" i="6"/>
  <c r="C135" i="6"/>
  <c r="D155" i="6"/>
  <c r="C189" i="6"/>
  <c r="D194" i="6"/>
  <c r="C199" i="6"/>
  <c r="D224" i="6"/>
  <c r="D240" i="6"/>
  <c r="D24" i="6"/>
  <c r="D29" i="6"/>
  <c r="C35" i="6"/>
  <c r="D39" i="6"/>
  <c r="D58" i="6"/>
  <c r="C63" i="6"/>
  <c r="C68" i="6"/>
  <c r="D73" i="6"/>
  <c r="D83" i="6"/>
  <c r="D88" i="6"/>
  <c r="D93" i="6"/>
  <c r="C99" i="6"/>
  <c r="D103" i="6"/>
  <c r="D122" i="6"/>
  <c r="C127" i="6"/>
  <c r="C132" i="6"/>
  <c r="D137" i="6"/>
  <c r="D147" i="6"/>
  <c r="D152" i="6"/>
  <c r="D157" i="6"/>
  <c r="C163" i="6"/>
  <c r="D167" i="6"/>
  <c r="C181" i="6"/>
  <c r="D186" i="6"/>
  <c r="C191" i="6"/>
  <c r="C196" i="6"/>
  <c r="D201" i="6"/>
  <c r="C230" i="6"/>
  <c r="C234" i="6"/>
  <c r="C238" i="6"/>
  <c r="D247" i="6"/>
  <c r="D267" i="6"/>
  <c r="D272" i="6"/>
  <c r="D304" i="6"/>
  <c r="D309" i="6"/>
  <c r="C318" i="6"/>
  <c r="C8" i="4" s="1"/>
  <c r="D344" i="6"/>
  <c r="D34" i="4" s="1"/>
  <c r="C342" i="6"/>
  <c r="C32" i="4" s="1"/>
  <c r="D365" i="6"/>
  <c r="D55" i="4" s="1"/>
  <c r="D373" i="6"/>
  <c r="D226" i="6"/>
  <c r="D230" i="6"/>
  <c r="D260" i="6"/>
  <c r="D285" i="6"/>
  <c r="F21" i="3"/>
  <c r="P30" i="1" s="1"/>
  <c r="D9" i="3"/>
  <c r="F9" i="3" s="1"/>
  <c r="P18" i="1" s="1"/>
  <c r="D8" i="3"/>
  <c r="F8" i="3" s="1"/>
  <c r="P17" i="1" s="1"/>
  <c r="D10" i="3"/>
  <c r="F10" i="3" s="1"/>
  <c r="P19" i="1" s="1"/>
  <c r="D18" i="3"/>
  <c r="F18" i="3" s="1"/>
  <c r="P27" i="1" s="1"/>
  <c r="C9" i="5"/>
  <c r="D21" i="5"/>
  <c r="D19" i="5"/>
  <c r="D192" i="5"/>
  <c r="D215" i="5"/>
  <c r="C215" i="5"/>
  <c r="C216" i="5"/>
  <c r="D247" i="5"/>
  <c r="C247" i="5"/>
  <c r="D259" i="5"/>
  <c r="C248" i="5"/>
  <c r="D32" i="5"/>
  <c r="D40" i="5"/>
  <c r="D48" i="5"/>
  <c r="D56" i="5"/>
  <c r="D64" i="5"/>
  <c r="D72" i="5"/>
  <c r="D80" i="5"/>
  <c r="D88" i="5"/>
  <c r="D96" i="5"/>
  <c r="D104" i="5"/>
  <c r="D112" i="5"/>
  <c r="D120" i="5"/>
  <c r="D128" i="5"/>
  <c r="D136" i="5"/>
  <c r="D144" i="5"/>
  <c r="D152" i="5"/>
  <c r="D160" i="5"/>
  <c r="D168" i="5"/>
  <c r="D176" i="5"/>
  <c r="D184" i="5"/>
  <c r="C194" i="5"/>
  <c r="C193" i="5"/>
  <c r="D205" i="5"/>
  <c r="C226" i="5"/>
  <c r="C225" i="5"/>
  <c r="D237" i="5"/>
  <c r="C20" i="5"/>
  <c r="C26" i="5"/>
  <c r="D37" i="5"/>
  <c r="C28" i="5"/>
  <c r="C34" i="5"/>
  <c r="D45" i="5"/>
  <c r="C36" i="5"/>
  <c r="C42" i="5"/>
  <c r="D53" i="5"/>
  <c r="C44" i="5"/>
  <c r="C50" i="5"/>
  <c r="D61" i="5"/>
  <c r="C52" i="5"/>
  <c r="C58" i="5"/>
  <c r="D69" i="5"/>
  <c r="C60" i="5"/>
  <c r="C66" i="5"/>
  <c r="D77" i="5"/>
  <c r="C68" i="5"/>
  <c r="C74" i="5"/>
  <c r="D85" i="5"/>
  <c r="C76" i="5"/>
  <c r="C82" i="5"/>
  <c r="D93" i="5"/>
  <c r="C84" i="5"/>
  <c r="C90" i="5"/>
  <c r="D101" i="5"/>
  <c r="C92" i="5"/>
  <c r="C98" i="5"/>
  <c r="D109" i="5"/>
  <c r="C100" i="5"/>
  <c r="C106" i="5"/>
  <c r="D117" i="5"/>
  <c r="C108" i="5"/>
  <c r="C114" i="5"/>
  <c r="D125" i="5"/>
  <c r="C116" i="5"/>
  <c r="C122" i="5"/>
  <c r="D133" i="5"/>
  <c r="C124" i="5"/>
  <c r="C130" i="5"/>
  <c r="D141" i="5"/>
  <c r="C132" i="5"/>
  <c r="C138" i="5"/>
  <c r="D149" i="5"/>
  <c r="C140" i="5"/>
  <c r="C146" i="5"/>
  <c r="D157" i="5"/>
  <c r="C148" i="5"/>
  <c r="C154" i="5"/>
  <c r="D165" i="5"/>
  <c r="C156" i="5"/>
  <c r="C162" i="5"/>
  <c r="D173" i="5"/>
  <c r="C164" i="5"/>
  <c r="C170" i="5"/>
  <c r="D181" i="5"/>
  <c r="C172" i="5"/>
  <c r="C178" i="5"/>
  <c r="D189" i="5"/>
  <c r="C180" i="5"/>
  <c r="C186" i="5"/>
  <c r="D197" i="5"/>
  <c r="D193" i="5"/>
  <c r="D207" i="5"/>
  <c r="C207" i="5"/>
  <c r="C208" i="5"/>
  <c r="D225" i="5"/>
  <c r="D239" i="5"/>
  <c r="C239" i="5"/>
  <c r="D251" i="5"/>
  <c r="C240" i="5"/>
  <c r="C21" i="5"/>
  <c r="C25" i="5"/>
  <c r="C29" i="5"/>
  <c r="C33" i="5"/>
  <c r="C37" i="5"/>
  <c r="C41" i="5"/>
  <c r="C45" i="5"/>
  <c r="C49" i="5"/>
  <c r="C53" i="5"/>
  <c r="C57" i="5"/>
  <c r="C61" i="5"/>
  <c r="C65" i="5"/>
  <c r="C69" i="5"/>
  <c r="C73" i="5"/>
  <c r="C77" i="5"/>
  <c r="C81" i="5"/>
  <c r="C85" i="5"/>
  <c r="C89" i="5"/>
  <c r="C93" i="5"/>
  <c r="C97" i="5"/>
  <c r="C101" i="5"/>
  <c r="C105" i="5"/>
  <c r="C109" i="5"/>
  <c r="C113" i="5"/>
  <c r="C117" i="5"/>
  <c r="C121" i="5"/>
  <c r="C125" i="5"/>
  <c r="C133" i="5"/>
  <c r="C141" i="5"/>
  <c r="C149" i="5"/>
  <c r="C157" i="5"/>
  <c r="C165" i="5"/>
  <c r="C173" i="5"/>
  <c r="C181" i="5"/>
  <c r="C218" i="5"/>
  <c r="C217" i="5"/>
  <c r="D229" i="5"/>
  <c r="D14" i="3"/>
  <c r="C17" i="5"/>
  <c r="D29" i="5"/>
  <c r="D199" i="5"/>
  <c r="C199" i="5"/>
  <c r="C200" i="5"/>
  <c r="D217" i="5"/>
  <c r="D231" i="5"/>
  <c r="C231" i="5"/>
  <c r="C232" i="5"/>
  <c r="D11" i="3"/>
  <c r="F11" i="3" s="1"/>
  <c r="P20" i="1" s="1"/>
  <c r="D19" i="3"/>
  <c r="F19" i="3" s="1"/>
  <c r="P28" i="1" s="1"/>
  <c r="E22" i="3"/>
  <c r="C18" i="5"/>
  <c r="C22" i="5"/>
  <c r="C30" i="5"/>
  <c r="D34" i="5"/>
  <c r="C38" i="5"/>
  <c r="D42" i="5"/>
  <c r="C46" i="5"/>
  <c r="D50" i="5"/>
  <c r="C54" i="5"/>
  <c r="D58" i="5"/>
  <c r="C62" i="5"/>
  <c r="D66" i="5"/>
  <c r="C70" i="5"/>
  <c r="D74" i="5"/>
  <c r="C78" i="5"/>
  <c r="D82" i="5"/>
  <c r="C86" i="5"/>
  <c r="D90" i="5"/>
  <c r="C94" i="5"/>
  <c r="D98" i="5"/>
  <c r="C102" i="5"/>
  <c r="D106" i="5"/>
  <c r="C110" i="5"/>
  <c r="D114" i="5"/>
  <c r="C118" i="5"/>
  <c r="D122" i="5"/>
  <c r="C126" i="5"/>
  <c r="D130" i="5"/>
  <c r="C134" i="5"/>
  <c r="D138" i="5"/>
  <c r="C142" i="5"/>
  <c r="D146" i="5"/>
  <c r="C150" i="5"/>
  <c r="D154" i="5"/>
  <c r="C158" i="5"/>
  <c r="D162" i="5"/>
  <c r="C166" i="5"/>
  <c r="D170" i="5"/>
  <c r="C174" i="5"/>
  <c r="D178" i="5"/>
  <c r="C182" i="5"/>
  <c r="D186" i="5"/>
  <c r="C190" i="5"/>
  <c r="C210" i="5"/>
  <c r="C209" i="5"/>
  <c r="D221" i="5"/>
  <c r="C242" i="5"/>
  <c r="C241" i="5"/>
  <c r="D253" i="5"/>
  <c r="D255" i="5"/>
  <c r="C255" i="5"/>
  <c r="D267" i="5"/>
  <c r="C256" i="5"/>
  <c r="D16" i="3"/>
  <c r="C13" i="5"/>
  <c r="D191" i="5"/>
  <c r="C191" i="5"/>
  <c r="C192" i="5"/>
  <c r="D209" i="5"/>
  <c r="D223" i="5"/>
  <c r="C223" i="5"/>
  <c r="C224" i="5"/>
  <c r="D227" i="5"/>
  <c r="D241" i="5"/>
  <c r="D17" i="3"/>
  <c r="D7" i="3"/>
  <c r="H12" i="3" s="1"/>
  <c r="D13" i="3"/>
  <c r="D23" i="5"/>
  <c r="C23" i="5"/>
  <c r="C24" i="5"/>
  <c r="D31" i="5"/>
  <c r="C31" i="5"/>
  <c r="C32" i="5"/>
  <c r="D39" i="5"/>
  <c r="C39" i="5"/>
  <c r="C40" i="5"/>
  <c r="D47" i="5"/>
  <c r="C47" i="5"/>
  <c r="C48" i="5"/>
  <c r="D55" i="5"/>
  <c r="C55" i="5"/>
  <c r="C56" i="5"/>
  <c r="D63" i="5"/>
  <c r="C63" i="5"/>
  <c r="C64" i="5"/>
  <c r="D71" i="5"/>
  <c r="C71" i="5"/>
  <c r="C72" i="5"/>
  <c r="D79" i="5"/>
  <c r="C79" i="5"/>
  <c r="C80" i="5"/>
  <c r="D87" i="5"/>
  <c r="C87" i="5"/>
  <c r="C88" i="5"/>
  <c r="D95" i="5"/>
  <c r="C95" i="5"/>
  <c r="C96" i="5"/>
  <c r="D103" i="5"/>
  <c r="C103" i="5"/>
  <c r="C104" i="5"/>
  <c r="D111" i="5"/>
  <c r="C111" i="5"/>
  <c r="C112" i="5"/>
  <c r="D119" i="5"/>
  <c r="C119" i="5"/>
  <c r="C120" i="5"/>
  <c r="D127" i="5"/>
  <c r="C127" i="5"/>
  <c r="C128" i="5"/>
  <c r="D135" i="5"/>
  <c r="C135" i="5"/>
  <c r="C136" i="5"/>
  <c r="D143" i="5"/>
  <c r="C143" i="5"/>
  <c r="C144" i="5"/>
  <c r="D151" i="5"/>
  <c r="C151" i="5"/>
  <c r="C152" i="5"/>
  <c r="D159" i="5"/>
  <c r="C159" i="5"/>
  <c r="C160" i="5"/>
  <c r="D167" i="5"/>
  <c r="C167" i="5"/>
  <c r="C168" i="5"/>
  <c r="D175" i="5"/>
  <c r="C175" i="5"/>
  <c r="C176" i="5"/>
  <c r="D183" i="5"/>
  <c r="C183" i="5"/>
  <c r="C184" i="5"/>
  <c r="C202" i="5"/>
  <c r="C201" i="5"/>
  <c r="D213" i="5"/>
  <c r="D210" i="5"/>
  <c r="C234" i="5"/>
  <c r="C233" i="5"/>
  <c r="D245" i="5"/>
  <c r="D261" i="5"/>
  <c r="C264" i="5"/>
  <c r="D269" i="5"/>
  <c r="C272" i="5"/>
  <c r="D277" i="5"/>
  <c r="C280" i="5"/>
  <c r="D285" i="5"/>
  <c r="C288" i="5"/>
  <c r="D293" i="5"/>
  <c r="C296" i="5"/>
  <c r="D301" i="5"/>
  <c r="C304" i="5"/>
  <c r="D309" i="5"/>
  <c r="C312" i="5"/>
  <c r="D317" i="5"/>
  <c r="H7" i="4" s="1"/>
  <c r="C320" i="5"/>
  <c r="G10" i="4" s="1"/>
  <c r="D325" i="5"/>
  <c r="H15" i="4" s="1"/>
  <c r="C328" i="5"/>
  <c r="G18" i="4" s="1"/>
  <c r="D333" i="5"/>
  <c r="H23" i="4" s="1"/>
  <c r="C336" i="5"/>
  <c r="G26" i="4" s="1"/>
  <c r="D341" i="5"/>
  <c r="H31" i="4" s="1"/>
  <c r="C344" i="5"/>
  <c r="G34" i="4" s="1"/>
  <c r="D349" i="5"/>
  <c r="H39" i="4" s="1"/>
  <c r="C352" i="5"/>
  <c r="G42" i="4" s="1"/>
  <c r="D357" i="5"/>
  <c r="H47" i="4" s="1"/>
  <c r="C360" i="5"/>
  <c r="G50" i="4" s="1"/>
  <c r="D365" i="5"/>
  <c r="H55" i="4" s="1"/>
  <c r="C368" i="5"/>
  <c r="G58" i="4" s="1"/>
  <c r="D22" i="6"/>
  <c r="C25" i="6"/>
  <c r="D30" i="6"/>
  <c r="C33" i="6"/>
  <c r="D38" i="6"/>
  <c r="C41" i="6"/>
  <c r="D46" i="6"/>
  <c r="C49" i="6"/>
  <c r="D54" i="6"/>
  <c r="C57" i="6"/>
  <c r="D62" i="6"/>
  <c r="C65" i="6"/>
  <c r="D70" i="6"/>
  <c r="C73" i="6"/>
  <c r="D78" i="6"/>
  <c r="C81" i="6"/>
  <c r="D86" i="6"/>
  <c r="C89" i="6"/>
  <c r="D94" i="6"/>
  <c r="C97" i="6"/>
  <c r="D102" i="6"/>
  <c r="C105" i="6"/>
  <c r="D110" i="6"/>
  <c r="C113" i="6"/>
  <c r="D118" i="6"/>
  <c r="C121" i="6"/>
  <c r="D126" i="6"/>
  <c r="C129" i="6"/>
  <c r="D134" i="6"/>
  <c r="C137" i="6"/>
  <c r="D142" i="6"/>
  <c r="C145" i="6"/>
  <c r="D150" i="6"/>
  <c r="C153" i="6"/>
  <c r="D158" i="6"/>
  <c r="C161" i="6"/>
  <c r="D166" i="6"/>
  <c r="C169" i="6"/>
  <c r="D174" i="6"/>
  <c r="C177" i="6"/>
  <c r="D182" i="6"/>
  <c r="C185" i="6"/>
  <c r="D190" i="6"/>
  <c r="C193" i="6"/>
  <c r="D198" i="6"/>
  <c r="C201" i="6"/>
  <c r="D206" i="6"/>
  <c r="C209" i="6"/>
  <c r="D214" i="6"/>
  <c r="C217" i="6"/>
  <c r="C243" i="6"/>
  <c r="C249" i="6"/>
  <c r="C273" i="6"/>
  <c r="D282" i="6"/>
  <c r="C289" i="6"/>
  <c r="D298" i="6"/>
  <c r="C305" i="6"/>
  <c r="D314" i="6"/>
  <c r="D4" i="4" s="1"/>
  <c r="C321" i="6"/>
  <c r="C11" i="4" s="1"/>
  <c r="D330" i="6"/>
  <c r="D20" i="4" s="1"/>
  <c r="C337" i="6"/>
  <c r="C27" i="4" s="1"/>
  <c r="D354" i="6"/>
  <c r="D44" i="4" s="1"/>
  <c r="D25" i="7"/>
  <c r="C29" i="7"/>
  <c r="D29" i="7"/>
  <c r="C50" i="7"/>
  <c r="C61" i="7"/>
  <c r="D61" i="7"/>
  <c r="C82" i="7"/>
  <c r="C93" i="7"/>
  <c r="D93" i="7"/>
  <c r="C114" i="7"/>
  <c r="C125" i="7"/>
  <c r="D125" i="7"/>
  <c r="C146" i="7"/>
  <c r="C157" i="7"/>
  <c r="D157" i="7"/>
  <c r="C178" i="7"/>
  <c r="C189" i="7"/>
  <c r="D189" i="7"/>
  <c r="C210" i="7"/>
  <c r="C221" i="7"/>
  <c r="D221" i="7"/>
  <c r="C242" i="7"/>
  <c r="C253" i="7"/>
  <c r="D253" i="7"/>
  <c r="C274" i="7"/>
  <c r="C285" i="7"/>
  <c r="D285" i="7"/>
  <c r="D296" i="7"/>
  <c r="D304" i="7"/>
  <c r="D312" i="7"/>
  <c r="D320" i="7"/>
  <c r="F10" i="4" s="1"/>
  <c r="D328" i="7"/>
  <c r="F18" i="4" s="1"/>
  <c r="D336" i="7"/>
  <c r="F26" i="4" s="1"/>
  <c r="D344" i="7"/>
  <c r="F34" i="4" s="1"/>
  <c r="D360" i="7"/>
  <c r="F50" i="4" s="1"/>
  <c r="D348" i="7"/>
  <c r="F38" i="4" s="1"/>
  <c r="D352" i="7"/>
  <c r="F42" i="4" s="1"/>
  <c r="C368" i="7"/>
  <c r="E58" i="4" s="1"/>
  <c r="C13" i="8"/>
  <c r="C53" i="8"/>
  <c r="C52" i="8"/>
  <c r="C155" i="8"/>
  <c r="D155" i="8"/>
  <c r="C250" i="8"/>
  <c r="D250" i="8"/>
  <c r="D298" i="8"/>
  <c r="C298" i="8"/>
  <c r="D310" i="8"/>
  <c r="D330" i="8"/>
  <c r="N20" i="4" s="1"/>
  <c r="C330" i="8"/>
  <c r="M20" i="4" s="1"/>
  <c r="D342" i="8"/>
  <c r="N32" i="4" s="1"/>
  <c r="D362" i="8"/>
  <c r="N52" i="4" s="1"/>
  <c r="C362" i="8"/>
  <c r="M52" i="4" s="1"/>
  <c r="D62" i="9"/>
  <c r="D50" i="9"/>
  <c r="C50" i="9"/>
  <c r="D75" i="9"/>
  <c r="C75" i="9"/>
  <c r="D87" i="9"/>
  <c r="D110" i="9"/>
  <c r="D98" i="9"/>
  <c r="C98" i="9"/>
  <c r="D139" i="9"/>
  <c r="C139" i="9"/>
  <c r="D151" i="9"/>
  <c r="D174" i="9"/>
  <c r="D162" i="9"/>
  <c r="C162" i="9"/>
  <c r="D288" i="5"/>
  <c r="D296" i="5"/>
  <c r="D304" i="5"/>
  <c r="D312" i="5"/>
  <c r="D320" i="5"/>
  <c r="H10" i="4" s="1"/>
  <c r="D328" i="5"/>
  <c r="H18" i="4" s="1"/>
  <c r="D336" i="5"/>
  <c r="H26" i="4" s="1"/>
  <c r="D344" i="5"/>
  <c r="H34" i="4" s="1"/>
  <c r="D352" i="5"/>
  <c r="H42" i="4" s="1"/>
  <c r="D360" i="5"/>
  <c r="H50" i="4" s="1"/>
  <c r="D368" i="5"/>
  <c r="H58" i="4" s="1"/>
  <c r="D209" i="6"/>
  <c r="D217" i="6"/>
  <c r="D220" i="6"/>
  <c r="D283" i="6"/>
  <c r="D289" i="6"/>
  <c r="D299" i="6"/>
  <c r="D305" i="6"/>
  <c r="D315" i="6"/>
  <c r="D5" i="4" s="1"/>
  <c r="D321" i="6"/>
  <c r="D11" i="4" s="1"/>
  <c r="D331" i="6"/>
  <c r="D21" i="4" s="1"/>
  <c r="D337" i="6"/>
  <c r="D27" i="4" s="1"/>
  <c r="C348" i="6"/>
  <c r="C38" i="4" s="1"/>
  <c r="D348" i="6"/>
  <c r="D38" i="4" s="1"/>
  <c r="D22" i="7"/>
  <c r="D43" i="7"/>
  <c r="D75" i="7"/>
  <c r="D107" i="7"/>
  <c r="D139" i="7"/>
  <c r="D171" i="7"/>
  <c r="D203" i="7"/>
  <c r="D235" i="7"/>
  <c r="D357" i="7"/>
  <c r="F47" i="4" s="1"/>
  <c r="C346" i="7"/>
  <c r="E36" i="4" s="1"/>
  <c r="D33" i="8"/>
  <c r="C42" i="8"/>
  <c r="D42" i="8"/>
  <c r="D268" i="8"/>
  <c r="C268" i="8"/>
  <c r="C269" i="8"/>
  <c r="D317" i="8"/>
  <c r="N7" i="4" s="1"/>
  <c r="D305" i="8"/>
  <c r="C305" i="8"/>
  <c r="D349" i="8"/>
  <c r="N39" i="4" s="1"/>
  <c r="D337" i="8"/>
  <c r="N27" i="4" s="1"/>
  <c r="C337" i="8"/>
  <c r="M27" i="4" s="1"/>
  <c r="D369" i="8"/>
  <c r="N59" i="4" s="1"/>
  <c r="C369" i="8"/>
  <c r="M59" i="4" s="1"/>
  <c r="D38" i="9"/>
  <c r="D26" i="9"/>
  <c r="C26" i="9"/>
  <c r="D51" i="9"/>
  <c r="C51" i="9"/>
  <c r="D63" i="9"/>
  <c r="D99" i="9"/>
  <c r="C99" i="9"/>
  <c r="D111" i="9"/>
  <c r="D134" i="9"/>
  <c r="D122" i="9"/>
  <c r="C122" i="9"/>
  <c r="D163" i="9"/>
  <c r="C163" i="9"/>
  <c r="D175" i="9"/>
  <c r="D198" i="9"/>
  <c r="D186" i="9"/>
  <c r="C186" i="9"/>
  <c r="D275" i="5"/>
  <c r="D283" i="5"/>
  <c r="D291" i="5"/>
  <c r="D299" i="5"/>
  <c r="D307" i="5"/>
  <c r="D315" i="5"/>
  <c r="H5" i="4" s="1"/>
  <c r="D323" i="5"/>
  <c r="H13" i="4" s="1"/>
  <c r="D331" i="5"/>
  <c r="H21" i="4" s="1"/>
  <c r="D339" i="5"/>
  <c r="H29" i="4" s="1"/>
  <c r="D347" i="5"/>
  <c r="H37" i="4" s="1"/>
  <c r="D355" i="5"/>
  <c r="H45" i="4" s="1"/>
  <c r="D363" i="5"/>
  <c r="H53" i="4" s="1"/>
  <c r="D371" i="5"/>
  <c r="H61" i="4" s="1"/>
  <c r="D36" i="6"/>
  <c r="D44" i="6"/>
  <c r="D52" i="6"/>
  <c r="D60" i="6"/>
  <c r="D68" i="6"/>
  <c r="D76" i="6"/>
  <c r="D84" i="6"/>
  <c r="D92" i="6"/>
  <c r="D100" i="6"/>
  <c r="D108" i="6"/>
  <c r="D116" i="6"/>
  <c r="D124" i="6"/>
  <c r="D132" i="6"/>
  <c r="D140" i="6"/>
  <c r="D148" i="6"/>
  <c r="D156" i="6"/>
  <c r="D164" i="6"/>
  <c r="D172" i="6"/>
  <c r="D180" i="6"/>
  <c r="D188" i="6"/>
  <c r="D196" i="6"/>
  <c r="D204" i="6"/>
  <c r="D212" i="6"/>
  <c r="D26" i="7"/>
  <c r="C14" i="7"/>
  <c r="C37" i="7"/>
  <c r="D37" i="7"/>
  <c r="C69" i="7"/>
  <c r="D69" i="7"/>
  <c r="C101" i="7"/>
  <c r="D101" i="7"/>
  <c r="C133" i="7"/>
  <c r="D133" i="7"/>
  <c r="C165" i="7"/>
  <c r="D165" i="7"/>
  <c r="C197" i="7"/>
  <c r="D197" i="7"/>
  <c r="C222" i="7"/>
  <c r="C229" i="7"/>
  <c r="D229" i="7"/>
  <c r="C254" i="7"/>
  <c r="C261" i="7"/>
  <c r="D261" i="7"/>
  <c r="C286" i="7"/>
  <c r="C297" i="7"/>
  <c r="C305" i="7"/>
  <c r="C313" i="7"/>
  <c r="C321" i="7"/>
  <c r="E11" i="4" s="1"/>
  <c r="C329" i="7"/>
  <c r="E19" i="4" s="1"/>
  <c r="C337" i="7"/>
  <c r="E27" i="4" s="1"/>
  <c r="C345" i="7"/>
  <c r="E35" i="4" s="1"/>
  <c r="D24" i="8"/>
  <c r="C24" i="8"/>
  <c r="C43" i="8"/>
  <c r="D43" i="8"/>
  <c r="C69" i="8"/>
  <c r="C68" i="8"/>
  <c r="D239" i="8"/>
  <c r="D251" i="8"/>
  <c r="C239" i="8"/>
  <c r="C264" i="8"/>
  <c r="D264" i="8"/>
  <c r="C265" i="8"/>
  <c r="D306" i="8"/>
  <c r="C306" i="8"/>
  <c r="D318" i="8"/>
  <c r="N8" i="4" s="1"/>
  <c r="D338" i="8"/>
  <c r="N28" i="4" s="1"/>
  <c r="C338" i="8"/>
  <c r="M28" i="4" s="1"/>
  <c r="D350" i="8"/>
  <c r="N40" i="4" s="1"/>
  <c r="D370" i="8"/>
  <c r="N60" i="4" s="1"/>
  <c r="C370" i="8"/>
  <c r="M60" i="4" s="1"/>
  <c r="D27" i="9"/>
  <c r="C27" i="9"/>
  <c r="D39" i="9"/>
  <c r="D70" i="9"/>
  <c r="D58" i="9"/>
  <c r="C58" i="9"/>
  <c r="D94" i="9"/>
  <c r="D82" i="9"/>
  <c r="C82" i="9"/>
  <c r="D123" i="9"/>
  <c r="C123" i="9"/>
  <c r="D135" i="9"/>
  <c r="D158" i="9"/>
  <c r="D146" i="9"/>
  <c r="C146" i="9"/>
  <c r="C249" i="5"/>
  <c r="C257" i="5"/>
  <c r="C265" i="5"/>
  <c r="C273" i="5"/>
  <c r="C281" i="5"/>
  <c r="C289" i="5"/>
  <c r="C297" i="5"/>
  <c r="C305" i="5"/>
  <c r="C313" i="5"/>
  <c r="C321" i="5"/>
  <c r="G11" i="4" s="1"/>
  <c r="C329" i="5"/>
  <c r="G19" i="4" s="1"/>
  <c r="C337" i="5"/>
  <c r="G27" i="4" s="1"/>
  <c r="C345" i="5"/>
  <c r="G35" i="4" s="1"/>
  <c r="C353" i="5"/>
  <c r="G43" i="4" s="1"/>
  <c r="C361" i="5"/>
  <c r="G51" i="4" s="1"/>
  <c r="C369" i="5"/>
  <c r="G59" i="4" s="1"/>
  <c r="C26" i="6"/>
  <c r="C34" i="6"/>
  <c r="C42" i="6"/>
  <c r="C50" i="6"/>
  <c r="C58" i="6"/>
  <c r="C66" i="6"/>
  <c r="C74" i="6"/>
  <c r="C82" i="6"/>
  <c r="C90" i="6"/>
  <c r="C98" i="6"/>
  <c r="C106" i="6"/>
  <c r="C114" i="6"/>
  <c r="C122" i="6"/>
  <c r="C130" i="6"/>
  <c r="C138" i="6"/>
  <c r="C146" i="6"/>
  <c r="C154" i="6"/>
  <c r="C162" i="6"/>
  <c r="C170" i="6"/>
  <c r="C178" i="6"/>
  <c r="C186" i="6"/>
  <c r="C194" i="6"/>
  <c r="C202" i="6"/>
  <c r="C210" i="6"/>
  <c r="C218" i="6"/>
  <c r="C221" i="6"/>
  <c r="C224" i="6"/>
  <c r="D227" i="6"/>
  <c r="C250" i="6"/>
  <c r="C253" i="6"/>
  <c r="C256" i="6"/>
  <c r="D259" i="6"/>
  <c r="D268" i="6"/>
  <c r="D271" i="6"/>
  <c r="D284" i="6"/>
  <c r="D287" i="6"/>
  <c r="D300" i="6"/>
  <c r="D303" i="6"/>
  <c r="D316" i="6"/>
  <c r="D6" i="4" s="1"/>
  <c r="D319" i="6"/>
  <c r="D9" i="4" s="1"/>
  <c r="D332" i="6"/>
  <c r="D22" i="4" s="1"/>
  <c r="D335" i="6"/>
  <c r="D25" i="4" s="1"/>
  <c r="C349" i="6"/>
  <c r="C39" i="4" s="1"/>
  <c r="D352" i="6"/>
  <c r="D42" i="4" s="1"/>
  <c r="C356" i="6"/>
  <c r="C46" i="4" s="1"/>
  <c r="D356" i="6"/>
  <c r="D46" i="4" s="1"/>
  <c r="C367" i="6"/>
  <c r="C57" i="4" s="1"/>
  <c r="C9" i="7"/>
  <c r="D23" i="7"/>
  <c r="D30" i="7"/>
  <c r="C41" i="7"/>
  <c r="C44" i="7"/>
  <c r="D55" i="7"/>
  <c r="D62" i="7"/>
  <c r="C73" i="7"/>
  <c r="C76" i="7"/>
  <c r="D87" i="7"/>
  <c r="D94" i="7"/>
  <c r="C105" i="7"/>
  <c r="C108" i="7"/>
  <c r="D119" i="7"/>
  <c r="D126" i="7"/>
  <c r="C137" i="7"/>
  <c r="C140" i="7"/>
  <c r="D151" i="7"/>
  <c r="D158" i="7"/>
  <c r="C169" i="7"/>
  <c r="C172" i="7"/>
  <c r="D183" i="7"/>
  <c r="D190" i="7"/>
  <c r="C201" i="7"/>
  <c r="C204" i="7"/>
  <c r="D215" i="7"/>
  <c r="D222" i="7"/>
  <c r="C233" i="7"/>
  <c r="D254" i="7"/>
  <c r="D286" i="7"/>
  <c r="D297" i="7"/>
  <c r="D305" i="7"/>
  <c r="D313" i="7"/>
  <c r="D321" i="7"/>
  <c r="F11" i="4" s="1"/>
  <c r="D329" i="7"/>
  <c r="F19" i="4" s="1"/>
  <c r="D337" i="7"/>
  <c r="F27" i="4" s="1"/>
  <c r="D345" i="7"/>
  <c r="F35" i="4" s="1"/>
  <c r="D353" i="7"/>
  <c r="F43" i="4" s="1"/>
  <c r="D370" i="7"/>
  <c r="F60" i="4" s="1"/>
  <c r="C10" i="8"/>
  <c r="D38" i="8"/>
  <c r="C44" i="8"/>
  <c r="C58" i="8"/>
  <c r="D58" i="8"/>
  <c r="D68" i="8"/>
  <c r="D172" i="8"/>
  <c r="C172" i="8"/>
  <c r="C173" i="8"/>
  <c r="D197" i="8"/>
  <c r="D185" i="8"/>
  <c r="C185" i="8"/>
  <c r="D204" i="8"/>
  <c r="C204" i="8"/>
  <c r="C205" i="8"/>
  <c r="D293" i="8"/>
  <c r="D281" i="8"/>
  <c r="C281" i="8"/>
  <c r="D325" i="8"/>
  <c r="N15" i="4" s="1"/>
  <c r="D313" i="8"/>
  <c r="C313" i="8"/>
  <c r="D357" i="8"/>
  <c r="N47" i="4" s="1"/>
  <c r="D345" i="8"/>
  <c r="N35" i="4" s="1"/>
  <c r="C345" i="8"/>
  <c r="M35" i="4" s="1"/>
  <c r="D59" i="9"/>
  <c r="C59" i="9"/>
  <c r="D71" i="9"/>
  <c r="D83" i="9"/>
  <c r="C83" i="9"/>
  <c r="D95" i="9"/>
  <c r="D118" i="9"/>
  <c r="D106" i="9"/>
  <c r="C106" i="9"/>
  <c r="D147" i="9"/>
  <c r="C147" i="9"/>
  <c r="D159" i="9"/>
  <c r="D182" i="9"/>
  <c r="D170" i="9"/>
  <c r="C170" i="9"/>
  <c r="D290" i="6"/>
  <c r="D306" i="6"/>
  <c r="D322" i="6"/>
  <c r="D12" i="4" s="1"/>
  <c r="D338" i="6"/>
  <c r="D28" i="4" s="1"/>
  <c r="D349" i="6"/>
  <c r="D39" i="4" s="1"/>
  <c r="C15" i="7"/>
  <c r="C24" i="7"/>
  <c r="C38" i="7"/>
  <c r="D41" i="7"/>
  <c r="C45" i="7"/>
  <c r="D45" i="7"/>
  <c r="C56" i="7"/>
  <c r="C70" i="7"/>
  <c r="D73" i="7"/>
  <c r="C77" i="7"/>
  <c r="D77" i="7"/>
  <c r="C88" i="7"/>
  <c r="C102" i="7"/>
  <c r="D105" i="7"/>
  <c r="C109" i="7"/>
  <c r="D109" i="7"/>
  <c r="C120" i="7"/>
  <c r="C134" i="7"/>
  <c r="D137" i="7"/>
  <c r="C141" i="7"/>
  <c r="D141" i="7"/>
  <c r="C152" i="7"/>
  <c r="C166" i="7"/>
  <c r="C173" i="7"/>
  <c r="D173" i="7"/>
  <c r="C184" i="7"/>
  <c r="C198" i="7"/>
  <c r="C205" i="7"/>
  <c r="D205" i="7"/>
  <c r="C216" i="7"/>
  <c r="C237" i="7"/>
  <c r="D237" i="7"/>
  <c r="C255" i="7"/>
  <c r="C262" i="7"/>
  <c r="C269" i="7"/>
  <c r="D269" i="7"/>
  <c r="C287" i="7"/>
  <c r="C294" i="7"/>
  <c r="C302" i="7"/>
  <c r="C310" i="7"/>
  <c r="C318" i="7"/>
  <c r="E8" i="4" s="1"/>
  <c r="C326" i="7"/>
  <c r="E16" i="4" s="1"/>
  <c r="C362" i="7"/>
  <c r="E52" i="4" s="1"/>
  <c r="C363" i="7"/>
  <c r="E53" i="4" s="1"/>
  <c r="C22" i="8"/>
  <c r="D21" i="8"/>
  <c r="C59" i="8"/>
  <c r="D59" i="8"/>
  <c r="C85" i="8"/>
  <c r="C84" i="8"/>
  <c r="C168" i="8"/>
  <c r="D168" i="8"/>
  <c r="C169" i="8"/>
  <c r="C186" i="8"/>
  <c r="D186" i="8"/>
  <c r="C200" i="8"/>
  <c r="D200" i="8"/>
  <c r="C201" i="8"/>
  <c r="D229" i="8"/>
  <c r="D217" i="8"/>
  <c r="C217" i="8"/>
  <c r="D282" i="8"/>
  <c r="C282" i="8"/>
  <c r="D294" i="8"/>
  <c r="D314" i="8"/>
  <c r="N4" i="4" s="1"/>
  <c r="C314" i="8"/>
  <c r="M4" i="4" s="1"/>
  <c r="D326" i="8"/>
  <c r="N16" i="4" s="1"/>
  <c r="D346" i="8"/>
  <c r="N36" i="4" s="1"/>
  <c r="C346" i="8"/>
  <c r="M36" i="4" s="1"/>
  <c r="D358" i="8"/>
  <c r="N48" i="4" s="1"/>
  <c r="D46" i="9"/>
  <c r="D34" i="9"/>
  <c r="C34" i="9"/>
  <c r="D78" i="9"/>
  <c r="D66" i="9"/>
  <c r="C66" i="9"/>
  <c r="D107" i="9"/>
  <c r="C107" i="9"/>
  <c r="D119" i="9"/>
  <c r="D142" i="9"/>
  <c r="D130" i="9"/>
  <c r="C130" i="9"/>
  <c r="D206" i="9"/>
  <c r="D194" i="9"/>
  <c r="C194" i="9"/>
  <c r="C263" i="5"/>
  <c r="C271" i="5"/>
  <c r="C279" i="5"/>
  <c r="C287" i="5"/>
  <c r="C295" i="5"/>
  <c r="C303" i="5"/>
  <c r="C311" i="5"/>
  <c r="C319" i="5"/>
  <c r="G9" i="4" s="1"/>
  <c r="C327" i="5"/>
  <c r="G17" i="4" s="1"/>
  <c r="C335" i="5"/>
  <c r="G25" i="4" s="1"/>
  <c r="C343" i="5"/>
  <c r="G33" i="4" s="1"/>
  <c r="C351" i="5"/>
  <c r="G41" i="4" s="1"/>
  <c r="C359" i="5"/>
  <c r="G49" i="4" s="1"/>
  <c r="C367" i="5"/>
  <c r="G57" i="4" s="1"/>
  <c r="C24" i="6"/>
  <c r="C32" i="6"/>
  <c r="C40" i="6"/>
  <c r="C48" i="6"/>
  <c r="C56" i="6"/>
  <c r="C64" i="6"/>
  <c r="C72" i="6"/>
  <c r="C80" i="6"/>
  <c r="C88" i="6"/>
  <c r="C96" i="6"/>
  <c r="C104" i="6"/>
  <c r="C112" i="6"/>
  <c r="C120" i="6"/>
  <c r="C128" i="6"/>
  <c r="C136" i="6"/>
  <c r="C144" i="6"/>
  <c r="C152" i="6"/>
  <c r="C160" i="6"/>
  <c r="C168" i="6"/>
  <c r="C176" i="6"/>
  <c r="C184" i="6"/>
  <c r="C192" i="6"/>
  <c r="C200" i="6"/>
  <c r="C208" i="6"/>
  <c r="D213" i="6"/>
  <c r="C216" i="6"/>
  <c r="D219" i="6"/>
  <c r="C222" i="6"/>
  <c r="C242" i="6"/>
  <c r="C245" i="6"/>
  <c r="C248" i="6"/>
  <c r="D251" i="6"/>
  <c r="C254" i="6"/>
  <c r="C272" i="6"/>
  <c r="D275" i="6"/>
  <c r="D278" i="6"/>
  <c r="D281" i="6"/>
  <c r="C288" i="6"/>
  <c r="D291" i="6"/>
  <c r="D294" i="6"/>
  <c r="D297" i="6"/>
  <c r="C304" i="6"/>
  <c r="D307" i="6"/>
  <c r="D310" i="6"/>
  <c r="D313" i="6"/>
  <c r="C320" i="6"/>
  <c r="C10" i="4" s="1"/>
  <c r="D323" i="6"/>
  <c r="D13" i="4" s="1"/>
  <c r="D326" i="6"/>
  <c r="D16" i="4" s="1"/>
  <c r="D329" i="6"/>
  <c r="D19" i="4" s="1"/>
  <c r="C336" i="6"/>
  <c r="C26" i="4" s="1"/>
  <c r="D339" i="6"/>
  <c r="D29" i="4" s="1"/>
  <c r="C343" i="6"/>
  <c r="C33" i="4" s="1"/>
  <c r="C350" i="6"/>
  <c r="C40" i="4" s="1"/>
  <c r="C357" i="6"/>
  <c r="C47" i="4" s="1"/>
  <c r="D360" i="6"/>
  <c r="D50" i="4" s="1"/>
  <c r="C364" i="6"/>
  <c r="C54" i="4" s="1"/>
  <c r="D364" i="6"/>
  <c r="D54" i="4" s="1"/>
  <c r="C20" i="7"/>
  <c r="D31" i="7"/>
  <c r="D38" i="7"/>
  <c r="C49" i="7"/>
  <c r="C52" i="7"/>
  <c r="D56" i="7"/>
  <c r="D59" i="7"/>
  <c r="D63" i="7"/>
  <c r="D70" i="7"/>
  <c r="C81" i="7"/>
  <c r="C84" i="7"/>
  <c r="D88" i="7"/>
  <c r="D91" i="7"/>
  <c r="D95" i="7"/>
  <c r="D102" i="7"/>
  <c r="C113" i="7"/>
  <c r="C116" i="7"/>
  <c r="D120" i="7"/>
  <c r="D123" i="7"/>
  <c r="D127" i="7"/>
  <c r="D134" i="7"/>
  <c r="C145" i="7"/>
  <c r="C148" i="7"/>
  <c r="D152" i="7"/>
  <c r="D155" i="7"/>
  <c r="D159" i="7"/>
  <c r="D166" i="7"/>
  <c r="C177" i="7"/>
  <c r="C180" i="7"/>
  <c r="D184" i="7"/>
  <c r="D187" i="7"/>
  <c r="D191" i="7"/>
  <c r="D198" i="7"/>
  <c r="C209" i="7"/>
  <c r="C212" i="7"/>
  <c r="D216" i="7"/>
  <c r="D219" i="7"/>
  <c r="D223" i="7"/>
  <c r="D230" i="7"/>
  <c r="C241" i="7"/>
  <c r="C244" i="7"/>
  <c r="D248" i="7"/>
  <c r="D251" i="7"/>
  <c r="D255" i="7"/>
  <c r="D262" i="7"/>
  <c r="C273" i="7"/>
  <c r="C276" i="7"/>
  <c r="D280" i="7"/>
  <c r="D283" i="7"/>
  <c r="D287" i="7"/>
  <c r="D294" i="7"/>
  <c r="D302" i="7"/>
  <c r="D310" i="7"/>
  <c r="D318" i="7"/>
  <c r="F8" i="4" s="1"/>
  <c r="D326" i="7"/>
  <c r="F16" i="4" s="1"/>
  <c r="D334" i="7"/>
  <c r="F24" i="4" s="1"/>
  <c r="D342" i="7"/>
  <c r="F32" i="4" s="1"/>
  <c r="D362" i="7"/>
  <c r="F52" i="4" s="1"/>
  <c r="C371" i="7"/>
  <c r="E61" i="4" s="1"/>
  <c r="C21" i="8"/>
  <c r="C26" i="8"/>
  <c r="D54" i="8"/>
  <c r="C60" i="8"/>
  <c r="C74" i="8"/>
  <c r="D74" i="8"/>
  <c r="D86" i="8"/>
  <c r="D80" i="8"/>
  <c r="D84" i="8"/>
  <c r="C218" i="8"/>
  <c r="D218" i="8"/>
  <c r="D271" i="8"/>
  <c r="D283" i="8"/>
  <c r="C271" i="8"/>
  <c r="D301" i="8"/>
  <c r="D289" i="8"/>
  <c r="C289" i="8"/>
  <c r="D333" i="8"/>
  <c r="N23" i="4" s="1"/>
  <c r="D321" i="8"/>
  <c r="N11" i="4" s="1"/>
  <c r="C321" i="8"/>
  <c r="M11" i="4" s="1"/>
  <c r="D365" i="8"/>
  <c r="N55" i="4" s="1"/>
  <c r="D353" i="8"/>
  <c r="N43" i="4" s="1"/>
  <c r="C353" i="8"/>
  <c r="M43" i="4" s="1"/>
  <c r="D35" i="9"/>
  <c r="C35" i="9"/>
  <c r="D47" i="9"/>
  <c r="D67" i="9"/>
  <c r="C67" i="9"/>
  <c r="D79" i="9"/>
  <c r="D102" i="9"/>
  <c r="D90" i="9"/>
  <c r="C90" i="9"/>
  <c r="D131" i="9"/>
  <c r="C131" i="9"/>
  <c r="D143" i="9"/>
  <c r="D166" i="9"/>
  <c r="D154" i="9"/>
  <c r="C154" i="9"/>
  <c r="C211" i="6"/>
  <c r="C228" i="6"/>
  <c r="C231" i="6"/>
  <c r="D242" i="6"/>
  <c r="D245" i="6"/>
  <c r="C260" i="6"/>
  <c r="C263" i="6"/>
  <c r="C269" i="6"/>
  <c r="C279" i="6"/>
  <c r="C285" i="6"/>
  <c r="C295" i="6"/>
  <c r="C301" i="6"/>
  <c r="C311" i="6"/>
  <c r="C317" i="6"/>
  <c r="C7" i="4" s="1"/>
  <c r="C327" i="6"/>
  <c r="C17" i="4" s="1"/>
  <c r="C333" i="6"/>
  <c r="C23" i="4" s="1"/>
  <c r="D343" i="6"/>
  <c r="D33" i="4" s="1"/>
  <c r="D346" i="6"/>
  <c r="D36" i="4" s="1"/>
  <c r="D357" i="6"/>
  <c r="D47" i="4" s="1"/>
  <c r="C11" i="7"/>
  <c r="C21" i="7"/>
  <c r="D21" i="7"/>
  <c r="C32" i="7"/>
  <c r="C39" i="7"/>
  <c r="C46" i="7"/>
  <c r="C53" i="7"/>
  <c r="D53" i="7"/>
  <c r="C64" i="7"/>
  <c r="C71" i="7"/>
  <c r="C78" i="7"/>
  <c r="C85" i="7"/>
  <c r="D85" i="7"/>
  <c r="C96" i="7"/>
  <c r="C103" i="7"/>
  <c r="C110" i="7"/>
  <c r="C117" i="7"/>
  <c r="D117" i="7"/>
  <c r="C128" i="7"/>
  <c r="C135" i="7"/>
  <c r="C142" i="7"/>
  <c r="C149" i="7"/>
  <c r="D149" i="7"/>
  <c r="C160" i="7"/>
  <c r="C167" i="7"/>
  <c r="C174" i="7"/>
  <c r="C181" i="7"/>
  <c r="D181" i="7"/>
  <c r="C192" i="7"/>
  <c r="C199" i="7"/>
  <c r="C206" i="7"/>
  <c r="C213" i="7"/>
  <c r="D213" i="7"/>
  <c r="C224" i="7"/>
  <c r="C231" i="7"/>
  <c r="C238" i="7"/>
  <c r="C245" i="7"/>
  <c r="D245" i="7"/>
  <c r="C256" i="7"/>
  <c r="C263" i="7"/>
  <c r="C270" i="7"/>
  <c r="C277" i="7"/>
  <c r="D277" i="7"/>
  <c r="C288" i="7"/>
  <c r="D295" i="7"/>
  <c r="C295" i="7"/>
  <c r="D303" i="7"/>
  <c r="C303" i="7"/>
  <c r="D311" i="7"/>
  <c r="C311" i="7"/>
  <c r="D319" i="7"/>
  <c r="F9" i="4" s="1"/>
  <c r="C319" i="7"/>
  <c r="E9" i="4" s="1"/>
  <c r="D327" i="7"/>
  <c r="F17" i="4" s="1"/>
  <c r="C327" i="7"/>
  <c r="E17" i="4" s="1"/>
  <c r="D335" i="7"/>
  <c r="F25" i="4" s="1"/>
  <c r="C335" i="7"/>
  <c r="E25" i="4" s="1"/>
  <c r="D343" i="7"/>
  <c r="F33" i="4" s="1"/>
  <c r="C343" i="7"/>
  <c r="E33" i="4" s="1"/>
  <c r="D363" i="7"/>
  <c r="F53" i="4" s="1"/>
  <c r="D351" i="7"/>
  <c r="F41" i="4" s="1"/>
  <c r="C351" i="7"/>
  <c r="E41" i="4" s="1"/>
  <c r="D355" i="7"/>
  <c r="F45" i="4" s="1"/>
  <c r="D359" i="7"/>
  <c r="F49" i="4" s="1"/>
  <c r="C360" i="7"/>
  <c r="E50" i="4" s="1"/>
  <c r="C367" i="7"/>
  <c r="E57" i="4" s="1"/>
  <c r="C372" i="7"/>
  <c r="E62" i="4" s="1"/>
  <c r="C37" i="8"/>
  <c r="C36" i="8"/>
  <c r="C65" i="8"/>
  <c r="C75" i="8"/>
  <c r="D75" i="8"/>
  <c r="C80" i="8"/>
  <c r="D96" i="8"/>
  <c r="C96" i="8"/>
  <c r="D112" i="8"/>
  <c r="C112" i="8"/>
  <c r="D128" i="8"/>
  <c r="C128" i="8"/>
  <c r="D144" i="8"/>
  <c r="C144" i="8"/>
  <c r="D236" i="8"/>
  <c r="C236" i="8"/>
  <c r="C237" i="8"/>
  <c r="D290" i="8"/>
  <c r="C290" i="8"/>
  <c r="D302" i="8"/>
  <c r="D322" i="8"/>
  <c r="N12" i="4" s="1"/>
  <c r="C322" i="8"/>
  <c r="M12" i="4" s="1"/>
  <c r="D334" i="8"/>
  <c r="N24" i="4" s="1"/>
  <c r="D354" i="8"/>
  <c r="N44" i="4" s="1"/>
  <c r="C354" i="8"/>
  <c r="M44" i="4" s="1"/>
  <c r="D366" i="8"/>
  <c r="N56" i="4" s="1"/>
  <c r="D19" i="9"/>
  <c r="C19" i="9"/>
  <c r="D31" i="9"/>
  <c r="D54" i="9"/>
  <c r="D42" i="9"/>
  <c r="C42" i="9"/>
  <c r="D91" i="9"/>
  <c r="C91" i="9"/>
  <c r="D103" i="9"/>
  <c r="D126" i="9"/>
  <c r="D114" i="9"/>
  <c r="C114" i="9"/>
  <c r="D155" i="9"/>
  <c r="C155" i="9"/>
  <c r="D167" i="9"/>
  <c r="D190" i="9"/>
  <c r="D178" i="9"/>
  <c r="C178" i="9"/>
  <c r="D243" i="6"/>
  <c r="C246" i="6"/>
  <c r="D276" i="6"/>
  <c r="D279" i="6"/>
  <c r="D292" i="6"/>
  <c r="D295" i="6"/>
  <c r="D308" i="6"/>
  <c r="D311" i="6"/>
  <c r="D324" i="6"/>
  <c r="D14" i="4" s="1"/>
  <c r="D327" i="6"/>
  <c r="D17" i="4" s="1"/>
  <c r="D333" i="6"/>
  <c r="D23" i="4" s="1"/>
  <c r="C340" i="6"/>
  <c r="C30" i="4" s="1"/>
  <c r="D340" i="6"/>
  <c r="D30" i="4" s="1"/>
  <c r="D347" i="6"/>
  <c r="D37" i="4" s="1"/>
  <c r="C351" i="6"/>
  <c r="C41" i="4" s="1"/>
  <c r="C358" i="6"/>
  <c r="C48" i="4" s="1"/>
  <c r="C372" i="6"/>
  <c r="C62" i="4" s="1"/>
  <c r="D372" i="6"/>
  <c r="C17" i="7"/>
  <c r="C28" i="7"/>
  <c r="D32" i="7"/>
  <c r="D35" i="7"/>
  <c r="D39" i="7"/>
  <c r="D46" i="7"/>
  <c r="C60" i="7"/>
  <c r="D64" i="7"/>
  <c r="D67" i="7"/>
  <c r="D71" i="7"/>
  <c r="D78" i="7"/>
  <c r="C92" i="7"/>
  <c r="D96" i="7"/>
  <c r="D99" i="7"/>
  <c r="D103" i="7"/>
  <c r="D110" i="7"/>
  <c r="C124" i="7"/>
  <c r="D128" i="7"/>
  <c r="D131" i="7"/>
  <c r="D135" i="7"/>
  <c r="D142" i="7"/>
  <c r="C156" i="7"/>
  <c r="D160" i="7"/>
  <c r="D163" i="7"/>
  <c r="D167" i="7"/>
  <c r="D174" i="7"/>
  <c r="C188" i="7"/>
  <c r="D192" i="7"/>
  <c r="D195" i="7"/>
  <c r="D199" i="7"/>
  <c r="D206" i="7"/>
  <c r="C220" i="7"/>
  <c r="D224" i="7"/>
  <c r="D227" i="7"/>
  <c r="D231" i="7"/>
  <c r="D238" i="7"/>
  <c r="C252" i="7"/>
  <c r="D256" i="7"/>
  <c r="D259" i="7"/>
  <c r="D263" i="7"/>
  <c r="D270" i="7"/>
  <c r="C284" i="7"/>
  <c r="D288" i="7"/>
  <c r="D291" i="7"/>
  <c r="C296" i="7"/>
  <c r="D299" i="7"/>
  <c r="C304" i="7"/>
  <c r="D307" i="7"/>
  <c r="C312" i="7"/>
  <c r="D315" i="7"/>
  <c r="F5" i="4" s="1"/>
  <c r="C320" i="7"/>
  <c r="E10" i="4" s="1"/>
  <c r="D323" i="7"/>
  <c r="F13" i="4" s="1"/>
  <c r="C328" i="7"/>
  <c r="E18" i="4" s="1"/>
  <c r="D331" i="7"/>
  <c r="F21" i="4" s="1"/>
  <c r="C336" i="7"/>
  <c r="E26" i="4" s="1"/>
  <c r="D339" i="7"/>
  <c r="F29" i="4" s="1"/>
  <c r="C344" i="7"/>
  <c r="E34" i="4" s="1"/>
  <c r="D347" i="7"/>
  <c r="F37" i="4" s="1"/>
  <c r="C352" i="7"/>
  <c r="E42" i="4" s="1"/>
  <c r="C359" i="7"/>
  <c r="E49" i="4" s="1"/>
  <c r="D368" i="7"/>
  <c r="F58" i="4" s="1"/>
  <c r="D30" i="8"/>
  <c r="C18" i="8"/>
  <c r="C27" i="8"/>
  <c r="D27" i="8"/>
  <c r="D36" i="8"/>
  <c r="D70" i="8"/>
  <c r="C76" i="8"/>
  <c r="C91" i="8"/>
  <c r="D91" i="8"/>
  <c r="C107" i="8"/>
  <c r="D107" i="8"/>
  <c r="C123" i="8"/>
  <c r="D123" i="8"/>
  <c r="C139" i="8"/>
  <c r="D139" i="8"/>
  <c r="D160" i="8"/>
  <c r="C160" i="8"/>
  <c r="D175" i="8"/>
  <c r="D187" i="8"/>
  <c r="C175" i="8"/>
  <c r="D207" i="8"/>
  <c r="D219" i="8"/>
  <c r="C207" i="8"/>
  <c r="C232" i="8"/>
  <c r="D232" i="8"/>
  <c r="C233" i="8"/>
  <c r="D261" i="8"/>
  <c r="D249" i="8"/>
  <c r="C249" i="8"/>
  <c r="D262" i="8"/>
  <c r="D309" i="8"/>
  <c r="D297" i="8"/>
  <c r="C297" i="8"/>
  <c r="D341" i="8"/>
  <c r="N31" i="4" s="1"/>
  <c r="D329" i="8"/>
  <c r="N19" i="4" s="1"/>
  <c r="C329" i="8"/>
  <c r="M19" i="4" s="1"/>
  <c r="D361" i="8"/>
  <c r="N51" i="4" s="1"/>
  <c r="C361" i="8"/>
  <c r="M51" i="4" s="1"/>
  <c r="D43" i="9"/>
  <c r="C43" i="9"/>
  <c r="D55" i="9"/>
  <c r="D86" i="9"/>
  <c r="D74" i="9"/>
  <c r="C74" i="9"/>
  <c r="D115" i="9"/>
  <c r="C115" i="9"/>
  <c r="D127" i="9"/>
  <c r="D150" i="9"/>
  <c r="D138" i="9"/>
  <c r="C138" i="9"/>
  <c r="D214" i="9"/>
  <c r="D202" i="9"/>
  <c r="C202" i="9"/>
  <c r="D293" i="7"/>
  <c r="D301" i="7"/>
  <c r="D309" i="7"/>
  <c r="D317" i="7"/>
  <c r="F7" i="4" s="1"/>
  <c r="D325" i="7"/>
  <c r="F15" i="4" s="1"/>
  <c r="D333" i="7"/>
  <c r="F23" i="4" s="1"/>
  <c r="D341" i="7"/>
  <c r="F31" i="4" s="1"/>
  <c r="D349" i="7"/>
  <c r="F39" i="4" s="1"/>
  <c r="D366" i="7"/>
  <c r="F56" i="4" s="1"/>
  <c r="D369" i="7"/>
  <c r="F59" i="4" s="1"/>
  <c r="D372" i="7"/>
  <c r="C11" i="8"/>
  <c r="D22" i="8"/>
  <c r="D25" i="8"/>
  <c r="D28" i="8"/>
  <c r="C35" i="8"/>
  <c r="C41" i="8"/>
  <c r="D44" i="8"/>
  <c r="C47" i="8"/>
  <c r="C51" i="8"/>
  <c r="C57" i="8"/>
  <c r="D60" i="8"/>
  <c r="C63" i="8"/>
  <c r="C67" i="8"/>
  <c r="C73" i="8"/>
  <c r="D76" i="8"/>
  <c r="C79" i="8"/>
  <c r="C83" i="8"/>
  <c r="C89" i="8"/>
  <c r="D92" i="8"/>
  <c r="C95" i="8"/>
  <c r="C99" i="8"/>
  <c r="C105" i="8"/>
  <c r="D108" i="8"/>
  <c r="C111" i="8"/>
  <c r="C115" i="8"/>
  <c r="C121" i="8"/>
  <c r="D124" i="8"/>
  <c r="C127" i="8"/>
  <c r="C131" i="8"/>
  <c r="C137" i="8"/>
  <c r="D140" i="8"/>
  <c r="C143" i="8"/>
  <c r="C147" i="8"/>
  <c r="C153" i="8"/>
  <c r="D156" i="8"/>
  <c r="C159" i="8"/>
  <c r="C163" i="8"/>
  <c r="C177" i="8"/>
  <c r="D180" i="8"/>
  <c r="C184" i="8"/>
  <c r="D184" i="8"/>
  <c r="C195" i="8"/>
  <c r="C209" i="8"/>
  <c r="D212" i="8"/>
  <c r="C216" i="8"/>
  <c r="D216" i="8"/>
  <c r="C227" i="8"/>
  <c r="C241" i="8"/>
  <c r="D244" i="8"/>
  <c r="C248" i="8"/>
  <c r="D248" i="8"/>
  <c r="C259" i="8"/>
  <c r="C266" i="8"/>
  <c r="C273" i="8"/>
  <c r="D276" i="8"/>
  <c r="C280" i="8"/>
  <c r="C284" i="8"/>
  <c r="C288" i="8"/>
  <c r="C292" i="8"/>
  <c r="C296" i="8"/>
  <c r="C300" i="8"/>
  <c r="C304" i="8"/>
  <c r="C308" i="8"/>
  <c r="C312" i="8"/>
  <c r="C316" i="8"/>
  <c r="M6" i="4" s="1"/>
  <c r="C320" i="8"/>
  <c r="M10" i="4" s="1"/>
  <c r="C324" i="8"/>
  <c r="M14" i="4" s="1"/>
  <c r="C328" i="8"/>
  <c r="M18" i="4" s="1"/>
  <c r="C332" i="8"/>
  <c r="M22" i="4" s="1"/>
  <c r="C336" i="8"/>
  <c r="M26" i="4" s="1"/>
  <c r="C340" i="8"/>
  <c r="M30" i="4" s="1"/>
  <c r="C344" i="8"/>
  <c r="M34" i="4" s="1"/>
  <c r="C348" i="8"/>
  <c r="M38" i="4" s="1"/>
  <c r="C352" i="8"/>
  <c r="M42" i="4" s="1"/>
  <c r="C356" i="8"/>
  <c r="M46" i="4" s="1"/>
  <c r="C360" i="8"/>
  <c r="M50" i="4" s="1"/>
  <c r="C364" i="8"/>
  <c r="M54" i="4" s="1"/>
  <c r="C368" i="8"/>
  <c r="M58" i="4" s="1"/>
  <c r="C11" i="9"/>
  <c r="C21" i="9"/>
  <c r="C25" i="9"/>
  <c r="C29" i="9"/>
  <c r="C33" i="9"/>
  <c r="C37" i="9"/>
  <c r="C41" i="9"/>
  <c r="C45" i="9"/>
  <c r="C49" i="9"/>
  <c r="C53" i="9"/>
  <c r="C57" i="9"/>
  <c r="C61" i="9"/>
  <c r="C65" i="9"/>
  <c r="C73" i="9"/>
  <c r="C81" i="9"/>
  <c r="C89" i="9"/>
  <c r="C97" i="9"/>
  <c r="C105" i="9"/>
  <c r="C113" i="9"/>
  <c r="C121" i="9"/>
  <c r="C129" i="9"/>
  <c r="C137" i="9"/>
  <c r="C145" i="9"/>
  <c r="C153" i="9"/>
  <c r="C161" i="9"/>
  <c r="C169" i="9"/>
  <c r="C177" i="9"/>
  <c r="C185" i="9"/>
  <c r="C193" i="9"/>
  <c r="C201" i="9"/>
  <c r="C209" i="9"/>
  <c r="C217" i="9"/>
  <c r="C225" i="9"/>
  <c r="C233" i="9"/>
  <c r="C241" i="9"/>
  <c r="C249" i="9"/>
  <c r="C257" i="9"/>
  <c r="C265" i="9"/>
  <c r="C273" i="9"/>
  <c r="C281" i="9"/>
  <c r="C289" i="9"/>
  <c r="D163" i="10"/>
  <c r="D151" i="10"/>
  <c r="C151" i="10"/>
  <c r="D192" i="10"/>
  <c r="D180" i="10"/>
  <c r="C180" i="10"/>
  <c r="C264" i="10"/>
  <c r="D264" i="10"/>
  <c r="D361" i="10"/>
  <c r="X51" i="4" s="1"/>
  <c r="C361" i="10"/>
  <c r="W51" i="4" s="1"/>
  <c r="D152" i="10"/>
  <c r="C168" i="10"/>
  <c r="C169" i="10"/>
  <c r="D198" i="10"/>
  <c r="D186" i="10"/>
  <c r="C186" i="10"/>
  <c r="C187" i="10"/>
  <c r="D203" i="10"/>
  <c r="C191" i="10"/>
  <c r="D224" i="10"/>
  <c r="D212" i="10"/>
  <c r="C212" i="10"/>
  <c r="D230" i="10"/>
  <c r="D218" i="10"/>
  <c r="C218" i="10"/>
  <c r="C219" i="10"/>
  <c r="C250" i="10"/>
  <c r="D250" i="10"/>
  <c r="C298" i="10"/>
  <c r="C299" i="10"/>
  <c r="D298" i="10"/>
  <c r="D66" i="11"/>
  <c r="C66" i="11"/>
  <c r="D102" i="8"/>
  <c r="D118" i="8"/>
  <c r="D134" i="8"/>
  <c r="D150" i="8"/>
  <c r="D167" i="8"/>
  <c r="C181" i="8"/>
  <c r="C192" i="8"/>
  <c r="D192" i="8"/>
  <c r="C213" i="8"/>
  <c r="C224" i="8"/>
  <c r="D224" i="8"/>
  <c r="C245" i="8"/>
  <c r="C256" i="8"/>
  <c r="D256" i="8"/>
  <c r="C274" i="8"/>
  <c r="C277" i="8"/>
  <c r="C210" i="9"/>
  <c r="C218" i="9"/>
  <c r="C226" i="9"/>
  <c r="C234" i="9"/>
  <c r="C242" i="9"/>
  <c r="C250" i="9"/>
  <c r="C258" i="9"/>
  <c r="C266" i="9"/>
  <c r="C274" i="9"/>
  <c r="C282" i="9"/>
  <c r="C290" i="9"/>
  <c r="C298" i="9"/>
  <c r="C306" i="9"/>
  <c r="C314" i="9"/>
  <c r="K4" i="4" s="1"/>
  <c r="C322" i="9"/>
  <c r="K12" i="4" s="1"/>
  <c r="C330" i="9"/>
  <c r="K20" i="4" s="1"/>
  <c r="C338" i="9"/>
  <c r="K28" i="4" s="1"/>
  <c r="C346" i="9"/>
  <c r="K36" i="4" s="1"/>
  <c r="C354" i="9"/>
  <c r="K44" i="4" s="1"/>
  <c r="D27" i="10"/>
  <c r="D168" i="10"/>
  <c r="D177" i="10"/>
  <c r="D191" i="10"/>
  <c r="D208" i="10"/>
  <c r="C266" i="10"/>
  <c r="D266" i="10"/>
  <c r="D343" i="10"/>
  <c r="X33" i="4" s="1"/>
  <c r="D355" i="10"/>
  <c r="X45" i="4" s="1"/>
  <c r="C343" i="10"/>
  <c r="W33" i="4" s="1"/>
  <c r="D39" i="8"/>
  <c r="D45" i="8"/>
  <c r="D55" i="8"/>
  <c r="D61" i="8"/>
  <c r="D71" i="8"/>
  <c r="D77" i="8"/>
  <c r="D87" i="8"/>
  <c r="D90" i="8"/>
  <c r="D93" i="8"/>
  <c r="C100" i="8"/>
  <c r="D103" i="8"/>
  <c r="D106" i="8"/>
  <c r="D109" i="8"/>
  <c r="C116" i="8"/>
  <c r="D119" i="8"/>
  <c r="D122" i="8"/>
  <c r="D125" i="8"/>
  <c r="C132" i="8"/>
  <c r="D135" i="8"/>
  <c r="D138" i="8"/>
  <c r="D141" i="8"/>
  <c r="C148" i="8"/>
  <c r="D151" i="8"/>
  <c r="D154" i="8"/>
  <c r="D157" i="8"/>
  <c r="C164" i="8"/>
  <c r="C167" i="8"/>
  <c r="D174" i="8"/>
  <c r="D178" i="8"/>
  <c r="C199" i="8"/>
  <c r="D206" i="8"/>
  <c r="D238" i="8"/>
  <c r="D270" i="8"/>
  <c r="D210" i="9"/>
  <c r="D218" i="9"/>
  <c r="D226" i="9"/>
  <c r="D234" i="9"/>
  <c r="D242" i="9"/>
  <c r="D250" i="9"/>
  <c r="D258" i="9"/>
  <c r="D266" i="9"/>
  <c r="D274" i="9"/>
  <c r="D282" i="9"/>
  <c r="D290" i="9"/>
  <c r="D298" i="9"/>
  <c r="D306" i="9"/>
  <c r="D314" i="9"/>
  <c r="L4" i="4" s="1"/>
  <c r="D322" i="9"/>
  <c r="L12" i="4" s="1"/>
  <c r="D330" i="9"/>
  <c r="L20" i="4" s="1"/>
  <c r="D338" i="9"/>
  <c r="L28" i="4" s="1"/>
  <c r="D20" i="10"/>
  <c r="C20" i="10"/>
  <c r="D28" i="10"/>
  <c r="C28" i="10"/>
  <c r="D36" i="10"/>
  <c r="C36" i="10"/>
  <c r="D44" i="10"/>
  <c r="C44" i="10"/>
  <c r="D52" i="10"/>
  <c r="C52" i="10"/>
  <c r="D60" i="10"/>
  <c r="C60" i="10"/>
  <c r="D68" i="10"/>
  <c r="C68" i="10"/>
  <c r="D76" i="10"/>
  <c r="C76" i="10"/>
  <c r="D84" i="10"/>
  <c r="C84" i="10"/>
  <c r="D92" i="10"/>
  <c r="C92" i="10"/>
  <c r="D100" i="10"/>
  <c r="C100" i="10"/>
  <c r="D108" i="10"/>
  <c r="C108" i="10"/>
  <c r="D116" i="10"/>
  <c r="C116" i="10"/>
  <c r="D124" i="10"/>
  <c r="C124" i="10"/>
  <c r="D132" i="10"/>
  <c r="C132" i="10"/>
  <c r="D140" i="10"/>
  <c r="C140" i="10"/>
  <c r="D160" i="10"/>
  <c r="D148" i="10"/>
  <c r="C148" i="10"/>
  <c r="D165" i="10"/>
  <c r="C166" i="10"/>
  <c r="C280" i="10"/>
  <c r="D280" i="10"/>
  <c r="C314" i="10"/>
  <c r="W4" i="4" s="1"/>
  <c r="C315" i="10"/>
  <c r="W5" i="4" s="1"/>
  <c r="D314" i="10"/>
  <c r="X4" i="4" s="1"/>
  <c r="D42" i="11"/>
  <c r="C42" i="11"/>
  <c r="D74" i="11"/>
  <c r="C74" i="11"/>
  <c r="D171" i="9"/>
  <c r="C171" i="9"/>
  <c r="D179" i="9"/>
  <c r="C179" i="9"/>
  <c r="D187" i="9"/>
  <c r="C187" i="9"/>
  <c r="D195" i="9"/>
  <c r="C195" i="9"/>
  <c r="D203" i="9"/>
  <c r="C203" i="9"/>
  <c r="D211" i="9"/>
  <c r="C211" i="9"/>
  <c r="D219" i="9"/>
  <c r="C219" i="9"/>
  <c r="D227" i="9"/>
  <c r="C227" i="9"/>
  <c r="D235" i="9"/>
  <c r="C235" i="9"/>
  <c r="D243" i="9"/>
  <c r="C243" i="9"/>
  <c r="D251" i="9"/>
  <c r="C251" i="9"/>
  <c r="D259" i="9"/>
  <c r="C259" i="9"/>
  <c r="D267" i="9"/>
  <c r="C267" i="9"/>
  <c r="D275" i="9"/>
  <c r="C275" i="9"/>
  <c r="D283" i="9"/>
  <c r="C283" i="9"/>
  <c r="D291" i="9"/>
  <c r="C291" i="9"/>
  <c r="D299" i="9"/>
  <c r="C299" i="9"/>
  <c r="D307" i="9"/>
  <c r="C307" i="9"/>
  <c r="D315" i="9"/>
  <c r="L5" i="4" s="1"/>
  <c r="C315" i="9"/>
  <c r="K5" i="4" s="1"/>
  <c r="D323" i="9"/>
  <c r="L13" i="4" s="1"/>
  <c r="C323" i="9"/>
  <c r="K13" i="4" s="1"/>
  <c r="D331" i="9"/>
  <c r="L21" i="4" s="1"/>
  <c r="C331" i="9"/>
  <c r="K21" i="4" s="1"/>
  <c r="D339" i="9"/>
  <c r="L29" i="4" s="1"/>
  <c r="C339" i="9"/>
  <c r="K29" i="4" s="1"/>
  <c r="D347" i="9"/>
  <c r="L37" i="4" s="1"/>
  <c r="C347" i="9"/>
  <c r="K37" i="4" s="1"/>
  <c r="D355" i="9"/>
  <c r="L45" i="4" s="1"/>
  <c r="C355" i="9"/>
  <c r="K45" i="4" s="1"/>
  <c r="D363" i="9"/>
  <c r="L53" i="4" s="1"/>
  <c r="C363" i="9"/>
  <c r="K53" i="4" s="1"/>
  <c r="D371" i="9"/>
  <c r="L61" i="4" s="1"/>
  <c r="C371" i="9"/>
  <c r="K61" i="4" s="1"/>
  <c r="C21" i="10"/>
  <c r="C29" i="10"/>
  <c r="D32" i="10"/>
  <c r="C37" i="10"/>
  <c r="D40" i="10"/>
  <c r="C45" i="10"/>
  <c r="D48" i="10"/>
  <c r="C53" i="10"/>
  <c r="D56" i="10"/>
  <c r="C61" i="10"/>
  <c r="D64" i="10"/>
  <c r="C69" i="10"/>
  <c r="D72" i="10"/>
  <c r="C77" i="10"/>
  <c r="D80" i="10"/>
  <c r="C85" i="10"/>
  <c r="D88" i="10"/>
  <c r="C93" i="10"/>
  <c r="D96" i="10"/>
  <c r="C101" i="10"/>
  <c r="D104" i="10"/>
  <c r="C109" i="10"/>
  <c r="D112" i="10"/>
  <c r="C117" i="10"/>
  <c r="D120" i="10"/>
  <c r="C125" i="10"/>
  <c r="D128" i="10"/>
  <c r="C133" i="10"/>
  <c r="D136" i="10"/>
  <c r="C141" i="10"/>
  <c r="D144" i="10"/>
  <c r="C149" i="10"/>
  <c r="C165" i="10"/>
  <c r="C173" i="10"/>
  <c r="C178" i="10"/>
  <c r="C189" i="10"/>
  <c r="C188" i="10"/>
  <c r="C209" i="10"/>
  <c r="C214" i="10"/>
  <c r="C221" i="10"/>
  <c r="C220" i="10"/>
  <c r="C267" i="10"/>
  <c r="C281" i="10"/>
  <c r="D31" i="11"/>
  <c r="C31" i="11"/>
  <c r="C354" i="7"/>
  <c r="E44" i="4" s="1"/>
  <c r="D40" i="8"/>
  <c r="D56" i="8"/>
  <c r="D72" i="8"/>
  <c r="D88" i="8"/>
  <c r="D104" i="8"/>
  <c r="D120" i="8"/>
  <c r="D136" i="8"/>
  <c r="D152" i="8"/>
  <c r="D161" i="8"/>
  <c r="D179" i="8"/>
  <c r="D182" i="8"/>
  <c r="D193" i="8"/>
  <c r="D211" i="8"/>
  <c r="D214" i="8"/>
  <c r="D225" i="8"/>
  <c r="D243" i="8"/>
  <c r="D246" i="8"/>
  <c r="D257" i="8"/>
  <c r="D275" i="8"/>
  <c r="C283" i="8"/>
  <c r="D286" i="8"/>
  <c r="C291" i="8"/>
  <c r="C299" i="8"/>
  <c r="C307" i="8"/>
  <c r="C315" i="8"/>
  <c r="M5" i="4" s="1"/>
  <c r="C323" i="8"/>
  <c r="M13" i="4" s="1"/>
  <c r="C331" i="8"/>
  <c r="M21" i="4" s="1"/>
  <c r="C339" i="8"/>
  <c r="M29" i="4" s="1"/>
  <c r="C347" i="8"/>
  <c r="M37" i="4" s="1"/>
  <c r="C355" i="8"/>
  <c r="M45" i="4" s="1"/>
  <c r="C363" i="8"/>
  <c r="M53" i="4" s="1"/>
  <c r="C371" i="8"/>
  <c r="M61" i="4" s="1"/>
  <c r="C20" i="9"/>
  <c r="C28" i="9"/>
  <c r="C36" i="9"/>
  <c r="C44" i="9"/>
  <c r="C52" i="9"/>
  <c r="C60" i="9"/>
  <c r="C68" i="9"/>
  <c r="C76" i="9"/>
  <c r="C84" i="9"/>
  <c r="C92" i="9"/>
  <c r="C100" i="9"/>
  <c r="C108" i="9"/>
  <c r="C116" i="9"/>
  <c r="C124" i="9"/>
  <c r="C132" i="9"/>
  <c r="C140" i="9"/>
  <c r="C148" i="9"/>
  <c r="C156" i="9"/>
  <c r="C164" i="9"/>
  <c r="C172" i="9"/>
  <c r="C180" i="9"/>
  <c r="D183" i="9"/>
  <c r="C188" i="9"/>
  <c r="D191" i="9"/>
  <c r="C196" i="9"/>
  <c r="D199" i="9"/>
  <c r="C204" i="9"/>
  <c r="D207" i="9"/>
  <c r="C212" i="9"/>
  <c r="D215" i="9"/>
  <c r="C220" i="9"/>
  <c r="D223" i="9"/>
  <c r="C228" i="9"/>
  <c r="D231" i="9"/>
  <c r="C236" i="9"/>
  <c r="D239" i="9"/>
  <c r="C244" i="9"/>
  <c r="D247" i="9"/>
  <c r="C252" i="9"/>
  <c r="D255" i="9"/>
  <c r="C260" i="9"/>
  <c r="D263" i="9"/>
  <c r="C268" i="9"/>
  <c r="D271" i="9"/>
  <c r="C276" i="9"/>
  <c r="D279" i="9"/>
  <c r="C284" i="9"/>
  <c r="D287" i="9"/>
  <c r="C292" i="9"/>
  <c r="D295" i="9"/>
  <c r="C300" i="9"/>
  <c r="D303" i="9"/>
  <c r="C308" i="9"/>
  <c r="D311" i="9"/>
  <c r="C316" i="9"/>
  <c r="K6" i="4" s="1"/>
  <c r="D319" i="9"/>
  <c r="L9" i="4" s="1"/>
  <c r="C324" i="9"/>
  <c r="K14" i="4" s="1"/>
  <c r="D327" i="9"/>
  <c r="L17" i="4" s="1"/>
  <c r="C332" i="9"/>
  <c r="K22" i="4" s="1"/>
  <c r="D335" i="9"/>
  <c r="L25" i="4" s="1"/>
  <c r="C340" i="9"/>
  <c r="K30" i="4" s="1"/>
  <c r="D343" i="9"/>
  <c r="L33" i="4" s="1"/>
  <c r="C348" i="9"/>
  <c r="K38" i="4" s="1"/>
  <c r="D351" i="9"/>
  <c r="L41" i="4" s="1"/>
  <c r="C356" i="9"/>
  <c r="K46" i="4" s="1"/>
  <c r="D359" i="9"/>
  <c r="L49" i="4" s="1"/>
  <c r="C364" i="9"/>
  <c r="K54" i="4" s="1"/>
  <c r="D367" i="9"/>
  <c r="L57" i="4" s="1"/>
  <c r="C372" i="9"/>
  <c r="K62" i="4" s="1"/>
  <c r="C11" i="10"/>
  <c r="D37" i="10"/>
  <c r="D45" i="10"/>
  <c r="D53" i="10"/>
  <c r="D61" i="10"/>
  <c r="D69" i="10"/>
  <c r="D77" i="10"/>
  <c r="D85" i="10"/>
  <c r="D93" i="10"/>
  <c r="D101" i="10"/>
  <c r="D109" i="10"/>
  <c r="D117" i="10"/>
  <c r="D125" i="10"/>
  <c r="D133" i="10"/>
  <c r="D141" i="10"/>
  <c r="D166" i="10"/>
  <c r="D154" i="10"/>
  <c r="C154" i="10"/>
  <c r="C155" i="10"/>
  <c r="C162" i="10"/>
  <c r="D174" i="10"/>
  <c r="D195" i="10"/>
  <c r="D183" i="10"/>
  <c r="C183" i="10"/>
  <c r="D188" i="10"/>
  <c r="C205" i="10"/>
  <c r="D227" i="10"/>
  <c r="D215" i="10"/>
  <c r="C215" i="10"/>
  <c r="D220" i="10"/>
  <c r="C282" i="10"/>
  <c r="D282" i="10"/>
  <c r="C330" i="10"/>
  <c r="W20" i="4" s="1"/>
  <c r="C331" i="10"/>
  <c r="W21" i="4" s="1"/>
  <c r="D330" i="10"/>
  <c r="X20" i="4" s="1"/>
  <c r="D50" i="11"/>
  <c r="C50" i="11"/>
  <c r="C19" i="8"/>
  <c r="C34" i="8"/>
  <c r="C40" i="8"/>
  <c r="D46" i="8"/>
  <c r="C50" i="8"/>
  <c r="C56" i="8"/>
  <c r="D62" i="8"/>
  <c r="C66" i="8"/>
  <c r="C72" i="8"/>
  <c r="D78" i="8"/>
  <c r="C82" i="8"/>
  <c r="C88" i="8"/>
  <c r="D94" i="8"/>
  <c r="C98" i="8"/>
  <c r="C104" i="8"/>
  <c r="D110" i="8"/>
  <c r="C114" i="8"/>
  <c r="C120" i="8"/>
  <c r="D126" i="8"/>
  <c r="C130" i="8"/>
  <c r="C136" i="8"/>
  <c r="D142" i="8"/>
  <c r="D158" i="8"/>
  <c r="C176" i="8"/>
  <c r="D176" i="8"/>
  <c r="C187" i="8"/>
  <c r="C208" i="8"/>
  <c r="D208" i="8"/>
  <c r="C219" i="8"/>
  <c r="C240" i="8"/>
  <c r="D240" i="8"/>
  <c r="C251" i="8"/>
  <c r="C272" i="8"/>
  <c r="D272" i="8"/>
  <c r="D291" i="8"/>
  <c r="D299" i="8"/>
  <c r="D307" i="8"/>
  <c r="D315" i="8"/>
  <c r="N5" i="4" s="1"/>
  <c r="D323" i="8"/>
  <c r="N13" i="4" s="1"/>
  <c r="D331" i="8"/>
  <c r="N21" i="4" s="1"/>
  <c r="D339" i="8"/>
  <c r="N29" i="4" s="1"/>
  <c r="D347" i="8"/>
  <c r="N37" i="4" s="1"/>
  <c r="D355" i="8"/>
  <c r="N45" i="4" s="1"/>
  <c r="D363" i="8"/>
  <c r="N53" i="4" s="1"/>
  <c r="D371" i="8"/>
  <c r="N61" i="4" s="1"/>
  <c r="C15" i="9"/>
  <c r="D36" i="9"/>
  <c r="D44" i="9"/>
  <c r="D52" i="9"/>
  <c r="D60" i="9"/>
  <c r="D68" i="9"/>
  <c r="D76" i="9"/>
  <c r="D84" i="9"/>
  <c r="D92" i="9"/>
  <c r="D100" i="9"/>
  <c r="D108" i="9"/>
  <c r="D116" i="9"/>
  <c r="D124" i="9"/>
  <c r="D132" i="9"/>
  <c r="D140" i="9"/>
  <c r="D148" i="9"/>
  <c r="D156" i="9"/>
  <c r="D164" i="9"/>
  <c r="D172" i="9"/>
  <c r="D180" i="9"/>
  <c r="D188" i="9"/>
  <c r="D196" i="9"/>
  <c r="D204" i="9"/>
  <c r="D212" i="9"/>
  <c r="D220" i="9"/>
  <c r="D228" i="9"/>
  <c r="D236" i="9"/>
  <c r="D244" i="9"/>
  <c r="D252" i="9"/>
  <c r="D260" i="9"/>
  <c r="D268" i="9"/>
  <c r="D276" i="9"/>
  <c r="D284" i="9"/>
  <c r="D292" i="9"/>
  <c r="D300" i="9"/>
  <c r="D308" i="9"/>
  <c r="D316" i="9"/>
  <c r="L6" i="4" s="1"/>
  <c r="D324" i="9"/>
  <c r="L14" i="4" s="1"/>
  <c r="D332" i="9"/>
  <c r="L22" i="4" s="1"/>
  <c r="D340" i="9"/>
  <c r="L30" i="4" s="1"/>
  <c r="D348" i="9"/>
  <c r="L38" i="4" s="1"/>
  <c r="D356" i="9"/>
  <c r="L46" i="4" s="1"/>
  <c r="D364" i="9"/>
  <c r="L54" i="4" s="1"/>
  <c r="D372" i="9"/>
  <c r="C25" i="10"/>
  <c r="C33" i="10"/>
  <c r="C41" i="10"/>
  <c r="C49" i="10"/>
  <c r="C57" i="10"/>
  <c r="C65" i="10"/>
  <c r="C73" i="10"/>
  <c r="C81" i="10"/>
  <c r="C89" i="10"/>
  <c r="C97" i="10"/>
  <c r="C105" i="10"/>
  <c r="C113" i="10"/>
  <c r="C121" i="10"/>
  <c r="C129" i="10"/>
  <c r="C137" i="10"/>
  <c r="C145" i="10"/>
  <c r="C150" i="10"/>
  <c r="D162" i="10"/>
  <c r="C174" i="10"/>
  <c r="C195" i="10"/>
  <c r="C194" i="10"/>
  <c r="D206" i="10"/>
  <c r="D262" i="10"/>
  <c r="D310" i="10"/>
  <c r="D27" i="11"/>
  <c r="C27" i="11"/>
  <c r="D39" i="11"/>
  <c r="C28" i="11"/>
  <c r="D19" i="8"/>
  <c r="C25" i="8"/>
  <c r="D31" i="8"/>
  <c r="D34" i="8"/>
  <c r="D50" i="8"/>
  <c r="D66" i="8"/>
  <c r="D82" i="8"/>
  <c r="D98" i="8"/>
  <c r="D114" i="8"/>
  <c r="D130" i="8"/>
  <c r="D146" i="8"/>
  <c r="D162" i="8"/>
  <c r="C183" i="8"/>
  <c r="D190" i="8"/>
  <c r="D194" i="8"/>
  <c r="C215" i="8"/>
  <c r="D222" i="8"/>
  <c r="D226" i="8"/>
  <c r="C247" i="8"/>
  <c r="D254" i="8"/>
  <c r="D258" i="8"/>
  <c r="C279" i="8"/>
  <c r="C287" i="8"/>
  <c r="C295" i="8"/>
  <c r="C303" i="8"/>
  <c r="C311" i="8"/>
  <c r="C319" i="8"/>
  <c r="M9" i="4" s="1"/>
  <c r="C327" i="8"/>
  <c r="M17" i="4" s="1"/>
  <c r="C335" i="8"/>
  <c r="M25" i="4" s="1"/>
  <c r="C343" i="8"/>
  <c r="M33" i="4" s="1"/>
  <c r="C351" i="8"/>
  <c r="M41" i="4" s="1"/>
  <c r="C359" i="8"/>
  <c r="M49" i="4" s="1"/>
  <c r="C367" i="8"/>
  <c r="M57" i="4" s="1"/>
  <c r="C10" i="9"/>
  <c r="C16" i="9"/>
  <c r="C24" i="9"/>
  <c r="C32" i="9"/>
  <c r="C40" i="9"/>
  <c r="C48" i="9"/>
  <c r="C56" i="9"/>
  <c r="C64" i="9"/>
  <c r="C72" i="9"/>
  <c r="C80" i="9"/>
  <c r="C88" i="9"/>
  <c r="C96" i="9"/>
  <c r="C104" i="9"/>
  <c r="C112" i="9"/>
  <c r="C120" i="9"/>
  <c r="C128" i="9"/>
  <c r="C136" i="9"/>
  <c r="C144" i="9"/>
  <c r="C152" i="9"/>
  <c r="C160" i="9"/>
  <c r="C168" i="9"/>
  <c r="C176" i="9"/>
  <c r="C184" i="9"/>
  <c r="C192" i="9"/>
  <c r="C200" i="9"/>
  <c r="C208" i="9"/>
  <c r="C216" i="9"/>
  <c r="C224" i="9"/>
  <c r="C232" i="9"/>
  <c r="C240" i="9"/>
  <c r="C248" i="9"/>
  <c r="C256" i="9"/>
  <c r="C264" i="9"/>
  <c r="C272" i="9"/>
  <c r="C280" i="9"/>
  <c r="C288" i="9"/>
  <c r="C296" i="9"/>
  <c r="C304" i="9"/>
  <c r="C312" i="9"/>
  <c r="C320" i="9"/>
  <c r="K10" i="4" s="1"/>
  <c r="C328" i="9"/>
  <c r="K18" i="4" s="1"/>
  <c r="C336" i="9"/>
  <c r="K26" i="4" s="1"/>
  <c r="C344" i="9"/>
  <c r="K34" i="4" s="1"/>
  <c r="C352" i="9"/>
  <c r="K42" i="4" s="1"/>
  <c r="C360" i="9"/>
  <c r="K50" i="4" s="1"/>
  <c r="C368" i="9"/>
  <c r="K58" i="4" s="1"/>
  <c r="C12" i="10"/>
  <c r="C22" i="10"/>
  <c r="C26" i="10"/>
  <c r="C30" i="10"/>
  <c r="C34" i="10"/>
  <c r="C38" i="10"/>
  <c r="C42" i="10"/>
  <c r="C46" i="10"/>
  <c r="C50" i="10"/>
  <c r="C54" i="10"/>
  <c r="C58" i="10"/>
  <c r="C62" i="10"/>
  <c r="C66" i="10"/>
  <c r="C70" i="10"/>
  <c r="C74" i="10"/>
  <c r="C78" i="10"/>
  <c r="C82" i="10"/>
  <c r="C86" i="10"/>
  <c r="C90" i="10"/>
  <c r="C94" i="10"/>
  <c r="C98" i="10"/>
  <c r="C102" i="10"/>
  <c r="C106" i="10"/>
  <c r="C110" i="10"/>
  <c r="C114" i="10"/>
  <c r="C118" i="10"/>
  <c r="C122" i="10"/>
  <c r="C126" i="10"/>
  <c r="C130" i="10"/>
  <c r="C134" i="10"/>
  <c r="C138" i="10"/>
  <c r="C142" i="10"/>
  <c r="C146" i="10"/>
  <c r="C159" i="10"/>
  <c r="C175" i="10"/>
  <c r="D185" i="10"/>
  <c r="D194" i="10"/>
  <c r="C206" i="10"/>
  <c r="D217" i="10"/>
  <c r="D226" i="10"/>
  <c r="C248" i="10"/>
  <c r="D248" i="10"/>
  <c r="C283" i="10"/>
  <c r="D58" i="11"/>
  <c r="C58" i="11"/>
  <c r="D280" i="8"/>
  <c r="D288" i="8"/>
  <c r="D296" i="8"/>
  <c r="D304" i="8"/>
  <c r="D312" i="8"/>
  <c r="D320" i="8"/>
  <c r="N10" i="4" s="1"/>
  <c r="D328" i="8"/>
  <c r="N18" i="4" s="1"/>
  <c r="D336" i="8"/>
  <c r="N26" i="4" s="1"/>
  <c r="D344" i="8"/>
  <c r="N34" i="4" s="1"/>
  <c r="D352" i="8"/>
  <c r="N42" i="4" s="1"/>
  <c r="D360" i="8"/>
  <c r="N50" i="4" s="1"/>
  <c r="D368" i="8"/>
  <c r="N58" i="4" s="1"/>
  <c r="D25" i="9"/>
  <c r="D33" i="9"/>
  <c r="D41" i="9"/>
  <c r="D49" i="9"/>
  <c r="D57" i="9"/>
  <c r="D65" i="9"/>
  <c r="D73" i="9"/>
  <c r="D81" i="9"/>
  <c r="D89" i="9"/>
  <c r="D97" i="9"/>
  <c r="D105" i="9"/>
  <c r="D113" i="9"/>
  <c r="D121" i="9"/>
  <c r="D129" i="9"/>
  <c r="D137" i="9"/>
  <c r="D145" i="9"/>
  <c r="D153" i="9"/>
  <c r="D161" i="9"/>
  <c r="D169" i="9"/>
  <c r="D177" i="9"/>
  <c r="D185" i="9"/>
  <c r="D193" i="9"/>
  <c r="D201" i="9"/>
  <c r="D209" i="9"/>
  <c r="D217" i="9"/>
  <c r="D225" i="9"/>
  <c r="D233" i="9"/>
  <c r="D241" i="9"/>
  <c r="D249" i="9"/>
  <c r="D257" i="9"/>
  <c r="D265" i="9"/>
  <c r="D273" i="9"/>
  <c r="D281" i="9"/>
  <c r="D289" i="9"/>
  <c r="D297" i="9"/>
  <c r="D305" i="9"/>
  <c r="D313" i="9"/>
  <c r="D321" i="9"/>
  <c r="L11" i="4" s="1"/>
  <c r="D329" i="9"/>
  <c r="L19" i="4" s="1"/>
  <c r="D337" i="9"/>
  <c r="L27" i="4" s="1"/>
  <c r="D345" i="9"/>
  <c r="L35" i="4" s="1"/>
  <c r="D353" i="9"/>
  <c r="L43" i="4" s="1"/>
  <c r="D361" i="9"/>
  <c r="L51" i="4" s="1"/>
  <c r="D369" i="9"/>
  <c r="L59" i="4" s="1"/>
  <c r="D26" i="10"/>
  <c r="D34" i="10"/>
  <c r="D42" i="10"/>
  <c r="D50" i="10"/>
  <c r="D58" i="10"/>
  <c r="D66" i="10"/>
  <c r="D74" i="10"/>
  <c r="D82" i="10"/>
  <c r="D90" i="10"/>
  <c r="D98" i="10"/>
  <c r="D106" i="10"/>
  <c r="D114" i="10"/>
  <c r="D122" i="10"/>
  <c r="D130" i="10"/>
  <c r="D138" i="10"/>
  <c r="D146" i="10"/>
  <c r="D172" i="10"/>
  <c r="D175" i="10"/>
  <c r="D178" i="10"/>
  <c r="C181" i="10"/>
  <c r="D204" i="10"/>
  <c r="D207" i="10"/>
  <c r="D210" i="10"/>
  <c r="C213" i="10"/>
  <c r="D236" i="10"/>
  <c r="C240" i="10"/>
  <c r="D249" i="10"/>
  <c r="D252" i="10"/>
  <c r="C256" i="10"/>
  <c r="D265" i="10"/>
  <c r="D268" i="10"/>
  <c r="C272" i="10"/>
  <c r="D281" i="10"/>
  <c r="D284" i="10"/>
  <c r="C288" i="10"/>
  <c r="D297" i="10"/>
  <c r="D300" i="10"/>
  <c r="C304" i="10"/>
  <c r="D313" i="10"/>
  <c r="D316" i="10"/>
  <c r="X6" i="4" s="1"/>
  <c r="C320" i="10"/>
  <c r="W10" i="4" s="1"/>
  <c r="D329" i="10"/>
  <c r="X19" i="4" s="1"/>
  <c r="D332" i="10"/>
  <c r="X22" i="4" s="1"/>
  <c r="C336" i="10"/>
  <c r="W26" i="4" s="1"/>
  <c r="D342" i="10"/>
  <c r="X32" i="4" s="1"/>
  <c r="D346" i="10"/>
  <c r="X36" i="4" s="1"/>
  <c r="C346" i="10"/>
  <c r="W36" i="4" s="1"/>
  <c r="D356" i="10"/>
  <c r="X46" i="4" s="1"/>
  <c r="D360" i="10"/>
  <c r="X50" i="4" s="1"/>
  <c r="C367" i="10"/>
  <c r="W57" i="4" s="1"/>
  <c r="D26" i="11"/>
  <c r="D30" i="11"/>
  <c r="C41" i="11"/>
  <c r="C49" i="11"/>
  <c r="C57" i="11"/>
  <c r="C65" i="11"/>
  <c r="C73" i="11"/>
  <c r="C81" i="11"/>
  <c r="C89" i="11"/>
  <c r="C97" i="11"/>
  <c r="C105" i="11"/>
  <c r="C113" i="11"/>
  <c r="C121" i="11"/>
  <c r="C129" i="11"/>
  <c r="C137" i="11"/>
  <c r="C145" i="11"/>
  <c r="C153" i="11"/>
  <c r="C161" i="11"/>
  <c r="C169" i="11"/>
  <c r="C177" i="11"/>
  <c r="C185" i="11"/>
  <c r="C193" i="11"/>
  <c r="C201" i="11"/>
  <c r="C209" i="11"/>
  <c r="C217" i="11"/>
  <c r="C225" i="11"/>
  <c r="C233" i="11"/>
  <c r="C241" i="11"/>
  <c r="C249" i="11"/>
  <c r="C257" i="11"/>
  <c r="C265" i="11"/>
  <c r="C273" i="11"/>
  <c r="C305" i="11"/>
  <c r="D363" i="11"/>
  <c r="AF53" i="4" s="1"/>
  <c r="D39" i="12"/>
  <c r="D27" i="12"/>
  <c r="D59" i="12"/>
  <c r="D71" i="12"/>
  <c r="C59" i="12"/>
  <c r="C121" i="12"/>
  <c r="C120" i="12"/>
  <c r="D160" i="12"/>
  <c r="C160" i="12"/>
  <c r="C161" i="12"/>
  <c r="C180" i="12"/>
  <c r="D180" i="12"/>
  <c r="D195" i="12"/>
  <c r="D207" i="12"/>
  <c r="C195" i="12"/>
  <c r="C206" i="12"/>
  <c r="C207" i="12"/>
  <c r="D206" i="12"/>
  <c r="D218" i="12"/>
  <c r="C252" i="12"/>
  <c r="D252" i="12"/>
  <c r="C253" i="12"/>
  <c r="D264" i="12"/>
  <c r="D326" i="11"/>
  <c r="AF16" i="4" s="1"/>
  <c r="D314" i="11"/>
  <c r="AF4" i="4" s="1"/>
  <c r="C314" i="11"/>
  <c r="AE4" i="4" s="1"/>
  <c r="D349" i="11"/>
  <c r="AF39" i="4" s="1"/>
  <c r="C349" i="11"/>
  <c r="AE39" i="4" s="1"/>
  <c r="C350" i="11"/>
  <c r="AE40" i="4" s="1"/>
  <c r="D360" i="11"/>
  <c r="AF50" i="4" s="1"/>
  <c r="C361" i="11"/>
  <c r="AE51" i="4" s="1"/>
  <c r="D372" i="11"/>
  <c r="C36" i="12"/>
  <c r="D36" i="12"/>
  <c r="C46" i="12"/>
  <c r="C47" i="12"/>
  <c r="D46" i="12"/>
  <c r="C60" i="12"/>
  <c r="D60" i="12"/>
  <c r="C61" i="12"/>
  <c r="D72" i="12"/>
  <c r="C70" i="12"/>
  <c r="C71" i="12"/>
  <c r="D82" i="12"/>
  <c r="D70" i="12"/>
  <c r="D155" i="12"/>
  <c r="D167" i="12"/>
  <c r="C155" i="12"/>
  <c r="C238" i="12"/>
  <c r="C239" i="12"/>
  <c r="D238" i="12"/>
  <c r="D250" i="12"/>
  <c r="C284" i="12"/>
  <c r="D284" i="12"/>
  <c r="C285" i="12"/>
  <c r="D296" i="12"/>
  <c r="D354" i="10"/>
  <c r="X44" i="4" s="1"/>
  <c r="C354" i="10"/>
  <c r="W44" i="4" s="1"/>
  <c r="C16" i="11"/>
  <c r="D54" i="11"/>
  <c r="D62" i="11"/>
  <c r="D70" i="11"/>
  <c r="D78" i="11"/>
  <c r="C82" i="11"/>
  <c r="D86" i="11"/>
  <c r="C90" i="11"/>
  <c r="D94" i="11"/>
  <c r="C98" i="11"/>
  <c r="D102" i="11"/>
  <c r="C106" i="11"/>
  <c r="D110" i="11"/>
  <c r="C114" i="11"/>
  <c r="D118" i="11"/>
  <c r="C122" i="11"/>
  <c r="D126" i="11"/>
  <c r="C130" i="11"/>
  <c r="D134" i="11"/>
  <c r="C138" i="11"/>
  <c r="D142" i="11"/>
  <c r="C146" i="11"/>
  <c r="D150" i="11"/>
  <c r="C154" i="11"/>
  <c r="D158" i="11"/>
  <c r="C162" i="11"/>
  <c r="D166" i="11"/>
  <c r="C170" i="11"/>
  <c r="D174" i="11"/>
  <c r="C178" i="11"/>
  <c r="D182" i="11"/>
  <c r="C186" i="11"/>
  <c r="D190" i="11"/>
  <c r="C194" i="11"/>
  <c r="D198" i="11"/>
  <c r="C202" i="11"/>
  <c r="D206" i="11"/>
  <c r="C210" i="11"/>
  <c r="D214" i="11"/>
  <c r="C218" i="11"/>
  <c r="D222" i="11"/>
  <c r="C226" i="11"/>
  <c r="D230" i="11"/>
  <c r="C234" i="11"/>
  <c r="D238" i="11"/>
  <c r="C242" i="11"/>
  <c r="D246" i="11"/>
  <c r="C250" i="11"/>
  <c r="D254" i="11"/>
  <c r="C258" i="11"/>
  <c r="D262" i="11"/>
  <c r="C266" i="11"/>
  <c r="D270" i="11"/>
  <c r="C274" i="11"/>
  <c r="D278" i="11"/>
  <c r="C282" i="11"/>
  <c r="D286" i="11"/>
  <c r="C290" i="11"/>
  <c r="C322" i="11"/>
  <c r="AE12" i="4" s="1"/>
  <c r="C337" i="11"/>
  <c r="AE27" i="4" s="1"/>
  <c r="C360" i="11"/>
  <c r="AE50" i="4" s="1"/>
  <c r="C57" i="12"/>
  <c r="C56" i="12"/>
  <c r="D96" i="12"/>
  <c r="C96" i="12"/>
  <c r="C97" i="12"/>
  <c r="C116" i="12"/>
  <c r="D116" i="12"/>
  <c r="D131" i="12"/>
  <c r="D143" i="12"/>
  <c r="C131" i="12"/>
  <c r="C142" i="12"/>
  <c r="C143" i="12"/>
  <c r="D142" i="12"/>
  <c r="C156" i="12"/>
  <c r="D156" i="12"/>
  <c r="C157" i="12"/>
  <c r="D168" i="12"/>
  <c r="C166" i="12"/>
  <c r="C167" i="12"/>
  <c r="D178" i="12"/>
  <c r="D166" i="12"/>
  <c r="D227" i="12"/>
  <c r="D239" i="12"/>
  <c r="C227" i="12"/>
  <c r="C270" i="12"/>
  <c r="C271" i="12"/>
  <c r="D270" i="12"/>
  <c r="D282" i="12"/>
  <c r="D197" i="10"/>
  <c r="C223" i="10"/>
  <c r="C226" i="10"/>
  <c r="D229" i="10"/>
  <c r="C244" i="10"/>
  <c r="C247" i="10"/>
  <c r="C260" i="10"/>
  <c r="C263" i="10"/>
  <c r="C344" i="10"/>
  <c r="W34" i="4" s="1"/>
  <c r="C11" i="11"/>
  <c r="D35" i="11"/>
  <c r="C35" i="11"/>
  <c r="D282" i="11"/>
  <c r="D290" i="11"/>
  <c r="C319" i="11"/>
  <c r="AE9" i="4" s="1"/>
  <c r="D322" i="11"/>
  <c r="AF12" i="4" s="1"/>
  <c r="C338" i="11"/>
  <c r="AE28" i="4" s="1"/>
  <c r="D358" i="11"/>
  <c r="AF48" i="4" s="1"/>
  <c r="D346" i="11"/>
  <c r="AF36" i="4" s="1"/>
  <c r="C346" i="11"/>
  <c r="AE36" i="4" s="1"/>
  <c r="C357" i="11"/>
  <c r="AE47" i="4" s="1"/>
  <c r="D361" i="11"/>
  <c r="AF51" i="4" s="1"/>
  <c r="D369" i="11"/>
  <c r="AF59" i="4" s="1"/>
  <c r="C24" i="12"/>
  <c r="C32" i="12"/>
  <c r="D56" i="12"/>
  <c r="C77" i="12"/>
  <c r="D91" i="12"/>
  <c r="D103" i="12"/>
  <c r="C91" i="12"/>
  <c r="C153" i="12"/>
  <c r="C152" i="12"/>
  <c r="D192" i="12"/>
  <c r="C192" i="12"/>
  <c r="C193" i="12"/>
  <c r="C212" i="12"/>
  <c r="D212" i="12"/>
  <c r="D259" i="12"/>
  <c r="D271" i="12"/>
  <c r="C259" i="12"/>
  <c r="D308" i="10"/>
  <c r="D324" i="10"/>
  <c r="X14" i="4" s="1"/>
  <c r="D340" i="10"/>
  <c r="X30" i="4" s="1"/>
  <c r="D362" i="10"/>
  <c r="X52" i="4" s="1"/>
  <c r="C362" i="10"/>
  <c r="W52" i="4" s="1"/>
  <c r="D43" i="11"/>
  <c r="C43" i="11"/>
  <c r="C44" i="11"/>
  <c r="D51" i="11"/>
  <c r="C51" i="11"/>
  <c r="C52" i="11"/>
  <c r="D59" i="11"/>
  <c r="C59" i="11"/>
  <c r="C60" i="11"/>
  <c r="D67" i="11"/>
  <c r="C67" i="11"/>
  <c r="C68" i="11"/>
  <c r="D75" i="11"/>
  <c r="C75" i="11"/>
  <c r="C76" i="11"/>
  <c r="D83" i="11"/>
  <c r="C83" i="11"/>
  <c r="C84" i="11"/>
  <c r="D91" i="11"/>
  <c r="C91" i="11"/>
  <c r="C92" i="11"/>
  <c r="D99" i="11"/>
  <c r="C99" i="11"/>
  <c r="C100" i="11"/>
  <c r="D107" i="11"/>
  <c r="C107" i="11"/>
  <c r="C108" i="11"/>
  <c r="D115" i="11"/>
  <c r="C115" i="11"/>
  <c r="C116" i="11"/>
  <c r="D123" i="11"/>
  <c r="C123" i="11"/>
  <c r="C124" i="11"/>
  <c r="D131" i="11"/>
  <c r="C131" i="11"/>
  <c r="C132" i="11"/>
  <c r="D139" i="11"/>
  <c r="C139" i="11"/>
  <c r="C140" i="11"/>
  <c r="D147" i="11"/>
  <c r="C147" i="11"/>
  <c r="C148" i="11"/>
  <c r="D155" i="11"/>
  <c r="C155" i="11"/>
  <c r="C156" i="11"/>
  <c r="D163" i="11"/>
  <c r="C163" i="11"/>
  <c r="C164" i="11"/>
  <c r="D171" i="11"/>
  <c r="C171" i="11"/>
  <c r="C172" i="11"/>
  <c r="D179" i="11"/>
  <c r="C179" i="11"/>
  <c r="C180" i="11"/>
  <c r="D187" i="11"/>
  <c r="C187" i="11"/>
  <c r="C188" i="11"/>
  <c r="D195" i="11"/>
  <c r="C195" i="11"/>
  <c r="C196" i="11"/>
  <c r="D203" i="11"/>
  <c r="C203" i="11"/>
  <c r="C204" i="11"/>
  <c r="D211" i="11"/>
  <c r="C211" i="11"/>
  <c r="C212" i="11"/>
  <c r="D219" i="11"/>
  <c r="C219" i="11"/>
  <c r="C220" i="11"/>
  <c r="D227" i="11"/>
  <c r="C227" i="11"/>
  <c r="C228" i="11"/>
  <c r="D235" i="11"/>
  <c r="C235" i="11"/>
  <c r="C236" i="11"/>
  <c r="D243" i="11"/>
  <c r="C243" i="11"/>
  <c r="C244" i="11"/>
  <c r="D251" i="11"/>
  <c r="C251" i="11"/>
  <c r="C252" i="11"/>
  <c r="D259" i="11"/>
  <c r="C259" i="11"/>
  <c r="C260" i="11"/>
  <c r="D267" i="11"/>
  <c r="C267" i="11"/>
  <c r="C268" i="11"/>
  <c r="D275" i="11"/>
  <c r="C275" i="11"/>
  <c r="C276" i="11"/>
  <c r="D283" i="11"/>
  <c r="C283" i="11"/>
  <c r="C284" i="11"/>
  <c r="D291" i="11"/>
  <c r="C291" i="11"/>
  <c r="D303" i="11"/>
  <c r="C292" i="11"/>
  <c r="C299" i="11"/>
  <c r="C300" i="11"/>
  <c r="D307" i="11"/>
  <c r="D323" i="11"/>
  <c r="AF13" i="4" s="1"/>
  <c r="D311" i="11"/>
  <c r="C311" i="11"/>
  <c r="C312" i="11"/>
  <c r="D319" i="11"/>
  <c r="AF9" i="4" s="1"/>
  <c r="C354" i="11"/>
  <c r="AE44" i="4" s="1"/>
  <c r="D357" i="11"/>
  <c r="AF47" i="4" s="1"/>
  <c r="C369" i="11"/>
  <c r="AE59" i="4" s="1"/>
  <c r="C21" i="12"/>
  <c r="D33" i="12"/>
  <c r="C33" i="12"/>
  <c r="C39" i="12"/>
  <c r="D50" i="12"/>
  <c r="D38" i="12"/>
  <c r="C42" i="12"/>
  <c r="C52" i="12"/>
  <c r="D52" i="12"/>
  <c r="D67" i="12"/>
  <c r="D79" i="12"/>
  <c r="C67" i="12"/>
  <c r="C78" i="12"/>
  <c r="C79" i="12"/>
  <c r="D78" i="12"/>
  <c r="C92" i="12"/>
  <c r="D92" i="12"/>
  <c r="C93" i="12"/>
  <c r="D104" i="12"/>
  <c r="C102" i="12"/>
  <c r="C103" i="12"/>
  <c r="D114" i="12"/>
  <c r="D102" i="12"/>
  <c r="C117" i="12"/>
  <c r="D152" i="12"/>
  <c r="C173" i="12"/>
  <c r="D187" i="12"/>
  <c r="D199" i="12"/>
  <c r="C187" i="12"/>
  <c r="D157" i="10"/>
  <c r="C160" i="10"/>
  <c r="D189" i="10"/>
  <c r="C192" i="10"/>
  <c r="D221" i="10"/>
  <c r="C224" i="10"/>
  <c r="C242" i="10"/>
  <c r="D245" i="10"/>
  <c r="D251" i="10"/>
  <c r="C258" i="10"/>
  <c r="D261" i="10"/>
  <c r="D267" i="10"/>
  <c r="C274" i="10"/>
  <c r="D277" i="10"/>
  <c r="D283" i="10"/>
  <c r="C290" i="10"/>
  <c r="D293" i="10"/>
  <c r="D296" i="10"/>
  <c r="D299" i="10"/>
  <c r="C306" i="10"/>
  <c r="D309" i="10"/>
  <c r="D312" i="10"/>
  <c r="D315" i="10"/>
  <c r="X5" i="4" s="1"/>
  <c r="C322" i="10"/>
  <c r="W12" i="4" s="1"/>
  <c r="D325" i="10"/>
  <c r="X15" i="4" s="1"/>
  <c r="D328" i="10"/>
  <c r="X18" i="4" s="1"/>
  <c r="D331" i="10"/>
  <c r="X21" i="4" s="1"/>
  <c r="C338" i="10"/>
  <c r="W28" i="4" s="1"/>
  <c r="D341" i="10"/>
  <c r="X31" i="4" s="1"/>
  <c r="C348" i="10"/>
  <c r="W38" i="4" s="1"/>
  <c r="C352" i="10"/>
  <c r="W42" i="4" s="1"/>
  <c r="C366" i="10"/>
  <c r="W56" i="4" s="1"/>
  <c r="D21" i="11"/>
  <c r="C30" i="11"/>
  <c r="D41" i="11"/>
  <c r="C32" i="11"/>
  <c r="C36" i="11"/>
  <c r="D47" i="11"/>
  <c r="D55" i="11"/>
  <c r="D63" i="11"/>
  <c r="D71" i="11"/>
  <c r="D79" i="11"/>
  <c r="D87" i="11"/>
  <c r="D95" i="11"/>
  <c r="D103" i="11"/>
  <c r="D111" i="11"/>
  <c r="D119" i="11"/>
  <c r="D127" i="11"/>
  <c r="D135" i="11"/>
  <c r="D143" i="11"/>
  <c r="D151" i="11"/>
  <c r="D159" i="11"/>
  <c r="D167" i="11"/>
  <c r="D175" i="11"/>
  <c r="D183" i="11"/>
  <c r="D191" i="11"/>
  <c r="D199" i="11"/>
  <c r="D207" i="11"/>
  <c r="D215" i="11"/>
  <c r="D223" i="11"/>
  <c r="D231" i="11"/>
  <c r="D239" i="11"/>
  <c r="D247" i="11"/>
  <c r="D255" i="11"/>
  <c r="D263" i="11"/>
  <c r="D271" i="11"/>
  <c r="D279" i="11"/>
  <c r="D287" i="11"/>
  <c r="D295" i="11"/>
  <c r="D299" i="11"/>
  <c r="C316" i="11"/>
  <c r="AE6" i="4" s="1"/>
  <c r="C331" i="11"/>
  <c r="AE21" i="4" s="1"/>
  <c r="C332" i="11"/>
  <c r="AE22" i="4" s="1"/>
  <c r="C351" i="11"/>
  <c r="AE41" i="4" s="1"/>
  <c r="D354" i="11"/>
  <c r="AF44" i="4" s="1"/>
  <c r="C370" i="11"/>
  <c r="AE60" i="4" s="1"/>
  <c r="D21" i="12"/>
  <c r="C34" i="12"/>
  <c r="C38" i="12"/>
  <c r="D48" i="12"/>
  <c r="D53" i="12"/>
  <c r="C89" i="12"/>
  <c r="C88" i="12"/>
  <c r="D128" i="12"/>
  <c r="C128" i="12"/>
  <c r="C129" i="12"/>
  <c r="C148" i="12"/>
  <c r="D148" i="12"/>
  <c r="D163" i="12"/>
  <c r="D175" i="12"/>
  <c r="C163" i="12"/>
  <c r="C174" i="12"/>
  <c r="C175" i="12"/>
  <c r="D174" i="12"/>
  <c r="C188" i="12"/>
  <c r="D188" i="12"/>
  <c r="C189" i="12"/>
  <c r="D200" i="12"/>
  <c r="C198" i="12"/>
  <c r="C199" i="12"/>
  <c r="D210" i="12"/>
  <c r="D198" i="12"/>
  <c r="C213" i="12"/>
  <c r="D224" i="12"/>
  <c r="C224" i="12"/>
  <c r="C225" i="12"/>
  <c r="C198" i="10"/>
  <c r="C201" i="10"/>
  <c r="C230" i="10"/>
  <c r="C233" i="10"/>
  <c r="D348" i="10"/>
  <c r="X38" i="4" s="1"/>
  <c r="D352" i="10"/>
  <c r="X42" i="4" s="1"/>
  <c r="C363" i="10"/>
  <c r="W53" i="4" s="1"/>
  <c r="D370" i="10"/>
  <c r="X60" i="4" s="1"/>
  <c r="C370" i="10"/>
  <c r="W60" i="4" s="1"/>
  <c r="C18" i="11"/>
  <c r="D22" i="11"/>
  <c r="C33" i="11"/>
  <c r="D36" i="11"/>
  <c r="D44" i="11"/>
  <c r="D52" i="11"/>
  <c r="D60" i="11"/>
  <c r="D68" i="11"/>
  <c r="D76" i="11"/>
  <c r="D84" i="11"/>
  <c r="D92" i="11"/>
  <c r="D100" i="11"/>
  <c r="D108" i="11"/>
  <c r="D116" i="11"/>
  <c r="D124" i="11"/>
  <c r="D132" i="11"/>
  <c r="D140" i="11"/>
  <c r="D148" i="11"/>
  <c r="D156" i="11"/>
  <c r="D164" i="11"/>
  <c r="D172" i="11"/>
  <c r="D180" i="11"/>
  <c r="D188" i="11"/>
  <c r="D196" i="11"/>
  <c r="D204" i="11"/>
  <c r="D212" i="11"/>
  <c r="D220" i="11"/>
  <c r="D228" i="11"/>
  <c r="D236" i="11"/>
  <c r="D244" i="11"/>
  <c r="D252" i="11"/>
  <c r="D260" i="11"/>
  <c r="D268" i="11"/>
  <c r="D276" i="11"/>
  <c r="D284" i="11"/>
  <c r="D292" i="11"/>
  <c r="D296" i="11"/>
  <c r="C297" i="11"/>
  <c r="D300" i="11"/>
  <c r="C304" i="11"/>
  <c r="C308" i="11"/>
  <c r="D331" i="11"/>
  <c r="AF21" i="4" s="1"/>
  <c r="D339" i="11"/>
  <c r="AF29" i="4" s="1"/>
  <c r="D355" i="11"/>
  <c r="AF45" i="4" s="1"/>
  <c r="D343" i="11"/>
  <c r="AF33" i="4" s="1"/>
  <c r="C343" i="11"/>
  <c r="AE33" i="4" s="1"/>
  <c r="C344" i="11"/>
  <c r="AE34" i="4" s="1"/>
  <c r="D351" i="11"/>
  <c r="AF41" i="4" s="1"/>
  <c r="D22" i="12"/>
  <c r="C53" i="12"/>
  <c r="D88" i="12"/>
  <c r="C109" i="12"/>
  <c r="D123" i="12"/>
  <c r="D135" i="12"/>
  <c r="C123" i="12"/>
  <c r="C185" i="12"/>
  <c r="C184" i="12"/>
  <c r="D256" i="12"/>
  <c r="C256" i="12"/>
  <c r="C257" i="12"/>
  <c r="D149" i="10"/>
  <c r="C152" i="10"/>
  <c r="C184" i="10"/>
  <c r="C216" i="10"/>
  <c r="C239" i="10"/>
  <c r="C255" i="10"/>
  <c r="C271" i="10"/>
  <c r="C287" i="10"/>
  <c r="C303" i="10"/>
  <c r="C319" i="10"/>
  <c r="W9" i="4" s="1"/>
  <c r="C335" i="10"/>
  <c r="W25" i="4" s="1"/>
  <c r="D349" i="10"/>
  <c r="X39" i="4" s="1"/>
  <c r="C356" i="10"/>
  <c r="W46" i="4" s="1"/>
  <c r="D363" i="10"/>
  <c r="X53" i="4" s="1"/>
  <c r="D19" i="11"/>
  <c r="C19" i="11"/>
  <c r="D33" i="11"/>
  <c r="C38" i="11"/>
  <c r="D49" i="11"/>
  <c r="C40" i="11"/>
  <c r="C46" i="11"/>
  <c r="D57" i="11"/>
  <c r="C48" i="11"/>
  <c r="C54" i="11"/>
  <c r="D65" i="11"/>
  <c r="C56" i="11"/>
  <c r="C62" i="11"/>
  <c r="D73" i="11"/>
  <c r="C64" i="11"/>
  <c r="C70" i="11"/>
  <c r="D81" i="11"/>
  <c r="C72" i="11"/>
  <c r="C78" i="11"/>
  <c r="D89" i="11"/>
  <c r="C80" i="11"/>
  <c r="C86" i="11"/>
  <c r="D97" i="11"/>
  <c r="C88" i="11"/>
  <c r="C94" i="11"/>
  <c r="D105" i="11"/>
  <c r="C96" i="11"/>
  <c r="C102" i="11"/>
  <c r="D113" i="11"/>
  <c r="C104" i="11"/>
  <c r="C110" i="11"/>
  <c r="D121" i="11"/>
  <c r="C112" i="11"/>
  <c r="C118" i="11"/>
  <c r="D129" i="11"/>
  <c r="C120" i="11"/>
  <c r="C126" i="11"/>
  <c r="D137" i="11"/>
  <c r="C128" i="11"/>
  <c r="C134" i="11"/>
  <c r="D145" i="11"/>
  <c r="C136" i="11"/>
  <c r="C142" i="11"/>
  <c r="D153" i="11"/>
  <c r="C144" i="11"/>
  <c r="C150" i="11"/>
  <c r="D161" i="11"/>
  <c r="C152" i="11"/>
  <c r="C158" i="11"/>
  <c r="D169" i="11"/>
  <c r="C160" i="11"/>
  <c r="C166" i="11"/>
  <c r="D177" i="11"/>
  <c r="C168" i="11"/>
  <c r="C174" i="11"/>
  <c r="D185" i="11"/>
  <c r="C176" i="11"/>
  <c r="C182" i="11"/>
  <c r="D193" i="11"/>
  <c r="C184" i="11"/>
  <c r="C190" i="11"/>
  <c r="D201" i="11"/>
  <c r="C192" i="11"/>
  <c r="C198" i="11"/>
  <c r="D209" i="11"/>
  <c r="C200" i="11"/>
  <c r="C206" i="11"/>
  <c r="D217" i="11"/>
  <c r="C208" i="11"/>
  <c r="C214" i="11"/>
  <c r="D225" i="11"/>
  <c r="C216" i="11"/>
  <c r="C222" i="11"/>
  <c r="D233" i="11"/>
  <c r="C224" i="11"/>
  <c r="C230" i="11"/>
  <c r="D241" i="11"/>
  <c r="C232" i="11"/>
  <c r="C238" i="11"/>
  <c r="D249" i="11"/>
  <c r="C240" i="11"/>
  <c r="C246" i="11"/>
  <c r="D257" i="11"/>
  <c r="C248" i="11"/>
  <c r="C254" i="11"/>
  <c r="D265" i="11"/>
  <c r="C256" i="11"/>
  <c r="C262" i="11"/>
  <c r="D273" i="11"/>
  <c r="C264" i="11"/>
  <c r="C270" i="11"/>
  <c r="D281" i="11"/>
  <c r="C272" i="11"/>
  <c r="C278" i="11"/>
  <c r="D289" i="11"/>
  <c r="C280" i="11"/>
  <c r="C288" i="11"/>
  <c r="C296" i="11"/>
  <c r="D305" i="11"/>
  <c r="C309" i="11"/>
  <c r="D317" i="11"/>
  <c r="AF7" i="4" s="1"/>
  <c r="C317" i="11"/>
  <c r="AE7" i="4" s="1"/>
  <c r="C318" i="11"/>
  <c r="AE8" i="4" s="1"/>
  <c r="D328" i="11"/>
  <c r="AF18" i="4" s="1"/>
  <c r="C329" i="11"/>
  <c r="AE19" i="4" s="1"/>
  <c r="D340" i="11"/>
  <c r="AF30" i="4" s="1"/>
  <c r="C363" i="11"/>
  <c r="AE53" i="4" s="1"/>
  <c r="C364" i="11"/>
  <c r="AE54" i="4" s="1"/>
  <c r="C18" i="12"/>
  <c r="D26" i="12"/>
  <c r="D47" i="12"/>
  <c r="D35" i="12"/>
  <c r="D45" i="12"/>
  <c r="D58" i="12"/>
  <c r="D64" i="12"/>
  <c r="C64" i="12"/>
  <c r="C65" i="12"/>
  <c r="C84" i="12"/>
  <c r="D84" i="12"/>
  <c r="D99" i="12"/>
  <c r="D111" i="12"/>
  <c r="C99" i="12"/>
  <c r="C110" i="12"/>
  <c r="C111" i="12"/>
  <c r="D110" i="12"/>
  <c r="C124" i="12"/>
  <c r="D124" i="12"/>
  <c r="C125" i="12"/>
  <c r="D136" i="12"/>
  <c r="C134" i="12"/>
  <c r="C135" i="12"/>
  <c r="D146" i="12"/>
  <c r="D134" i="12"/>
  <c r="C149" i="12"/>
  <c r="D184" i="12"/>
  <c r="C220" i="12"/>
  <c r="D220" i="12"/>
  <c r="C221" i="12"/>
  <c r="D232" i="12"/>
  <c r="C44" i="12"/>
  <c r="D44" i="12"/>
  <c r="C62" i="12"/>
  <c r="C63" i="12"/>
  <c r="C76" i="12"/>
  <c r="D76" i="12"/>
  <c r="C94" i="12"/>
  <c r="C95" i="12"/>
  <c r="C108" i="12"/>
  <c r="D108" i="12"/>
  <c r="C126" i="12"/>
  <c r="C127" i="12"/>
  <c r="C140" i="12"/>
  <c r="D140" i="12"/>
  <c r="C158" i="12"/>
  <c r="C159" i="12"/>
  <c r="C172" i="12"/>
  <c r="D172" i="12"/>
  <c r="C190" i="12"/>
  <c r="C191" i="12"/>
  <c r="C204" i="12"/>
  <c r="D204" i="12"/>
  <c r="C222" i="12"/>
  <c r="C223" i="12"/>
  <c r="C236" i="12"/>
  <c r="D236" i="12"/>
  <c r="C254" i="12"/>
  <c r="C255" i="12"/>
  <c r="C268" i="12"/>
  <c r="D268" i="12"/>
  <c r="C286" i="12"/>
  <c r="C287" i="12"/>
  <c r="C289" i="12"/>
  <c r="C300" i="12"/>
  <c r="D300" i="12"/>
  <c r="C318" i="12"/>
  <c r="Q8" i="4" s="1"/>
  <c r="C319" i="12"/>
  <c r="Q9" i="4" s="1"/>
  <c r="C321" i="12"/>
  <c r="Q11" i="4" s="1"/>
  <c r="D25" i="13"/>
  <c r="D121" i="13"/>
  <c r="D109" i="13"/>
  <c r="D158" i="13"/>
  <c r="C267" i="13"/>
  <c r="D266" i="13"/>
  <c r="C266" i="13"/>
  <c r="D272" i="13"/>
  <c r="C272" i="13"/>
  <c r="C273" i="13"/>
  <c r="D284" i="13"/>
  <c r="C331" i="13"/>
  <c r="O21" i="4" s="1"/>
  <c r="D330" i="13"/>
  <c r="P20" i="4" s="1"/>
  <c r="C330" i="13"/>
  <c r="O20" i="4" s="1"/>
  <c r="D336" i="13"/>
  <c r="P26" i="4" s="1"/>
  <c r="C336" i="13"/>
  <c r="O26" i="4" s="1"/>
  <c r="C337" i="13"/>
  <c r="O27" i="4" s="1"/>
  <c r="D348" i="13"/>
  <c r="P38" i="4" s="1"/>
  <c r="D33" i="14"/>
  <c r="C33" i="14"/>
  <c r="C34" i="14"/>
  <c r="D45" i="14"/>
  <c r="C92" i="14"/>
  <c r="D91" i="14"/>
  <c r="C91" i="14"/>
  <c r="D97" i="14"/>
  <c r="C97" i="14"/>
  <c r="C98" i="14"/>
  <c r="D109" i="14"/>
  <c r="D126" i="14"/>
  <c r="D138" i="14"/>
  <c r="C121" i="13"/>
  <c r="C120" i="13"/>
  <c r="D124" i="13"/>
  <c r="C124" i="13"/>
  <c r="C125" i="13"/>
  <c r="D136" i="13"/>
  <c r="C145" i="13"/>
  <c r="D144" i="13"/>
  <c r="D159" i="13"/>
  <c r="C159" i="13"/>
  <c r="C160" i="13"/>
  <c r="D196" i="13"/>
  <c r="C196" i="13"/>
  <c r="C197" i="13"/>
  <c r="C203" i="13"/>
  <c r="D202" i="13"/>
  <c r="C227" i="13"/>
  <c r="D226" i="13"/>
  <c r="C226" i="13"/>
  <c r="D232" i="13"/>
  <c r="C232" i="13"/>
  <c r="C233" i="13"/>
  <c r="D244" i="13"/>
  <c r="C291" i="13"/>
  <c r="D290" i="13"/>
  <c r="C290" i="13"/>
  <c r="D296" i="13"/>
  <c r="C296" i="13"/>
  <c r="C297" i="13"/>
  <c r="D308" i="13"/>
  <c r="C355" i="13"/>
  <c r="O45" i="4" s="1"/>
  <c r="D354" i="13"/>
  <c r="P44" i="4" s="1"/>
  <c r="C354" i="13"/>
  <c r="O44" i="4" s="1"/>
  <c r="D360" i="13"/>
  <c r="P50" i="4" s="1"/>
  <c r="C360" i="13"/>
  <c r="O50" i="4" s="1"/>
  <c r="C361" i="13"/>
  <c r="O51" i="4" s="1"/>
  <c r="D372" i="13"/>
  <c r="C52" i="14"/>
  <c r="D51" i="14"/>
  <c r="C51" i="14"/>
  <c r="D57" i="14"/>
  <c r="C57" i="14"/>
  <c r="C58" i="14"/>
  <c r="D69" i="14"/>
  <c r="C116" i="14"/>
  <c r="D115" i="14"/>
  <c r="C115" i="14"/>
  <c r="D121" i="14"/>
  <c r="C121" i="14"/>
  <c r="C122" i="14"/>
  <c r="D133" i="14"/>
  <c r="C140" i="14"/>
  <c r="D139" i="14"/>
  <c r="C139" i="14"/>
  <c r="D145" i="14"/>
  <c r="C145" i="14"/>
  <c r="C146" i="14"/>
  <c r="D157" i="14"/>
  <c r="C230" i="12"/>
  <c r="C231" i="12"/>
  <c r="C237" i="12"/>
  <c r="C244" i="12"/>
  <c r="D244" i="12"/>
  <c r="C262" i="12"/>
  <c r="C263" i="12"/>
  <c r="C269" i="12"/>
  <c r="C276" i="12"/>
  <c r="D276" i="12"/>
  <c r="C294" i="12"/>
  <c r="C295" i="12"/>
  <c r="C301" i="12"/>
  <c r="C308" i="12"/>
  <c r="D308" i="12"/>
  <c r="C326" i="12"/>
  <c r="Q16" i="4" s="1"/>
  <c r="C327" i="12"/>
  <c r="Q17" i="4" s="1"/>
  <c r="C333" i="12"/>
  <c r="Q23" i="4" s="1"/>
  <c r="C341" i="12"/>
  <c r="Q31" i="4" s="1"/>
  <c r="D345" i="12"/>
  <c r="R35" i="4" s="1"/>
  <c r="C349" i="12"/>
  <c r="Q39" i="4" s="1"/>
  <c r="D353" i="12"/>
  <c r="R43" i="4" s="1"/>
  <c r="C357" i="12"/>
  <c r="Q47" i="4" s="1"/>
  <c r="D361" i="12"/>
  <c r="R51" i="4" s="1"/>
  <c r="C365" i="12"/>
  <c r="Q55" i="4" s="1"/>
  <c r="D369" i="12"/>
  <c r="R59" i="4" s="1"/>
  <c r="D114" i="13"/>
  <c r="D120" i="13"/>
  <c r="D132" i="13"/>
  <c r="C144" i="13"/>
  <c r="C150" i="13"/>
  <c r="D150" i="13"/>
  <c r="D189" i="13"/>
  <c r="D201" i="13"/>
  <c r="C202" i="13"/>
  <c r="C251" i="13"/>
  <c r="D250" i="13"/>
  <c r="C250" i="13"/>
  <c r="D256" i="13"/>
  <c r="C256" i="13"/>
  <c r="C257" i="13"/>
  <c r="D268" i="13"/>
  <c r="C261" i="13"/>
  <c r="D273" i="13"/>
  <c r="C315" i="13"/>
  <c r="O5" i="4" s="1"/>
  <c r="D314" i="13"/>
  <c r="P4" i="4" s="1"/>
  <c r="C314" i="13"/>
  <c r="O4" i="4" s="1"/>
  <c r="D320" i="13"/>
  <c r="P10" i="4" s="1"/>
  <c r="C320" i="13"/>
  <c r="O10" i="4" s="1"/>
  <c r="C321" i="13"/>
  <c r="O11" i="4" s="1"/>
  <c r="D332" i="13"/>
  <c r="P22" i="4" s="1"/>
  <c r="C325" i="13"/>
  <c r="O15" i="4" s="1"/>
  <c r="D337" i="13"/>
  <c r="P27" i="4" s="1"/>
  <c r="C76" i="14"/>
  <c r="D75" i="14"/>
  <c r="C75" i="14"/>
  <c r="D81" i="14"/>
  <c r="C81" i="14"/>
  <c r="C82" i="14"/>
  <c r="D93" i="14"/>
  <c r="C86" i="14"/>
  <c r="D98" i="14"/>
  <c r="C216" i="12"/>
  <c r="C219" i="12"/>
  <c r="D230" i="12"/>
  <c r="C248" i="12"/>
  <c r="C251" i="12"/>
  <c r="D262" i="12"/>
  <c r="C280" i="12"/>
  <c r="C283" i="12"/>
  <c r="D294" i="12"/>
  <c r="C8" i="13"/>
  <c r="D23" i="13"/>
  <c r="C23" i="13"/>
  <c r="C24" i="13"/>
  <c r="D31" i="13"/>
  <c r="C31" i="13"/>
  <c r="C32" i="13"/>
  <c r="D39" i="13"/>
  <c r="C39" i="13"/>
  <c r="C40" i="13"/>
  <c r="D47" i="13"/>
  <c r="C47" i="13"/>
  <c r="C48" i="13"/>
  <c r="D55" i="13"/>
  <c r="C55" i="13"/>
  <c r="C56" i="13"/>
  <c r="D63" i="13"/>
  <c r="C63" i="13"/>
  <c r="C64" i="13"/>
  <c r="D71" i="13"/>
  <c r="C71" i="13"/>
  <c r="C72" i="13"/>
  <c r="D79" i="13"/>
  <c r="C79" i="13"/>
  <c r="C80" i="13"/>
  <c r="D87" i="13"/>
  <c r="C87" i="13"/>
  <c r="C88" i="13"/>
  <c r="D95" i="13"/>
  <c r="C95" i="13"/>
  <c r="C96" i="13"/>
  <c r="D115" i="13"/>
  <c r="C115" i="13"/>
  <c r="D153" i="13"/>
  <c r="D141" i="13"/>
  <c r="C198" i="13"/>
  <c r="D198" i="13"/>
  <c r="C275" i="13"/>
  <c r="D274" i="13"/>
  <c r="C274" i="13"/>
  <c r="D280" i="13"/>
  <c r="C280" i="13"/>
  <c r="C281" i="13"/>
  <c r="D292" i="13"/>
  <c r="C339" i="13"/>
  <c r="O29" i="4" s="1"/>
  <c r="D338" i="13"/>
  <c r="P28" i="4" s="1"/>
  <c r="C338" i="13"/>
  <c r="O28" i="4" s="1"/>
  <c r="D344" i="13"/>
  <c r="P34" i="4" s="1"/>
  <c r="C344" i="13"/>
  <c r="O34" i="4" s="1"/>
  <c r="C345" i="13"/>
  <c r="O35" i="4" s="1"/>
  <c r="D356" i="13"/>
  <c r="P46" i="4" s="1"/>
  <c r="C20" i="14"/>
  <c r="D19" i="14"/>
  <c r="C19" i="14"/>
  <c r="C36" i="14"/>
  <c r="D35" i="14"/>
  <c r="C35" i="14"/>
  <c r="D41" i="14"/>
  <c r="C41" i="14"/>
  <c r="C42" i="14"/>
  <c r="D53" i="14"/>
  <c r="C100" i="14"/>
  <c r="D99" i="14"/>
  <c r="C99" i="14"/>
  <c r="D105" i="14"/>
  <c r="C105" i="14"/>
  <c r="C106" i="14"/>
  <c r="D117" i="14"/>
  <c r="C148" i="14"/>
  <c r="D147" i="14"/>
  <c r="C147" i="14"/>
  <c r="D153" i="14"/>
  <c r="C153" i="14"/>
  <c r="C154" i="14"/>
  <c r="D165" i="14"/>
  <c r="C302" i="12"/>
  <c r="C303" i="12"/>
  <c r="C316" i="12"/>
  <c r="Q6" i="4" s="1"/>
  <c r="D316" i="12"/>
  <c r="R6" i="4" s="1"/>
  <c r="D334" i="12"/>
  <c r="R24" i="4" s="1"/>
  <c r="C334" i="12"/>
  <c r="Q24" i="4" s="1"/>
  <c r="C335" i="12"/>
  <c r="Q25" i="4" s="1"/>
  <c r="D342" i="12"/>
  <c r="R32" i="4" s="1"/>
  <c r="C342" i="12"/>
  <c r="Q32" i="4" s="1"/>
  <c r="C343" i="12"/>
  <c r="Q33" i="4" s="1"/>
  <c r="D350" i="12"/>
  <c r="R40" i="4" s="1"/>
  <c r="C350" i="12"/>
  <c r="Q40" i="4" s="1"/>
  <c r="C351" i="12"/>
  <c r="Q41" i="4" s="1"/>
  <c r="D358" i="12"/>
  <c r="R48" i="4" s="1"/>
  <c r="C358" i="12"/>
  <c r="Q48" i="4" s="1"/>
  <c r="C359" i="12"/>
  <c r="Q49" i="4" s="1"/>
  <c r="D366" i="12"/>
  <c r="R56" i="4" s="1"/>
  <c r="C366" i="12"/>
  <c r="Q56" i="4" s="1"/>
  <c r="C367" i="12"/>
  <c r="Q57" i="4" s="1"/>
  <c r="D35" i="13"/>
  <c r="D43" i="13"/>
  <c r="D51" i="13"/>
  <c r="D59" i="13"/>
  <c r="C153" i="13"/>
  <c r="C152" i="13"/>
  <c r="D156" i="13"/>
  <c r="C156" i="13"/>
  <c r="C157" i="13"/>
  <c r="D168" i="13"/>
  <c r="C235" i="13"/>
  <c r="D234" i="13"/>
  <c r="C234" i="13"/>
  <c r="D240" i="13"/>
  <c r="C240" i="13"/>
  <c r="C241" i="13"/>
  <c r="D252" i="13"/>
  <c r="C299" i="13"/>
  <c r="D298" i="13"/>
  <c r="C298" i="13"/>
  <c r="D304" i="13"/>
  <c r="C304" i="13"/>
  <c r="C305" i="13"/>
  <c r="D316" i="13"/>
  <c r="P6" i="4" s="1"/>
  <c r="C363" i="13"/>
  <c r="O53" i="4" s="1"/>
  <c r="D362" i="13"/>
  <c r="P52" i="4" s="1"/>
  <c r="C362" i="13"/>
  <c r="O52" i="4" s="1"/>
  <c r="D368" i="13"/>
  <c r="P58" i="4" s="1"/>
  <c r="C368" i="13"/>
  <c r="O58" i="4" s="1"/>
  <c r="C369" i="13"/>
  <c r="O59" i="4" s="1"/>
  <c r="D25" i="14"/>
  <c r="C25" i="14"/>
  <c r="C26" i="14"/>
  <c r="D37" i="14"/>
  <c r="C60" i="14"/>
  <c r="D59" i="14"/>
  <c r="C59" i="14"/>
  <c r="D65" i="14"/>
  <c r="C65" i="14"/>
  <c r="C66" i="14"/>
  <c r="D77" i="14"/>
  <c r="C70" i="14"/>
  <c r="D82" i="14"/>
  <c r="C124" i="14"/>
  <c r="D123" i="14"/>
  <c r="C123" i="14"/>
  <c r="D129" i="14"/>
  <c r="C129" i="14"/>
  <c r="C130" i="14"/>
  <c r="D141" i="14"/>
  <c r="D320" i="11"/>
  <c r="AF10" i="4" s="1"/>
  <c r="C323" i="11"/>
  <c r="AE13" i="4" s="1"/>
  <c r="D352" i="11"/>
  <c r="AF42" i="4" s="1"/>
  <c r="C355" i="11"/>
  <c r="AE45" i="4" s="1"/>
  <c r="D30" i="12"/>
  <c r="D42" i="12"/>
  <c r="D57" i="12"/>
  <c r="D74" i="12"/>
  <c r="D89" i="12"/>
  <c r="D106" i="12"/>
  <c r="D121" i="12"/>
  <c r="D138" i="12"/>
  <c r="D153" i="12"/>
  <c r="D170" i="12"/>
  <c r="D185" i="12"/>
  <c r="D202" i="12"/>
  <c r="D217" i="12"/>
  <c r="D231" i="12"/>
  <c r="D234" i="12"/>
  <c r="D249" i="12"/>
  <c r="D263" i="12"/>
  <c r="D266" i="12"/>
  <c r="D281" i="12"/>
  <c r="C288" i="12"/>
  <c r="C291" i="12"/>
  <c r="D295" i="12"/>
  <c r="D298" i="12"/>
  <c r="D302" i="12"/>
  <c r="D313" i="12"/>
  <c r="C320" i="12"/>
  <c r="Q10" i="4" s="1"/>
  <c r="C323" i="12"/>
  <c r="Q13" i="4" s="1"/>
  <c r="D327" i="12"/>
  <c r="R17" i="4" s="1"/>
  <c r="D330" i="12"/>
  <c r="R20" i="4" s="1"/>
  <c r="D338" i="12"/>
  <c r="R28" i="4" s="1"/>
  <c r="D346" i="12"/>
  <c r="R36" i="4" s="1"/>
  <c r="D354" i="12"/>
  <c r="R44" i="4" s="1"/>
  <c r="D362" i="12"/>
  <c r="R52" i="4" s="1"/>
  <c r="D370" i="12"/>
  <c r="R60" i="4" s="1"/>
  <c r="C10" i="13"/>
  <c r="D20" i="13"/>
  <c r="D32" i="13"/>
  <c r="D40" i="13"/>
  <c r="D48" i="13"/>
  <c r="D56" i="13"/>
  <c r="D64" i="13"/>
  <c r="D72" i="13"/>
  <c r="D80" i="13"/>
  <c r="D88" i="13"/>
  <c r="D96" i="13"/>
  <c r="D126" i="13"/>
  <c r="D146" i="13"/>
  <c r="D152" i="13"/>
  <c r="D164" i="13"/>
  <c r="D180" i="13"/>
  <c r="C180" i="13"/>
  <c r="C181" i="13"/>
  <c r="C187" i="13"/>
  <c r="D186" i="13"/>
  <c r="C199" i="13"/>
  <c r="D208" i="13"/>
  <c r="D212" i="13"/>
  <c r="C212" i="13"/>
  <c r="C213" i="13"/>
  <c r="C219" i="13"/>
  <c r="D218" i="13"/>
  <c r="C259" i="13"/>
  <c r="D258" i="13"/>
  <c r="C258" i="13"/>
  <c r="D264" i="13"/>
  <c r="C264" i="13"/>
  <c r="C265" i="13"/>
  <c r="D276" i="13"/>
  <c r="C269" i="13"/>
  <c r="D281" i="13"/>
  <c r="C323" i="13"/>
  <c r="O13" i="4" s="1"/>
  <c r="D322" i="13"/>
  <c r="P12" i="4" s="1"/>
  <c r="C322" i="13"/>
  <c r="O12" i="4" s="1"/>
  <c r="D328" i="13"/>
  <c r="P18" i="4" s="1"/>
  <c r="C328" i="13"/>
  <c r="O18" i="4" s="1"/>
  <c r="C329" i="13"/>
  <c r="O19" i="4" s="1"/>
  <c r="D340" i="13"/>
  <c r="P30" i="4" s="1"/>
  <c r="C333" i="13"/>
  <c r="O23" i="4" s="1"/>
  <c r="D345" i="13"/>
  <c r="P35" i="4" s="1"/>
  <c r="C30" i="14"/>
  <c r="D42" i="14"/>
  <c r="C84" i="14"/>
  <c r="D83" i="14"/>
  <c r="C83" i="14"/>
  <c r="D89" i="14"/>
  <c r="C89" i="14"/>
  <c r="C90" i="14"/>
  <c r="D101" i="14"/>
  <c r="C94" i="14"/>
  <c r="D106" i="14"/>
  <c r="C156" i="14"/>
  <c r="D155" i="14"/>
  <c r="C155" i="14"/>
  <c r="C28" i="12"/>
  <c r="C54" i="12"/>
  <c r="C55" i="12"/>
  <c r="C68" i="12"/>
  <c r="D68" i="12"/>
  <c r="C86" i="12"/>
  <c r="C87" i="12"/>
  <c r="C100" i="12"/>
  <c r="D100" i="12"/>
  <c r="C118" i="12"/>
  <c r="C119" i="12"/>
  <c r="C132" i="12"/>
  <c r="D132" i="12"/>
  <c r="C150" i="12"/>
  <c r="C151" i="12"/>
  <c r="C164" i="12"/>
  <c r="D164" i="12"/>
  <c r="C182" i="12"/>
  <c r="C183" i="12"/>
  <c r="C196" i="12"/>
  <c r="D196" i="12"/>
  <c r="C214" i="12"/>
  <c r="C215" i="12"/>
  <c r="C228" i="12"/>
  <c r="D228" i="12"/>
  <c r="C246" i="12"/>
  <c r="C247" i="12"/>
  <c r="C260" i="12"/>
  <c r="D260" i="12"/>
  <c r="C278" i="12"/>
  <c r="C279" i="12"/>
  <c r="C292" i="12"/>
  <c r="D292" i="12"/>
  <c r="C310" i="12"/>
  <c r="C311" i="12"/>
  <c r="C317" i="12"/>
  <c r="Q7" i="4" s="1"/>
  <c r="C324" i="12"/>
  <c r="Q14" i="4" s="1"/>
  <c r="D324" i="12"/>
  <c r="R14" i="4" s="1"/>
  <c r="D335" i="12"/>
  <c r="R25" i="4" s="1"/>
  <c r="D343" i="12"/>
  <c r="R33" i="4" s="1"/>
  <c r="D351" i="12"/>
  <c r="R41" i="4" s="1"/>
  <c r="D359" i="12"/>
  <c r="R49" i="4" s="1"/>
  <c r="D367" i="12"/>
  <c r="R57" i="4" s="1"/>
  <c r="C20" i="13"/>
  <c r="C28" i="13"/>
  <c r="C36" i="13"/>
  <c r="C44" i="13"/>
  <c r="C52" i="13"/>
  <c r="C60" i="13"/>
  <c r="C68" i="13"/>
  <c r="C76" i="13"/>
  <c r="C84" i="13"/>
  <c r="C92" i="13"/>
  <c r="C100" i="13"/>
  <c r="D104" i="13"/>
  <c r="C113" i="13"/>
  <c r="D112" i="13"/>
  <c r="D117" i="13"/>
  <c r="D127" i="13"/>
  <c r="C127" i="13"/>
  <c r="C128" i="13"/>
  <c r="C138" i="13"/>
  <c r="D147" i="13"/>
  <c r="C147" i="13"/>
  <c r="D161" i="13"/>
  <c r="D173" i="13"/>
  <c r="D185" i="13"/>
  <c r="C186" i="13"/>
  <c r="D205" i="13"/>
  <c r="D217" i="13"/>
  <c r="C218" i="13"/>
  <c r="D224" i="13"/>
  <c r="C224" i="13"/>
  <c r="C225" i="13"/>
  <c r="D236" i="13"/>
  <c r="C229" i="13"/>
  <c r="D241" i="13"/>
  <c r="C283" i="13"/>
  <c r="D282" i="13"/>
  <c r="C282" i="13"/>
  <c r="D288" i="13"/>
  <c r="C288" i="13"/>
  <c r="C289" i="13"/>
  <c r="D300" i="13"/>
  <c r="C293" i="13"/>
  <c r="D305" i="13"/>
  <c r="C347" i="13"/>
  <c r="O37" i="4" s="1"/>
  <c r="D358" i="13"/>
  <c r="P48" i="4" s="1"/>
  <c r="D346" i="13"/>
  <c r="P36" i="4" s="1"/>
  <c r="C346" i="13"/>
  <c r="O36" i="4" s="1"/>
  <c r="D352" i="13"/>
  <c r="P42" i="4" s="1"/>
  <c r="C352" i="13"/>
  <c r="O42" i="4" s="1"/>
  <c r="C353" i="13"/>
  <c r="O43" i="4" s="1"/>
  <c r="D364" i="13"/>
  <c r="P54" i="4" s="1"/>
  <c r="C357" i="13"/>
  <c r="O47" i="4" s="1"/>
  <c r="D369" i="13"/>
  <c r="P59" i="4" s="1"/>
  <c r="C44" i="14"/>
  <c r="D43" i="14"/>
  <c r="C43" i="14"/>
  <c r="D49" i="14"/>
  <c r="C49" i="14"/>
  <c r="C50" i="14"/>
  <c r="D61" i="14"/>
  <c r="C54" i="14"/>
  <c r="D66" i="14"/>
  <c r="C108" i="14"/>
  <c r="D107" i="14"/>
  <c r="C107" i="14"/>
  <c r="D113" i="14"/>
  <c r="C113" i="14"/>
  <c r="C114" i="14"/>
  <c r="D125" i="14"/>
  <c r="C118" i="14"/>
  <c r="D130" i="14"/>
  <c r="D312" i="11"/>
  <c r="C315" i="11"/>
  <c r="AE5" i="4" s="1"/>
  <c r="D344" i="11"/>
  <c r="AF34" i="4" s="1"/>
  <c r="C347" i="11"/>
  <c r="AE37" i="4" s="1"/>
  <c r="C25" i="12"/>
  <c r="D28" i="12"/>
  <c r="C43" i="12"/>
  <c r="D54" i="12"/>
  <c r="D65" i="12"/>
  <c r="C75" i="12"/>
  <c r="D86" i="12"/>
  <c r="D97" i="12"/>
  <c r="C107" i="12"/>
  <c r="D118" i="12"/>
  <c r="D129" i="12"/>
  <c r="C139" i="12"/>
  <c r="D150" i="12"/>
  <c r="D161" i="12"/>
  <c r="C171" i="12"/>
  <c r="D182" i="12"/>
  <c r="D193" i="12"/>
  <c r="C203" i="12"/>
  <c r="D214" i="12"/>
  <c r="D225" i="12"/>
  <c r="C235" i="12"/>
  <c r="D242" i="12"/>
  <c r="D246" i="12"/>
  <c r="D257" i="12"/>
  <c r="C267" i="12"/>
  <c r="D274" i="12"/>
  <c r="D278" i="12"/>
  <c r="D289" i="12"/>
  <c r="C299" i="12"/>
  <c r="D303" i="12"/>
  <c r="D306" i="12"/>
  <c r="D310" i="12"/>
  <c r="D321" i="12"/>
  <c r="R11" i="4" s="1"/>
  <c r="C331" i="12"/>
  <c r="Q21" i="4" s="1"/>
  <c r="C339" i="12"/>
  <c r="Q29" i="4" s="1"/>
  <c r="C347" i="12"/>
  <c r="Q37" i="4" s="1"/>
  <c r="C355" i="12"/>
  <c r="Q45" i="4" s="1"/>
  <c r="C363" i="12"/>
  <c r="Q53" i="4" s="1"/>
  <c r="C371" i="12"/>
  <c r="Q61" i="4" s="1"/>
  <c r="C21" i="13"/>
  <c r="C25" i="13"/>
  <c r="C29" i="13"/>
  <c r="C33" i="13"/>
  <c r="C37" i="13"/>
  <c r="C41" i="13"/>
  <c r="C45" i="13"/>
  <c r="C49" i="13"/>
  <c r="C53" i="13"/>
  <c r="C57" i="13"/>
  <c r="C61" i="13"/>
  <c r="C65" i="13"/>
  <c r="C69" i="13"/>
  <c r="C73" i="13"/>
  <c r="C77" i="13"/>
  <c r="C81" i="13"/>
  <c r="C85" i="13"/>
  <c r="C89" i="13"/>
  <c r="C93" i="13"/>
  <c r="D100" i="13"/>
  <c r="C112" i="13"/>
  <c r="C118" i="13"/>
  <c r="D118" i="13"/>
  <c r="C148" i="13"/>
  <c r="D162" i="13"/>
  <c r="C173" i="13"/>
  <c r="C182" i="13"/>
  <c r="D182" i="13"/>
  <c r="C205" i="13"/>
  <c r="C214" i="13"/>
  <c r="D214" i="13"/>
  <c r="C243" i="13"/>
  <c r="D242" i="13"/>
  <c r="C242" i="13"/>
  <c r="D248" i="13"/>
  <c r="C248" i="13"/>
  <c r="C249" i="13"/>
  <c r="D260" i="13"/>
  <c r="C253" i="13"/>
  <c r="D265" i="13"/>
  <c r="C307" i="13"/>
  <c r="D306" i="13"/>
  <c r="C306" i="13"/>
  <c r="D312" i="13"/>
  <c r="C312" i="13"/>
  <c r="C313" i="13"/>
  <c r="D324" i="13"/>
  <c r="P14" i="4" s="1"/>
  <c r="C317" i="13"/>
  <c r="O7" i="4" s="1"/>
  <c r="D329" i="13"/>
  <c r="P19" i="4" s="1"/>
  <c r="C371" i="13"/>
  <c r="O61" i="4" s="1"/>
  <c r="D370" i="13"/>
  <c r="P60" i="4" s="1"/>
  <c r="C370" i="13"/>
  <c r="O60" i="4" s="1"/>
  <c r="C28" i="14"/>
  <c r="D27" i="14"/>
  <c r="C27" i="14"/>
  <c r="C68" i="14"/>
  <c r="D67" i="14"/>
  <c r="C67" i="14"/>
  <c r="D73" i="14"/>
  <c r="C73" i="14"/>
  <c r="C74" i="14"/>
  <c r="D85" i="14"/>
  <c r="C78" i="14"/>
  <c r="D90" i="14"/>
  <c r="C132" i="14"/>
  <c r="D131" i="14"/>
  <c r="C131" i="14"/>
  <c r="D137" i="14"/>
  <c r="C137" i="14"/>
  <c r="C138" i="14"/>
  <c r="D149" i="14"/>
  <c r="D332" i="12"/>
  <c r="R22" i="4" s="1"/>
  <c r="D340" i="12"/>
  <c r="R30" i="4" s="1"/>
  <c r="D348" i="12"/>
  <c r="R38" i="4" s="1"/>
  <c r="D356" i="12"/>
  <c r="R46" i="4" s="1"/>
  <c r="D364" i="12"/>
  <c r="R54" i="4" s="1"/>
  <c r="D372" i="12"/>
  <c r="D21" i="13"/>
  <c r="D29" i="13"/>
  <c r="D37" i="13"/>
  <c r="D45" i="13"/>
  <c r="D53" i="13"/>
  <c r="D61" i="13"/>
  <c r="D69" i="13"/>
  <c r="D77" i="13"/>
  <c r="D85" i="13"/>
  <c r="D93" i="13"/>
  <c r="D99" i="13"/>
  <c r="D113" i="13"/>
  <c r="D116" i="13"/>
  <c r="D119" i="13"/>
  <c r="D131" i="13"/>
  <c r="C134" i="13"/>
  <c r="D145" i="13"/>
  <c r="D148" i="13"/>
  <c r="D151" i="13"/>
  <c r="D163" i="13"/>
  <c r="C166" i="13"/>
  <c r="D223" i="13"/>
  <c r="D231" i="13"/>
  <c r="D239" i="13"/>
  <c r="D247" i="13"/>
  <c r="D255" i="13"/>
  <c r="D263" i="13"/>
  <c r="D271" i="13"/>
  <c r="D279" i="13"/>
  <c r="D287" i="13"/>
  <c r="D295" i="13"/>
  <c r="D303" i="13"/>
  <c r="D311" i="13"/>
  <c r="D319" i="13"/>
  <c r="P9" i="4" s="1"/>
  <c r="D327" i="13"/>
  <c r="P17" i="4" s="1"/>
  <c r="D335" i="13"/>
  <c r="P25" i="4" s="1"/>
  <c r="D343" i="13"/>
  <c r="P33" i="4" s="1"/>
  <c r="D351" i="13"/>
  <c r="P41" i="4" s="1"/>
  <c r="D359" i="13"/>
  <c r="P49" i="4" s="1"/>
  <c r="D367" i="13"/>
  <c r="P57" i="4" s="1"/>
  <c r="C16" i="14"/>
  <c r="D24" i="14"/>
  <c r="D32" i="14"/>
  <c r="D40" i="14"/>
  <c r="D48" i="14"/>
  <c r="D56" i="14"/>
  <c r="D64" i="14"/>
  <c r="D72" i="14"/>
  <c r="D80" i="14"/>
  <c r="D88" i="14"/>
  <c r="D96" i="14"/>
  <c r="D104" i="14"/>
  <c r="D112" i="14"/>
  <c r="D120" i="14"/>
  <c r="D128" i="14"/>
  <c r="D136" i="14"/>
  <c r="D144" i="14"/>
  <c r="D152" i="14"/>
  <c r="D160" i="14"/>
  <c r="D168" i="14"/>
  <c r="D176" i="14"/>
  <c r="D184" i="14"/>
  <c r="D192" i="14"/>
  <c r="D200" i="14"/>
  <c r="D297" i="14"/>
  <c r="C297" i="14"/>
  <c r="C298" i="14"/>
  <c r="D320" i="14"/>
  <c r="T10" i="4" s="1"/>
  <c r="D161" i="14"/>
  <c r="C161" i="14"/>
  <c r="C162" i="14"/>
  <c r="D169" i="14"/>
  <c r="C169" i="14"/>
  <c r="C170" i="14"/>
  <c r="D177" i="14"/>
  <c r="C177" i="14"/>
  <c r="C178" i="14"/>
  <c r="D185" i="14"/>
  <c r="C185" i="14"/>
  <c r="C186" i="14"/>
  <c r="D193" i="14"/>
  <c r="C193" i="14"/>
  <c r="C194" i="14"/>
  <c r="D201" i="14"/>
  <c r="C201" i="14"/>
  <c r="C202" i="14"/>
  <c r="D209" i="14"/>
  <c r="C209" i="14"/>
  <c r="C210" i="14"/>
  <c r="D217" i="14"/>
  <c r="C217" i="14"/>
  <c r="C218" i="14"/>
  <c r="D225" i="14"/>
  <c r="C225" i="14"/>
  <c r="C226" i="14"/>
  <c r="D233" i="14"/>
  <c r="C233" i="14"/>
  <c r="C234" i="14"/>
  <c r="D241" i="14"/>
  <c r="C241" i="14"/>
  <c r="C242" i="14"/>
  <c r="D249" i="14"/>
  <c r="C249" i="14"/>
  <c r="C250" i="14"/>
  <c r="D257" i="14"/>
  <c r="C257" i="14"/>
  <c r="C258" i="14"/>
  <c r="D265" i="14"/>
  <c r="C265" i="14"/>
  <c r="C266" i="14"/>
  <c r="D273" i="14"/>
  <c r="C273" i="14"/>
  <c r="C274" i="14"/>
  <c r="D281" i="14"/>
  <c r="C281" i="14"/>
  <c r="C282" i="14"/>
  <c r="D289" i="14"/>
  <c r="C289" i="14"/>
  <c r="C290" i="14"/>
  <c r="D293" i="14"/>
  <c r="C303" i="14"/>
  <c r="D302" i="14"/>
  <c r="C316" i="14"/>
  <c r="S6" i="4" s="1"/>
  <c r="D316" i="14"/>
  <c r="T6" i="4" s="1"/>
  <c r="D179" i="13"/>
  <c r="D188" i="13"/>
  <c r="D195" i="13"/>
  <c r="D204" i="13"/>
  <c r="D211" i="13"/>
  <c r="D220" i="13"/>
  <c r="D173" i="14"/>
  <c r="D181" i="14"/>
  <c r="D189" i="14"/>
  <c r="D197" i="14"/>
  <c r="D205" i="14"/>
  <c r="D213" i="14"/>
  <c r="D221" i="14"/>
  <c r="D229" i="14"/>
  <c r="D237" i="14"/>
  <c r="D245" i="14"/>
  <c r="D253" i="14"/>
  <c r="D261" i="14"/>
  <c r="D269" i="14"/>
  <c r="D277" i="14"/>
  <c r="D285" i="14"/>
  <c r="D311" i="14"/>
  <c r="C300" i="14"/>
  <c r="C302" i="14"/>
  <c r="D146" i="14"/>
  <c r="D154" i="14"/>
  <c r="D162" i="14"/>
  <c r="D170" i="14"/>
  <c r="D178" i="14"/>
  <c r="D186" i="14"/>
  <c r="D194" i="14"/>
  <c r="D202" i="14"/>
  <c r="D210" i="14"/>
  <c r="D218" i="14"/>
  <c r="D226" i="14"/>
  <c r="D234" i="14"/>
  <c r="D242" i="14"/>
  <c r="D250" i="14"/>
  <c r="D258" i="14"/>
  <c r="D266" i="14"/>
  <c r="D274" i="14"/>
  <c r="D278" i="14"/>
  <c r="D290" i="14"/>
  <c r="D282" i="14"/>
  <c r="D286" i="14"/>
  <c r="D298" i="14"/>
  <c r="C292" i="14"/>
  <c r="D303" i="14"/>
  <c r="C294" i="14"/>
  <c r="C299" i="14"/>
  <c r="C166" i="14"/>
  <c r="C174" i="14"/>
  <c r="C182" i="14"/>
  <c r="C190" i="14"/>
  <c r="C198" i="14"/>
  <c r="C206" i="14"/>
  <c r="C214" i="14"/>
  <c r="C222" i="14"/>
  <c r="C230" i="14"/>
  <c r="C238" i="14"/>
  <c r="C246" i="14"/>
  <c r="C254" i="14"/>
  <c r="C262" i="14"/>
  <c r="C270" i="14"/>
  <c r="C278" i="14"/>
  <c r="C286" i="14"/>
  <c r="C291" i="14"/>
  <c r="C295" i="14"/>
  <c r="D299" i="14"/>
  <c r="C308" i="14"/>
  <c r="D308" i="14"/>
  <c r="C174" i="13"/>
  <c r="C177" i="13"/>
  <c r="C190" i="13"/>
  <c r="C193" i="13"/>
  <c r="C206" i="13"/>
  <c r="C209" i="13"/>
  <c r="C222" i="13"/>
  <c r="C230" i="13"/>
  <c r="C238" i="13"/>
  <c r="C246" i="13"/>
  <c r="C254" i="13"/>
  <c r="C262" i="13"/>
  <c r="C270" i="13"/>
  <c r="C278" i="13"/>
  <c r="C286" i="13"/>
  <c r="C294" i="13"/>
  <c r="C302" i="13"/>
  <c r="C310" i="13"/>
  <c r="C318" i="13"/>
  <c r="O8" i="4" s="1"/>
  <c r="C326" i="13"/>
  <c r="O16" i="4" s="1"/>
  <c r="C334" i="13"/>
  <c r="O24" i="4" s="1"/>
  <c r="C342" i="13"/>
  <c r="O32" i="4" s="1"/>
  <c r="C350" i="13"/>
  <c r="O40" i="4" s="1"/>
  <c r="C358" i="13"/>
  <c r="O48" i="4" s="1"/>
  <c r="C366" i="13"/>
  <c r="O56" i="4" s="1"/>
  <c r="C9" i="14"/>
  <c r="C23" i="14"/>
  <c r="C31" i="14"/>
  <c r="C39" i="14"/>
  <c r="C47" i="14"/>
  <c r="C55" i="14"/>
  <c r="C63" i="14"/>
  <c r="C71" i="14"/>
  <c r="C79" i="14"/>
  <c r="C87" i="14"/>
  <c r="C95" i="14"/>
  <c r="C103" i="14"/>
  <c r="C111" i="14"/>
  <c r="C119" i="14"/>
  <c r="C127" i="14"/>
  <c r="C135" i="14"/>
  <c r="C143" i="14"/>
  <c r="C151" i="14"/>
  <c r="C159" i="14"/>
  <c r="C163" i="14"/>
  <c r="C167" i="14"/>
  <c r="C171" i="14"/>
  <c r="C175" i="14"/>
  <c r="C179" i="14"/>
  <c r="C183" i="14"/>
  <c r="C187" i="14"/>
  <c r="C191" i="14"/>
  <c r="C195" i="14"/>
  <c r="C199" i="14"/>
  <c r="C203" i="14"/>
  <c r="C207" i="14"/>
  <c r="C211" i="14"/>
  <c r="C215" i="14"/>
  <c r="C219" i="14"/>
  <c r="C223" i="14"/>
  <c r="C227" i="14"/>
  <c r="C231" i="14"/>
  <c r="C235" i="14"/>
  <c r="C239" i="14"/>
  <c r="C243" i="14"/>
  <c r="C247" i="14"/>
  <c r="C251" i="14"/>
  <c r="C255" i="14"/>
  <c r="C259" i="14"/>
  <c r="C263" i="14"/>
  <c r="C267" i="14"/>
  <c r="C271" i="14"/>
  <c r="C275" i="14"/>
  <c r="C279" i="14"/>
  <c r="C283" i="14"/>
  <c r="C287" i="14"/>
  <c r="D291" i="14"/>
  <c r="C309" i="14"/>
  <c r="D313" i="14"/>
  <c r="C313" i="14"/>
  <c r="D328" i="14"/>
  <c r="T18" i="4" s="1"/>
  <c r="D107" i="13"/>
  <c r="C110" i="13"/>
  <c r="D139" i="13"/>
  <c r="C142" i="13"/>
  <c r="D171" i="13"/>
  <c r="C184" i="13"/>
  <c r="C200" i="13"/>
  <c r="C216" i="13"/>
  <c r="D163" i="14"/>
  <c r="D171" i="14"/>
  <c r="D179" i="14"/>
  <c r="D187" i="14"/>
  <c r="D195" i="14"/>
  <c r="D203" i="14"/>
  <c r="D211" i="14"/>
  <c r="D219" i="14"/>
  <c r="D227" i="14"/>
  <c r="D235" i="14"/>
  <c r="D243" i="14"/>
  <c r="D251" i="14"/>
  <c r="D259" i="14"/>
  <c r="D267" i="14"/>
  <c r="D275" i="14"/>
  <c r="D283" i="14"/>
  <c r="D292" i="14"/>
  <c r="D314" i="14"/>
  <c r="T4" i="4" s="1"/>
  <c r="C314" i="14"/>
  <c r="S4" i="4" s="1"/>
  <c r="C315" i="14"/>
  <c r="S5" i="4" s="1"/>
  <c r="C107" i="13"/>
  <c r="D110" i="13"/>
  <c r="C139" i="13"/>
  <c r="D142" i="13"/>
  <c r="C171" i="13"/>
  <c r="D184" i="13"/>
  <c r="D200" i="13"/>
  <c r="D216" i="13"/>
  <c r="D227" i="13"/>
  <c r="D235" i="13"/>
  <c r="D243" i="13"/>
  <c r="D251" i="13"/>
  <c r="D259" i="13"/>
  <c r="D267" i="13"/>
  <c r="D275" i="13"/>
  <c r="D283" i="13"/>
  <c r="D291" i="13"/>
  <c r="D299" i="13"/>
  <c r="D307" i="13"/>
  <c r="D315" i="13"/>
  <c r="P5" i="4" s="1"/>
  <c r="D323" i="13"/>
  <c r="P13" i="4" s="1"/>
  <c r="D331" i="13"/>
  <c r="P21" i="4" s="1"/>
  <c r="D339" i="13"/>
  <c r="P29" i="4" s="1"/>
  <c r="D347" i="13"/>
  <c r="P37" i="4" s="1"/>
  <c r="D355" i="13"/>
  <c r="P45" i="4" s="1"/>
  <c r="D363" i="13"/>
  <c r="P53" i="4" s="1"/>
  <c r="D371" i="13"/>
  <c r="P61" i="4" s="1"/>
  <c r="D20" i="14"/>
  <c r="D28" i="14"/>
  <c r="D36" i="14"/>
  <c r="D44" i="14"/>
  <c r="D52" i="14"/>
  <c r="D60" i="14"/>
  <c r="D68" i="14"/>
  <c r="D76" i="14"/>
  <c r="D84" i="14"/>
  <c r="D92" i="14"/>
  <c r="D100" i="14"/>
  <c r="D108" i="14"/>
  <c r="D116" i="14"/>
  <c r="D124" i="14"/>
  <c r="D132" i="14"/>
  <c r="D140" i="14"/>
  <c r="D148" i="14"/>
  <c r="D156" i="14"/>
  <c r="D164" i="14"/>
  <c r="D172" i="14"/>
  <c r="D180" i="14"/>
  <c r="D188" i="14"/>
  <c r="D196" i="14"/>
  <c r="D204" i="14"/>
  <c r="D212" i="14"/>
  <c r="D220" i="14"/>
  <c r="D228" i="14"/>
  <c r="D236" i="14"/>
  <c r="D244" i="14"/>
  <c r="D252" i="14"/>
  <c r="D260" i="14"/>
  <c r="D268" i="14"/>
  <c r="D276" i="14"/>
  <c r="D284" i="14"/>
  <c r="D305" i="14"/>
  <c r="C305" i="14"/>
  <c r="D222" i="13"/>
  <c r="D230" i="13"/>
  <c r="D238" i="13"/>
  <c r="D246" i="13"/>
  <c r="D254" i="13"/>
  <c r="D262" i="13"/>
  <c r="D270" i="13"/>
  <c r="D278" i="13"/>
  <c r="D286" i="13"/>
  <c r="D294" i="13"/>
  <c r="D302" i="13"/>
  <c r="D310" i="13"/>
  <c r="D318" i="13"/>
  <c r="P8" i="4" s="1"/>
  <c r="D326" i="13"/>
  <c r="P16" i="4" s="1"/>
  <c r="D334" i="13"/>
  <c r="P24" i="4" s="1"/>
  <c r="D342" i="13"/>
  <c r="P32" i="4" s="1"/>
  <c r="D350" i="13"/>
  <c r="P40" i="4" s="1"/>
  <c r="D366" i="13"/>
  <c r="P56" i="4" s="1"/>
  <c r="D23" i="14"/>
  <c r="D31" i="14"/>
  <c r="D39" i="14"/>
  <c r="D47" i="14"/>
  <c r="D55" i="14"/>
  <c r="D63" i="14"/>
  <c r="D71" i="14"/>
  <c r="D79" i="14"/>
  <c r="D87" i="14"/>
  <c r="D95" i="14"/>
  <c r="D103" i="14"/>
  <c r="D111" i="14"/>
  <c r="D119" i="14"/>
  <c r="D127" i="14"/>
  <c r="D135" i="14"/>
  <c r="D143" i="14"/>
  <c r="D151" i="14"/>
  <c r="D159" i="14"/>
  <c r="D167" i="14"/>
  <c r="D175" i="14"/>
  <c r="D183" i="14"/>
  <c r="D191" i="14"/>
  <c r="D199" i="14"/>
  <c r="D207" i="14"/>
  <c r="D215" i="14"/>
  <c r="D223" i="14"/>
  <c r="D231" i="14"/>
  <c r="D239" i="14"/>
  <c r="D247" i="14"/>
  <c r="D255" i="14"/>
  <c r="D263" i="14"/>
  <c r="D271" i="14"/>
  <c r="D279" i="14"/>
  <c r="D287" i="14"/>
  <c r="D295" i="14"/>
  <c r="D306" i="14"/>
  <c r="D309" i="14"/>
  <c r="C318" i="14"/>
  <c r="S8" i="4" s="1"/>
  <c r="D321" i="14"/>
  <c r="T11" i="4" s="1"/>
  <c r="D338" i="14"/>
  <c r="T28" i="4" s="1"/>
  <c r="D341" i="14"/>
  <c r="T31" i="4" s="1"/>
  <c r="C347" i="14"/>
  <c r="S37" i="4" s="1"/>
  <c r="C350" i="14"/>
  <c r="S40" i="4" s="1"/>
  <c r="D353" i="14"/>
  <c r="T43" i="4" s="1"/>
  <c r="D367" i="14"/>
  <c r="T57" i="4" s="1"/>
  <c r="C14" i="15"/>
  <c r="D22" i="15"/>
  <c r="D25" i="15"/>
  <c r="C29" i="15"/>
  <c r="C43" i="15"/>
  <c r="C46" i="15"/>
  <c r="D50" i="15"/>
  <c r="D62" i="15"/>
  <c r="D53" i="15"/>
  <c r="C75" i="15"/>
  <c r="C78" i="15"/>
  <c r="C82" i="15"/>
  <c r="D93" i="15"/>
  <c r="D109" i="15"/>
  <c r="C97" i="15"/>
  <c r="D100" i="15"/>
  <c r="D126" i="15"/>
  <c r="D139" i="15"/>
  <c r="C151" i="15"/>
  <c r="C159" i="15"/>
  <c r="D180" i="15"/>
  <c r="D193" i="15"/>
  <c r="D205" i="15"/>
  <c r="C202" i="15"/>
  <c r="D202" i="15"/>
  <c r="D217" i="15"/>
  <c r="D229" i="15"/>
  <c r="D222" i="15"/>
  <c r="C222" i="15"/>
  <c r="C260" i="15"/>
  <c r="C261" i="15"/>
  <c r="D272" i="15"/>
  <c r="D324" i="15"/>
  <c r="J14" i="4" s="1"/>
  <c r="C324" i="15"/>
  <c r="I14" i="4" s="1"/>
  <c r="C325" i="15"/>
  <c r="I15" i="4" s="1"/>
  <c r="D336" i="15"/>
  <c r="J26" i="4" s="1"/>
  <c r="D21" i="16"/>
  <c r="C21" i="16"/>
  <c r="C22" i="16"/>
  <c r="D33" i="16"/>
  <c r="D52" i="16"/>
  <c r="C52" i="16"/>
  <c r="C139" i="16"/>
  <c r="D138" i="16"/>
  <c r="C138" i="16"/>
  <c r="D26" i="15"/>
  <c r="D38" i="15"/>
  <c r="D29" i="15"/>
  <c r="D39" i="15"/>
  <c r="D164" i="15"/>
  <c r="C236" i="15"/>
  <c r="C237" i="15"/>
  <c r="D236" i="15"/>
  <c r="D248" i="15"/>
  <c r="D241" i="15"/>
  <c r="C241" i="15"/>
  <c r="D300" i="15"/>
  <c r="C300" i="15"/>
  <c r="C301" i="15"/>
  <c r="D312" i="15"/>
  <c r="D364" i="15"/>
  <c r="J54" i="4" s="1"/>
  <c r="C364" i="15"/>
  <c r="I54" i="4" s="1"/>
  <c r="C365" i="15"/>
  <c r="I55" i="4" s="1"/>
  <c r="C72" i="16"/>
  <c r="D72" i="16"/>
  <c r="D58" i="15"/>
  <c r="D70" i="15"/>
  <c r="D148" i="15"/>
  <c r="D169" i="15"/>
  <c r="C169" i="15"/>
  <c r="D181" i="15"/>
  <c r="D177" i="15"/>
  <c r="D189" i="15"/>
  <c r="C186" i="15"/>
  <c r="D186" i="15"/>
  <c r="C194" i="15"/>
  <c r="D194" i="15"/>
  <c r="D198" i="15"/>
  <c r="C218" i="15"/>
  <c r="D218" i="15"/>
  <c r="C219" i="15"/>
  <c r="C242" i="15"/>
  <c r="D242" i="15"/>
  <c r="C252" i="15"/>
  <c r="C253" i="15"/>
  <c r="D264" i="15"/>
  <c r="D252" i="15"/>
  <c r="D276" i="15"/>
  <c r="C276" i="15"/>
  <c r="C277" i="15"/>
  <c r="D288" i="15"/>
  <c r="D340" i="15"/>
  <c r="J30" i="4" s="1"/>
  <c r="C340" i="15"/>
  <c r="I30" i="4" s="1"/>
  <c r="C341" i="15"/>
  <c r="I31" i="4" s="1"/>
  <c r="D352" i="15"/>
  <c r="J42" i="4" s="1"/>
  <c r="D28" i="16"/>
  <c r="C28" i="16"/>
  <c r="D60" i="16"/>
  <c r="C60" i="16"/>
  <c r="C322" i="14"/>
  <c r="S12" i="4" s="1"/>
  <c r="C325" i="14"/>
  <c r="S15" i="4" s="1"/>
  <c r="C345" i="14"/>
  <c r="S35" i="4" s="1"/>
  <c r="D348" i="14"/>
  <c r="T38" i="4" s="1"/>
  <c r="C11" i="15"/>
  <c r="D23" i="15"/>
  <c r="D33" i="15"/>
  <c r="D51" i="15"/>
  <c r="C58" i="15"/>
  <c r="D65" i="15"/>
  <c r="C91" i="15"/>
  <c r="C105" i="15"/>
  <c r="D128" i="15"/>
  <c r="C116" i="15"/>
  <c r="D132" i="15"/>
  <c r="C136" i="15"/>
  <c r="D153" i="15"/>
  <c r="C153" i="15"/>
  <c r="D165" i="15"/>
  <c r="D161" i="15"/>
  <c r="D173" i="15"/>
  <c r="C170" i="15"/>
  <c r="D170" i="15"/>
  <c r="C177" i="15"/>
  <c r="C190" i="15"/>
  <c r="C195" i="15"/>
  <c r="C214" i="15"/>
  <c r="C228" i="15"/>
  <c r="C229" i="15"/>
  <c r="D240" i="15"/>
  <c r="D257" i="15"/>
  <c r="D269" i="15"/>
  <c r="C257" i="15"/>
  <c r="D316" i="15"/>
  <c r="J6" i="4" s="1"/>
  <c r="C316" i="15"/>
  <c r="I6" i="4" s="1"/>
  <c r="C317" i="15"/>
  <c r="I7" i="4" s="1"/>
  <c r="D328" i="15"/>
  <c r="J18" i="4" s="1"/>
  <c r="C90" i="16"/>
  <c r="D89" i="16"/>
  <c r="C89" i="16"/>
  <c r="D322" i="14"/>
  <c r="T12" i="4" s="1"/>
  <c r="D325" i="14"/>
  <c r="T15" i="4" s="1"/>
  <c r="D337" i="14"/>
  <c r="T27" i="4" s="1"/>
  <c r="D354" i="14"/>
  <c r="T44" i="4" s="1"/>
  <c r="D357" i="14"/>
  <c r="T47" i="4" s="1"/>
  <c r="C360" i="14"/>
  <c r="S50" i="4" s="1"/>
  <c r="D369" i="14"/>
  <c r="T59" i="4" s="1"/>
  <c r="D372" i="14"/>
  <c r="D34" i="15"/>
  <c r="D46" i="15"/>
  <c r="C59" i="15"/>
  <c r="D66" i="15"/>
  <c r="D78" i="15"/>
  <c r="D85" i="15"/>
  <c r="C73" i="15"/>
  <c r="C92" i="15"/>
  <c r="D104" i="15"/>
  <c r="C102" i="15"/>
  <c r="D105" i="15"/>
  <c r="D125" i="15"/>
  <c r="C113" i="15"/>
  <c r="D116" i="15"/>
  <c r="D137" i="15"/>
  <c r="C137" i="15"/>
  <c r="D149" i="15"/>
  <c r="D145" i="15"/>
  <c r="D157" i="15"/>
  <c r="C154" i="15"/>
  <c r="D154" i="15"/>
  <c r="C161" i="15"/>
  <c r="C174" i="15"/>
  <c r="C178" i="15"/>
  <c r="D178" i="15"/>
  <c r="D182" i="15"/>
  <c r="C187" i="15"/>
  <c r="D190" i="15"/>
  <c r="C204" i="15"/>
  <c r="C205" i="15"/>
  <c r="D204" i="15"/>
  <c r="D216" i="15"/>
  <c r="D209" i="15"/>
  <c r="C209" i="15"/>
  <c r="D214" i="15"/>
  <c r="D228" i="15"/>
  <c r="D238" i="15"/>
  <c r="C243" i="15"/>
  <c r="D253" i="15"/>
  <c r="D292" i="15"/>
  <c r="C292" i="15"/>
  <c r="C293" i="15"/>
  <c r="D304" i="15"/>
  <c r="D356" i="15"/>
  <c r="J46" i="4" s="1"/>
  <c r="C356" i="15"/>
  <c r="I46" i="4" s="1"/>
  <c r="C357" i="15"/>
  <c r="I47" i="4" s="1"/>
  <c r="D368" i="15"/>
  <c r="J58" i="4" s="1"/>
  <c r="D36" i="16"/>
  <c r="C36" i="16"/>
  <c r="D68" i="16"/>
  <c r="C68" i="16"/>
  <c r="C151" i="16"/>
  <c r="D150" i="16"/>
  <c r="C150" i="16"/>
  <c r="D174" i="16"/>
  <c r="C174" i="16"/>
  <c r="C175" i="16"/>
  <c r="C317" i="14"/>
  <c r="S7" i="4" s="1"/>
  <c r="D331" i="14"/>
  <c r="T21" i="4" s="1"/>
  <c r="D334" i="14"/>
  <c r="T24" i="4" s="1"/>
  <c r="C337" i="14"/>
  <c r="S27" i="4" s="1"/>
  <c r="D340" i="14"/>
  <c r="T30" i="4" s="1"/>
  <c r="C346" i="14"/>
  <c r="S36" i="4" s="1"/>
  <c r="C349" i="14"/>
  <c r="S39" i="4" s="1"/>
  <c r="D366" i="14"/>
  <c r="T56" i="4" s="1"/>
  <c r="C369" i="14"/>
  <c r="S59" i="4" s="1"/>
  <c r="C12" i="15"/>
  <c r="D21" i="15"/>
  <c r="C34" i="15"/>
  <c r="D41" i="15"/>
  <c r="C52" i="15"/>
  <c r="D55" i="15"/>
  <c r="D59" i="15"/>
  <c r="C66" i="15"/>
  <c r="D73" i="15"/>
  <c r="D84" i="15"/>
  <c r="C88" i="15"/>
  <c r="D92" i="15"/>
  <c r="D102" i="15"/>
  <c r="D113" i="15"/>
  <c r="D121" i="15"/>
  <c r="C121" i="15"/>
  <c r="D133" i="15"/>
  <c r="D129" i="15"/>
  <c r="D141" i="15"/>
  <c r="C138" i="15"/>
  <c r="D138" i="15"/>
  <c r="C145" i="15"/>
  <c r="C158" i="15"/>
  <c r="C162" i="15"/>
  <c r="D162" i="15"/>
  <c r="D166" i="15"/>
  <c r="C171" i="15"/>
  <c r="D174" i="15"/>
  <c r="C179" i="15"/>
  <c r="C210" i="15"/>
  <c r="D210" i="15"/>
  <c r="C220" i="15"/>
  <c r="C221" i="15"/>
  <c r="D232" i="15"/>
  <c r="D220" i="15"/>
  <c r="C234" i="15"/>
  <c r="D234" i="15"/>
  <c r="D249" i="15"/>
  <c r="D261" i="15"/>
  <c r="D254" i="15"/>
  <c r="C254" i="15"/>
  <c r="D332" i="15"/>
  <c r="J22" i="4" s="1"/>
  <c r="C332" i="15"/>
  <c r="I22" i="4" s="1"/>
  <c r="C333" i="15"/>
  <c r="I23" i="4" s="1"/>
  <c r="D344" i="15"/>
  <c r="J34" i="4" s="1"/>
  <c r="D329" i="14"/>
  <c r="T19" i="4" s="1"/>
  <c r="C332" i="14"/>
  <c r="S22" i="4" s="1"/>
  <c r="D361" i="14"/>
  <c r="T51" i="4" s="1"/>
  <c r="C364" i="14"/>
  <c r="S54" i="4" s="1"/>
  <c r="C370" i="14"/>
  <c r="S60" i="4" s="1"/>
  <c r="C18" i="15"/>
  <c r="C28" i="15"/>
  <c r="C35" i="15"/>
  <c r="C38" i="15"/>
  <c r="D42" i="15"/>
  <c r="D54" i="15"/>
  <c r="D45" i="15"/>
  <c r="C67" i="15"/>
  <c r="C70" i="15"/>
  <c r="D77" i="15"/>
  <c r="C89" i="15"/>
  <c r="D101" i="15"/>
  <c r="D106" i="15"/>
  <c r="C114" i="15"/>
  <c r="C117" i="15"/>
  <c r="C122" i="15"/>
  <c r="D122" i="15"/>
  <c r="C129" i="15"/>
  <c r="C142" i="15"/>
  <c r="C146" i="15"/>
  <c r="D146" i="15"/>
  <c r="D150" i="15"/>
  <c r="C155" i="15"/>
  <c r="C163" i="15"/>
  <c r="D179" i="15"/>
  <c r="C183" i="15"/>
  <c r="D225" i="15"/>
  <c r="D237" i="15"/>
  <c r="C225" i="15"/>
  <c r="C239" i="15"/>
  <c r="D268" i="15"/>
  <c r="C268" i="15"/>
  <c r="C269" i="15"/>
  <c r="D280" i="15"/>
  <c r="D308" i="15"/>
  <c r="C308" i="15"/>
  <c r="C309" i="15"/>
  <c r="D320" i="15"/>
  <c r="J10" i="4" s="1"/>
  <c r="D44" i="16"/>
  <c r="C44" i="16"/>
  <c r="D81" i="16"/>
  <c r="C81" i="16"/>
  <c r="C82" i="16"/>
  <c r="D165" i="16"/>
  <c r="C165" i="16"/>
  <c r="C329" i="14"/>
  <c r="S19" i="4" s="1"/>
  <c r="D332" i="14"/>
  <c r="T22" i="4" s="1"/>
  <c r="C361" i="14"/>
  <c r="S51" i="4" s="1"/>
  <c r="D364" i="14"/>
  <c r="T54" i="4" s="1"/>
  <c r="D370" i="14"/>
  <c r="T60" i="4" s="1"/>
  <c r="C19" i="15"/>
  <c r="C22" i="15"/>
  <c r="D28" i="15"/>
  <c r="D35" i="15"/>
  <c r="C42" i="15"/>
  <c r="D49" i="15"/>
  <c r="C60" i="15"/>
  <c r="D67" i="15"/>
  <c r="C74" i="15"/>
  <c r="D81" i="15"/>
  <c r="C85" i="15"/>
  <c r="D89" i="15"/>
  <c r="C93" i="15"/>
  <c r="D96" i="15"/>
  <c r="D112" i="15"/>
  <c r="C100" i="15"/>
  <c r="D110" i="15"/>
  <c r="D114" i="15"/>
  <c r="C130" i="15"/>
  <c r="D130" i="15"/>
  <c r="D134" i="15"/>
  <c r="C147" i="15"/>
  <c r="D163" i="15"/>
  <c r="C167" i="15"/>
  <c r="D206" i="15"/>
  <c r="C211" i="15"/>
  <c r="D221" i="15"/>
  <c r="D230" i="15"/>
  <c r="C235" i="15"/>
  <c r="C250" i="15"/>
  <c r="D250" i="15"/>
  <c r="C251" i="15"/>
  <c r="C255" i="15"/>
  <c r="D284" i="15"/>
  <c r="C284" i="15"/>
  <c r="C285" i="15"/>
  <c r="D296" i="15"/>
  <c r="D348" i="15"/>
  <c r="J38" i="4" s="1"/>
  <c r="C348" i="15"/>
  <c r="I38" i="4" s="1"/>
  <c r="C349" i="15"/>
  <c r="I39" i="4" s="1"/>
  <c r="D360" i="15"/>
  <c r="J50" i="4" s="1"/>
  <c r="D20" i="16"/>
  <c r="C20" i="16"/>
  <c r="D109" i="16"/>
  <c r="D121" i="16"/>
  <c r="C109" i="16"/>
  <c r="D186" i="16"/>
  <c r="C195" i="16"/>
  <c r="D194" i="16"/>
  <c r="D252" i="16"/>
  <c r="C252" i="16"/>
  <c r="D87" i="15"/>
  <c r="C90" i="15"/>
  <c r="D107" i="15"/>
  <c r="C132" i="15"/>
  <c r="D135" i="15"/>
  <c r="D144" i="15"/>
  <c r="C148" i="15"/>
  <c r="D151" i="15"/>
  <c r="D160" i="15"/>
  <c r="C164" i="15"/>
  <c r="D167" i="15"/>
  <c r="D176" i="15"/>
  <c r="C180" i="15"/>
  <c r="D183" i="15"/>
  <c r="D192" i="15"/>
  <c r="C196" i="15"/>
  <c r="D199" i="15"/>
  <c r="D213" i="15"/>
  <c r="D245" i="15"/>
  <c r="C15" i="16"/>
  <c r="D32" i="16"/>
  <c r="D40" i="16"/>
  <c r="D48" i="16"/>
  <c r="D56" i="16"/>
  <c r="D64" i="16"/>
  <c r="C73" i="16"/>
  <c r="D133" i="16"/>
  <c r="C133" i="16"/>
  <c r="D142" i="16"/>
  <c r="C142" i="16"/>
  <c r="C143" i="16"/>
  <c r="D154" i="16"/>
  <c r="C163" i="16"/>
  <c r="D162" i="16"/>
  <c r="C166" i="16"/>
  <c r="C194" i="16"/>
  <c r="D235" i="16"/>
  <c r="D223" i="16"/>
  <c r="D244" i="16"/>
  <c r="D284" i="16"/>
  <c r="C284" i="16"/>
  <c r="C10" i="16"/>
  <c r="D101" i="16"/>
  <c r="C101" i="16"/>
  <c r="D110" i="16"/>
  <c r="C110" i="16"/>
  <c r="C111" i="16"/>
  <c r="D122" i="16"/>
  <c r="C131" i="16"/>
  <c r="D130" i="16"/>
  <c r="D179" i="16"/>
  <c r="D203" i="16"/>
  <c r="D191" i="16"/>
  <c r="D212" i="16"/>
  <c r="C250" i="16"/>
  <c r="D249" i="16"/>
  <c r="C259" i="16"/>
  <c r="D258" i="16"/>
  <c r="C258" i="16"/>
  <c r="D29" i="16"/>
  <c r="C29" i="16"/>
  <c r="C30" i="16"/>
  <c r="D37" i="16"/>
  <c r="C37" i="16"/>
  <c r="C38" i="16"/>
  <c r="D45" i="16"/>
  <c r="C45" i="16"/>
  <c r="C46" i="16"/>
  <c r="D53" i="16"/>
  <c r="C53" i="16"/>
  <c r="C54" i="16"/>
  <c r="D61" i="16"/>
  <c r="C61" i="16"/>
  <c r="C62" i="16"/>
  <c r="D69" i="16"/>
  <c r="C69" i="16"/>
  <c r="C74" i="16"/>
  <c r="D78" i="16"/>
  <c r="C78" i="16"/>
  <c r="C79" i="16"/>
  <c r="C86" i="16"/>
  <c r="D90" i="16"/>
  <c r="C99" i="16"/>
  <c r="D98" i="16"/>
  <c r="C102" i="16"/>
  <c r="D147" i="16"/>
  <c r="D171" i="16"/>
  <c r="D159" i="16"/>
  <c r="C191" i="16"/>
  <c r="D208" i="16"/>
  <c r="C232" i="16"/>
  <c r="D232" i="16"/>
  <c r="C249" i="16"/>
  <c r="C282" i="16"/>
  <c r="D281" i="16"/>
  <c r="D372" i="15"/>
  <c r="C372" i="15"/>
  <c r="I62" i="4" s="1"/>
  <c r="D41" i="16"/>
  <c r="D49" i="16"/>
  <c r="D57" i="16"/>
  <c r="D65" i="16"/>
  <c r="C70" i="16"/>
  <c r="D74" i="16"/>
  <c r="D86" i="16"/>
  <c r="D115" i="16"/>
  <c r="D139" i="16"/>
  <c r="D127" i="16"/>
  <c r="C200" i="16"/>
  <c r="D200" i="16"/>
  <c r="D209" i="16"/>
  <c r="C209" i="16"/>
  <c r="C210" i="16"/>
  <c r="C220" i="16"/>
  <c r="C233" i="16"/>
  <c r="D272" i="16"/>
  <c r="C281" i="16"/>
  <c r="D103" i="15"/>
  <c r="C106" i="15"/>
  <c r="C124" i="15"/>
  <c r="D127" i="15"/>
  <c r="C140" i="15"/>
  <c r="D143" i="15"/>
  <c r="C156" i="15"/>
  <c r="D159" i="15"/>
  <c r="C172" i="15"/>
  <c r="D175" i="15"/>
  <c r="C188" i="15"/>
  <c r="D191" i="15"/>
  <c r="D197" i="15"/>
  <c r="D200" i="15"/>
  <c r="D215" i="15"/>
  <c r="D247" i="15"/>
  <c r="D22" i="16"/>
  <c r="D26" i="16"/>
  <c r="D38" i="16"/>
  <c r="D46" i="16"/>
  <c r="D54" i="16"/>
  <c r="D62" i="16"/>
  <c r="C67" i="16"/>
  <c r="D66" i="16"/>
  <c r="D83" i="16"/>
  <c r="D107" i="16"/>
  <c r="D95" i="16"/>
  <c r="C103" i="16"/>
  <c r="C127" i="16"/>
  <c r="D144" i="16"/>
  <c r="D156" i="16"/>
  <c r="C168" i="16"/>
  <c r="D168" i="16"/>
  <c r="D177" i="16"/>
  <c r="C177" i="16"/>
  <c r="C178" i="16"/>
  <c r="C188" i="16"/>
  <c r="C196" i="16"/>
  <c r="C201" i="16"/>
  <c r="C217" i="16"/>
  <c r="C237" i="16"/>
  <c r="C247" i="16"/>
  <c r="D246" i="16"/>
  <c r="D267" i="16"/>
  <c r="D255" i="16"/>
  <c r="C255" i="16"/>
  <c r="C212" i="15"/>
  <c r="C213" i="15"/>
  <c r="C226" i="15"/>
  <c r="D226" i="15"/>
  <c r="C244" i="15"/>
  <c r="C245" i="15"/>
  <c r="C258" i="15"/>
  <c r="D258" i="15"/>
  <c r="D277" i="15"/>
  <c r="D285" i="15"/>
  <c r="D293" i="15"/>
  <c r="D301" i="15"/>
  <c r="D309" i="15"/>
  <c r="D317" i="15"/>
  <c r="J7" i="4" s="1"/>
  <c r="D325" i="15"/>
  <c r="J15" i="4" s="1"/>
  <c r="D333" i="15"/>
  <c r="J23" i="4" s="1"/>
  <c r="D341" i="15"/>
  <c r="J31" i="4" s="1"/>
  <c r="D349" i="15"/>
  <c r="J39" i="4" s="1"/>
  <c r="D357" i="15"/>
  <c r="J47" i="4" s="1"/>
  <c r="D365" i="15"/>
  <c r="J55" i="4" s="1"/>
  <c r="C18" i="16"/>
  <c r="C26" i="16"/>
  <c r="C34" i="16"/>
  <c r="C42" i="16"/>
  <c r="C50" i="16"/>
  <c r="C56" i="16"/>
  <c r="D67" i="16"/>
  <c r="C58" i="16"/>
  <c r="D75" i="16"/>
  <c r="C64" i="16"/>
  <c r="C66" i="16"/>
  <c r="D84" i="16"/>
  <c r="C136" i="16"/>
  <c r="D136" i="16"/>
  <c r="D145" i="16"/>
  <c r="C145" i="16"/>
  <c r="C146" i="16"/>
  <c r="C156" i="16"/>
  <c r="C164" i="16"/>
  <c r="C169" i="16"/>
  <c r="D217" i="16"/>
  <c r="D229" i="16"/>
  <c r="C229" i="16"/>
  <c r="C246" i="16"/>
  <c r="C279" i="16"/>
  <c r="D278" i="16"/>
  <c r="C98" i="15"/>
  <c r="C185" i="15"/>
  <c r="C201" i="15"/>
  <c r="D208" i="15"/>
  <c r="D212" i="15"/>
  <c r="D223" i="15"/>
  <c r="C233" i="15"/>
  <c r="D244" i="15"/>
  <c r="D255" i="15"/>
  <c r="C265" i="15"/>
  <c r="C273" i="15"/>
  <c r="C281" i="15"/>
  <c r="C289" i="15"/>
  <c r="C297" i="15"/>
  <c r="C305" i="15"/>
  <c r="C313" i="15"/>
  <c r="C321" i="15"/>
  <c r="I11" i="4" s="1"/>
  <c r="C329" i="15"/>
  <c r="I19" i="4" s="1"/>
  <c r="C337" i="15"/>
  <c r="I27" i="4" s="1"/>
  <c r="C345" i="15"/>
  <c r="I35" i="4" s="1"/>
  <c r="C353" i="15"/>
  <c r="I43" i="4" s="1"/>
  <c r="C361" i="15"/>
  <c r="I51" i="4" s="1"/>
  <c r="C369" i="15"/>
  <c r="I59" i="4" s="1"/>
  <c r="C19" i="16"/>
  <c r="C23" i="16"/>
  <c r="C27" i="16"/>
  <c r="C31" i="16"/>
  <c r="C35" i="16"/>
  <c r="C39" i="16"/>
  <c r="C43" i="16"/>
  <c r="C47" i="16"/>
  <c r="C51" i="16"/>
  <c r="C55" i="16"/>
  <c r="C59" i="16"/>
  <c r="C63" i="16"/>
  <c r="D80" i="16"/>
  <c r="D92" i="16"/>
  <c r="C104" i="16"/>
  <c r="D104" i="16"/>
  <c r="D113" i="16"/>
  <c r="C113" i="16"/>
  <c r="C114" i="16"/>
  <c r="C124" i="16"/>
  <c r="C137" i="16"/>
  <c r="C153" i="16"/>
  <c r="C173" i="16"/>
  <c r="D185" i="16"/>
  <c r="D197" i="16"/>
  <c r="C197" i="16"/>
  <c r="D206" i="16"/>
  <c r="C206" i="16"/>
  <c r="C207" i="16"/>
  <c r="C214" i="16"/>
  <c r="D218" i="16"/>
  <c r="C227" i="16"/>
  <c r="D226" i="16"/>
  <c r="C230" i="16"/>
  <c r="C269" i="16"/>
  <c r="C278" i="16"/>
  <c r="D266" i="15"/>
  <c r="D274" i="15"/>
  <c r="D282" i="15"/>
  <c r="D290" i="15"/>
  <c r="D298" i="15"/>
  <c r="D306" i="15"/>
  <c r="D314" i="15"/>
  <c r="J4" i="4" s="1"/>
  <c r="D322" i="15"/>
  <c r="J12" i="4" s="1"/>
  <c r="D330" i="15"/>
  <c r="J20" i="4" s="1"/>
  <c r="D338" i="15"/>
  <c r="J28" i="4" s="1"/>
  <c r="D346" i="15"/>
  <c r="J36" i="4" s="1"/>
  <c r="D354" i="15"/>
  <c r="J44" i="4" s="1"/>
  <c r="D362" i="15"/>
  <c r="J52" i="4" s="1"/>
  <c r="D370" i="15"/>
  <c r="J60" i="4" s="1"/>
  <c r="D19" i="16"/>
  <c r="D27" i="16"/>
  <c r="D35" i="16"/>
  <c r="D43" i="16"/>
  <c r="D51" i="16"/>
  <c r="D59" i="16"/>
  <c r="D70" i="16"/>
  <c r="D73" i="16"/>
  <c r="D85" i="16"/>
  <c r="D102" i="16"/>
  <c r="D105" i="16"/>
  <c r="D117" i="16"/>
  <c r="D134" i="16"/>
  <c r="D137" i="16"/>
  <c r="D149" i="16"/>
  <c r="D166" i="16"/>
  <c r="D169" i="16"/>
  <c r="D181" i="16"/>
  <c r="D198" i="16"/>
  <c r="D201" i="16"/>
  <c r="D213" i="16"/>
  <c r="D230" i="16"/>
  <c r="D233" i="16"/>
  <c r="C239" i="16"/>
  <c r="C242" i="16"/>
  <c r="D245" i="16"/>
  <c r="D262" i="16"/>
  <c r="D265" i="16"/>
  <c r="C271" i="16"/>
  <c r="C274" i="16"/>
  <c r="D277" i="16"/>
  <c r="D294" i="16"/>
  <c r="D297" i="16"/>
  <c r="C303" i="16"/>
  <c r="C306" i="16"/>
  <c r="D309" i="16"/>
  <c r="D323" i="16"/>
  <c r="V13" i="4" s="1"/>
  <c r="D326" i="16"/>
  <c r="V16" i="4" s="1"/>
  <c r="C339" i="16"/>
  <c r="U29" i="4" s="1"/>
  <c r="C342" i="16"/>
  <c r="U32" i="4" s="1"/>
  <c r="C356" i="16"/>
  <c r="U46" i="4" s="1"/>
  <c r="D356" i="16"/>
  <c r="V46" i="4" s="1"/>
  <c r="D361" i="16"/>
  <c r="V51" i="4" s="1"/>
  <c r="C361" i="16"/>
  <c r="U51" i="4" s="1"/>
  <c r="C371" i="16"/>
  <c r="U61" i="4" s="1"/>
  <c r="C16" i="17"/>
  <c r="C21" i="17"/>
  <c r="D21" i="17"/>
  <c r="D26" i="17"/>
  <c r="C26" i="17"/>
  <c r="D40" i="17"/>
  <c r="C45" i="17"/>
  <c r="D190" i="17"/>
  <c r="C190" i="17"/>
  <c r="D254" i="17"/>
  <c r="C254" i="17"/>
  <c r="D294" i="17"/>
  <c r="C294" i="17"/>
  <c r="D362" i="16"/>
  <c r="V52" i="4" s="1"/>
  <c r="C362" i="16"/>
  <c r="U52" i="4" s="1"/>
  <c r="D27" i="17"/>
  <c r="C27" i="17"/>
  <c r="D33" i="17"/>
  <c r="C33" i="17"/>
  <c r="D45" i="17"/>
  <c r="D46" i="17"/>
  <c r="C46" i="17"/>
  <c r="D59" i="17"/>
  <c r="C59" i="17"/>
  <c r="D157" i="17"/>
  <c r="C145" i="17"/>
  <c r="D150" i="17"/>
  <c r="C150" i="17"/>
  <c r="D214" i="17"/>
  <c r="C214" i="17"/>
  <c r="D278" i="17"/>
  <c r="C278" i="17"/>
  <c r="D34" i="17"/>
  <c r="C34" i="17"/>
  <c r="D47" i="17"/>
  <c r="C47" i="17"/>
  <c r="D60" i="17"/>
  <c r="C60" i="17"/>
  <c r="D77" i="17"/>
  <c r="C65" i="17"/>
  <c r="D70" i="17"/>
  <c r="C70" i="17"/>
  <c r="D93" i="17"/>
  <c r="C81" i="17"/>
  <c r="D86" i="17"/>
  <c r="C86" i="17"/>
  <c r="D109" i="17"/>
  <c r="C97" i="17"/>
  <c r="D102" i="17"/>
  <c r="C102" i="17"/>
  <c r="D125" i="17"/>
  <c r="C113" i="17"/>
  <c r="D118" i="17"/>
  <c r="C118" i="17"/>
  <c r="D141" i="17"/>
  <c r="C129" i="17"/>
  <c r="D134" i="17"/>
  <c r="C134" i="17"/>
  <c r="D145" i="17"/>
  <c r="D174" i="17"/>
  <c r="C174" i="17"/>
  <c r="D238" i="17"/>
  <c r="C238" i="17"/>
  <c r="C301" i="16"/>
  <c r="D304" i="16"/>
  <c r="D334" i="16"/>
  <c r="V24" i="4" s="1"/>
  <c r="D353" i="16"/>
  <c r="V43" i="4" s="1"/>
  <c r="C353" i="16"/>
  <c r="U43" i="4" s="1"/>
  <c r="C359" i="16"/>
  <c r="U49" i="4" s="1"/>
  <c r="D358" i="16"/>
  <c r="V48" i="4" s="1"/>
  <c r="D363" i="16"/>
  <c r="V53" i="4" s="1"/>
  <c r="D24" i="17"/>
  <c r="C12" i="17"/>
  <c r="C24" i="17"/>
  <c r="D23" i="17"/>
  <c r="D28" i="17"/>
  <c r="C61" i="17"/>
  <c r="D71" i="17"/>
  <c r="C71" i="17"/>
  <c r="C72" i="17"/>
  <c r="D83" i="17"/>
  <c r="D81" i="17"/>
  <c r="D87" i="17"/>
  <c r="C87" i="17"/>
  <c r="C88" i="17"/>
  <c r="D99" i="17"/>
  <c r="D97" i="17"/>
  <c r="D103" i="17"/>
  <c r="C103" i="17"/>
  <c r="C104" i="17"/>
  <c r="D115" i="17"/>
  <c r="D113" i="17"/>
  <c r="D119" i="17"/>
  <c r="C119" i="17"/>
  <c r="C120" i="17"/>
  <c r="D131" i="17"/>
  <c r="D129" i="17"/>
  <c r="D135" i="17"/>
  <c r="C135" i="17"/>
  <c r="C136" i="17"/>
  <c r="D147" i="17"/>
  <c r="D198" i="17"/>
  <c r="C198" i="17"/>
  <c r="D262" i="17"/>
  <c r="C262" i="17"/>
  <c r="D261" i="16"/>
  <c r="C287" i="16"/>
  <c r="C290" i="16"/>
  <c r="D293" i="16"/>
  <c r="D310" i="16"/>
  <c r="D313" i="16"/>
  <c r="C316" i="16"/>
  <c r="U6" i="4" s="1"/>
  <c r="C319" i="16"/>
  <c r="U9" i="4" s="1"/>
  <c r="C322" i="16"/>
  <c r="U12" i="4" s="1"/>
  <c r="D325" i="16"/>
  <c r="V15" i="4" s="1"/>
  <c r="D331" i="16"/>
  <c r="V21" i="4" s="1"/>
  <c r="D343" i="16"/>
  <c r="V33" i="4" s="1"/>
  <c r="D346" i="16"/>
  <c r="V36" i="4" s="1"/>
  <c r="C358" i="16"/>
  <c r="U48" i="4" s="1"/>
  <c r="C364" i="16"/>
  <c r="U54" i="4" s="1"/>
  <c r="D364" i="16"/>
  <c r="V54" i="4" s="1"/>
  <c r="C13" i="17"/>
  <c r="D19" i="17"/>
  <c r="C23" i="17"/>
  <c r="C29" i="17"/>
  <c r="C35" i="17"/>
  <c r="C48" i="17"/>
  <c r="C76" i="17"/>
  <c r="C92" i="17"/>
  <c r="C108" i="17"/>
  <c r="D165" i="17"/>
  <c r="C153" i="17"/>
  <c r="D158" i="17"/>
  <c r="C158" i="17"/>
  <c r="D222" i="17"/>
  <c r="C222" i="17"/>
  <c r="D286" i="17"/>
  <c r="C286" i="17"/>
  <c r="C238" i="16"/>
  <c r="C241" i="16"/>
  <c r="C261" i="16"/>
  <c r="D264" i="16"/>
  <c r="C270" i="16"/>
  <c r="C273" i="16"/>
  <c r="D287" i="16"/>
  <c r="D290" i="16"/>
  <c r="C293" i="16"/>
  <c r="D296" i="16"/>
  <c r="C302" i="16"/>
  <c r="C305" i="16"/>
  <c r="D322" i="16"/>
  <c r="V12" i="4" s="1"/>
  <c r="C325" i="16"/>
  <c r="U15" i="4" s="1"/>
  <c r="D328" i="16"/>
  <c r="V18" i="4" s="1"/>
  <c r="C332" i="16"/>
  <c r="U22" i="4" s="1"/>
  <c r="C335" i="16"/>
  <c r="U25" i="4" s="1"/>
  <c r="C338" i="16"/>
  <c r="U28" i="4" s="1"/>
  <c r="C341" i="16"/>
  <c r="U31" i="4" s="1"/>
  <c r="D350" i="16"/>
  <c r="V40" i="4" s="1"/>
  <c r="C354" i="16"/>
  <c r="U44" i="4" s="1"/>
  <c r="D365" i="16"/>
  <c r="V55" i="4" s="1"/>
  <c r="C365" i="16"/>
  <c r="U55" i="4" s="1"/>
  <c r="D30" i="17"/>
  <c r="C30" i="17"/>
  <c r="D35" i="17"/>
  <c r="D43" i="17"/>
  <c r="C43" i="17"/>
  <c r="D49" i="17"/>
  <c r="C49" i="17"/>
  <c r="D72" i="17"/>
  <c r="D88" i="17"/>
  <c r="D104" i="17"/>
  <c r="D120" i="17"/>
  <c r="D136" i="17"/>
  <c r="D153" i="17"/>
  <c r="D182" i="17"/>
  <c r="C182" i="17"/>
  <c r="D246" i="17"/>
  <c r="C246" i="17"/>
  <c r="D93" i="16"/>
  <c r="C96" i="16"/>
  <c r="D125" i="16"/>
  <c r="C128" i="16"/>
  <c r="D157" i="16"/>
  <c r="C160" i="16"/>
  <c r="D189" i="16"/>
  <c r="C192" i="16"/>
  <c r="D221" i="16"/>
  <c r="C224" i="16"/>
  <c r="D253" i="16"/>
  <c r="C256" i="16"/>
  <c r="D285" i="16"/>
  <c r="C288" i="16"/>
  <c r="D317" i="16"/>
  <c r="V7" i="4" s="1"/>
  <c r="C320" i="16"/>
  <c r="U10" i="4" s="1"/>
  <c r="D329" i="16"/>
  <c r="V19" i="4" s="1"/>
  <c r="D332" i="16"/>
  <c r="V22" i="4" s="1"/>
  <c r="C366" i="16"/>
  <c r="U56" i="4" s="1"/>
  <c r="C367" i="16"/>
  <c r="U57" i="4" s="1"/>
  <c r="D32" i="17"/>
  <c r="D20" i="17"/>
  <c r="D31" i="17"/>
  <c r="C31" i="17"/>
  <c r="D50" i="17"/>
  <c r="C50" i="17"/>
  <c r="D62" i="17"/>
  <c r="D85" i="17"/>
  <c r="C73" i="17"/>
  <c r="D78" i="17"/>
  <c r="C78" i="17"/>
  <c r="D101" i="17"/>
  <c r="C89" i="17"/>
  <c r="D94" i="17"/>
  <c r="C94" i="17"/>
  <c r="D117" i="17"/>
  <c r="C105" i="17"/>
  <c r="D110" i="17"/>
  <c r="C110" i="17"/>
  <c r="D133" i="17"/>
  <c r="C121" i="17"/>
  <c r="D126" i="17"/>
  <c r="C126" i="17"/>
  <c r="D149" i="17"/>
  <c r="C137" i="17"/>
  <c r="D142" i="17"/>
  <c r="C142" i="17"/>
  <c r="D206" i="17"/>
  <c r="C206" i="17"/>
  <c r="D270" i="17"/>
  <c r="C270" i="17"/>
  <c r="C93" i="16"/>
  <c r="D96" i="16"/>
  <c r="C125" i="16"/>
  <c r="D128" i="16"/>
  <c r="C157" i="16"/>
  <c r="D160" i="16"/>
  <c r="C189" i="16"/>
  <c r="D192" i="16"/>
  <c r="C221" i="16"/>
  <c r="D224" i="16"/>
  <c r="C253" i="16"/>
  <c r="D256" i="16"/>
  <c r="C285" i="16"/>
  <c r="D288" i="16"/>
  <c r="C317" i="16"/>
  <c r="U7" i="4" s="1"/>
  <c r="D320" i="16"/>
  <c r="V10" i="4" s="1"/>
  <c r="C329" i="16"/>
  <c r="U19" i="4" s="1"/>
  <c r="D347" i="16"/>
  <c r="V37" i="4" s="1"/>
  <c r="C355" i="16"/>
  <c r="U45" i="4" s="1"/>
  <c r="D360" i="16"/>
  <c r="V50" i="4" s="1"/>
  <c r="D366" i="16"/>
  <c r="V56" i="4" s="1"/>
  <c r="D370" i="16"/>
  <c r="V60" i="4" s="1"/>
  <c r="C20" i="17"/>
  <c r="D25" i="17"/>
  <c r="D44" i="17"/>
  <c r="D73" i="17"/>
  <c r="D79" i="17"/>
  <c r="C79" i="17"/>
  <c r="C80" i="17"/>
  <c r="D91" i="17"/>
  <c r="D89" i="17"/>
  <c r="D95" i="17"/>
  <c r="C95" i="17"/>
  <c r="C96" i="17"/>
  <c r="D107" i="17"/>
  <c r="D105" i="17"/>
  <c r="D111" i="17"/>
  <c r="C111" i="17"/>
  <c r="C112" i="17"/>
  <c r="D123" i="17"/>
  <c r="D121" i="17"/>
  <c r="D127" i="17"/>
  <c r="C127" i="17"/>
  <c r="C128" i="17"/>
  <c r="D139" i="17"/>
  <c r="D132" i="17"/>
  <c r="D144" i="17"/>
  <c r="D137" i="17"/>
  <c r="D143" i="17"/>
  <c r="C143" i="17"/>
  <c r="C144" i="17"/>
  <c r="D155" i="17"/>
  <c r="D166" i="17"/>
  <c r="C166" i="17"/>
  <c r="D230" i="17"/>
  <c r="C230" i="17"/>
  <c r="D329" i="17"/>
  <c r="AB19" i="4" s="1"/>
  <c r="D341" i="17"/>
  <c r="AB31" i="4" s="1"/>
  <c r="D348" i="17"/>
  <c r="AB38" i="4" s="1"/>
  <c r="C348" i="17"/>
  <c r="AA38" i="4" s="1"/>
  <c r="D360" i="17"/>
  <c r="AB50" i="4" s="1"/>
  <c r="D39" i="17"/>
  <c r="D42" i="17"/>
  <c r="C42" i="17"/>
  <c r="D48" i="17"/>
  <c r="D55" i="17"/>
  <c r="D58" i="17"/>
  <c r="C69" i="17"/>
  <c r="C77" i="17"/>
  <c r="C85" i="17"/>
  <c r="C93" i="17"/>
  <c r="C101" i="17"/>
  <c r="C109" i="17"/>
  <c r="C117" i="17"/>
  <c r="C125" i="17"/>
  <c r="C133" i="17"/>
  <c r="C141" i="17"/>
  <c r="C149" i="17"/>
  <c r="C157" i="17"/>
  <c r="C161" i="17"/>
  <c r="C165" i="17"/>
  <c r="C169" i="17"/>
  <c r="C173" i="17"/>
  <c r="C177" i="17"/>
  <c r="C181" i="17"/>
  <c r="C185" i="17"/>
  <c r="C189" i="17"/>
  <c r="C193" i="17"/>
  <c r="C197" i="17"/>
  <c r="C201" i="17"/>
  <c r="C205" i="17"/>
  <c r="C209" i="17"/>
  <c r="C213" i="17"/>
  <c r="C217" i="17"/>
  <c r="C221" i="17"/>
  <c r="C225" i="17"/>
  <c r="C229" i="17"/>
  <c r="C233" i="17"/>
  <c r="C237" i="17"/>
  <c r="C241" i="17"/>
  <c r="C245" i="17"/>
  <c r="C249" i="17"/>
  <c r="C253" i="17"/>
  <c r="C257" i="17"/>
  <c r="C261" i="17"/>
  <c r="C265" i="17"/>
  <c r="C273" i="17"/>
  <c r="C281" i="17"/>
  <c r="D330" i="17"/>
  <c r="AB20" i="4" s="1"/>
  <c r="D345" i="17"/>
  <c r="AB35" i="4" s="1"/>
  <c r="D357" i="17"/>
  <c r="AB47" i="4" s="1"/>
  <c r="C18" i="17"/>
  <c r="D82" i="17"/>
  <c r="D90" i="17"/>
  <c r="D98" i="17"/>
  <c r="D106" i="17"/>
  <c r="D114" i="17"/>
  <c r="D122" i="17"/>
  <c r="D130" i="17"/>
  <c r="D138" i="17"/>
  <c r="D146" i="17"/>
  <c r="D154" i="17"/>
  <c r="D162" i="17"/>
  <c r="D170" i="17"/>
  <c r="D178" i="17"/>
  <c r="D186" i="17"/>
  <c r="D194" i="17"/>
  <c r="D202" i="17"/>
  <c r="D210" i="17"/>
  <c r="D218" i="17"/>
  <c r="D226" i="17"/>
  <c r="D234" i="17"/>
  <c r="D242" i="17"/>
  <c r="D250" i="17"/>
  <c r="D258" i="17"/>
  <c r="D266" i="17"/>
  <c r="D274" i="17"/>
  <c r="D282" i="17"/>
  <c r="D290" i="17"/>
  <c r="D298" i="17"/>
  <c r="C302" i="17"/>
  <c r="D306" i="17"/>
  <c r="C310" i="17"/>
  <c r="D314" i="17"/>
  <c r="AB4" i="4" s="1"/>
  <c r="C318" i="17"/>
  <c r="AA8" i="4" s="1"/>
  <c r="D322" i="17"/>
  <c r="AB12" i="4" s="1"/>
  <c r="C326" i="17"/>
  <c r="AA16" i="4" s="1"/>
  <c r="D340" i="17"/>
  <c r="AB30" i="4" s="1"/>
  <c r="C340" i="17"/>
  <c r="AA30" i="4" s="1"/>
  <c r="D352" i="17"/>
  <c r="AB42" i="4" s="1"/>
  <c r="C345" i="17"/>
  <c r="AA35" i="4" s="1"/>
  <c r="C14" i="17"/>
  <c r="C37" i="17"/>
  <c r="C40" i="17"/>
  <c r="C53" i="17"/>
  <c r="C56" i="17"/>
  <c r="D63" i="17"/>
  <c r="C63" i="17"/>
  <c r="C341" i="17"/>
  <c r="AA31" i="4" s="1"/>
  <c r="D151" i="17"/>
  <c r="C151" i="17"/>
  <c r="C152" i="17"/>
  <c r="D159" i="17"/>
  <c r="C159" i="17"/>
  <c r="C160" i="17"/>
  <c r="D167" i="17"/>
  <c r="C167" i="17"/>
  <c r="C168" i="17"/>
  <c r="D175" i="17"/>
  <c r="C175" i="17"/>
  <c r="C176" i="17"/>
  <c r="D183" i="17"/>
  <c r="C183" i="17"/>
  <c r="C184" i="17"/>
  <c r="D191" i="17"/>
  <c r="C191" i="17"/>
  <c r="C192" i="17"/>
  <c r="D199" i="17"/>
  <c r="C199" i="17"/>
  <c r="C200" i="17"/>
  <c r="D207" i="17"/>
  <c r="C207" i="17"/>
  <c r="C208" i="17"/>
  <c r="D215" i="17"/>
  <c r="C215" i="17"/>
  <c r="C216" i="17"/>
  <c r="D223" i="17"/>
  <c r="C223" i="17"/>
  <c r="C224" i="17"/>
  <c r="D231" i="17"/>
  <c r="C231" i="17"/>
  <c r="C232" i="17"/>
  <c r="D239" i="17"/>
  <c r="C239" i="17"/>
  <c r="C240" i="17"/>
  <c r="D247" i="17"/>
  <c r="C247" i="17"/>
  <c r="C248" i="17"/>
  <c r="D255" i="17"/>
  <c r="C255" i="17"/>
  <c r="C256" i="17"/>
  <c r="D263" i="17"/>
  <c r="C263" i="17"/>
  <c r="C264" i="17"/>
  <c r="D271" i="17"/>
  <c r="C271" i="17"/>
  <c r="C272" i="17"/>
  <c r="D279" i="17"/>
  <c r="C279" i="17"/>
  <c r="C280" i="17"/>
  <c r="D287" i="17"/>
  <c r="C287" i="17"/>
  <c r="C288" i="17"/>
  <c r="D295" i="17"/>
  <c r="C295" i="17"/>
  <c r="C296" i="17"/>
  <c r="D303" i="17"/>
  <c r="C303" i="17"/>
  <c r="C304" i="17"/>
  <c r="D311" i="17"/>
  <c r="C311" i="17"/>
  <c r="C312" i="17"/>
  <c r="D319" i="17"/>
  <c r="AB9" i="4" s="1"/>
  <c r="C319" i="17"/>
  <c r="AA9" i="4" s="1"/>
  <c r="C320" i="17"/>
  <c r="AA10" i="4" s="1"/>
  <c r="D331" i="17"/>
  <c r="AB21" i="4" s="1"/>
  <c r="D337" i="17"/>
  <c r="AB27" i="4" s="1"/>
  <c r="D349" i="17"/>
  <c r="AB39" i="4" s="1"/>
  <c r="D356" i="17"/>
  <c r="AB46" i="4" s="1"/>
  <c r="C356" i="17"/>
  <c r="AA46" i="4" s="1"/>
  <c r="D368" i="17"/>
  <c r="AB58" i="4" s="1"/>
  <c r="D337" i="16"/>
  <c r="V27" i="4" s="1"/>
  <c r="C340" i="16"/>
  <c r="U30" i="4" s="1"/>
  <c r="D369" i="16"/>
  <c r="V59" i="4" s="1"/>
  <c r="C372" i="16"/>
  <c r="U62" i="4" s="1"/>
  <c r="C64" i="17"/>
  <c r="D75" i="17"/>
  <c r="D163" i="17"/>
  <c r="D171" i="17"/>
  <c r="D179" i="17"/>
  <c r="D187" i="17"/>
  <c r="D195" i="17"/>
  <c r="D203" i="17"/>
  <c r="D211" i="17"/>
  <c r="D219" i="17"/>
  <c r="D227" i="17"/>
  <c r="D235" i="17"/>
  <c r="D243" i="17"/>
  <c r="D251" i="17"/>
  <c r="D259" i="17"/>
  <c r="D267" i="17"/>
  <c r="D275" i="17"/>
  <c r="D283" i="17"/>
  <c r="D291" i="17"/>
  <c r="D299" i="17"/>
  <c r="D307" i="17"/>
  <c r="D315" i="17"/>
  <c r="AB5" i="4" s="1"/>
  <c r="D323" i="17"/>
  <c r="AB13" i="4" s="1"/>
  <c r="D332" i="17"/>
  <c r="AB22" i="4" s="1"/>
  <c r="C332" i="17"/>
  <c r="AA22" i="4" s="1"/>
  <c r="D344" i="17"/>
  <c r="AB34" i="4" s="1"/>
  <c r="C337" i="17"/>
  <c r="AA27" i="4" s="1"/>
  <c r="C357" i="17"/>
  <c r="AA47" i="4" s="1"/>
  <c r="D152" i="17"/>
  <c r="D160" i="17"/>
  <c r="D168" i="17"/>
  <c r="D176" i="17"/>
  <c r="D184" i="17"/>
  <c r="D192" i="17"/>
  <c r="D200" i="17"/>
  <c r="D208" i="17"/>
  <c r="D216" i="17"/>
  <c r="D224" i="17"/>
  <c r="D232" i="17"/>
  <c r="D240" i="17"/>
  <c r="D248" i="17"/>
  <c r="D256" i="17"/>
  <c r="D264" i="17"/>
  <c r="D272" i="17"/>
  <c r="D280" i="17"/>
  <c r="D288" i="17"/>
  <c r="D296" i="17"/>
  <c r="D304" i="17"/>
  <c r="D312" i="17"/>
  <c r="D320" i="17"/>
  <c r="AB10" i="4" s="1"/>
  <c r="D324" i="17"/>
  <c r="AB14" i="4" s="1"/>
  <c r="D336" i="17"/>
  <c r="AB26" i="4" s="1"/>
  <c r="D328" i="17"/>
  <c r="AB18" i="4" s="1"/>
  <c r="C333" i="17"/>
  <c r="AA23" i="4" s="1"/>
  <c r="D338" i="17"/>
  <c r="AB28" i="4" s="1"/>
  <c r="C328" i="17"/>
  <c r="AA18" i="4" s="1"/>
  <c r="C336" i="17"/>
  <c r="AA26" i="4" s="1"/>
  <c r="C344" i="17"/>
  <c r="AA34" i="4" s="1"/>
  <c r="C352" i="17"/>
  <c r="AA42" i="4" s="1"/>
  <c r="C360" i="17"/>
  <c r="AA50" i="4" s="1"/>
  <c r="D365" i="17"/>
  <c r="AB55" i="4" s="1"/>
  <c r="C368" i="17"/>
  <c r="AA58" i="4" s="1"/>
  <c r="D22" i="18"/>
  <c r="D151" i="18"/>
  <c r="D155" i="18"/>
  <c r="C156" i="18"/>
  <c r="C155" i="18"/>
  <c r="D167" i="18"/>
  <c r="C167" i="18"/>
  <c r="C179" i="18"/>
  <c r="D178" i="18"/>
  <c r="D215" i="18"/>
  <c r="D219" i="18"/>
  <c r="C220" i="18"/>
  <c r="C219" i="18"/>
  <c r="D236" i="18"/>
  <c r="D262" i="18"/>
  <c r="D250" i="18"/>
  <c r="C250" i="18"/>
  <c r="D289" i="18"/>
  <c r="D277" i="18"/>
  <c r="D312" i="18"/>
  <c r="C313" i="18"/>
  <c r="D324" i="18"/>
  <c r="AD14" i="4" s="1"/>
  <c r="D320" i="18"/>
  <c r="AD10" i="4" s="1"/>
  <c r="C321" i="18"/>
  <c r="AC11" i="4" s="1"/>
  <c r="D332" i="18"/>
  <c r="AD22" i="4" s="1"/>
  <c r="C320" i="18"/>
  <c r="AC10" i="4" s="1"/>
  <c r="D330" i="18"/>
  <c r="AD20" i="4" s="1"/>
  <c r="D342" i="18"/>
  <c r="AD32" i="4" s="1"/>
  <c r="D355" i="18"/>
  <c r="AD45" i="4" s="1"/>
  <c r="C355" i="18"/>
  <c r="AC45" i="4" s="1"/>
  <c r="C356" i="18"/>
  <c r="AC46" i="4" s="1"/>
  <c r="D35" i="18"/>
  <c r="D38" i="18"/>
  <c r="D109" i="18"/>
  <c r="D119" i="18"/>
  <c r="D122" i="18"/>
  <c r="C126" i="18"/>
  <c r="D138" i="18"/>
  <c r="D126" i="18"/>
  <c r="C153" i="18"/>
  <c r="D152" i="18"/>
  <c r="C217" i="18"/>
  <c r="D216" i="18"/>
  <c r="D259" i="18"/>
  <c r="C259" i="18"/>
  <c r="D271" i="18"/>
  <c r="C260" i="18"/>
  <c r="C296" i="18"/>
  <c r="D295" i="18"/>
  <c r="D346" i="18"/>
  <c r="AD36" i="4" s="1"/>
  <c r="D358" i="18"/>
  <c r="AD48" i="4" s="1"/>
  <c r="C352" i="18"/>
  <c r="AC42" i="4" s="1"/>
  <c r="D351" i="18"/>
  <c r="AD41" i="4" s="1"/>
  <c r="C370" i="18"/>
  <c r="AC60" i="4" s="1"/>
  <c r="C15" i="19"/>
  <c r="D26" i="18"/>
  <c r="D36" i="18"/>
  <c r="D39" i="18"/>
  <c r="C39" i="18"/>
  <c r="D42" i="18"/>
  <c r="D45" i="18"/>
  <c r="D52" i="18"/>
  <c r="D55" i="18"/>
  <c r="C55" i="18"/>
  <c r="D58" i="18"/>
  <c r="D61" i="18"/>
  <c r="D68" i="18"/>
  <c r="D71" i="18"/>
  <c r="C71" i="18"/>
  <c r="D74" i="18"/>
  <c r="D77" i="18"/>
  <c r="D84" i="18"/>
  <c r="D87" i="18"/>
  <c r="C87" i="18"/>
  <c r="D90" i="18"/>
  <c r="D93" i="18"/>
  <c r="D100" i="18"/>
  <c r="D103" i="18"/>
  <c r="C103" i="18"/>
  <c r="D106" i="18"/>
  <c r="D116" i="18"/>
  <c r="D123" i="18"/>
  <c r="C123" i="18"/>
  <c r="D161" i="18"/>
  <c r="D149" i="18"/>
  <c r="C152" i="18"/>
  <c r="D176" i="18"/>
  <c r="D164" i="18"/>
  <c r="C164" i="18"/>
  <c r="C190" i="18"/>
  <c r="D202" i="18"/>
  <c r="C191" i="18"/>
  <c r="D190" i="18"/>
  <c r="D225" i="18"/>
  <c r="D213" i="18"/>
  <c r="C216" i="18"/>
  <c r="C224" i="18"/>
  <c r="D228" i="18"/>
  <c r="C228" i="18"/>
  <c r="C229" i="18"/>
  <c r="C237" i="18"/>
  <c r="C295" i="18"/>
  <c r="D321" i="18"/>
  <c r="AD11" i="4" s="1"/>
  <c r="D309" i="18"/>
  <c r="D331" i="18"/>
  <c r="AD21" i="4" s="1"/>
  <c r="C331" i="18"/>
  <c r="AC21" i="4" s="1"/>
  <c r="C332" i="18"/>
  <c r="AC22" i="4" s="1"/>
  <c r="C346" i="18"/>
  <c r="AC36" i="4" s="1"/>
  <c r="C351" i="18"/>
  <c r="AC41" i="4" s="1"/>
  <c r="C33" i="18"/>
  <c r="C49" i="18"/>
  <c r="C65" i="18"/>
  <c r="C81" i="18"/>
  <c r="C97" i="18"/>
  <c r="D129" i="18"/>
  <c r="D117" i="18"/>
  <c r="D233" i="18"/>
  <c r="D247" i="18"/>
  <c r="C247" i="18"/>
  <c r="C248" i="18"/>
  <c r="D256" i="18"/>
  <c r="C257" i="18"/>
  <c r="D268" i="18"/>
  <c r="D286" i="18"/>
  <c r="D274" i="18"/>
  <c r="C274" i="18"/>
  <c r="D291" i="18"/>
  <c r="C291" i="18"/>
  <c r="D303" i="18"/>
  <c r="C292" i="18"/>
  <c r="C328" i="18"/>
  <c r="AC18" i="4" s="1"/>
  <c r="D327" i="18"/>
  <c r="AD17" i="4" s="1"/>
  <c r="D347" i="18"/>
  <c r="AD37" i="4" s="1"/>
  <c r="C347" i="18"/>
  <c r="AC37" i="4" s="1"/>
  <c r="C348" i="18"/>
  <c r="AC38" i="4" s="1"/>
  <c r="C368" i="18"/>
  <c r="AC58" i="4" s="1"/>
  <c r="D367" i="18"/>
  <c r="AD57" i="4" s="1"/>
  <c r="D361" i="17"/>
  <c r="AB51" i="4" s="1"/>
  <c r="C364" i="17"/>
  <c r="AA54" i="4" s="1"/>
  <c r="D369" i="17"/>
  <c r="AB59" i="4" s="1"/>
  <c r="C372" i="17"/>
  <c r="AA62" i="4" s="1"/>
  <c r="C10" i="18"/>
  <c r="C14" i="18"/>
  <c r="C18" i="18"/>
  <c r="C24" i="18"/>
  <c r="C27" i="18"/>
  <c r="C30" i="18"/>
  <c r="C40" i="18"/>
  <c r="C43" i="18"/>
  <c r="C46" i="18"/>
  <c r="C56" i="18"/>
  <c r="C59" i="18"/>
  <c r="C62" i="18"/>
  <c r="C72" i="18"/>
  <c r="C75" i="18"/>
  <c r="C78" i="18"/>
  <c r="C88" i="18"/>
  <c r="C91" i="18"/>
  <c r="C94" i="18"/>
  <c r="C104" i="18"/>
  <c r="C107" i="18"/>
  <c r="C117" i="18"/>
  <c r="D135" i="18"/>
  <c r="C135" i="18"/>
  <c r="D142" i="18"/>
  <c r="C147" i="18"/>
  <c r="D146" i="18"/>
  <c r="C157" i="18"/>
  <c r="C180" i="18"/>
  <c r="D187" i="18"/>
  <c r="C188" i="18"/>
  <c r="C187" i="18"/>
  <c r="D199" i="18"/>
  <c r="C199" i="18"/>
  <c r="D206" i="18"/>
  <c r="C211" i="18"/>
  <c r="D210" i="18"/>
  <c r="C221" i="18"/>
  <c r="D234" i="18"/>
  <c r="C234" i="18"/>
  <c r="C256" i="18"/>
  <c r="D283" i="18"/>
  <c r="C283" i="18"/>
  <c r="C287" i="18"/>
  <c r="C327" i="18"/>
  <c r="AC17" i="4" s="1"/>
  <c r="D338" i="18"/>
  <c r="AD28" i="4" s="1"/>
  <c r="D350" i="18"/>
  <c r="AD40" i="4" s="1"/>
  <c r="C344" i="18"/>
  <c r="AC34" i="4" s="1"/>
  <c r="D343" i="18"/>
  <c r="AD33" i="4" s="1"/>
  <c r="C362" i="18"/>
  <c r="AC52" i="4" s="1"/>
  <c r="C367" i="18"/>
  <c r="AC57" i="4" s="1"/>
  <c r="D51" i="19"/>
  <c r="C51" i="19"/>
  <c r="D63" i="19"/>
  <c r="C327" i="17"/>
  <c r="AA17" i="4" s="1"/>
  <c r="C335" i="17"/>
  <c r="AA25" i="4" s="1"/>
  <c r="C343" i="17"/>
  <c r="AA33" i="4" s="1"/>
  <c r="C351" i="17"/>
  <c r="AA41" i="4" s="1"/>
  <c r="C359" i="17"/>
  <c r="AA49" i="4" s="1"/>
  <c r="C367" i="17"/>
  <c r="AA57" i="4" s="1"/>
  <c r="C34" i="18"/>
  <c r="C37" i="18"/>
  <c r="C50" i="18"/>
  <c r="C53" i="18"/>
  <c r="C66" i="18"/>
  <c r="C69" i="18"/>
  <c r="C82" i="18"/>
  <c r="C85" i="18"/>
  <c r="C98" i="18"/>
  <c r="C101" i="18"/>
  <c r="C111" i="18"/>
  <c r="C114" i="18"/>
  <c r="C121" i="18"/>
  <c r="C131" i="18"/>
  <c r="C139" i="18"/>
  <c r="C146" i="18"/>
  <c r="D157" i="18"/>
  <c r="C173" i="18"/>
  <c r="C185" i="18"/>
  <c r="D184" i="18"/>
  <c r="C195" i="18"/>
  <c r="C203" i="18"/>
  <c r="C210" i="18"/>
  <c r="D243" i="18"/>
  <c r="C243" i="18"/>
  <c r="C266" i="18"/>
  <c r="C270" i="18"/>
  <c r="C301" i="18"/>
  <c r="D318" i="18"/>
  <c r="AD8" i="4" s="1"/>
  <c r="D306" i="18"/>
  <c r="C306" i="18"/>
  <c r="D323" i="18"/>
  <c r="AD13" i="4" s="1"/>
  <c r="C323" i="18"/>
  <c r="AC13" i="4" s="1"/>
  <c r="C324" i="18"/>
  <c r="AC14" i="4" s="1"/>
  <c r="C338" i="18"/>
  <c r="AC28" i="4" s="1"/>
  <c r="C343" i="18"/>
  <c r="AC33" i="4" s="1"/>
  <c r="D363" i="18"/>
  <c r="AD53" i="4" s="1"/>
  <c r="C363" i="18"/>
  <c r="AC53" i="4" s="1"/>
  <c r="C364" i="18"/>
  <c r="AC54" i="4" s="1"/>
  <c r="C58" i="17"/>
  <c r="C66" i="17"/>
  <c r="C74" i="17"/>
  <c r="C82" i="17"/>
  <c r="C90" i="17"/>
  <c r="C98" i="17"/>
  <c r="C106" i="17"/>
  <c r="C114" i="17"/>
  <c r="C122" i="17"/>
  <c r="C130" i="17"/>
  <c r="C138" i="17"/>
  <c r="C146" i="17"/>
  <c r="C154" i="17"/>
  <c r="C162" i="17"/>
  <c r="C170" i="17"/>
  <c r="C178" i="17"/>
  <c r="C186" i="17"/>
  <c r="C194" i="17"/>
  <c r="C202" i="17"/>
  <c r="C210" i="17"/>
  <c r="C218" i="17"/>
  <c r="C226" i="17"/>
  <c r="C234" i="17"/>
  <c r="C242" i="17"/>
  <c r="C250" i="17"/>
  <c r="C258" i="17"/>
  <c r="C266" i="17"/>
  <c r="C274" i="17"/>
  <c r="C282" i="17"/>
  <c r="C290" i="17"/>
  <c r="C298" i="17"/>
  <c r="C306" i="17"/>
  <c r="C314" i="17"/>
  <c r="AA4" i="4" s="1"/>
  <c r="C322" i="17"/>
  <c r="AA12" i="4" s="1"/>
  <c r="C330" i="17"/>
  <c r="AA20" i="4" s="1"/>
  <c r="C338" i="17"/>
  <c r="AA28" i="4" s="1"/>
  <c r="C346" i="17"/>
  <c r="AA36" i="4" s="1"/>
  <c r="C354" i="17"/>
  <c r="AA44" i="4" s="1"/>
  <c r="D31" i="18"/>
  <c r="C31" i="18"/>
  <c r="D34" i="18"/>
  <c r="D37" i="18"/>
  <c r="D47" i="18"/>
  <c r="C47" i="18"/>
  <c r="D53" i="18"/>
  <c r="D63" i="18"/>
  <c r="C63" i="18"/>
  <c r="D69" i="18"/>
  <c r="D79" i="18"/>
  <c r="C79" i="18"/>
  <c r="D85" i="18"/>
  <c r="D95" i="18"/>
  <c r="C95" i="18"/>
  <c r="D101" i="18"/>
  <c r="C108" i="18"/>
  <c r="D111" i="18"/>
  <c r="C128" i="18"/>
  <c r="D144" i="18"/>
  <c r="D132" i="18"/>
  <c r="C132" i="18"/>
  <c r="C136" i="18"/>
  <c r="C143" i="18"/>
  <c r="C154" i="18"/>
  <c r="C158" i="18"/>
  <c r="D170" i="18"/>
  <c r="C159" i="18"/>
  <c r="D158" i="18"/>
  <c r="D193" i="18"/>
  <c r="D181" i="18"/>
  <c r="C184" i="18"/>
  <c r="C192" i="18"/>
  <c r="D208" i="18"/>
  <c r="D196" i="18"/>
  <c r="C196" i="18"/>
  <c r="C200" i="18"/>
  <c r="C207" i="18"/>
  <c r="C218" i="18"/>
  <c r="C222" i="18"/>
  <c r="C223" i="18"/>
  <c r="D222" i="18"/>
  <c r="D230" i="18"/>
  <c r="D239" i="18"/>
  <c r="D244" i="18"/>
  <c r="C244" i="18"/>
  <c r="C245" i="18"/>
  <c r="C253" i="18"/>
  <c r="D266" i="18"/>
  <c r="D280" i="18"/>
  <c r="C281" i="18"/>
  <c r="D292" i="18"/>
  <c r="C284" i="18"/>
  <c r="D288" i="18"/>
  <c r="C289" i="18"/>
  <c r="C288" i="18"/>
  <c r="D300" i="18"/>
  <c r="D301" i="18"/>
  <c r="D315" i="18"/>
  <c r="AD5" i="4" s="1"/>
  <c r="C315" i="18"/>
  <c r="AC5" i="4" s="1"/>
  <c r="C319" i="18"/>
  <c r="AC9" i="4" s="1"/>
  <c r="D339" i="18"/>
  <c r="AD29" i="4" s="1"/>
  <c r="C339" i="18"/>
  <c r="AC29" i="4" s="1"/>
  <c r="C340" i="18"/>
  <c r="AC30" i="4" s="1"/>
  <c r="D354" i="18"/>
  <c r="AD44" i="4" s="1"/>
  <c r="D366" i="18"/>
  <c r="AD56" i="4" s="1"/>
  <c r="C360" i="18"/>
  <c r="AC50" i="4" s="1"/>
  <c r="D359" i="18"/>
  <c r="AD49" i="4" s="1"/>
  <c r="D19" i="19"/>
  <c r="D31" i="19"/>
  <c r="C28" i="18"/>
  <c r="C44" i="18"/>
  <c r="C60" i="18"/>
  <c r="C76" i="18"/>
  <c r="C92" i="18"/>
  <c r="D108" i="18"/>
  <c r="C115" i="18"/>
  <c r="D128" i="18"/>
  <c r="D166" i="18"/>
  <c r="C181" i="18"/>
  <c r="D192" i="18"/>
  <c r="D231" i="18"/>
  <c r="C231" i="18"/>
  <c r="C232" i="18"/>
  <c r="D240" i="18"/>
  <c r="C241" i="18"/>
  <c r="D249" i="18"/>
  <c r="C264" i="18"/>
  <c r="D263" i="18"/>
  <c r="C280" i="18"/>
  <c r="C298" i="18"/>
  <c r="C302" i="18"/>
  <c r="C336" i="18"/>
  <c r="AC26" i="4" s="1"/>
  <c r="D335" i="18"/>
  <c r="AD25" i="4" s="1"/>
  <c r="C354" i="18"/>
  <c r="AC44" i="4" s="1"/>
  <c r="C359" i="18"/>
  <c r="AC49" i="4" s="1"/>
  <c r="C19" i="19"/>
  <c r="C24" i="19"/>
  <c r="D272" i="18"/>
  <c r="C273" i="18"/>
  <c r="D304" i="18"/>
  <c r="C305" i="18"/>
  <c r="D39" i="19"/>
  <c r="D27" i="19"/>
  <c r="D44" i="19"/>
  <c r="C44" i="19"/>
  <c r="C55" i="19"/>
  <c r="D54" i="19"/>
  <c r="D67" i="19"/>
  <c r="C67" i="19"/>
  <c r="D80" i="19"/>
  <c r="C80" i="19"/>
  <c r="C144" i="19"/>
  <c r="D144" i="19"/>
  <c r="D173" i="19"/>
  <c r="C173" i="19"/>
  <c r="D185" i="19"/>
  <c r="C185" i="19"/>
  <c r="C186" i="19"/>
  <c r="C208" i="19"/>
  <c r="D208" i="19"/>
  <c r="D237" i="19"/>
  <c r="C237" i="19"/>
  <c r="D249" i="19"/>
  <c r="C249" i="19"/>
  <c r="C250" i="19"/>
  <c r="D45" i="19"/>
  <c r="C45" i="19"/>
  <c r="D133" i="19"/>
  <c r="C133" i="19"/>
  <c r="D145" i="19"/>
  <c r="C145" i="19"/>
  <c r="C146" i="19"/>
  <c r="C168" i="19"/>
  <c r="D168" i="19"/>
  <c r="D197" i="19"/>
  <c r="C197" i="19"/>
  <c r="D209" i="19"/>
  <c r="C209" i="19"/>
  <c r="C210" i="19"/>
  <c r="C232" i="19"/>
  <c r="D232" i="19"/>
  <c r="D261" i="19"/>
  <c r="C261" i="19"/>
  <c r="D273" i="19"/>
  <c r="C273" i="19"/>
  <c r="C274" i="19"/>
  <c r="D41" i="19"/>
  <c r="C42" i="19"/>
  <c r="D76" i="19"/>
  <c r="C76" i="19"/>
  <c r="C128" i="19"/>
  <c r="D128" i="19"/>
  <c r="D157" i="19"/>
  <c r="C157" i="19"/>
  <c r="D169" i="19"/>
  <c r="C169" i="19"/>
  <c r="C170" i="19"/>
  <c r="C192" i="19"/>
  <c r="D192" i="19"/>
  <c r="D221" i="19"/>
  <c r="C221" i="19"/>
  <c r="D233" i="19"/>
  <c r="C233" i="19"/>
  <c r="C234" i="19"/>
  <c r="C256" i="19"/>
  <c r="D256" i="19"/>
  <c r="D285" i="19"/>
  <c r="C285" i="19"/>
  <c r="D64" i="19"/>
  <c r="C64" i="19"/>
  <c r="D77" i="19"/>
  <c r="C77" i="19"/>
  <c r="D96" i="19"/>
  <c r="C96" i="19"/>
  <c r="D109" i="19"/>
  <c r="C109" i="19"/>
  <c r="D115" i="19"/>
  <c r="C115" i="19"/>
  <c r="D127" i="19"/>
  <c r="D129" i="19"/>
  <c r="C129" i="19"/>
  <c r="C130" i="19"/>
  <c r="C152" i="19"/>
  <c r="D152" i="19"/>
  <c r="D181" i="19"/>
  <c r="C181" i="19"/>
  <c r="D193" i="19"/>
  <c r="C193" i="19"/>
  <c r="C194" i="19"/>
  <c r="C216" i="19"/>
  <c r="D216" i="19"/>
  <c r="D245" i="19"/>
  <c r="C245" i="19"/>
  <c r="D257" i="19"/>
  <c r="C257" i="19"/>
  <c r="C258" i="19"/>
  <c r="C39" i="19"/>
  <c r="D38" i="19"/>
  <c r="D73" i="19"/>
  <c r="C74" i="19"/>
  <c r="D83" i="19"/>
  <c r="C83" i="19"/>
  <c r="D95" i="19"/>
  <c r="D141" i="19"/>
  <c r="C141" i="19"/>
  <c r="D153" i="19"/>
  <c r="C153" i="19"/>
  <c r="C154" i="19"/>
  <c r="C176" i="19"/>
  <c r="D176" i="19"/>
  <c r="D205" i="19"/>
  <c r="C205" i="19"/>
  <c r="D217" i="19"/>
  <c r="C217" i="19"/>
  <c r="C218" i="19"/>
  <c r="C240" i="19"/>
  <c r="D240" i="19"/>
  <c r="D269" i="19"/>
  <c r="C269" i="19"/>
  <c r="D281" i="19"/>
  <c r="C281" i="19"/>
  <c r="C282" i="19"/>
  <c r="D267" i="18"/>
  <c r="C267" i="18"/>
  <c r="D299" i="18"/>
  <c r="C299" i="18"/>
  <c r="C12" i="19"/>
  <c r="D23" i="19"/>
  <c r="C38" i="19"/>
  <c r="D47" i="19"/>
  <c r="D60" i="19"/>
  <c r="C60" i="19"/>
  <c r="C71" i="19"/>
  <c r="D70" i="19"/>
  <c r="D82" i="19"/>
  <c r="C73" i="19"/>
  <c r="C136" i="19"/>
  <c r="D136" i="19"/>
  <c r="D165" i="19"/>
  <c r="C165" i="19"/>
  <c r="D177" i="19"/>
  <c r="C177" i="19"/>
  <c r="C178" i="19"/>
  <c r="C200" i="19"/>
  <c r="D200" i="19"/>
  <c r="D229" i="19"/>
  <c r="C229" i="19"/>
  <c r="D241" i="19"/>
  <c r="C241" i="19"/>
  <c r="C242" i="19"/>
  <c r="D293" i="19"/>
  <c r="D115" i="18"/>
  <c r="C118" i="18"/>
  <c r="D147" i="18"/>
  <c r="C150" i="18"/>
  <c r="D179" i="18"/>
  <c r="C182" i="18"/>
  <c r="D211" i="18"/>
  <c r="C214" i="18"/>
  <c r="C238" i="18"/>
  <c r="C254" i="18"/>
  <c r="D264" i="18"/>
  <c r="C265" i="18"/>
  <c r="C278" i="18"/>
  <c r="D296" i="18"/>
  <c r="C297" i="18"/>
  <c r="C310" i="18"/>
  <c r="C11" i="19"/>
  <c r="D42" i="19"/>
  <c r="D30" i="19"/>
  <c r="C30" i="19"/>
  <c r="D48" i="19"/>
  <c r="C48" i="19"/>
  <c r="D56" i="19"/>
  <c r="D61" i="19"/>
  <c r="C61" i="19"/>
  <c r="C70" i="19"/>
  <c r="D137" i="19"/>
  <c r="C137" i="19"/>
  <c r="C138" i="19"/>
  <c r="C160" i="19"/>
  <c r="D160" i="19"/>
  <c r="D189" i="19"/>
  <c r="C189" i="19"/>
  <c r="D201" i="19"/>
  <c r="C201" i="19"/>
  <c r="C202" i="19"/>
  <c r="C224" i="19"/>
  <c r="D224" i="19"/>
  <c r="D253" i="19"/>
  <c r="C253" i="19"/>
  <c r="D265" i="19"/>
  <c r="C265" i="19"/>
  <c r="C266" i="19"/>
  <c r="D235" i="18"/>
  <c r="C235" i="18"/>
  <c r="D248" i="18"/>
  <c r="D251" i="18"/>
  <c r="C251" i="18"/>
  <c r="D275" i="18"/>
  <c r="C275" i="18"/>
  <c r="D307" i="18"/>
  <c r="C307" i="18"/>
  <c r="D22" i="19"/>
  <c r="C22" i="19"/>
  <c r="D53" i="19"/>
  <c r="D57" i="19"/>
  <c r="C58" i="19"/>
  <c r="D66" i="19"/>
  <c r="D79" i="19"/>
  <c r="D88" i="19"/>
  <c r="D93" i="19"/>
  <c r="C93" i="19"/>
  <c r="D99" i="19"/>
  <c r="C99" i="19"/>
  <c r="D111" i="19"/>
  <c r="D112" i="19"/>
  <c r="C112" i="19"/>
  <c r="D125" i="19"/>
  <c r="C125" i="19"/>
  <c r="D149" i="19"/>
  <c r="C149" i="19"/>
  <c r="D161" i="19"/>
  <c r="C161" i="19"/>
  <c r="C162" i="19"/>
  <c r="C184" i="19"/>
  <c r="D184" i="19"/>
  <c r="D213" i="19"/>
  <c r="C213" i="19"/>
  <c r="D225" i="19"/>
  <c r="C225" i="19"/>
  <c r="C226" i="19"/>
  <c r="C248" i="19"/>
  <c r="D248" i="19"/>
  <c r="D277" i="19"/>
  <c r="C277" i="19"/>
  <c r="D289" i="19"/>
  <c r="C289" i="19"/>
  <c r="C290" i="19"/>
  <c r="C329" i="18"/>
  <c r="AC19" i="4" s="1"/>
  <c r="C337" i="18"/>
  <c r="AC27" i="4" s="1"/>
  <c r="C345" i="18"/>
  <c r="AC35" i="4" s="1"/>
  <c r="C353" i="18"/>
  <c r="AC43" i="4" s="1"/>
  <c r="C361" i="18"/>
  <c r="AC51" i="4" s="1"/>
  <c r="C369" i="18"/>
  <c r="AC59" i="4" s="1"/>
  <c r="D344" i="19"/>
  <c r="Z34" i="4" s="1"/>
  <c r="D348" i="19"/>
  <c r="Z38" i="4" s="1"/>
  <c r="C357" i="19"/>
  <c r="Y47" i="4" s="1"/>
  <c r="D89" i="19"/>
  <c r="D92" i="19"/>
  <c r="C92" i="19"/>
  <c r="D98" i="19"/>
  <c r="D105" i="19"/>
  <c r="D108" i="19"/>
  <c r="C108" i="19"/>
  <c r="D114" i="19"/>
  <c r="D121" i="19"/>
  <c r="D124" i="19"/>
  <c r="D140" i="19"/>
  <c r="D148" i="19"/>
  <c r="D156" i="19"/>
  <c r="D164" i="19"/>
  <c r="D172" i="19"/>
  <c r="D180" i="19"/>
  <c r="D188" i="19"/>
  <c r="D196" i="19"/>
  <c r="D204" i="19"/>
  <c r="D212" i="19"/>
  <c r="D220" i="19"/>
  <c r="D228" i="19"/>
  <c r="D236" i="19"/>
  <c r="D244" i="19"/>
  <c r="D252" i="19"/>
  <c r="D260" i="19"/>
  <c r="D264" i="19"/>
  <c r="D268" i="19"/>
  <c r="D272" i="19"/>
  <c r="D276" i="19"/>
  <c r="D280" i="19"/>
  <c r="D284" i="19"/>
  <c r="D288" i="19"/>
  <c r="D292" i="19"/>
  <c r="D296" i="19"/>
  <c r="D300" i="19"/>
  <c r="D304" i="19"/>
  <c r="D308" i="19"/>
  <c r="D312" i="19"/>
  <c r="D316" i="19"/>
  <c r="Z6" i="4" s="1"/>
  <c r="D320" i="19"/>
  <c r="Z10" i="4" s="1"/>
  <c r="D324" i="19"/>
  <c r="Z14" i="4" s="1"/>
  <c r="D328" i="19"/>
  <c r="Z18" i="4" s="1"/>
  <c r="D332" i="19"/>
  <c r="Z22" i="4" s="1"/>
  <c r="D340" i="19"/>
  <c r="Z30" i="4" s="1"/>
  <c r="D345" i="19"/>
  <c r="Z35" i="4" s="1"/>
  <c r="D369" i="19"/>
  <c r="Z59" i="4" s="1"/>
  <c r="D297" i="19"/>
  <c r="C297" i="19"/>
  <c r="D301" i="19"/>
  <c r="D305" i="19"/>
  <c r="C305" i="19"/>
  <c r="D309" i="19"/>
  <c r="D313" i="19"/>
  <c r="C313" i="19"/>
  <c r="D317" i="19"/>
  <c r="Z7" i="4" s="1"/>
  <c r="D321" i="19"/>
  <c r="Z11" i="4" s="1"/>
  <c r="C321" i="19"/>
  <c r="Y11" i="4" s="1"/>
  <c r="D325" i="19"/>
  <c r="Z15" i="4" s="1"/>
  <c r="D329" i="19"/>
  <c r="Z19" i="4" s="1"/>
  <c r="C329" i="19"/>
  <c r="Y19" i="4" s="1"/>
  <c r="D333" i="19"/>
  <c r="Z23" i="4" s="1"/>
  <c r="D337" i="19"/>
  <c r="Z27" i="4" s="1"/>
  <c r="D341" i="19"/>
  <c r="Z31" i="4" s="1"/>
  <c r="C349" i="19"/>
  <c r="Y39" i="4" s="1"/>
  <c r="D86" i="19"/>
  <c r="D102" i="19"/>
  <c r="D118" i="19"/>
  <c r="C293" i="19"/>
  <c r="C301" i="19"/>
  <c r="C309" i="19"/>
  <c r="C317" i="19"/>
  <c r="Y7" i="4" s="1"/>
  <c r="C325" i="19"/>
  <c r="Y15" i="4" s="1"/>
  <c r="C333" i="19"/>
  <c r="Y23" i="4" s="1"/>
  <c r="C341" i="19"/>
  <c r="Y31" i="4" s="1"/>
  <c r="C36" i="19"/>
  <c r="C90" i="19"/>
  <c r="C127" i="19"/>
  <c r="D126" i="19"/>
  <c r="C135" i="19"/>
  <c r="D134" i="19"/>
  <c r="C143" i="19"/>
  <c r="D142" i="19"/>
  <c r="C151" i="19"/>
  <c r="D150" i="19"/>
  <c r="C159" i="19"/>
  <c r="D158" i="19"/>
  <c r="C167" i="19"/>
  <c r="D166" i="19"/>
  <c r="C175" i="19"/>
  <c r="D174" i="19"/>
  <c r="C183" i="19"/>
  <c r="D182" i="19"/>
  <c r="C191" i="19"/>
  <c r="D190" i="19"/>
  <c r="C199" i="19"/>
  <c r="D198" i="19"/>
  <c r="C207" i="19"/>
  <c r="D206" i="19"/>
  <c r="C215" i="19"/>
  <c r="D214" i="19"/>
  <c r="C223" i="19"/>
  <c r="D222" i="19"/>
  <c r="C231" i="19"/>
  <c r="D230" i="19"/>
  <c r="C239" i="19"/>
  <c r="D238" i="19"/>
  <c r="C247" i="19"/>
  <c r="D246" i="19"/>
  <c r="C255" i="19"/>
  <c r="D254" i="19"/>
  <c r="C263" i="19"/>
  <c r="D262" i="19"/>
  <c r="C271" i="19"/>
  <c r="D270" i="19"/>
  <c r="C279" i="19"/>
  <c r="D278" i="19"/>
  <c r="C287" i="19"/>
  <c r="D286" i="19"/>
  <c r="C295" i="19"/>
  <c r="D294" i="19"/>
  <c r="C298" i="19"/>
  <c r="C303" i="19"/>
  <c r="D302" i="19"/>
  <c r="C306" i="19"/>
  <c r="C311" i="19"/>
  <c r="D310" i="19"/>
  <c r="C314" i="19"/>
  <c r="Y4" i="4" s="1"/>
  <c r="C319" i="19"/>
  <c r="Y9" i="4" s="1"/>
  <c r="D318" i="19"/>
  <c r="Z8" i="4" s="1"/>
  <c r="C322" i="19"/>
  <c r="Y12" i="4" s="1"/>
  <c r="C327" i="19"/>
  <c r="Y17" i="4" s="1"/>
  <c r="D326" i="19"/>
  <c r="Z16" i="4" s="1"/>
  <c r="C330" i="19"/>
  <c r="Y20" i="4" s="1"/>
  <c r="C335" i="19"/>
  <c r="Y25" i="4" s="1"/>
  <c r="D334" i="19"/>
  <c r="Z24" i="4" s="1"/>
  <c r="C343" i="19"/>
  <c r="Y33" i="4" s="1"/>
  <c r="D342" i="19"/>
  <c r="Z32" i="4" s="1"/>
  <c r="C342" i="19"/>
  <c r="Y32" i="4" s="1"/>
  <c r="D346" i="19"/>
  <c r="Z36" i="4" s="1"/>
  <c r="D365" i="19"/>
  <c r="Z55" i="4" s="1"/>
  <c r="C365" i="19"/>
  <c r="Y55" i="4" s="1"/>
  <c r="C371" i="18"/>
  <c r="AC61" i="4" s="1"/>
  <c r="C20" i="19"/>
  <c r="D25" i="19"/>
  <c r="C28" i="19"/>
  <c r="D36" i="19"/>
  <c r="D52" i="19"/>
  <c r="C52" i="19"/>
  <c r="D58" i="19"/>
  <c r="D68" i="19"/>
  <c r="C68" i="19"/>
  <c r="D74" i="19"/>
  <c r="D84" i="19"/>
  <c r="C84" i="19"/>
  <c r="D90" i="19"/>
  <c r="D100" i="19"/>
  <c r="C100" i="19"/>
  <c r="D106" i="19"/>
  <c r="D116" i="19"/>
  <c r="C116" i="19"/>
  <c r="D122" i="19"/>
  <c r="C126" i="19"/>
  <c r="D130" i="19"/>
  <c r="C134" i="19"/>
  <c r="D138" i="19"/>
  <c r="C142" i="19"/>
  <c r="D146" i="19"/>
  <c r="C150" i="19"/>
  <c r="D154" i="19"/>
  <c r="C158" i="19"/>
  <c r="D162" i="19"/>
  <c r="C166" i="19"/>
  <c r="D170" i="19"/>
  <c r="C174" i="19"/>
  <c r="D178" i="19"/>
  <c r="C182" i="19"/>
  <c r="D186" i="19"/>
  <c r="C190" i="19"/>
  <c r="D194" i="19"/>
  <c r="C198" i="19"/>
  <c r="D202" i="19"/>
  <c r="C206" i="19"/>
  <c r="D210" i="19"/>
  <c r="C214" i="19"/>
  <c r="D218" i="19"/>
  <c r="C222" i="19"/>
  <c r="D226" i="19"/>
  <c r="C230" i="19"/>
  <c r="D234" i="19"/>
  <c r="C238" i="19"/>
  <c r="D242" i="19"/>
  <c r="C246" i="19"/>
  <c r="D250" i="19"/>
  <c r="C254" i="19"/>
  <c r="D258" i="19"/>
  <c r="C262" i="19"/>
  <c r="D266" i="19"/>
  <c r="C270" i="19"/>
  <c r="D274" i="19"/>
  <c r="C278" i="19"/>
  <c r="D282" i="19"/>
  <c r="C286" i="19"/>
  <c r="D290" i="19"/>
  <c r="C294" i="19"/>
  <c r="D298" i="19"/>
  <c r="C302" i="19"/>
  <c r="D306" i="19"/>
  <c r="C310" i="19"/>
  <c r="D314" i="19"/>
  <c r="Z4" i="4" s="1"/>
  <c r="C318" i="19"/>
  <c r="Y8" i="4" s="1"/>
  <c r="D322" i="19"/>
  <c r="Z12" i="4" s="1"/>
  <c r="C326" i="19"/>
  <c r="Y16" i="4" s="1"/>
  <c r="D330" i="19"/>
  <c r="Z20" i="4" s="1"/>
  <c r="C334" i="19"/>
  <c r="Y24" i="4" s="1"/>
  <c r="D338" i="19"/>
  <c r="Z28" i="4" s="1"/>
  <c r="D361" i="19"/>
  <c r="Z51" i="4" s="1"/>
  <c r="C46" i="19"/>
  <c r="C49" i="19"/>
  <c r="C62" i="19"/>
  <c r="C65" i="19"/>
  <c r="C78" i="19"/>
  <c r="C81" i="19"/>
  <c r="C94" i="19"/>
  <c r="C97" i="19"/>
  <c r="C110" i="19"/>
  <c r="C113" i="19"/>
  <c r="D352" i="19"/>
  <c r="Z42" i="4" s="1"/>
  <c r="C352" i="19"/>
  <c r="Y42" i="4" s="1"/>
  <c r="D356" i="19"/>
  <c r="Z46" i="4" s="1"/>
  <c r="D362" i="19"/>
  <c r="Z52" i="4" s="1"/>
  <c r="D370" i="19"/>
  <c r="Z60" i="4" s="1"/>
  <c r="C360" i="19"/>
  <c r="Y50" i="4" s="1"/>
  <c r="C368" i="19"/>
  <c r="Y58" i="4" s="1"/>
  <c r="C350" i="19"/>
  <c r="Y40" i="4" s="1"/>
  <c r="C358" i="19"/>
  <c r="Y48" i="4" s="1"/>
  <c r="C366" i="19"/>
  <c r="Y56" i="4" s="1"/>
  <c r="C337" i="19"/>
  <c r="Y27" i="4" s="1"/>
  <c r="C345" i="19"/>
  <c r="Y35" i="4" s="1"/>
  <c r="D350" i="19"/>
  <c r="Z40" i="4" s="1"/>
  <c r="C353" i="19"/>
  <c r="Y43" i="4" s="1"/>
  <c r="D358" i="19"/>
  <c r="Z48" i="4" s="1"/>
  <c r="C361" i="19"/>
  <c r="Y51" i="4" s="1"/>
  <c r="D366" i="19"/>
  <c r="Z56" i="4" s="1"/>
  <c r="C369" i="19"/>
  <c r="Y59" i="4" s="1"/>
  <c r="C124" i="19"/>
  <c r="C132" i="19"/>
  <c r="C140" i="19"/>
  <c r="C148" i="19"/>
  <c r="C156" i="19"/>
  <c r="C164" i="19"/>
  <c r="C172" i="19"/>
  <c r="C180" i="19"/>
  <c r="C188" i="19"/>
  <c r="C196" i="19"/>
  <c r="C204" i="19"/>
  <c r="C212" i="19"/>
  <c r="C220" i="19"/>
  <c r="C228" i="19"/>
  <c r="C236" i="19"/>
  <c r="C244" i="19"/>
  <c r="C252" i="19"/>
  <c r="C260" i="19"/>
  <c r="C268" i="19"/>
  <c r="C276" i="19"/>
  <c r="C284" i="19"/>
  <c r="C292" i="19"/>
  <c r="C300" i="19"/>
  <c r="C308" i="19"/>
  <c r="C316" i="19"/>
  <c r="Y6" i="4" s="1"/>
  <c r="C324" i="19"/>
  <c r="Y14" i="4" s="1"/>
  <c r="C332" i="19"/>
  <c r="Y22" i="4" s="1"/>
  <c r="C340" i="19"/>
  <c r="Y30" i="4" s="1"/>
  <c r="C348" i="19"/>
  <c r="Y38" i="4" s="1"/>
  <c r="C356" i="19"/>
  <c r="Y46" i="4" s="1"/>
  <c r="C364" i="19"/>
  <c r="Y54" i="4" s="1"/>
  <c r="C372" i="19"/>
  <c r="Y62" i="4" s="1"/>
  <c r="L3" i="5" l="1"/>
  <c r="J62" i="4"/>
  <c r="G10" i="3"/>
  <c r="Q19" i="1" s="1"/>
  <c r="L62" i="4"/>
  <c r="G11" i="3"/>
  <c r="Q20" i="1" s="1"/>
  <c r="H20" i="3"/>
  <c r="T62" i="4"/>
  <c r="G15" i="3"/>
  <c r="Q24" i="1" s="1"/>
  <c r="G13" i="3"/>
  <c r="Q22" i="1" s="1"/>
  <c r="P62" i="4"/>
  <c r="H14" i="3"/>
  <c r="M2" i="5"/>
  <c r="M3" i="5"/>
  <c r="R62" i="4"/>
  <c r="G14" i="3"/>
  <c r="Q23" i="1" s="1"/>
  <c r="G8" i="3"/>
  <c r="Q17" i="1" s="1"/>
  <c r="F62" i="4"/>
  <c r="H13" i="3"/>
  <c r="F13" i="3"/>
  <c r="P22" i="1" s="1"/>
  <c r="F14" i="3"/>
  <c r="P23" i="1" s="1"/>
  <c r="F7" i="3"/>
  <c r="P16" i="1" s="1"/>
  <c r="G21" i="3"/>
  <c r="Q30" i="1" s="1"/>
  <c r="AF62" i="4"/>
  <c r="H17" i="3"/>
  <c r="H18" i="3"/>
  <c r="F17" i="3"/>
  <c r="P26" i="1" s="1"/>
  <c r="H10" i="3"/>
  <c r="D22" i="3"/>
  <c r="H15" i="3"/>
  <c r="H19" i="3"/>
  <c r="L2" i="5"/>
  <c r="H21" i="3"/>
  <c r="D62" i="4"/>
  <c r="G7" i="3"/>
  <c r="Q16" i="1" s="1"/>
  <c r="H16" i="3"/>
  <c r="F16" i="3"/>
  <c r="P25" i="1" s="1"/>
  <c r="H11" i="3"/>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<sst xmlns="http://schemas.openxmlformats.org/spreadsheetml/2006/main" count="286" uniqueCount="124">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</sst>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Gas'!$A$8:$A$379</c:f>
              <c:numCache>
                <c:formatCode>[$-409]mmm\-yy;@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'Retail Sales ex Auto and Gas'!$C$8:$C$379</c:f>
              <c:numCache>
                <c:formatCode>0.00%</c:formatCode>
                <c:ptCount val="372"/>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-1.4257966135957145E-2</c:v>
                </c:pt>
                <c:pt idx="354">
                  <c:v>1.6492616327667874E-2</c:v>
                </c:pt>
                <c:pt idx="355">
                  <c:v>6.3658930231742187E-3</c:v>
                </c:pt>
                <c:pt idx="356">
                  <c:v>1.1605331566894082E-2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6.5490132034555964E-3</c:v>
                </c:pt>
                <c:pt idx="365">
                  <c:v>7.2334438956264567E-3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6430-B941-A738-20CC9E3B5CA6}"/>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Gas'!$A$8:$A$376</c:f>
              <c:numCache>
                <c:formatCode>[$-409]mmm\-yy;@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'Retail Sales ex Auto and Gas'!$C$8:$C$376</c:f>
              <c:numCache>
                <c:formatCode>0.00%</c:formatCode>
                <c:ptCount val="369"/>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-1.4257966135957145E-2</c:v>
                </c:pt>
                <c:pt idx="354">
                  <c:v>1.6492616327667874E-2</c:v>
                </c:pt>
                <c:pt idx="355">
                  <c:v>6.3658930231742187E-3</c:v>
                </c:pt>
                <c:pt idx="356">
                  <c:v>1.1605331566894082E-2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6.5490132034555964E-3</c:v>
                </c:pt>
                <c:pt idx="365">
                  <c:v>7.2334438956264567E-3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C63-3044-B986-38DB4E676517}"/>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Gas'!$A$19:$A$376</c:f>
              <c:numCache>
                <c:formatCode>[$-409]mmm\-yy;@</c:formatCode>
                <c:ptCount val="358"/>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numCache>
            </c:numRef>
          </c:cat>
          <c:val>
            <c:numRef>
              <c:f>'Retail Sales ex Auto and Gas'!$D$19:$D$376</c:f>
              <c:numCache>
                <c:formatCode>0.00%</c:formatCode>
                <c:ptCount val="358"/>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0.1363147056663129</c:v>
                </c:pt>
                <c:pt idx="343">
                  <c:v>0.14969154088375364</c:v>
                </c:pt>
                <c:pt idx="344">
                  <c:v>0.13559531733679098</c:v>
                </c:pt>
                <c:pt idx="345">
                  <c:v>0.15296241751746506</c:v>
                </c:pt>
                <c:pt idx="346">
                  <c:v>0.16840893472514132</c:v>
                </c:pt>
                <c:pt idx="347">
                  <c:v>0.1658663704933985</c:v>
                </c:pt>
                <c:pt idx="348">
                  <c:v>0.12068080041086093</c:v>
                </c:pt>
                <c:pt idx="349">
                  <c:v>0.15761118556284284</c:v>
                </c:pt>
                <c:pt idx="350">
                  <c:v>6.3102033535497676E-2</c:v>
                </c:pt>
                <c:pt idx="351">
                  <c:v>7.5451325808063047E-2</c:v>
                </c:pt>
                <c:pt idx="352">
                  <c:v>8.5661255607997866E-2</c:v>
                </c:pt>
                <c:pt idx="353">
                  <c:v>6.9852828082634238E-2</c:v>
                </c:pt>
                <c:pt idx="354">
                  <c:v>9.3178044023404849E-2</c:v>
                </c:pt>
              </c:numCache>
            </c:numRef>
          </c:val>
          <c:smooth val="0"/>
          <c:extLst>
            <c:ext xmlns:c16="http://schemas.microsoft.com/office/drawing/2014/chart" uri="{C3380CC4-5D6E-409C-BE32-E72D297353CC}">
              <c16:uniqueId val="{00000000-5E11-FE4E-990A-1DDA0C1C80C1}"/>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'Retail Sales ex Auto and Gas'!$B$7:$B$376</c:f>
              <c:numCache>
                <c:formatCode>#,##0</c:formatCode>
                <c:ptCount val="370"/>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448625</c:v>
                </c:pt>
                <c:pt idx="355">
                  <c:v>456024</c:v>
                </c:pt>
                <c:pt idx="356">
                  <c:v>458927</c:v>
                </c:pt>
                <c:pt idx="357">
                  <c:v>464253</c:v>
                </c:pt>
                <c:pt idx="358">
                  <c:v>465861</c:v>
                </c:pt>
                <c:pt idx="359">
                  <c:v>457676</c:v>
                </c:pt>
                <c:pt idx="360">
                  <c:v>466972</c:v>
                </c:pt>
                <c:pt idx="361">
                  <c:v>472501</c:v>
                </c:pt>
                <c:pt idx="362">
                  <c:v>476780</c:v>
                </c:pt>
                <c:pt idx="363">
                  <c:v>480089</c:v>
                </c:pt>
                <c:pt idx="364">
                  <c:v>483737</c:v>
                </c:pt>
                <c:pt idx="365">
                  <c:v>486905</c:v>
                </c:pt>
                <c:pt idx="366">
                  <c:v>490427</c:v>
                </c:pt>
              </c:numCache>
            </c:numRef>
          </c:val>
          <c:smooth val="0"/>
          <c:extLst>
            <c:ext xmlns:c16="http://schemas.microsoft.com/office/drawing/2014/chart" uri="{C3380CC4-5D6E-409C-BE32-E72D297353CC}">
              <c16:uniqueId val="{00000000-E8A7-2C42-9FE8-F4E2F605DFC8}"/>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'Retail Sales'!$D$7:$D$378</c:f>
              <c:numCache>
                <c:formatCode>General</c:formatCode>
                <c:ptCount val="372"/>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0.15499909529609932</c:v>
                </c:pt>
                <c:pt idx="355" formatCode="0.00%">
                  <c:v>0.15675513536933555</c:v>
                </c:pt>
                <c:pt idx="356" formatCode="0.00%">
                  <c:v>0.1432110040208672</c:v>
                </c:pt>
                <c:pt idx="357" formatCode="0.00%">
                  <c:v>0.16516710329443376</c:v>
                </c:pt>
                <c:pt idx="358" formatCode="0.00%">
                  <c:v>0.18554742807547892</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8.539612422700002E-2</c:v>
                </c:pt>
                <c:pt idx="366" formatCode="0.00%">
                  <c:v>0.10277302238444394</c:v>
                </c:pt>
              </c:numCache>
            </c:numRef>
          </c:val>
          <c:smooth val="0"/>
          <c:extLst>
            <c:ext xmlns:c16="http://schemas.microsoft.com/office/drawing/2014/chart" uri="{C3380CC4-5D6E-409C-BE32-E72D297353CC}">
              <c16:uniqueId val="{00000000-78C9-8B46-B639-3C592DBA16FE}"/>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'Retail Sales'!$B$7:$B$381</c:f>
              <c:numCache>
                <c:formatCode>#,##0</c:formatCode>
                <c:ptCount val="375"/>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619180</c:v>
                </c:pt>
                <c:pt idx="355">
                  <c:v>624738</c:v>
                </c:pt>
                <c:pt idx="356">
                  <c:v>630905</c:v>
                </c:pt>
                <c:pt idx="357">
                  <c:v>640899</c:v>
                </c:pt>
                <c:pt idx="358">
                  <c:v>644741</c:v>
                </c:pt>
                <c:pt idx="359">
                  <c:v>634393</c:v>
                </c:pt>
                <c:pt idx="360">
                  <c:v>651557</c:v>
                </c:pt>
                <c:pt idx="361">
                  <c:v>662321</c:v>
                </c:pt>
                <c:pt idx="362">
                  <c:v>669958</c:v>
                </c:pt>
                <c:pt idx="363">
                  <c:v>674719</c:v>
                </c:pt>
                <c:pt idx="364">
                  <c:v>677115</c:v>
                </c:pt>
                <c:pt idx="365">
                  <c:v>682585</c:v>
                </c:pt>
                <c:pt idx="366">
                  <c:v>682815</c:v>
                </c:pt>
              </c:numCache>
            </c:numRef>
          </c:val>
          <c:smooth val="0"/>
          <c:extLst>
            <c:ext xmlns:c16="http://schemas.microsoft.com/office/drawing/2014/chart" uri="{C3380CC4-5D6E-409C-BE32-E72D297353CC}">
              <c16:uniqueId val="{00000000-A2FA-DE4B-8DE1-62DFB6F4FDB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Auto'!$A$19:$A$378</c:f>
              <c:numCache>
                <c:formatCode>[$-409]mmm\-yy;@</c:formatCode>
                <c:ptCount val="360"/>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numCache>
            </c:numRef>
          </c:cat>
          <c:val>
            <c:numRef>
              <c:f>'Retail Sales ex Auto'!$C$19:$C$378</c:f>
              <c:numCache>
                <c:formatCode>0.00%</c:formatCode>
                <c:ptCount val="360"/>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-9.9042654103992794E-3</c:v>
                </c:pt>
                <c:pt idx="343">
                  <c:v>1.7537044566193136E-2</c:v>
                </c:pt>
                <c:pt idx="344">
                  <c:v>9.9159919849193048E-3</c:v>
                </c:pt>
                <c:pt idx="345">
                  <c:v>1.5024678784080226E-2</c:v>
                </c:pt>
                <c:pt idx="346">
                  <c:v>5.4782519764352191E-3</c:v>
                </c:pt>
                <c:pt idx="347">
                  <c:v>-1.4362753564780164E-2</c:v>
                </c:pt>
                <c:pt idx="348">
                  <c:v>1.6170612127277613E-2</c:v>
                </c:pt>
                <c:pt idx="349">
                  <c:v>1.7248812491497265E-2</c:v>
                </c:pt>
                <c:pt idx="350">
                  <c:v>1.9858992301650238E-2</c:v>
                </c:pt>
                <c:pt idx="351">
                  <c:v>4.565636566463996E-3</c:v>
                </c:pt>
                <c:pt idx="352">
                  <c:v>1.2533369613978834E-2</c:v>
                </c:pt>
                <c:pt idx="353">
                  <c:v>8.7847836942212543E-3</c:v>
                </c:pt>
                <c:pt idx="354">
                  <c:v>4.1471444282646609E-3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759-6643-B2EA-90BE7816792C}"/>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'Retail Sales ex Auto'!$B$7:$B$380</c:f>
              <c:numCache>
                <c:formatCode>#,##0</c:formatCode>
                <c:ptCount val="374"/>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496834</c:v>
                </c:pt>
                <c:pt idx="355">
                  <c:v>505547</c:v>
                </c:pt>
                <c:pt idx="356">
                  <c:v>510560</c:v>
                </c:pt>
                <c:pt idx="357">
                  <c:v>518231</c:v>
                </c:pt>
                <c:pt idx="358">
                  <c:v>521070</c:v>
                </c:pt>
                <c:pt idx="359">
                  <c:v>513586</c:v>
                </c:pt>
                <c:pt idx="360">
                  <c:v>521891</c:v>
                </c:pt>
                <c:pt idx="361">
                  <c:v>530893</c:v>
                </c:pt>
                <c:pt idx="362">
                  <c:v>541436</c:v>
                </c:pt>
                <c:pt idx="363">
                  <c:v>543908</c:v>
                </c:pt>
                <c:pt idx="364">
                  <c:v>550725</c:v>
                </c:pt>
                <c:pt idx="365">
                  <c:v>555563</c:v>
                </c:pt>
                <c:pt idx="366">
                  <c:v>557867</c:v>
                </c:pt>
              </c:numCache>
            </c:numRef>
          </c:val>
          <c:smooth val="0"/>
          <c:extLst>
            <c:ext xmlns:c16="http://schemas.microsoft.com/office/drawing/2014/chart" uri="{C3380CC4-5D6E-409C-BE32-E72D297353CC}">
              <c16:uniqueId val="{00000000-74C7-504B-A473-6D3858A52E68}"/>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'Retail Sales ex Auto'!$D$7:$D$381</c:f>
              <c:numCache>
                <c:formatCode>General</c:formatCode>
                <c:ptCount val="375"/>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0.15474311745360309</c:v>
                </c:pt>
                <c:pt idx="355" formatCode="0.00%">
                  <c:v>0.16796852438413004</c:v>
                </c:pt>
                <c:pt idx="356" formatCode="0.00%">
                  <c:v>0.15814473633470419</c:v>
                </c:pt>
                <c:pt idx="357" formatCode="0.00%">
                  <c:v>0.17890428970829439</c:v>
                </c:pt>
                <c:pt idx="358" formatCode="0.00%">
                  <c:v>0.19811821837772214</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0.10713146965747583</c:v>
                </c:pt>
                <c:pt idx="366" formatCode="0.00%">
                  <c:v>0.12284384724072829</c:v>
                </c:pt>
              </c:numCache>
            </c:numRef>
          </c:val>
          <c:smooth val="0"/>
          <c:extLst>
            <c:ext xmlns:c16="http://schemas.microsoft.com/office/drawing/2014/chart" uri="{C3380CC4-5D6E-409C-BE32-E72D297353CC}">
              <c16:uniqueId val="{00000000-CDE0-2E42-A767-24A8DF772448}"/>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1.9497788477688818E-2</c:v>
                </c:pt>
                <c:pt idx="343">
                  <c:v>5.9275114155251142E-2</c:v>
                </c:pt>
                <c:pt idx="344">
                  <c:v>6.7548855866272683E-2</c:v>
                </c:pt>
                <c:pt idx="345">
                  <c:v>8.3949199971299418E-2</c:v>
                </c:pt>
                <c:pt idx="346">
                  <c:v>7.5485354223433249E-2</c:v>
                </c:pt>
                <c:pt idx="347">
                  <c:v>8.8650100738750834E-2</c:v>
                </c:pt>
                <c:pt idx="348">
                  <c:v>8.0117313630659465E-2</c:v>
                </c:pt>
                <c:pt idx="349">
                  <c:v>7.8400428356042773E-2</c:v>
                </c:pt>
                <c:pt idx="350">
                  <c:v>8.3565889298685997E-2</c:v>
                </c:pt>
                <c:pt idx="351">
                  <c:v>7.3432985107801732E-2</c:v>
                </c:pt>
                <c:pt idx="352">
                  <c:v>7.6947470012408661E-2</c:v>
                </c:pt>
                <c:pt idx="353">
                  <c:v>7.7780513157174894E-2</c:v>
                </c:pt>
                <c:pt idx="354">
                  <c:v>8.411933495338908E-2</c:v>
                </c:pt>
              </c:numCache>
            </c:numRef>
          </c:val>
          <c:smooth val="0"/>
          <c:extLst>
            <c:ext xmlns:c16="http://schemas.microsoft.com/office/drawing/2014/chart" uri="{C3380CC4-5D6E-409C-BE32-E72D297353CC}">
              <c16:uniqueId val="{00000000-C997-064D-BCD4-A1B046D4C3E1}"/>
            </c:ext>
          </c:extLst>
        </c:ser>
        <c:dLbls>
          <c:showLegendKey val="0"/>
          <c:showVal val="0"/>
          <c:showCatName val="0"/>
          <c:showSerName val="0"/>
          <c:showPercent val="0"/>
          <c:showBubbleSize val="0"/>
        </c:dLbls>
        <c:smooth val="0"/>
        <c:axId val="1033339464"/>
        <c:axId val="1033342744"/>
      </c:lineChart>
      <c:dateAx>
        <c:axId val="1033339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72837</c:v>
                </c:pt>
                <c:pt idx="355">
                  <c:v>74234</c:v>
                </c:pt>
                <c:pt idx="356">
                  <c:v>74785</c:v>
                </c:pt>
                <c:pt idx="357">
                  <c:v>75535</c:v>
                </c:pt>
                <c:pt idx="358">
                  <c:v>75783</c:v>
                </c:pt>
                <c:pt idx="359">
                  <c:v>76187</c:v>
                </c:pt>
                <c:pt idx="360">
                  <c:v>76603</c:v>
                </c:pt>
                <c:pt idx="361">
                  <c:v>76533</c:v>
                </c:pt>
                <c:pt idx="362">
                  <c:v>77268</c:v>
                </c:pt>
                <c:pt idx="363">
                  <c:v>77270</c:v>
                </c:pt>
                <c:pt idx="364">
                  <c:v>78111</c:v>
                </c:pt>
                <c:pt idx="365">
                  <c:v>78803</c:v>
                </c:pt>
                <c:pt idx="366">
                  <c:v>78964</c:v>
                </c:pt>
              </c:numCache>
            </c:numRef>
          </c:val>
          <c:smooth val="0"/>
          <c:extLst>
            <c:ext xmlns:c16="http://schemas.microsoft.com/office/drawing/2014/chart" uri="{C3380CC4-5D6E-409C-BE32-E72D297353CC}">
              <c16:uniqueId val="{00000000-0A35-D645-9689-8BA2AA13D525}"/>
            </c:ext>
          </c:extLst>
        </c:ser>
        <c:dLbls>
          <c:showLegendKey val="0"/>
          <c:showVal val="0"/>
          <c:showCatName val="0"/>
          <c:showSerName val="0"/>
          <c:showPercent val="0"/>
          <c:showBubbleSize val="0"/>
        </c:dLbls>
        <c:smooth val="0"/>
        <c:axId val="644217568"/>
        <c:axId val="644219216"/>
      </c:lineChart>
      <c:dateAx>
        <c:axId val="644217568"/>
        <c:scaling>
          <c:orientation val="minMax"/>
          <c:max val="44713"/>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92068</c:v>
                </c:pt>
                <c:pt idx="355">
                  <c:v>96886</c:v>
                </c:pt>
                <c:pt idx="356">
                  <c:v>97724</c:v>
                </c:pt>
                <c:pt idx="357">
                  <c:v>99837</c:v>
                </c:pt>
                <c:pt idx="358">
                  <c:v>100341</c:v>
                </c:pt>
                <c:pt idx="359">
                  <c:v>95958</c:v>
                </c:pt>
                <c:pt idx="360">
                  <c:v>102773</c:v>
                </c:pt>
                <c:pt idx="361">
                  <c:v>104095</c:v>
                </c:pt>
                <c:pt idx="362">
                  <c:v>102895</c:v>
                </c:pt>
                <c:pt idx="363">
                  <c:v>104003</c:v>
                </c:pt>
                <c:pt idx="364">
                  <c:v>106789</c:v>
                </c:pt>
                <c:pt idx="365">
                  <c:v>107765</c:v>
                </c:pt>
                <c:pt idx="366">
                  <c:v>110624</c:v>
                </c:pt>
              </c:numCache>
            </c:numRef>
          </c:val>
          <c:smooth val="0"/>
          <c:extLst>
            <c:ext xmlns:c16="http://schemas.microsoft.com/office/drawing/2014/chart" uri="{C3380CC4-5D6E-409C-BE32-E72D297353CC}">
              <c16:uniqueId val="{00000000-2DE4-F641-A3D5-B0793D3548EE}"/>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5.5148070046758965E-2</c:v>
                </c:pt>
                <c:pt idx="355" formatCode="0.00%">
                  <c:v>0.10361088962296389</c:v>
                </c:pt>
                <c:pt idx="356" formatCode="0.00%">
                  <c:v>0.11022244438890277</c:v>
                </c:pt>
                <c:pt idx="357" formatCode="0.00%">
                  <c:v>0.12564689434340928</c:v>
                </c:pt>
                <c:pt idx="358" formatCode="0.00%">
                  <c:v>0.13424518171028091</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9.3872123592882453E-2</c:v>
                </c:pt>
                <c:pt idx="366" formatCode="0.00%">
                  <c:v>0.20154668288656211</c:v>
                </c:pt>
              </c:numCache>
            </c:numRef>
          </c:val>
          <c:smooth val="0"/>
          <c:extLst>
            <c:ext xmlns:c16="http://schemas.microsoft.com/office/drawing/2014/chart" uri="{C3380CC4-5D6E-409C-BE32-E72D297353CC}">
              <c16:uniqueId val="{00000000-83EC-AF47-A7CF-9B8325814864}"/>
            </c:ext>
          </c:extLst>
        </c:ser>
        <c:dLbls>
          <c:showLegendKey val="0"/>
          <c:showVal val="0"/>
          <c:showCatName val="0"/>
          <c:showSerName val="0"/>
          <c:showPercent val="0"/>
          <c:showBubbleSize val="0"/>
        </c:dLbls>
        <c:smooth val="0"/>
        <c:axId val="721545464"/>
        <c:axId val="721548088"/>
      </c:lineChart>
      <c:dateAx>
        <c:axId val="721545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32866</c:v>
                </c:pt>
                <c:pt idx="356">
                  <c:v>32710</c:v>
                </c:pt>
                <c:pt idx="357">
                  <c:v>32444</c:v>
                </c:pt>
                <c:pt idx="358">
                  <c:v>32793</c:v>
                </c:pt>
                <c:pt idx="359">
                  <c:v>32797</c:v>
                </c:pt>
                <c:pt idx="360">
                  <c:v>32815</c:v>
                </c:pt>
                <c:pt idx="361">
                  <c:v>32445</c:v>
                </c:pt>
                <c:pt idx="362">
                  <c:v>32763</c:v>
                </c:pt>
                <c:pt idx="363">
                  <c:v>32962</c:v>
                </c:pt>
                <c:pt idx="364">
                  <c:v>32985</c:v>
                </c:pt>
                <c:pt idx="365">
                  <c:v>33485</c:v>
                </c:pt>
                <c:pt idx="366">
                  <c:v>33623</c:v>
                </c:pt>
              </c:numCache>
            </c:numRef>
          </c:val>
          <c:smooth val="0"/>
          <c:extLst>
            <c:ext xmlns:c16="http://schemas.microsoft.com/office/drawing/2014/chart" uri="{C3380CC4-5D6E-409C-BE32-E72D297353CC}">
              <c16:uniqueId val="{00000000-19B0-5A41-A107-4C2E11566623}"/>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0.10281189181934099</c:v>
                </c:pt>
                <c:pt idx="356" formatCode="0.00%">
                  <c:v>8.0465085551958776E-2</c:v>
                </c:pt>
                <c:pt idx="357" formatCode="0.00%">
                  <c:v>7.5372886973815043E-2</c:v>
                </c:pt>
                <c:pt idx="358" formatCode="0.00%">
                  <c:v>0.10421577210586572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2.3536604004279382E-2</c:v>
                </c:pt>
                <c:pt idx="366" formatCode="0.00%">
                  <c:v>3.4171998031496065E-2</c:v>
                </c:pt>
              </c:numCache>
            </c:numRef>
          </c:val>
          <c:smooth val="0"/>
          <c:extLst>
            <c:ext xmlns:c16="http://schemas.microsoft.com/office/drawing/2014/chart" uri="{C3380CC4-5D6E-409C-BE32-E72D297353CC}">
              <c16:uniqueId val="{00000000-58A7-4B40-99F7-557E703E5E3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'Sporting Goods'!$B$7:$B$375</c:f>
              <c:numCache>
                <c:formatCode>#,##0</c:formatCode>
                <c:ptCount val="369"/>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8876</c:v>
                </c:pt>
                <c:pt idx="355">
                  <c:v>8951</c:v>
                </c:pt>
                <c:pt idx="356">
                  <c:v>8951</c:v>
                </c:pt>
                <c:pt idx="357">
                  <c:v>9020</c:v>
                </c:pt>
                <c:pt idx="358">
                  <c:v>9194</c:v>
                </c:pt>
                <c:pt idx="359">
                  <c:v>8968</c:v>
                </c:pt>
                <c:pt idx="360">
                  <c:v>8877</c:v>
                </c:pt>
                <c:pt idx="361">
                  <c:v>8916</c:v>
                </c:pt>
                <c:pt idx="362">
                  <c:v>9009</c:v>
                </c:pt>
                <c:pt idx="363">
                  <c:v>9069</c:v>
                </c:pt>
                <c:pt idx="364">
                  <c:v>9153</c:v>
                </c:pt>
                <c:pt idx="365">
                  <c:v>9206</c:v>
                </c:pt>
                <c:pt idx="366">
                  <c:v>9218</c:v>
                </c:pt>
              </c:numCache>
            </c:numRef>
          </c:val>
          <c:smooth val="0"/>
          <c:extLst>
            <c:ext xmlns:c16="http://schemas.microsoft.com/office/drawing/2014/chart" uri="{C3380CC4-5D6E-409C-BE32-E72D297353CC}">
              <c16:uniqueId val="{00000000-2271-A04B-8957-9462160BF12E}"/>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'Sporting Goods'!$D$7:$D$375</c:f>
              <c:numCache>
                <c:formatCode>General</c:formatCode>
                <c:ptCount val="369"/>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0.12511091393078971</c:v>
                </c:pt>
                <c:pt idx="355" formatCode="0.00%">
                  <c:v>0.19874112762823087</c:v>
                </c:pt>
                <c:pt idx="356" formatCode="0.00%">
                  <c:v>0.13952896244430299</c:v>
                </c:pt>
                <c:pt idx="357" formatCode="0.00%">
                  <c:v>0.16177228232869656</c:v>
                </c:pt>
                <c:pt idx="358" formatCode="0.00%">
                  <c:v>0.19963465553235907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2.7799486435190354E-2</c:v>
                </c:pt>
                <c:pt idx="366" formatCode="0.00%">
                  <c:v>3.853086976115367E-2</c:v>
                </c:pt>
              </c:numCache>
            </c:numRef>
          </c:val>
          <c:smooth val="0"/>
          <c:extLst>
            <c:ext xmlns:c16="http://schemas.microsoft.com/office/drawing/2014/chart" uri="{C3380CC4-5D6E-409C-BE32-E72D297353CC}">
              <c16:uniqueId val="{00000000-2975-D347-8CEC-5D591C8C03B2}"/>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'General Merchandising'!$B$7:$B$375</c:f>
              <c:numCache>
                <c:formatCode>#,##0</c:formatCode>
                <c:ptCount val="369"/>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67006</c:v>
                </c:pt>
                <c:pt idx="355">
                  <c:v>67257</c:v>
                </c:pt>
                <c:pt idx="356">
                  <c:v>67760</c:v>
                </c:pt>
                <c:pt idx="357">
                  <c:v>68516</c:v>
                </c:pt>
                <c:pt idx="358">
                  <c:v>68402</c:v>
                </c:pt>
                <c:pt idx="359">
                  <c:v>67197</c:v>
                </c:pt>
                <c:pt idx="360">
                  <c:v>69233</c:v>
                </c:pt>
                <c:pt idx="361">
                  <c:v>67568</c:v>
                </c:pt>
                <c:pt idx="362">
                  <c:v>68468</c:v>
                </c:pt>
                <c:pt idx="363">
                  <c:v>68026</c:v>
                </c:pt>
                <c:pt idx="364">
                  <c:v>68053</c:v>
                </c:pt>
                <c:pt idx="365">
                  <c:v>67806</c:v>
                </c:pt>
                <c:pt idx="366">
                  <c:v>67334</c:v>
                </c:pt>
              </c:numCache>
            </c:numRef>
          </c:val>
          <c:smooth val="0"/>
          <c:extLst>
            <c:ext xmlns:c16="http://schemas.microsoft.com/office/drawing/2014/chart" uri="{C3380CC4-5D6E-409C-BE32-E72D297353CC}">
              <c16:uniqueId val="{00000000-4C50-914D-81D5-3F7A61B0C4D9}"/>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'General Merchandising'!$D$7:$D$377</c:f>
              <c:numCache>
                <c:formatCode>General</c:formatCode>
                <c:ptCount val="371"/>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9.5209297003971821E-2</c:v>
                </c:pt>
                <c:pt idx="355" formatCode="0.00%">
                  <c:v>0.12109947993065742</c:v>
                </c:pt>
                <c:pt idx="356" formatCode="0.00%">
                  <c:v>8.7832522596285059E-2</c:v>
                </c:pt>
                <c:pt idx="357" formatCode="0.00%">
                  <c:v>0.11471569185715448</c:v>
                </c:pt>
                <c:pt idx="358" formatCode="0.00%">
                  <c:v>0.11327756257934311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1.3739590652892191E-2</c:v>
                </c:pt>
                <c:pt idx="366" formatCode="0.00%">
                  <c:v>4.8950840223263587E-3</c:v>
                </c:pt>
              </c:numCache>
            </c:numRef>
          </c:val>
          <c:smooth val="0"/>
          <c:extLst>
            <c:ext xmlns:c16="http://schemas.microsoft.com/office/drawing/2014/chart" uri="{C3380CC4-5D6E-409C-BE32-E72D297353CC}">
              <c16:uniqueId val="{00000000-2723-F648-895D-2C870A586B1D}"/>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'Food Services'!$B$7:$B$375</c:f>
              <c:numCache>
                <c:formatCode>#,##0</c:formatCode>
                <c:ptCount val="369"/>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77074</c:v>
                </c:pt>
                <c:pt idx="355">
                  <c:v>77792</c:v>
                </c:pt>
                <c:pt idx="356">
                  <c:v>78288</c:v>
                </c:pt>
                <c:pt idx="357">
                  <c:v>78603</c:v>
                </c:pt>
                <c:pt idx="358">
                  <c:v>79051</c:v>
                </c:pt>
                <c:pt idx="359">
                  <c:v>77583</c:v>
                </c:pt>
                <c:pt idx="360">
                  <c:v>75557</c:v>
                </c:pt>
                <c:pt idx="361">
                  <c:v>80553</c:v>
                </c:pt>
                <c:pt idx="362">
                  <c:v>82388</c:v>
                </c:pt>
                <c:pt idx="363">
                  <c:v>84481</c:v>
                </c:pt>
                <c:pt idx="364">
                  <c:v>85322</c:v>
                </c:pt>
                <c:pt idx="365">
                  <c:v>85991</c:v>
                </c:pt>
                <c:pt idx="366">
                  <c:v>86050</c:v>
                </c:pt>
              </c:numCache>
            </c:numRef>
          </c:val>
          <c:smooth val="0"/>
          <c:extLst>
            <c:ext xmlns:c16="http://schemas.microsoft.com/office/drawing/2014/chart" uri="{C3380CC4-5D6E-409C-BE32-E72D297353CC}">
              <c16:uniqueId val="{00000000-A7EE-A949-B7F4-1F3A3983F737}"/>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'Food Services'!$D$7:$D$378</c:f>
              <c:numCache>
                <c:formatCode>General</c:formatCode>
                <c:ptCount val="372"/>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0.40343785279871808</c:v>
                </c:pt>
                <c:pt idx="355" formatCode="0.00%">
                  <c:v>0.34851873038986253</c:v>
                </c:pt>
                <c:pt idx="356" formatCode="0.00%">
                  <c:v>0.32308056311368744</c:v>
                </c:pt>
                <c:pt idx="357" formatCode="0.00%">
                  <c:v>0.32723772858517808</c:v>
                </c:pt>
                <c:pt idx="358" formatCode="0.00%">
                  <c:v>0.3868353186786197</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0.13389242717934519</c:v>
                </c:pt>
                <c:pt idx="366" formatCode="0.00%">
                  <c:v>0.11645950644834833</c:v>
                </c:pt>
              </c:numCache>
            </c:numRef>
          </c:val>
          <c:smooth val="0"/>
          <c:extLst>
            <c:ext xmlns:c16="http://schemas.microsoft.com/office/drawing/2014/chart" uri="{C3380CC4-5D6E-409C-BE32-E72D297353CC}">
              <c16:uniqueId val="{00000000-29E2-734C-8986-107EBA5683CD}"/>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'Gas Station'!$B$7:$B$376</c:f>
              <c:numCache>
                <c:formatCode>#,##0</c:formatCode>
                <c:ptCount val="37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48209</c:v>
                </c:pt>
                <c:pt idx="355">
                  <c:v>49523</c:v>
                </c:pt>
                <c:pt idx="356">
                  <c:v>51633</c:v>
                </c:pt>
                <c:pt idx="357">
                  <c:v>53978</c:v>
                </c:pt>
                <c:pt idx="358">
                  <c:v>55209</c:v>
                </c:pt>
                <c:pt idx="359">
                  <c:v>55910</c:v>
                </c:pt>
                <c:pt idx="360">
                  <c:v>54919</c:v>
                </c:pt>
                <c:pt idx="361">
                  <c:v>58392</c:v>
                </c:pt>
                <c:pt idx="362">
                  <c:v>64656</c:v>
                </c:pt>
                <c:pt idx="363">
                  <c:v>63819</c:v>
                </c:pt>
                <c:pt idx="364">
                  <c:v>66988</c:v>
                </c:pt>
                <c:pt idx="365">
                  <c:v>68658</c:v>
                </c:pt>
                <c:pt idx="366">
                  <c:v>67440</c:v>
                </c:pt>
              </c:numCache>
            </c:numRef>
          </c:val>
          <c:smooth val="0"/>
          <c:extLst>
            <c:ext xmlns:c16="http://schemas.microsoft.com/office/drawing/2014/chart" uri="{C3380CC4-5D6E-409C-BE32-E72D297353CC}">
              <c16:uniqueId val="{00000000-D510-9847-A3FC-000827DB70A9}"/>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0.35999210110584517</c:v>
                </c:pt>
                <c:pt idx="355" formatCode="0.00%">
                  <c:v>0.36826545836326463</c:v>
                </c:pt>
                <c:pt idx="356" formatCode="0.00%">
                  <c:v>0.40635724791632621</c:v>
                </c:pt>
                <c:pt idx="357" formatCode="0.00%">
                  <c:v>0.46178844174836159</c:v>
                </c:pt>
                <c:pt idx="358" formatCode="0.00%">
                  <c:v>0.52540546514519382</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0.47050760334118658</c:v>
                </c:pt>
                <c:pt idx="366" formatCode="0.00%">
                  <c:v>0.39890891742205814</c:v>
                </c:pt>
              </c:numCache>
            </c:numRef>
          </c:val>
          <c:smooth val="0"/>
          <c:extLst>
            <c:ext xmlns:c16="http://schemas.microsoft.com/office/drawing/2014/chart" uri="{C3380CC4-5D6E-409C-BE32-E72D297353CC}">
              <c16:uniqueId val="{00000000-66EA-8848-9016-AA363AFC1F59}"/>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Motor!$B$7:$B$376</c:f>
              <c:numCache>
                <c:formatCode>#,##0</c:formatCode>
                <c:ptCount val="37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122346</c:v>
                </c:pt>
                <c:pt idx="355">
                  <c:v>119191</c:v>
                </c:pt>
                <c:pt idx="356">
                  <c:v>120345</c:v>
                </c:pt>
                <c:pt idx="357">
                  <c:v>122668</c:v>
                </c:pt>
                <c:pt idx="358">
                  <c:v>123671</c:v>
                </c:pt>
                <c:pt idx="359">
                  <c:v>120807</c:v>
                </c:pt>
                <c:pt idx="360">
                  <c:v>129666</c:v>
                </c:pt>
                <c:pt idx="361">
                  <c:v>131428</c:v>
                </c:pt>
                <c:pt idx="362">
                  <c:v>128522</c:v>
                </c:pt>
                <c:pt idx="363">
                  <c:v>130811</c:v>
                </c:pt>
                <c:pt idx="364">
                  <c:v>126390</c:v>
                </c:pt>
                <c:pt idx="365">
                  <c:v>127022</c:v>
                </c:pt>
                <c:pt idx="366">
                  <c:v>124948</c:v>
                </c:pt>
              </c:numCache>
            </c:numRef>
          </c:val>
          <c:smooth val="0"/>
          <c:extLst>
            <c:ext xmlns:c16="http://schemas.microsoft.com/office/drawing/2014/chart" uri="{C3380CC4-5D6E-409C-BE32-E72D297353CC}">
              <c16:uniqueId val="{00000000-D09C-D64A-8910-B99971F0D9E1}"/>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Motor!$D$7:$D$376</c:f>
              <c:numCache>
                <c:formatCode>General</c:formatCode>
                <c:ptCount val="37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0.15603976113084889</c:v>
                </c:pt>
                <c:pt idx="355" formatCode="0.00%">
                  <c:v>0.11149344896722152</c:v>
                </c:pt>
                <c:pt idx="356" formatCode="0.00%">
                  <c:v>8.3915768995208417E-2</c:v>
                </c:pt>
                <c:pt idx="357" formatCode="0.00%">
                  <c:v>0.11049953830276475</c:v>
                </c:pt>
                <c:pt idx="358" formatCode="0.00%">
                  <c:v>0.13535670678527822</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-4.3280845471643179E-4</c:v>
                </c:pt>
                <c:pt idx="366" formatCode="0.00%">
                  <c:v>2.1267552678469259E-2</c:v>
                </c:pt>
              </c:numCache>
            </c:numRef>
          </c:val>
          <c:smooth val="0"/>
          <c:extLst>
            <c:ext xmlns:c16="http://schemas.microsoft.com/office/drawing/2014/chart" uri="{C3380CC4-5D6E-409C-BE32-E72D297353CC}">
              <c16:uniqueId val="{00000000-1536-924C-9207-1695007B651D}"/>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Housing!$B$7:$B$381</c:f>
              <c:numCache>
                <c:formatCode>#,##0</c:formatCode>
                <c:ptCount val="375"/>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38759</c:v>
                </c:pt>
                <c:pt idx="355">
                  <c:v>39079</c:v>
                </c:pt>
                <c:pt idx="356">
                  <c:v>39167</c:v>
                </c:pt>
                <c:pt idx="357">
                  <c:v>40093</c:v>
                </c:pt>
                <c:pt idx="358">
                  <c:v>40880</c:v>
                </c:pt>
                <c:pt idx="359">
                  <c:v>41207</c:v>
                </c:pt>
                <c:pt idx="360">
                  <c:v>42170</c:v>
                </c:pt>
                <c:pt idx="361">
                  <c:v>42307</c:v>
                </c:pt>
                <c:pt idx="362">
                  <c:v>42572</c:v>
                </c:pt>
                <c:pt idx="363">
                  <c:v>42168</c:v>
                </c:pt>
                <c:pt idx="364">
                  <c:v>42257</c:v>
                </c:pt>
                <c:pt idx="365">
                  <c:v>42042</c:v>
                </c:pt>
                <c:pt idx="366">
                  <c:v>42655</c:v>
                </c:pt>
              </c:numCache>
            </c:numRef>
          </c:val>
          <c:smooth val="0"/>
          <c:extLst>
            <c:ext xmlns:c16="http://schemas.microsoft.com/office/drawing/2014/chart" uri="{C3380CC4-5D6E-409C-BE32-E72D297353CC}">
              <c16:uniqueId val="{00000000-1C0B-504B-A907-693EE25670A1}"/>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Housing!$D$7:$D$380</c:f>
              <c:numCache>
                <c:formatCode>General</c:formatCode>
                <c:ptCount val="374"/>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7.5623022700782597E-2</c:v>
                </c:pt>
                <c:pt idx="355" formatCode="0.00%">
                  <c:v>6.3634631610462428E-2</c:v>
                </c:pt>
                <c:pt idx="356" formatCode="0.00%">
                  <c:v>6.1148740178813332E-2</c:v>
                </c:pt>
                <c:pt idx="357" formatCode="0.00%">
                  <c:v>9.8498547865636471E-2</c:v>
                </c:pt>
                <c:pt idx="358" formatCode="0.00%">
                  <c:v>0.11825368602456438</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7.116104868913857E-2</c:v>
                </c:pt>
                <c:pt idx="366" formatCode="0.00%">
                  <c:v>0.10051858923088831</c:v>
                </c:pt>
              </c:numCache>
            </c:numRef>
          </c:val>
          <c:smooth val="0"/>
          <c:extLst>
            <c:ext xmlns:c16="http://schemas.microsoft.com/office/drawing/2014/chart" uri="{C3380CC4-5D6E-409C-BE32-E72D297353CC}">
              <c16:uniqueId val="{00000000-437C-864A-8B50-3C7E82E7FD1B}"/>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'Furniture Home'!$B$7:$B$379</c:f>
              <c:numCache>
                <c:formatCode>#,##0</c:formatCode>
                <c:ptCount val="373"/>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20326</c:v>
                </c:pt>
                <c:pt idx="355">
                  <c:v>19879</c:v>
                </c:pt>
                <c:pt idx="356">
                  <c:v>19842</c:v>
                </c:pt>
                <c:pt idx="357">
                  <c:v>20255</c:v>
                </c:pt>
                <c:pt idx="358">
                  <c:v>19252</c:v>
                </c:pt>
                <c:pt idx="359">
                  <c:v>18443</c:v>
                </c:pt>
                <c:pt idx="360">
                  <c:v>19257</c:v>
                </c:pt>
                <c:pt idx="361">
                  <c:v>19617</c:v>
                </c:pt>
                <c:pt idx="362">
                  <c:v>19770</c:v>
                </c:pt>
                <c:pt idx="363">
                  <c:v>20080</c:v>
                </c:pt>
                <c:pt idx="364">
                  <c:v>19740</c:v>
                </c:pt>
                <c:pt idx="365">
                  <c:v>19685</c:v>
                </c:pt>
                <c:pt idx="366">
                  <c:v>19741</c:v>
                </c:pt>
              </c:numCache>
            </c:numRef>
          </c:val>
          <c:smooth val="0"/>
          <c:extLst>
            <c:ext xmlns:c16="http://schemas.microsoft.com/office/drawing/2014/chart" uri="{C3380CC4-5D6E-409C-BE32-E72D297353CC}">
              <c16:uniqueId val="{00000000-AFF7-5C41-AB1D-F67AE7B8116E}"/>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'Furniture Home'!$D$7:$D$380</c:f>
              <c:numCache>
                <c:formatCode>General</c:formatCode>
                <c:ptCount val="374"/>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0.19543609951185084</c:v>
                </c:pt>
                <c:pt idx="355" formatCode="0.00%">
                  <c:v>0.13490522950445308</c:v>
                </c:pt>
                <c:pt idx="356" formatCode="0.00%">
                  <c:v>0.13188819167142043</c:v>
                </c:pt>
                <c:pt idx="357" formatCode="0.00%">
                  <c:v>0.14772212148685404</c:v>
                </c:pt>
                <c:pt idx="358" formatCode="0.00%">
                  <c:v>0.12080107119986028</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-3.7361240158442957E-2</c:v>
                </c:pt>
                <c:pt idx="366" formatCode="0.00%">
                  <c:v>-2.878087178982584E-2</c:v>
                </c:pt>
              </c:numCache>
            </c:numRef>
          </c:val>
          <c:smooth val="0"/>
          <c:extLst>
            <c:ext xmlns:c16="http://schemas.microsoft.com/office/drawing/2014/chart" uri="{C3380CC4-5D6E-409C-BE32-E72D297353CC}">
              <c16:uniqueId val="{00000000-C893-0A41-AFFD-C84FC80E09D7}"/>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'Miscellaneous stores retailers'!$B$7:$B$378</c:f>
              <c:numCache>
                <c:formatCode>#,##0</c:formatCode>
                <c:ptCount val="372"/>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13864</c:v>
                </c:pt>
                <c:pt idx="355">
                  <c:v>14060</c:v>
                </c:pt>
                <c:pt idx="356">
                  <c:v>14324</c:v>
                </c:pt>
                <c:pt idx="357">
                  <c:v>14463</c:v>
                </c:pt>
                <c:pt idx="358">
                  <c:v>14381</c:v>
                </c:pt>
                <c:pt idx="359">
                  <c:v>14285</c:v>
                </c:pt>
                <c:pt idx="360">
                  <c:v>14527</c:v>
                </c:pt>
                <c:pt idx="361">
                  <c:v>14986</c:v>
                </c:pt>
                <c:pt idx="362">
                  <c:v>15490</c:v>
                </c:pt>
                <c:pt idx="363">
                  <c:v>15864</c:v>
                </c:pt>
                <c:pt idx="364">
                  <c:v>15515</c:v>
                </c:pt>
                <c:pt idx="365">
                  <c:v>16082</c:v>
                </c:pt>
                <c:pt idx="366">
                  <c:v>16327</c:v>
                </c:pt>
              </c:numCache>
            </c:numRef>
          </c:val>
          <c:smooth val="0"/>
          <c:extLst>
            <c:ext xmlns:c16="http://schemas.microsoft.com/office/drawing/2014/chart" uri="{C3380CC4-5D6E-409C-BE32-E72D297353CC}">
              <c16:uniqueId val="{00000000-B743-4E44-ACB0-6DEF6ED5C64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'Miscellaneous stores retailers'!$D$7:$D$378</c:f>
              <c:numCache>
                <c:formatCode>General</c:formatCode>
                <c:ptCount val="372"/>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0.26070746567245612</c:v>
                </c:pt>
                <c:pt idx="355" formatCode="0.00%">
                  <c:v>0.25827814569536423</c:v>
                </c:pt>
                <c:pt idx="356" formatCode="0.00%">
                  <c:v>0.27915699232005714</c:v>
                </c:pt>
                <c:pt idx="357" formatCode="0.00%">
                  <c:v>0.28995718872636461</c:v>
                </c:pt>
                <c:pt idx="358" formatCode="0.00%">
                  <c:v>0.2807017543859649</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0.18354430379746836</c:v>
                </c:pt>
                <c:pt idx="366" formatCode="0.00%">
                  <c:v>0.17765435660703982</c:v>
                </c:pt>
              </c:numCache>
            </c:numRef>
          </c:val>
          <c:smooth val="0"/>
          <c:extLst>
            <c:ext xmlns:c16="http://schemas.microsoft.com/office/drawing/2014/chart" uri="{C3380CC4-5D6E-409C-BE32-E72D297353CC}">
              <c16:uniqueId val="{00000000-0CF5-0944-BC81-D4A7F963012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numCache>
            </c:numRef>
          </c:cat>
          <c:val>
            <c:numRef>
              <c:f>'Clothing and clothing access'!$B$7:$B$379</c:f>
              <c:numCache>
                <c:formatCode>#,##0</c:formatCode>
                <c:ptCount val="373"/>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25303</c:v>
                </c:pt>
                <c:pt idx="355">
                  <c:v>25020</c:v>
                </c:pt>
                <c:pt idx="356">
                  <c:v>25376</c:v>
                </c:pt>
                <c:pt idx="357">
                  <c:v>25487</c:v>
                </c:pt>
                <c:pt idx="358">
                  <c:v>25784</c:v>
                </c:pt>
                <c:pt idx="359">
                  <c:v>25051</c:v>
                </c:pt>
                <c:pt idx="360">
                  <c:v>25160</c:v>
                </c:pt>
                <c:pt idx="361">
                  <c:v>25481</c:v>
                </c:pt>
                <c:pt idx="362">
                  <c:v>26157</c:v>
                </c:pt>
                <c:pt idx="363">
                  <c:v>26166</c:v>
                </c:pt>
                <c:pt idx="364">
                  <c:v>25812</c:v>
                </c:pt>
                <c:pt idx="365">
                  <c:v>26040</c:v>
                </c:pt>
                <c:pt idx="366">
                  <c:v>25891</c:v>
                </c:pt>
              </c:numCache>
            </c:numRef>
          </c:val>
          <c:smooth val="0"/>
          <c:extLst>
            <c:ext xmlns:c16="http://schemas.microsoft.com/office/drawing/2014/chart" uri="{C3380CC4-5D6E-409C-BE32-E72D297353CC}">
              <c16:uniqueId val="{00000000-C62C-DE4F-97BD-F5E921B65A04}"/>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access'!$A$19:$A$380</c:f>
              <c:numCache>
                <c:formatCode>[$-409]mmm\-yy;@</c:formatCode>
                <c:ptCount val="36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numCache>
            </c:numRef>
          </c:cat>
          <c:val>
            <c:numRef>
              <c:f>'Clothing and clothing access'!$D$19:$D$380</c:f>
              <c:numCache>
                <c:formatCode>0.00%</c:formatCode>
                <c:ptCount val="362"/>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0.41262840553818669</c:v>
                </c:pt>
                <c:pt idx="343">
                  <c:v>0.35978260869565215</c:v>
                </c:pt>
                <c:pt idx="344">
                  <c:v>0.21841839919335479</c:v>
                </c:pt>
                <c:pt idx="345">
                  <c:v>0.255331724375708</c:v>
                </c:pt>
                <c:pt idx="346">
                  <c:v>0.35583951201556502</c:v>
                </c:pt>
                <c:pt idx="347">
                  <c:v>0.25211176088369069</c:v>
                </c:pt>
                <c:pt idx="348">
                  <c:v>0.19281278149149006</c:v>
                </c:pt>
                <c:pt idx="349">
                  <c:v>0.28019493569131831</c:v>
                </c:pt>
                <c:pt idx="350">
                  <c:v>8.9012864815354517E-2</c:v>
                </c:pt>
                <c:pt idx="351">
                  <c:v>8.70793518903199E-2</c:v>
                </c:pt>
                <c:pt idx="352">
                  <c:v>4.1268304489894714E-2</c:v>
                </c:pt>
                <c:pt idx="353">
                  <c:v>9.3414473429202678E-3</c:v>
                </c:pt>
                <c:pt idx="354">
                  <c:v>2.3238351183654114E-2</c:v>
                </c:pt>
              </c:numCache>
            </c:numRef>
          </c:val>
          <c:smooth val="0"/>
          <c:extLst>
            <c:ext xmlns:c16="http://schemas.microsoft.com/office/drawing/2014/chart" uri="{C3380CC4-5D6E-409C-BE32-E72D297353CC}">
              <c16:uniqueId val="{00000000-864B-EB4E-BF6F-25E609C4A7B1}"/>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80960</xdr:rowOff>
    </xdr:from>
    <xdr:to>
      <xdr:col>16</xdr:col>
      <xdr:colOff>333375</xdr:colOff>
      <xdr:row>371</xdr:row>
      <xdr:rowOff>119061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409574</xdr:colOff>
      <xdr:row>318</xdr:row>
      <xdr:rowOff>87312</xdr:rowOff>
    </xdr:from>
    <xdr:to>
      <xdr:col>16</xdr:col>
      <xdr:colOff>365125</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14</xdr:col>
      <xdr:colOff>500063</xdr:colOff>
      <xdr:row>371</xdr:row>
      <xdr:rowOff>174625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138904</xdr:colOff>
      <xdr:row>324</xdr:row>
      <xdr:rowOff>39687</xdr:rowOff>
    </xdr:from>
    <xdr:to>
      <xdr:col>14</xdr:col>
      <xdr:colOff>515937</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322</xdr:row>
      <xdr:rowOff>114300</xdr:rowOff>
    </xdr:from>
    <xdr:to>
      <xdr:col>16</xdr:col>
      <xdr:colOff>19050</xdr:colOff>
      <xdr:row>348</xdr:row>
      <xdr:rowOff>63501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16</xdr:col>
      <xdr:colOff>25400</xdr:colOff>
      <xdr:row>372</xdr:row>
      <xdr:rowOff>25400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328</xdr:row>
      <xdr:rowOff>127000</xdr:rowOff>
    </xdr:from>
    <xdr:to>
      <xdr:col>15</xdr:col>
      <xdr:colOff>404813</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15</xdr:col>
      <xdr:colOff>404813</xdr:colOff>
      <xdr:row>373</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180974</xdr:colOff>
      <xdr:row>322</xdr:row>
      <xdr:rowOff>1</xdr:rowOff>
    </xdr:from>
    <xdr:to>
      <xdr:col>16</xdr:col>
      <xdr:colOff>683846</xdr:colOff>
      <xdr:row>350</xdr:row>
      <xdr:rowOff>76202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68384</xdr:colOff>
      <xdr:row>377</xdr:row>
      <xdr:rowOff>9769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333</xdr:row>
      <xdr:rowOff>160868</xdr:rowOff>
    </xdr:from>
    <xdr:to>
      <xdr:col>14</xdr:col>
      <xdr:colOff>8467</xdr:colOff>
      <xdr:row>352</xdr:row>
      <xdr:rowOff>168276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223309</xdr:colOff>
      <xdr:row>353</xdr:row>
      <xdr:rowOff>118534</xdr:rowOff>
    </xdr:from>
    <xdr:to>
      <xdr:col>14</xdr:col>
      <xdr:colOff>0</xdr:colOff>
      <xdr:row>374</xdr:row>
      <xdr:rowOff>127000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13</xdr:col>
      <xdr:colOff>372533</xdr:colOff>
      <xdr:row>353</xdr:row>
      <xdr:rowOff>135467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191615</xdr:colOff>
      <xdr:row>354</xdr:row>
      <xdr:rowOff>190778</xdr:rowOff>
    </xdr:from>
    <xdr:to>
      <xdr:col>13</xdr:col>
      <xdr:colOff>338667</xdr:colOff>
      <xdr:row>375</xdr:row>
      <xdr:rowOff>25401</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92073</xdr:colOff>
      <xdr:row>326</xdr:row>
      <xdr:rowOff>108857</xdr:rowOff>
    </xdr:from>
    <xdr:to>
      <xdr:col>14</xdr:col>
      <xdr:colOff>435429</xdr:colOff>
      <xdr:row>348</xdr:row>
      <xdr:rowOff>116474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55144</xdr:rowOff>
    </xdr:from>
    <xdr:to>
      <xdr:col>14</xdr:col>
      <xdr:colOff>408214</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98424</xdr:colOff>
      <xdr:row>322</xdr:row>
      <xdr:rowOff>72572</xdr:rowOff>
    </xdr:from>
    <xdr:to>
      <xdr:col>15</xdr:col>
      <xdr:colOff>498929</xdr:colOff>
      <xdr:row>349</xdr:row>
      <xdr:rowOff>161926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107948</xdr:colOff>
      <xdr:row>350</xdr:row>
      <xdr:rowOff>85724</xdr:rowOff>
    </xdr:from>
    <xdr:to>
      <xdr:col>15</xdr:col>
      <xdr:colOff>544286</xdr:colOff>
      <xdr:row>375</xdr:row>
      <xdr:rowOff>18143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101599</xdr:colOff>
      <xdr:row>329</xdr:row>
      <xdr:rowOff>186268</xdr:rowOff>
    </xdr:from>
    <xdr:to>
      <xdr:col>13</xdr:col>
      <xdr:colOff>516466</xdr:colOff>
      <xdr:row>349</xdr:row>
      <xdr:rowOff>158751</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114299</xdr:colOff>
      <xdr:row>350</xdr:row>
      <xdr:rowOff>88899</xdr:rowOff>
    </xdr:from>
    <xdr:to>
      <xdr:col>13</xdr:col>
      <xdr:colOff>465666</xdr:colOff>
      <xdr:row>373</xdr:row>
      <xdr:rowOff>33865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135390</xdr:colOff>
      <xdr:row>329</xdr:row>
      <xdr:rowOff>181429</xdr:rowOff>
    </xdr:from>
    <xdr:to>
      <xdr:col>13</xdr:col>
      <xdr:colOff>535213</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139246</xdr:colOff>
      <xdr:row>349</xdr:row>
      <xdr:rowOff>42635</xdr:rowOff>
    </xdr:from>
    <xdr:to>
      <xdr:col>13</xdr:col>
      <xdr:colOff>526143</xdr:colOff>
      <xdr:row>372</xdr:row>
      <xdr:rowOff>136070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227106</xdr:colOff>
      <xdr:row>341</xdr:row>
      <xdr:rowOff>73585</xdr:rowOff>
    </xdr:from>
    <xdr:to>
      <xdr:col>11</xdr:col>
      <xdr:colOff>624541</xdr:colOff>
      <xdr:row>355</xdr:row>
      <xdr:rowOff>153520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163980</xdr:colOff>
      <xdr:row>357</xdr:row>
      <xdr:rowOff>68169</xdr:rowOff>
    </xdr:from>
    <xdr:to>
      <xdr:col>11</xdr:col>
      <xdr:colOff>561415</xdr:colOff>
      <xdr:row>371</xdr:row>
      <xdr:rowOff>148104</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169528</xdr:colOff>
      <xdr:row>347</xdr:row>
      <xdr:rowOff>86894</xdr:rowOff>
    </xdr:from>
    <xdr:to>
      <xdr:col>13</xdr:col>
      <xdr:colOff>461211</xdr:colOff>
      <xdr:row>369</xdr:row>
      <xdr:rowOff>66842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150394</xdr:colOff>
      <xdr:row>370</xdr:row>
      <xdr:rowOff>115637</xdr:rowOff>
    </xdr:from>
    <xdr:to>
      <xdr:col>13</xdr:col>
      <xdr:colOff>514685</xdr:colOff>
      <xdr:row>392</xdr:row>
      <xdr:rowOff>113632</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3" totalsRowShown="0" headerRowDxfId="64" dataDxfId="62" headerRowBorderDxfId="63" tableBorderDxfId="61">
  <autoFilter ref="A6:D373"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3" totalsRowShown="0" headerRowDxfId="56" dataDxfId="54" headerRowBorderDxfId="55" tableBorderDxfId="53">
  <autoFilter ref="A6:D373"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3" totalsRowShown="0" headerRowDxfId="48" dataDxfId="46" headerRowBorderDxfId="47" tableBorderDxfId="45">
  <autoFilter ref="A6:D373"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3" totalsRowShown="0" headerRowDxfId="40" headerRowBorderDxfId="39" tableBorderDxfId="38">
  <autoFilter ref="A6:D373"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3" totalsRowShown="0" headerRowDxfId="33" tableBorderDxfId="32">
  <autoFilter ref="A6:D373"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3" totalsRowShown="0" headerRowDxfId="27" headerRowBorderDxfId="26" tableBorderDxfId="25">
  <autoFilter ref="A6:D373"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3" totalsRowShown="0" headerRowDxfId="20" headerRowBorderDxfId="19" tableBorderDxfId="18">
  <autoFilter ref="A6:D373"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40" zoomScaleNormal="140" workbookViewId="0">
      <selection activeCell="P14" sqref="P14"/>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8" width="9.1640625" style="110" customWidth="1"/>
    <col min="29" max="16384" width="9.1640625" style="110"/>
  </cols>
  <sheetData>
    <row r="1" spans="2:19" x14ac:dyDescent="0.2">
      <c r="B1" s="121"/>
      <c r="C1" s="122"/>
      <c r="D1" s="122"/>
      <c r="E1" s="122"/>
      <c r="F1" s="122"/>
      <c r="G1" s="122"/>
      <c r="H1" s="122"/>
      <c r="I1" s="122"/>
      <c r="J1" s="122"/>
    </row>
    <row r="2" spans="2:19" ht="16" customHeight="1" thickBot="1" x14ac:dyDescent="0.25">
      <c r="B2" s="123"/>
      <c r="C2" s="123"/>
      <c r="D2" s="123"/>
      <c r="E2" s="123"/>
      <c r="F2" s="123"/>
      <c r="G2" s="123"/>
      <c r="H2" s="123"/>
      <c r="I2" s="123"/>
      <c r="J2" s="123"/>
    </row>
    <row r="3" spans="2:19" ht="16" customHeight="1" thickBot="1" x14ac:dyDescent="0.25">
      <c r="B3" s="124" t="s">
        <v>0</v>
      </c>
      <c r="C3" s="125"/>
      <c r="D3" s="125"/>
      <c r="E3" s="125"/>
      <c r="F3" s="125"/>
      <c r="G3" s="125"/>
      <c r="H3" s="125"/>
      <c r="I3" s="125"/>
      <c r="J3" s="126"/>
    </row>
    <row r="5" spans="2:19" x14ac:dyDescent="0.2">
      <c r="B5" s="117" t="s">
        <v>1</v>
      </c>
      <c r="C5" s="118"/>
      <c r="D5" s="118"/>
      <c r="E5" s="118"/>
      <c r="F5" s="118"/>
      <c r="G5" s="118"/>
      <c r="H5" s="118"/>
      <c r="I5" s="118"/>
      <c r="J5" s="114"/>
    </row>
    <row r="7" spans="2:19" ht="147.75" customHeight="1" x14ac:dyDescent="0.2">
      <c r="B7" s="127" t="s">
        <v>2</v>
      </c>
      <c r="C7" s="122"/>
      <c r="D7" s="122"/>
      <c r="E7" s="122"/>
      <c r="F7" s="122"/>
      <c r="G7" s="122"/>
      <c r="H7" s="122"/>
      <c r="I7" s="122"/>
      <c r="J7" s="122"/>
    </row>
    <row r="8" spans="2:19" ht="33.75" customHeight="1" x14ac:dyDescent="0.2">
      <c r="B8" s="128" t="s">
        <v>3</v>
      </c>
      <c r="C8" s="122"/>
      <c r="D8" s="122"/>
      <c r="E8" s="122"/>
      <c r="F8" s="122"/>
      <c r="G8" s="122"/>
      <c r="H8" s="122"/>
      <c r="I8" s="122"/>
      <c r="J8" s="122"/>
    </row>
    <row r="9" spans="2:19" x14ac:dyDescent="0.2">
      <c r="B9" s="65"/>
      <c r="C9" s="65"/>
      <c r="D9" s="65"/>
      <c r="E9" s="65"/>
    </row>
    <row r="10" spans="2:19" x14ac:dyDescent="0.2">
      <c r="B10" s="117" t="s">
        <v>4</v>
      </c>
      <c r="C10" s="118"/>
      <c r="D10" s="118"/>
      <c r="E10" s="118"/>
      <c r="F10" s="118"/>
      <c r="G10" s="118"/>
      <c r="H10" s="118"/>
      <c r="I10" s="118"/>
      <c r="J10" s="114"/>
      <c r="N10" s="117" t="s">
        <v>5</v>
      </c>
      <c r="O10" s="118"/>
      <c r="P10" s="118"/>
      <c r="Q10" s="114"/>
    </row>
    <row r="12" spans="2:19" x14ac:dyDescent="0.2">
      <c r="B12" s="117" t="s">
        <v>6</v>
      </c>
      <c r="C12" s="118"/>
      <c r="D12" s="118"/>
      <c r="E12" s="118"/>
      <c r="F12" s="114"/>
      <c r="G12" s="117" t="s">
        <v>7</v>
      </c>
      <c r="H12" s="118"/>
      <c r="I12" s="118"/>
      <c r="J12" s="114"/>
      <c r="N12" s="8" t="s">
        <v>8</v>
      </c>
    </row>
    <row r="13" spans="2:19" ht="16" customHeight="1" thickBot="1" x14ac:dyDescent="0.25"/>
    <row r="14" spans="2:19" x14ac:dyDescent="0.2">
      <c r="B14" s="110" t="s">
        <v>9</v>
      </c>
      <c r="G14" s="122"/>
      <c r="H14" s="122"/>
      <c r="I14" s="122"/>
      <c r="J14" s="122"/>
      <c r="P14" s="68">
        <v>44713</v>
      </c>
      <c r="Q14" s="69"/>
    </row>
    <row r="15" spans="2:19" ht="16" customHeight="1" thickBot="1" x14ac:dyDescent="0.25">
      <c r="B15" s="110" t="s">
        <v>10</v>
      </c>
      <c r="G15" s="122"/>
      <c r="H15" s="122"/>
      <c r="I15" s="122"/>
      <c r="J15" s="122"/>
      <c r="N15" s="111" t="s">
        <v>11</v>
      </c>
      <c r="P15" s="70" t="s">
        <v>12</v>
      </c>
      <c r="Q15" s="70" t="s">
        <v>13</v>
      </c>
    </row>
    <row r="16" spans="2:19" ht="15.75" customHeight="1" x14ac:dyDescent="0.2">
      <c r="B16" s="110" t="s">
        <v>14</v>
      </c>
      <c r="G16" s="131"/>
      <c r="H16" s="122"/>
      <c r="I16" s="122"/>
      <c r="J16" s="122"/>
      <c r="N16" s="119" t="s">
        <v>0</v>
      </c>
      <c r="O16" s="120"/>
      <c r="P16" s="96">
        <f>Recap!F7</f>
        <v>3.3695437198297647E-4</v>
      </c>
      <c r="Q16" s="97">
        <f>Recap!G7</f>
        <v>0.10277302238444394</v>
      </c>
      <c r="S16" s="71"/>
    </row>
    <row r="17" spans="2:19" ht="15.75" customHeight="1" x14ac:dyDescent="0.2">
      <c r="G17" s="131"/>
      <c r="H17" s="122"/>
      <c r="I17" s="122"/>
      <c r="J17" s="122"/>
      <c r="N17" s="113" t="s">
        <v>15</v>
      </c>
      <c r="O17" s="114"/>
      <c r="P17" s="98">
        <f>Recap!F8</f>
        <v>4.1471444282646609E-3</v>
      </c>
      <c r="Q17" s="99">
        <f>Recap!G8</f>
        <v>0.12284384724072829</v>
      </c>
      <c r="S17" s="71"/>
    </row>
    <row r="18" spans="2:19" ht="15.75" customHeight="1" x14ac:dyDescent="0.2">
      <c r="B18" s="110" t="s">
        <v>16</v>
      </c>
      <c r="G18" s="100" t="s">
        <v>0</v>
      </c>
      <c r="H18" s="67"/>
      <c r="I18" s="67"/>
      <c r="J18" s="67"/>
      <c r="N18" s="113" t="s">
        <v>17</v>
      </c>
      <c r="O18" s="114"/>
      <c r="P18" s="98">
        <f>Recap!F9</f>
        <v>7.2334438956264567E-3</v>
      </c>
      <c r="Q18" s="99">
        <f>Recap!G9</f>
        <v>9.3178044023404849E-2</v>
      </c>
      <c r="S18" s="71"/>
    </row>
    <row r="19" spans="2:19" ht="15.75" customHeight="1" x14ac:dyDescent="0.2">
      <c r="B19" s="110" t="s">
        <v>18</v>
      </c>
      <c r="G19" s="100" t="s">
        <v>15</v>
      </c>
      <c r="H19" s="67"/>
      <c r="I19" s="67"/>
      <c r="J19" s="67"/>
      <c r="N19" s="113" t="s">
        <v>19</v>
      </c>
      <c r="O19" s="114"/>
      <c r="P19" s="98">
        <f>Recap!F10</f>
        <v>-1.632788020972745E-2</v>
      </c>
      <c r="Q19" s="99">
        <f>Recap!G10</f>
        <v>2.1267552678469259E-2</v>
      </c>
      <c r="S19" s="71"/>
    </row>
    <row r="20" spans="2:19" ht="15.75" customHeight="1" x14ac:dyDescent="0.2">
      <c r="B20" s="110" t="s">
        <v>20</v>
      </c>
      <c r="G20" s="100" t="s">
        <v>17</v>
      </c>
      <c r="H20" s="67"/>
      <c r="I20" s="67"/>
      <c r="J20" s="67"/>
      <c r="N20" s="113" t="s">
        <v>21</v>
      </c>
      <c r="O20" s="114"/>
      <c r="P20" s="98">
        <f>Recap!F11</f>
        <v>2.6529949426993923E-2</v>
      </c>
      <c r="Q20" s="99">
        <f>Recap!G11</f>
        <v>0.20154668288656211</v>
      </c>
    </row>
    <row r="21" spans="2:19" ht="15.75" customHeight="1" x14ac:dyDescent="0.2">
      <c r="B21" s="110" t="s">
        <v>22</v>
      </c>
      <c r="G21" s="100" t="s">
        <v>23</v>
      </c>
      <c r="H21" s="67"/>
      <c r="I21" s="67"/>
      <c r="J21" s="67"/>
      <c r="N21" s="113" t="s">
        <v>24</v>
      </c>
      <c r="O21" s="114"/>
      <c r="P21" s="98">
        <f>Recap!F12</f>
        <v>2.0430694262908774E-3</v>
      </c>
      <c r="Q21" s="99">
        <f>Recap!G12</f>
        <v>8.411933495338908E-2</v>
      </c>
    </row>
    <row r="22" spans="2:19" ht="15.75" customHeight="1" x14ac:dyDescent="0.2">
      <c r="B22" s="110" t="s">
        <v>25</v>
      </c>
      <c r="G22" s="100" t="s">
        <v>26</v>
      </c>
      <c r="H22" s="67"/>
      <c r="I22" s="67"/>
      <c r="J22" s="67"/>
      <c r="N22" s="113" t="s">
        <v>27</v>
      </c>
      <c r="O22" s="114"/>
      <c r="P22" s="98">
        <f>Recap!F13</f>
        <v>6.8611831470735305E-4</v>
      </c>
      <c r="Q22" s="99">
        <f>Recap!G13</f>
        <v>0.11645950644834833</v>
      </c>
    </row>
    <row r="23" spans="2:19" ht="15.75" customHeight="1" x14ac:dyDescent="0.2">
      <c r="B23" s="110" t="s">
        <v>28</v>
      </c>
      <c r="G23" s="100" t="s">
        <v>29</v>
      </c>
      <c r="H23" s="67"/>
      <c r="I23" s="67"/>
      <c r="J23" s="67"/>
      <c r="N23" s="113" t="s">
        <v>30</v>
      </c>
      <c r="O23" s="114"/>
      <c r="P23" s="98">
        <f>Recap!F14</f>
        <v>-6.9610358965283307E-3</v>
      </c>
      <c r="Q23" s="99">
        <f>Recap!G14</f>
        <v>4.8950840223263587E-3</v>
      </c>
    </row>
    <row r="24" spans="2:19" ht="15.75" customHeight="1" x14ac:dyDescent="0.2">
      <c r="B24" s="110" t="s">
        <v>31</v>
      </c>
      <c r="G24" s="100" t="s">
        <v>32</v>
      </c>
      <c r="H24" s="67"/>
      <c r="I24" s="67"/>
      <c r="J24" s="67"/>
      <c r="N24" s="113" t="s">
        <v>33</v>
      </c>
      <c r="O24" s="114"/>
      <c r="P24" s="98">
        <f>Recap!F15</f>
        <v>-1.7740103119811237E-2</v>
      </c>
      <c r="Q24" s="99">
        <f>Recap!G15</f>
        <v>0.39890891742205814</v>
      </c>
    </row>
    <row r="25" spans="2:19" ht="15.75" customHeight="1" x14ac:dyDescent="0.2">
      <c r="B25" s="110" t="s">
        <v>34</v>
      </c>
      <c r="G25" s="100" t="s">
        <v>35</v>
      </c>
      <c r="H25" s="67"/>
      <c r="I25" s="67"/>
      <c r="J25" s="67"/>
      <c r="N25" s="113" t="s">
        <v>36</v>
      </c>
      <c r="O25" s="114"/>
      <c r="P25" s="98">
        <f>Recap!F16</f>
        <v>1.4580657437800295E-2</v>
      </c>
      <c r="Q25" s="99">
        <f>Recap!G16</f>
        <v>0.10051858923088831</v>
      </c>
    </row>
    <row r="26" spans="2:19" ht="15.75" customHeight="1" x14ac:dyDescent="0.2">
      <c r="B26" s="110" t="s">
        <v>37</v>
      </c>
      <c r="G26" s="101" t="s">
        <v>38</v>
      </c>
      <c r="H26" s="67"/>
      <c r="I26" s="67"/>
      <c r="J26" s="67"/>
      <c r="N26" s="113" t="s">
        <v>29</v>
      </c>
      <c r="O26" s="114"/>
      <c r="P26" s="98">
        <f>Recap!F17</f>
        <v>4.1212483201433477E-3</v>
      </c>
      <c r="Q26" s="99">
        <f>Recap!G17</f>
        <v>3.4171998031496065E-2</v>
      </c>
    </row>
    <row r="27" spans="2:19" ht="15.75" customHeight="1" x14ac:dyDescent="0.2">
      <c r="B27" s="110" t="s">
        <v>39</v>
      </c>
      <c r="G27" s="100" t="s">
        <v>40</v>
      </c>
      <c r="H27" s="67"/>
      <c r="I27" s="67"/>
      <c r="J27" s="67"/>
      <c r="N27" s="113" t="s">
        <v>41</v>
      </c>
      <c r="O27" s="114"/>
      <c r="P27" s="98">
        <f>Recap!F18</f>
        <v>-5.7219662058371739E-3</v>
      </c>
      <c r="Q27" s="99">
        <f>Recap!G18</f>
        <v>2.3238351183654114E-2</v>
      </c>
    </row>
    <row r="28" spans="2:19" ht="15.75" customHeight="1" x14ac:dyDescent="0.2">
      <c r="B28" s="110" t="s">
        <v>42</v>
      </c>
      <c r="G28" s="100" t="s">
        <v>19</v>
      </c>
      <c r="H28" s="67"/>
      <c r="I28" s="67"/>
      <c r="J28" s="67"/>
      <c r="N28" s="113" t="s">
        <v>43</v>
      </c>
      <c r="O28" s="114"/>
      <c r="P28" s="98">
        <f>Recap!F19</f>
        <v>2.844805689611379E-3</v>
      </c>
      <c r="Q28" s="99">
        <f>Recap!G19</f>
        <v>-2.878087178982584E-2</v>
      </c>
    </row>
    <row r="29" spans="2:19" ht="15.75" customHeight="1" x14ac:dyDescent="0.2">
      <c r="B29" s="110" t="s">
        <v>44</v>
      </c>
      <c r="G29" s="100" t="s">
        <v>36</v>
      </c>
      <c r="H29" s="67"/>
      <c r="I29" s="67"/>
      <c r="J29" s="67"/>
      <c r="N29" s="113" t="s">
        <v>45</v>
      </c>
      <c r="O29" s="114"/>
      <c r="P29" s="98">
        <f>Recap!F20</f>
        <v>1.5234423579156822E-2</v>
      </c>
      <c r="Q29" s="99">
        <f>Recap!G20</f>
        <v>0.17765435660703982</v>
      </c>
    </row>
    <row r="30" spans="2:19" ht="15.75" customHeight="1" thickBot="1" x14ac:dyDescent="0.25">
      <c r="B30" s="110" t="s">
        <v>46</v>
      </c>
      <c r="G30" s="100" t="s">
        <v>43</v>
      </c>
      <c r="H30" s="67"/>
      <c r="I30" s="67"/>
      <c r="J30" s="67"/>
      <c r="N30" s="115" t="s">
        <v>32</v>
      </c>
      <c r="O30" s="116"/>
      <c r="P30" s="102">
        <f>Recap!F21</f>
        <v>1.303497718878992E-3</v>
      </c>
      <c r="Q30" s="103">
        <f>Recap!G21</f>
        <v>3.853086976115367E-2</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30"/>
      <c r="C33" s="122"/>
      <c r="D33" s="122"/>
      <c r="E33" s="122"/>
      <c r="F33" s="122"/>
      <c r="G33" s="131"/>
      <c r="H33" s="122"/>
      <c r="I33" s="122"/>
      <c r="J33" s="122"/>
    </row>
    <row r="34" spans="2:14" ht="16" customHeight="1" thickBot="1" x14ac:dyDescent="0.25">
      <c r="B34" s="27"/>
      <c r="N34" s="69">
        <f>DATE(YEAR($P$14),MONTH($P$14)-1,DAY($P$14))</f>
        <v>44682</v>
      </c>
    </row>
    <row r="35" spans="2:14" ht="33.75" customHeight="1" thickBot="1" x14ac:dyDescent="0.25">
      <c r="B35" s="129"/>
      <c r="C35" s="122"/>
      <c r="D35" s="122"/>
      <c r="E35" s="122"/>
      <c r="F35" s="122"/>
      <c r="G35" s="122"/>
      <c r="H35" s="122"/>
      <c r="I35" s="122"/>
      <c r="J35" s="122"/>
      <c r="N35" s="72">
        <f>DATE(YEAR($P$14)-1,MONTH($P$14),DAY($P$14))</f>
        <v>44348</v>
      </c>
    </row>
    <row r="36" spans="2:14" x14ac:dyDescent="0.2">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8"/>
  <sheetViews>
    <sheetView topLeftCell="A354" zoomScale="150" zoomScaleNormal="150" workbookViewId="0">
      <selection activeCell="P14" sqref="P14"/>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2">
      <c r="A219" s="112">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2">
      <c r="A220" s="112">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2">
      <c r="A221" s="112">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2">
      <c r="A222" s="112">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2">
      <c r="A223" s="112">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2">
      <c r="A224" s="112">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2">
      <c r="A225" s="112">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2">
      <c r="A226" s="112">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2">
      <c r="A227" s="112">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2">
      <c r="A228" s="112">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2">
      <c r="A229" s="112">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2">
      <c r="A230" s="112">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2">
      <c r="A231" s="112">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2">
      <c r="A232" s="112">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2">
      <c r="A233" s="112">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2">
      <c r="A234" s="112">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2">
      <c r="A235" s="112">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2">
      <c r="A236" s="112">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2">
      <c r="A237" s="112">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2">
      <c r="A238" s="112">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2">
      <c r="A239" s="112">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2">
      <c r="A240" s="112">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2">
      <c r="A241" s="112">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2">
      <c r="A242" s="112">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2">
      <c r="A243" s="112">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2">
      <c r="A244" s="112">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2">
      <c r="A245" s="112">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2">
      <c r="A246" s="112">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2">
      <c r="A247" s="112">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2">
      <c r="A248" s="112">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2">
      <c r="A249" s="112">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2">
      <c r="A250" s="112">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2">
      <c r="A251" s="112">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2">
      <c r="A252" s="112">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2">
      <c r="A253" s="112">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2">
      <c r="A254" s="112">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2">
      <c r="A255" s="112">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2">
      <c r="A256" s="112">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2">
      <c r="A257" s="112">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2">
      <c r="A258" s="112">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2">
      <c r="A259" s="112">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2">
      <c r="A260" s="112">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2">
      <c r="A261" s="112">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2">
      <c r="A262" s="112">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2">
      <c r="A263" s="112">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2">
      <c r="A264" s="112">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2">
      <c r="A265" s="112">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2">
      <c r="A266" s="112">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2">
      <c r="A267" s="112">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2">
      <c r="A268" s="112">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2">
      <c r="A269" s="112">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2">
      <c r="A270" s="112">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2">
      <c r="A271" s="112">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2">
      <c r="A272" s="112">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2">
      <c r="A273" s="112">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2">
      <c r="A274" s="112">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2">
      <c r="A275" s="112">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2">
      <c r="A276" s="112">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2">
      <c r="A277" s="112">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2">
      <c r="A278" s="112">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2">
      <c r="A279" s="112">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2">
      <c r="A280" s="112">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2">
      <c r="A281" s="112">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2">
      <c r="A282" s="112">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2">
      <c r="A283" s="112">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2">
      <c r="A284" s="112">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2">
      <c r="A285" s="112">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2">
      <c r="A286" s="112">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2">
      <c r="A287" s="112">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2">
      <c r="A288" s="112">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2">
      <c r="A289" s="112">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2">
      <c r="A290" s="112">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2">
      <c r="A291" s="112">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2">
      <c r="A292" s="112">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2">
      <c r="A293" s="112">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2">
      <c r="A294" s="112">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2">
      <c r="A295" s="112">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2">
      <c r="A296" s="112">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2">
      <c r="A297" s="112">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2">
      <c r="A298" s="112">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2">
      <c r="A299" s="112">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2">
      <c r="A300" s="112">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2">
      <c r="A301" s="112">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2">
      <c r="A302" s="112">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2">
      <c r="A303" s="112">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2">
      <c r="A304" s="112">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2">
      <c r="A305" s="112">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2">
      <c r="A306" s="112">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2">
      <c r="A307" s="112">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2">
      <c r="A308" s="112">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2">
      <c r="A309" s="112">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2">
      <c r="A310" s="112">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2">
      <c r="A311" s="112">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2">
      <c r="A312" s="112">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2">
      <c r="A313" s="112">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2">
      <c r="A314" s="112">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2">
      <c r="A315" s="112">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2">
      <c r="A316" s="112">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2">
      <c r="A317" s="112">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2">
      <c r="A318" s="112">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2">
      <c r="A319" s="112">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2">
      <c r="A320" s="112">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2">
      <c r="A321" s="112">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2">
      <c r="A322" s="112">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2">
      <c r="A323" s="112">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2">
      <c r="A324" s="112">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2">
      <c r="A325" s="112">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2">
      <c r="A326" s="112">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2">
      <c r="A327" s="112">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2">
      <c r="A328" s="112">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2">
      <c r="A329" s="112">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2">
      <c r="A330" s="112">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2">
      <c r="A331" s="112">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2">
      <c r="A332" s="112">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2">
      <c r="A333" s="112">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2">
      <c r="A334" s="112">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2">
      <c r="A335" s="112">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2">
      <c r="A336" s="112">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2">
      <c r="A337" s="112">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2">
      <c r="A338" s="112">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2">
      <c r="A339" s="112">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2">
      <c r="A340" s="112">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2">
      <c r="A341" s="112">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2">
      <c r="A342" s="112">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2">
      <c r="A343" s="112">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2">
      <c r="A344" s="112">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2">
      <c r="A345" s="112">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2">
      <c r="A346" s="112">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2">
      <c r="A347" s="112">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2">
      <c r="A348" s="112">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2">
      <c r="A349" s="112">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2">
      <c r="A350" s="112">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2">
      <c r="A351" s="112">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2">
      <c r="A352" s="112">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2">
      <c r="A353" s="112">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2">
      <c r="A354" s="112">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2">
      <c r="A355" s="112">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2">
      <c r="A356" s="112">
        <v>44378</v>
      </c>
      <c r="B356">
        <v>448625</v>
      </c>
      <c r="C356">
        <v>619180</v>
      </c>
      <c r="D356">
        <v>38759</v>
      </c>
      <c r="E356">
        <v>25303</v>
      </c>
      <c r="F356">
        <v>72837</v>
      </c>
      <c r="G356">
        <v>8453</v>
      </c>
      <c r="H356">
        <v>11873</v>
      </c>
      <c r="I356">
        <v>77074</v>
      </c>
      <c r="J356">
        <v>496834</v>
      </c>
      <c r="K356">
        <v>48209</v>
      </c>
      <c r="L356">
        <v>67006</v>
      </c>
      <c r="M356">
        <v>32512</v>
      </c>
      <c r="N356">
        <v>13864</v>
      </c>
      <c r="O356">
        <v>122346</v>
      </c>
      <c r="P356">
        <v>92068</v>
      </c>
      <c r="Q356">
        <v>8876</v>
      </c>
    </row>
    <row r="357" spans="1:17" x14ac:dyDescent="0.2">
      <c r="A357" s="112">
        <v>44409</v>
      </c>
      <c r="B357">
        <v>456024</v>
      </c>
      <c r="C357">
        <v>624738</v>
      </c>
      <c r="D357">
        <v>39079</v>
      </c>
      <c r="E357">
        <v>25020</v>
      </c>
      <c r="F357">
        <v>74234</v>
      </c>
      <c r="G357">
        <v>7990</v>
      </c>
      <c r="H357">
        <v>11889</v>
      </c>
      <c r="I357">
        <v>77792</v>
      </c>
      <c r="J357">
        <v>505547</v>
      </c>
      <c r="K357">
        <v>49523</v>
      </c>
      <c r="L357">
        <v>67257</v>
      </c>
      <c r="M357">
        <v>32866</v>
      </c>
      <c r="N357">
        <v>14060</v>
      </c>
      <c r="O357">
        <v>119191</v>
      </c>
      <c r="P357">
        <v>96886</v>
      </c>
      <c r="Q357">
        <v>8951</v>
      </c>
    </row>
    <row r="358" spans="1:17" x14ac:dyDescent="0.2">
      <c r="A358" s="112">
        <v>44440</v>
      </c>
      <c r="B358">
        <v>458927</v>
      </c>
      <c r="C358">
        <v>630905</v>
      </c>
      <c r="D358">
        <v>39167</v>
      </c>
      <c r="E358">
        <v>25376</v>
      </c>
      <c r="F358">
        <v>74785</v>
      </c>
      <c r="G358">
        <v>7987</v>
      </c>
      <c r="H358">
        <v>11855</v>
      </c>
      <c r="I358">
        <v>78288</v>
      </c>
      <c r="J358">
        <v>510560</v>
      </c>
      <c r="K358">
        <v>51633</v>
      </c>
      <c r="L358">
        <v>67760</v>
      </c>
      <c r="M358">
        <v>32710</v>
      </c>
      <c r="N358">
        <v>14324</v>
      </c>
      <c r="O358">
        <v>120345</v>
      </c>
      <c r="P358">
        <v>97724</v>
      </c>
      <c r="Q358">
        <v>8951</v>
      </c>
    </row>
    <row r="359" spans="1:17" x14ac:dyDescent="0.2">
      <c r="A359" s="112">
        <v>44470</v>
      </c>
      <c r="B359">
        <v>464253</v>
      </c>
      <c r="C359">
        <v>640899</v>
      </c>
      <c r="D359">
        <v>40093</v>
      </c>
      <c r="E359">
        <v>25487</v>
      </c>
      <c r="F359">
        <v>75535</v>
      </c>
      <c r="G359">
        <v>8191</v>
      </c>
      <c r="H359">
        <v>12064</v>
      </c>
      <c r="I359">
        <v>78603</v>
      </c>
      <c r="J359">
        <v>518231</v>
      </c>
      <c r="K359">
        <v>53978</v>
      </c>
      <c r="L359">
        <v>68516</v>
      </c>
      <c r="M359">
        <v>32444</v>
      </c>
      <c r="N359">
        <v>14463</v>
      </c>
      <c r="O359">
        <v>122668</v>
      </c>
      <c r="P359">
        <v>99837</v>
      </c>
      <c r="Q359">
        <v>9020</v>
      </c>
    </row>
    <row r="360" spans="1:17" x14ac:dyDescent="0.2">
      <c r="A360" s="112">
        <v>44501</v>
      </c>
      <c r="B360">
        <v>465861</v>
      </c>
      <c r="C360">
        <v>644741</v>
      </c>
      <c r="D360">
        <v>40880</v>
      </c>
      <c r="E360">
        <v>25784</v>
      </c>
      <c r="F360">
        <v>75783</v>
      </c>
      <c r="G360">
        <v>7227</v>
      </c>
      <c r="H360">
        <v>12025</v>
      </c>
      <c r="I360">
        <v>79051</v>
      </c>
      <c r="J360">
        <v>521070</v>
      </c>
      <c r="K360">
        <v>55209</v>
      </c>
      <c r="L360">
        <v>68402</v>
      </c>
      <c r="M360">
        <v>32793</v>
      </c>
      <c r="N360">
        <v>14381</v>
      </c>
      <c r="O360">
        <v>123671</v>
      </c>
      <c r="P360">
        <v>100341</v>
      </c>
      <c r="Q360">
        <v>9194</v>
      </c>
    </row>
    <row r="361" spans="1:17" x14ac:dyDescent="0.2">
      <c r="A361" s="112">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2">
      <c r="A362" s="112">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2">
      <c r="A363" s="112">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2">
      <c r="A364" s="112">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2">
      <c r="A365" s="112">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2">
      <c r="A366" s="112">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2">
      <c r="A367" s="112">
        <v>44713</v>
      </c>
      <c r="B367">
        <v>486905</v>
      </c>
      <c r="C367">
        <v>682585</v>
      </c>
      <c r="D367">
        <v>42042</v>
      </c>
      <c r="E367">
        <v>26040</v>
      </c>
      <c r="F367">
        <v>78803</v>
      </c>
      <c r="G367">
        <v>7585</v>
      </c>
      <c r="H367">
        <v>12100</v>
      </c>
      <c r="I367">
        <v>85991</v>
      </c>
      <c r="J367">
        <v>555563</v>
      </c>
      <c r="K367">
        <v>68658</v>
      </c>
      <c r="L367">
        <v>67806</v>
      </c>
      <c r="M367">
        <v>33485</v>
      </c>
      <c r="N367">
        <v>16082</v>
      </c>
      <c r="O367">
        <v>127022</v>
      </c>
      <c r="P367">
        <v>107765</v>
      </c>
      <c r="Q367">
        <v>9206</v>
      </c>
    </row>
    <row r="368" spans="1:17" x14ac:dyDescent="0.2">
      <c r="A368" s="112">
        <v>44743</v>
      </c>
      <c r="B368">
        <v>490427</v>
      </c>
      <c r="C368">
        <v>682815</v>
      </c>
      <c r="D368">
        <v>42655</v>
      </c>
      <c r="E368">
        <v>25891</v>
      </c>
      <c r="F368">
        <v>78964</v>
      </c>
      <c r="G368">
        <v>7619</v>
      </c>
      <c r="H368">
        <v>12122</v>
      </c>
      <c r="I368">
        <v>86050</v>
      </c>
      <c r="J368">
        <v>557867</v>
      </c>
      <c r="K368">
        <v>67440</v>
      </c>
      <c r="L368">
        <v>67334</v>
      </c>
      <c r="M368">
        <v>33623</v>
      </c>
      <c r="N368">
        <v>16327</v>
      </c>
      <c r="O368">
        <v>124948</v>
      </c>
      <c r="P368">
        <v>110624</v>
      </c>
      <c r="Q368">
        <v>9218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topLeftCell="A2" zoomScale="130" zoomScaleNormal="130" workbookViewId="0">
      <selection activeCell="E4" sqref="E4"/>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22" width="9.1640625" style="110" customWidth="1"/>
    <col min="23" max="16384" width="9.1640625" style="110"/>
  </cols>
  <sheetData>
    <row r="1" spans="2:10" ht="16" customHeight="1" thickBot="1" x14ac:dyDescent="0.25"/>
    <row r="2" spans="2:10" x14ac:dyDescent="0.2">
      <c r="D2" s="4" t="s">
        <v>66</v>
      </c>
      <c r="E2" s="6">
        <f>DATE(YEAR(E3),MONTH(E3)-1,DAY(E3))</f>
        <v>44713</v>
      </c>
    </row>
    <row r="3" spans="2:10" ht="16" customHeight="1" thickBot="1" x14ac:dyDescent="0.25">
      <c r="D3" s="5" t="s">
        <v>67</v>
      </c>
      <c r="E3" s="7">
        <v>44743</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682585</v>
      </c>
      <c r="E7" s="61">
        <f>VLOOKUP($E$3,'Retail Sales'!A:B,2,)</f>
        <v>682815</v>
      </c>
      <c r="F7" s="104">
        <f t="shared" ref="F7:F21" si="0">(E7-D7)/D7</f>
        <v>3.3695437198297647E-4</v>
      </c>
      <c r="G7" s="104">
        <f>VLOOKUP($E$3,'Retail Sales'!A:D,4,)</f>
        <v>0.10277302238444394</v>
      </c>
      <c r="H7" s="62"/>
      <c r="I7" s="63" t="s">
        <v>51</v>
      </c>
      <c r="J7" s="64" t="s">
        <v>16</v>
      </c>
    </row>
    <row r="8" spans="2:10" ht="25.5" customHeight="1" x14ac:dyDescent="0.25">
      <c r="B8" s="38"/>
      <c r="C8" s="34" t="s">
        <v>15</v>
      </c>
      <c r="D8" s="35">
        <f>VLOOKUP($E$2,'Retail Sales ex Auto'!A:B,2,)</f>
        <v>555563</v>
      </c>
      <c r="E8" s="35">
        <f>VLOOKUP($E$3,'Retail Sales ex Auto'!A:B,2,)</f>
        <v>557867</v>
      </c>
      <c r="F8" s="105">
        <f t="shared" si="0"/>
        <v>4.1471444282646609E-3</v>
      </c>
      <c r="G8" s="105">
        <f>VLOOKUP($E$3,'Retail Sales ex Auto'!A:D,4,)</f>
        <v>0.12284384724072829</v>
      </c>
      <c r="H8" s="3"/>
      <c r="I8" s="36" t="s">
        <v>58</v>
      </c>
      <c r="J8" s="39" t="s">
        <v>18</v>
      </c>
    </row>
    <row r="9" spans="2:10" ht="25.5" customHeight="1" x14ac:dyDescent="0.25">
      <c r="B9" s="38"/>
      <c r="C9" s="34" t="s">
        <v>17</v>
      </c>
      <c r="D9" s="35">
        <f>VLOOKUP($E$2,'Retail Sales ex Auto and Gas'!A:B,2,)</f>
        <v>486905</v>
      </c>
      <c r="E9" s="35">
        <f>VLOOKUP($E$3,'Retail Sales ex Auto and Gas'!A:B,2,)</f>
        <v>490427</v>
      </c>
      <c r="F9" s="105">
        <f t="shared" si="0"/>
        <v>7.2334438956264567E-3</v>
      </c>
      <c r="G9" s="105">
        <f>VLOOKUP($E$3,'Retail Sales ex Auto and Gas'!A:D,4,)</f>
        <v>9.3178044023404849E-2</v>
      </c>
      <c r="H9" s="3"/>
      <c r="I9" s="36" t="s">
        <v>50</v>
      </c>
      <c r="J9" s="39" t="s">
        <v>20</v>
      </c>
    </row>
    <row r="10" spans="2:10" ht="25.5" customHeight="1" x14ac:dyDescent="0.25">
      <c r="B10" s="40">
        <v>441</v>
      </c>
      <c r="C10" s="34" t="s">
        <v>75</v>
      </c>
      <c r="D10" s="35">
        <f>VLOOKUP($E$2,Motor!A:B,2,)</f>
        <v>127022</v>
      </c>
      <c r="E10" s="35">
        <f>VLOOKUP($E$3,Motor!A:B,2,)</f>
        <v>124948</v>
      </c>
      <c r="F10" s="105">
        <f t="shared" si="0"/>
        <v>-1.632788020972745E-2</v>
      </c>
      <c r="G10" s="105">
        <f>VLOOKUP($E$3,Motor!A:D,4,)</f>
        <v>2.1267552678469259E-2</v>
      </c>
      <c r="H10" s="106">
        <f t="shared" ref="H10:H21" si="1">D10/$D$7</f>
        <v>0.18608964451313756</v>
      </c>
      <c r="I10" s="36" t="s">
        <v>63</v>
      </c>
      <c r="J10" s="39" t="s">
        <v>42</v>
      </c>
    </row>
    <row r="11" spans="2:10" ht="25.5" customHeight="1" x14ac:dyDescent="0.25">
      <c r="B11" s="40">
        <v>454</v>
      </c>
      <c r="C11" s="34" t="s">
        <v>21</v>
      </c>
      <c r="D11" s="35">
        <f>VLOOKUP($E$2,'Non Store Retail'!A:B,2,)</f>
        <v>107765</v>
      </c>
      <c r="E11" s="35">
        <f>VLOOKUP($E$3,'Non Store Retail'!A:B,2,)</f>
        <v>110624</v>
      </c>
      <c r="F11" s="105">
        <f t="shared" si="0"/>
        <v>2.6529949426993923E-2</v>
      </c>
      <c r="G11" s="105">
        <f>VLOOKUP($E$3,'Non Store Retail'!A:D,4,)</f>
        <v>0.20154668288656211</v>
      </c>
      <c r="H11" s="106">
        <f t="shared" si="1"/>
        <v>0.15787777346411069</v>
      </c>
      <c r="I11" s="36" t="s">
        <v>64</v>
      </c>
      <c r="J11" s="39" t="s">
        <v>25</v>
      </c>
    </row>
    <row r="12" spans="2:10" ht="25.5" customHeight="1" x14ac:dyDescent="0.25">
      <c r="B12" s="40">
        <v>445</v>
      </c>
      <c r="C12" s="34" t="s">
        <v>24</v>
      </c>
      <c r="D12" s="35">
        <f>VLOOKUP($E$2,'Food and Beverage'!A:B,2,)</f>
        <v>78803</v>
      </c>
      <c r="E12" s="35">
        <f>VLOOKUP($E$3,'Food and Beverage'!A:B,2,)</f>
        <v>78964</v>
      </c>
      <c r="F12" s="105">
        <f t="shared" si="0"/>
        <v>2.0430694262908774E-3</v>
      </c>
      <c r="G12" s="105">
        <f>VLOOKUP($E$3,'Food and Beverage'!A:D,4,)</f>
        <v>8.411933495338908E-2</v>
      </c>
      <c r="H12" s="106">
        <f t="shared" si="1"/>
        <v>0.11544789293641085</v>
      </c>
      <c r="I12" s="36" t="s">
        <v>54</v>
      </c>
      <c r="J12" s="39" t="s">
        <v>22</v>
      </c>
    </row>
    <row r="13" spans="2:10" ht="25.5" customHeight="1" x14ac:dyDescent="0.25">
      <c r="B13" s="40">
        <v>722</v>
      </c>
      <c r="C13" s="34" t="s">
        <v>27</v>
      </c>
      <c r="D13" s="35">
        <f>VLOOKUP($E$2,'Food Services'!A:B,2,)</f>
        <v>85991</v>
      </c>
      <c r="E13" s="35">
        <f>VLOOKUP($E$3,'Food Services'!A:B,2,)</f>
        <v>86050</v>
      </c>
      <c r="F13" s="105">
        <f t="shared" si="0"/>
        <v>6.8611831470735305E-4</v>
      </c>
      <c r="G13" s="105">
        <f>VLOOKUP($E$3,'Food Services'!A:D,4,)</f>
        <v>0.11645950644834833</v>
      </c>
      <c r="H13" s="106">
        <f t="shared" si="1"/>
        <v>0.12597844957038318</v>
      </c>
      <c r="I13" s="36" t="s">
        <v>57</v>
      </c>
      <c r="J13" s="39" t="s">
        <v>37</v>
      </c>
    </row>
    <row r="14" spans="2:10" ht="25.5" customHeight="1" x14ac:dyDescent="0.25">
      <c r="B14" s="40">
        <v>452</v>
      </c>
      <c r="C14" s="34" t="s">
        <v>30</v>
      </c>
      <c r="D14" s="35">
        <f>VLOOKUP($E$2,'General Merchandising'!A:B,2,)</f>
        <v>67806</v>
      </c>
      <c r="E14" s="35">
        <f>VLOOKUP($E$3,'General Merchandising'!A:B,2,)</f>
        <v>67334</v>
      </c>
      <c r="F14" s="105">
        <f t="shared" si="0"/>
        <v>-6.9610358965283307E-3</v>
      </c>
      <c r="G14" s="105">
        <f>VLOOKUP($E$3,'General Merchandising'!A:D,4,)</f>
        <v>4.8950840223263587E-3</v>
      </c>
      <c r="H14" s="106">
        <f t="shared" si="1"/>
        <v>9.9337078898598705E-2</v>
      </c>
      <c r="I14" s="36" t="s">
        <v>60</v>
      </c>
      <c r="J14" s="39" t="s">
        <v>34</v>
      </c>
    </row>
    <row r="15" spans="2:10" ht="25.5" customHeight="1" x14ac:dyDescent="0.25">
      <c r="B15" s="40">
        <v>447</v>
      </c>
      <c r="C15" s="34" t="s">
        <v>33</v>
      </c>
      <c r="D15" s="35">
        <f>VLOOKUP($E$2,'Gas Station'!A:B,2,)</f>
        <v>68658</v>
      </c>
      <c r="E15" s="35">
        <f>VLOOKUP($E$3,'Gas Station'!A:B,2,)</f>
        <v>67440</v>
      </c>
      <c r="F15" s="105">
        <f t="shared" si="0"/>
        <v>-1.7740103119811237E-2</v>
      </c>
      <c r="G15" s="105">
        <f>VLOOKUP($E$3,'Gas Station'!A:D,4,)</f>
        <v>0.39890891742205814</v>
      </c>
      <c r="H15" s="106">
        <f t="shared" si="1"/>
        <v>0.10058527509394434</v>
      </c>
      <c r="I15" s="36" t="s">
        <v>59</v>
      </c>
      <c r="J15" s="39" t="s">
        <v>39</v>
      </c>
    </row>
    <row r="16" spans="2:10" ht="25.5" customHeight="1" x14ac:dyDescent="0.25">
      <c r="B16" s="40">
        <v>444</v>
      </c>
      <c r="C16" s="34" t="s">
        <v>36</v>
      </c>
      <c r="D16" s="35">
        <f>VLOOKUP($E$2,Housing!A:B,2,)</f>
        <v>42042</v>
      </c>
      <c r="E16" s="35">
        <f>VLOOKUP($E$3,Housing!A:B,2,)</f>
        <v>42655</v>
      </c>
      <c r="F16" s="105">
        <f t="shared" si="0"/>
        <v>1.4580657437800295E-2</v>
      </c>
      <c r="G16" s="105">
        <f>VLOOKUP($E$3,Housing!A:D,4,)</f>
        <v>0.10051858923088831</v>
      </c>
      <c r="H16" s="106">
        <f t="shared" si="1"/>
        <v>6.159232916047086E-2</v>
      </c>
      <c r="I16" s="36" t="s">
        <v>52</v>
      </c>
      <c r="J16" s="39" t="s">
        <v>44</v>
      </c>
    </row>
    <row r="17" spans="2:10" ht="25.5" customHeight="1" x14ac:dyDescent="0.25">
      <c r="B17" s="40">
        <v>446</v>
      </c>
      <c r="C17" s="34" t="s">
        <v>29</v>
      </c>
      <c r="D17" s="35">
        <f>VLOOKUP($E$2,Health!A:B,2,)</f>
        <v>33485</v>
      </c>
      <c r="E17" s="35">
        <f>VLOOKUP($E$3,Health!A:B,2,)</f>
        <v>33623</v>
      </c>
      <c r="F17" s="105">
        <f t="shared" si="0"/>
        <v>4.1212483201433477E-3</v>
      </c>
      <c r="G17" s="105">
        <f>VLOOKUP($E$3,Health!A:D,4,)</f>
        <v>3.4171998031496065E-2</v>
      </c>
      <c r="H17" s="106">
        <f t="shared" si="1"/>
        <v>4.905616150369551E-2</v>
      </c>
      <c r="I17" s="36" t="s">
        <v>61</v>
      </c>
      <c r="J17" s="39" t="s">
        <v>28</v>
      </c>
    </row>
    <row r="18" spans="2:10" ht="25.5" customHeight="1" x14ac:dyDescent="0.25">
      <c r="B18" s="40">
        <v>448</v>
      </c>
      <c r="C18" s="34" t="s">
        <v>41</v>
      </c>
      <c r="D18" s="35">
        <f>VLOOKUP($E$2,'Clothing and clothing access'!A:B,2,0)</f>
        <v>26040</v>
      </c>
      <c r="E18" s="35">
        <f>VLOOKUP($E$3,'Clothing and clothing access'!A:B,2,)</f>
        <v>25891</v>
      </c>
      <c r="F18" s="105">
        <f t="shared" si="0"/>
        <v>-5.7219662058371739E-3</v>
      </c>
      <c r="G18" s="105">
        <f>VLOOKUP($E$3,'Clothing and clothing access'!A:D,4,)</f>
        <v>2.3238351183654114E-2</v>
      </c>
      <c r="H18" s="106">
        <f t="shared" si="1"/>
        <v>3.8149094984507421E-2</v>
      </c>
      <c r="I18" s="37" t="s">
        <v>53</v>
      </c>
      <c r="J18" s="41" t="s">
        <v>47</v>
      </c>
    </row>
    <row r="19" spans="2:10" ht="25.5" customHeight="1" x14ac:dyDescent="0.25">
      <c r="B19" s="40" t="s">
        <v>76</v>
      </c>
      <c r="C19" s="34" t="s">
        <v>43</v>
      </c>
      <c r="D19" s="35">
        <f>VLOOKUP($E$2,'Furniture Home'!A:B,2,)</f>
        <v>19685</v>
      </c>
      <c r="E19" s="35">
        <f>VLOOKUP($E$3,'Furniture Home'!A:B,2,)</f>
        <v>19741</v>
      </c>
      <c r="F19" s="105">
        <f t="shared" si="0"/>
        <v>2.844805689611379E-3</v>
      </c>
      <c r="G19" s="105">
        <f>VLOOKUP($E$3,'Furniture Home'!A:D,4,)</f>
        <v>-2.878087178982584E-2</v>
      </c>
      <c r="H19" s="106">
        <f t="shared" si="1"/>
        <v>2.883889918471692E-2</v>
      </c>
      <c r="I19" s="37" t="s">
        <v>77</v>
      </c>
      <c r="J19" s="41" t="s">
        <v>46</v>
      </c>
    </row>
    <row r="20" spans="2:10" ht="25.5" customHeight="1" x14ac:dyDescent="0.25">
      <c r="B20" s="40">
        <v>453</v>
      </c>
      <c r="C20" s="34" t="s">
        <v>45</v>
      </c>
      <c r="D20" s="35">
        <f>VLOOKUP($E$2,'Miscellaneous stores retailers'!A:B,2,)</f>
        <v>16082</v>
      </c>
      <c r="E20" s="35">
        <f>VLOOKUP($E$3,'Miscellaneous stores retailers'!A:B,2,)</f>
        <v>16327</v>
      </c>
      <c r="F20" s="105">
        <f t="shared" si="0"/>
        <v>1.5234423579156822E-2</v>
      </c>
      <c r="G20" s="105">
        <f>VLOOKUP($E$3,'Miscellaneous stores retailers'!A:D,4,)</f>
        <v>0.17765435660703982</v>
      </c>
      <c r="H20" s="106">
        <f t="shared" si="1"/>
        <v>2.3560435696653163E-2</v>
      </c>
      <c r="I20" s="37" t="s">
        <v>62</v>
      </c>
      <c r="J20" s="41" t="s">
        <v>48</v>
      </c>
    </row>
    <row r="21" spans="2:10" ht="25.5" customHeight="1" thickBot="1" x14ac:dyDescent="0.3">
      <c r="B21" s="42">
        <v>451</v>
      </c>
      <c r="C21" s="43" t="s">
        <v>32</v>
      </c>
      <c r="D21" s="44">
        <f>VLOOKUP($E$2,'Sporting Goods'!A:B,2,)</f>
        <v>9206</v>
      </c>
      <c r="E21" s="44">
        <f>VLOOKUP($E$3,'Sporting Goods'!A:B,2,)</f>
        <v>9218</v>
      </c>
      <c r="F21" s="107">
        <f t="shared" si="0"/>
        <v>1.303497718878992E-3</v>
      </c>
      <c r="G21" s="107">
        <f>VLOOKUP($E$3,'Sporting Goods'!A:D,4,)</f>
        <v>3.853086976115367E-2</v>
      </c>
      <c r="H21" s="108">
        <f t="shared" si="1"/>
        <v>1.3486964993370789E-2</v>
      </c>
      <c r="I21" s="47" t="s">
        <v>65</v>
      </c>
      <c r="J21" s="48" t="s">
        <v>31</v>
      </c>
    </row>
    <row r="22" spans="2:10" ht="25.5" customHeight="1" thickBot="1" x14ac:dyDescent="0.3">
      <c r="D22" s="45">
        <f>SUM(D10:D21)</f>
        <v>682585</v>
      </c>
      <c r="E22" s="46">
        <f>SUM(E10:E21)</f>
        <v>682815</v>
      </c>
      <c r="H22" s="109">
        <f>SUM(H10:H21)</f>
        <v>0.99999999999999989</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3"/>
  <sheetViews>
    <sheetView tabSelected="1" zoomScale="140" zoomScaleNormal="140" workbookViewId="0">
      <pane ySplit="3" topLeftCell="A48" activePane="bottomLeft" state="frozen"/>
      <selection activeCell="B1" sqref="B1"/>
      <selection pane="bottomLeft" activeCell="O68" sqref="O68"/>
    </sheetView>
  </sheetViews>
  <sheetFormatPr baseColWidth="10" defaultColWidth="9.1640625" defaultRowHeight="15" x14ac:dyDescent="0.2"/>
  <cols>
    <col min="1" max="1" width="3" style="110" customWidth="1"/>
    <col min="2" max="32" width="7.6640625" style="110" customWidth="1"/>
    <col min="33" max="41" width="9.1640625" style="110" customWidth="1"/>
    <col min="42" max="16384" width="9.1640625" style="110"/>
  </cols>
  <sheetData>
    <row r="1" spans="2:32" ht="16" customHeight="1" thickBot="1" x14ac:dyDescent="0.25"/>
    <row r="2" spans="2:32" ht="87" customHeight="1" thickBot="1" x14ac:dyDescent="0.25">
      <c r="B2" s="54"/>
      <c r="C2" s="132" t="s">
        <v>0</v>
      </c>
      <c r="D2" s="126"/>
      <c r="E2" s="133" t="s">
        <v>15</v>
      </c>
      <c r="F2" s="126"/>
      <c r="G2" s="132" t="s">
        <v>17</v>
      </c>
      <c r="H2" s="126"/>
      <c r="I2" s="132" t="s">
        <v>19</v>
      </c>
      <c r="J2" s="126"/>
      <c r="K2" s="132" t="s">
        <v>21</v>
      </c>
      <c r="L2" s="126"/>
      <c r="M2" s="132" t="s">
        <v>24</v>
      </c>
      <c r="N2" s="126"/>
      <c r="O2" s="132" t="s">
        <v>27</v>
      </c>
      <c r="P2" s="126"/>
      <c r="Q2" s="132" t="s">
        <v>78</v>
      </c>
      <c r="R2" s="126"/>
      <c r="S2" s="132" t="s">
        <v>33</v>
      </c>
      <c r="T2" s="126"/>
      <c r="U2" s="132" t="s">
        <v>36</v>
      </c>
      <c r="V2" s="126"/>
      <c r="W2" s="132" t="s">
        <v>29</v>
      </c>
      <c r="X2" s="126"/>
      <c r="Y2" s="132" t="s">
        <v>79</v>
      </c>
      <c r="Z2" s="126"/>
      <c r="AA2" s="132" t="s">
        <v>80</v>
      </c>
      <c r="AB2" s="126"/>
      <c r="AC2" s="132" t="s">
        <v>81</v>
      </c>
      <c r="AD2" s="126"/>
      <c r="AE2" s="132" t="s">
        <v>32</v>
      </c>
      <c r="AF2" s="126"/>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2">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2">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2">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2">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2">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2">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2">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2">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2">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2">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2">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2">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2">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2">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2">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2">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2">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2">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2">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2">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2">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2">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2">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2">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2">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2">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2">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2">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2">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2">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2">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2">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2">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2">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2">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2">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2">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2">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2">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2">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2">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2">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2">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2">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2">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2">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2">
      <c r="B51" s="56">
        <v>44378</v>
      </c>
      <c r="C51" s="52">
        <f>VLOOKUP(B51,'Retail Sales'!A:D,3,)</f>
        <v>-1.54258118785589E-2</v>
      </c>
      <c r="D51" s="53">
        <f>VLOOKUP(B51,'Retail Sales'!A:D,4,)</f>
        <v>0.15499909529609932</v>
      </c>
      <c r="E51" s="52">
        <f>VLOOKUP(B51,'Retail Sales ex Auto'!$A:$D,3,)</f>
        <v>-9.9042654103992794E-3</v>
      </c>
      <c r="F51" s="53">
        <f>VLOOKUP(B51,'Retail Sales ex Auto'!$A:$D,4,)</f>
        <v>0.15474311745360309</v>
      </c>
      <c r="G51" s="52">
        <f>VLOOKUP(B51,'Retail Sales ex Auto and Gas'!$A:$D,3,)</f>
        <v>-1.4257966135957145E-2</v>
      </c>
      <c r="H51" s="53">
        <f>VLOOKUP(B51,'Retail Sales ex Auto and Gas'!$A:$D,4,)</f>
        <v>0.1363147056663129</v>
      </c>
      <c r="I51" s="52">
        <f>VLOOKUP(B51,Motor!$A:$D,3,)</f>
        <v>-3.7229396350244338E-2</v>
      </c>
      <c r="J51" s="53">
        <f>VLOOKUP(B51,Motor!$A:$D,4,)</f>
        <v>0.15603976113084889</v>
      </c>
      <c r="K51" s="52">
        <f>VLOOKUP(B51,'Non Store Retail'!$A:$D,3,)</f>
        <v>-6.5460783418090279E-2</v>
      </c>
      <c r="L51" s="53">
        <f>VLOOKUP(B51,'Non Store Retail'!$A:$D,4,)</f>
        <v>5.5148070046758965E-2</v>
      </c>
      <c r="M51" s="52">
        <f>VLOOKUP(B51,'Food and Beverage'!$A:$D,3,)</f>
        <v>-3.8158542589857214E-3</v>
      </c>
      <c r="N51" s="52">
        <f>VLOOKUP(B51,'Food and Beverage'!$A:$D,4,)</f>
        <v>1.9497788477688818E-2</v>
      </c>
      <c r="O51" s="52">
        <f>VLOOKUP(B51,'Food Services'!$A:$D,3,)</f>
        <v>1.6311299233883195E-2</v>
      </c>
      <c r="P51" s="53">
        <f>VLOOKUP(B51,'Food Services'!$A:$D,4,)</f>
        <v>0.40343785279871808</v>
      </c>
      <c r="Q51" s="52">
        <f>VLOOKUP(B51,'General Merchandising'!$A:$D,3,)</f>
        <v>1.7791200083723294E-3</v>
      </c>
      <c r="R51" s="53">
        <f>VLOOKUP(B51,'General Merchandising'!$A:$D,4,)</f>
        <v>9.5209297003971821E-2</v>
      </c>
      <c r="S51" s="52">
        <f>VLOOKUP(B51,'Gas Station'!$A:$D,3,)</f>
        <v>3.253373313343328E-2</v>
      </c>
      <c r="T51" s="53">
        <f>VLOOKUP(B51,'Gas Station'!$A:$D,4,)</f>
        <v>0.35999210110584517</v>
      </c>
      <c r="U51" s="52">
        <f>VLOOKUP(B51,Housing!$A:$D,3,)</f>
        <v>-1.2484394506866416E-2</v>
      </c>
      <c r="V51" s="53">
        <f>VLOOKUP(B51,Housing!$A:$D,4,)</f>
        <v>7.5623022700782597E-2</v>
      </c>
      <c r="W51" s="52">
        <f>VLOOKUP(B51,Health!$A:$D,3,)</f>
        <v>-6.2051046920372915E-3</v>
      </c>
      <c r="X51" s="53">
        <f>VLOOKUP(B51,Health!$A:$D,4,)</f>
        <v>7.7519636761342922E-2</v>
      </c>
      <c r="Y51" s="52">
        <f>VLOOKUP(B51,'Clothing and clothing access'!$A:$D,3,)</f>
        <v>-1.9225551377960386E-2</v>
      </c>
      <c r="Z51" s="53">
        <f>VLOOKUP(B51,'Clothing and clothing access'!$A:$D,4,)</f>
        <v>0.41262840553818669</v>
      </c>
      <c r="AA51" s="52">
        <f>VLOOKUP(B51,'Furniture Home'!$A:$D,3,)</f>
        <v>-6.0149640569220992E-3</v>
      </c>
      <c r="AB51" s="53">
        <f>VLOOKUP(B51,'Furniture Home'!$A:$D,4,)</f>
        <v>0.19543609951185084</v>
      </c>
      <c r="AC51" s="52">
        <f>VLOOKUP(B51,'Miscellaneous stores retailers'!$A:$D,3,)</f>
        <v>2.0312040035325288E-2</v>
      </c>
      <c r="AD51" s="53">
        <f>VLOOKUP(B51,'Miscellaneous stores retailers'!$A:$D,4,)</f>
        <v>0.26070746567245612</v>
      </c>
      <c r="AE51" s="52">
        <f>VLOOKUP(B51,'Sporting Goods'!$A:$D,3,)</f>
        <v>-9.0432064307245721E-3</v>
      </c>
      <c r="AF51" s="53">
        <f>VLOOKUP(B51,'Sporting Goods'!$A:$D,4,)</f>
        <v>0.12511091393078971</v>
      </c>
    </row>
    <row r="52" spans="2:32" x14ac:dyDescent="0.2">
      <c r="B52" s="56">
        <v>44409</v>
      </c>
      <c r="C52" s="52">
        <f>VLOOKUP(B52,'Retail Sales'!A:D,3,)</f>
        <v>8.9763881262314681E-3</v>
      </c>
      <c r="D52" s="53">
        <f>VLOOKUP(B52,'Retail Sales'!A:D,4,)</f>
        <v>0.15675513536933555</v>
      </c>
      <c r="E52" s="52">
        <f>VLOOKUP(B52,'Retail Sales ex Auto'!$A:$D,3,)</f>
        <v>1.7537044566193136E-2</v>
      </c>
      <c r="F52" s="53">
        <f>VLOOKUP(B52,'Retail Sales ex Auto'!$A:$D,4,)</f>
        <v>0.16796852438413004</v>
      </c>
      <c r="G52" s="52">
        <f>VLOOKUP(B52,'Retail Sales ex Auto and Gas'!$A:$D,3,)</f>
        <v>1.6492616327667874E-2</v>
      </c>
      <c r="H52" s="53">
        <f>VLOOKUP(B52,'Retail Sales ex Auto and Gas'!$A:$D,4,)</f>
        <v>0.14969154088375364</v>
      </c>
      <c r="I52" s="52">
        <f>VLOOKUP(B52,Motor!$A:$D,3,)</f>
        <v>-2.5787520638190051E-2</v>
      </c>
      <c r="J52" s="53">
        <f>VLOOKUP(B52,Motor!$A:$D,4,)</f>
        <v>0.11149344896722152</v>
      </c>
      <c r="K52" s="52">
        <f>VLOOKUP(B52,'Non Store Retail'!$A:$D,3,)</f>
        <v>5.2330885866967894E-2</v>
      </c>
      <c r="L52" s="53">
        <f>VLOOKUP(B52,'Non Store Retail'!$A:$D,4,)</f>
        <v>0.10361088962296389</v>
      </c>
      <c r="M52" s="52">
        <f>VLOOKUP(B52,'Food and Beverage'!$A:$D,3,)</f>
        <v>1.9179812457954061E-2</v>
      </c>
      <c r="N52" s="52">
        <f>VLOOKUP(B52,'Food and Beverage'!$A:$D,4,)</f>
        <v>5.9275114155251142E-2</v>
      </c>
      <c r="O52" s="52">
        <f>VLOOKUP(B52,'Food Services'!$A:$D,3,)</f>
        <v>9.3157225523522857E-3</v>
      </c>
      <c r="P52" s="53">
        <f>VLOOKUP(B52,'Food Services'!$A:$D,4,)</f>
        <v>0.34851873038986253</v>
      </c>
      <c r="Q52" s="52">
        <f>VLOOKUP(B52,'General Merchandising'!$A:$D,3,)</f>
        <v>3.7459332000119392E-3</v>
      </c>
      <c r="R52" s="53">
        <f>VLOOKUP(B52,'General Merchandising'!$A:$D,4,)</f>
        <v>0.12109947993065742</v>
      </c>
      <c r="S52" s="52">
        <f>VLOOKUP(B52,'Gas Station'!$A:$D,3,)</f>
        <v>2.7256321433757183E-2</v>
      </c>
      <c r="T52" s="53">
        <f>VLOOKUP(B52,'Gas Station'!$A:$D,4,)</f>
        <v>0.36826545836326463</v>
      </c>
      <c r="U52" s="52">
        <f>VLOOKUP(B52,Housing!$A:$D,3,)</f>
        <v>8.2561469594158773E-3</v>
      </c>
      <c r="V52" s="53">
        <f>VLOOKUP(B52,Housing!$A:$D,4,)</f>
        <v>6.3634631610462428E-2</v>
      </c>
      <c r="W52" s="52">
        <f>VLOOKUP(B52,Health!$A:$D,3,)</f>
        <v>1.0888287401574803E-2</v>
      </c>
      <c r="X52" s="53">
        <f>VLOOKUP(B52,Health!$A:$D,4,)</f>
        <v>0.10281189181934099</v>
      </c>
      <c r="Y52" s="52">
        <f>VLOOKUP(B52,'Clothing and clothing access'!$A:$D,3,)</f>
        <v>-1.1184444532268901E-2</v>
      </c>
      <c r="Z52" s="53">
        <f>VLOOKUP(B52,'Clothing and clothing access'!$A:$D,4,)</f>
        <v>0.35978260869565215</v>
      </c>
      <c r="AA52" s="52">
        <f>VLOOKUP(B52,'Furniture Home'!$A:$D,3,)</f>
        <v>-2.1991537931713077E-2</v>
      </c>
      <c r="AB52" s="53">
        <f>VLOOKUP(B52,'Furniture Home'!$A:$D,4,)</f>
        <v>0.13490522950445308</v>
      </c>
      <c r="AC52" s="52">
        <f>VLOOKUP(B52,'Miscellaneous stores retailers'!$A:$D,3,)</f>
        <v>1.4137334102712061E-2</v>
      </c>
      <c r="AD52" s="53">
        <f>VLOOKUP(B52,'Miscellaneous stores retailers'!$A:$D,4,)</f>
        <v>0.25827814569536423</v>
      </c>
      <c r="AE52" s="52">
        <f>VLOOKUP(B52,'Sporting Goods'!$A:$D,3,)</f>
        <v>8.4497521406038754E-3</v>
      </c>
      <c r="AF52" s="53">
        <f>VLOOKUP(B52,'Sporting Goods'!$A:$D,4,)</f>
        <v>0.19874112762823087</v>
      </c>
    </row>
    <row r="53" spans="2:32" x14ac:dyDescent="0.2">
      <c r="B53" s="56">
        <v>44440</v>
      </c>
      <c r="C53" s="52">
        <f>VLOOKUP(B53,'Retail Sales'!A:D,3,)</f>
        <v>9.8713380649168136E-3</v>
      </c>
      <c r="D53" s="53">
        <f>VLOOKUP(B53,'Retail Sales'!A:D,4,)</f>
        <v>0.1432110040208672</v>
      </c>
      <c r="E53" s="52">
        <f>VLOOKUP(B53,'Retail Sales ex Auto'!$A:$D,3,)</f>
        <v>9.9159919849193048E-3</v>
      </c>
      <c r="F53" s="53">
        <f>VLOOKUP(B53,'Retail Sales ex Auto'!$A:$D,4,)</f>
        <v>0.15814473633470419</v>
      </c>
      <c r="G53" s="52">
        <f>VLOOKUP(B53,'Retail Sales ex Auto and Gas'!$A:$D,3,)</f>
        <v>6.3658930231742187E-3</v>
      </c>
      <c r="H53" s="53">
        <f>VLOOKUP(B53,'Retail Sales ex Auto and Gas'!$A:$D,4,)</f>
        <v>0.13559531733679098</v>
      </c>
      <c r="I53" s="52">
        <f>VLOOKUP(B53,Motor!$A:$D,3,)</f>
        <v>9.6819390725809834E-3</v>
      </c>
      <c r="J53" s="53">
        <f>VLOOKUP(B53,Motor!$A:$D,4,)</f>
        <v>8.3915768995208417E-2</v>
      </c>
      <c r="K53" s="52">
        <f>VLOOKUP(B53,'Non Store Retail'!$A:$D,3,)</f>
        <v>8.6493404619862515E-3</v>
      </c>
      <c r="L53" s="53">
        <f>VLOOKUP(B53,'Non Store Retail'!$A:$D,4,)</f>
        <v>0.11022244438890277</v>
      </c>
      <c r="M53" s="52">
        <f>VLOOKUP(B53,'Food and Beverage'!$A:$D,3,)</f>
        <v>7.4224748767411156E-3</v>
      </c>
      <c r="N53" s="52">
        <f>VLOOKUP(B53,'Food and Beverage'!$A:$D,4,)</f>
        <v>6.7548855866272683E-2</v>
      </c>
      <c r="O53" s="52">
        <f>VLOOKUP(B53,'Food Services'!$A:$D,3,)</f>
        <v>6.375976964212258E-3</v>
      </c>
      <c r="P53" s="53">
        <f>VLOOKUP(B53,'Food Services'!$A:$D,4,)</f>
        <v>0.32308056311368744</v>
      </c>
      <c r="Q53" s="52">
        <f>VLOOKUP(B53,'General Merchandising'!$A:$D,3,)</f>
        <v>7.478775443448266E-3</v>
      </c>
      <c r="R53" s="53">
        <f>VLOOKUP(B53,'General Merchandising'!$A:$D,4,)</f>
        <v>8.7832522596285059E-2</v>
      </c>
      <c r="S53" s="52">
        <f>VLOOKUP(B53,'Gas Station'!$A:$D,3,)</f>
        <v>4.2606465682612123E-2</v>
      </c>
      <c r="T53" s="53">
        <f>VLOOKUP(B53,'Gas Station'!$A:$D,4,)</f>
        <v>0.40635724791632621</v>
      </c>
      <c r="U53" s="52">
        <f>VLOOKUP(B53,Housing!$A:$D,3,)</f>
        <v>2.2518488190588297E-3</v>
      </c>
      <c r="V53" s="53">
        <f>VLOOKUP(B53,Housing!$A:$D,4,)</f>
        <v>6.1148740178813332E-2</v>
      </c>
      <c r="W53" s="52">
        <f>VLOOKUP(B53,Health!$A:$D,3,)</f>
        <v>-4.7465465830949915E-3</v>
      </c>
      <c r="X53" s="53">
        <f>VLOOKUP(B53,Health!$A:$D,4,)</f>
        <v>8.0465085551958776E-2</v>
      </c>
      <c r="Y53" s="52">
        <f>VLOOKUP(B53,'Clothing and clothing access'!$A:$D,3,)</f>
        <v>1.4228617106314949E-2</v>
      </c>
      <c r="Z53" s="53">
        <f>VLOOKUP(B53,'Clothing and clothing access'!$A:$D,4,)</f>
        <v>0.21841839919335479</v>
      </c>
      <c r="AA53" s="52">
        <f>VLOOKUP(B53,'Furniture Home'!$A:$D,3,)</f>
        <v>-1.8612606267920922E-3</v>
      </c>
      <c r="AB53" s="53">
        <f>VLOOKUP(B53,'Furniture Home'!$A:$D,4,)</f>
        <v>0.13188819167142043</v>
      </c>
      <c r="AC53" s="52">
        <f>VLOOKUP(B53,'Miscellaneous stores retailers'!$A:$D,3,)</f>
        <v>1.8776671408250355E-2</v>
      </c>
      <c r="AD53" s="53">
        <f>VLOOKUP(B53,'Miscellaneous stores retailers'!$A:$D,4,)</f>
        <v>0.27915699232005714</v>
      </c>
      <c r="AE53" s="52">
        <f>VLOOKUP(B53,'Sporting Goods'!$A:$D,3,)</f>
        <v>0</v>
      </c>
      <c r="AF53" s="53">
        <f>VLOOKUP(B53,'Sporting Goods'!$A:$D,4,)</f>
        <v>0.13952896244430299</v>
      </c>
    </row>
    <row r="54" spans="2:32" x14ac:dyDescent="0.2">
      <c r="B54" s="56">
        <v>44470</v>
      </c>
      <c r="C54" s="52">
        <f>VLOOKUP(B54,'Retail Sales'!A:D,3,)</f>
        <v>1.5840736719474405E-2</v>
      </c>
      <c r="D54" s="53">
        <f>VLOOKUP(B54,'Retail Sales'!A:D,4,)</f>
        <v>0.16516710329443376</v>
      </c>
      <c r="E54" s="52">
        <f>VLOOKUP(B54,'Retail Sales ex Auto'!$A:$D,3,)</f>
        <v>1.5024678784080226E-2</v>
      </c>
      <c r="F54" s="53">
        <f>VLOOKUP(B54,'Retail Sales ex Auto'!$A:$D,4,)</f>
        <v>0.17890428970829439</v>
      </c>
      <c r="G54" s="52">
        <f>VLOOKUP(B54,'Retail Sales ex Auto and Gas'!$A:$D,3,)</f>
        <v>1.1605331566894082E-2</v>
      </c>
      <c r="H54" s="53">
        <f>VLOOKUP(B54,'Retail Sales ex Auto and Gas'!$A:$D,4,)</f>
        <v>0.15296241751746506</v>
      </c>
      <c r="I54" s="52">
        <f>VLOOKUP(B54,Motor!$A:$D,3,)</f>
        <v>1.9302837675017656E-2</v>
      </c>
      <c r="J54" s="53">
        <f>VLOOKUP(B54,Motor!$A:$D,4,)</f>
        <v>0.11049953830276475</v>
      </c>
      <c r="K54" s="52">
        <f>VLOOKUP(B54,'Non Store Retail'!$A:$D,3,)</f>
        <v>2.1622119438418404E-2</v>
      </c>
      <c r="L54" s="53">
        <f>VLOOKUP(B54,'Non Store Retail'!$A:$D,4,)</f>
        <v>0.12564689434340928</v>
      </c>
      <c r="M54" s="52">
        <f>VLOOKUP(B54,'Food and Beverage'!$A:$D,3,)</f>
        <v>1.0028749080698E-2</v>
      </c>
      <c r="N54" s="52">
        <f>VLOOKUP(B54,'Food and Beverage'!$A:$D,4,)</f>
        <v>8.3949199971299418E-2</v>
      </c>
      <c r="O54" s="52">
        <f>VLOOKUP(B54,'Food Services'!$A:$D,3,)</f>
        <v>4.023605150214592E-3</v>
      </c>
      <c r="P54" s="53">
        <f>VLOOKUP(B54,'Food Services'!$A:$D,4,)</f>
        <v>0.32723772858517808</v>
      </c>
      <c r="Q54" s="52">
        <f>VLOOKUP(B54,'General Merchandising'!$A:$D,3,)</f>
        <v>1.1157024793388429E-2</v>
      </c>
      <c r="R54" s="53">
        <f>VLOOKUP(B54,'General Merchandising'!$A:$D,4,)</f>
        <v>0.11471569185715448</v>
      </c>
      <c r="S54" s="52">
        <f>VLOOKUP(B54,'Gas Station'!$A:$D,3,)</f>
        <v>4.5416690875990158E-2</v>
      </c>
      <c r="T54" s="53">
        <f>VLOOKUP(B54,'Gas Station'!$A:$D,4,)</f>
        <v>0.46178844174836159</v>
      </c>
      <c r="U54" s="52">
        <f>VLOOKUP(B54,Housing!$A:$D,3,)</f>
        <v>2.3642351979983149E-2</v>
      </c>
      <c r="V54" s="53">
        <f>VLOOKUP(B54,Housing!$A:$D,4,)</f>
        <v>9.8498547865636471E-2</v>
      </c>
      <c r="W54" s="52">
        <f>VLOOKUP(B54,Health!$A:$D,3,)</f>
        <v>-8.1320697034546006E-3</v>
      </c>
      <c r="X54" s="53">
        <f>VLOOKUP(B54,Health!$A:$D,4,)</f>
        <v>7.5372886973815043E-2</v>
      </c>
      <c r="Y54" s="52">
        <f>VLOOKUP(B54,'Clothing and clothing access'!$A:$D,3,)</f>
        <v>4.3742118537200506E-3</v>
      </c>
      <c r="Z54" s="53">
        <f>VLOOKUP(B54,'Clothing and clothing access'!$A:$D,4,)</f>
        <v>0.255331724375708</v>
      </c>
      <c r="AA54" s="52">
        <f>VLOOKUP(B54,'Furniture Home'!$A:$D,3,)</f>
        <v>2.0814434028827739E-2</v>
      </c>
      <c r="AB54" s="53">
        <f>VLOOKUP(B54,'Furniture Home'!$A:$D,4,)</f>
        <v>0.14772212148685404</v>
      </c>
      <c r="AC54" s="52">
        <f>VLOOKUP(B54,'Miscellaneous stores retailers'!$A:$D,3,)</f>
        <v>9.7039932979614638E-3</v>
      </c>
      <c r="AD54" s="53">
        <f>VLOOKUP(B54,'Miscellaneous stores retailers'!$A:$D,4,)</f>
        <v>0.28995718872636461</v>
      </c>
      <c r="AE54" s="52">
        <f>VLOOKUP(B54,'Sporting Goods'!$A:$D,3,)</f>
        <v>7.7086359066026143E-3</v>
      </c>
      <c r="AF54" s="53">
        <f>VLOOKUP(B54,'Sporting Goods'!$A:$D,4,)</f>
        <v>0.16177228232869656</v>
      </c>
    </row>
    <row r="55" spans="2:32" x14ac:dyDescent="0.2">
      <c r="B55" s="56">
        <v>44501</v>
      </c>
      <c r="C55" s="52">
        <f>VLOOKUP(B55,'Retail Sales'!A:D,3,)</f>
        <v>5.9947043137842312E-3</v>
      </c>
      <c r="D55" s="53">
        <f>VLOOKUP(B55,'Retail Sales'!A:D,4,)</f>
        <v>0.18554742807547892</v>
      </c>
      <c r="E55" s="52">
        <f>VLOOKUP(B55,'Retail Sales ex Auto'!$A:$D,3,)</f>
        <v>5.4782519764352191E-3</v>
      </c>
      <c r="F55" s="53">
        <f>VLOOKUP(B55,'Retail Sales ex Auto'!$A:$D,4,)</f>
        <v>0.19811821837772214</v>
      </c>
      <c r="G55" s="52">
        <f>VLOOKUP(B55,'Retail Sales ex Auto and Gas'!$A:$D,3,)</f>
        <v>3.4636286679892215E-3</v>
      </c>
      <c r="H55" s="53">
        <f>VLOOKUP(B55,'Retail Sales ex Auto and Gas'!$A:$D,4,)</f>
        <v>0.16840893472514132</v>
      </c>
      <c r="I55" s="52">
        <f>VLOOKUP(B55,Motor!$A:$D,3,)</f>
        <v>8.1765415593308775E-3</v>
      </c>
      <c r="J55" s="53">
        <f>VLOOKUP(B55,Motor!$A:$D,4,)</f>
        <v>0.13535670678527822</v>
      </c>
      <c r="K55" s="52">
        <f>VLOOKUP(B55,'Non Store Retail'!$A:$D,3,)</f>
        <v>5.0482286126386005E-3</v>
      </c>
      <c r="L55" s="53">
        <f>VLOOKUP(B55,'Non Store Retail'!$A:$D,4,)</f>
        <v>0.13424518171028091</v>
      </c>
      <c r="M55" s="52">
        <f>VLOOKUP(B55,'Food and Beverage'!$A:$D,3,)</f>
        <v>3.2832461772688156E-3</v>
      </c>
      <c r="N55" s="52">
        <f>VLOOKUP(B55,'Food and Beverage'!$A:$D,4,)</f>
        <v>7.5485354223433249E-2</v>
      </c>
      <c r="O55" s="52">
        <f>VLOOKUP(B55,'Food Services'!$A:$D,3,)</f>
        <v>5.6995280078368507E-3</v>
      </c>
      <c r="P55" s="53">
        <f>VLOOKUP(B55,'Food Services'!$A:$D,4,)</f>
        <v>0.3868353186786197</v>
      </c>
      <c r="Q55" s="52">
        <f>VLOOKUP(B55,'General Merchandising'!$A:$D,3,)</f>
        <v>-1.6638449413275732E-3</v>
      </c>
      <c r="R55" s="53">
        <f>VLOOKUP(B55,'General Merchandising'!$A:$D,4,)</f>
        <v>0.11327756257934311</v>
      </c>
      <c r="S55" s="52">
        <f>VLOOKUP(B55,'Gas Station'!$A:$D,3,)</f>
        <v>2.2805587461558412E-2</v>
      </c>
      <c r="T55" s="53">
        <f>VLOOKUP(B55,'Gas Station'!$A:$D,4,)</f>
        <v>0.52540546514519382</v>
      </c>
      <c r="U55" s="52">
        <f>VLOOKUP(B55,Housing!$A:$D,3,)</f>
        <v>1.9629361733968523E-2</v>
      </c>
      <c r="V55" s="53">
        <f>VLOOKUP(B55,Housing!$A:$D,4,)</f>
        <v>0.11825368602456438</v>
      </c>
      <c r="W55" s="52">
        <f>VLOOKUP(B55,Health!$A:$D,3,)</f>
        <v>1.0756996671187277E-2</v>
      </c>
      <c r="X55" s="53">
        <f>VLOOKUP(B55,Health!$A:$D,4,)</f>
        <v>0.10421577210586572</v>
      </c>
      <c r="Y55" s="52">
        <f>VLOOKUP(B55,'Clothing and clothing access'!$A:$D,3,)</f>
        <v>1.1652999568407424E-2</v>
      </c>
      <c r="Z55" s="53">
        <f>VLOOKUP(B55,'Clothing and clothing access'!$A:$D,4,)</f>
        <v>0.35583951201556502</v>
      </c>
      <c r="AA55" s="52">
        <f>VLOOKUP(B55,'Furniture Home'!$A:$D,3,)</f>
        <v>-4.9518637373488029E-2</v>
      </c>
      <c r="AB55" s="53">
        <f>VLOOKUP(B55,'Furniture Home'!$A:$D,4,)</f>
        <v>0.12080107119986028</v>
      </c>
      <c r="AC55" s="52">
        <f>VLOOKUP(B55,'Miscellaneous stores retailers'!$A:$D,3,)</f>
        <v>-5.6696397704487315E-3</v>
      </c>
      <c r="AD55" s="53">
        <f>VLOOKUP(B55,'Miscellaneous stores retailers'!$A:$D,4,)</f>
        <v>0.2807017543859649</v>
      </c>
      <c r="AE55" s="52">
        <f>VLOOKUP(B55,'Sporting Goods'!$A:$D,3,)</f>
        <v>1.9290465631929047E-2</v>
      </c>
      <c r="AF55" s="53">
        <f>VLOOKUP(B55,'Sporting Goods'!$A:$D,4,)</f>
        <v>0.19963465553235907</v>
      </c>
    </row>
    <row r="56" spans="2:32" x14ac:dyDescent="0.2">
      <c r="B56" s="56">
        <v>44531</v>
      </c>
      <c r="C56" s="52">
        <f>VLOOKUP(B56,'Retail Sales'!A:D,3,)</f>
        <v>-1.6049855678481748E-2</v>
      </c>
      <c r="D56" s="53">
        <f>VLOOKUP(B56,'Retail Sales'!A:D,4,)</f>
        <v>0.16843603920860792</v>
      </c>
      <c r="E56" s="52">
        <f>VLOOKUP(B56,'Retail Sales ex Auto'!$A:$D,3,)</f>
        <v>-1.4362753564780164E-2</v>
      </c>
      <c r="F56" s="53">
        <f>VLOOKUP(B56,'Retail Sales ex Auto'!$A:$D,4,)</f>
        <v>0.18925289911451965</v>
      </c>
      <c r="G56" s="52">
        <f>VLOOKUP(B56,'Retail Sales ex Auto and Gas'!$A:$D,3,)</f>
        <v>-1.756961840549005E-2</v>
      </c>
      <c r="H56" s="53">
        <f>VLOOKUP(B56,'Retail Sales ex Auto and Gas'!$A:$D,4,)</f>
        <v>0.1658663704933985</v>
      </c>
      <c r="I56" s="52">
        <f>VLOOKUP(B56,Motor!$A:$D,3,)</f>
        <v>-2.3158218175643442E-2</v>
      </c>
      <c r="J56" s="53">
        <f>VLOOKUP(B56,Motor!$A:$D,4,)</f>
        <v>8.7508776983598296E-2</v>
      </c>
      <c r="K56" s="52">
        <f>VLOOKUP(B56,'Non Store Retail'!$A:$D,3,)</f>
        <v>-4.3681047627589918E-2</v>
      </c>
      <c r="L56" s="53">
        <f>VLOOKUP(B56,'Non Store Retail'!$A:$D,4,)</f>
        <v>0.12757781929707054</v>
      </c>
      <c r="M56" s="52">
        <f>VLOOKUP(B56,'Food and Beverage'!$A:$D,3,)</f>
        <v>5.3310109127376855E-3</v>
      </c>
      <c r="N56" s="52">
        <f>VLOOKUP(B56,'Food and Beverage'!$A:$D,4,)</f>
        <v>8.8650100738750834E-2</v>
      </c>
      <c r="O56" s="52">
        <f>VLOOKUP(B56,'Food Services'!$A:$D,3,)</f>
        <v>-1.8570290065906821E-2</v>
      </c>
      <c r="P56" s="53">
        <f>VLOOKUP(B56,'Food Services'!$A:$D,4,)</f>
        <v>0.43496837198979027</v>
      </c>
      <c r="Q56" s="52">
        <f>VLOOKUP(B56,'General Merchandising'!$A:$D,3,)</f>
        <v>-1.7616443963626795E-2</v>
      </c>
      <c r="R56" s="53">
        <f>VLOOKUP(B56,'General Merchandising'!$A:$D,4,)</f>
        <v>0.11082273982113633</v>
      </c>
      <c r="S56" s="52">
        <f>VLOOKUP(B56,'Gas Station'!$A:$D,3,)</f>
        <v>1.2697205165824413E-2</v>
      </c>
      <c r="T56" s="53">
        <f>VLOOKUP(B56,'Gas Station'!$A:$D,4,)</f>
        <v>0.42289975313669104</v>
      </c>
      <c r="U56" s="52">
        <f>VLOOKUP(B56,Housing!$A:$D,3,)</f>
        <v>7.9990215264187873E-3</v>
      </c>
      <c r="V56" s="53">
        <f>VLOOKUP(B56,Housing!$A:$D,4,)</f>
        <v>0.12809351730179588</v>
      </c>
      <c r="W56" s="52">
        <f>VLOOKUP(B56,Health!$A:$D,3,)</f>
        <v>1.2197725124264324E-4</v>
      </c>
      <c r="X56" s="53">
        <f>VLOOKUP(B56,Health!$A:$D,4,)</f>
        <v>9.5131561373046611E-2</v>
      </c>
      <c r="Y56" s="52">
        <f>VLOOKUP(B56,'Clothing and clothing access'!$A:$D,3,)</f>
        <v>-2.8428482780018617E-2</v>
      </c>
      <c r="Z56" s="53">
        <f>VLOOKUP(B56,'Clothing and clothing access'!$A:$D,4,)</f>
        <v>0.25211176088369069</v>
      </c>
      <c r="AA56" s="52">
        <f>VLOOKUP(B56,'Furniture Home'!$A:$D,3,)</f>
        <v>-4.2021608144608355E-2</v>
      </c>
      <c r="AB56" s="53">
        <f>VLOOKUP(B56,'Furniture Home'!$A:$D,4,)</f>
        <v>8.9754195225714956E-2</v>
      </c>
      <c r="AC56" s="52">
        <f>VLOOKUP(B56,'Miscellaneous stores retailers'!$A:$D,3,)</f>
        <v>-6.6754745845212437E-3</v>
      </c>
      <c r="AD56" s="53">
        <f>VLOOKUP(B56,'Miscellaneous stores retailers'!$A:$D,4,)</f>
        <v>0.21038806981867481</v>
      </c>
      <c r="AE56" s="52">
        <f>VLOOKUP(B56,'Sporting Goods'!$A:$D,3,)</f>
        <v>-2.4581248640417663E-2</v>
      </c>
      <c r="AF56" s="53">
        <f>VLOOKUP(B56,'Sporting Goods'!$A:$D,4,)</f>
        <v>0.16301387628063804</v>
      </c>
    </row>
    <row r="57" spans="2:32" x14ac:dyDescent="0.2">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2">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2">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2">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2">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2">
      <c r="B62" s="56">
        <v>44713</v>
      </c>
      <c r="C62" s="52">
        <f>VLOOKUP(B62,'Retail Sales'!A:D,3,)</f>
        <v>8.0783914106171036E-3</v>
      </c>
      <c r="D62" s="53">
        <f>VLOOKUP(B62,'Retail Sales'!A:D,4,)</f>
        <v>8.539612422700002E-2</v>
      </c>
      <c r="E62" s="52">
        <f>VLOOKUP(B62,'Retail Sales ex Auto'!$A:$D,3,)</f>
        <v>8.7847836942212543E-3</v>
      </c>
      <c r="F62" s="53">
        <f>VLOOKUP(B62,'Retail Sales ex Auto'!$A:$D,4,)</f>
        <v>0.10713146965747583</v>
      </c>
      <c r="G62" s="52">
        <f>VLOOKUP(B62,'Retail Sales ex Auto and Gas'!$A:$D,3,)</f>
        <v>6.5490132034555964E-3</v>
      </c>
      <c r="H62" s="53">
        <f>VLOOKUP(B62,'Retail Sales ex Auto and Gas'!$A:$D,4,)</f>
        <v>6.9852828082634238E-2</v>
      </c>
      <c r="I62" s="52">
        <f>VLOOKUP(B62,Motor!$A:$D,3,)</f>
        <v>5.0003956009177942E-3</v>
      </c>
      <c r="J62" s="53">
        <f>VLOOKUP(B62,Motor!$A:$D,4,)</f>
        <v>-4.3280845471643179E-4</v>
      </c>
      <c r="K62" s="52">
        <f>VLOOKUP(B62,'Non Store Retail'!$A:$D,3,)</f>
        <v>9.1395181151616746E-3</v>
      </c>
      <c r="L62" s="53">
        <f>VLOOKUP(B62,'Non Store Retail'!$A:$D,4,)</f>
        <v>9.3872123592882453E-2</v>
      </c>
      <c r="M62" s="52">
        <f>VLOOKUP(B62,'Food and Beverage'!$A:$D,3,)</f>
        <v>8.859187566411901E-3</v>
      </c>
      <c r="N62" s="52">
        <f>VLOOKUP(B62,'Food and Beverage'!$A:$D,4,)</f>
        <v>7.7780513157174894E-2</v>
      </c>
      <c r="O62" s="52">
        <f>VLOOKUP(B62,'Food Services'!$A:$D,3,)</f>
        <v>7.8408851175546749E-3</v>
      </c>
      <c r="P62" s="53">
        <f>VLOOKUP(B62,'Food Services'!$A:$D,4,)</f>
        <v>0.13389242717934519</v>
      </c>
      <c r="Q62" s="52">
        <f>VLOOKUP(B62,'General Merchandising'!$A:$D,3,)</f>
        <v>-3.6295240474336181E-3</v>
      </c>
      <c r="R62" s="53">
        <f>VLOOKUP(B62,'General Merchandising'!$A:$D,4,)</f>
        <v>1.3739590652892191E-2</v>
      </c>
      <c r="S62" s="52">
        <f>VLOOKUP(B62,'Gas Station'!$A:$D,3,)</f>
        <v>2.4929838179972533E-2</v>
      </c>
      <c r="T62" s="53">
        <f>VLOOKUP(B62,'Gas Station'!$A:$D,4,)</f>
        <v>0.47050760334118658</v>
      </c>
      <c r="U62" s="52">
        <f>VLOOKUP(B62,Housing!$A:$D,3,)</f>
        <v>-5.0879144283787299E-3</v>
      </c>
      <c r="V62" s="53">
        <f>VLOOKUP(B62,Housing!$A:$D,4,)</f>
        <v>7.116104868913857E-2</v>
      </c>
      <c r="W62" s="52">
        <f>VLOOKUP(B62,Health!$A:$D,3,)</f>
        <v>1.5158405335758678E-2</v>
      </c>
      <c r="X62" s="53">
        <f>VLOOKUP(B62,Health!$A:$D,4,)</f>
        <v>2.3536604004279382E-2</v>
      </c>
      <c r="Y62" s="52">
        <f>VLOOKUP(B62,'Clothing and clothing access'!$A:$D,3,)</f>
        <v>8.8331008833100882E-3</v>
      </c>
      <c r="Z62" s="53">
        <f>VLOOKUP(B62,'Clothing and clothing access'!$A:$D,4,)</f>
        <v>9.3414473429202678E-3</v>
      </c>
      <c r="AA62" s="52">
        <f>VLOOKUP(B62,'Furniture Home'!$A:$D,3,)</f>
        <v>-2.7862208713272541E-3</v>
      </c>
      <c r="AB62" s="53">
        <f>VLOOKUP(B62,'Furniture Home'!$A:$D,4,)</f>
        <v>-3.7361240158442957E-2</v>
      </c>
      <c r="AC62" s="52">
        <f>VLOOKUP(B62,'Miscellaneous stores retailers'!$A:$D,3,)</f>
        <v>3.6545278762487914E-2</v>
      </c>
      <c r="AD62" s="53">
        <f>VLOOKUP(B62,'Miscellaneous stores retailers'!$A:$D,4,)</f>
        <v>0.18354430379746836</v>
      </c>
      <c r="AE62" s="52">
        <f>VLOOKUP(B62,'Sporting Goods'!$A:$D,3,)</f>
        <v>5.7904512181798321E-3</v>
      </c>
      <c r="AF62" s="53">
        <f>VLOOKUP(B62,'Sporting Goods'!$A:$D,4,)</f>
        <v>2.7799486435190354E-2</v>
      </c>
    </row>
    <row r="63" spans="2:32" x14ac:dyDescent="0.2">
      <c r="B63" s="56">
        <v>44743</v>
      </c>
      <c r="C63" s="52">
        <f>VLOOKUP(B63,'Retail Sales'!A:D,3,)</f>
        <v>3.3695437198297647E-4</v>
      </c>
      <c r="D63" s="53">
        <f>VLOOKUP(B63,'Retail Sales'!A:D,4,)</f>
        <v>0.10277302238444394</v>
      </c>
      <c r="E63" s="52">
        <f>VLOOKUP(B63,'Retail Sales ex Auto'!$A:$D,3,)</f>
        <v>4.1471444282646609E-3</v>
      </c>
      <c r="F63" s="53">
        <f>VLOOKUP(B63,'Retail Sales ex Auto'!$A:$D,4,)</f>
        <v>0.12284384724072829</v>
      </c>
      <c r="G63" s="52">
        <f>VLOOKUP(B63,'Retail Sales ex Auto and Gas'!$A:$D,3,)</f>
        <v>7.2334438956264567E-3</v>
      </c>
      <c r="H63" s="53">
        <f>VLOOKUP(B63,'Retail Sales ex Auto and Gas'!$A:$D,4,)</f>
        <v>9.3178044023404849E-2</v>
      </c>
      <c r="I63" s="52">
        <f>VLOOKUP(B63,Motor!$A:$D,3,)</f>
        <v>-1.632788020972745E-2</v>
      </c>
      <c r="J63" s="53">
        <f>VLOOKUP(B63,Motor!$A:$D,4,)</f>
        <v>2.1267552678469259E-2</v>
      </c>
      <c r="K63" s="52">
        <f>VLOOKUP(B63,'Non Store Retail'!$A:$D,3,)</f>
        <v>2.6529949426993923E-2</v>
      </c>
      <c r="L63" s="53">
        <f>VLOOKUP(B63,'Non Store Retail'!$A:$D,4,)</f>
        <v>0.20154668288656211</v>
      </c>
      <c r="M63" s="52">
        <f>VLOOKUP(B63,'Food and Beverage'!$A:$D,3,)</f>
        <v>2.0430694262908774E-3</v>
      </c>
      <c r="N63" s="52">
        <f>VLOOKUP(B63,'Food and Beverage'!$A:$D,4,)</f>
        <v>8.411933495338908E-2</v>
      </c>
      <c r="O63" s="52">
        <f>VLOOKUP(B63,'Food Services'!$A:$D,3,)</f>
        <v>6.8611831470735305E-4</v>
      </c>
      <c r="P63" s="53">
        <f>VLOOKUP(B63,'Food Services'!$A:$D,4,)</f>
        <v>0.11645950644834833</v>
      </c>
      <c r="Q63" s="52">
        <f>VLOOKUP(B63,'General Merchandising'!$A:$D,3,)</f>
        <v>-6.9610358965283307E-3</v>
      </c>
      <c r="R63" s="53">
        <f>VLOOKUP(B63,'General Merchandising'!$A:$D,4,)</f>
        <v>4.8950840223263587E-3</v>
      </c>
      <c r="S63" s="52">
        <f>VLOOKUP(B63,'Gas Station'!$A:$D,3,)</f>
        <v>-1.7740103119811237E-2</v>
      </c>
      <c r="T63" s="53">
        <f>VLOOKUP(B63,'Gas Station'!$A:$D,4,)</f>
        <v>0.39890891742205814</v>
      </c>
      <c r="U63" s="52">
        <f>VLOOKUP(B63,Housing!$A:$D,3,)</f>
        <v>1.4580657437800295E-2</v>
      </c>
      <c r="V63" s="53">
        <f>VLOOKUP(B63,Housing!$A:$D,4,)</f>
        <v>0.10051858923088831</v>
      </c>
      <c r="W63" s="52">
        <f>VLOOKUP(B63,Health!$A:$D,3,)</f>
        <v>4.1212483201433477E-3</v>
      </c>
      <c r="X63" s="53">
        <f>VLOOKUP(B63,Health!$A:$D,4,)</f>
        <v>3.4171998031496065E-2</v>
      </c>
      <c r="Y63" s="52">
        <f>VLOOKUP(B63,'Clothing and clothing access'!$A:$D,3,)</f>
        <v>-5.7219662058371739E-3</v>
      </c>
      <c r="Z63" s="53">
        <f>VLOOKUP(B63,'Clothing and clothing access'!$A:$D,4,)</f>
        <v>2.3238351183654114E-2</v>
      </c>
      <c r="AA63" s="52">
        <f>VLOOKUP(B63,'Furniture Home'!$A:$D,3,)</f>
        <v>2.844805689611379E-3</v>
      </c>
      <c r="AB63" s="53">
        <f>VLOOKUP(B63,'Furniture Home'!$A:$D,4,)</f>
        <v>-2.878087178982584E-2</v>
      </c>
      <c r="AC63" s="52">
        <f>VLOOKUP(B63,'Miscellaneous stores retailers'!$A:$D,3,)</f>
        <v>1.5234423579156822E-2</v>
      </c>
      <c r="AD63" s="53">
        <f>VLOOKUP(B63,'Miscellaneous stores retailers'!$A:$D,4,)</f>
        <v>0.17765435660703982</v>
      </c>
      <c r="AE63" s="52">
        <f>VLOOKUP(B63,'Sporting Goods'!$A:$D,3,)</f>
        <v>1.303497718878992E-3</v>
      </c>
      <c r="AF63" s="53">
        <f>VLOOKUP(B63,'Sporting Goods'!$A:$D,4,)</f>
        <v>3.853086976115367E-2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3">
    <cfRule type="colorScale" priority="243">
      <colorScale>
        <cfvo type="min"/>
        <cfvo type="percentile" val="50"/>
        <cfvo type="max"/>
        <color rgb="FFF8696B"/>
        <color rgb="FFFFEB84"/>
        <color rgb="FF63BE7B"/>
      </colorScale>
    </cfRule>
  </conditionalFormatting>
  <conditionalFormatting sqref="D4:D63">
    <cfRule type="colorScale" priority="244">
      <colorScale>
        <cfvo type="min"/>
        <cfvo type="percentile" val="50"/>
        <cfvo type="max"/>
        <color rgb="FFF8696B"/>
        <color rgb="FFFFEB84"/>
        <color rgb="FF63BE7B"/>
      </colorScale>
    </cfRule>
  </conditionalFormatting>
  <conditionalFormatting sqref="E4:E63">
    <cfRule type="colorScale" priority="245">
      <colorScale>
        <cfvo type="min"/>
        <cfvo type="percentile" val="50"/>
        <cfvo type="max"/>
        <color rgb="FFF8696B"/>
        <color rgb="FFFFEB84"/>
        <color rgb="FF63BE7B"/>
      </colorScale>
    </cfRule>
  </conditionalFormatting>
  <conditionalFormatting sqref="F4:F63">
    <cfRule type="colorScale" priority="246">
      <colorScale>
        <cfvo type="min"/>
        <cfvo type="percentile" val="50"/>
        <cfvo type="max"/>
        <color rgb="FFF8696B"/>
        <color rgb="FFFFEB84"/>
        <color rgb="FF63BE7B"/>
      </colorScale>
    </cfRule>
  </conditionalFormatting>
  <conditionalFormatting sqref="G4:G63">
    <cfRule type="colorScale" priority="247">
      <colorScale>
        <cfvo type="min"/>
        <cfvo type="percentile" val="50"/>
        <cfvo type="max"/>
        <color rgb="FFF8696B"/>
        <color rgb="FFFFEB84"/>
        <color rgb="FF63BE7B"/>
      </colorScale>
    </cfRule>
  </conditionalFormatting>
  <conditionalFormatting sqref="H4:H63">
    <cfRule type="colorScale" priority="248">
      <colorScale>
        <cfvo type="min"/>
        <cfvo type="percentile" val="50"/>
        <cfvo type="max"/>
        <color rgb="FFF8696B"/>
        <color rgb="FFFFEB84"/>
        <color rgb="FF63BE7B"/>
      </colorScale>
    </cfRule>
  </conditionalFormatting>
  <conditionalFormatting sqref="I4:I63">
    <cfRule type="colorScale" priority="249">
      <colorScale>
        <cfvo type="min"/>
        <cfvo type="percentile" val="50"/>
        <cfvo type="max"/>
        <color rgb="FFF8696B"/>
        <color rgb="FFFFEB84"/>
        <color rgb="FF63BE7B"/>
      </colorScale>
    </cfRule>
  </conditionalFormatting>
  <conditionalFormatting sqref="J4:J63">
    <cfRule type="colorScale" priority="250">
      <colorScale>
        <cfvo type="min"/>
        <cfvo type="percentile" val="50"/>
        <cfvo type="max"/>
        <color rgb="FFF8696B"/>
        <color rgb="FFFFEB84"/>
        <color rgb="FF63BE7B"/>
      </colorScale>
    </cfRule>
  </conditionalFormatting>
  <conditionalFormatting sqref="K4:K63">
    <cfRule type="colorScale" priority="251">
      <colorScale>
        <cfvo type="min"/>
        <cfvo type="percentile" val="50"/>
        <cfvo type="max"/>
        <color rgb="FFF8696B"/>
        <color rgb="FFFFEB84"/>
        <color rgb="FF63BE7B"/>
      </colorScale>
    </cfRule>
  </conditionalFormatting>
  <conditionalFormatting sqref="L4:L63">
    <cfRule type="colorScale" priority="252">
      <colorScale>
        <cfvo type="min"/>
        <cfvo type="percentile" val="50"/>
        <cfvo type="max"/>
        <color rgb="FFF8696B"/>
        <color rgb="FFFFEB84"/>
        <color rgb="FF63BE7B"/>
      </colorScale>
    </cfRule>
  </conditionalFormatting>
  <conditionalFormatting sqref="M4:M63">
    <cfRule type="colorScale" priority="253">
      <colorScale>
        <cfvo type="min"/>
        <cfvo type="percentile" val="50"/>
        <cfvo type="max"/>
        <color rgb="FFF8696B"/>
        <color rgb="FFFFEB84"/>
        <color rgb="FF63BE7B"/>
      </colorScale>
    </cfRule>
  </conditionalFormatting>
  <conditionalFormatting sqref="O4:O63">
    <cfRule type="colorScale" priority="254">
      <colorScale>
        <cfvo type="min"/>
        <cfvo type="percentile" val="50"/>
        <cfvo type="max"/>
        <color rgb="FFF8696B"/>
        <color rgb="FFFFEB84"/>
        <color rgb="FF63BE7B"/>
      </colorScale>
    </cfRule>
  </conditionalFormatting>
  <conditionalFormatting sqref="P4:P63">
    <cfRule type="colorScale" priority="255">
      <colorScale>
        <cfvo type="min"/>
        <cfvo type="percentile" val="50"/>
        <cfvo type="max"/>
        <color rgb="FFF8696B"/>
        <color rgb="FFFFEB84"/>
        <color rgb="FF63BE7B"/>
      </colorScale>
    </cfRule>
  </conditionalFormatting>
  <conditionalFormatting sqref="Q4:Q63">
    <cfRule type="colorScale" priority="256">
      <colorScale>
        <cfvo type="min"/>
        <cfvo type="percentile" val="50"/>
        <cfvo type="max"/>
        <color rgb="FFF8696B"/>
        <color rgb="FFFFEB84"/>
        <color rgb="FF63BE7B"/>
      </colorScale>
    </cfRule>
  </conditionalFormatting>
  <conditionalFormatting sqref="R4:R63">
    <cfRule type="colorScale" priority="257">
      <colorScale>
        <cfvo type="min"/>
        <cfvo type="percentile" val="50"/>
        <cfvo type="max"/>
        <color rgb="FFF8696B"/>
        <color rgb="FFFFEB84"/>
        <color rgb="FF63BE7B"/>
      </colorScale>
    </cfRule>
  </conditionalFormatting>
  <conditionalFormatting sqref="S4:S63">
    <cfRule type="colorScale" priority="258">
      <colorScale>
        <cfvo type="min"/>
        <cfvo type="percentile" val="50"/>
        <cfvo type="max"/>
        <color rgb="FFF8696B"/>
        <color rgb="FFFFEB84"/>
        <color rgb="FF63BE7B"/>
      </colorScale>
    </cfRule>
  </conditionalFormatting>
  <conditionalFormatting sqref="T4:T63">
    <cfRule type="colorScale" priority="259">
      <colorScale>
        <cfvo type="min"/>
        <cfvo type="percentile" val="50"/>
        <cfvo type="max"/>
        <color rgb="FFF8696B"/>
        <color rgb="FFFFEB84"/>
        <color rgb="FF63BE7B"/>
      </colorScale>
    </cfRule>
  </conditionalFormatting>
  <conditionalFormatting sqref="U4:U63">
    <cfRule type="colorScale" priority="260">
      <colorScale>
        <cfvo type="min"/>
        <cfvo type="percentile" val="50"/>
        <cfvo type="max"/>
        <color rgb="FFF8696B"/>
        <color rgb="FFFFEB84"/>
        <color rgb="FF63BE7B"/>
      </colorScale>
    </cfRule>
  </conditionalFormatting>
  <conditionalFormatting sqref="V4:V63">
    <cfRule type="colorScale" priority="261">
      <colorScale>
        <cfvo type="min"/>
        <cfvo type="percentile" val="50"/>
        <cfvo type="max"/>
        <color rgb="FFF8696B"/>
        <color rgb="FFFFEB84"/>
        <color rgb="FF63BE7B"/>
      </colorScale>
    </cfRule>
  </conditionalFormatting>
  <conditionalFormatting sqref="W4:W63">
    <cfRule type="colorScale" priority="262">
      <colorScale>
        <cfvo type="min"/>
        <cfvo type="percentile" val="50"/>
        <cfvo type="max"/>
        <color rgb="FFF8696B"/>
        <color rgb="FFFFEB84"/>
        <color rgb="FF63BE7B"/>
      </colorScale>
    </cfRule>
  </conditionalFormatting>
  <conditionalFormatting sqref="X4:X63">
    <cfRule type="colorScale" priority="265">
      <colorScale>
        <cfvo type="min"/>
        <cfvo type="percentile" val="50"/>
        <cfvo type="max"/>
        <color rgb="FFF8696B"/>
        <color rgb="FFFFEB84"/>
        <color rgb="FF63BE7B"/>
      </colorScale>
    </cfRule>
  </conditionalFormatting>
  <conditionalFormatting sqref="Y4:Y63">
    <cfRule type="colorScale" priority="268">
      <colorScale>
        <cfvo type="min"/>
        <cfvo type="percentile" val="50"/>
        <cfvo type="max"/>
        <color rgb="FFF8696B"/>
        <color rgb="FFFFEB84"/>
        <color rgb="FF63BE7B"/>
      </colorScale>
    </cfRule>
  </conditionalFormatting>
  <conditionalFormatting sqref="Z4:Z63">
    <cfRule type="colorScale" priority="269">
      <colorScale>
        <cfvo type="min"/>
        <cfvo type="percentile" val="50"/>
        <cfvo type="max"/>
        <color rgb="FFF8696B"/>
        <color rgb="FFFFEB84"/>
        <color rgb="FF63BE7B"/>
      </colorScale>
    </cfRule>
  </conditionalFormatting>
  <conditionalFormatting sqref="AA4:AA63">
    <cfRule type="colorScale" priority="270">
      <colorScale>
        <cfvo type="min"/>
        <cfvo type="percentile" val="50"/>
        <cfvo type="max"/>
        <color rgb="FFF8696B"/>
        <color rgb="FFFFEB84"/>
        <color rgb="FF63BE7B"/>
      </colorScale>
    </cfRule>
  </conditionalFormatting>
  <conditionalFormatting sqref="AB4:AB63">
    <cfRule type="colorScale" priority="271">
      <colorScale>
        <cfvo type="min"/>
        <cfvo type="percentile" val="50"/>
        <cfvo type="max"/>
        <color rgb="FFF8696B"/>
        <color rgb="FFFFEB84"/>
        <color rgb="FF63BE7B"/>
      </colorScale>
    </cfRule>
  </conditionalFormatting>
  <conditionalFormatting sqref="AC4:AC63">
    <cfRule type="colorScale" priority="272">
      <colorScale>
        <cfvo type="min"/>
        <cfvo type="percentile" val="50"/>
        <cfvo type="max"/>
        <color rgb="FFF8696B"/>
        <color rgb="FFFFEB84"/>
        <color rgb="FF63BE7B"/>
      </colorScale>
    </cfRule>
  </conditionalFormatting>
  <conditionalFormatting sqref="AD4:AD63">
    <cfRule type="colorScale" priority="273">
      <colorScale>
        <cfvo type="min"/>
        <cfvo type="percentile" val="50"/>
        <cfvo type="max"/>
        <color rgb="FFF8696B"/>
        <color rgb="FFFFEB84"/>
        <color rgb="FF63BE7B"/>
      </colorScale>
    </cfRule>
  </conditionalFormatting>
  <conditionalFormatting sqref="AE4:AE63">
    <cfRule type="colorScale" priority="274">
      <colorScale>
        <cfvo type="min"/>
        <cfvo type="percentile" val="50"/>
        <cfvo type="max"/>
        <color rgb="FFF8696B"/>
        <color rgb="FFFFEB84"/>
        <color rgb="FF63BE7B"/>
      </colorScale>
    </cfRule>
  </conditionalFormatting>
  <conditionalFormatting sqref="AF4:AF63">
    <cfRule type="colorScale" priority="275">
      <colorScale>
        <cfvo type="min"/>
        <cfvo type="percentile" val="50"/>
        <cfvo type="max"/>
        <color rgb="FFF8696B"/>
        <color rgb="FFFFEB84"/>
        <color rgb="FF63BE7B"/>
      </colorScale>
    </cfRule>
  </conditionalFormatting>
  <conditionalFormatting sqref="N4:N63">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0"/>
  <sheetViews>
    <sheetView zoomScale="170" zoomScaleNormal="170" workbookViewId="0">
      <pane ySplit="6" topLeftCell="A360" activePane="bottomLeft" state="frozen"/>
      <selection pane="bottomLeft" activeCell="A365" sqref="A365:D373"/>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2.312135511730401E-2</v>
      </c>
      <c r="M2" s="28">
        <f>MAX(D8:D335)</f>
        <v>8.4068563615054048E-2</v>
      </c>
    </row>
    <row r="3" spans="1:13" s="110" customFormat="1" x14ac:dyDescent="0.2">
      <c r="A3" s="111"/>
      <c r="I3" s="21"/>
      <c r="J3" s="21"/>
      <c r="L3" s="28">
        <f>MIN(C8:C335)</f>
        <v>-2.0234938312826131E-2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251846</v>
      </c>
      <c r="C223" s="12">
        <f t="shared" si="6"/>
        <v>1.3899313373919329E-4</v>
      </c>
      <c r="D223" s="13">
        <f t="shared" si="7"/>
        <v>-1.8825226596280134E-3</v>
      </c>
    </row>
    <row r="224" spans="1:4" x14ac:dyDescent="0.2">
      <c r="A224" s="11">
        <v>40210</v>
      </c>
      <c r="B224" s="15">
        <f>VLOOKUP(A224,Database!A:M,MATCH($A$1,Database!$A$1:$M$1,),)</f>
        <v>254082</v>
      </c>
      <c r="C224" s="12">
        <f t="shared" si="6"/>
        <v>8.878441587319234E-3</v>
      </c>
      <c r="D224" s="13">
        <f t="shared" si="7"/>
        <v>1.0153939124073662E-2</v>
      </c>
    </row>
    <row r="225" spans="1:4" x14ac:dyDescent="0.2">
      <c r="A225" s="10">
        <v>40238</v>
      </c>
      <c r="B225" s="15">
        <f>VLOOKUP(A225,Database!A:M,MATCH($A$1,Database!$A$1:$M$1,),)</f>
        <v>256340</v>
      </c>
      <c r="C225" s="12">
        <f t="shared" si="6"/>
        <v>8.8868947819995114E-3</v>
      </c>
      <c r="D225" s="13">
        <f t="shared" si="7"/>
        <v>3.4371444020304898E-2</v>
      </c>
    </row>
    <row r="226" spans="1:4" x14ac:dyDescent="0.2">
      <c r="A226" s="11">
        <v>40269</v>
      </c>
      <c r="B226" s="15">
        <f>VLOOKUP(A226,Database!A:M,MATCH($A$1,Database!$A$1:$M$1,),)</f>
        <v>258420</v>
      </c>
      <c r="C226" s="12">
        <f t="shared" si="6"/>
        <v>8.1142232971834274E-3</v>
      </c>
      <c r="D226" s="13">
        <f t="shared" si="7"/>
        <v>3.7631299990363305E-2</v>
      </c>
    </row>
    <row r="227" spans="1:4" x14ac:dyDescent="0.2">
      <c r="A227" s="10">
        <v>40299</v>
      </c>
      <c r="B227" s="15">
        <f>VLOOKUP(A227,Database!A:M,MATCH($A$1,Database!$A$1:$M$1,),)</f>
        <v>256078</v>
      </c>
      <c r="C227" s="12">
        <f t="shared" si="6"/>
        <v>-9.0627660397802033E-3</v>
      </c>
      <c r="D227" s="13">
        <f t="shared" si="7"/>
        <v>2.562890751725215E-2</v>
      </c>
    </row>
    <row r="228" spans="1:4" x14ac:dyDescent="0.2">
      <c r="A228" s="11">
        <v>40330</v>
      </c>
      <c r="B228" s="15">
        <f>VLOOKUP(A228,Database!A:M,MATCH($A$1,Database!$A$1:$M$1,),)</f>
        <v>256732</v>
      </c>
      <c r="C228" s="12">
        <f t="shared" si="6"/>
        <v>2.5539093557431719E-3</v>
      </c>
      <c r="D228" s="13">
        <f t="shared" si="7"/>
        <v>2.7351268722713758E-2</v>
      </c>
    </row>
    <row r="229" spans="1:4" x14ac:dyDescent="0.2">
      <c r="A229" s="10">
        <v>40360</v>
      </c>
      <c r="B229" s="15">
        <f>VLOOKUP(A229,Database!A:M,MATCH($A$1,Database!$A$1:$M$1,),)</f>
        <v>256401</v>
      </c>
      <c r="C229" s="12">
        <f t="shared" si="6"/>
        <v>-1.2892822086845426E-3</v>
      </c>
      <c r="D229" s="13">
        <f t="shared" si="7"/>
        <v>2.68238667537034E-2</v>
      </c>
    </row>
    <row r="230" spans="1:4" x14ac:dyDescent="0.2">
      <c r="A230" s="11">
        <v>40391</v>
      </c>
      <c r="B230" s="15">
        <f>VLOOKUP(A230,Database!A:M,MATCH($A$1,Database!$A$1:$M$1,),)</f>
        <v>257842</v>
      </c>
      <c r="C230" s="12">
        <f t="shared" si="6"/>
        <v>5.620102885714174E-3</v>
      </c>
      <c r="D230" s="13">
        <f t="shared" si="7"/>
        <v>3.241280175537644E-2</v>
      </c>
    </row>
    <row r="231" spans="1:4" x14ac:dyDescent="0.2">
      <c r="A231" s="10">
        <v>40422</v>
      </c>
      <c r="B231" s="15">
        <f>VLOOKUP(A231,Database!A:M,MATCH($A$1,Database!$A$1:$M$1,),)</f>
        <v>259029</v>
      </c>
      <c r="C231" s="12">
        <f t="shared" si="6"/>
        <v>4.6035944493139211E-3</v>
      </c>
      <c r="D231" s="13">
        <f t="shared" si="7"/>
        <v>3.5399503543547865E-2</v>
      </c>
    </row>
    <row r="232" spans="1:4" x14ac:dyDescent="0.2">
      <c r="A232" s="11">
        <v>40452</v>
      </c>
      <c r="B232" s="15">
        <f>VLOOKUP(A232,Database!A:M,MATCH($A$1,Database!$A$1:$M$1,),)</f>
        <v>260142</v>
      </c>
      <c r="C232" s="12">
        <f t="shared" si="6"/>
        <v>4.2968161866045887E-3</v>
      </c>
      <c r="D232" s="13">
        <f t="shared" si="7"/>
        <v>3.9320815021973633E-2</v>
      </c>
    </row>
    <row r="233" spans="1:4" x14ac:dyDescent="0.2">
      <c r="A233" s="10">
        <v>40483</v>
      </c>
      <c r="B233" s="15">
        <f>VLOOKUP(A233,Database!A:M,MATCH($A$1,Database!$A$1:$M$1,),)</f>
        <v>262546</v>
      </c>
      <c r="C233" s="12">
        <f t="shared" si="6"/>
        <v>9.2411067801431521E-3</v>
      </c>
      <c r="D233" s="13">
        <f t="shared" si="7"/>
        <v>4.8309622395157459E-2</v>
      </c>
    </row>
    <row r="234" spans="1:4" x14ac:dyDescent="0.2">
      <c r="A234" s="11">
        <v>40513</v>
      </c>
      <c r="B234" s="15">
        <f>VLOOKUP(A234,Database!A:M,MATCH($A$1,Database!$A$1:$M$1,),)</f>
        <v>262654</v>
      </c>
      <c r="C234" s="12">
        <f t="shared" si="6"/>
        <v>4.1135648610148316E-4</v>
      </c>
      <c r="D234" s="13">
        <f t="shared" si="7"/>
        <v>4.3060072832402083E-2</v>
      </c>
    </row>
    <row r="235" spans="1:4" x14ac:dyDescent="0.2">
      <c r="A235" s="10">
        <v>40544</v>
      </c>
      <c r="B235" s="15">
        <f>VLOOKUP(A235,Database!A:M,MATCH($A$1,Database!$A$1:$M$1,),)</f>
        <v>264029</v>
      </c>
      <c r="C235" s="12">
        <f t="shared" si="6"/>
        <v>5.2350240240011574E-3</v>
      </c>
      <c r="D235" s="13">
        <f t="shared" si="7"/>
        <v>4.8374800473305113E-2</v>
      </c>
    </row>
    <row r="236" spans="1:4" x14ac:dyDescent="0.2">
      <c r="A236" s="11">
        <v>40575</v>
      </c>
      <c r="B236" s="15">
        <f>VLOOKUP(A236,Database!A:M,MATCH($A$1,Database!$A$1:$M$1,),)</f>
        <v>265515</v>
      </c>
      <c r="C236" s="12">
        <f t="shared" si="6"/>
        <v>5.6281696328812367E-3</v>
      </c>
      <c r="D236" s="13">
        <f t="shared" si="7"/>
        <v>4.4997284341275652E-2</v>
      </c>
    </row>
    <row r="237" spans="1:4" x14ac:dyDescent="0.2">
      <c r="A237" s="10">
        <v>40603</v>
      </c>
      <c r="B237" s="15">
        <f>VLOOKUP(A237,Database!A:M,MATCH($A$1,Database!$A$1:$M$1,),)</f>
        <v>267215</v>
      </c>
      <c r="C237" s="12">
        <f t="shared" si="6"/>
        <v>6.4026514509538069E-3</v>
      </c>
      <c r="D237" s="13">
        <f t="shared" si="7"/>
        <v>4.2424124210033547E-2</v>
      </c>
    </row>
    <row r="238" spans="1:4" x14ac:dyDescent="0.2">
      <c r="A238" s="11">
        <v>40634</v>
      </c>
      <c r="B238" s="15">
        <f>VLOOKUP(A238,Database!A:M,MATCH($A$1,Database!$A$1:$M$1,),)</f>
        <v>269116</v>
      </c>
      <c r="C238" s="12">
        <f t="shared" si="6"/>
        <v>7.1141215874857321E-3</v>
      </c>
      <c r="D238" s="13">
        <f t="shared" si="7"/>
        <v>4.1389985295255782E-2</v>
      </c>
    </row>
    <row r="239" spans="1:4" x14ac:dyDescent="0.2">
      <c r="A239" s="10">
        <v>40664</v>
      </c>
      <c r="B239" s="15">
        <f>VLOOKUP(A239,Database!A:M,MATCH($A$1,Database!$A$1:$M$1,),)</f>
        <v>269064</v>
      </c>
      <c r="C239" s="12">
        <f t="shared" si="6"/>
        <v>-1.9322522629646694E-4</v>
      </c>
      <c r="D239" s="13">
        <f t="shared" si="7"/>
        <v>5.071111145822757E-2</v>
      </c>
    </row>
    <row r="240" spans="1:4" x14ac:dyDescent="0.2">
      <c r="A240" s="11">
        <v>40695</v>
      </c>
      <c r="B240" s="15">
        <f>VLOOKUP(A240,Database!A:M,MATCH($A$1,Database!$A$1:$M$1,),)</f>
        <v>271930</v>
      </c>
      <c r="C240" s="12">
        <f t="shared" si="6"/>
        <v>1.0651740849760652E-2</v>
      </c>
      <c r="D240" s="13">
        <f t="shared" si="7"/>
        <v>5.9197918451926519E-2</v>
      </c>
    </row>
    <row r="241" spans="1:4" x14ac:dyDescent="0.2">
      <c r="A241" s="10">
        <v>40725</v>
      </c>
      <c r="B241" s="15">
        <f>VLOOKUP(A241,Database!A:M,MATCH($A$1,Database!$A$1:$M$1,),)</f>
        <v>271622</v>
      </c>
      <c r="C241" s="12">
        <f t="shared" si="6"/>
        <v>-1.1326444305519803E-3</v>
      </c>
      <c r="D241" s="13">
        <f t="shared" si="7"/>
        <v>5.9364043041953814E-2</v>
      </c>
    </row>
    <row r="242" spans="1:4" x14ac:dyDescent="0.2">
      <c r="A242" s="11">
        <v>40756</v>
      </c>
      <c r="B242" s="15">
        <f>VLOOKUP(A242,Database!A:M,MATCH($A$1,Database!$A$1:$M$1,),)</f>
        <v>273001</v>
      </c>
      <c r="C242" s="12">
        <f t="shared" si="6"/>
        <v>5.0769083505754322E-3</v>
      </c>
      <c r="D242" s="13">
        <f t="shared" si="7"/>
        <v>5.8791818245281992E-2</v>
      </c>
    </row>
    <row r="243" spans="1:4" x14ac:dyDescent="0.2">
      <c r="A243" s="10">
        <v>40787</v>
      </c>
      <c r="B243" s="15">
        <f>VLOOKUP(A243,Database!A:M,MATCH($A$1,Database!$A$1:$M$1,),)</f>
        <v>273860</v>
      </c>
      <c r="C243" s="12">
        <f t="shared" si="6"/>
        <v>3.1465086208475428E-3</v>
      </c>
      <c r="D243" s="13">
        <f t="shared" si="7"/>
        <v>5.7256137343695106E-2</v>
      </c>
    </row>
    <row r="244" spans="1:4" x14ac:dyDescent="0.2">
      <c r="A244" s="11">
        <v>40817</v>
      </c>
      <c r="B244" s="15">
        <f>VLOOKUP(A244,Database!A:M,MATCH($A$1,Database!$A$1:$M$1,),)</f>
        <v>275378</v>
      </c>
      <c r="C244" s="12">
        <f t="shared" si="6"/>
        <v>5.5429781640254144E-3</v>
      </c>
      <c r="D244" s="13">
        <f t="shared" si="7"/>
        <v>5.8568012854517917E-2</v>
      </c>
    </row>
    <row r="245" spans="1:4" x14ac:dyDescent="0.2">
      <c r="A245" s="10">
        <v>40848</v>
      </c>
      <c r="B245" s="15">
        <f>VLOOKUP(A245,Database!A:M,MATCH($A$1,Database!$A$1:$M$1,),)</f>
        <v>275548</v>
      </c>
      <c r="C245" s="12">
        <f t="shared" si="6"/>
        <v>6.1733326554771985E-4</v>
      </c>
      <c r="D245" s="13">
        <f t="shared" si="7"/>
        <v>4.9522750298995222E-2</v>
      </c>
    </row>
    <row r="246" spans="1:4" x14ac:dyDescent="0.2">
      <c r="A246" s="11">
        <v>40878</v>
      </c>
      <c r="B246" s="15">
        <f>VLOOKUP(A246,Database!A:M,MATCH($A$1,Database!$A$1:$M$1,),)</f>
        <v>274874</v>
      </c>
      <c r="C246" s="12">
        <f t="shared" si="6"/>
        <v>-2.4460348106319046E-3</v>
      </c>
      <c r="D246" s="13">
        <f t="shared" si="7"/>
        <v>4.6525086235123012E-2</v>
      </c>
    </row>
    <row r="247" spans="1:4" x14ac:dyDescent="0.2">
      <c r="A247" s="10">
        <v>40909</v>
      </c>
      <c r="B247" s="15">
        <f>VLOOKUP(A247,Database!A:M,MATCH($A$1,Database!$A$1:$M$1,),)</f>
        <v>278169</v>
      </c>
      <c r="C247" s="12">
        <f t="shared" si="6"/>
        <v>1.1987310549560889E-2</v>
      </c>
      <c r="D247" s="13">
        <f t="shared" si="7"/>
        <v>5.355472315541096E-2</v>
      </c>
    </row>
    <row r="248" spans="1:4" x14ac:dyDescent="0.2">
      <c r="A248" s="11">
        <v>40940</v>
      </c>
      <c r="B248" s="15">
        <f>VLOOKUP(A248,Database!A:M,MATCH($A$1,Database!$A$1:$M$1,),)</f>
        <v>280557</v>
      </c>
      <c r="C248" s="12">
        <f t="shared" si="6"/>
        <v>8.5847092954283184E-3</v>
      </c>
      <c r="D248" s="13">
        <f t="shared" si="7"/>
        <v>5.6652166544263034E-2</v>
      </c>
    </row>
    <row r="249" spans="1:4" x14ac:dyDescent="0.2">
      <c r="A249" s="10">
        <v>40969</v>
      </c>
      <c r="B249" s="15">
        <f>VLOOKUP(A249,Database!A:M,MATCH($A$1,Database!$A$1:$M$1,),)</f>
        <v>281567</v>
      </c>
      <c r="C249" s="12">
        <f t="shared" si="6"/>
        <v>3.5999814654419601E-3</v>
      </c>
      <c r="D249" s="13">
        <f t="shared" si="7"/>
        <v>5.3709559717830209E-2</v>
      </c>
    </row>
    <row r="250" spans="1:4" x14ac:dyDescent="0.2">
      <c r="A250" s="11">
        <v>41000</v>
      </c>
      <c r="B250" s="15">
        <f>VLOOKUP(A250,Database!A:M,MATCH($A$1,Database!$A$1:$M$1,),)</f>
        <v>280229</v>
      </c>
      <c r="C250" s="12">
        <f t="shared" si="6"/>
        <v>-4.7519773268884496E-3</v>
      </c>
      <c r="D250" s="13">
        <f t="shared" si="7"/>
        <v>4.1294460381396871E-2</v>
      </c>
    </row>
    <row r="251" spans="1:4" x14ac:dyDescent="0.2">
      <c r="A251" s="10">
        <v>41030</v>
      </c>
      <c r="B251" s="15">
        <f>VLOOKUP(A251,Database!A:M,MATCH($A$1,Database!$A$1:$M$1,),)</f>
        <v>279955</v>
      </c>
      <c r="C251" s="12">
        <f t="shared" si="6"/>
        <v>-9.7777175096082141E-4</v>
      </c>
      <c r="D251" s="13">
        <f t="shared" si="7"/>
        <v>4.0477358546665475E-2</v>
      </c>
    </row>
    <row r="252" spans="1:4" x14ac:dyDescent="0.2">
      <c r="A252" s="11">
        <v>41061</v>
      </c>
      <c r="B252" s="15">
        <f>VLOOKUP(A252,Database!A:M,MATCH($A$1,Database!$A$1:$M$1,),)</f>
        <v>279583</v>
      </c>
      <c r="C252" s="12">
        <f t="shared" si="6"/>
        <v>-1.3287849833008877E-3</v>
      </c>
      <c r="D252" s="13">
        <f t="shared" si="7"/>
        <v>2.814327216563086E-2</v>
      </c>
    </row>
    <row r="253" spans="1:4" x14ac:dyDescent="0.2">
      <c r="A253" s="10">
        <v>41091</v>
      </c>
      <c r="B253" s="15">
        <f>VLOOKUP(A253,Database!A:M,MATCH($A$1,Database!$A$1:$M$1,),)</f>
        <v>280969</v>
      </c>
      <c r="C253" s="12">
        <f t="shared" si="6"/>
        <v>4.9573829596220084E-3</v>
      </c>
      <c r="D253" s="13">
        <f t="shared" si="7"/>
        <v>3.4411792859194025E-2</v>
      </c>
    </row>
    <row r="254" spans="1:4" x14ac:dyDescent="0.2">
      <c r="A254" s="11">
        <v>41122</v>
      </c>
      <c r="B254" s="15">
        <f>VLOOKUP(A254,Database!A:M,MATCH($A$1,Database!$A$1:$M$1,),)</f>
        <v>281920</v>
      </c>
      <c r="C254" s="12">
        <f t="shared" si="6"/>
        <v>3.3847150397374797E-3</v>
      </c>
      <c r="D254" s="13">
        <f t="shared" si="7"/>
        <v>3.2670209999230773E-2</v>
      </c>
    </row>
    <row r="255" spans="1:4" x14ac:dyDescent="0.2">
      <c r="A255" s="10">
        <v>41153</v>
      </c>
      <c r="B255" s="15">
        <f>VLOOKUP(A255,Database!A:M,MATCH($A$1,Database!$A$1:$M$1,),)</f>
        <v>283225</v>
      </c>
      <c r="C255" s="12">
        <f t="shared" si="6"/>
        <v>4.6289727582292852E-3</v>
      </c>
      <c r="D255" s="13">
        <f t="shared" si="7"/>
        <v>3.4196304681223984E-2</v>
      </c>
    </row>
    <row r="256" spans="1:4" x14ac:dyDescent="0.2">
      <c r="A256" s="11">
        <v>41183</v>
      </c>
      <c r="B256" s="15">
        <f>VLOOKUP(A256,Database!A:M,MATCH($A$1,Database!$A$1:$M$1,),)</f>
        <v>282776</v>
      </c>
      <c r="C256" s="12">
        <f t="shared" si="6"/>
        <v>-1.5853120310707035E-3</v>
      </c>
      <c r="D256" s="13">
        <f t="shared" si="7"/>
        <v>2.6864891167776656E-2</v>
      </c>
    </row>
    <row r="257" spans="1:4" x14ac:dyDescent="0.2">
      <c r="A257" s="10">
        <v>41214</v>
      </c>
      <c r="B257" s="15">
        <f>VLOOKUP(A257,Database!A:M,MATCH($A$1,Database!$A$1:$M$1,),)</f>
        <v>284657</v>
      </c>
      <c r="C257" s="12">
        <f t="shared" si="6"/>
        <v>6.6519082241774411E-3</v>
      </c>
      <c r="D257" s="13">
        <f t="shared" si="7"/>
        <v>3.3057761261195868E-2</v>
      </c>
    </row>
    <row r="258" spans="1:4" x14ac:dyDescent="0.2">
      <c r="A258" s="11">
        <v>41244</v>
      </c>
      <c r="B258" s="15">
        <f>VLOOKUP(A258,Database!A:M,MATCH($A$1,Database!$A$1:$M$1,),)</f>
        <v>286300</v>
      </c>
      <c r="C258" s="12">
        <f t="shared" si="6"/>
        <v>5.7718587633537903E-3</v>
      </c>
      <c r="D258" s="13">
        <f t="shared" si="7"/>
        <v>4.1568136673530418E-2</v>
      </c>
    </row>
    <row r="259" spans="1:4" x14ac:dyDescent="0.2">
      <c r="A259" s="10">
        <v>41275</v>
      </c>
      <c r="B259" s="15">
        <f>VLOOKUP(A259,Database!A:M,MATCH($A$1,Database!$A$1:$M$1,),)</f>
        <v>288670</v>
      </c>
      <c r="C259" s="12">
        <f t="shared" si="6"/>
        <v>8.2780300384212371E-3</v>
      </c>
      <c r="D259" s="13">
        <f t="shared" si="7"/>
        <v>3.775043229116113E-2</v>
      </c>
    </row>
    <row r="260" spans="1:4" x14ac:dyDescent="0.2">
      <c r="A260" s="11">
        <v>41306</v>
      </c>
      <c r="B260" s="15">
        <f>VLOOKUP(A260,Database!A:M,MATCH($A$1,Database!$A$1:$M$1,),)</f>
        <v>289387</v>
      </c>
      <c r="C260" s="12">
        <f t="shared" si="6"/>
        <v>2.4838050368933386E-3</v>
      </c>
      <c r="D260" s="13">
        <f t="shared" si="7"/>
        <v>3.1473105286982682E-2</v>
      </c>
    </row>
    <row r="261" spans="1:4" x14ac:dyDescent="0.2">
      <c r="A261" s="10">
        <v>41334</v>
      </c>
      <c r="B261" s="15">
        <f>VLOOKUP(A261,Database!A:M,MATCH($A$1,Database!$A$1:$M$1,),)</f>
        <v>288566</v>
      </c>
      <c r="C261" s="12">
        <f t="shared" si="6"/>
        <v>-2.8370313801241937E-3</v>
      </c>
      <c r="D261" s="13">
        <f t="shared" si="7"/>
        <v>2.4857316375853703E-2</v>
      </c>
    </row>
    <row r="262" spans="1:4" x14ac:dyDescent="0.2">
      <c r="A262" s="11">
        <v>41365</v>
      </c>
      <c r="B262" s="15">
        <f>VLOOKUP(A262,Database!A:M,MATCH($A$1,Database!$A$1:$M$1,),)</f>
        <v>287580</v>
      </c>
      <c r="C262" s="12">
        <f t="shared" si="6"/>
        <v>-3.416895961409175E-3</v>
      </c>
      <c r="D262" s="13">
        <f t="shared" si="7"/>
        <v>2.6232117304062035E-2</v>
      </c>
    </row>
    <row r="263" spans="1:4" x14ac:dyDescent="0.2">
      <c r="A263" s="10">
        <v>41395</v>
      </c>
      <c r="B263" s="15">
        <f>VLOOKUP(A263,Database!A:M,MATCH($A$1,Database!$A$1:$M$1,),)</f>
        <v>289106</v>
      </c>
      <c r="C263" s="12">
        <f t="shared" si="6"/>
        <v>5.3063495375199948E-3</v>
      </c>
      <c r="D263" s="13">
        <f t="shared" si="7"/>
        <v>3.2687396188673182E-2</v>
      </c>
    </row>
    <row r="264" spans="1:4" x14ac:dyDescent="0.2">
      <c r="A264" s="11">
        <v>41426</v>
      </c>
      <c r="B264" s="15">
        <f>VLOOKUP(A264,Database!A:M,MATCH($A$1,Database!$A$1:$M$1,),)</f>
        <v>288417</v>
      </c>
      <c r="C264" s="12">
        <f t="shared" ref="C264:C327" si="8">(B264-B263)/B263</f>
        <v>-2.3832089268296056E-3</v>
      </c>
      <c r="D264" s="13">
        <f t="shared" si="7"/>
        <v>3.1597057045671589E-2</v>
      </c>
    </row>
    <row r="265" spans="1:4" x14ac:dyDescent="0.2">
      <c r="A265" s="10">
        <v>41456</v>
      </c>
      <c r="B265" s="15">
        <f>VLOOKUP(A265,Database!A:M,MATCH($A$1,Database!$A$1:$M$1,),)</f>
        <v>290835</v>
      </c>
      <c r="C265" s="12">
        <f t="shared" si="8"/>
        <v>8.3836944424219104E-3</v>
      </c>
      <c r="D265" s="13">
        <f t="shared" si="7"/>
        <v>3.5114194092586724E-2</v>
      </c>
    </row>
    <row r="266" spans="1:4" x14ac:dyDescent="0.2">
      <c r="A266" s="11">
        <v>41487</v>
      </c>
      <c r="B266" s="15">
        <f>VLOOKUP(A266,Database!A:M,MATCH($A$1,Database!$A$1:$M$1,),)</f>
        <v>290649</v>
      </c>
      <c r="C266" s="12">
        <f t="shared" si="8"/>
        <v>-6.3953788230439938E-4</v>
      </c>
      <c r="D266" s="13">
        <f t="shared" si="7"/>
        <v>3.0962684449489217E-2</v>
      </c>
    </row>
    <row r="267" spans="1:4" x14ac:dyDescent="0.2">
      <c r="A267" s="10">
        <v>41518</v>
      </c>
      <c r="B267" s="15">
        <f>VLOOKUP(A267,Database!A:M,MATCH($A$1,Database!$A$1:$M$1,),)</f>
        <v>291937</v>
      </c>
      <c r="C267" s="12">
        <f t="shared" si="8"/>
        <v>4.4314620039979493E-3</v>
      </c>
      <c r="D267" s="13">
        <f t="shared" si="7"/>
        <v>3.075999646923824E-2</v>
      </c>
    </row>
    <row r="268" spans="1:4" x14ac:dyDescent="0.2">
      <c r="A268" s="11">
        <v>41548</v>
      </c>
      <c r="B268" s="15">
        <f>VLOOKUP(A268,Database!A:M,MATCH($A$1,Database!$A$1:$M$1,),)</f>
        <v>292928</v>
      </c>
      <c r="C268" s="12">
        <f t="shared" si="8"/>
        <v>3.3945680061109075E-3</v>
      </c>
      <c r="D268" s="13">
        <f t="shared" si="7"/>
        <v>3.5901208023311738E-2</v>
      </c>
    </row>
    <row r="269" spans="1:4" x14ac:dyDescent="0.2">
      <c r="A269" s="10">
        <v>41579</v>
      </c>
      <c r="B269" s="15">
        <f>VLOOKUP(A269,Database!A:M,MATCH($A$1,Database!$A$1:$M$1,),)</f>
        <v>294169</v>
      </c>
      <c r="C269" s="12">
        <f t="shared" si="8"/>
        <v>4.2365359405724277E-3</v>
      </c>
      <c r="D269" s="13">
        <f t="shared" si="7"/>
        <v>3.3415654629958158E-2</v>
      </c>
    </row>
    <row r="270" spans="1:4" x14ac:dyDescent="0.2">
      <c r="A270" s="11">
        <v>41609</v>
      </c>
      <c r="B270" s="15">
        <f>VLOOKUP(A270,Database!A:M,MATCH($A$1,Database!$A$1:$M$1,),)</f>
        <v>294842</v>
      </c>
      <c r="C270" s="12">
        <f t="shared" si="8"/>
        <v>2.2878005500239656E-3</v>
      </c>
      <c r="D270" s="13">
        <f t="shared" si="7"/>
        <v>2.9835836535103039E-2</v>
      </c>
    </row>
    <row r="271" spans="1:4" x14ac:dyDescent="0.2">
      <c r="A271" s="10">
        <v>41640</v>
      </c>
      <c r="B271" s="15">
        <f>VLOOKUP(A271,Database!A:M,MATCH($A$1,Database!$A$1:$M$1,),)</f>
        <v>293000</v>
      </c>
      <c r="C271" s="12">
        <f t="shared" si="8"/>
        <v>-6.2474138691231236E-3</v>
      </c>
      <c r="D271" s="13">
        <f t="shared" si="7"/>
        <v>1.4999826791838431E-2</v>
      </c>
    </row>
    <row r="272" spans="1:4" x14ac:dyDescent="0.2">
      <c r="A272" s="11">
        <v>41671</v>
      </c>
      <c r="B272" s="15">
        <f>VLOOKUP(A272,Database!A:M,MATCH($A$1,Database!$A$1:$M$1,),)</f>
        <v>295884</v>
      </c>
      <c r="C272" s="12">
        <f t="shared" si="8"/>
        <v>9.8430034129692832E-3</v>
      </c>
      <c r="D272" s="13">
        <f t="shared" si="7"/>
        <v>2.2450904843686826E-2</v>
      </c>
    </row>
    <row r="273" spans="1:4" x14ac:dyDescent="0.2">
      <c r="A273" s="10">
        <v>41699</v>
      </c>
      <c r="B273" s="15">
        <f>VLOOKUP(A273,Database!A:M,MATCH($A$1,Database!$A$1:$M$1,),)</f>
        <v>298199</v>
      </c>
      <c r="C273" s="12">
        <f t="shared" si="8"/>
        <v>7.8240121128550378E-3</v>
      </c>
      <c r="D273" s="13">
        <f t="shared" si="7"/>
        <v>3.3382311152388017E-2</v>
      </c>
    </row>
    <row r="274" spans="1:4" x14ac:dyDescent="0.2">
      <c r="A274" s="11">
        <v>41730</v>
      </c>
      <c r="B274" s="15">
        <f>VLOOKUP(A274,Database!A:M,MATCH($A$1,Database!$A$1:$M$1,),)</f>
        <v>300773</v>
      </c>
      <c r="C274" s="12">
        <f t="shared" si="8"/>
        <v>8.6318196908775676E-3</v>
      </c>
      <c r="D274" s="13">
        <f t="shared" si="7"/>
        <v>4.5875930175951041E-2</v>
      </c>
    </row>
    <row r="275" spans="1:4" x14ac:dyDescent="0.2">
      <c r="A275" s="10">
        <v>41760</v>
      </c>
      <c r="B275" s="15">
        <f>VLOOKUP(A275,Database!A:M,MATCH($A$1,Database!$A$1:$M$1,),)</f>
        <v>301802</v>
      </c>
      <c r="C275" s="12">
        <f t="shared" si="8"/>
        <v>3.4211847473011206E-3</v>
      </c>
      <c r="D275" s="13">
        <f t="shared" ref="D275:D338" si="9">(B275-B263)/B263</f>
        <v>4.3914688730085159E-2</v>
      </c>
    </row>
    <row r="276" spans="1:4" x14ac:dyDescent="0.2">
      <c r="A276" s="11">
        <v>41791</v>
      </c>
      <c r="B276" s="15">
        <f>VLOOKUP(A276,Database!A:M,MATCH($A$1,Database!$A$1:$M$1,),)</f>
        <v>303565</v>
      </c>
      <c r="C276" s="12">
        <f t="shared" si="8"/>
        <v>5.8415782532918936E-3</v>
      </c>
      <c r="D276" s="13">
        <f t="shared" si="9"/>
        <v>5.2521175936231221E-2</v>
      </c>
    </row>
    <row r="277" spans="1:4" x14ac:dyDescent="0.2">
      <c r="A277" s="10">
        <v>41821</v>
      </c>
      <c r="B277" s="15">
        <f>VLOOKUP(A277,Database!A:M,MATCH($A$1,Database!$A$1:$M$1,),)</f>
        <v>304082</v>
      </c>
      <c r="C277" s="12">
        <f t="shared" si="8"/>
        <v>1.703094889068239E-3</v>
      </c>
      <c r="D277" s="13">
        <f t="shared" si="9"/>
        <v>4.554816304777623E-2</v>
      </c>
    </row>
    <row r="278" spans="1:4" x14ac:dyDescent="0.2">
      <c r="A278" s="11">
        <v>41852</v>
      </c>
      <c r="B278" s="15">
        <f>VLOOKUP(A278,Database!A:M,MATCH($A$1,Database!$A$1:$M$1,),)</f>
        <v>306418</v>
      </c>
      <c r="C278" s="12">
        <f t="shared" si="8"/>
        <v>7.6821383705710962E-3</v>
      </c>
      <c r="D278" s="13">
        <f t="shared" si="9"/>
        <v>5.4254444364164336E-2</v>
      </c>
    </row>
    <row r="279" spans="1:4" x14ac:dyDescent="0.2">
      <c r="A279" s="10">
        <v>41883</v>
      </c>
      <c r="B279" s="15">
        <f>VLOOKUP(A279,Database!A:M,MATCH($A$1,Database!$A$1:$M$1,),)</f>
        <v>306872</v>
      </c>
      <c r="C279" s="12">
        <f t="shared" si="8"/>
        <v>1.4816361963070055E-3</v>
      </c>
      <c r="D279" s="13">
        <f t="shared" si="9"/>
        <v>5.1158297851933807E-2</v>
      </c>
    </row>
    <row r="280" spans="1:4" x14ac:dyDescent="0.2">
      <c r="A280" s="11">
        <v>41913</v>
      </c>
      <c r="B280" s="15">
        <f>VLOOKUP(A280,Database!A:M,MATCH($A$1,Database!$A$1:$M$1,),)</f>
        <v>308869</v>
      </c>
      <c r="C280" s="12">
        <f t="shared" si="8"/>
        <v>6.5075992596261636E-3</v>
      </c>
      <c r="D280" s="13">
        <f t="shared" si="9"/>
        <v>5.4419516058553635E-2</v>
      </c>
    </row>
    <row r="281" spans="1:4" x14ac:dyDescent="0.2">
      <c r="A281" s="10">
        <v>41944</v>
      </c>
      <c r="B281" s="15">
        <f>VLOOKUP(A281,Database!A:M,MATCH($A$1,Database!$A$1:$M$1,),)</f>
        <v>309991</v>
      </c>
      <c r="C281" s="12">
        <f t="shared" si="8"/>
        <v>3.6326079988603581E-3</v>
      </c>
      <c r="D281" s="13">
        <f t="shared" si="9"/>
        <v>5.3785409067576798E-2</v>
      </c>
    </row>
    <row r="282" spans="1:4" x14ac:dyDescent="0.2">
      <c r="A282" s="11">
        <v>41974</v>
      </c>
      <c r="B282" s="15">
        <f>VLOOKUP(A282,Database!A:M,MATCH($A$1,Database!$A$1:$M$1,),)</f>
        <v>310800</v>
      </c>
      <c r="C282" s="12">
        <f t="shared" si="8"/>
        <v>2.6097531863828304E-3</v>
      </c>
      <c r="D282" s="13">
        <f t="shared" si="9"/>
        <v>5.4123903650090559E-2</v>
      </c>
    </row>
    <row r="283" spans="1:4" x14ac:dyDescent="0.2">
      <c r="A283" s="10">
        <v>42005</v>
      </c>
      <c r="B283" s="15">
        <f>VLOOKUP(A283,Database!A:M,MATCH($A$1,Database!$A$1:$M$1,),)</f>
        <v>311426</v>
      </c>
      <c r="C283" s="12">
        <f t="shared" si="8"/>
        <v>2.014157014157014E-3</v>
      </c>
      <c r="D283" s="13">
        <f t="shared" si="9"/>
        <v>6.2887372013651882E-2</v>
      </c>
    </row>
    <row r="284" spans="1:4" x14ac:dyDescent="0.2">
      <c r="A284" s="11">
        <v>42036</v>
      </c>
      <c r="B284" s="15">
        <f>VLOOKUP(A284,Database!A:M,MATCH($A$1,Database!$A$1:$M$1,),)</f>
        <v>310560</v>
      </c>
      <c r="C284" s="12">
        <f t="shared" si="8"/>
        <v>-2.7807569053322459E-3</v>
      </c>
      <c r="D284" s="13">
        <f t="shared" si="9"/>
        <v>4.9600519122358765E-2</v>
      </c>
    </row>
    <row r="285" spans="1:4" x14ac:dyDescent="0.2">
      <c r="A285" s="10">
        <v>42064</v>
      </c>
      <c r="B285" s="15">
        <f>VLOOKUP(A285,Database!A:M,MATCH($A$1,Database!$A$1:$M$1,),)</f>
        <v>312662</v>
      </c>
      <c r="C285" s="12">
        <f t="shared" si="8"/>
        <v>6.7684183410613085E-3</v>
      </c>
      <c r="D285" s="13">
        <f t="shared" si="9"/>
        <v>4.8501168682658226E-2</v>
      </c>
    </row>
    <row r="286" spans="1:4" x14ac:dyDescent="0.2">
      <c r="A286" s="11">
        <v>42095</v>
      </c>
      <c r="B286" s="15">
        <f>VLOOKUP(A286,Database!A:M,MATCH($A$1,Database!$A$1:$M$1,),)</f>
        <v>313559</v>
      </c>
      <c r="C286" s="12">
        <f t="shared" si="8"/>
        <v>2.8689127556274828E-3</v>
      </c>
      <c r="D286" s="13">
        <f t="shared" si="9"/>
        <v>4.2510464702616262E-2</v>
      </c>
    </row>
    <row r="287" spans="1:4" x14ac:dyDescent="0.2">
      <c r="A287" s="10">
        <v>42125</v>
      </c>
      <c r="B287" s="15">
        <f>VLOOKUP(A287,Database!A:M,MATCH($A$1,Database!$A$1:$M$1,),)</f>
        <v>314627</v>
      </c>
      <c r="C287" s="12">
        <f t="shared" si="8"/>
        <v>3.4060575521672157E-3</v>
      </c>
      <c r="D287" s="13">
        <f t="shared" si="9"/>
        <v>4.2494748212404156E-2</v>
      </c>
    </row>
    <row r="288" spans="1:4" x14ac:dyDescent="0.2">
      <c r="A288" s="11">
        <v>42156</v>
      </c>
      <c r="B288" s="15">
        <f>VLOOKUP(A288,Database!A:M,MATCH($A$1,Database!$A$1:$M$1,),)</f>
        <v>314660</v>
      </c>
      <c r="C288" s="12">
        <f t="shared" si="8"/>
        <v>1.0488610322699577E-4</v>
      </c>
      <c r="D288" s="13">
        <f t="shared" si="9"/>
        <v>3.6549009273137548E-2</v>
      </c>
    </row>
    <row r="289" spans="1:4" x14ac:dyDescent="0.2">
      <c r="A289" s="10">
        <v>42186</v>
      </c>
      <c r="B289" s="15">
        <f>VLOOKUP(A289,Database!A:M,MATCH($A$1,Database!$A$1:$M$1,),)</f>
        <v>317432</v>
      </c>
      <c r="C289" s="12">
        <f t="shared" si="8"/>
        <v>8.8095086760312715E-3</v>
      </c>
      <c r="D289" s="13">
        <f t="shared" si="9"/>
        <v>4.3902631527022319E-2</v>
      </c>
    </row>
    <row r="290" spans="1:4" x14ac:dyDescent="0.2">
      <c r="A290" s="11">
        <v>42217</v>
      </c>
      <c r="B290" s="15">
        <f>VLOOKUP(A290,Database!A:M,MATCH($A$1,Database!$A$1:$M$1,),)</f>
        <v>317922</v>
      </c>
      <c r="C290" s="12">
        <f t="shared" si="8"/>
        <v>1.5436376924821693E-3</v>
      </c>
      <c r="D290" s="13">
        <f t="shared" si="9"/>
        <v>3.7543486348713198E-2</v>
      </c>
    </row>
    <row r="291" spans="1:4" x14ac:dyDescent="0.2">
      <c r="A291" s="10">
        <v>42248</v>
      </c>
      <c r="B291" s="15">
        <f>VLOOKUP(A291,Database!A:M,MATCH($A$1,Database!$A$1:$M$1,),)</f>
        <v>318035</v>
      </c>
      <c r="C291" s="12">
        <f t="shared" si="8"/>
        <v>3.5543309365190204E-4</v>
      </c>
      <c r="D291" s="13">
        <f t="shared" si="9"/>
        <v>3.6376730363148153E-2</v>
      </c>
    </row>
    <row r="292" spans="1:4" x14ac:dyDescent="0.2">
      <c r="A292" s="11">
        <v>42278</v>
      </c>
      <c r="B292" s="15">
        <f>VLOOKUP(A292,Database!A:M,MATCH($A$1,Database!$A$1:$M$1,),)</f>
        <v>317870</v>
      </c>
      <c r="C292" s="12">
        <f t="shared" si="8"/>
        <v>-5.1881082270819245E-4</v>
      </c>
      <c r="D292" s="13">
        <f t="shared" si="9"/>
        <v>2.9141804454315582E-2</v>
      </c>
    </row>
    <row r="293" spans="1:4" x14ac:dyDescent="0.2">
      <c r="A293" s="10">
        <v>42309</v>
      </c>
      <c r="B293" s="15">
        <f>VLOOKUP(A293,Database!A:M,MATCH($A$1,Database!$A$1:$M$1,),)</f>
        <v>318918</v>
      </c>
      <c r="C293" s="12">
        <f t="shared" si="8"/>
        <v>3.2969452921005442E-3</v>
      </c>
      <c r="D293" s="13">
        <f t="shared" si="9"/>
        <v>2.8797610253200899E-2</v>
      </c>
    </row>
    <row r="294" spans="1:4" x14ac:dyDescent="0.2">
      <c r="A294" s="11">
        <v>42339</v>
      </c>
      <c r="B294" s="15">
        <f>VLOOKUP(A294,Database!A:M,MATCH($A$1,Database!$A$1:$M$1,),)</f>
        <v>321533</v>
      </c>
      <c r="C294" s="12">
        <f t="shared" si="8"/>
        <v>8.1995998971522467E-3</v>
      </c>
      <c r="D294" s="13">
        <f t="shared" si="9"/>
        <v>3.4533462033462033E-2</v>
      </c>
    </row>
    <row r="295" spans="1:4" x14ac:dyDescent="0.2">
      <c r="A295" s="10">
        <v>42370</v>
      </c>
      <c r="B295" s="15">
        <f>VLOOKUP(A295,Database!A:M,MATCH($A$1,Database!$A$1:$M$1,),)</f>
        <v>320002</v>
      </c>
      <c r="C295" s="12">
        <f t="shared" si="8"/>
        <v>-4.7615641318309474E-3</v>
      </c>
      <c r="D295" s="13">
        <f t="shared" si="9"/>
        <v>2.7537842055576606E-2</v>
      </c>
    </row>
    <row r="296" spans="1:4" x14ac:dyDescent="0.2">
      <c r="A296" s="11">
        <v>42401</v>
      </c>
      <c r="B296" s="15">
        <f>VLOOKUP(A296,Database!A:M,MATCH($A$1,Database!$A$1:$M$1,),)</f>
        <v>323925</v>
      </c>
      <c r="C296" s="12">
        <f t="shared" si="8"/>
        <v>1.2259298379385129E-2</v>
      </c>
      <c r="D296" s="13">
        <f t="shared" si="9"/>
        <v>4.303516228748068E-2</v>
      </c>
    </row>
    <row r="297" spans="1:4" x14ac:dyDescent="0.2">
      <c r="A297" s="10">
        <v>42430</v>
      </c>
      <c r="B297" s="15">
        <f>VLOOKUP(A297,Database!A:M,MATCH($A$1,Database!$A$1:$M$1,),)</f>
        <v>323162</v>
      </c>
      <c r="C297" s="12">
        <f t="shared" si="8"/>
        <v>-2.3554835224203134E-3</v>
      </c>
      <c r="D297" s="13">
        <f t="shared" si="9"/>
        <v>3.358259078493709E-2</v>
      </c>
    </row>
    <row r="298" spans="1:4" x14ac:dyDescent="0.2">
      <c r="A298" s="11">
        <v>42461</v>
      </c>
      <c r="B298" s="15">
        <f>VLOOKUP(A298,Database!A:M,MATCH($A$1,Database!$A$1:$M$1,),)</f>
        <v>323507</v>
      </c>
      <c r="C298" s="12">
        <f t="shared" si="8"/>
        <v>1.0675760145066561E-3</v>
      </c>
      <c r="D298" s="13">
        <f t="shared" si="9"/>
        <v>3.1726086637602492E-2</v>
      </c>
    </row>
    <row r="299" spans="1:4" x14ac:dyDescent="0.2">
      <c r="A299" s="10">
        <v>42491</v>
      </c>
      <c r="B299" s="15">
        <f>VLOOKUP(A299,Database!A:M,MATCH($A$1,Database!$A$1:$M$1,),)</f>
        <v>324094</v>
      </c>
      <c r="C299" s="12">
        <f t="shared" si="8"/>
        <v>1.8144893309882011E-3</v>
      </c>
      <c r="D299" s="13">
        <f t="shared" si="9"/>
        <v>3.0089598159089969E-2</v>
      </c>
    </row>
    <row r="300" spans="1:4" x14ac:dyDescent="0.2">
      <c r="A300" s="11">
        <v>42522</v>
      </c>
      <c r="B300" s="15">
        <f>VLOOKUP(A300,Database!A:M,MATCH($A$1,Database!$A$1:$M$1,),)</f>
        <v>327149</v>
      </c>
      <c r="C300" s="12">
        <f t="shared" si="8"/>
        <v>9.4262775614482215E-3</v>
      </c>
      <c r="D300" s="13">
        <f t="shared" si="9"/>
        <v>3.9690459543634399E-2</v>
      </c>
    </row>
    <row r="301" spans="1:4" x14ac:dyDescent="0.2">
      <c r="A301" s="10">
        <v>42552</v>
      </c>
      <c r="B301" s="15">
        <f>VLOOKUP(A301,Database!A:M,MATCH($A$1,Database!$A$1:$M$1,),)</f>
        <v>325258</v>
      </c>
      <c r="C301" s="12">
        <f t="shared" si="8"/>
        <v>-5.7802408077053573E-3</v>
      </c>
      <c r="D301" s="13">
        <f t="shared" si="9"/>
        <v>2.4654099145643791E-2</v>
      </c>
    </row>
    <row r="302" spans="1:4" x14ac:dyDescent="0.2">
      <c r="A302" s="11">
        <v>42583</v>
      </c>
      <c r="B302" s="15">
        <f>VLOOKUP(A302,Database!A:M,MATCH($A$1,Database!$A$1:$M$1,),)</f>
        <v>326388</v>
      </c>
      <c r="C302" s="12">
        <f t="shared" si="8"/>
        <v>3.474165124301324E-3</v>
      </c>
      <c r="D302" s="13">
        <f t="shared" si="9"/>
        <v>2.6629173193424803E-2</v>
      </c>
    </row>
    <row r="303" spans="1:4" x14ac:dyDescent="0.2">
      <c r="A303" s="10">
        <v>42614</v>
      </c>
      <c r="B303" s="15">
        <f>VLOOKUP(A303,Database!A:M,MATCH($A$1,Database!$A$1:$M$1,),)</f>
        <v>327568</v>
      </c>
      <c r="C303" s="12">
        <f t="shared" si="8"/>
        <v>3.6153289949385392E-3</v>
      </c>
      <c r="D303" s="13">
        <f t="shared" si="9"/>
        <v>2.9974688320467874E-2</v>
      </c>
    </row>
    <row r="304" spans="1:4" x14ac:dyDescent="0.2">
      <c r="A304" s="11">
        <v>42644</v>
      </c>
      <c r="B304" s="15">
        <f>VLOOKUP(A304,Database!A:M,MATCH($A$1,Database!$A$1:$M$1,),)</f>
        <v>327777</v>
      </c>
      <c r="C304" s="12">
        <f t="shared" si="8"/>
        <v>6.3803546133932494E-4</v>
      </c>
      <c r="D304" s="13">
        <f t="shared" si="9"/>
        <v>3.1166829206908483E-2</v>
      </c>
    </row>
    <row r="305" spans="1:4" x14ac:dyDescent="0.2">
      <c r="A305" s="10">
        <v>42675</v>
      </c>
      <c r="B305" s="15">
        <f>VLOOKUP(A305,Database!A:M,MATCH($A$1,Database!$A$1:$M$1,),)</f>
        <v>328051</v>
      </c>
      <c r="C305" s="12">
        <f t="shared" si="8"/>
        <v>8.3593418696247749E-4</v>
      </c>
      <c r="D305" s="13">
        <f t="shared" si="9"/>
        <v>2.8637455396057922E-2</v>
      </c>
    </row>
    <row r="306" spans="1:4" x14ac:dyDescent="0.2">
      <c r="A306" s="11">
        <v>42705</v>
      </c>
      <c r="B306" s="15">
        <f>VLOOKUP(A306,Database!A:M,MATCH($A$1,Database!$A$1:$M$1,),)</f>
        <v>329807</v>
      </c>
      <c r="C306" s="12">
        <f t="shared" si="8"/>
        <v>5.3528262373838216E-3</v>
      </c>
      <c r="D306" s="13">
        <f t="shared" si="9"/>
        <v>2.5732972976335245E-2</v>
      </c>
    </row>
    <row r="307" spans="1:4" x14ac:dyDescent="0.2">
      <c r="A307" s="10">
        <v>42736</v>
      </c>
      <c r="B307" s="15">
        <f>VLOOKUP(A307,Database!A:M,MATCH($A$1,Database!$A$1:$M$1,),)</f>
        <v>334024</v>
      </c>
      <c r="C307" s="12">
        <f t="shared" si="8"/>
        <v>1.2786265907030475E-2</v>
      </c>
      <c r="D307" s="13">
        <f t="shared" si="9"/>
        <v>4.3818476134524158E-2</v>
      </c>
    </row>
    <row r="308" spans="1:4" x14ac:dyDescent="0.2">
      <c r="A308" s="11">
        <v>42767</v>
      </c>
      <c r="B308" s="15">
        <f>VLOOKUP(A308,Database!A:M,MATCH($A$1,Database!$A$1:$M$1,),)</f>
        <v>334252</v>
      </c>
      <c r="C308" s="12">
        <f t="shared" si="8"/>
        <v>6.8258568246593054E-4</v>
      </c>
      <c r="D308" s="13">
        <f t="shared" si="9"/>
        <v>3.18808366134136E-2</v>
      </c>
    </row>
    <row r="309" spans="1:4" x14ac:dyDescent="0.2">
      <c r="A309" s="10">
        <v>42795</v>
      </c>
      <c r="B309" s="15">
        <f>VLOOKUP(A309,Database!A:M,MATCH($A$1,Database!$A$1:$M$1,),)</f>
        <v>335564</v>
      </c>
      <c r="C309" s="12">
        <f t="shared" si="8"/>
        <v>3.9251821978626908E-3</v>
      </c>
      <c r="D309" s="13">
        <f t="shared" si="9"/>
        <v>3.8377036904091444E-2</v>
      </c>
    </row>
    <row r="310" spans="1:4" x14ac:dyDescent="0.2">
      <c r="A310" s="11">
        <v>42826</v>
      </c>
      <c r="B310" s="15">
        <f>VLOOKUP(A310,Database!A:M,MATCH($A$1,Database!$A$1:$M$1,),)</f>
        <v>337124</v>
      </c>
      <c r="C310" s="12">
        <f t="shared" si="8"/>
        <v>4.6488896305920775E-3</v>
      </c>
      <c r="D310" s="13">
        <f t="shared" si="9"/>
        <v>4.2091824906416248E-2</v>
      </c>
    </row>
    <row r="311" spans="1:4" x14ac:dyDescent="0.2">
      <c r="A311" s="10">
        <v>42856</v>
      </c>
      <c r="B311" s="15">
        <f>VLOOKUP(A311,Database!A:M,MATCH($A$1,Database!$A$1:$M$1,),)</f>
        <v>335922</v>
      </c>
      <c r="C311" s="12">
        <f t="shared" si="8"/>
        <v>-3.5654536609674779E-3</v>
      </c>
      <c r="D311" s="13">
        <f t="shared" si="9"/>
        <v>3.6495584614340285E-2</v>
      </c>
    </row>
    <row r="312" spans="1:4" x14ac:dyDescent="0.2">
      <c r="A312" s="11">
        <v>42887</v>
      </c>
      <c r="B312" s="15">
        <f>VLOOKUP(A312,Database!A:M,MATCH($A$1,Database!$A$1:$M$1,),)</f>
        <v>337523</v>
      </c>
      <c r="C312" s="12">
        <f t="shared" si="8"/>
        <v>4.7659873422997009E-3</v>
      </c>
      <c r="D312" s="13">
        <f t="shared" si="9"/>
        <v>3.1710321596581374E-2</v>
      </c>
    </row>
    <row r="313" spans="1:4" x14ac:dyDescent="0.2">
      <c r="A313" s="10">
        <v>42917</v>
      </c>
      <c r="B313" s="15">
        <f>VLOOKUP(A313,Database!A:M,MATCH($A$1,Database!$A$1:$M$1,),)</f>
        <v>337497</v>
      </c>
      <c r="C313" s="12">
        <f t="shared" si="8"/>
        <v>-7.7031787463372871E-5</v>
      </c>
      <c r="D313" s="13">
        <f t="shared" si="9"/>
        <v>3.7628590226835311E-2</v>
      </c>
    </row>
    <row r="314" spans="1:4" x14ac:dyDescent="0.2">
      <c r="A314" s="11">
        <v>42948</v>
      </c>
      <c r="B314" s="15">
        <f>VLOOKUP(A314,Database!A:M,MATCH($A$1,Database!$A$1:$M$1,),)</f>
        <v>339220</v>
      </c>
      <c r="C314" s="12">
        <f t="shared" si="8"/>
        <v>5.1052305650124297E-3</v>
      </c>
      <c r="D314" s="13">
        <f t="shared" si="9"/>
        <v>3.9315170900890963E-2</v>
      </c>
    </row>
    <row r="315" spans="1:4" x14ac:dyDescent="0.2">
      <c r="A315" s="10">
        <v>42979</v>
      </c>
      <c r="B315" s="15">
        <f>VLOOKUP(A315,Database!A:M,MATCH($A$1,Database!$A$1:$M$1,),)</f>
        <v>342630</v>
      </c>
      <c r="C315" s="12">
        <f t="shared" si="8"/>
        <v>1.0052473321148517E-2</v>
      </c>
      <c r="D315" s="13">
        <f t="shared" si="9"/>
        <v>4.5981292433937379E-2</v>
      </c>
    </row>
    <row r="316" spans="1:4" x14ac:dyDescent="0.2">
      <c r="A316" s="11">
        <v>43009</v>
      </c>
      <c r="B316" s="15">
        <f>VLOOKUP(A316,Database!A:M,MATCH($A$1,Database!$A$1:$M$1,),)</f>
        <v>342475</v>
      </c>
      <c r="C316" s="12">
        <f t="shared" si="8"/>
        <v>-4.5238303709540904E-4</v>
      </c>
      <c r="D316" s="13">
        <f t="shared" si="9"/>
        <v>4.4841462335673342E-2</v>
      </c>
    </row>
    <row r="317" spans="1:4" x14ac:dyDescent="0.2">
      <c r="A317" s="10">
        <v>43040</v>
      </c>
      <c r="B317" s="15">
        <f>VLOOKUP(A317,Database!A:M,MATCH($A$1,Database!$A$1:$M$1,),)</f>
        <v>347166</v>
      </c>
      <c r="C317" s="12">
        <f t="shared" si="8"/>
        <v>1.3697350171545369E-2</v>
      </c>
      <c r="D317" s="13">
        <f t="shared" si="9"/>
        <v>5.8268379002045415E-2</v>
      </c>
    </row>
    <row r="318" spans="1:4" x14ac:dyDescent="0.2">
      <c r="A318" s="11">
        <v>43070</v>
      </c>
      <c r="B318" s="15">
        <f>VLOOKUP(A318,Database!A:M,MATCH($A$1,Database!$A$1:$M$1,),)</f>
        <v>350018</v>
      </c>
      <c r="C318" s="12">
        <f t="shared" si="8"/>
        <v>8.2150901874031446E-3</v>
      </c>
      <c r="D318" s="13">
        <f t="shared" si="9"/>
        <v>6.1281294817878335E-2</v>
      </c>
    </row>
    <row r="319" spans="1:4" x14ac:dyDescent="0.2">
      <c r="A319" s="10">
        <v>43101</v>
      </c>
      <c r="B319" s="15">
        <f>VLOOKUP(A319,Database!A:M,MATCH($A$1,Database!$A$1:$M$1,),)</f>
        <v>348057</v>
      </c>
      <c r="C319" s="12">
        <f t="shared" si="8"/>
        <v>-5.6025690107365904E-3</v>
      </c>
      <c r="D319" s="13">
        <f t="shared" si="9"/>
        <v>4.2011951237036861E-2</v>
      </c>
    </row>
    <row r="320" spans="1:4" x14ac:dyDescent="0.2">
      <c r="A320" s="11">
        <v>43132</v>
      </c>
      <c r="B320" s="15">
        <f>VLOOKUP(A320,Database!A:M,MATCH($A$1,Database!$A$1:$M$1,),)</f>
        <v>350974</v>
      </c>
      <c r="C320" s="12">
        <f t="shared" si="8"/>
        <v>8.3808111889719216E-3</v>
      </c>
      <c r="D320" s="13">
        <f t="shared" si="9"/>
        <v>5.0028122494405421E-2</v>
      </c>
    </row>
    <row r="321" spans="1:4" x14ac:dyDescent="0.2">
      <c r="A321" s="10">
        <v>43160</v>
      </c>
      <c r="B321" s="15">
        <f>VLOOKUP(A321,Database!A:M,MATCH($A$1,Database!$A$1:$M$1,),)</f>
        <v>350675</v>
      </c>
      <c r="C321" s="12">
        <f t="shared" si="8"/>
        <v>-8.5191495666345652E-4</v>
      </c>
      <c r="D321" s="13">
        <f t="shared" si="9"/>
        <v>4.5031648210177494E-2</v>
      </c>
    </row>
    <row r="322" spans="1:4" x14ac:dyDescent="0.2">
      <c r="A322" s="11">
        <v>43191</v>
      </c>
      <c r="B322" s="15">
        <f>VLOOKUP(A322,Database!A:M,MATCH($A$1,Database!$A$1:$M$1,),)</f>
        <v>351691</v>
      </c>
      <c r="C322" s="12">
        <f t="shared" si="8"/>
        <v>2.8972695515790976E-3</v>
      </c>
      <c r="D322" s="13">
        <f t="shared" si="9"/>
        <v>4.3209620199095883E-2</v>
      </c>
    </row>
    <row r="323" spans="1:4" x14ac:dyDescent="0.2">
      <c r="A323" s="10">
        <v>43221</v>
      </c>
      <c r="B323" s="15">
        <f>VLOOKUP(A323,Database!A:M,MATCH($A$1,Database!$A$1:$M$1,),)</f>
        <v>356250</v>
      </c>
      <c r="C323" s="12">
        <f t="shared" si="8"/>
        <v>1.2963084070960019E-2</v>
      </c>
      <c r="D323" s="13">
        <f t="shared" si="9"/>
        <v>6.0514047903977707E-2</v>
      </c>
    </row>
    <row r="324" spans="1:4" x14ac:dyDescent="0.2">
      <c r="A324" s="11">
        <v>43252</v>
      </c>
      <c r="B324" s="15">
        <f>VLOOKUP(A324,Database!A:M,MATCH($A$1,Database!$A$1:$M$1,),)</f>
        <v>355188</v>
      </c>
      <c r="C324" s="12">
        <f t="shared" si="8"/>
        <v>-2.9810526315789472E-3</v>
      </c>
      <c r="D324" s="13">
        <f t="shared" si="9"/>
        <v>5.2337174059249293E-2</v>
      </c>
    </row>
    <row r="325" spans="1:4" x14ac:dyDescent="0.2">
      <c r="A325" s="10">
        <v>43282</v>
      </c>
      <c r="B325" s="15">
        <f>VLOOKUP(A325,Database!A:M,MATCH($A$1,Database!$A$1:$M$1,),)</f>
        <v>357794</v>
      </c>
      <c r="C325" s="12">
        <f t="shared" si="8"/>
        <v>7.336959581967859E-3</v>
      </c>
      <c r="D325" s="13">
        <f t="shared" si="9"/>
        <v>6.0139793835204458E-2</v>
      </c>
    </row>
    <row r="326" spans="1:4" x14ac:dyDescent="0.2">
      <c r="A326" s="11">
        <v>43313</v>
      </c>
      <c r="B326" s="15">
        <f>VLOOKUP(A326,Database!A:M,MATCH($A$1,Database!$A$1:$M$1,),)</f>
        <v>357814</v>
      </c>
      <c r="C326" s="12">
        <f t="shared" si="8"/>
        <v>5.5898086608495392E-5</v>
      </c>
      <c r="D326" s="13">
        <f t="shared" si="9"/>
        <v>5.4813985024467896E-2</v>
      </c>
    </row>
    <row r="327" spans="1:4" x14ac:dyDescent="0.2">
      <c r="A327" s="10">
        <v>43344</v>
      </c>
      <c r="B327" s="15">
        <f>VLOOKUP(A327,Database!A:M,MATCH($A$1,Database!$A$1:$M$1,),)</f>
        <v>356908</v>
      </c>
      <c r="C327" s="12">
        <f t="shared" si="8"/>
        <v>-2.5320417870737309E-3</v>
      </c>
      <c r="D327" s="13">
        <f t="shared" si="9"/>
        <v>4.1671774217085483E-2</v>
      </c>
    </row>
    <row r="328" spans="1:4" x14ac:dyDescent="0.2">
      <c r="A328" s="11">
        <v>43374</v>
      </c>
      <c r="B328" s="15">
        <f>VLOOKUP(A328,Database!A:M,MATCH($A$1,Database!$A$1:$M$1,),)</f>
        <v>359990</v>
      </c>
      <c r="C328" s="12">
        <f t="shared" ref="C328:C373" si="10">(B328-B327)/B327</f>
        <v>8.6352785591805176E-3</v>
      </c>
      <c r="D328" s="13">
        <f t="shared" si="9"/>
        <v>5.1142419154682824E-2</v>
      </c>
    </row>
    <row r="329" spans="1:4" x14ac:dyDescent="0.2">
      <c r="A329" s="10">
        <v>43405</v>
      </c>
      <c r="B329" s="15">
        <f>VLOOKUP(A329,Database!A:M,MATCH($A$1,Database!$A$1:$M$1,),)</f>
        <v>362393</v>
      </c>
      <c r="C329" s="12">
        <f t="shared" si="10"/>
        <v>6.6751854218172731E-3</v>
      </c>
      <c r="D329" s="13">
        <f t="shared" si="9"/>
        <v>4.386086195076707E-2</v>
      </c>
    </row>
    <row r="330" spans="1:4" x14ac:dyDescent="0.2">
      <c r="A330" s="11">
        <v>43435</v>
      </c>
      <c r="B330" s="15">
        <f>VLOOKUP(A330,Database!A:M,MATCH($A$1,Database!$A$1:$M$1,),)</f>
        <v>355060</v>
      </c>
      <c r="C330" s="12">
        <f t="shared" si="10"/>
        <v>-2.0234938312826131E-2</v>
      </c>
      <c r="D330" s="13">
        <f t="shared" si="9"/>
        <v>1.4404973458507848E-2</v>
      </c>
    </row>
    <row r="331" spans="1:4" x14ac:dyDescent="0.2">
      <c r="A331" s="10">
        <v>43466</v>
      </c>
      <c r="B331" s="15">
        <f>VLOOKUP(A331,Database!A:M,MATCH($A$1,Database!$A$1:$M$1,),)</f>
        <v>361550</v>
      </c>
      <c r="C331" s="12">
        <f t="shared" si="10"/>
        <v>1.8278600799864812E-2</v>
      </c>
      <c r="D331" s="13">
        <f t="shared" si="9"/>
        <v>3.8766638797668201E-2</v>
      </c>
    </row>
    <row r="332" spans="1:4" x14ac:dyDescent="0.2">
      <c r="A332" s="11">
        <v>43497</v>
      </c>
      <c r="B332" s="15">
        <f>VLOOKUP(A332,Database!A:M,MATCH($A$1,Database!$A$1:$M$1,),)</f>
        <v>360089</v>
      </c>
      <c r="C332" s="12">
        <f t="shared" si="10"/>
        <v>-4.040934863780943E-3</v>
      </c>
      <c r="D332" s="13">
        <f t="shared" si="9"/>
        <v>2.5970584715676946E-2</v>
      </c>
    </row>
    <row r="333" spans="1:4" x14ac:dyDescent="0.2">
      <c r="A333" s="10">
        <v>43525</v>
      </c>
      <c r="B333" s="15">
        <f>VLOOKUP(A333,Database!A:M,MATCH($A$1,Database!$A$1:$M$1,),)</f>
        <v>362979</v>
      </c>
      <c r="C333" s="12">
        <f t="shared" si="10"/>
        <v>8.0257936232431427E-3</v>
      </c>
      <c r="D333" s="13">
        <f t="shared" si="9"/>
        <v>3.5086618664005136E-2</v>
      </c>
    </row>
    <row r="334" spans="1:4" x14ac:dyDescent="0.2">
      <c r="A334" s="11">
        <v>43556</v>
      </c>
      <c r="B334" s="15">
        <f>VLOOKUP(A334,Database!A:M,MATCH($A$1,Database!$A$1:$M$1,),)</f>
        <v>364387</v>
      </c>
      <c r="C334" s="12">
        <f t="shared" si="10"/>
        <v>3.8790122844572276E-3</v>
      </c>
      <c r="D334" s="13">
        <f t="shared" si="9"/>
        <v>3.6099871762427814E-2</v>
      </c>
    </row>
    <row r="335" spans="1:4" x14ac:dyDescent="0.2">
      <c r="A335" s="10">
        <v>43586</v>
      </c>
      <c r="B335" s="15">
        <f>VLOOKUP(A335,Database!A:M,MATCH($A$1,Database!$A$1:$M$1,),)</f>
        <v>366381</v>
      </c>
      <c r="C335" s="12">
        <f t="shared" si="10"/>
        <v>5.47220400288704E-3</v>
      </c>
      <c r="D335" s="13">
        <f t="shared" si="9"/>
        <v>2.8437894736842106E-2</v>
      </c>
    </row>
    <row r="336" spans="1:4" s="110" customFormat="1" x14ac:dyDescent="0.2">
      <c r="A336" s="11">
        <v>43617</v>
      </c>
      <c r="B336" s="15">
        <f>VLOOKUP(A336,Database!A:M,MATCH($A$1,Database!$A$1:$M$1,),)</f>
        <v>368578</v>
      </c>
      <c r="C336" s="12">
        <f t="shared" si="10"/>
        <v>5.9964899926579166E-3</v>
      </c>
      <c r="D336" s="13">
        <f t="shared" si="9"/>
        <v>3.7698345664831018E-2</v>
      </c>
    </row>
    <row r="337" spans="1:4" s="110" customFormat="1" x14ac:dyDescent="0.2">
      <c r="A337" s="10">
        <v>43647</v>
      </c>
      <c r="B337" s="15">
        <f>VLOOKUP(A337,Database!A:M,MATCH($A$1,Database!$A$1:$M$1,),)</f>
        <v>372475</v>
      </c>
      <c r="C337" s="12">
        <f t="shared" si="10"/>
        <v>1.0573067301900819E-2</v>
      </c>
      <c r="D337" s="13">
        <f t="shared" si="9"/>
        <v>4.1031990474966043E-2</v>
      </c>
    </row>
    <row r="338" spans="1:4" s="110" customFormat="1" x14ac:dyDescent="0.2">
      <c r="A338" s="11">
        <v>43678</v>
      </c>
      <c r="B338" s="15">
        <f>VLOOKUP(A338,Database!A:M,MATCH($A$1,Database!$A$1:$M$1,),)</f>
        <v>372691</v>
      </c>
      <c r="C338" s="12">
        <f t="shared" si="10"/>
        <v>5.7990469159003959E-4</v>
      </c>
      <c r="D338" s="13">
        <f t="shared" si="9"/>
        <v>4.1577467622843152E-2</v>
      </c>
    </row>
    <row r="339" spans="1:4" s="110" customFormat="1" x14ac:dyDescent="0.2">
      <c r="A339" s="10">
        <v>43709</v>
      </c>
      <c r="B339" s="15">
        <f>VLOOKUP(A339,Database!A:M,MATCH($A$1,Database!$A$1:$M$1,),)</f>
        <v>371681</v>
      </c>
      <c r="C339" s="12">
        <f t="shared" si="10"/>
        <v>-2.7100198287589453E-3</v>
      </c>
      <c r="D339" s="13">
        <f t="shared" ref="D339:D372" si="11">(B339-B327)/B327</f>
        <v>4.1391619128739059E-2</v>
      </c>
    </row>
    <row r="340" spans="1:4" s="110" customFormat="1" x14ac:dyDescent="0.2">
      <c r="A340" s="11">
        <v>43739</v>
      </c>
      <c r="B340" s="15">
        <f>VLOOKUP(A340,Database!A:M,MATCH($A$1,Database!$A$1:$M$1,),)</f>
        <v>372925</v>
      </c>
      <c r="C340" s="12">
        <f t="shared" si="10"/>
        <v>3.3469561263556654E-3</v>
      </c>
      <c r="D340" s="13">
        <f t="shared" si="11"/>
        <v>3.5931553654268172E-2</v>
      </c>
    </row>
    <row r="341" spans="1:4" s="110" customFormat="1" x14ac:dyDescent="0.2">
      <c r="A341" s="10">
        <v>43770</v>
      </c>
      <c r="B341" s="15">
        <f>VLOOKUP(A341,Database!A:M,MATCH($A$1,Database!$A$1:$M$1,),)</f>
        <v>372809</v>
      </c>
      <c r="C341" s="12">
        <f t="shared" si="10"/>
        <v>-3.1105450157538377E-4</v>
      </c>
      <c r="D341" s="13">
        <f t="shared" si="11"/>
        <v>2.874227703073735E-2</v>
      </c>
    </row>
    <row r="342" spans="1:4" s="110" customFormat="1" x14ac:dyDescent="0.2">
      <c r="A342" s="11">
        <v>43800</v>
      </c>
      <c r="B342" s="15">
        <f>VLOOKUP(A342,Database!A:M,MATCH($A$1,Database!$A$1:$M$1,),)</f>
        <v>377694</v>
      </c>
      <c r="C342" s="12">
        <f t="shared" si="10"/>
        <v>1.3103224439324159E-2</v>
      </c>
      <c r="D342" s="13">
        <f t="shared" si="11"/>
        <v>6.3746972342702643E-2</v>
      </c>
    </row>
    <row r="343" spans="1:4" s="110" customFormat="1" x14ac:dyDescent="0.2">
      <c r="A343" s="10">
        <v>43831</v>
      </c>
      <c r="B343" s="15">
        <f>VLOOKUP(A343,Database!A:M,MATCH($A$1,Database!$A$1:$M$1,),)</f>
        <v>377782</v>
      </c>
      <c r="C343" s="12">
        <f t="shared" si="10"/>
        <v>2.3299284606056756E-4</v>
      </c>
      <c r="D343" s="13">
        <f t="shared" si="11"/>
        <v>4.4895588438666853E-2</v>
      </c>
    </row>
    <row r="344" spans="1:4" s="110" customFormat="1" x14ac:dyDescent="0.2">
      <c r="A344" s="11">
        <v>43862</v>
      </c>
      <c r="B344" s="15">
        <f>VLOOKUP(A344,Database!A:M,MATCH($A$1,Database!$A$1:$M$1,),)</f>
        <v>380669</v>
      </c>
      <c r="C344" s="12">
        <f t="shared" si="10"/>
        <v>7.6419734132383227E-3</v>
      </c>
      <c r="D344" s="13">
        <f t="shared" si="11"/>
        <v>5.7152537289392347E-2</v>
      </c>
    </row>
    <row r="345" spans="1:4" s="110" customFormat="1" x14ac:dyDescent="0.2">
      <c r="A345" s="10">
        <v>43891</v>
      </c>
      <c r="B345" s="15">
        <f>VLOOKUP(A345,Database!A:M,MATCH($A$1,Database!$A$1:$M$1,),)</f>
        <v>369456</v>
      </c>
      <c r="C345" s="12">
        <f t="shared" si="10"/>
        <v>-2.9456036609232693E-2</v>
      </c>
      <c r="D345" s="13">
        <f t="shared" si="11"/>
        <v>1.784400750456638E-2</v>
      </c>
    </row>
    <row r="346" spans="1:4" s="110" customFormat="1" x14ac:dyDescent="0.2">
      <c r="A346" s="11">
        <v>43922</v>
      </c>
      <c r="B346" s="15">
        <f>VLOOKUP(A346,Database!A:M,MATCH($A$1,Database!$A$1:$M$1,),)</f>
        <v>314716</v>
      </c>
      <c r="C346" s="12">
        <f t="shared" si="10"/>
        <v>-0.14816378675674505</v>
      </c>
      <c r="D346" s="13">
        <f t="shared" si="11"/>
        <v>-0.13631386410601914</v>
      </c>
    </row>
    <row r="347" spans="1:4" s="110" customFormat="1" x14ac:dyDescent="0.2">
      <c r="A347" s="10">
        <v>43952</v>
      </c>
      <c r="B347" s="15">
        <f>VLOOKUP(A347,Database!A:M,MATCH($A$1,Database!$A$1:$M$1,),)</f>
        <v>355568</v>
      </c>
      <c r="C347" s="12">
        <f t="shared" si="10"/>
        <v>0.1298059202582646</v>
      </c>
      <c r="D347" s="13">
        <f t="shared" si="11"/>
        <v>-2.9512993304783817E-2</v>
      </c>
    </row>
    <row r="348" spans="1:4" s="110" customFormat="1" x14ac:dyDescent="0.2">
      <c r="A348" s="11">
        <v>43983</v>
      </c>
      <c r="B348" s="15">
        <f>VLOOKUP(A348,Database!A:M,MATCH($A$1,Database!$A$1:$M$1,),)</f>
        <v>384455</v>
      </c>
      <c r="C348" s="12">
        <f t="shared" si="10"/>
        <v>8.1241844035458755E-2</v>
      </c>
      <c r="D348" s="13">
        <f t="shared" si="11"/>
        <v>4.3076363754754758E-2</v>
      </c>
    </row>
    <row r="349" spans="1:4" s="110" customFormat="1" x14ac:dyDescent="0.2">
      <c r="A349" s="10">
        <v>44013</v>
      </c>
      <c r="B349" s="15">
        <f>VLOOKUP(A349,Database!A:M,MATCH($A$1,Database!$A$1:$M$1,),)</f>
        <v>394807</v>
      </c>
      <c r="C349" s="12">
        <f t="shared" si="10"/>
        <v>2.6926428320609694E-2</v>
      </c>
      <c r="D349" s="13">
        <f t="shared" si="11"/>
        <v>5.9955701724947984E-2</v>
      </c>
    </row>
    <row r="350" spans="1:4" s="110" customFormat="1" x14ac:dyDescent="0.2">
      <c r="A350" s="11">
        <v>44044</v>
      </c>
      <c r="B350" s="15">
        <f>VLOOKUP(A350,Database!A:M,MATCH($A$1,Database!$A$1:$M$1,),)</f>
        <v>396649</v>
      </c>
      <c r="C350" s="12">
        <f t="shared" si="10"/>
        <v>4.6655707725546912E-3</v>
      </c>
      <c r="D350" s="13">
        <f t="shared" si="11"/>
        <v>6.4283816888521597E-2</v>
      </c>
    </row>
    <row r="351" spans="1:4" s="110" customFormat="1" x14ac:dyDescent="0.2">
      <c r="A351" s="10">
        <v>44075</v>
      </c>
      <c r="B351" s="15">
        <f>VLOOKUP(A351,Database!A:M,MATCH($A$1,Database!$A$1:$M$1,),)</f>
        <v>404129</v>
      </c>
      <c r="C351" s="12">
        <f t="shared" si="10"/>
        <v>1.8857982750492251E-2</v>
      </c>
      <c r="D351" s="13">
        <f t="shared" si="11"/>
        <v>8.7300669122177349E-2</v>
      </c>
    </row>
    <row r="352" spans="1:4" s="110" customFormat="1" x14ac:dyDescent="0.2">
      <c r="A352" s="11">
        <v>44105</v>
      </c>
      <c r="B352" s="15">
        <f>VLOOKUP(A352,Database!A:M,MATCH($A$1,Database!$A$1:$M$1,),)</f>
        <v>402661</v>
      </c>
      <c r="C352" s="12">
        <f t="shared" si="10"/>
        <v>-3.6325034827988092E-3</v>
      </c>
      <c r="D352" s="13">
        <f t="shared" si="11"/>
        <v>7.9737212576255281E-2</v>
      </c>
    </row>
    <row r="353" spans="1:4" s="110" customFormat="1" x14ac:dyDescent="0.2">
      <c r="A353" s="10">
        <v>44136</v>
      </c>
      <c r="B353" s="15">
        <f>VLOOKUP(A353,Database!A:M,MATCH($A$1,Database!$A$1:$M$1,),)</f>
        <v>398714</v>
      </c>
      <c r="C353" s="12">
        <f t="shared" si="10"/>
        <v>-9.802290264018616E-3</v>
      </c>
      <c r="D353" s="13">
        <f t="shared" si="11"/>
        <v>6.9485983439241006E-2</v>
      </c>
    </row>
    <row r="354" spans="1:4" s="110" customFormat="1" x14ac:dyDescent="0.2">
      <c r="A354" s="11">
        <v>44166</v>
      </c>
      <c r="B354" s="15">
        <f>VLOOKUP(A354,Database!A:M,MATCH($A$1,Database!$A$1:$M$1,),)</f>
        <v>392563</v>
      </c>
      <c r="C354" s="12">
        <f t="shared" si="10"/>
        <v>-1.5427098120457269E-2</v>
      </c>
      <c r="D354" s="13">
        <f t="shared" si="11"/>
        <v>3.9367848046302036E-2</v>
      </c>
    </row>
    <row r="355" spans="1:4" s="110" customFormat="1" x14ac:dyDescent="0.2">
      <c r="A355" s="10">
        <v>44197</v>
      </c>
      <c r="B355" s="15">
        <f>VLOOKUP(A355,Database!A:M,MATCH($A$1,Database!$A$1:$M$1,),)</f>
        <v>416686</v>
      </c>
      <c r="C355" s="12">
        <f t="shared" si="10"/>
        <v>6.1450009297870659E-2</v>
      </c>
      <c r="D355" s="13">
        <f t="shared" si="11"/>
        <v>0.10298002551736186</v>
      </c>
    </row>
    <row r="356" spans="1:4" s="110" customFormat="1" x14ac:dyDescent="0.2">
      <c r="A356" s="11">
        <v>44228</v>
      </c>
      <c r="B356" s="15">
        <f>VLOOKUP(A356,Database!A:M,MATCH($A$1,Database!$A$1:$M$1,),)</f>
        <v>408169</v>
      </c>
      <c r="C356" s="12">
        <f t="shared" si="10"/>
        <v>-2.0439851590886182E-2</v>
      </c>
      <c r="D356" s="13">
        <f t="shared" si="11"/>
        <v>7.2241238451252923E-2</v>
      </c>
    </row>
    <row r="357" spans="1:4" s="110" customFormat="1" x14ac:dyDescent="0.2">
      <c r="A357" s="10">
        <v>44256</v>
      </c>
      <c r="B357" s="15">
        <f>VLOOKUP(A357,Database!A:M,MATCH($A$1,Database!$A$1:$M$1,),)</f>
        <v>448480</v>
      </c>
      <c r="C357" s="12">
        <f t="shared" si="10"/>
        <v>9.8760562414098085E-2</v>
      </c>
      <c r="D357" s="13">
        <f t="shared" si="11"/>
        <v>0.21389285868953273</v>
      </c>
    </row>
    <row r="358" spans="1:4" s="110" customFormat="1" x14ac:dyDescent="0.2">
      <c r="A358" s="11">
        <v>44287</v>
      </c>
      <c r="B358" s="15">
        <f>VLOOKUP(A358,Database!A:M,MATCH($A$1,Database!$A$1:$M$1,),)</f>
        <v>446407</v>
      </c>
      <c r="C358" s="12">
        <f t="shared" si="10"/>
        <v>-4.6222797003210849E-3</v>
      </c>
      <c r="D358" s="13">
        <f t="shared" si="11"/>
        <v>0.41844393040074224</v>
      </c>
    </row>
    <row r="359" spans="1:4" s="110" customFormat="1" x14ac:dyDescent="0.2">
      <c r="A359" s="10">
        <v>44317</v>
      </c>
      <c r="B359" s="15">
        <f>VLOOKUP(A359,Database!A:M,MATCH($A$1,Database!$A$1:$M$1,),)</f>
        <v>445569</v>
      </c>
      <c r="C359" s="12">
        <f t="shared" si="10"/>
        <v>-1.8772107068213536E-3</v>
      </c>
      <c r="D359" s="13">
        <f t="shared" si="11"/>
        <v>0.2531189533366332</v>
      </c>
    </row>
    <row r="360" spans="1:4" s="110" customFormat="1" x14ac:dyDescent="0.2">
      <c r="A360" s="11">
        <v>44348</v>
      </c>
      <c r="B360" s="15">
        <f>VLOOKUP(A360,Database!A:M,MATCH($A$1,Database!$A$1:$M$1,),)</f>
        <v>455114</v>
      </c>
      <c r="C360" s="12">
        <f t="shared" si="10"/>
        <v>2.1422046865917511E-2</v>
      </c>
      <c r="D360" s="13">
        <f t="shared" si="11"/>
        <v>0.18379004044686634</v>
      </c>
    </row>
    <row r="361" spans="1:4" s="110" customFormat="1" x14ac:dyDescent="0.2">
      <c r="A361" s="10">
        <v>44378</v>
      </c>
      <c r="B361" s="15">
        <f>VLOOKUP(A361,Database!A:M,MATCH($A$1,Database!$A$1:$M$1,),)</f>
        <v>448625</v>
      </c>
      <c r="C361" s="12">
        <f t="shared" si="10"/>
        <v>-1.4257966135957145E-2</v>
      </c>
      <c r="D361" s="13">
        <f t="shared" si="11"/>
        <v>0.1363147056663129</v>
      </c>
    </row>
    <row r="362" spans="1:4" s="110" customFormat="1" x14ac:dyDescent="0.2">
      <c r="A362" s="11">
        <v>44409</v>
      </c>
      <c r="B362" s="15">
        <f>VLOOKUP(A362,Database!A:M,MATCH($A$1,Database!$A$1:$M$1,),)</f>
        <v>456024</v>
      </c>
      <c r="C362" s="12">
        <f t="shared" si="10"/>
        <v>1.6492616327667874E-2</v>
      </c>
      <c r="D362" s="13">
        <f t="shared" si="11"/>
        <v>0.14969154088375364</v>
      </c>
    </row>
    <row r="363" spans="1:4" s="110" customFormat="1" x14ac:dyDescent="0.2">
      <c r="A363" s="11">
        <v>44440</v>
      </c>
      <c r="B363" s="15">
        <f>VLOOKUP(A363,Database!A:M,MATCH($A$1,Database!$A$1:$M$1,),)</f>
        <v>458927</v>
      </c>
      <c r="C363" s="12">
        <f t="shared" si="10"/>
        <v>6.3658930231742187E-3</v>
      </c>
      <c r="D363" s="13">
        <f t="shared" si="11"/>
        <v>0.13559531733679098</v>
      </c>
    </row>
    <row r="364" spans="1:4" s="110" customFormat="1" x14ac:dyDescent="0.2">
      <c r="A364" s="10">
        <v>44470</v>
      </c>
      <c r="B364" s="15">
        <f>VLOOKUP(A364,Database!A:M,MATCH($A$1,Database!$A$1:$M$1,),)</f>
        <v>464253</v>
      </c>
      <c r="C364" s="12">
        <f t="shared" si="10"/>
        <v>1.1605331566894082E-2</v>
      </c>
      <c r="D364" s="13">
        <f t="shared" si="11"/>
        <v>0.15296241751746506</v>
      </c>
    </row>
    <row r="365" spans="1:4" s="110" customFormat="1" x14ac:dyDescent="0.2">
      <c r="A365" s="11">
        <v>44501</v>
      </c>
      <c r="B365" s="15">
        <f>VLOOKUP(A365,Database!A:M,MATCH($A$1,Database!$A$1:$M$1,),)</f>
        <v>465861</v>
      </c>
      <c r="C365" s="12">
        <f t="shared" si="10"/>
        <v>3.4636286679892215E-3</v>
      </c>
      <c r="D365" s="13">
        <f t="shared" si="11"/>
        <v>0.16840893472514132</v>
      </c>
    </row>
    <row r="366" spans="1:4" s="110" customFormat="1" x14ac:dyDescent="0.2">
      <c r="A366" s="11">
        <v>44531</v>
      </c>
      <c r="B366" s="15">
        <f>VLOOKUP(A366,Database!A:M,MATCH($A$1,Database!$A$1:$M$1,),)</f>
        <v>457676</v>
      </c>
      <c r="C366" s="12">
        <f t="shared" si="10"/>
        <v>-1.756961840549005E-2</v>
      </c>
      <c r="D366" s="13">
        <f t="shared" si="11"/>
        <v>0.1658663704933985</v>
      </c>
    </row>
    <row r="367" spans="1:4" s="110" customFormat="1" x14ac:dyDescent="0.2">
      <c r="A367" s="11">
        <v>44562</v>
      </c>
      <c r="B367" s="15">
        <f>VLOOKUP(A367,Database!A:M,MATCH($A$1,Database!$A$1:$M$1,),)</f>
        <v>466972</v>
      </c>
      <c r="C367" s="12">
        <f t="shared" si="10"/>
        <v>2.0311311932458768E-2</v>
      </c>
      <c r="D367" s="13">
        <f t="shared" si="11"/>
        <v>0.12068080041086093</v>
      </c>
    </row>
    <row r="368" spans="1:4" s="110" customFormat="1" x14ac:dyDescent="0.2">
      <c r="A368" s="11">
        <v>44593</v>
      </c>
      <c r="B368" s="15">
        <f>VLOOKUP(A368,Database!A:M,MATCH($A$1,Database!$A$1:$M$1,),)</f>
        <v>472501</v>
      </c>
      <c r="C368" s="12">
        <f t="shared" si="10"/>
        <v>1.1840110327814088E-2</v>
      </c>
      <c r="D368" s="13">
        <f t="shared" si="11"/>
        <v>0.15761118556284284</v>
      </c>
    </row>
    <row r="369" spans="1:4" s="110" customFormat="1" x14ac:dyDescent="0.2">
      <c r="A369" s="11">
        <v>44621</v>
      </c>
      <c r="B369" s="15">
        <f>VLOOKUP(A369,Database!A:M,MATCH($A$1,Database!$A$1:$M$1,),)</f>
        <v>476780</v>
      </c>
      <c r="C369" s="12">
        <f t="shared" si="10"/>
        <v>9.0560654898084875E-3</v>
      </c>
      <c r="D369" s="13">
        <f t="shared" si="11"/>
        <v>6.3102033535497676E-2</v>
      </c>
    </row>
    <row r="370" spans="1:4" s="110" customFormat="1" x14ac:dyDescent="0.2">
      <c r="A370" s="10">
        <v>44652</v>
      </c>
      <c r="B370" s="15">
        <f>VLOOKUP(A370,Database!A:M,MATCH($A$1,Database!$A$1:$M$1,),)</f>
        <v>480089</v>
      </c>
      <c r="C370" s="12">
        <f t="shared" si="10"/>
        <v>6.9403078988212593E-3</v>
      </c>
      <c r="D370" s="13">
        <f t="shared" si="11"/>
        <v>7.5451325808063047E-2</v>
      </c>
    </row>
    <row r="371" spans="1:4" s="110" customFormat="1" x14ac:dyDescent="0.2">
      <c r="A371" s="11">
        <v>44682</v>
      </c>
      <c r="B371" s="15">
        <f>VLOOKUP(A371,Database!A:M,MATCH($A$1,Database!$A$1:$M$1,),)</f>
        <v>483737</v>
      </c>
      <c r="C371" s="12">
        <f t="shared" si="10"/>
        <v>7.5985910945678822E-3</v>
      </c>
      <c r="D371" s="13">
        <f t="shared" si="11"/>
        <v>8.5661255607997866E-2</v>
      </c>
    </row>
    <row r="372" spans="1:4" s="110" customFormat="1" x14ac:dyDescent="0.2">
      <c r="A372" s="11">
        <v>44713</v>
      </c>
      <c r="B372" s="15">
        <f>VLOOKUP(A372,Database!A:M,MATCH($A$1,Database!$A$1:$M$1,),)</f>
        <v>486905</v>
      </c>
      <c r="C372" s="12">
        <f t="shared" si="10"/>
        <v>6.5490132034555964E-3</v>
      </c>
      <c r="D372" s="13">
        <f t="shared" si="11"/>
        <v>6.9852828082634238E-2</v>
      </c>
    </row>
    <row r="373" spans="1:4" s="110" customFormat="1" x14ac:dyDescent="0.2">
      <c r="A373" s="11">
        <v>44743</v>
      </c>
      <c r="B373" s="15">
        <f>VLOOKUP(A373,Database!A:M,MATCH($A$1,Database!$A$1:$M$1,),)</f>
        <v>490427</v>
      </c>
      <c r="C373" s="12">
        <f t="shared" si="10"/>
        <v>7.2334438956264567E-3</v>
      </c>
      <c r="D373" s="13">
        <f t="shared" ref="D373" si="12">(B373-B361)/B361</f>
        <v>9.3178044023404849E-2</v>
      </c>
    </row>
    <row r="374" spans="1:4" s="110" customFormat="1" x14ac:dyDescent="0.2"/>
    <row r="375" spans="1:4" s="110" customFormat="1" x14ac:dyDescent="0.2"/>
    <row r="376" spans="1:4" s="110" customFormat="1" x14ac:dyDescent="0.2"/>
    <row r="377" spans="1:4" s="110" customFormat="1" x14ac:dyDescent="0.2"/>
    <row r="378" spans="1:4" s="110" customFormat="1" x14ac:dyDescent="0.2"/>
    <row r="379" spans="1:4" s="110" customFormat="1" x14ac:dyDescent="0.2"/>
    <row r="380" spans="1:4" s="110" customFormat="1" x14ac:dyDescent="0.2"/>
    <row r="381" spans="1:4" s="110" customFormat="1" x14ac:dyDescent="0.2"/>
    <row r="382" spans="1:4" s="110" customFormat="1" x14ac:dyDescent="0.2"/>
    <row r="383" spans="1:4" s="110" customFormat="1" x14ac:dyDescent="0.2"/>
    <row r="384" spans="1: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row r="664" spans="1:4" x14ac:dyDescent="0.2">
      <c r="A664" s="110"/>
      <c r="B664" s="110"/>
      <c r="C664" s="110"/>
      <c r="D664" s="110"/>
    </row>
    <row r="665" spans="1:4" x14ac:dyDescent="0.2">
      <c r="A665" s="110"/>
      <c r="B665" s="110"/>
      <c r="C665" s="110"/>
      <c r="D665" s="110"/>
    </row>
    <row r="666" spans="1:4" x14ac:dyDescent="0.2">
      <c r="A666" s="110"/>
      <c r="B666" s="110"/>
      <c r="C666" s="110"/>
      <c r="D666" s="110"/>
    </row>
    <row r="667" spans="1:4" x14ac:dyDescent="0.2">
      <c r="A667" s="110"/>
      <c r="B667" s="110"/>
      <c r="C667" s="110"/>
      <c r="D667" s="110"/>
    </row>
    <row r="668" spans="1:4" x14ac:dyDescent="0.2">
      <c r="A668" s="110"/>
      <c r="B668" s="110"/>
      <c r="C668" s="110"/>
      <c r="D668" s="110"/>
    </row>
    <row r="669" spans="1:4" x14ac:dyDescent="0.2">
      <c r="A669" s="110"/>
      <c r="B669" s="110"/>
      <c r="C669" s="110"/>
      <c r="D669" s="110"/>
    </row>
    <row r="670" spans="1:4" x14ac:dyDescent="0.2">
      <c r="A670" s="110"/>
      <c r="B670" s="110"/>
      <c r="C670" s="110"/>
      <c r="D670" s="110"/>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5"/>
  <sheetViews>
    <sheetView zoomScale="160" zoomScaleNormal="160" workbookViewId="0">
      <pane ySplit="6" topLeftCell="A356" activePane="bottomLeft" state="frozen"/>
      <selection pane="bottomLeft" activeCell="R333" sqref="R333"/>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346043</v>
      </c>
      <c r="C223" s="12">
        <f t="shared" si="6"/>
        <v>-8.3797591252687297E-5</v>
      </c>
      <c r="D223" s="13">
        <f t="shared" si="7"/>
        <v>2.7050209391296088E-2</v>
      </c>
    </row>
    <row r="224" spans="1:4" x14ac:dyDescent="0.2">
      <c r="A224" s="11">
        <v>40210</v>
      </c>
      <c r="B224" s="15">
        <f>VLOOKUP(A224,Database!A:K,MATCH('Retail Sales'!$A$1,Database!$A$1:$K$1,),)</f>
        <v>346835</v>
      </c>
      <c r="C224" s="12">
        <f t="shared" si="6"/>
        <v>2.2887329031363152E-3</v>
      </c>
      <c r="D224" s="13">
        <f t="shared" si="7"/>
        <v>3.3551267075118602E-2</v>
      </c>
    </row>
    <row r="225" spans="1:4" x14ac:dyDescent="0.2">
      <c r="A225" s="10">
        <v>40238</v>
      </c>
      <c r="B225" s="15">
        <f>VLOOKUP(A225,Database!A:K,MATCH('Retail Sales'!$A$1,Database!$A$1:$K$1,),)</f>
        <v>354360</v>
      </c>
      <c r="C225" s="12">
        <f t="shared" si="6"/>
        <v>2.1696195597330142E-2</v>
      </c>
      <c r="D225" s="13">
        <f t="shared" si="7"/>
        <v>7.4642074074972628E-2</v>
      </c>
    </row>
    <row r="226" spans="1:4" x14ac:dyDescent="0.2">
      <c r="A226" s="11">
        <v>40269</v>
      </c>
      <c r="B226" s="15">
        <f>VLOOKUP(A226,Database!A:K,MATCH('Retail Sales'!$A$1,Database!$A$1:$K$1,),)</f>
        <v>357461</v>
      </c>
      <c r="C226" s="12">
        <f t="shared" si="6"/>
        <v>8.7509876961282314E-3</v>
      </c>
      <c r="D226" s="13">
        <f t="shared" si="7"/>
        <v>7.8795359617566813E-2</v>
      </c>
    </row>
    <row r="227" spans="1:4" x14ac:dyDescent="0.2">
      <c r="A227" s="10">
        <v>40299</v>
      </c>
      <c r="B227" s="15">
        <f>VLOOKUP(A227,Database!A:K,MATCH('Retail Sales'!$A$1,Database!$A$1:$K$1,),)</f>
        <v>354255</v>
      </c>
      <c r="C227" s="12">
        <f t="shared" si="6"/>
        <v>-8.9688105835321903E-3</v>
      </c>
      <c r="D227" s="13">
        <f t="shared" si="7"/>
        <v>5.983138672155474E-2</v>
      </c>
    </row>
    <row r="228" spans="1:4" x14ac:dyDescent="0.2">
      <c r="A228" s="11">
        <v>40330</v>
      </c>
      <c r="B228" s="15">
        <f>VLOOKUP(A228,Database!A:K,MATCH('Retail Sales'!$A$1,Database!$A$1:$K$1,),)</f>
        <v>353766</v>
      </c>
      <c r="C228" s="12">
        <f t="shared" si="6"/>
        <v>-1.380361603929373E-3</v>
      </c>
      <c r="D228" s="13">
        <f t="shared" si="7"/>
        <v>4.0846408911301833E-2</v>
      </c>
    </row>
    <row r="229" spans="1:4" x14ac:dyDescent="0.2">
      <c r="A229" s="10">
        <v>40360</v>
      </c>
      <c r="B229" s="15">
        <f>VLOOKUP(A229,Database!A:K,MATCH('Retail Sales'!$A$1,Database!$A$1:$K$1,),)</f>
        <v>354844</v>
      </c>
      <c r="C229" s="12">
        <f t="shared" si="6"/>
        <v>3.0472119988919229E-3</v>
      </c>
      <c r="D229" s="13">
        <f t="shared" si="7"/>
        <v>4.2074257672891517E-2</v>
      </c>
    </row>
    <row r="230" spans="1:4" x14ac:dyDescent="0.2">
      <c r="A230" s="11">
        <v>40391</v>
      </c>
      <c r="B230" s="15">
        <f>VLOOKUP(A230,Database!A:K,MATCH('Retail Sales'!$A$1,Database!$A$1:$K$1,),)</f>
        <v>356610</v>
      </c>
      <c r="C230" s="12">
        <f t="shared" si="6"/>
        <v>4.9768348908252637E-3</v>
      </c>
      <c r="D230" s="13">
        <f t="shared" si="7"/>
        <v>2.8678735851015956E-2</v>
      </c>
    </row>
    <row r="231" spans="1:4" x14ac:dyDescent="0.2">
      <c r="A231" s="10">
        <v>40422</v>
      </c>
      <c r="B231" s="15">
        <f>VLOOKUP(A231,Database!A:K,MATCH('Retail Sales'!$A$1,Database!$A$1:$K$1,),)</f>
        <v>359646</v>
      </c>
      <c r="C231" s="12">
        <f t="shared" si="6"/>
        <v>8.5135021452006389E-3</v>
      </c>
      <c r="D231" s="13">
        <f t="shared" si="7"/>
        <v>6.2447748495599795E-2</v>
      </c>
    </row>
    <row r="232" spans="1:4" x14ac:dyDescent="0.2">
      <c r="A232" s="11">
        <v>40452</v>
      </c>
      <c r="B232" s="15">
        <f>VLOOKUP(A232,Database!A:K,MATCH('Retail Sales'!$A$1,Database!$A$1:$K$1,),)</f>
        <v>363577</v>
      </c>
      <c r="C232" s="12">
        <f t="shared" si="6"/>
        <v>1.0930192467037031E-2</v>
      </c>
      <c r="D232" s="13">
        <f t="shared" si="7"/>
        <v>6.4167256932452135E-2</v>
      </c>
    </row>
    <row r="233" spans="1:4" x14ac:dyDescent="0.2">
      <c r="A233" s="10">
        <v>40483</v>
      </c>
      <c r="B233" s="15">
        <f>VLOOKUP(A233,Database!A:K,MATCH('Retail Sales'!$A$1,Database!$A$1:$K$1,),)</f>
        <v>367198</v>
      </c>
      <c r="C233" s="12">
        <f t="shared" si="6"/>
        <v>9.9593758681104684E-3</v>
      </c>
      <c r="D233" s="13">
        <f t="shared" si="7"/>
        <v>6.6273684210526318E-2</v>
      </c>
    </row>
    <row r="234" spans="1:4" x14ac:dyDescent="0.2">
      <c r="A234" s="11">
        <v>40513</v>
      </c>
      <c r="B234" s="15">
        <f>VLOOKUP(A234,Database!A:K,MATCH('Retail Sales'!$A$1,Database!$A$1:$K$1,),)</f>
        <v>369229</v>
      </c>
      <c r="C234" s="12">
        <f t="shared" si="6"/>
        <v>5.5310758773195936E-3</v>
      </c>
      <c r="D234" s="13">
        <f t="shared" si="7"/>
        <v>6.6913821401326887E-2</v>
      </c>
    </row>
    <row r="235" spans="1:4" x14ac:dyDescent="0.2">
      <c r="A235" s="10">
        <v>40544</v>
      </c>
      <c r="B235" s="15">
        <f>VLOOKUP(A235,Database!A:K,MATCH('Retail Sales'!$A$1,Database!$A$1:$K$1,),)</f>
        <v>372025</v>
      </c>
      <c r="C235" s="12">
        <f t="shared" si="6"/>
        <v>7.5725362850696991E-3</v>
      </c>
      <c r="D235" s="13">
        <f t="shared" si="7"/>
        <v>7.5083154405666347E-2</v>
      </c>
    </row>
    <row r="236" spans="1:4" x14ac:dyDescent="0.2">
      <c r="A236" s="11">
        <v>40575</v>
      </c>
      <c r="B236" s="15">
        <f>VLOOKUP(A236,Database!A:K,MATCH('Retail Sales'!$A$1,Database!$A$1:$K$1,),)</f>
        <v>375064</v>
      </c>
      <c r="C236" s="12">
        <f t="shared" si="6"/>
        <v>8.1688058598212484E-3</v>
      </c>
      <c r="D236" s="13">
        <f t="shared" si="7"/>
        <v>8.1390286447446197E-2</v>
      </c>
    </row>
    <row r="237" spans="1:4" x14ac:dyDescent="0.2">
      <c r="A237" s="10">
        <v>40603</v>
      </c>
      <c r="B237" s="15">
        <f>VLOOKUP(A237,Database!A:K,MATCH('Retail Sales'!$A$1,Database!$A$1:$K$1,),)</f>
        <v>378576</v>
      </c>
      <c r="C237" s="12">
        <f t="shared" si="6"/>
        <v>9.3637352558496676E-3</v>
      </c>
      <c r="D237" s="13">
        <f t="shared" si="7"/>
        <v>6.8337284117846259E-2</v>
      </c>
    </row>
    <row r="238" spans="1:4" x14ac:dyDescent="0.2">
      <c r="A238" s="11">
        <v>40634</v>
      </c>
      <c r="B238" s="15">
        <f>VLOOKUP(A238,Database!A:K,MATCH('Retail Sales'!$A$1,Database!$A$1:$K$1,),)</f>
        <v>380337</v>
      </c>
      <c r="C238" s="12">
        <f t="shared" si="6"/>
        <v>4.6516419424369217E-3</v>
      </c>
      <c r="D238" s="13">
        <f t="shared" si="7"/>
        <v>6.399579254799824E-2</v>
      </c>
    </row>
    <row r="239" spans="1:4" x14ac:dyDescent="0.2">
      <c r="A239" s="10">
        <v>40664</v>
      </c>
      <c r="B239" s="15">
        <f>VLOOKUP(A239,Database!A:K,MATCH('Retail Sales'!$A$1,Database!$A$1:$K$1,),)</f>
        <v>380219</v>
      </c>
      <c r="C239" s="12">
        <f t="shared" si="6"/>
        <v>-3.1025117198694844E-4</v>
      </c>
      <c r="D239" s="13">
        <f t="shared" si="7"/>
        <v>7.3291837800454479E-2</v>
      </c>
    </row>
    <row r="240" spans="1:4" x14ac:dyDescent="0.2">
      <c r="A240" s="11">
        <v>40695</v>
      </c>
      <c r="B240" s="15">
        <f>VLOOKUP(A240,Database!A:K,MATCH('Retail Sales'!$A$1,Database!$A$1:$K$1,),)</f>
        <v>383327</v>
      </c>
      <c r="C240" s="12">
        <f t="shared" si="6"/>
        <v>8.1742364269013386E-3</v>
      </c>
      <c r="D240" s="13">
        <f t="shared" si="7"/>
        <v>8.3560884878705138E-2</v>
      </c>
    </row>
    <row r="241" spans="1:4" x14ac:dyDescent="0.2">
      <c r="A241" s="10">
        <v>40725</v>
      </c>
      <c r="B241" s="15">
        <f>VLOOKUP(A241,Database!A:K,MATCH('Retail Sales'!$A$1,Database!$A$1:$K$1,),)</f>
        <v>382954</v>
      </c>
      <c r="C241" s="12">
        <f t="shared" si="6"/>
        <v>-9.7305955489699399E-4</v>
      </c>
      <c r="D241" s="13">
        <f t="shared" si="7"/>
        <v>7.9217909842071443E-2</v>
      </c>
    </row>
    <row r="242" spans="1:4" x14ac:dyDescent="0.2">
      <c r="A242" s="11">
        <v>40756</v>
      </c>
      <c r="B242" s="15">
        <f>VLOOKUP(A242,Database!A:K,MATCH('Retail Sales'!$A$1,Database!$A$1:$K$1,),)</f>
        <v>383839</v>
      </c>
      <c r="C242" s="12">
        <f t="shared" si="6"/>
        <v>2.3109825200937971E-3</v>
      </c>
      <c r="D242" s="13">
        <f t="shared" si="7"/>
        <v>7.6355121841787943E-2</v>
      </c>
    </row>
    <row r="243" spans="1:4" x14ac:dyDescent="0.2">
      <c r="A243" s="10">
        <v>40787</v>
      </c>
      <c r="B243" s="15">
        <f>VLOOKUP(A243,Database!A:K,MATCH('Retail Sales'!$A$1,Database!$A$1:$K$1,),)</f>
        <v>387758</v>
      </c>
      <c r="C243" s="12">
        <f t="shared" si="6"/>
        <v>1.0210009926036698E-2</v>
      </c>
      <c r="D243" s="13">
        <f t="shared" si="7"/>
        <v>7.8165751878235823E-2</v>
      </c>
    </row>
    <row r="244" spans="1:4" x14ac:dyDescent="0.2">
      <c r="A244" s="11">
        <v>40817</v>
      </c>
      <c r="B244" s="15">
        <f>VLOOKUP(A244,Database!A:K,MATCH('Retail Sales'!$A$1,Database!$A$1:$K$1,),)</f>
        <v>390104</v>
      </c>
      <c r="C244" s="12">
        <f t="shared" si="6"/>
        <v>6.0501653092908461E-3</v>
      </c>
      <c r="D244" s="13">
        <f t="shared" si="7"/>
        <v>7.2961160909518485E-2</v>
      </c>
    </row>
    <row r="245" spans="1:4" x14ac:dyDescent="0.2">
      <c r="A245" s="10">
        <v>40848</v>
      </c>
      <c r="B245" s="15">
        <f>VLOOKUP(A245,Database!A:K,MATCH('Retail Sales'!$A$1,Database!$A$1:$K$1,),)</f>
        <v>391393</v>
      </c>
      <c r="C245" s="12">
        <f t="shared" si="6"/>
        <v>3.3042470725755183E-3</v>
      </c>
      <c r="D245" s="13">
        <f t="shared" si="7"/>
        <v>6.5890881758615238E-2</v>
      </c>
    </row>
    <row r="246" spans="1:4" x14ac:dyDescent="0.2">
      <c r="A246" s="11">
        <v>40878</v>
      </c>
      <c r="B246" s="15">
        <f>VLOOKUP(A246,Database!A:K,MATCH('Retail Sales'!$A$1,Database!$A$1:$K$1,),)</f>
        <v>391585</v>
      </c>
      <c r="C246" s="12">
        <f t="shared" si="6"/>
        <v>4.9055552858635692E-4</v>
      </c>
      <c r="D246" s="13">
        <f t="shared" si="7"/>
        <v>6.054779012482768E-2</v>
      </c>
    </row>
    <row r="247" spans="1:4" x14ac:dyDescent="0.2">
      <c r="A247" s="10">
        <v>40909</v>
      </c>
      <c r="B247" s="15">
        <f>VLOOKUP(A247,Database!A:K,MATCH('Retail Sales'!$A$1,Database!$A$1:$K$1,),)</f>
        <v>395641</v>
      </c>
      <c r="C247" s="12">
        <f t="shared" si="6"/>
        <v>1.0357904414111878E-2</v>
      </c>
      <c r="D247" s="13">
        <f t="shared" si="7"/>
        <v>6.3479604865264425E-2</v>
      </c>
    </row>
    <row r="248" spans="1:4" x14ac:dyDescent="0.2">
      <c r="A248" s="11">
        <v>40940</v>
      </c>
      <c r="B248" s="15">
        <f>VLOOKUP(A248,Database!A:K,MATCH('Retail Sales'!$A$1,Database!$A$1:$K$1,),)</f>
        <v>400385</v>
      </c>
      <c r="C248" s="12">
        <f t="shared" si="6"/>
        <v>1.1990668307885179E-2</v>
      </c>
      <c r="D248" s="13">
        <f t="shared" si="7"/>
        <v>6.7511144764626843E-2</v>
      </c>
    </row>
    <row r="249" spans="1:4" x14ac:dyDescent="0.2">
      <c r="A249" s="10">
        <v>40969</v>
      </c>
      <c r="B249" s="15">
        <f>VLOOKUP(A249,Database!A:K,MATCH('Retail Sales'!$A$1,Database!$A$1:$K$1,),)</f>
        <v>401654</v>
      </c>
      <c r="C249" s="12">
        <f t="shared" si="6"/>
        <v>3.1694494049477376E-3</v>
      </c>
      <c r="D249" s="13">
        <f t="shared" si="7"/>
        <v>6.0960018596001857E-2</v>
      </c>
    </row>
    <row r="250" spans="1:4" x14ac:dyDescent="0.2">
      <c r="A250" s="11">
        <v>41000</v>
      </c>
      <c r="B250" s="15">
        <f>VLOOKUP(A250,Database!A:K,MATCH('Retail Sales'!$A$1,Database!$A$1:$K$1,),)</f>
        <v>400237</v>
      </c>
      <c r="C250" s="12">
        <f t="shared" si="6"/>
        <v>-3.5279120835345844E-3</v>
      </c>
      <c r="D250" s="13">
        <f t="shared" si="7"/>
        <v>5.2322019682544692E-2</v>
      </c>
    </row>
    <row r="251" spans="1:4" x14ac:dyDescent="0.2">
      <c r="A251" s="10">
        <v>41030</v>
      </c>
      <c r="B251" s="15">
        <f>VLOOKUP(A251,Database!A:K,MATCH('Retail Sales'!$A$1,Database!$A$1:$K$1,),)</f>
        <v>399367</v>
      </c>
      <c r="C251" s="12">
        <f t="shared" si="6"/>
        <v>-2.1737120755952097E-3</v>
      </c>
      <c r="D251" s="13">
        <f t="shared" si="7"/>
        <v>5.036045016161738E-2</v>
      </c>
    </row>
    <row r="252" spans="1:4" x14ac:dyDescent="0.2">
      <c r="A252" s="11">
        <v>41061</v>
      </c>
      <c r="B252" s="15">
        <f>VLOOKUP(A252,Database!A:K,MATCH('Retail Sales'!$A$1,Database!$A$1:$K$1,),)</f>
        <v>395553</v>
      </c>
      <c r="C252" s="12">
        <f t="shared" si="6"/>
        <v>-9.5501130539078095E-3</v>
      </c>
      <c r="D252" s="13">
        <f t="shared" si="7"/>
        <v>3.1894439995095572E-2</v>
      </c>
    </row>
    <row r="253" spans="1:4" x14ac:dyDescent="0.2">
      <c r="A253" s="10">
        <v>41091</v>
      </c>
      <c r="B253" s="15">
        <f>VLOOKUP(A253,Database!A:K,MATCH('Retail Sales'!$A$1,Database!$A$1:$K$1,),)</f>
        <v>397650</v>
      </c>
      <c r="C253" s="12">
        <f t="shared" si="6"/>
        <v>5.3014387452503201E-3</v>
      </c>
      <c r="D253" s="13">
        <f t="shared" si="7"/>
        <v>3.8375366231975641E-2</v>
      </c>
    </row>
    <row r="254" spans="1:4" x14ac:dyDescent="0.2">
      <c r="A254" s="11">
        <v>41122</v>
      </c>
      <c r="B254" s="15">
        <f>VLOOKUP(A254,Database!A:K,MATCH('Retail Sales'!$A$1,Database!$A$1:$K$1,),)</f>
        <v>402287</v>
      </c>
      <c r="C254" s="12">
        <f t="shared" si="6"/>
        <v>1.1661008424493902E-2</v>
      </c>
      <c r="D254" s="13">
        <f t="shared" si="7"/>
        <v>4.8061817584977032E-2</v>
      </c>
    </row>
    <row r="255" spans="1:4" x14ac:dyDescent="0.2">
      <c r="A255" s="10">
        <v>41153</v>
      </c>
      <c r="B255" s="15">
        <f>VLOOKUP(A255,Database!A:K,MATCH('Retail Sales'!$A$1,Database!$A$1:$K$1,),)</f>
        <v>405455</v>
      </c>
      <c r="C255" s="12">
        <f t="shared" si="6"/>
        <v>7.8749748314014614E-3</v>
      </c>
      <c r="D255" s="13">
        <f t="shared" si="7"/>
        <v>4.5639290485302686E-2</v>
      </c>
    </row>
    <row r="256" spans="1:4" x14ac:dyDescent="0.2">
      <c r="A256" s="11">
        <v>41183</v>
      </c>
      <c r="B256" s="15">
        <f>VLOOKUP(A256,Database!A:K,MATCH('Retail Sales'!$A$1,Database!$A$1:$K$1,),)</f>
        <v>405572</v>
      </c>
      <c r="C256" s="12">
        <f t="shared" si="6"/>
        <v>2.8856469891849897E-4</v>
      </c>
      <c r="D256" s="13">
        <f t="shared" si="7"/>
        <v>3.9650964870906219E-2</v>
      </c>
    </row>
    <row r="257" spans="1:4" x14ac:dyDescent="0.2">
      <c r="A257" s="10">
        <v>41214</v>
      </c>
      <c r="B257" s="15">
        <f>VLOOKUP(A257,Database!A:K,MATCH('Retail Sales'!$A$1,Database!$A$1:$K$1,),)</f>
        <v>407386</v>
      </c>
      <c r="C257" s="12">
        <f t="shared" si="6"/>
        <v>4.4726953537226437E-3</v>
      </c>
      <c r="D257" s="13">
        <f t="shared" si="7"/>
        <v>4.0861742545216698E-2</v>
      </c>
    </row>
    <row r="258" spans="1:4" x14ac:dyDescent="0.2">
      <c r="A258" s="11">
        <v>41244</v>
      </c>
      <c r="B258" s="15">
        <f>VLOOKUP(A258,Database!A:K,MATCH('Retail Sales'!$A$1,Database!$A$1:$K$1,),)</f>
        <v>408981</v>
      </c>
      <c r="C258" s="12">
        <f t="shared" si="6"/>
        <v>3.9152057262645257E-3</v>
      </c>
      <c r="D258" s="13">
        <f t="shared" si="7"/>
        <v>4.4424582146915741E-2</v>
      </c>
    </row>
    <row r="259" spans="1:4" x14ac:dyDescent="0.2">
      <c r="A259" s="10">
        <v>41275</v>
      </c>
      <c r="B259" s="15">
        <f>VLOOKUP(A259,Database!A:K,MATCH('Retail Sales'!$A$1,Database!$A$1:$K$1,),)</f>
        <v>412420</v>
      </c>
      <c r="C259" s="12">
        <f t="shared" si="6"/>
        <v>8.4087035828070249E-3</v>
      </c>
      <c r="D259" s="13">
        <f t="shared" si="7"/>
        <v>4.2409659261805524E-2</v>
      </c>
    </row>
    <row r="260" spans="1:4" x14ac:dyDescent="0.2">
      <c r="A260" s="11">
        <v>41306</v>
      </c>
      <c r="B260" s="15">
        <f>VLOOKUP(A260,Database!A:K,MATCH('Retail Sales'!$A$1,Database!$A$1:$K$1,),)</f>
        <v>417383</v>
      </c>
      <c r="C260" s="12">
        <f t="shared" si="6"/>
        <v>1.2033848988894816E-2</v>
      </c>
      <c r="D260" s="13">
        <f t="shared" si="7"/>
        <v>4.2454137892278684E-2</v>
      </c>
    </row>
    <row r="261" spans="1:4" x14ac:dyDescent="0.2">
      <c r="A261" s="10">
        <v>41334</v>
      </c>
      <c r="B261" s="15">
        <f>VLOOKUP(A261,Database!A:K,MATCH('Retail Sales'!$A$1,Database!$A$1:$K$1,),)</f>
        <v>414116</v>
      </c>
      <c r="C261" s="12">
        <f t="shared" si="6"/>
        <v>-7.8273432315163777E-3</v>
      </c>
      <c r="D261" s="13">
        <f t="shared" si="7"/>
        <v>3.1026704576575859E-2</v>
      </c>
    </row>
    <row r="262" spans="1:4" x14ac:dyDescent="0.2">
      <c r="A262" s="11">
        <v>41365</v>
      </c>
      <c r="B262" s="15">
        <f>VLOOKUP(A262,Database!A:K,MATCH('Retail Sales'!$A$1,Database!$A$1:$K$1,),)</f>
        <v>412015</v>
      </c>
      <c r="C262" s="12">
        <f t="shared" si="6"/>
        <v>-5.0734576785248578E-3</v>
      </c>
      <c r="D262" s="13">
        <f t="shared" si="7"/>
        <v>2.9427564168230322E-2</v>
      </c>
    </row>
    <row r="263" spans="1:4" x14ac:dyDescent="0.2">
      <c r="A263" s="10">
        <v>41395</v>
      </c>
      <c r="B263" s="15">
        <f>VLOOKUP(A263,Database!A:K,MATCH('Retail Sales'!$A$1,Database!$A$1:$K$1,),)</f>
        <v>414466</v>
      </c>
      <c r="C263" s="12">
        <f t="shared" si="6"/>
        <v>5.9488125432326493E-3</v>
      </c>
      <c r="D263" s="13">
        <f t="shared" si="7"/>
        <v>3.7807330099883067E-2</v>
      </c>
    </row>
    <row r="264" spans="1:4" x14ac:dyDescent="0.2">
      <c r="A264" s="11">
        <v>41426</v>
      </c>
      <c r="B264" s="15">
        <f>VLOOKUP(A264,Database!A:K,MATCH('Retail Sales'!$A$1,Database!$A$1:$K$1,),)</f>
        <v>415550</v>
      </c>
      <c r="C264" s="12">
        <f t="shared" ref="C264:C327" si="8">(B264-B263)/B263</f>
        <v>2.6154135683023457E-3</v>
      </c>
      <c r="D264" s="13">
        <f t="shared" si="7"/>
        <v>5.0554540099556823E-2</v>
      </c>
    </row>
    <row r="265" spans="1:4" x14ac:dyDescent="0.2">
      <c r="A265" s="10">
        <v>41456</v>
      </c>
      <c r="B265" s="15">
        <f>VLOOKUP(A265,Database!A:K,MATCH('Retail Sales'!$A$1,Database!$A$1:$K$1,),)</f>
        <v>418500</v>
      </c>
      <c r="C265" s="12">
        <f t="shared" si="8"/>
        <v>7.0990253880399467E-3</v>
      </c>
      <c r="D265" s="13">
        <f t="shared" si="7"/>
        <v>5.2433044134288946E-2</v>
      </c>
    </row>
    <row r="266" spans="1:4" x14ac:dyDescent="0.2">
      <c r="A266" s="11">
        <v>41487</v>
      </c>
      <c r="B266" s="15">
        <f>VLOOKUP(A266,Database!A:K,MATCH('Retail Sales'!$A$1,Database!$A$1:$K$1,),)</f>
        <v>417575</v>
      </c>
      <c r="C266" s="12">
        <f t="shared" si="8"/>
        <v>-2.2102747909199523E-3</v>
      </c>
      <c r="D266" s="13">
        <f t="shared" si="7"/>
        <v>3.8002719451535841E-2</v>
      </c>
    </row>
    <row r="267" spans="1:4" x14ac:dyDescent="0.2">
      <c r="A267" s="10">
        <v>41518</v>
      </c>
      <c r="B267" s="15">
        <f>VLOOKUP(A267,Database!A:K,MATCH('Retail Sales'!$A$1,Database!$A$1:$K$1,),)</f>
        <v>417861</v>
      </c>
      <c r="C267" s="12">
        <f t="shared" si="8"/>
        <v>6.8490690295156561E-4</v>
      </c>
      <c r="D267" s="13">
        <f t="shared" si="7"/>
        <v>3.0597723545152975E-2</v>
      </c>
    </row>
    <row r="268" spans="1:4" x14ac:dyDescent="0.2">
      <c r="A268" s="11">
        <v>41548</v>
      </c>
      <c r="B268" s="15">
        <f>VLOOKUP(A268,Database!A:K,MATCH('Retail Sales'!$A$1,Database!$A$1:$K$1,),)</f>
        <v>419434</v>
      </c>
      <c r="C268" s="12">
        <f t="shared" si="8"/>
        <v>3.76440969604725E-3</v>
      </c>
      <c r="D268" s="13">
        <f t="shared" si="7"/>
        <v>3.4178888088921326E-2</v>
      </c>
    </row>
    <row r="269" spans="1:4" x14ac:dyDescent="0.2">
      <c r="A269" s="10">
        <v>41579</v>
      </c>
      <c r="B269" s="15">
        <f>VLOOKUP(A269,Database!A:K,MATCH('Retail Sales'!$A$1,Database!$A$1:$K$1,),)</f>
        <v>420688</v>
      </c>
      <c r="C269" s="12">
        <f t="shared" si="8"/>
        <v>2.989743320760835E-3</v>
      </c>
      <c r="D269" s="13">
        <f t="shared" si="7"/>
        <v>3.2652079354715181E-2</v>
      </c>
    </row>
    <row r="270" spans="1:4" x14ac:dyDescent="0.2">
      <c r="A270" s="11">
        <v>41609</v>
      </c>
      <c r="B270" s="15">
        <f>VLOOKUP(A270,Database!A:K,MATCH('Retail Sales'!$A$1,Database!$A$1:$K$1,),)</f>
        <v>422955</v>
      </c>
      <c r="C270" s="12">
        <f t="shared" si="8"/>
        <v>5.388791693606663E-3</v>
      </c>
      <c r="D270" s="13">
        <f t="shared" si="7"/>
        <v>3.4167846428073675E-2</v>
      </c>
    </row>
    <row r="271" spans="1:4" x14ac:dyDescent="0.2">
      <c r="A271" s="10">
        <v>41640</v>
      </c>
      <c r="B271" s="15">
        <f>VLOOKUP(A271,Database!A:K,MATCH('Retail Sales'!$A$1,Database!$A$1:$K$1,),)</f>
        <v>419245</v>
      </c>
      <c r="C271" s="12">
        <f t="shared" si="8"/>
        <v>-8.7716187301249537E-3</v>
      </c>
      <c r="D271" s="13">
        <f t="shared" si="7"/>
        <v>1.6548663983317977E-2</v>
      </c>
    </row>
    <row r="272" spans="1:4" x14ac:dyDescent="0.2">
      <c r="A272" s="11">
        <v>41671</v>
      </c>
      <c r="B272" s="15">
        <f>VLOOKUP(A272,Database!A:K,MATCH('Retail Sales'!$A$1,Database!$A$1:$K$1,),)</f>
        <v>425006</v>
      </c>
      <c r="C272" s="12">
        <f t="shared" si="8"/>
        <v>1.3741368412264905E-2</v>
      </c>
      <c r="D272" s="13">
        <f t="shared" si="7"/>
        <v>1.8263800873538214E-2</v>
      </c>
    </row>
    <row r="273" spans="1:4" x14ac:dyDescent="0.2">
      <c r="A273" s="10">
        <v>41699</v>
      </c>
      <c r="B273" s="15">
        <f>VLOOKUP(A273,Database!A:K,MATCH('Retail Sales'!$A$1,Database!$A$1:$K$1,),)</f>
        <v>429468</v>
      </c>
      <c r="C273" s="12">
        <f t="shared" si="8"/>
        <v>1.0498675312819113E-2</v>
      </c>
      <c r="D273" s="13">
        <f t="shared" si="7"/>
        <v>3.7071738353504816E-2</v>
      </c>
    </row>
    <row r="274" spans="1:4" x14ac:dyDescent="0.2">
      <c r="A274" s="11">
        <v>41730</v>
      </c>
      <c r="B274" s="15">
        <f>VLOOKUP(A274,Database!A:K,MATCH('Retail Sales'!$A$1,Database!$A$1:$K$1,),)</f>
        <v>433648</v>
      </c>
      <c r="C274" s="12">
        <f t="shared" si="8"/>
        <v>9.7329719560013787E-3</v>
      </c>
      <c r="D274" s="13">
        <f t="shared" si="7"/>
        <v>5.2505369950123178E-2</v>
      </c>
    </row>
    <row r="275" spans="1:4" x14ac:dyDescent="0.2">
      <c r="A275" s="10">
        <v>41760</v>
      </c>
      <c r="B275" s="15">
        <f>VLOOKUP(A275,Database!A:K,MATCH('Retail Sales'!$A$1,Database!$A$1:$K$1,),)</f>
        <v>434471</v>
      </c>
      <c r="C275" s="12">
        <f t="shared" si="8"/>
        <v>1.8978526362395307E-3</v>
      </c>
      <c r="D275" s="13">
        <f t="shared" ref="D275:D338" si="9">(B275-B263)/B263</f>
        <v>4.8266926599528068E-2</v>
      </c>
    </row>
    <row r="276" spans="1:4" x14ac:dyDescent="0.2">
      <c r="A276" s="11">
        <v>41791</v>
      </c>
      <c r="B276" s="15">
        <f>VLOOKUP(A276,Database!A:K,MATCH('Retail Sales'!$A$1,Database!$A$1:$K$1,),)</f>
        <v>435577</v>
      </c>
      <c r="C276" s="12">
        <f t="shared" si="8"/>
        <v>2.5456244490426288E-3</v>
      </c>
      <c r="D276" s="13">
        <f t="shared" si="9"/>
        <v>4.8193959812296953E-2</v>
      </c>
    </row>
    <row r="277" spans="1:4" x14ac:dyDescent="0.2">
      <c r="A277" s="10">
        <v>41821</v>
      </c>
      <c r="B277" s="15">
        <f>VLOOKUP(A277,Database!A:K,MATCH('Retail Sales'!$A$1,Database!$A$1:$K$1,),)</f>
        <v>436347</v>
      </c>
      <c r="C277" s="12">
        <f t="shared" si="8"/>
        <v>1.7677701072370672E-3</v>
      </c>
      <c r="D277" s="13">
        <f t="shared" si="9"/>
        <v>4.2645161290322579E-2</v>
      </c>
    </row>
    <row r="278" spans="1:4" x14ac:dyDescent="0.2">
      <c r="A278" s="11">
        <v>41852</v>
      </c>
      <c r="B278" s="15">
        <f>VLOOKUP(A278,Database!A:K,MATCH('Retail Sales'!$A$1,Database!$A$1:$K$1,),)</f>
        <v>439596</v>
      </c>
      <c r="C278" s="12">
        <f t="shared" si="8"/>
        <v>7.4459088752758702E-3</v>
      </c>
      <c r="D278" s="13">
        <f t="shared" si="9"/>
        <v>5.2735436747889601E-2</v>
      </c>
    </row>
    <row r="279" spans="1:4" x14ac:dyDescent="0.2">
      <c r="A279" s="10">
        <v>41883</v>
      </c>
      <c r="B279" s="15">
        <f>VLOOKUP(A279,Database!A:K,MATCH('Retail Sales'!$A$1,Database!$A$1:$K$1,),)</f>
        <v>438665</v>
      </c>
      <c r="C279" s="12">
        <f t="shared" si="8"/>
        <v>-2.11785366563845E-3</v>
      </c>
      <c r="D279" s="13">
        <f t="shared" si="9"/>
        <v>4.9786890856050217E-2</v>
      </c>
    </row>
    <row r="280" spans="1:4" x14ac:dyDescent="0.2">
      <c r="A280" s="11">
        <v>41913</v>
      </c>
      <c r="B280" s="15">
        <f>VLOOKUP(A280,Database!A:K,MATCH('Retail Sales'!$A$1,Database!$A$1:$K$1,),)</f>
        <v>440261</v>
      </c>
      <c r="C280" s="12">
        <f t="shared" si="8"/>
        <v>3.6383116957131294E-3</v>
      </c>
      <c r="D280" s="13">
        <f t="shared" si="9"/>
        <v>4.9655011277102E-2</v>
      </c>
    </row>
    <row r="281" spans="1:4" x14ac:dyDescent="0.2">
      <c r="A281" s="10">
        <v>41944</v>
      </c>
      <c r="B281" s="15">
        <f>VLOOKUP(A281,Database!A:K,MATCH('Retail Sales'!$A$1,Database!$A$1:$K$1,),)</f>
        <v>441328</v>
      </c>
      <c r="C281" s="12">
        <f t="shared" si="8"/>
        <v>2.423562386856887E-3</v>
      </c>
      <c r="D281" s="13">
        <f t="shared" si="9"/>
        <v>4.9062488114707335E-2</v>
      </c>
    </row>
    <row r="282" spans="1:4" x14ac:dyDescent="0.2">
      <c r="A282" s="11">
        <v>41974</v>
      </c>
      <c r="B282" s="15">
        <f>VLOOKUP(A282,Database!A:K,MATCH('Retail Sales'!$A$1,Database!$A$1:$K$1,),)</f>
        <v>438686</v>
      </c>
      <c r="C282" s="12">
        <f t="shared" si="8"/>
        <v>-5.9864771779719389E-3</v>
      </c>
      <c r="D282" s="13">
        <f t="shared" si="9"/>
        <v>3.7193082006360012E-2</v>
      </c>
    </row>
    <row r="283" spans="1:4" x14ac:dyDescent="0.2">
      <c r="A283" s="10">
        <v>42005</v>
      </c>
      <c r="B283" s="15">
        <f>VLOOKUP(A283,Database!A:K,MATCH('Retail Sales'!$A$1,Database!$A$1:$K$1,),)</f>
        <v>436395</v>
      </c>
      <c r="C283" s="12">
        <f t="shared" si="8"/>
        <v>-5.2224142097080824E-3</v>
      </c>
      <c r="D283" s="13">
        <f t="shared" si="9"/>
        <v>4.0906868298965997E-2</v>
      </c>
    </row>
    <row r="284" spans="1:4" x14ac:dyDescent="0.2">
      <c r="A284" s="11">
        <v>42036</v>
      </c>
      <c r="B284" s="15">
        <f>VLOOKUP(A284,Database!A:K,MATCH('Retail Sales'!$A$1,Database!$A$1:$K$1,),)</f>
        <v>435744</v>
      </c>
      <c r="C284" s="12">
        <f t="shared" si="8"/>
        <v>-1.4917677791908706E-3</v>
      </c>
      <c r="D284" s="13">
        <f t="shared" si="9"/>
        <v>2.5265525663167109E-2</v>
      </c>
    </row>
    <row r="285" spans="1:4" x14ac:dyDescent="0.2">
      <c r="A285" s="10">
        <v>42064</v>
      </c>
      <c r="B285" s="15">
        <f>VLOOKUP(A285,Database!A:K,MATCH('Retail Sales'!$A$1,Database!$A$1:$K$1,),)</f>
        <v>442131</v>
      </c>
      <c r="C285" s="12">
        <f t="shared" si="8"/>
        <v>1.4657688918263934E-2</v>
      </c>
      <c r="D285" s="13">
        <f t="shared" si="9"/>
        <v>2.9485316717427143E-2</v>
      </c>
    </row>
    <row r="286" spans="1:4" x14ac:dyDescent="0.2">
      <c r="A286" s="11">
        <v>42095</v>
      </c>
      <c r="B286" s="15">
        <f>VLOOKUP(A286,Database!A:K,MATCH('Retail Sales'!$A$1,Database!$A$1:$K$1,),)</f>
        <v>443119</v>
      </c>
      <c r="C286" s="12">
        <f t="shared" si="8"/>
        <v>2.2346318172668279E-3</v>
      </c>
      <c r="D286" s="13">
        <f t="shared" si="9"/>
        <v>2.1840294432350662E-2</v>
      </c>
    </row>
    <row r="287" spans="1:4" x14ac:dyDescent="0.2">
      <c r="A287" s="10">
        <v>42125</v>
      </c>
      <c r="B287" s="15">
        <f>VLOOKUP(A287,Database!A:K,MATCH('Retail Sales'!$A$1,Database!$A$1:$K$1,),)</f>
        <v>446198</v>
      </c>
      <c r="C287" s="12">
        <f t="shared" si="8"/>
        <v>6.9484720808631545E-3</v>
      </c>
      <c r="D287" s="13">
        <f t="shared" si="9"/>
        <v>2.6991444768465558E-2</v>
      </c>
    </row>
    <row r="288" spans="1:4" x14ac:dyDescent="0.2">
      <c r="A288" s="11">
        <v>42156</v>
      </c>
      <c r="B288" s="15">
        <f>VLOOKUP(A288,Database!A:K,MATCH('Retail Sales'!$A$1,Database!$A$1:$K$1,),)</f>
        <v>446744</v>
      </c>
      <c r="C288" s="12">
        <f t="shared" si="8"/>
        <v>1.2236720021156528E-3</v>
      </c>
      <c r="D288" s="13">
        <f t="shared" si="9"/>
        <v>2.5637258165605623E-2</v>
      </c>
    </row>
    <row r="289" spans="1:4" x14ac:dyDescent="0.2">
      <c r="A289" s="10">
        <v>42186</v>
      </c>
      <c r="B289" s="15">
        <f>VLOOKUP(A289,Database!A:K,MATCH('Retail Sales'!$A$1,Database!$A$1:$K$1,),)</f>
        <v>450243</v>
      </c>
      <c r="C289" s="12">
        <f t="shared" si="8"/>
        <v>7.832226062353384E-3</v>
      </c>
      <c r="D289" s="13">
        <f t="shared" si="9"/>
        <v>3.1846214136913971E-2</v>
      </c>
    </row>
    <row r="290" spans="1:4" x14ac:dyDescent="0.2">
      <c r="A290" s="11">
        <v>42217</v>
      </c>
      <c r="B290" s="15">
        <f>VLOOKUP(A290,Database!A:K,MATCH('Retail Sales'!$A$1,Database!$A$1:$K$1,),)</f>
        <v>450183</v>
      </c>
      <c r="C290" s="12">
        <f t="shared" si="8"/>
        <v>-1.3326137219234947E-4</v>
      </c>
      <c r="D290" s="13">
        <f t="shared" si="9"/>
        <v>2.408347664673928E-2</v>
      </c>
    </row>
    <row r="291" spans="1:4" x14ac:dyDescent="0.2">
      <c r="A291" s="10">
        <v>42248</v>
      </c>
      <c r="B291" s="15">
        <f>VLOOKUP(A291,Database!A:K,MATCH('Retail Sales'!$A$1,Database!$A$1:$K$1,),)</f>
        <v>448506</v>
      </c>
      <c r="C291" s="12">
        <f t="shared" si="8"/>
        <v>-3.7251517716128772E-3</v>
      </c>
      <c r="D291" s="13">
        <f t="shared" si="9"/>
        <v>2.2433975812978013E-2</v>
      </c>
    </row>
    <row r="292" spans="1:4" x14ac:dyDescent="0.2">
      <c r="A292" s="11">
        <v>42278</v>
      </c>
      <c r="B292" s="15">
        <f>VLOOKUP(A292,Database!A:K,MATCH('Retail Sales'!$A$1,Database!$A$1:$K$1,),)</f>
        <v>447191</v>
      </c>
      <c r="C292" s="12">
        <f t="shared" si="8"/>
        <v>-2.9319563171953107E-3</v>
      </c>
      <c r="D292" s="13">
        <f t="shared" si="9"/>
        <v>1.5740662924946792E-2</v>
      </c>
    </row>
    <row r="293" spans="1:4" x14ac:dyDescent="0.2">
      <c r="A293" s="10">
        <v>42309</v>
      </c>
      <c r="B293" s="15">
        <f>VLOOKUP(A293,Database!A:K,MATCH('Retail Sales'!$A$1,Database!$A$1:$K$1,),)</f>
        <v>449027</v>
      </c>
      <c r="C293" s="12">
        <f t="shared" si="8"/>
        <v>4.105628243860006E-3</v>
      </c>
      <c r="D293" s="13">
        <f t="shared" si="9"/>
        <v>1.7445074864953052E-2</v>
      </c>
    </row>
    <row r="294" spans="1:4" x14ac:dyDescent="0.2">
      <c r="A294" s="11">
        <v>42339</v>
      </c>
      <c r="B294" s="15">
        <f>VLOOKUP(A294,Database!A:K,MATCH('Retail Sales'!$A$1,Database!$A$1:$K$1,),)</f>
        <v>450939</v>
      </c>
      <c r="C294" s="12">
        <f t="shared" si="8"/>
        <v>4.2580958383348884E-3</v>
      </c>
      <c r="D294" s="13">
        <f t="shared" si="9"/>
        <v>2.7931139812986967E-2</v>
      </c>
    </row>
    <row r="295" spans="1:4" x14ac:dyDescent="0.2">
      <c r="A295" s="10">
        <v>42370</v>
      </c>
      <c r="B295" s="15">
        <f>VLOOKUP(A295,Database!A:K,MATCH('Retail Sales'!$A$1,Database!$A$1:$K$1,),)</f>
        <v>447626</v>
      </c>
      <c r="C295" s="12">
        <f t="shared" si="8"/>
        <v>-7.3468917081911302E-3</v>
      </c>
      <c r="D295" s="13">
        <f t="shared" si="9"/>
        <v>2.5735858568498724E-2</v>
      </c>
    </row>
    <row r="296" spans="1:4" x14ac:dyDescent="0.2">
      <c r="A296" s="11">
        <v>42401</v>
      </c>
      <c r="B296" s="15">
        <f>VLOOKUP(A296,Database!A:K,MATCH('Retail Sales'!$A$1,Database!$A$1:$K$1,),)</f>
        <v>452393</v>
      </c>
      <c r="C296" s="12">
        <f t="shared" si="8"/>
        <v>1.06495154436963E-2</v>
      </c>
      <c r="D296" s="13">
        <f t="shared" si="9"/>
        <v>3.8208213997209368E-2</v>
      </c>
    </row>
    <row r="297" spans="1:4" x14ac:dyDescent="0.2">
      <c r="A297" s="10">
        <v>42430</v>
      </c>
      <c r="B297" s="15">
        <f>VLOOKUP(A297,Database!A:K,MATCH('Retail Sales'!$A$1,Database!$A$1:$K$1,),)</f>
        <v>450886</v>
      </c>
      <c r="C297" s="12">
        <f t="shared" si="8"/>
        <v>-3.3311744434595583E-3</v>
      </c>
      <c r="D297" s="13">
        <f t="shared" si="9"/>
        <v>1.9801823441468705E-2</v>
      </c>
    </row>
    <row r="298" spans="1:4" x14ac:dyDescent="0.2">
      <c r="A298" s="11">
        <v>42461</v>
      </c>
      <c r="B298" s="15">
        <f>VLOOKUP(A298,Database!A:K,MATCH('Retail Sales'!$A$1,Database!$A$1:$K$1,),)</f>
        <v>452345</v>
      </c>
      <c r="C298" s="12">
        <f t="shared" si="8"/>
        <v>3.2358511907666239E-3</v>
      </c>
      <c r="D298" s="13">
        <f t="shared" si="9"/>
        <v>2.0820592211121619E-2</v>
      </c>
    </row>
    <row r="299" spans="1:4" x14ac:dyDescent="0.2">
      <c r="A299" s="10">
        <v>42491</v>
      </c>
      <c r="B299" s="15">
        <f>VLOOKUP(A299,Database!A:K,MATCH('Retail Sales'!$A$1,Database!$A$1:$K$1,),)</f>
        <v>454211</v>
      </c>
      <c r="C299" s="12">
        <f t="shared" si="8"/>
        <v>4.1251699477168977E-3</v>
      </c>
      <c r="D299" s="13">
        <f t="shared" si="9"/>
        <v>1.7958395151928069E-2</v>
      </c>
    </row>
    <row r="300" spans="1:4" x14ac:dyDescent="0.2">
      <c r="A300" s="11">
        <v>42522</v>
      </c>
      <c r="B300" s="15">
        <f>VLOOKUP(A300,Database!A:K,MATCH('Retail Sales'!$A$1,Database!$A$1:$K$1,),)</f>
        <v>459028</v>
      </c>
      <c r="C300" s="12">
        <f t="shared" si="8"/>
        <v>1.0605203308594463E-2</v>
      </c>
      <c r="D300" s="13">
        <f t="shared" si="9"/>
        <v>2.7496731909102304E-2</v>
      </c>
    </row>
    <row r="301" spans="1:4" x14ac:dyDescent="0.2">
      <c r="A301" s="10">
        <v>42552</v>
      </c>
      <c r="B301" s="15">
        <f>VLOOKUP(A301,Database!A:K,MATCH('Retail Sales'!$A$1,Database!$A$1:$K$1,),)</f>
        <v>457977</v>
      </c>
      <c r="C301" s="12">
        <f t="shared" si="8"/>
        <v>-2.289620676734317E-3</v>
      </c>
      <c r="D301" s="13">
        <f t="shared" si="9"/>
        <v>1.7177390875593845E-2</v>
      </c>
    </row>
    <row r="302" spans="1:4" x14ac:dyDescent="0.2">
      <c r="A302" s="11">
        <v>42583</v>
      </c>
      <c r="B302" s="15">
        <f>VLOOKUP(A302,Database!A:K,MATCH('Retail Sales'!$A$1,Database!$A$1:$K$1,),)</f>
        <v>458655</v>
      </c>
      <c r="C302" s="12">
        <f t="shared" si="8"/>
        <v>1.4804236893992493E-3</v>
      </c>
      <c r="D302" s="13">
        <f t="shared" si="9"/>
        <v>1.881901360113554E-2</v>
      </c>
    </row>
    <row r="303" spans="1:4" x14ac:dyDescent="0.2">
      <c r="A303" s="10">
        <v>42614</v>
      </c>
      <c r="B303" s="15">
        <f>VLOOKUP(A303,Database!A:K,MATCH('Retail Sales'!$A$1,Database!$A$1:$K$1,),)</f>
        <v>461741</v>
      </c>
      <c r="C303" s="12">
        <f t="shared" si="8"/>
        <v>6.7283688175207943E-3</v>
      </c>
      <c r="D303" s="13">
        <f t="shared" si="9"/>
        <v>2.9509081260897289E-2</v>
      </c>
    </row>
    <row r="304" spans="1:4" x14ac:dyDescent="0.2">
      <c r="A304" s="11">
        <v>42644</v>
      </c>
      <c r="B304" s="15">
        <f>VLOOKUP(A304,Database!A:K,MATCH('Retail Sales'!$A$1,Database!$A$1:$K$1,),)</f>
        <v>462611</v>
      </c>
      <c r="C304" s="12">
        <f t="shared" si="8"/>
        <v>1.8841731620107376E-3</v>
      </c>
      <c r="D304" s="13">
        <f t="shared" si="9"/>
        <v>3.4481910414118355E-2</v>
      </c>
    </row>
    <row r="305" spans="1:4" x14ac:dyDescent="0.2">
      <c r="A305" s="10">
        <v>42675</v>
      </c>
      <c r="B305" s="15">
        <f>VLOOKUP(A305,Database!A:K,MATCH('Retail Sales'!$A$1,Database!$A$1:$K$1,),)</f>
        <v>462194</v>
      </c>
      <c r="C305" s="12">
        <f t="shared" si="8"/>
        <v>-9.0140528435337676E-4</v>
      </c>
      <c r="D305" s="13">
        <f t="shared" si="9"/>
        <v>2.9323403715144077E-2</v>
      </c>
    </row>
    <row r="306" spans="1:4" x14ac:dyDescent="0.2">
      <c r="A306" s="11">
        <v>42705</v>
      </c>
      <c r="B306" s="15">
        <f>VLOOKUP(A306,Database!A:K,MATCH('Retail Sales'!$A$1,Database!$A$1:$K$1,),)</f>
        <v>468582</v>
      </c>
      <c r="C306" s="12">
        <f t="shared" si="8"/>
        <v>1.3821036188267265E-2</v>
      </c>
      <c r="D306" s="13">
        <f t="shared" si="9"/>
        <v>3.9125025779540024E-2</v>
      </c>
    </row>
    <row r="307" spans="1:4" x14ac:dyDescent="0.2">
      <c r="A307" s="10">
        <v>42736</v>
      </c>
      <c r="B307" s="15">
        <f>VLOOKUP(A307,Database!A:K,MATCH('Retail Sales'!$A$1,Database!$A$1:$K$1,),)</f>
        <v>473392</v>
      </c>
      <c r="C307" s="12">
        <f t="shared" si="8"/>
        <v>1.026501231374658E-2</v>
      </c>
      <c r="D307" s="13">
        <f t="shared" si="9"/>
        <v>5.7561446386045496E-2</v>
      </c>
    </row>
    <row r="308" spans="1:4" x14ac:dyDescent="0.2">
      <c r="A308" s="11">
        <v>42767</v>
      </c>
      <c r="B308" s="15">
        <f>VLOOKUP(A308,Database!A:K,MATCH('Retail Sales'!$A$1,Database!$A$1:$K$1,),)</f>
        <v>473460</v>
      </c>
      <c r="C308" s="12">
        <f t="shared" si="8"/>
        <v>1.4364416804677729E-4</v>
      </c>
      <c r="D308" s="13">
        <f t="shared" si="9"/>
        <v>4.6567917717559734E-2</v>
      </c>
    </row>
    <row r="309" spans="1:4" x14ac:dyDescent="0.2">
      <c r="A309" s="10">
        <v>42795</v>
      </c>
      <c r="B309" s="15">
        <f>VLOOKUP(A309,Database!A:K,MATCH('Retail Sales'!$A$1,Database!$A$1:$K$1,),)</f>
        <v>472283</v>
      </c>
      <c r="C309" s="12">
        <f t="shared" si="8"/>
        <v>-2.4859544628902126E-3</v>
      </c>
      <c r="D309" s="13">
        <f t="shared" si="9"/>
        <v>4.7455454372058573E-2</v>
      </c>
    </row>
    <row r="310" spans="1:4" x14ac:dyDescent="0.2">
      <c r="A310" s="11">
        <v>42826</v>
      </c>
      <c r="B310" s="15">
        <f>VLOOKUP(A310,Database!A:K,MATCH('Retail Sales'!$A$1,Database!$A$1:$K$1,),)</f>
        <v>474137</v>
      </c>
      <c r="C310" s="12">
        <f t="shared" si="8"/>
        <v>3.9256123976514085E-3</v>
      </c>
      <c r="D310" s="13">
        <f t="shared" si="9"/>
        <v>4.8175618167549103E-2</v>
      </c>
    </row>
    <row r="311" spans="1:4" x14ac:dyDescent="0.2">
      <c r="A311" s="10">
        <v>42856</v>
      </c>
      <c r="B311" s="15">
        <f>VLOOKUP(A311,Database!A:K,MATCH('Retail Sales'!$A$1,Database!$A$1:$K$1,),)</f>
        <v>471768</v>
      </c>
      <c r="C311" s="12">
        <f t="shared" si="8"/>
        <v>-4.9964461748397615E-3</v>
      </c>
      <c r="D311" s="13">
        <f t="shared" si="9"/>
        <v>3.865384149657318E-2</v>
      </c>
    </row>
    <row r="312" spans="1:4" x14ac:dyDescent="0.2">
      <c r="A312" s="11">
        <v>42887</v>
      </c>
      <c r="B312" s="15">
        <f>VLOOKUP(A312,Database!A:K,MATCH('Retail Sales'!$A$1,Database!$A$1:$K$1,),)</f>
        <v>473656</v>
      </c>
      <c r="C312" s="12">
        <f t="shared" si="8"/>
        <v>4.0019670685591223E-3</v>
      </c>
      <c r="D312" s="13">
        <f t="shared" si="9"/>
        <v>3.1867337068762693E-2</v>
      </c>
    </row>
    <row r="313" spans="1:4" x14ac:dyDescent="0.2">
      <c r="A313" s="10">
        <v>42917</v>
      </c>
      <c r="B313" s="15">
        <f>VLOOKUP(A313,Database!A:K,MATCH('Retail Sales'!$A$1,Database!$A$1:$K$1,),)</f>
        <v>473637</v>
      </c>
      <c r="C313" s="12">
        <f t="shared" si="8"/>
        <v>-4.0113500092894423E-5</v>
      </c>
      <c r="D313" s="13">
        <f t="shared" si="9"/>
        <v>3.4193856896743723E-2</v>
      </c>
    </row>
    <row r="314" spans="1:4" x14ac:dyDescent="0.2">
      <c r="A314" s="11">
        <v>42948</v>
      </c>
      <c r="B314" s="15">
        <f>VLOOKUP(A314,Database!A:K,MATCH('Retail Sales'!$A$1,Database!$A$1:$K$1,),)</f>
        <v>474544</v>
      </c>
      <c r="C314" s="12">
        <f t="shared" si="8"/>
        <v>1.9149686363185308E-3</v>
      </c>
      <c r="D314" s="13">
        <f t="shared" si="9"/>
        <v>3.4642596286969508E-2</v>
      </c>
    </row>
    <row r="315" spans="1:4" x14ac:dyDescent="0.2">
      <c r="A315" s="10">
        <v>42979</v>
      </c>
      <c r="B315" s="15">
        <f>VLOOKUP(A315,Database!A:K,MATCH('Retail Sales'!$A$1,Database!$A$1:$K$1,),)</f>
        <v>484243</v>
      </c>
      <c r="C315" s="12">
        <f t="shared" si="8"/>
        <v>2.0438568394079371E-2</v>
      </c>
      <c r="D315" s="13">
        <f t="shared" si="9"/>
        <v>4.8732947691454732E-2</v>
      </c>
    </row>
    <row r="316" spans="1:4" x14ac:dyDescent="0.2">
      <c r="A316" s="11">
        <v>43009</v>
      </c>
      <c r="B316" s="15">
        <f>VLOOKUP(A316,Database!A:K,MATCH('Retail Sales'!$A$1,Database!$A$1:$K$1,),)</f>
        <v>484880</v>
      </c>
      <c r="C316" s="12">
        <f t="shared" si="8"/>
        <v>1.3154552569680925E-3</v>
      </c>
      <c r="D316" s="13">
        <f t="shared" si="9"/>
        <v>4.8137636156511628E-2</v>
      </c>
    </row>
    <row r="317" spans="1:4" x14ac:dyDescent="0.2">
      <c r="A317" s="10">
        <v>43040</v>
      </c>
      <c r="B317" s="15">
        <f>VLOOKUP(A317,Database!A:K,MATCH('Retail Sales'!$A$1,Database!$A$1:$K$1,),)</f>
        <v>489882</v>
      </c>
      <c r="C317" s="12">
        <f t="shared" si="8"/>
        <v>1.0315954462959907E-2</v>
      </c>
      <c r="D317" s="13">
        <f t="shared" si="9"/>
        <v>5.9905580773441457E-2</v>
      </c>
    </row>
    <row r="318" spans="1:4" x14ac:dyDescent="0.2">
      <c r="A318" s="11">
        <v>43070</v>
      </c>
      <c r="B318" s="15">
        <f>VLOOKUP(A318,Database!A:K,MATCH('Retail Sales'!$A$1,Database!$A$1:$K$1,),)</f>
        <v>493332</v>
      </c>
      <c r="C318" s="12">
        <f t="shared" si="8"/>
        <v>7.0425122784670592E-3</v>
      </c>
      <c r="D318" s="13">
        <f t="shared" si="9"/>
        <v>5.2818930304621176E-2</v>
      </c>
    </row>
    <row r="319" spans="1:4" x14ac:dyDescent="0.2">
      <c r="A319" s="10">
        <v>43101</v>
      </c>
      <c r="B319" s="15">
        <f>VLOOKUP(A319,Database!A:K,MATCH('Retail Sales'!$A$1,Database!$A$1:$K$1,),)</f>
        <v>491248</v>
      </c>
      <c r="C319" s="12">
        <f t="shared" si="8"/>
        <v>-4.22433574144795E-3</v>
      </c>
      <c r="D319" s="13">
        <f t="shared" si="9"/>
        <v>3.7719268597694935E-2</v>
      </c>
    </row>
    <row r="320" spans="1:4" x14ac:dyDescent="0.2">
      <c r="A320" s="11">
        <v>43132</v>
      </c>
      <c r="B320" s="15">
        <f>VLOOKUP(A320,Database!A:K,MATCH('Retail Sales'!$A$1,Database!$A$1:$K$1,),)</f>
        <v>494424</v>
      </c>
      <c r="C320" s="12">
        <f t="shared" si="8"/>
        <v>6.4651662703970299E-3</v>
      </c>
      <c r="D320" s="13">
        <f t="shared" si="9"/>
        <v>4.4278291724749716E-2</v>
      </c>
    </row>
    <row r="321" spans="1:4" x14ac:dyDescent="0.2">
      <c r="A321" s="10">
        <v>43160</v>
      </c>
      <c r="B321" s="15">
        <f>VLOOKUP(A321,Database!A:K,MATCH('Retail Sales'!$A$1,Database!$A$1:$K$1,),)</f>
        <v>493527</v>
      </c>
      <c r="C321" s="12">
        <f t="shared" si="8"/>
        <v>-1.8142323188194748E-3</v>
      </c>
      <c r="D321" s="13">
        <f t="shared" si="9"/>
        <v>4.4981504733390784E-2</v>
      </c>
    </row>
    <row r="322" spans="1:4" x14ac:dyDescent="0.2">
      <c r="A322" s="11">
        <v>43191</v>
      </c>
      <c r="B322" s="15">
        <f>VLOOKUP(A322,Database!A:K,MATCH('Retail Sales'!$A$1,Database!$A$1:$K$1,),)</f>
        <v>494686</v>
      </c>
      <c r="C322" s="12">
        <f t="shared" si="8"/>
        <v>2.348402417699538E-3</v>
      </c>
      <c r="D322" s="13">
        <f t="shared" si="9"/>
        <v>4.3339794194504962E-2</v>
      </c>
    </row>
    <row r="323" spans="1:4" x14ac:dyDescent="0.2">
      <c r="A323" s="10">
        <v>43221</v>
      </c>
      <c r="B323" s="15">
        <f>VLOOKUP(A323,Database!A:K,MATCH('Retail Sales'!$A$1,Database!$A$1:$K$1,),)</f>
        <v>500671</v>
      </c>
      <c r="C323" s="12">
        <f t="shared" si="8"/>
        <v>1.2098583748074536E-2</v>
      </c>
      <c r="D323" s="13">
        <f t="shared" si="9"/>
        <v>6.1265282935680253E-2</v>
      </c>
    </row>
    <row r="324" spans="1:4" x14ac:dyDescent="0.2">
      <c r="A324" s="11">
        <v>43252</v>
      </c>
      <c r="B324" s="15">
        <f>VLOOKUP(A324,Database!A:K,MATCH('Retail Sales'!$A$1,Database!$A$1:$K$1,),)</f>
        <v>499116</v>
      </c>
      <c r="C324" s="12">
        <f t="shared" si="8"/>
        <v>-3.1058319734915741E-3</v>
      </c>
      <c r="D324" s="13">
        <f t="shared" si="9"/>
        <v>5.3752090124478527E-2</v>
      </c>
    </row>
    <row r="325" spans="1:4" x14ac:dyDescent="0.2">
      <c r="A325" s="10">
        <v>43282</v>
      </c>
      <c r="B325" s="15">
        <f>VLOOKUP(A325,Database!A:K,MATCH('Retail Sales'!$A$1,Database!$A$1:$K$1,),)</f>
        <v>502596</v>
      </c>
      <c r="C325" s="12">
        <f t="shared" si="8"/>
        <v>6.9723270742673045E-3</v>
      </c>
      <c r="D325" s="13">
        <f t="shared" si="9"/>
        <v>6.1141760462126056E-2</v>
      </c>
    </row>
    <row r="326" spans="1:4" x14ac:dyDescent="0.2">
      <c r="A326" s="11">
        <v>43313</v>
      </c>
      <c r="B326" s="15">
        <f>VLOOKUP(A326,Database!A:K,MATCH('Retail Sales'!$A$1,Database!$A$1:$K$1,),)</f>
        <v>502503</v>
      </c>
      <c r="C326" s="12">
        <f t="shared" si="8"/>
        <v>-1.8503927607859991E-4</v>
      </c>
      <c r="D326" s="13">
        <f t="shared" si="9"/>
        <v>5.8917613540577903E-2</v>
      </c>
    </row>
    <row r="327" spans="1:4" x14ac:dyDescent="0.2">
      <c r="A327" s="10">
        <v>43344</v>
      </c>
      <c r="B327" s="15">
        <f>VLOOKUP(A327,Database!A:K,MATCH('Retail Sales'!$A$1,Database!$A$1:$K$1,),)</f>
        <v>500518</v>
      </c>
      <c r="C327" s="12">
        <f t="shared" si="8"/>
        <v>-3.9502251727850379E-3</v>
      </c>
      <c r="D327" s="13">
        <f t="shared" si="9"/>
        <v>3.3609159037921041E-2</v>
      </c>
    </row>
    <row r="328" spans="1:4" x14ac:dyDescent="0.2">
      <c r="A328" s="11">
        <v>43374</v>
      </c>
      <c r="B328" s="15">
        <f>VLOOKUP(A328,Database!A:K,MATCH('Retail Sales'!$A$1,Database!$A$1:$K$1,),)</f>
        <v>505965</v>
      </c>
      <c r="C328" s="12">
        <f t="shared" ref="C328:C373" si="10">(B328-B327)/B327</f>
        <v>1.0882725496385744E-2</v>
      </c>
      <c r="D328" s="13">
        <f t="shared" si="9"/>
        <v>4.3484985975911564E-2</v>
      </c>
    </row>
    <row r="329" spans="1:4" x14ac:dyDescent="0.2">
      <c r="A329" s="10">
        <v>43405</v>
      </c>
      <c r="B329" s="15">
        <f>VLOOKUP(A329,Database!A:K,MATCH('Retail Sales'!$A$1,Database!$A$1:$K$1,),)</f>
        <v>507282</v>
      </c>
      <c r="C329" s="12">
        <f t="shared" si="10"/>
        <v>2.6029468441492987E-3</v>
      </c>
      <c r="D329" s="13">
        <f t="shared" si="9"/>
        <v>3.5518757578355604E-2</v>
      </c>
    </row>
    <row r="330" spans="1:4" x14ac:dyDescent="0.2">
      <c r="A330" s="11">
        <v>43435</v>
      </c>
      <c r="B330" s="15">
        <f>VLOOKUP(A330,Database!A:K,MATCH('Retail Sales'!$A$1,Database!$A$1:$K$1,),)</f>
        <v>498336</v>
      </c>
      <c r="C330" s="12">
        <f t="shared" si="10"/>
        <v>-1.7635161507800395E-2</v>
      </c>
      <c r="D330" s="13">
        <f t="shared" si="9"/>
        <v>1.0143270657488263E-2</v>
      </c>
    </row>
    <row r="331" spans="1:4" x14ac:dyDescent="0.2">
      <c r="A331" s="10">
        <v>43466</v>
      </c>
      <c r="B331" s="15">
        <f>VLOOKUP(A331,Database!A:K,MATCH('Retail Sales'!$A$1,Database!$A$1:$K$1,),)</f>
        <v>501305</v>
      </c>
      <c r="C331" s="12">
        <f t="shared" si="10"/>
        <v>5.9578276504205999E-3</v>
      </c>
      <c r="D331" s="13">
        <f t="shared" si="9"/>
        <v>2.0472347979024853E-2</v>
      </c>
    </row>
    <row r="332" spans="1:4" x14ac:dyDescent="0.2">
      <c r="A332" s="11">
        <v>43497</v>
      </c>
      <c r="B332" s="15">
        <f>VLOOKUP(A332,Database!A:K,MATCH('Retail Sales'!$A$1,Database!$A$1:$K$1,),)</f>
        <v>503037</v>
      </c>
      <c r="C332" s="12">
        <f t="shared" si="10"/>
        <v>3.4549824956862591E-3</v>
      </c>
      <c r="D332" s="13">
        <f t="shared" si="9"/>
        <v>1.7420270860637833E-2</v>
      </c>
    </row>
    <row r="333" spans="1:4" x14ac:dyDescent="0.2">
      <c r="A333" s="10">
        <v>43525</v>
      </c>
      <c r="B333" s="15">
        <f>VLOOKUP(A333,Database!A:K,MATCH('Retail Sales'!$A$1,Database!$A$1:$K$1,),)</f>
        <v>509552</v>
      </c>
      <c r="C333" s="12">
        <f t="shared" si="10"/>
        <v>1.2951333599715328E-2</v>
      </c>
      <c r="D333" s="13">
        <f t="shared" si="9"/>
        <v>3.2470361297355567E-2</v>
      </c>
    </row>
    <row r="334" spans="1:4" x14ac:dyDescent="0.2">
      <c r="A334" s="11">
        <v>43556</v>
      </c>
      <c r="B334" s="15">
        <f>VLOOKUP(A334,Database!A:K,MATCH('Retail Sales'!$A$1,Database!$A$1:$K$1,),)</f>
        <v>510367</v>
      </c>
      <c r="C334" s="12">
        <f t="shared" si="10"/>
        <v>1.5994442176657142E-3</v>
      </c>
      <c r="D334" s="13">
        <f t="shared" si="9"/>
        <v>3.1698895865255941E-2</v>
      </c>
    </row>
    <row r="335" spans="1:4" x14ac:dyDescent="0.2">
      <c r="A335" s="10">
        <v>43586</v>
      </c>
      <c r="B335" s="15">
        <f>VLOOKUP(A335,Database!A:K,MATCH('Retail Sales'!$A$1,Database!$A$1:$K$1,),)</f>
        <v>512883</v>
      </c>
      <c r="C335" s="12">
        <f t="shared" si="10"/>
        <v>4.9297858207917045E-3</v>
      </c>
      <c r="D335" s="13">
        <f t="shared" si="9"/>
        <v>2.4391266919793635E-2</v>
      </c>
    </row>
    <row r="336" spans="1:4" x14ac:dyDescent="0.2">
      <c r="A336" s="11">
        <v>43617</v>
      </c>
      <c r="B336" s="15">
        <f>VLOOKUP(A336,Database!A:K,MATCH('Retail Sales'!$A$1,Database!$A$1:$K$1,),)</f>
        <v>513694</v>
      </c>
      <c r="C336" s="12">
        <f t="shared" si="10"/>
        <v>1.5812573237950955E-3</v>
      </c>
      <c r="D336" s="13">
        <f t="shared" si="9"/>
        <v>2.92076391059393E-2</v>
      </c>
    </row>
    <row r="337" spans="1:4" x14ac:dyDescent="0.2">
      <c r="A337" s="10">
        <v>43647</v>
      </c>
      <c r="B337" s="15">
        <f>VLOOKUP(A337,Database!A:K,MATCH('Retail Sales'!$A$1,Database!$A$1:$K$1,),)</f>
        <v>518670</v>
      </c>
      <c r="C337" s="12">
        <f t="shared" si="10"/>
        <v>9.6867006427951274E-3</v>
      </c>
      <c r="D337" s="13">
        <f t="shared" si="9"/>
        <v>3.1981949717068976E-2</v>
      </c>
    </row>
    <row r="338" spans="1:4" s="110" customFormat="1" x14ac:dyDescent="0.2">
      <c r="A338" s="11">
        <v>43678</v>
      </c>
      <c r="B338" s="15">
        <f>VLOOKUP(A338,Database!A:K,MATCH('Retail Sales'!$A$1,Database!$A$1:$K$1,),)</f>
        <v>521158</v>
      </c>
      <c r="C338" s="12">
        <f t="shared" si="10"/>
        <v>4.7968843387895966E-3</v>
      </c>
      <c r="D338" s="13">
        <f t="shared" si="9"/>
        <v>3.7124156472697678E-2</v>
      </c>
    </row>
    <row r="339" spans="1:4" s="110" customFormat="1" x14ac:dyDescent="0.2">
      <c r="A339" s="10">
        <v>43709</v>
      </c>
      <c r="B339" s="15">
        <f>VLOOKUP(A339,Database!A:K,MATCH('Retail Sales'!$A$1,Database!$A$1:$K$1,),)</f>
        <v>517755</v>
      </c>
      <c r="C339" s="12">
        <f t="shared" si="10"/>
        <v>-6.5296896526581194E-3</v>
      </c>
      <c r="D339" s="13">
        <f t="shared" ref="D339:D372" si="11">(B339-B327)/B327</f>
        <v>3.443832189851314E-2</v>
      </c>
    </row>
    <row r="340" spans="1:4" s="110" customFormat="1" x14ac:dyDescent="0.2">
      <c r="A340" s="11">
        <v>43739</v>
      </c>
      <c r="B340" s="15">
        <f>VLOOKUP(A340,Database!A:K,MATCH('Retail Sales'!$A$1,Database!$A$1:$K$1,),)</f>
        <v>519519</v>
      </c>
      <c r="C340" s="12">
        <f t="shared" si="10"/>
        <v>3.4070168322855405E-3</v>
      </c>
      <c r="D340" s="13">
        <f t="shared" si="11"/>
        <v>2.678841421837479E-2</v>
      </c>
    </row>
    <row r="341" spans="1:4" s="110" customFormat="1" x14ac:dyDescent="0.2">
      <c r="A341" s="10">
        <v>43770</v>
      </c>
      <c r="B341" s="15">
        <f>VLOOKUP(A341,Database!A:K,MATCH('Retail Sales'!$A$1,Database!$A$1:$K$1,),)</f>
        <v>521774</v>
      </c>
      <c r="C341" s="12">
        <f t="shared" si="10"/>
        <v>4.3405534735014503E-3</v>
      </c>
      <c r="D341" s="13">
        <f t="shared" si="11"/>
        <v>2.8567936571768759E-2</v>
      </c>
    </row>
    <row r="342" spans="1:4" s="110" customFormat="1" x14ac:dyDescent="0.2">
      <c r="A342" s="11">
        <v>43800</v>
      </c>
      <c r="B342" s="15">
        <f>VLOOKUP(A342,Database!A:K,MATCH('Retail Sales'!$A$1,Database!$A$1:$K$1,),)</f>
        <v>525903</v>
      </c>
      <c r="C342" s="12">
        <f t="shared" si="10"/>
        <v>7.9133877885827972E-3</v>
      </c>
      <c r="D342" s="13">
        <f t="shared" si="11"/>
        <v>5.5318098632248125E-2</v>
      </c>
    </row>
    <row r="343" spans="1:4" s="110" customFormat="1" x14ac:dyDescent="0.2">
      <c r="A343" s="10">
        <v>43831</v>
      </c>
      <c r="B343" s="15">
        <f>VLOOKUP(A343,Database!A:K,MATCH('Retail Sales'!$A$1,Database!$A$1:$K$1,),)</f>
        <v>524063</v>
      </c>
      <c r="C343" s="12">
        <f t="shared" si="10"/>
        <v>-3.4987440649701562E-3</v>
      </c>
      <c r="D343" s="13">
        <f t="shared" si="11"/>
        <v>4.5397512492394848E-2</v>
      </c>
    </row>
    <row r="344" spans="1:4" s="110" customFormat="1" x14ac:dyDescent="0.2">
      <c r="A344" s="11">
        <v>43862</v>
      </c>
      <c r="B344" s="15">
        <f>VLOOKUP(A344,Database!A:K,MATCH('Retail Sales'!$A$1,Database!$A$1:$K$1,),)</f>
        <v>526174</v>
      </c>
      <c r="C344" s="12">
        <f t="shared" si="10"/>
        <v>4.0281416547247179E-3</v>
      </c>
      <c r="D344" s="13">
        <f t="shared" si="11"/>
        <v>4.5994628625727334E-2</v>
      </c>
    </row>
    <row r="345" spans="1:4" s="110" customFormat="1" x14ac:dyDescent="0.2">
      <c r="A345" s="10">
        <v>43891</v>
      </c>
      <c r="B345" s="15">
        <f>VLOOKUP(A345,Database!A:K,MATCH('Retail Sales'!$A$1,Database!$A$1:$K$1,),)</f>
        <v>480150</v>
      </c>
      <c r="C345" s="12">
        <f t="shared" si="10"/>
        <v>-8.7469164192833543E-2</v>
      </c>
      <c r="D345" s="13">
        <f t="shared" si="11"/>
        <v>-5.7701667347002855E-2</v>
      </c>
    </row>
    <row r="346" spans="1:4" s="110" customFormat="1" x14ac:dyDescent="0.2">
      <c r="A346" s="11">
        <v>43922</v>
      </c>
      <c r="B346" s="15">
        <f>VLOOKUP(A346,Database!A:K,MATCH('Retail Sales'!$A$1,Database!$A$1:$K$1,),)</f>
        <v>407025</v>
      </c>
      <c r="C346" s="12">
        <f t="shared" si="10"/>
        <v>-0.15229615745079664</v>
      </c>
      <c r="D346" s="13">
        <f t="shared" si="11"/>
        <v>-0.20248566227832129</v>
      </c>
    </row>
    <row r="347" spans="1:4" s="110" customFormat="1" x14ac:dyDescent="0.2">
      <c r="A347" s="10">
        <v>43952</v>
      </c>
      <c r="B347" s="15">
        <f>VLOOKUP(A347,Database!A:K,MATCH('Retail Sales'!$A$1,Database!$A$1:$K$1,),)</f>
        <v>483066</v>
      </c>
      <c r="C347" s="12">
        <f t="shared" si="10"/>
        <v>0.18682144831398562</v>
      </c>
      <c r="D347" s="13">
        <f t="shared" si="11"/>
        <v>-5.8136066120343236E-2</v>
      </c>
    </row>
    <row r="348" spans="1:4" s="110" customFormat="1" x14ac:dyDescent="0.2">
      <c r="A348" s="11">
        <v>43983</v>
      </c>
      <c r="B348" s="15">
        <f>VLOOKUP(A348,Database!A:K,MATCH('Retail Sales'!$A$1,Database!$A$1:$K$1,),)</f>
        <v>525093</v>
      </c>
      <c r="C348" s="12">
        <f t="shared" si="10"/>
        <v>8.7000534088509648E-2</v>
      </c>
      <c r="D348" s="13">
        <f t="shared" si="11"/>
        <v>2.2190253341483453E-2</v>
      </c>
    </row>
    <row r="349" spans="1:4" s="110" customFormat="1" x14ac:dyDescent="0.2">
      <c r="A349" s="10">
        <v>44013</v>
      </c>
      <c r="B349" s="15">
        <f>VLOOKUP(A349,Database!A:K,MATCH('Retail Sales'!$A$1,Database!$A$1:$K$1,),)</f>
        <v>536087</v>
      </c>
      <c r="C349" s="12">
        <f t="shared" si="10"/>
        <v>2.0937243497818482E-2</v>
      </c>
      <c r="D349" s="13">
        <f t="shared" si="11"/>
        <v>3.3580118379701929E-2</v>
      </c>
    </row>
    <row r="350" spans="1:4" s="110" customFormat="1" x14ac:dyDescent="0.2">
      <c r="A350" s="11">
        <v>44044</v>
      </c>
      <c r="B350" s="15">
        <f>VLOOKUP(A350,Database!A:K,MATCH('Retail Sales'!$A$1,Database!$A$1:$K$1,),)</f>
        <v>540078</v>
      </c>
      <c r="C350" s="12">
        <f t="shared" si="10"/>
        <v>7.4446871496604092E-3</v>
      </c>
      <c r="D350" s="13">
        <f t="shared" si="11"/>
        <v>3.6303769682130949E-2</v>
      </c>
    </row>
    <row r="351" spans="1:4" s="110" customFormat="1" x14ac:dyDescent="0.2">
      <c r="A351" s="10">
        <v>44075</v>
      </c>
      <c r="B351" s="15">
        <f>VLOOKUP(A351,Database!A:K,MATCH('Retail Sales'!$A$1,Database!$A$1:$K$1,),)</f>
        <v>551871</v>
      </c>
      <c r="C351" s="12">
        <f t="shared" si="10"/>
        <v>2.1835734838301136E-2</v>
      </c>
      <c r="D351" s="13">
        <f t="shared" si="11"/>
        <v>6.5892169076107426E-2</v>
      </c>
    </row>
    <row r="352" spans="1:4" s="110" customFormat="1" x14ac:dyDescent="0.2">
      <c r="A352" s="11">
        <v>44105</v>
      </c>
      <c r="B352" s="15">
        <f>VLOOKUP(A352,Database!A:K,MATCH('Retail Sales'!$A$1,Database!$A$1:$K$1,),)</f>
        <v>550049</v>
      </c>
      <c r="C352" s="12">
        <f t="shared" si="10"/>
        <v>-3.3014961829847919E-3</v>
      </c>
      <c r="D352" s="13">
        <f t="shared" si="11"/>
        <v>5.8765896916185931E-2</v>
      </c>
    </row>
    <row r="353" spans="1:4" s="110" customFormat="1" x14ac:dyDescent="0.2">
      <c r="A353" s="10">
        <v>44136</v>
      </c>
      <c r="B353" s="15">
        <f>VLOOKUP(A353,Database!A:K,MATCH('Retail Sales'!$A$1,Database!$A$1:$K$1,),)</f>
        <v>543834</v>
      </c>
      <c r="C353" s="12">
        <f t="shared" si="10"/>
        <v>-1.1298993362409531E-2</v>
      </c>
      <c r="D353" s="13">
        <f t="shared" si="11"/>
        <v>4.227884103079111E-2</v>
      </c>
    </row>
    <row r="354" spans="1:4" s="110" customFormat="1" x14ac:dyDescent="0.2">
      <c r="A354" s="11">
        <v>44166</v>
      </c>
      <c r="B354" s="15">
        <f>VLOOKUP(A354,Database!A:K,MATCH('Retail Sales'!$A$1,Database!$A$1:$K$1,),)</f>
        <v>542942</v>
      </c>
      <c r="C354" s="12">
        <f t="shared" si="10"/>
        <v>-1.6402063865076475E-3</v>
      </c>
      <c r="D354" s="13">
        <f t="shared" si="11"/>
        <v>3.2399510936427442E-2</v>
      </c>
    </row>
    <row r="355" spans="1:4" s="110" customFormat="1" x14ac:dyDescent="0.2">
      <c r="A355" s="10">
        <v>44197</v>
      </c>
      <c r="B355" s="15">
        <f>VLOOKUP(A355,Database!A:K,MATCH('Retail Sales'!$A$1,Database!$A$1:$K$1,),)</f>
        <v>572822</v>
      </c>
      <c r="C355" s="12">
        <f t="shared" si="10"/>
        <v>5.5033502657742449E-2</v>
      </c>
      <c r="D355" s="13">
        <f t="shared" si="11"/>
        <v>9.3040340569740657E-2</v>
      </c>
    </row>
    <row r="356" spans="1:4" s="110" customFormat="1" x14ac:dyDescent="0.2">
      <c r="A356" s="11">
        <v>44228</v>
      </c>
      <c r="B356" s="15">
        <f>VLOOKUP(A356,Database!A:K,MATCH('Retail Sales'!$A$1,Database!$A$1:$K$1,),)</f>
        <v>562686</v>
      </c>
      <c r="C356" s="12">
        <f t="shared" si="10"/>
        <v>-1.7694851105579047E-2</v>
      </c>
      <c r="D356" s="13">
        <f t="shared" si="11"/>
        <v>6.9391494068502049E-2</v>
      </c>
    </row>
    <row r="357" spans="1:4" s="110" customFormat="1" x14ac:dyDescent="0.2">
      <c r="A357" s="10">
        <v>44256</v>
      </c>
      <c r="B357" s="15">
        <f>VLOOKUP(A357,Database!A:K,MATCH('Retail Sales'!$A$1,Database!$A$1:$K$1,),)</f>
        <v>625731</v>
      </c>
      <c r="C357" s="12">
        <f t="shared" si="10"/>
        <v>0.11204295113082607</v>
      </c>
      <c r="D357" s="13">
        <f t="shared" si="11"/>
        <v>0.30319900031240238</v>
      </c>
    </row>
    <row r="358" spans="1:4" s="110" customFormat="1" x14ac:dyDescent="0.2">
      <c r="A358" s="11">
        <v>44287</v>
      </c>
      <c r="B358" s="15">
        <f>VLOOKUP(A358,Database!A:K,MATCH('Retail Sales'!$A$1,Database!$A$1:$K$1,),)</f>
        <v>625764</v>
      </c>
      <c r="C358" s="12">
        <f t="shared" si="10"/>
        <v>5.2738317264127874E-5</v>
      </c>
      <c r="D358" s="13">
        <f t="shared" si="11"/>
        <v>0.53740925004606599</v>
      </c>
    </row>
    <row r="359" spans="1:4" s="110" customFormat="1" x14ac:dyDescent="0.2">
      <c r="A359" s="10">
        <v>44317</v>
      </c>
      <c r="B359" s="15">
        <f>VLOOKUP(A359,Database!A:K,MATCH('Retail Sales'!$A$1,Database!$A$1:$K$1,),)</f>
        <v>622921</v>
      </c>
      <c r="C359" s="12">
        <f t="shared" si="10"/>
        <v>-4.5432463356792656E-3</v>
      </c>
      <c r="D359" s="13">
        <f t="shared" si="11"/>
        <v>0.289515304326945</v>
      </c>
    </row>
    <row r="360" spans="1:4" s="110" customFormat="1" x14ac:dyDescent="0.2">
      <c r="A360" s="11">
        <v>44348</v>
      </c>
      <c r="B360" s="15">
        <f>VLOOKUP(A360,Database!A:K,MATCH('Retail Sales'!$A$1,Database!$A$1:$K$1,),)</f>
        <v>628881</v>
      </c>
      <c r="C360" s="12">
        <f t="shared" si="10"/>
        <v>9.5678264177961568E-3</v>
      </c>
      <c r="D360" s="13">
        <f t="shared" si="11"/>
        <v>0.19765641514931639</v>
      </c>
    </row>
    <row r="361" spans="1:4" s="110" customFormat="1" x14ac:dyDescent="0.2">
      <c r="A361" s="10">
        <v>44378</v>
      </c>
      <c r="B361" s="15">
        <f>VLOOKUP(A361,Database!A:K,MATCH('Retail Sales'!$A$1,Database!$A$1:$K$1,),)</f>
        <v>619180</v>
      </c>
      <c r="C361" s="12">
        <f t="shared" si="10"/>
        <v>-1.54258118785589E-2</v>
      </c>
      <c r="D361" s="13">
        <f t="shared" si="11"/>
        <v>0.15499909529609932</v>
      </c>
    </row>
    <row r="362" spans="1:4" s="110" customFormat="1" x14ac:dyDescent="0.2">
      <c r="A362" s="11">
        <v>44409</v>
      </c>
      <c r="B362" s="15">
        <f>VLOOKUP(A362,Database!A:K,MATCH('Retail Sales'!$A$1,Database!$A$1:$K$1,),)</f>
        <v>624738</v>
      </c>
      <c r="C362" s="12">
        <f t="shared" si="10"/>
        <v>8.9763881262314681E-3</v>
      </c>
      <c r="D362" s="13">
        <f t="shared" si="11"/>
        <v>0.15675513536933555</v>
      </c>
    </row>
    <row r="363" spans="1:4" s="110" customFormat="1" x14ac:dyDescent="0.2">
      <c r="A363" s="11">
        <v>44440</v>
      </c>
      <c r="B363" s="15">
        <f>VLOOKUP(A363,Database!A:K,MATCH('Retail Sales'!$A$1,Database!$A$1:$K$1,),)</f>
        <v>630905</v>
      </c>
      <c r="C363" s="12">
        <f t="shared" si="10"/>
        <v>9.8713380649168136E-3</v>
      </c>
      <c r="D363" s="13">
        <f t="shared" si="11"/>
        <v>0.1432110040208672</v>
      </c>
    </row>
    <row r="364" spans="1:4" s="110" customFormat="1" x14ac:dyDescent="0.2">
      <c r="A364" s="10">
        <v>44470</v>
      </c>
      <c r="B364" s="15">
        <f>VLOOKUP(A364,Database!A:K,MATCH('Retail Sales'!$A$1,Database!$A$1:$K$1,),)</f>
        <v>640899</v>
      </c>
      <c r="C364" s="12">
        <f t="shared" si="10"/>
        <v>1.5840736719474405E-2</v>
      </c>
      <c r="D364" s="13">
        <f t="shared" si="11"/>
        <v>0.16516710329443376</v>
      </c>
    </row>
    <row r="365" spans="1:4" s="110" customFormat="1" x14ac:dyDescent="0.2">
      <c r="A365" s="11">
        <v>44501</v>
      </c>
      <c r="B365" s="15">
        <f>VLOOKUP(A365,Database!A:K,MATCH('Retail Sales'!$A$1,Database!$A$1:$K$1,),)</f>
        <v>644741</v>
      </c>
      <c r="C365" s="12">
        <f t="shared" si="10"/>
        <v>5.9947043137842312E-3</v>
      </c>
      <c r="D365" s="13">
        <f t="shared" si="11"/>
        <v>0.18554742807547892</v>
      </c>
    </row>
    <row r="366" spans="1:4" s="110" customFormat="1" x14ac:dyDescent="0.2">
      <c r="A366" s="11">
        <v>44531</v>
      </c>
      <c r="B366" s="15">
        <f>VLOOKUP(A366,Database!A:K,MATCH('Retail Sales'!$A$1,Database!$A$1:$K$1,),)</f>
        <v>634393</v>
      </c>
      <c r="C366" s="12">
        <f t="shared" si="10"/>
        <v>-1.6049855678481748E-2</v>
      </c>
      <c r="D366" s="13">
        <f t="shared" si="11"/>
        <v>0.16843603920860792</v>
      </c>
    </row>
    <row r="367" spans="1:4" s="110" customFormat="1" x14ac:dyDescent="0.2">
      <c r="A367" s="11">
        <v>44562</v>
      </c>
      <c r="B367" s="15">
        <f>VLOOKUP(A367,Database!A:K,MATCH('Retail Sales'!$A$1,Database!$A$1:$K$1,),)</f>
        <v>651557</v>
      </c>
      <c r="C367" s="12">
        <f t="shared" si="10"/>
        <v>2.7055784032925963E-2</v>
      </c>
      <c r="D367" s="13">
        <f t="shared" si="11"/>
        <v>0.13745107555226579</v>
      </c>
    </row>
    <row r="368" spans="1:4" s="110" customFormat="1" x14ac:dyDescent="0.2">
      <c r="A368" s="10">
        <v>44593</v>
      </c>
      <c r="B368" s="15">
        <f>VLOOKUP(A368,Database!A:K,MATCH('Retail Sales'!$A$1,Database!$A$1:$K$1,),)</f>
        <v>662321</v>
      </c>
      <c r="C368" s="12">
        <f t="shared" si="10"/>
        <v>1.6520427222790946E-2</v>
      </c>
      <c r="D368" s="13">
        <f t="shared" si="11"/>
        <v>0.17707033763057906</v>
      </c>
    </row>
    <row r="369" spans="1:4" s="110" customFormat="1" x14ac:dyDescent="0.2">
      <c r="A369" s="11">
        <v>44621</v>
      </c>
      <c r="B369" s="15">
        <f>VLOOKUP(A369,Database!A:K,MATCH('Retail Sales'!$A$1,Database!$A$1:$K$1,),)</f>
        <v>669958</v>
      </c>
      <c r="C369" s="12">
        <f t="shared" si="10"/>
        <v>1.1530662624316608E-2</v>
      </c>
      <c r="D369" s="13">
        <f t="shared" si="11"/>
        <v>7.0680532049714653E-2</v>
      </c>
    </row>
    <row r="370" spans="1:4" s="110" customFormat="1" x14ac:dyDescent="0.2">
      <c r="A370" s="11">
        <v>44652</v>
      </c>
      <c r="B370" s="15">
        <f>VLOOKUP(A370,Database!A:K,MATCH('Retail Sales'!$A$1,Database!$A$1:$K$1,),)</f>
        <v>674719</v>
      </c>
      <c r="C370" s="12">
        <f t="shared" si="10"/>
        <v>7.1064156260541708E-3</v>
      </c>
      <c r="D370" s="13">
        <f t="shared" si="11"/>
        <v>7.8232368752437026E-2</v>
      </c>
    </row>
    <row r="371" spans="1:4" s="110" customFormat="1" x14ac:dyDescent="0.2">
      <c r="A371" s="10">
        <v>44682</v>
      </c>
      <c r="B371" s="15">
        <f>VLOOKUP(A371,Database!A:K,MATCH('Retail Sales'!$A$1,Database!$A$1:$K$1,),)</f>
        <v>677115</v>
      </c>
      <c r="C371" s="12">
        <f t="shared" si="10"/>
        <v>3.5511079427139299E-3</v>
      </c>
      <c r="D371" s="13">
        <f t="shared" si="11"/>
        <v>8.6999796121819614E-2</v>
      </c>
    </row>
    <row r="372" spans="1:4" s="110" customFormat="1" x14ac:dyDescent="0.2">
      <c r="A372" s="11">
        <v>44713</v>
      </c>
      <c r="B372" s="15">
        <f>VLOOKUP(A372,Database!A:K,MATCH('Retail Sales'!$A$1,Database!$A$1:$K$1,),)</f>
        <v>682585</v>
      </c>
      <c r="C372" s="12">
        <f t="shared" si="10"/>
        <v>8.0783914106171036E-3</v>
      </c>
      <c r="D372" s="13">
        <f t="shared" si="11"/>
        <v>8.539612422700002E-2</v>
      </c>
    </row>
    <row r="373" spans="1:4" s="110" customFormat="1" x14ac:dyDescent="0.2">
      <c r="A373" s="11">
        <v>44743</v>
      </c>
      <c r="B373" s="15">
        <f>VLOOKUP(A373,Database!A:K,MATCH('Retail Sales'!$A$1,Database!$A$1:$K$1,),)</f>
        <v>682815</v>
      </c>
      <c r="C373" s="12">
        <f t="shared" si="10"/>
        <v>3.3695437198297647E-4</v>
      </c>
      <c r="D373" s="13">
        <f t="shared" ref="D373" si="12">(B373-B361)/B361</f>
        <v>0.10277302238444394</v>
      </c>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row r="539" spans="1:4" x14ac:dyDescent="0.2">
      <c r="A539" s="54"/>
      <c r="B539" s="14"/>
      <c r="C539" s="54"/>
      <c r="D539" s="54"/>
    </row>
    <row r="540" spans="1:4" x14ac:dyDescent="0.2">
      <c r="A540" s="54"/>
      <c r="B540" s="14"/>
      <c r="C540" s="54"/>
      <c r="D540" s="54"/>
    </row>
    <row r="541" spans="1:4" x14ac:dyDescent="0.2">
      <c r="A541" s="54"/>
      <c r="B541" s="14"/>
      <c r="C541" s="54"/>
      <c r="D541" s="54"/>
    </row>
    <row r="542" spans="1:4" x14ac:dyDescent="0.2">
      <c r="A542" s="54"/>
      <c r="B542" s="14"/>
      <c r="C542" s="54"/>
      <c r="D542" s="54"/>
    </row>
    <row r="543" spans="1:4" x14ac:dyDescent="0.2">
      <c r="A543" s="54"/>
      <c r="B543" s="14"/>
      <c r="C543" s="54"/>
      <c r="D543" s="54"/>
    </row>
    <row r="544" spans="1:4" x14ac:dyDescent="0.2">
      <c r="A544" s="54"/>
      <c r="B544" s="14"/>
      <c r="C544" s="54"/>
      <c r="D544" s="54"/>
    </row>
    <row r="545" spans="1:4" x14ac:dyDescent="0.2">
      <c r="A545" s="54"/>
      <c r="B545" s="14"/>
      <c r="C545" s="54"/>
      <c r="D545" s="54"/>
    </row>
  </sheetData>
  <conditionalFormatting sqref="C8:C373">
    <cfRule type="colorScale" priority="42">
      <colorScale>
        <cfvo type="min"/>
        <cfvo type="percentile" val="50"/>
        <cfvo type="max"/>
        <color rgb="FFF8696B"/>
        <color rgb="FFFFEB84"/>
        <color rgb="FF63BE7B"/>
      </colorScale>
    </cfRule>
  </conditionalFormatting>
  <conditionalFormatting sqref="D19:D373">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1"/>
  <sheetViews>
    <sheetView zoomScale="160" zoomScaleNormal="160" workbookViewId="0">
      <pane ySplit="6" topLeftCell="A365" activePane="bottomLeft" state="frozen"/>
      <selection pane="bottomLeft" activeCell="A373" sqref="A373"/>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289245</v>
      </c>
      <c r="C223" s="12">
        <f t="shared" si="6"/>
        <v>8.7199343928745683E-4</v>
      </c>
      <c r="D223" s="13">
        <f t="shared" si="7"/>
        <v>2.883271264392347E-2</v>
      </c>
    </row>
    <row r="224" spans="1:4" x14ac:dyDescent="0.2">
      <c r="A224" s="11">
        <v>40210</v>
      </c>
      <c r="B224" s="15">
        <f>VLOOKUP(A224,Database!A:M,MATCH($A$1,Database!$A$1:$M$1,),)</f>
        <v>291032</v>
      </c>
      <c r="C224" s="12">
        <f t="shared" si="6"/>
        <v>6.1781534685128522E-3</v>
      </c>
      <c r="D224" s="13">
        <f t="shared" si="7"/>
        <v>3.4272961178159693E-2</v>
      </c>
    </row>
    <row r="225" spans="1:4" x14ac:dyDescent="0.2">
      <c r="A225" s="10">
        <v>40238</v>
      </c>
      <c r="B225" s="15">
        <f>VLOOKUP(A225,Database!A:M,MATCH($A$1,Database!$A$1:$M$1,),)</f>
        <v>293463</v>
      </c>
      <c r="C225" s="12">
        <f t="shared" si="6"/>
        <v>8.3530333434124089E-3</v>
      </c>
      <c r="D225" s="13">
        <f t="shared" si="7"/>
        <v>6.0785043756122425E-2</v>
      </c>
    </row>
    <row r="226" spans="1:4" x14ac:dyDescent="0.2">
      <c r="A226" s="11">
        <v>40269</v>
      </c>
      <c r="B226" s="15">
        <f>VLOOKUP(A226,Database!A:M,MATCH($A$1,Database!$A$1:$M$1,),)</f>
        <v>295638</v>
      </c>
      <c r="C226" s="12">
        <f t="shared" si="6"/>
        <v>7.4114965089295756E-3</v>
      </c>
      <c r="D226" s="13">
        <f t="shared" si="7"/>
        <v>6.4230817689303263E-2</v>
      </c>
    </row>
    <row r="227" spans="1:4" x14ac:dyDescent="0.2">
      <c r="A227" s="10">
        <v>40299</v>
      </c>
      <c r="B227" s="15">
        <f>VLOOKUP(A227,Database!A:M,MATCH($A$1,Database!$A$1:$M$1,),)</f>
        <v>292684</v>
      </c>
      <c r="C227" s="12">
        <f t="shared" si="6"/>
        <v>-9.9919496140550273E-3</v>
      </c>
      <c r="D227" s="13">
        <f t="shared" si="7"/>
        <v>4.4676924834116796E-2</v>
      </c>
    </row>
    <row r="228" spans="1:4" x14ac:dyDescent="0.2">
      <c r="A228" s="11">
        <v>40330</v>
      </c>
      <c r="B228" s="15">
        <f>VLOOKUP(A228,Database!A:M,MATCH($A$1,Database!$A$1:$M$1,),)</f>
        <v>292341</v>
      </c>
      <c r="C228" s="12">
        <f t="shared" si="6"/>
        <v>-1.1719123696546446E-3</v>
      </c>
      <c r="D228" s="13">
        <f t="shared" si="7"/>
        <v>3.201516563585529E-2</v>
      </c>
    </row>
    <row r="229" spans="1:4" x14ac:dyDescent="0.2">
      <c r="A229" s="10">
        <v>40360</v>
      </c>
      <c r="B229" s="15">
        <f>VLOOKUP(A229,Database!A:M,MATCH($A$1,Database!$A$1:$M$1,),)</f>
        <v>292165</v>
      </c>
      <c r="C229" s="12">
        <f t="shared" si="6"/>
        <v>-6.0203666266449112E-4</v>
      </c>
      <c r="D229" s="13">
        <f t="shared" si="7"/>
        <v>3.3228536367140668E-2</v>
      </c>
    </row>
    <row r="230" spans="1:4" x14ac:dyDescent="0.2">
      <c r="A230" s="11">
        <v>40391</v>
      </c>
      <c r="B230" s="15">
        <f>VLOOKUP(A230,Database!A:M,MATCH($A$1,Database!$A$1:$M$1,),)</f>
        <v>294065</v>
      </c>
      <c r="C230" s="12">
        <f t="shared" si="6"/>
        <v>6.5031745760101315E-3</v>
      </c>
      <c r="D230" s="13">
        <f t="shared" si="7"/>
        <v>3.3965647580035514E-2</v>
      </c>
    </row>
    <row r="231" spans="1:4" x14ac:dyDescent="0.2">
      <c r="A231" s="10">
        <v>40422</v>
      </c>
      <c r="B231" s="15">
        <f>VLOOKUP(A231,Database!A:M,MATCH($A$1,Database!$A$1:$M$1,),)</f>
        <v>296386</v>
      </c>
      <c r="C231" s="12">
        <f t="shared" si="6"/>
        <v>7.8928128134936153E-3</v>
      </c>
      <c r="D231" s="13">
        <f t="shared" si="7"/>
        <v>4.0049408189547782E-2</v>
      </c>
    </row>
    <row r="232" spans="1:4" x14ac:dyDescent="0.2">
      <c r="A232" s="11">
        <v>40452</v>
      </c>
      <c r="B232" s="15">
        <f>VLOOKUP(A232,Database!A:M,MATCH($A$1,Database!$A$1:$M$1,),)</f>
        <v>298661</v>
      </c>
      <c r="C232" s="12">
        <f t="shared" si="6"/>
        <v>7.6758011512014735E-3</v>
      </c>
      <c r="D232" s="13">
        <f t="shared" si="7"/>
        <v>4.7253537177621541E-2</v>
      </c>
    </row>
    <row r="233" spans="1:4" x14ac:dyDescent="0.2">
      <c r="A233" s="10">
        <v>40483</v>
      </c>
      <c r="B233" s="15">
        <f>VLOOKUP(A233,Database!A:M,MATCH($A$1,Database!$A$1:$M$1,),)</f>
        <v>301818</v>
      </c>
      <c r="C233" s="12">
        <f t="shared" si="6"/>
        <v>1.0570513056609334E-2</v>
      </c>
      <c r="D233" s="13">
        <f t="shared" si="7"/>
        <v>5.155738276078322E-2</v>
      </c>
    </row>
    <row r="234" spans="1:4" x14ac:dyDescent="0.2">
      <c r="A234" s="11">
        <v>40513</v>
      </c>
      <c r="B234" s="15">
        <f>VLOOKUP(A234,Database!A:M,MATCH($A$1,Database!$A$1:$M$1,),)</f>
        <v>303933</v>
      </c>
      <c r="C234" s="12">
        <f t="shared" si="6"/>
        <v>7.0075343418881577E-3</v>
      </c>
      <c r="D234" s="13">
        <f t="shared" si="7"/>
        <v>5.1696753900613512E-2</v>
      </c>
    </row>
    <row r="235" spans="1:4" x14ac:dyDescent="0.2">
      <c r="A235" s="10">
        <v>40544</v>
      </c>
      <c r="B235" s="15">
        <f>VLOOKUP(A235,Database!A:M,MATCH($A$1,Database!$A$1:$M$1,),)</f>
        <v>305807</v>
      </c>
      <c r="C235" s="12">
        <f t="shared" si="6"/>
        <v>6.1658326012640945E-3</v>
      </c>
      <c r="D235" s="13">
        <f t="shared" si="7"/>
        <v>5.7259416757420183E-2</v>
      </c>
    </row>
    <row r="236" spans="1:4" x14ac:dyDescent="0.2">
      <c r="A236" s="11">
        <v>40575</v>
      </c>
      <c r="B236" s="15">
        <f>VLOOKUP(A236,Database!A:M,MATCH($A$1,Database!$A$1:$M$1,),)</f>
        <v>307809</v>
      </c>
      <c r="C236" s="12">
        <f t="shared" si="6"/>
        <v>6.5466127328674623E-3</v>
      </c>
      <c r="D236" s="13">
        <f t="shared" si="7"/>
        <v>5.7646581819181399E-2</v>
      </c>
    </row>
    <row r="237" spans="1:4" x14ac:dyDescent="0.2">
      <c r="A237" s="10">
        <v>40603</v>
      </c>
      <c r="B237" s="15">
        <f>VLOOKUP(A237,Database!A:M,MATCH($A$1,Database!$A$1:$M$1,),)</f>
        <v>310995</v>
      </c>
      <c r="C237" s="12">
        <f t="shared" si="6"/>
        <v>1.0350574544603959E-2</v>
      </c>
      <c r="D237" s="13">
        <f t="shared" si="7"/>
        <v>5.9741773238875091E-2</v>
      </c>
    </row>
    <row r="238" spans="1:4" x14ac:dyDescent="0.2">
      <c r="A238" s="11">
        <v>40634</v>
      </c>
      <c r="B238" s="15">
        <f>VLOOKUP(A238,Database!A:M,MATCH($A$1,Database!$A$1:$M$1,),)</f>
        <v>313677</v>
      </c>
      <c r="C238" s="12">
        <f t="shared" si="6"/>
        <v>8.6239328606569233E-3</v>
      </c>
      <c r="D238" s="13">
        <f t="shared" si="7"/>
        <v>6.1017189941753092E-2</v>
      </c>
    </row>
    <row r="239" spans="1:4" x14ac:dyDescent="0.2">
      <c r="A239" s="10">
        <v>40664</v>
      </c>
      <c r="B239" s="15">
        <f>VLOOKUP(A239,Database!A:M,MATCH($A$1,Database!$A$1:$M$1,),)</f>
        <v>314364</v>
      </c>
      <c r="C239" s="12">
        <f t="shared" si="6"/>
        <v>2.1901510152162892E-3</v>
      </c>
      <c r="D239" s="13">
        <f t="shared" si="7"/>
        <v>7.4073061732106982E-2</v>
      </c>
    </row>
    <row r="240" spans="1:4" x14ac:dyDescent="0.2">
      <c r="A240" s="11">
        <v>40695</v>
      </c>
      <c r="B240" s="15">
        <f>VLOOKUP(A240,Database!A:M,MATCH($A$1,Database!$A$1:$M$1,),)</f>
        <v>316502</v>
      </c>
      <c r="C240" s="12">
        <f t="shared" si="6"/>
        <v>6.8010331971854283E-3</v>
      </c>
      <c r="D240" s="13">
        <f t="shared" si="7"/>
        <v>8.2646635264981644E-2</v>
      </c>
    </row>
    <row r="241" spans="1:4" x14ac:dyDescent="0.2">
      <c r="A241" s="10">
        <v>40725</v>
      </c>
      <c r="B241" s="15">
        <f>VLOOKUP(A241,Database!A:M,MATCH($A$1,Database!$A$1:$M$1,),)</f>
        <v>316418</v>
      </c>
      <c r="C241" s="12">
        <f t="shared" si="6"/>
        <v>-2.6540116650131752E-4</v>
      </c>
      <c r="D241" s="13">
        <f t="shared" si="7"/>
        <v>8.3011312101038792E-2</v>
      </c>
    </row>
    <row r="242" spans="1:4" x14ac:dyDescent="0.2">
      <c r="A242" s="11">
        <v>40756</v>
      </c>
      <c r="B242" s="15">
        <f>VLOOKUP(A242,Database!A:M,MATCH($A$1,Database!$A$1:$M$1,),)</f>
        <v>318034</v>
      </c>
      <c r="C242" s="12">
        <f t="shared" si="6"/>
        <v>5.1071683658957456E-3</v>
      </c>
      <c r="D242" s="13">
        <f t="shared" si="7"/>
        <v>8.1509190145035965E-2</v>
      </c>
    </row>
    <row r="243" spans="1:4" x14ac:dyDescent="0.2">
      <c r="A243" s="10">
        <v>40787</v>
      </c>
      <c r="B243" s="15">
        <f>VLOOKUP(A243,Database!A:M,MATCH($A$1,Database!$A$1:$M$1,),)</f>
        <v>318942</v>
      </c>
      <c r="C243" s="12">
        <f t="shared" si="6"/>
        <v>2.8550406560304874E-3</v>
      </c>
      <c r="D243" s="13">
        <f t="shared" si="7"/>
        <v>7.6103459677582613E-2</v>
      </c>
    </row>
    <row r="244" spans="1:4" x14ac:dyDescent="0.2">
      <c r="A244" s="11">
        <v>40817</v>
      </c>
      <c r="B244" s="15">
        <f>VLOOKUP(A244,Database!A:M,MATCH($A$1,Database!$A$1:$M$1,),)</f>
        <v>320224</v>
      </c>
      <c r="C244" s="12">
        <f t="shared" si="6"/>
        <v>4.0195396028117969E-3</v>
      </c>
      <c r="D244" s="13">
        <f t="shared" si="7"/>
        <v>7.2198914488332933E-2</v>
      </c>
    </row>
    <row r="245" spans="1:4" x14ac:dyDescent="0.2">
      <c r="A245" s="10">
        <v>40848</v>
      </c>
      <c r="B245" s="15">
        <f>VLOOKUP(A245,Database!A:M,MATCH($A$1,Database!$A$1:$M$1,),)</f>
        <v>321170</v>
      </c>
      <c r="C245" s="12">
        <f t="shared" si="6"/>
        <v>2.9541820725492154E-3</v>
      </c>
      <c r="D245" s="13">
        <f t="shared" si="7"/>
        <v>6.4118110914524643E-2</v>
      </c>
    </row>
    <row r="246" spans="1:4" x14ac:dyDescent="0.2">
      <c r="A246" s="11">
        <v>40878</v>
      </c>
      <c r="B246" s="15">
        <f>VLOOKUP(A246,Database!A:M,MATCH($A$1,Database!$A$1:$M$1,),)</f>
        <v>320165</v>
      </c>
      <c r="C246" s="12">
        <f t="shared" si="6"/>
        <v>-3.1291839212877915E-3</v>
      </c>
      <c r="D246" s="13">
        <f t="shared" si="7"/>
        <v>5.3406507355239476E-2</v>
      </c>
    </row>
    <row r="247" spans="1:4" x14ac:dyDescent="0.2">
      <c r="A247" s="10">
        <v>40909</v>
      </c>
      <c r="B247" s="15">
        <f>VLOOKUP(A247,Database!A:M,MATCH($A$1,Database!$A$1:$M$1,),)</f>
        <v>323921</v>
      </c>
      <c r="C247" s="12">
        <f t="shared" si="6"/>
        <v>1.1731450970593287E-2</v>
      </c>
      <c r="D247" s="13">
        <f t="shared" si="7"/>
        <v>5.9233438083497104E-2</v>
      </c>
    </row>
    <row r="248" spans="1:4" x14ac:dyDescent="0.2">
      <c r="A248" s="11">
        <v>40940</v>
      </c>
      <c r="B248" s="15">
        <f>VLOOKUP(A248,Database!A:M,MATCH($A$1,Database!$A$1:$M$1,),)</f>
        <v>327728</v>
      </c>
      <c r="C248" s="12">
        <f t="shared" si="6"/>
        <v>1.175286566786346E-2</v>
      </c>
      <c r="D248" s="13">
        <f t="shared" si="7"/>
        <v>6.4712207895155763E-2</v>
      </c>
    </row>
    <row r="249" spans="1:4" x14ac:dyDescent="0.2">
      <c r="A249" s="10">
        <v>40969</v>
      </c>
      <c r="B249" s="15">
        <f>VLOOKUP(A249,Database!A:M,MATCH($A$1,Database!$A$1:$M$1,),)</f>
        <v>329062</v>
      </c>
      <c r="C249" s="12">
        <f t="shared" si="6"/>
        <v>4.0704486647463751E-3</v>
      </c>
      <c r="D249" s="13">
        <f t="shared" si="7"/>
        <v>5.8094181578481972E-2</v>
      </c>
    </row>
    <row r="250" spans="1:4" x14ac:dyDescent="0.2">
      <c r="A250" s="11">
        <v>41000</v>
      </c>
      <c r="B250" s="15">
        <f>VLOOKUP(A250,Database!A:M,MATCH($A$1,Database!$A$1:$M$1,),)</f>
        <v>327235</v>
      </c>
      <c r="C250" s="12">
        <f t="shared" si="6"/>
        <v>-5.5521451884447308E-3</v>
      </c>
      <c r="D250" s="13">
        <f t="shared" si="7"/>
        <v>4.3222805624894396E-2</v>
      </c>
    </row>
    <row r="251" spans="1:4" x14ac:dyDescent="0.2">
      <c r="A251" s="10">
        <v>41030</v>
      </c>
      <c r="B251" s="15">
        <f>VLOOKUP(A251,Database!A:M,MATCH($A$1,Database!$A$1:$M$1,),)</f>
        <v>325721</v>
      </c>
      <c r="C251" s="12">
        <f t="shared" si="6"/>
        <v>-4.6266444604030742E-3</v>
      </c>
      <c r="D251" s="13">
        <f t="shared" si="7"/>
        <v>3.6126910206003233E-2</v>
      </c>
    </row>
    <row r="252" spans="1:4" x14ac:dyDescent="0.2">
      <c r="A252" s="11">
        <v>41061</v>
      </c>
      <c r="B252" s="15">
        <f>VLOOKUP(A252,Database!A:M,MATCH($A$1,Database!$A$1:$M$1,),)</f>
        <v>323229</v>
      </c>
      <c r="C252" s="12">
        <f t="shared" si="6"/>
        <v>-7.6507194807826327E-3</v>
      </c>
      <c r="D252" s="13">
        <f t="shared" si="7"/>
        <v>2.1254210083980513E-2</v>
      </c>
    </row>
    <row r="253" spans="1:4" x14ac:dyDescent="0.2">
      <c r="A253" s="10">
        <v>41091</v>
      </c>
      <c r="B253" s="15">
        <f>VLOOKUP(A253,Database!A:M,MATCH($A$1,Database!$A$1:$M$1,),)</f>
        <v>324453</v>
      </c>
      <c r="C253" s="12">
        <f t="shared" si="6"/>
        <v>3.7867889329237167E-3</v>
      </c>
      <c r="D253" s="13">
        <f t="shared" si="7"/>
        <v>2.5393624888596731E-2</v>
      </c>
    </row>
    <row r="254" spans="1:4" x14ac:dyDescent="0.2">
      <c r="A254" s="11">
        <v>41122</v>
      </c>
      <c r="B254" s="15">
        <f>VLOOKUP(A254,Database!A:M,MATCH($A$1,Database!$A$1:$M$1,),)</f>
        <v>328311</v>
      </c>
      <c r="C254" s="12">
        <f t="shared" si="6"/>
        <v>1.1890782332109736E-2</v>
      </c>
      <c r="D254" s="13">
        <f t="shared" si="7"/>
        <v>3.2314155090336256E-2</v>
      </c>
    </row>
    <row r="255" spans="1:4" x14ac:dyDescent="0.2">
      <c r="A255" s="10">
        <v>41153</v>
      </c>
      <c r="B255" s="15">
        <f>VLOOKUP(A255,Database!A:M,MATCH($A$1,Database!$A$1:$M$1,),)</f>
        <v>330332</v>
      </c>
      <c r="C255" s="12">
        <f t="shared" si="6"/>
        <v>6.155748665137629E-3</v>
      </c>
      <c r="D255" s="13">
        <f t="shared" si="7"/>
        <v>3.5711822212189048E-2</v>
      </c>
    </row>
    <row r="256" spans="1:4" x14ac:dyDescent="0.2">
      <c r="A256" s="11">
        <v>41183</v>
      </c>
      <c r="B256" s="15">
        <f>VLOOKUP(A256,Database!A:M,MATCH($A$1,Database!$A$1:$M$1,),)</f>
        <v>330752</v>
      </c>
      <c r="C256" s="12">
        <f t="shared" si="6"/>
        <v>1.2714481188622355E-3</v>
      </c>
      <c r="D256" s="13">
        <f t="shared" si="7"/>
        <v>3.2876986109723193E-2</v>
      </c>
    </row>
    <row r="257" spans="1:4" x14ac:dyDescent="0.2">
      <c r="A257" s="10">
        <v>41214</v>
      </c>
      <c r="B257" s="15">
        <f>VLOOKUP(A257,Database!A:M,MATCH($A$1,Database!$A$1:$M$1,),)</f>
        <v>331479</v>
      </c>
      <c r="C257" s="12">
        <f t="shared" si="6"/>
        <v>2.1980214783281732E-3</v>
      </c>
      <c r="D257" s="13">
        <f t="shared" si="7"/>
        <v>3.209826571597596E-2</v>
      </c>
    </row>
    <row r="258" spans="1:4" x14ac:dyDescent="0.2">
      <c r="A258" s="11">
        <v>41244</v>
      </c>
      <c r="B258" s="15">
        <f>VLOOKUP(A258,Database!A:M,MATCH($A$1,Database!$A$1:$M$1,),)</f>
        <v>332186</v>
      </c>
      <c r="C258" s="12">
        <f t="shared" si="6"/>
        <v>2.1328651287110196E-3</v>
      </c>
      <c r="D258" s="13">
        <f t="shared" si="7"/>
        <v>3.754626520700264E-2</v>
      </c>
    </row>
    <row r="259" spans="1:4" x14ac:dyDescent="0.2">
      <c r="A259" s="10">
        <v>41275</v>
      </c>
      <c r="B259" s="15">
        <f>VLOOKUP(A259,Database!A:M,MATCH($A$1,Database!$A$1:$M$1,),)</f>
        <v>334713</v>
      </c>
      <c r="C259" s="12">
        <f t="shared" si="6"/>
        <v>7.6071839270769994E-3</v>
      </c>
      <c r="D259" s="13">
        <f t="shared" si="7"/>
        <v>3.3316765507639207E-2</v>
      </c>
    </row>
    <row r="260" spans="1:4" x14ac:dyDescent="0.2">
      <c r="A260" s="11">
        <v>41306</v>
      </c>
      <c r="B260" s="15">
        <f>VLOOKUP(A260,Database!A:M,MATCH($A$1,Database!$A$1:$M$1,),)</f>
        <v>338488</v>
      </c>
      <c r="C260" s="12">
        <f t="shared" si="6"/>
        <v>1.1278319037503771E-2</v>
      </c>
      <c r="D260" s="13">
        <f t="shared" si="7"/>
        <v>3.2832104672167163E-2</v>
      </c>
    </row>
    <row r="261" spans="1:4" x14ac:dyDescent="0.2">
      <c r="A261" s="10">
        <v>41334</v>
      </c>
      <c r="B261" s="15">
        <f>VLOOKUP(A261,Database!A:M,MATCH($A$1,Database!$A$1:$M$1,),)</f>
        <v>336152</v>
      </c>
      <c r="C261" s="12">
        <f t="shared" si="6"/>
        <v>-6.9012786273073192E-3</v>
      </c>
      <c r="D261" s="13">
        <f t="shared" si="7"/>
        <v>2.1546091617992962E-2</v>
      </c>
    </row>
    <row r="262" spans="1:4" x14ac:dyDescent="0.2">
      <c r="A262" s="11">
        <v>41365</v>
      </c>
      <c r="B262" s="15">
        <f>VLOOKUP(A262,Database!A:M,MATCH($A$1,Database!$A$1:$M$1,),)</f>
        <v>333700</v>
      </c>
      <c r="C262" s="12">
        <f t="shared" si="6"/>
        <v>-7.294319236535853E-3</v>
      </c>
      <c r="D262" s="13">
        <f t="shared" si="7"/>
        <v>1.9756444145644567E-2</v>
      </c>
    </row>
    <row r="263" spans="1:4" x14ac:dyDescent="0.2">
      <c r="A263" s="10">
        <v>41395</v>
      </c>
      <c r="B263" s="15">
        <f>VLOOKUP(A263,Database!A:M,MATCH($A$1,Database!$A$1:$M$1,),)</f>
        <v>334695</v>
      </c>
      <c r="C263" s="12">
        <f t="shared" si="6"/>
        <v>2.9817201078813304E-3</v>
      </c>
      <c r="D263" s="13">
        <f t="shared" si="7"/>
        <v>2.7551186444840829E-2</v>
      </c>
    </row>
    <row r="264" spans="1:4" x14ac:dyDescent="0.2">
      <c r="A264" s="11">
        <v>41426</v>
      </c>
      <c r="B264" s="15">
        <f>VLOOKUP(A264,Database!A:M,MATCH($A$1,Database!$A$1:$M$1,),)</f>
        <v>334241</v>
      </c>
      <c r="C264" s="12">
        <f t="shared" ref="C264:C327" si="8">(B264-B263)/B263</f>
        <v>-1.3564588655342925E-3</v>
      </c>
      <c r="D264" s="13">
        <f t="shared" si="7"/>
        <v>3.4068725269081675E-2</v>
      </c>
    </row>
    <row r="265" spans="1:4" x14ac:dyDescent="0.2">
      <c r="A265" s="10">
        <v>41456</v>
      </c>
      <c r="B265" s="15">
        <f>VLOOKUP(A265,Database!A:M,MATCH($A$1,Database!$A$1:$M$1,),)</f>
        <v>336796</v>
      </c>
      <c r="C265" s="12">
        <f t="shared" si="8"/>
        <v>7.6441848845593451E-3</v>
      </c>
      <c r="D265" s="13">
        <f t="shared" si="7"/>
        <v>3.8042489975435578E-2</v>
      </c>
    </row>
    <row r="266" spans="1:4" x14ac:dyDescent="0.2">
      <c r="A266" s="11">
        <v>41487</v>
      </c>
      <c r="B266" s="15">
        <f>VLOOKUP(A266,Database!A:M,MATCH($A$1,Database!$A$1:$M$1,),)</f>
        <v>336281</v>
      </c>
      <c r="C266" s="12">
        <f t="shared" si="8"/>
        <v>-1.5291155476905901E-3</v>
      </c>
      <c r="D266" s="13">
        <f t="shared" si="7"/>
        <v>2.4275762919914349E-2</v>
      </c>
    </row>
    <row r="267" spans="1:4" x14ac:dyDescent="0.2">
      <c r="A267" s="10">
        <v>41518</v>
      </c>
      <c r="B267" s="15">
        <f>VLOOKUP(A267,Database!A:M,MATCH($A$1,Database!$A$1:$M$1,),)</f>
        <v>337682</v>
      </c>
      <c r="C267" s="12">
        <f t="shared" si="8"/>
        <v>4.1661586589786517E-3</v>
      </c>
      <c r="D267" s="13">
        <f t="shared" si="7"/>
        <v>2.2250342080089122E-2</v>
      </c>
    </row>
    <row r="268" spans="1:4" x14ac:dyDescent="0.2">
      <c r="A268" s="11">
        <v>41548</v>
      </c>
      <c r="B268" s="15">
        <f>VLOOKUP(A268,Database!A:M,MATCH($A$1,Database!$A$1:$M$1,),)</f>
        <v>337952</v>
      </c>
      <c r="C268" s="12">
        <f t="shared" si="8"/>
        <v>7.9956882510764569E-4</v>
      </c>
      <c r="D268" s="13">
        <f t="shared" si="7"/>
        <v>2.176857585139319E-2</v>
      </c>
    </row>
    <row r="269" spans="1:4" x14ac:dyDescent="0.2">
      <c r="A269" s="10">
        <v>41579</v>
      </c>
      <c r="B269" s="15">
        <f>VLOOKUP(A269,Database!A:M,MATCH($A$1,Database!$A$1:$M$1,),)</f>
        <v>338885</v>
      </c>
      <c r="C269" s="12">
        <f t="shared" si="8"/>
        <v>2.7607470883439069E-3</v>
      </c>
      <c r="D269" s="13">
        <f t="shared" si="7"/>
        <v>2.2342290160160976E-2</v>
      </c>
    </row>
    <row r="270" spans="1:4" x14ac:dyDescent="0.2">
      <c r="A270" s="11">
        <v>41609</v>
      </c>
      <c r="B270" s="15">
        <f>VLOOKUP(A270,Database!A:M,MATCH($A$1,Database!$A$1:$M$1,),)</f>
        <v>341508</v>
      </c>
      <c r="C270" s="12">
        <f t="shared" si="8"/>
        <v>7.7400888206913846E-3</v>
      </c>
      <c r="D270" s="13">
        <f t="shared" si="7"/>
        <v>2.8062591439735569E-2</v>
      </c>
    </row>
    <row r="271" spans="1:4" x14ac:dyDescent="0.2">
      <c r="A271" s="10">
        <v>41640</v>
      </c>
      <c r="B271" s="15">
        <f>VLOOKUP(A271,Database!A:M,MATCH($A$1,Database!$A$1:$M$1,),)</f>
        <v>340076</v>
      </c>
      <c r="C271" s="12">
        <f t="shared" si="8"/>
        <v>-4.1931667779378521E-3</v>
      </c>
      <c r="D271" s="13">
        <f t="shared" si="7"/>
        <v>1.6022682118710656E-2</v>
      </c>
    </row>
    <row r="272" spans="1:4" x14ac:dyDescent="0.2">
      <c r="A272" s="11">
        <v>41671</v>
      </c>
      <c r="B272" s="15">
        <f>VLOOKUP(A272,Database!A:M,MATCH($A$1,Database!$A$1:$M$1,),)</f>
        <v>343455</v>
      </c>
      <c r="C272" s="12">
        <f t="shared" si="8"/>
        <v>9.9360143026852813E-3</v>
      </c>
      <c r="D272" s="13">
        <f t="shared" si="7"/>
        <v>1.4674080026470658E-2</v>
      </c>
    </row>
    <row r="273" spans="1:4" x14ac:dyDescent="0.2">
      <c r="A273" s="10">
        <v>41699</v>
      </c>
      <c r="B273" s="15">
        <f>VLOOKUP(A273,Database!A:M,MATCH($A$1,Database!$A$1:$M$1,),)</f>
        <v>345060</v>
      </c>
      <c r="C273" s="12">
        <f t="shared" si="8"/>
        <v>4.6731012796436214E-3</v>
      </c>
      <c r="D273" s="13">
        <f t="shared" si="7"/>
        <v>2.6499916704348033E-2</v>
      </c>
    </row>
    <row r="274" spans="1:4" x14ac:dyDescent="0.2">
      <c r="A274" s="11">
        <v>41730</v>
      </c>
      <c r="B274" s="15">
        <f>VLOOKUP(A274,Database!A:M,MATCH($A$1,Database!$A$1:$M$1,),)</f>
        <v>347853</v>
      </c>
      <c r="C274" s="12">
        <f t="shared" si="8"/>
        <v>8.0942444792210053E-3</v>
      </c>
      <c r="D274" s="13">
        <f t="shared" si="7"/>
        <v>4.2412346418939165E-2</v>
      </c>
    </row>
    <row r="275" spans="1:4" x14ac:dyDescent="0.2">
      <c r="A275" s="10">
        <v>41760</v>
      </c>
      <c r="B275" s="15">
        <f>VLOOKUP(A275,Database!A:M,MATCH($A$1,Database!$A$1:$M$1,),)</f>
        <v>348582</v>
      </c>
      <c r="C275" s="12">
        <f t="shared" si="8"/>
        <v>2.0957128442186785E-3</v>
      </c>
      <c r="D275" s="13">
        <f t="shared" ref="D275:D338" si="9">(B275-B263)/B263</f>
        <v>4.1491507193116117E-2</v>
      </c>
    </row>
    <row r="276" spans="1:4" x14ac:dyDescent="0.2">
      <c r="A276" s="11">
        <v>41791</v>
      </c>
      <c r="B276" s="15">
        <f>VLOOKUP(A276,Database!A:M,MATCH($A$1,Database!$A$1:$M$1,),)</f>
        <v>349297</v>
      </c>
      <c r="C276" s="12">
        <f t="shared" si="8"/>
        <v>2.0511673006638324E-3</v>
      </c>
      <c r="D276" s="13">
        <f t="shared" si="9"/>
        <v>4.5045341535000193E-2</v>
      </c>
    </row>
    <row r="277" spans="1:4" x14ac:dyDescent="0.2">
      <c r="A277" s="10">
        <v>41821</v>
      </c>
      <c r="B277" s="15">
        <f>VLOOKUP(A277,Database!A:M,MATCH($A$1,Database!$A$1:$M$1,),)</f>
        <v>349847</v>
      </c>
      <c r="C277" s="12">
        <f t="shared" si="8"/>
        <v>1.5745912504258554E-3</v>
      </c>
      <c r="D277" s="13">
        <f t="shared" si="9"/>
        <v>3.8750460219242507E-2</v>
      </c>
    </row>
    <row r="278" spans="1:4" x14ac:dyDescent="0.2">
      <c r="A278" s="11">
        <v>41852</v>
      </c>
      <c r="B278" s="15">
        <f>VLOOKUP(A278,Database!A:M,MATCH($A$1,Database!$A$1:$M$1,),)</f>
        <v>352325</v>
      </c>
      <c r="C278" s="12">
        <f t="shared" si="8"/>
        <v>7.0830963249649131E-3</v>
      </c>
      <c r="D278" s="13">
        <f t="shared" si="9"/>
        <v>4.7710099589331541E-2</v>
      </c>
    </row>
    <row r="279" spans="1:4" x14ac:dyDescent="0.2">
      <c r="A279" s="10">
        <v>41883</v>
      </c>
      <c r="B279" s="15">
        <f>VLOOKUP(A279,Database!A:M,MATCH($A$1,Database!$A$1:$M$1,),)</f>
        <v>352259</v>
      </c>
      <c r="C279" s="12">
        <f t="shared" si="8"/>
        <v>-1.8732704179379834E-4</v>
      </c>
      <c r="D279" s="13">
        <f t="shared" si="9"/>
        <v>4.3167832457756114E-2</v>
      </c>
    </row>
    <row r="280" spans="1:4" x14ac:dyDescent="0.2">
      <c r="A280" s="11">
        <v>41913</v>
      </c>
      <c r="B280" s="15">
        <f>VLOOKUP(A280,Database!A:M,MATCH($A$1,Database!$A$1:$M$1,),)</f>
        <v>353370</v>
      </c>
      <c r="C280" s="12">
        <f t="shared" si="8"/>
        <v>3.1539293531180181E-3</v>
      </c>
      <c r="D280" s="13">
        <f t="shared" si="9"/>
        <v>4.5621863459899631E-2</v>
      </c>
    </row>
    <row r="281" spans="1:4" x14ac:dyDescent="0.2">
      <c r="A281" s="10">
        <v>41944</v>
      </c>
      <c r="B281" s="15">
        <f>VLOOKUP(A281,Database!A:M,MATCH($A$1,Database!$A$1:$M$1,),)</f>
        <v>353621</v>
      </c>
      <c r="C281" s="12">
        <f t="shared" si="8"/>
        <v>7.1030364773466909E-4</v>
      </c>
      <c r="D281" s="13">
        <f t="shared" si="9"/>
        <v>4.3483777682694721E-2</v>
      </c>
    </row>
    <row r="282" spans="1:4" x14ac:dyDescent="0.2">
      <c r="A282" s="11">
        <v>41974</v>
      </c>
      <c r="B282" s="15">
        <f>VLOOKUP(A282,Database!A:M,MATCH($A$1,Database!$A$1:$M$1,),)</f>
        <v>351245</v>
      </c>
      <c r="C282" s="12">
        <f t="shared" si="8"/>
        <v>-6.7190579744981207E-3</v>
      </c>
      <c r="D282" s="13">
        <f t="shared" si="9"/>
        <v>2.8511777176522951E-2</v>
      </c>
    </row>
    <row r="283" spans="1:4" x14ac:dyDescent="0.2">
      <c r="A283" s="10">
        <v>42005</v>
      </c>
      <c r="B283" s="15">
        <f>VLOOKUP(A283,Database!A:M,MATCH($A$1,Database!$A$1:$M$1,),)</f>
        <v>347998</v>
      </c>
      <c r="C283" s="12">
        <f t="shared" si="8"/>
        <v>-9.2442597047644806E-3</v>
      </c>
      <c r="D283" s="13">
        <f t="shared" si="9"/>
        <v>2.3294792928639479E-2</v>
      </c>
    </row>
    <row r="284" spans="1:4" x14ac:dyDescent="0.2">
      <c r="A284" s="11">
        <v>42036</v>
      </c>
      <c r="B284" s="15">
        <f>VLOOKUP(A284,Database!A:M,MATCH($A$1,Database!$A$1:$M$1,),)</f>
        <v>348402</v>
      </c>
      <c r="C284" s="12">
        <f t="shared" si="8"/>
        <v>1.1609262122196104E-3</v>
      </c>
      <c r="D284" s="13">
        <f t="shared" si="9"/>
        <v>1.4403633663798751E-2</v>
      </c>
    </row>
    <row r="285" spans="1:4" x14ac:dyDescent="0.2">
      <c r="A285" s="10">
        <v>42064</v>
      </c>
      <c r="B285" s="15">
        <f>VLOOKUP(A285,Database!A:M,MATCH($A$1,Database!$A$1:$M$1,),)</f>
        <v>351027</v>
      </c>
      <c r="C285" s="12">
        <f t="shared" si="8"/>
        <v>7.5343999173368694E-3</v>
      </c>
      <c r="D285" s="13">
        <f t="shared" si="9"/>
        <v>1.729264475743349E-2</v>
      </c>
    </row>
    <row r="286" spans="1:4" x14ac:dyDescent="0.2">
      <c r="A286" s="11">
        <v>42095</v>
      </c>
      <c r="B286" s="15">
        <f>VLOOKUP(A286,Database!A:M,MATCH($A$1,Database!$A$1:$M$1,),)</f>
        <v>351378</v>
      </c>
      <c r="C286" s="12">
        <f t="shared" si="8"/>
        <v>9.9992308283978148E-4</v>
      </c>
      <c r="D286" s="13">
        <f t="shared" si="9"/>
        <v>1.0133590913403075E-2</v>
      </c>
    </row>
    <row r="287" spans="1:4" x14ac:dyDescent="0.2">
      <c r="A287" s="10">
        <v>42125</v>
      </c>
      <c r="B287" s="15">
        <f>VLOOKUP(A287,Database!A:M,MATCH($A$1,Database!$A$1:$M$1,),)</f>
        <v>353920</v>
      </c>
      <c r="C287" s="12">
        <f t="shared" si="8"/>
        <v>7.2343743774510643E-3</v>
      </c>
      <c r="D287" s="13">
        <f t="shared" si="9"/>
        <v>1.5313470001319633E-2</v>
      </c>
    </row>
    <row r="288" spans="1:4" x14ac:dyDescent="0.2">
      <c r="A288" s="11">
        <v>42156</v>
      </c>
      <c r="B288" s="15">
        <f>VLOOKUP(A288,Database!A:M,MATCH($A$1,Database!$A$1:$M$1,),)</f>
        <v>354459</v>
      </c>
      <c r="C288" s="12">
        <f t="shared" si="8"/>
        <v>1.5229430379746836E-3</v>
      </c>
      <c r="D288" s="13">
        <f t="shared" si="9"/>
        <v>1.4778254608542301E-2</v>
      </c>
    </row>
    <row r="289" spans="1:4" x14ac:dyDescent="0.2">
      <c r="A289" s="10">
        <v>42186</v>
      </c>
      <c r="B289" s="15">
        <f>VLOOKUP(A289,Database!A:M,MATCH($A$1,Database!$A$1:$M$1,),)</f>
        <v>357711</v>
      </c>
      <c r="C289" s="12">
        <f t="shared" si="8"/>
        <v>9.1745448697874796E-3</v>
      </c>
      <c r="D289" s="13">
        <f t="shared" si="9"/>
        <v>2.2478397699565809E-2</v>
      </c>
    </row>
    <row r="290" spans="1:4" x14ac:dyDescent="0.2">
      <c r="A290" s="11">
        <v>42217</v>
      </c>
      <c r="B290" s="15">
        <f>VLOOKUP(A290,Database!A:M,MATCH($A$1,Database!$A$1:$M$1,),)</f>
        <v>357101</v>
      </c>
      <c r="C290" s="12">
        <f t="shared" si="8"/>
        <v>-1.7052872290759858E-3</v>
      </c>
      <c r="D290" s="13">
        <f t="shared" si="9"/>
        <v>1.3555665933442134E-2</v>
      </c>
    </row>
    <row r="291" spans="1:4" x14ac:dyDescent="0.2">
      <c r="A291" s="10">
        <v>42248</v>
      </c>
      <c r="B291" s="15">
        <f>VLOOKUP(A291,Database!A:M,MATCH($A$1,Database!$A$1:$M$1,),)</f>
        <v>354941</v>
      </c>
      <c r="C291" s="12">
        <f t="shared" si="8"/>
        <v>-6.0487089086840974E-3</v>
      </c>
      <c r="D291" s="13">
        <f t="shared" si="9"/>
        <v>7.6137160441606885E-3</v>
      </c>
    </row>
    <row r="292" spans="1:4" x14ac:dyDescent="0.2">
      <c r="A292" s="11">
        <v>42278</v>
      </c>
      <c r="B292" s="15">
        <f>VLOOKUP(A292,Database!A:M,MATCH($A$1,Database!$A$1:$M$1,),)</f>
        <v>354421</v>
      </c>
      <c r="C292" s="12">
        <f t="shared" si="8"/>
        <v>-1.4650322166219175E-3</v>
      </c>
      <c r="D292" s="13">
        <f t="shared" si="9"/>
        <v>2.9742196564507455E-3</v>
      </c>
    </row>
    <row r="293" spans="1:4" x14ac:dyDescent="0.2">
      <c r="A293" s="10">
        <v>42309</v>
      </c>
      <c r="B293" s="15">
        <f>VLOOKUP(A293,Database!A:M,MATCH($A$1,Database!$A$1:$M$1,),)</f>
        <v>355040</v>
      </c>
      <c r="C293" s="12">
        <f t="shared" si="8"/>
        <v>1.7465105058673161E-3</v>
      </c>
      <c r="D293" s="13">
        <f t="shared" si="9"/>
        <v>4.0127707347697109E-3</v>
      </c>
    </row>
    <row r="294" spans="1:4" x14ac:dyDescent="0.2">
      <c r="A294" s="11">
        <v>42339</v>
      </c>
      <c r="B294" s="15">
        <f>VLOOKUP(A294,Database!A:M,MATCH($A$1,Database!$A$1:$M$1,),)</f>
        <v>357499</v>
      </c>
      <c r="C294" s="12">
        <f t="shared" si="8"/>
        <v>6.9259801712483098E-3</v>
      </c>
      <c r="D294" s="13">
        <f t="shared" si="9"/>
        <v>1.7805235661717603E-2</v>
      </c>
    </row>
    <row r="295" spans="1:4" x14ac:dyDescent="0.2">
      <c r="A295" s="10">
        <v>42370</v>
      </c>
      <c r="B295" s="15">
        <f>VLOOKUP(A295,Database!A:M,MATCH($A$1,Database!$A$1:$M$1,),)</f>
        <v>354564</v>
      </c>
      <c r="C295" s="12">
        <f t="shared" si="8"/>
        <v>-8.2098131743025861E-3</v>
      </c>
      <c r="D295" s="13">
        <f t="shared" si="9"/>
        <v>1.8867924528301886E-2</v>
      </c>
    </row>
    <row r="296" spans="1:4" x14ac:dyDescent="0.2">
      <c r="A296" s="11">
        <v>42401</v>
      </c>
      <c r="B296" s="15">
        <f>VLOOKUP(A296,Database!A:M,MATCH($A$1,Database!$A$1:$M$1,),)</f>
        <v>356852</v>
      </c>
      <c r="C296" s="12">
        <f t="shared" si="8"/>
        <v>6.4529957920149818E-3</v>
      </c>
      <c r="D296" s="13">
        <f t="shared" si="9"/>
        <v>2.4253592114855827E-2</v>
      </c>
    </row>
    <row r="297" spans="1:4" x14ac:dyDescent="0.2">
      <c r="A297" s="10">
        <v>42430</v>
      </c>
      <c r="B297" s="15">
        <f>VLOOKUP(A297,Database!A:M,MATCH($A$1,Database!$A$1:$M$1,),)</f>
        <v>357351</v>
      </c>
      <c r="C297" s="12">
        <f t="shared" si="8"/>
        <v>1.3983388071245222E-3</v>
      </c>
      <c r="D297" s="13">
        <f t="shared" si="9"/>
        <v>1.8015708193386833E-2</v>
      </c>
    </row>
    <row r="298" spans="1:4" x14ac:dyDescent="0.2">
      <c r="A298" s="11">
        <v>42461</v>
      </c>
      <c r="B298" s="15">
        <f>VLOOKUP(A298,Database!A:M,MATCH($A$1,Database!$A$1:$M$1,),)</f>
        <v>358632</v>
      </c>
      <c r="C298" s="12">
        <f t="shared" si="8"/>
        <v>3.5847108305279685E-3</v>
      </c>
      <c r="D298" s="13">
        <f t="shared" si="9"/>
        <v>2.0644434199067672E-2</v>
      </c>
    </row>
    <row r="299" spans="1:4" x14ac:dyDescent="0.2">
      <c r="A299" s="10">
        <v>42491</v>
      </c>
      <c r="B299" s="15">
        <f>VLOOKUP(A299,Database!A:M,MATCH($A$1,Database!$A$1:$M$1,),)</f>
        <v>360113</v>
      </c>
      <c r="C299" s="12">
        <f t="shared" si="8"/>
        <v>4.1295812978206069E-3</v>
      </c>
      <c r="D299" s="13">
        <f t="shared" si="9"/>
        <v>1.7498304701627488E-2</v>
      </c>
    </row>
    <row r="300" spans="1:4" x14ac:dyDescent="0.2">
      <c r="A300" s="11">
        <v>42522</v>
      </c>
      <c r="B300" s="15">
        <f>VLOOKUP(A300,Database!A:M,MATCH($A$1,Database!$A$1:$M$1,),)</f>
        <v>364297</v>
      </c>
      <c r="C300" s="12">
        <f t="shared" si="8"/>
        <v>1.1618575280536943E-2</v>
      </c>
      <c r="D300" s="13">
        <f t="shared" si="9"/>
        <v>2.7754973071638749E-2</v>
      </c>
    </row>
    <row r="301" spans="1:4" x14ac:dyDescent="0.2">
      <c r="A301" s="10">
        <v>42552</v>
      </c>
      <c r="B301" s="15">
        <f>VLOOKUP(A301,Database!A:M,MATCH($A$1,Database!$A$1:$M$1,),)</f>
        <v>362052</v>
      </c>
      <c r="C301" s="12">
        <f t="shared" si="8"/>
        <v>-6.1625541796940407E-3</v>
      </c>
      <c r="D301" s="13">
        <f t="shared" si="9"/>
        <v>1.2135494854785009E-2</v>
      </c>
    </row>
    <row r="302" spans="1:4" x14ac:dyDescent="0.2">
      <c r="A302" s="11">
        <v>42583</v>
      </c>
      <c r="B302" s="15">
        <f>VLOOKUP(A302,Database!A:M,MATCH($A$1,Database!$A$1:$M$1,),)</f>
        <v>362324</v>
      </c>
      <c r="C302" s="12">
        <f t="shared" si="8"/>
        <v>7.5127329775833307E-4</v>
      </c>
      <c r="D302" s="13">
        <f t="shared" si="9"/>
        <v>1.4626114180581963E-2</v>
      </c>
    </row>
    <row r="303" spans="1:4" x14ac:dyDescent="0.2">
      <c r="A303" s="10">
        <v>42614</v>
      </c>
      <c r="B303" s="15">
        <f>VLOOKUP(A303,Database!A:M,MATCH($A$1,Database!$A$1:$M$1,),)</f>
        <v>364480</v>
      </c>
      <c r="C303" s="12">
        <f t="shared" si="8"/>
        <v>5.9504752652322227E-3</v>
      </c>
      <c r="D303" s="13">
        <f t="shared" si="9"/>
        <v>2.6874889066070135E-2</v>
      </c>
    </row>
    <row r="304" spans="1:4" x14ac:dyDescent="0.2">
      <c r="A304" s="11">
        <v>42644</v>
      </c>
      <c r="B304" s="15">
        <f>VLOOKUP(A304,Database!A:M,MATCH($A$1,Database!$A$1:$M$1,),)</f>
        <v>365676</v>
      </c>
      <c r="C304" s="12">
        <f t="shared" si="8"/>
        <v>3.2813871817383672E-3</v>
      </c>
      <c r="D304" s="13">
        <f t="shared" si="9"/>
        <v>3.1756018971787786E-2</v>
      </c>
    </row>
    <row r="305" spans="1:4" x14ac:dyDescent="0.2">
      <c r="A305" s="10">
        <v>42675</v>
      </c>
      <c r="B305" s="15">
        <f>VLOOKUP(A305,Database!A:M,MATCH($A$1,Database!$A$1:$M$1,),)</f>
        <v>365572</v>
      </c>
      <c r="C305" s="12">
        <f t="shared" si="8"/>
        <v>-2.8440477362473885E-4</v>
      </c>
      <c r="D305" s="13">
        <f t="shared" si="9"/>
        <v>2.9664263181613339E-2</v>
      </c>
    </row>
    <row r="306" spans="1:4" x14ac:dyDescent="0.2">
      <c r="A306" s="11">
        <v>42705</v>
      </c>
      <c r="B306" s="15">
        <f>VLOOKUP(A306,Database!A:M,MATCH($A$1,Database!$A$1:$M$1,),)</f>
        <v>369230</v>
      </c>
      <c r="C306" s="12">
        <f t="shared" si="8"/>
        <v>1.0006236801505586E-2</v>
      </c>
      <c r="D306" s="13">
        <f t="shared" si="9"/>
        <v>3.2814077801616229E-2</v>
      </c>
    </row>
    <row r="307" spans="1:4" x14ac:dyDescent="0.2">
      <c r="A307" s="10">
        <v>42736</v>
      </c>
      <c r="B307" s="15">
        <f>VLOOKUP(A307,Database!A:M,MATCH($A$1,Database!$A$1:$M$1,),)</f>
        <v>373962</v>
      </c>
      <c r="C307" s="12">
        <f t="shared" si="8"/>
        <v>1.2815860033041736E-2</v>
      </c>
      <c r="D307" s="13">
        <f t="shared" si="9"/>
        <v>5.4709445967441706E-2</v>
      </c>
    </row>
    <row r="308" spans="1:4" x14ac:dyDescent="0.2">
      <c r="A308" s="11">
        <v>42767</v>
      </c>
      <c r="B308" s="15">
        <f>VLOOKUP(A308,Database!A:M,MATCH($A$1,Database!$A$1:$M$1,),)</f>
        <v>374524</v>
      </c>
      <c r="C308" s="12">
        <f t="shared" si="8"/>
        <v>1.5028264903920719E-3</v>
      </c>
      <c r="D308" s="13">
        <f t="shared" si="9"/>
        <v>4.9521930660329776E-2</v>
      </c>
    </row>
    <row r="309" spans="1:4" x14ac:dyDescent="0.2">
      <c r="A309" s="10">
        <v>42795</v>
      </c>
      <c r="B309" s="15">
        <f>VLOOKUP(A309,Database!A:M,MATCH($A$1,Database!$A$1:$M$1,),)</f>
        <v>375404</v>
      </c>
      <c r="C309" s="12">
        <f t="shared" si="8"/>
        <v>2.3496491546603155E-3</v>
      </c>
      <c r="D309" s="13">
        <f t="shared" si="9"/>
        <v>5.0518957551538964E-2</v>
      </c>
    </row>
    <row r="310" spans="1:4" x14ac:dyDescent="0.2">
      <c r="A310" s="11">
        <v>42826</v>
      </c>
      <c r="B310" s="15">
        <f>VLOOKUP(A310,Database!A:M,MATCH($A$1,Database!$A$1:$M$1,),)</f>
        <v>376764</v>
      </c>
      <c r="C310" s="12">
        <f t="shared" si="8"/>
        <v>3.6227637425280497E-3</v>
      </c>
      <c r="D310" s="13">
        <f t="shared" si="9"/>
        <v>5.0558790068928598E-2</v>
      </c>
    </row>
    <row r="311" spans="1:4" x14ac:dyDescent="0.2">
      <c r="A311" s="10">
        <v>42856</v>
      </c>
      <c r="B311" s="15">
        <f>VLOOKUP(A311,Database!A:M,MATCH($A$1,Database!$A$1:$M$1,),)</f>
        <v>373963</v>
      </c>
      <c r="C311" s="12">
        <f t="shared" si="8"/>
        <v>-7.4343620940429556E-3</v>
      </c>
      <c r="D311" s="13">
        <f t="shared" si="9"/>
        <v>3.8460150008469564E-2</v>
      </c>
    </row>
    <row r="312" spans="1:4" x14ac:dyDescent="0.2">
      <c r="A312" s="11">
        <v>42887</v>
      </c>
      <c r="B312" s="15">
        <f>VLOOKUP(A312,Database!A:M,MATCH($A$1,Database!$A$1:$M$1,),)</f>
        <v>374936</v>
      </c>
      <c r="C312" s="12">
        <f t="shared" si="8"/>
        <v>2.6018616815032501E-3</v>
      </c>
      <c r="D312" s="13">
        <f t="shared" si="9"/>
        <v>2.9204193281855188E-2</v>
      </c>
    </row>
    <row r="313" spans="1:4" x14ac:dyDescent="0.2">
      <c r="A313" s="10">
        <v>42917</v>
      </c>
      <c r="B313" s="15">
        <f>VLOOKUP(A313,Database!A:M,MATCH($A$1,Database!$A$1:$M$1,),)</f>
        <v>374863</v>
      </c>
      <c r="C313" s="12">
        <f t="shared" si="8"/>
        <v>-1.9469989544882327E-4</v>
      </c>
      <c r="D313" s="13">
        <f t="shared" si="9"/>
        <v>3.53844199175809E-2</v>
      </c>
    </row>
    <row r="314" spans="1:4" x14ac:dyDescent="0.2">
      <c r="A314" s="11">
        <v>42948</v>
      </c>
      <c r="B314" s="15">
        <f>VLOOKUP(A314,Database!A:M,MATCH($A$1,Database!$A$1:$M$1,),)</f>
        <v>377878</v>
      </c>
      <c r="C314" s="12">
        <f t="shared" si="8"/>
        <v>8.0429383534784717E-3</v>
      </c>
      <c r="D314" s="13">
        <f t="shared" si="9"/>
        <v>4.2928428699175326E-2</v>
      </c>
    </row>
    <row r="315" spans="1:4" x14ac:dyDescent="0.2">
      <c r="A315" s="10">
        <v>42979</v>
      </c>
      <c r="B315" s="15">
        <f>VLOOKUP(A315,Database!A:M,MATCH($A$1,Database!$A$1:$M$1,),)</f>
        <v>383379</v>
      </c>
      <c r="C315" s="12">
        <f t="shared" si="8"/>
        <v>1.4557608540322538E-2</v>
      </c>
      <c r="D315" s="13">
        <f t="shared" si="9"/>
        <v>5.1851953467954348E-2</v>
      </c>
    </row>
    <row r="316" spans="1:4" x14ac:dyDescent="0.2">
      <c r="A316" s="11">
        <v>43009</v>
      </c>
      <c r="B316" s="15">
        <f>VLOOKUP(A316,Database!A:M,MATCH($A$1,Database!$A$1:$M$1,),)</f>
        <v>383395</v>
      </c>
      <c r="C316" s="12">
        <f t="shared" si="8"/>
        <v>4.1734158626320166E-5</v>
      </c>
      <c r="D316" s="13">
        <f t="shared" si="9"/>
        <v>4.845546330631488E-2</v>
      </c>
    </row>
    <row r="317" spans="1:4" x14ac:dyDescent="0.2">
      <c r="A317" s="10">
        <v>43040</v>
      </c>
      <c r="B317" s="15">
        <f>VLOOKUP(A317,Database!A:M,MATCH($A$1,Database!$A$1:$M$1,),)</f>
        <v>389208</v>
      </c>
      <c r="C317" s="12">
        <f t="shared" si="8"/>
        <v>1.5161908736420662E-2</v>
      </c>
      <c r="D317" s="13">
        <f t="shared" si="9"/>
        <v>6.4654842274572452E-2</v>
      </c>
    </row>
    <row r="318" spans="1:4" x14ac:dyDescent="0.2">
      <c r="A318" s="11">
        <v>43070</v>
      </c>
      <c r="B318" s="15">
        <f>VLOOKUP(A318,Database!A:M,MATCH($A$1,Database!$A$1:$M$1,),)</f>
        <v>392925</v>
      </c>
      <c r="C318" s="12">
        <f t="shared" si="8"/>
        <v>9.5501634087685767E-3</v>
      </c>
      <c r="D318" s="13">
        <f t="shared" si="9"/>
        <v>6.4174092029358393E-2</v>
      </c>
    </row>
    <row r="319" spans="1:4" x14ac:dyDescent="0.2">
      <c r="A319" s="10">
        <v>43101</v>
      </c>
      <c r="B319" s="15">
        <f>VLOOKUP(A319,Database!A:M,MATCH($A$1,Database!$A$1:$M$1,),)</f>
        <v>391070</v>
      </c>
      <c r="C319" s="12">
        <f t="shared" si="8"/>
        <v>-4.7210027358910731E-3</v>
      </c>
      <c r="D319" s="13">
        <f t="shared" si="9"/>
        <v>4.5747963696846201E-2</v>
      </c>
    </row>
    <row r="320" spans="1:4" x14ac:dyDescent="0.2">
      <c r="A320" s="11">
        <v>43132</v>
      </c>
      <c r="B320" s="15">
        <f>VLOOKUP(A320,Database!A:M,MATCH($A$1,Database!$A$1:$M$1,),)</f>
        <v>394491</v>
      </c>
      <c r="C320" s="12">
        <f t="shared" si="8"/>
        <v>8.7477945124913702E-3</v>
      </c>
      <c r="D320" s="13">
        <f t="shared" si="9"/>
        <v>5.3313005308071044E-2</v>
      </c>
    </row>
    <row r="321" spans="1:4" x14ac:dyDescent="0.2">
      <c r="A321" s="10">
        <v>43160</v>
      </c>
      <c r="B321" s="15">
        <f>VLOOKUP(A321,Database!A:M,MATCH($A$1,Database!$A$1:$M$1,),)</f>
        <v>393595</v>
      </c>
      <c r="C321" s="12">
        <f t="shared" si="8"/>
        <v>-2.2712812206108629E-3</v>
      </c>
      <c r="D321" s="13">
        <f t="shared" si="9"/>
        <v>4.8457128853182173E-2</v>
      </c>
    </row>
    <row r="322" spans="1:4" x14ac:dyDescent="0.2">
      <c r="A322" s="11">
        <v>43191</v>
      </c>
      <c r="B322" s="15">
        <f>VLOOKUP(A322,Database!A:M,MATCH($A$1,Database!$A$1:$M$1,),)</f>
        <v>394329</v>
      </c>
      <c r="C322" s="12">
        <f t="shared" si="8"/>
        <v>1.8648610881743925E-3</v>
      </c>
      <c r="D322" s="13">
        <f t="shared" si="9"/>
        <v>4.662069624486416E-2</v>
      </c>
    </row>
    <row r="323" spans="1:4" x14ac:dyDescent="0.2">
      <c r="A323" s="10">
        <v>43221</v>
      </c>
      <c r="B323" s="15">
        <f>VLOOKUP(A323,Database!A:M,MATCH($A$1,Database!$A$1:$M$1,),)</f>
        <v>400017</v>
      </c>
      <c r="C323" s="12">
        <f t="shared" si="8"/>
        <v>1.4424503396909687E-2</v>
      </c>
      <c r="D323" s="13">
        <f t="shared" si="9"/>
        <v>6.9669994090324441E-2</v>
      </c>
    </row>
    <row r="324" spans="1:4" x14ac:dyDescent="0.2">
      <c r="A324" s="11">
        <v>43252</v>
      </c>
      <c r="B324" s="15">
        <f>VLOOKUP(A324,Database!A:M,MATCH($A$1,Database!$A$1:$M$1,),)</f>
        <v>398729</v>
      </c>
      <c r="C324" s="12">
        <f t="shared" si="8"/>
        <v>-3.2198631558158779E-3</v>
      </c>
      <c r="D324" s="13">
        <f t="shared" si="9"/>
        <v>6.3458830307039069E-2</v>
      </c>
    </row>
    <row r="325" spans="1:4" x14ac:dyDescent="0.2">
      <c r="A325" s="10">
        <v>43282</v>
      </c>
      <c r="B325" s="15">
        <f>VLOOKUP(A325,Database!A:M,MATCH($A$1,Database!$A$1:$M$1,),)</f>
        <v>401697</v>
      </c>
      <c r="C325" s="12">
        <f t="shared" si="8"/>
        <v>7.4436522048810091E-3</v>
      </c>
      <c r="D325" s="13">
        <f t="shared" si="9"/>
        <v>7.1583485166580862E-2</v>
      </c>
    </row>
    <row r="326" spans="1:4" x14ac:dyDescent="0.2">
      <c r="A326" s="11">
        <v>43313</v>
      </c>
      <c r="B326" s="15">
        <f>VLOOKUP(A326,Database!A:M,MATCH($A$1,Database!$A$1:$M$1,),)</f>
        <v>402415</v>
      </c>
      <c r="C326" s="12">
        <f t="shared" si="8"/>
        <v>1.7874168838701808E-3</v>
      </c>
      <c r="D326" s="13">
        <f t="shared" si="9"/>
        <v>6.4933655836010559E-2</v>
      </c>
    </row>
    <row r="327" spans="1:4" x14ac:dyDescent="0.2">
      <c r="A327" s="10">
        <v>43344</v>
      </c>
      <c r="B327" s="15">
        <f>VLOOKUP(A327,Database!A:M,MATCH($A$1,Database!$A$1:$M$1,),)</f>
        <v>401109</v>
      </c>
      <c r="C327" s="12">
        <f t="shared" si="8"/>
        <v>-3.2454058621075258E-3</v>
      </c>
      <c r="D327" s="13">
        <f t="shared" si="9"/>
        <v>4.624666452779104E-2</v>
      </c>
    </row>
    <row r="328" spans="1:4" x14ac:dyDescent="0.2">
      <c r="A328" s="11">
        <v>43374</v>
      </c>
      <c r="B328" s="15">
        <f>VLOOKUP(A328,Database!A:M,MATCH($A$1,Database!$A$1:$M$1,),)</f>
        <v>405896</v>
      </c>
      <c r="C328" s="12">
        <f t="shared" ref="C328:C373" si="10">(B328-B327)/B327</f>
        <v>1.1934411843164825E-2</v>
      </c>
      <c r="D328" s="13">
        <f t="shared" si="9"/>
        <v>5.8688819624669077E-2</v>
      </c>
    </row>
    <row r="329" spans="1:4" x14ac:dyDescent="0.2">
      <c r="A329" s="10">
        <v>43405</v>
      </c>
      <c r="B329" s="15">
        <f>VLOOKUP(A329,Database!A:M,MATCH($A$1,Database!$A$1:$M$1,),)</f>
        <v>406192</v>
      </c>
      <c r="C329" s="12">
        <f t="shared" si="10"/>
        <v>7.2925084258036537E-4</v>
      </c>
      <c r="D329" s="13">
        <f t="shared" si="9"/>
        <v>4.3637335306571295E-2</v>
      </c>
    </row>
    <row r="330" spans="1:4" x14ac:dyDescent="0.2">
      <c r="A330" s="11">
        <v>43435</v>
      </c>
      <c r="B330" s="15">
        <f>VLOOKUP(A330,Database!A:M,MATCH($A$1,Database!$A$1:$M$1,),)</f>
        <v>396321</v>
      </c>
      <c r="C330" s="12">
        <f t="shared" si="10"/>
        <v>-2.4301315633985899E-2</v>
      </c>
      <c r="D330" s="13">
        <f t="shared" si="9"/>
        <v>8.6428707768658134E-3</v>
      </c>
    </row>
    <row r="331" spans="1:4" x14ac:dyDescent="0.2">
      <c r="A331" s="10">
        <v>43466</v>
      </c>
      <c r="B331" s="15">
        <f>VLOOKUP(A331,Database!A:M,MATCH($A$1,Database!$A$1:$M$1,),)</f>
        <v>401659</v>
      </c>
      <c r="C331" s="12">
        <f t="shared" si="10"/>
        <v>1.3468880024020932E-2</v>
      </c>
      <c r="D331" s="13">
        <f t="shared" si="9"/>
        <v>2.7076993888562152E-2</v>
      </c>
    </row>
    <row r="332" spans="1:4" x14ac:dyDescent="0.2">
      <c r="A332" s="11">
        <v>43497</v>
      </c>
      <c r="B332" s="15">
        <f>VLOOKUP(A332,Database!A:M,MATCH($A$1,Database!$A$1:$M$1,),)</f>
        <v>402085</v>
      </c>
      <c r="C332" s="12">
        <f t="shared" si="10"/>
        <v>1.060601156702576E-3</v>
      </c>
      <c r="D332" s="13">
        <f t="shared" si="9"/>
        <v>1.9250122309507695E-2</v>
      </c>
    </row>
    <row r="333" spans="1:4" x14ac:dyDescent="0.2">
      <c r="A333" s="10">
        <v>43525</v>
      </c>
      <c r="B333" s="15">
        <f>VLOOKUP(A333,Database!A:M,MATCH($A$1,Database!$A$1:$M$1,),)</f>
        <v>405980</v>
      </c>
      <c r="C333" s="12">
        <f t="shared" si="10"/>
        <v>9.6870064787296217E-3</v>
      </c>
      <c r="D333" s="13">
        <f t="shared" si="9"/>
        <v>3.1466355009591079E-2</v>
      </c>
    </row>
    <row r="334" spans="1:4" x14ac:dyDescent="0.2">
      <c r="A334" s="11">
        <v>43556</v>
      </c>
      <c r="B334" s="15">
        <f>VLOOKUP(A334,Database!A:M,MATCH($A$1,Database!$A$1:$M$1,),)</f>
        <v>408121</v>
      </c>
      <c r="C334" s="12">
        <f t="shared" si="10"/>
        <v>5.273658800926154E-3</v>
      </c>
      <c r="D334" s="13">
        <f t="shared" si="9"/>
        <v>3.4975870402633336E-2</v>
      </c>
    </row>
    <row r="335" spans="1:4" x14ac:dyDescent="0.2">
      <c r="A335" s="10">
        <v>43586</v>
      </c>
      <c r="B335" s="15">
        <f>VLOOKUP(A335,Database!A:M,MATCH($A$1,Database!$A$1:$M$1,),)</f>
        <v>410006</v>
      </c>
      <c r="C335" s="12">
        <f t="shared" si="10"/>
        <v>4.6187282693122876E-3</v>
      </c>
      <c r="D335" s="13">
        <f t="shared" si="9"/>
        <v>2.4971438713854661E-2</v>
      </c>
    </row>
    <row r="336" spans="1:4" s="110" customFormat="1" x14ac:dyDescent="0.2">
      <c r="A336" s="11">
        <v>43617</v>
      </c>
      <c r="B336" s="15">
        <f>VLOOKUP(A336,Database!A:M,MATCH($A$1,Database!$A$1:$M$1,),)</f>
        <v>410816</v>
      </c>
      <c r="C336" s="12">
        <f t="shared" si="10"/>
        <v>1.9755808451583637E-3</v>
      </c>
      <c r="D336" s="13">
        <f t="shared" si="9"/>
        <v>3.0313822169945E-2</v>
      </c>
    </row>
    <row r="337" spans="1:4" s="110" customFormat="1" x14ac:dyDescent="0.2">
      <c r="A337" s="10">
        <v>43647</v>
      </c>
      <c r="B337" s="15">
        <f>VLOOKUP(A337,Database!A:M,MATCH($A$1,Database!$A$1:$M$1,),)</f>
        <v>415325</v>
      </c>
      <c r="C337" s="12">
        <f t="shared" si="10"/>
        <v>1.0975716622526874E-2</v>
      </c>
      <c r="D337" s="13">
        <f t="shared" si="9"/>
        <v>3.392606865373652E-2</v>
      </c>
    </row>
    <row r="338" spans="1:4" s="110" customFormat="1" x14ac:dyDescent="0.2">
      <c r="A338" s="11">
        <v>43678</v>
      </c>
      <c r="B338" s="15">
        <f>VLOOKUP(A338,Database!A:M,MATCH($A$1,Database!$A$1:$M$1,),)</f>
        <v>415426</v>
      </c>
      <c r="C338" s="12">
        <f t="shared" si="10"/>
        <v>2.431830494191296E-4</v>
      </c>
      <c r="D338" s="13">
        <f t="shared" si="9"/>
        <v>3.2332293776325433E-2</v>
      </c>
    </row>
    <row r="339" spans="1:4" s="110" customFormat="1" x14ac:dyDescent="0.2">
      <c r="A339" s="10">
        <v>43709</v>
      </c>
      <c r="B339" s="15">
        <f>VLOOKUP(A339,Database!A:M,MATCH($A$1,Database!$A$1:$M$1,),)</f>
        <v>414270</v>
      </c>
      <c r="C339" s="12">
        <f t="shared" si="10"/>
        <v>-2.7826857250148043E-3</v>
      </c>
      <c r="D339" s="13">
        <f t="shared" ref="D339:D372" si="11">(B339-B327)/B327</f>
        <v>3.2811530032983552E-2</v>
      </c>
    </row>
    <row r="340" spans="1:4" s="110" customFormat="1" x14ac:dyDescent="0.2">
      <c r="A340" s="11">
        <v>43739</v>
      </c>
      <c r="B340" s="15">
        <f>VLOOKUP(A340,Database!A:M,MATCH($A$1,Database!$A$1:$M$1,),)</f>
        <v>416179</v>
      </c>
      <c r="C340" s="12">
        <f t="shared" si="10"/>
        <v>4.6081058247036955E-3</v>
      </c>
      <c r="D340" s="13">
        <f t="shared" si="11"/>
        <v>2.5334075723830736E-2</v>
      </c>
    </row>
    <row r="341" spans="1:4" s="110" customFormat="1" x14ac:dyDescent="0.2">
      <c r="A341" s="10">
        <v>43770</v>
      </c>
      <c r="B341" s="15">
        <f>VLOOKUP(A341,Database!A:M,MATCH($A$1,Database!$A$1:$M$1,),)</f>
        <v>416055</v>
      </c>
      <c r="C341" s="12">
        <f t="shared" si="10"/>
        <v>-2.9794871918092936E-4</v>
      </c>
      <c r="D341" s="13">
        <f t="shared" si="11"/>
        <v>2.4281620514436521E-2</v>
      </c>
    </row>
    <row r="342" spans="1:4" s="110" customFormat="1" x14ac:dyDescent="0.2">
      <c r="A342" s="11">
        <v>43800</v>
      </c>
      <c r="B342" s="15">
        <f>VLOOKUP(A342,Database!A:M,MATCH($A$1,Database!$A$1:$M$1,),)</f>
        <v>422153</v>
      </c>
      <c r="C342" s="12">
        <f t="shared" si="10"/>
        <v>1.4656716059174868E-2</v>
      </c>
      <c r="D342" s="13">
        <f t="shared" si="11"/>
        <v>6.5179488344044342E-2</v>
      </c>
    </row>
    <row r="343" spans="1:4" s="110" customFormat="1" x14ac:dyDescent="0.2">
      <c r="A343" s="10">
        <v>43831</v>
      </c>
      <c r="B343" s="15">
        <f>VLOOKUP(A343,Database!A:M,MATCH($A$1,Database!$A$1:$M$1,),)</f>
        <v>421133</v>
      </c>
      <c r="C343" s="12">
        <f t="shared" si="10"/>
        <v>-2.4161856009551038E-3</v>
      </c>
      <c r="D343" s="13">
        <f t="shared" si="11"/>
        <v>4.8483912970952975E-2</v>
      </c>
    </row>
    <row r="344" spans="1:4" s="110" customFormat="1" x14ac:dyDescent="0.2">
      <c r="A344" s="11">
        <v>43862</v>
      </c>
      <c r="B344" s="15">
        <f>VLOOKUP(A344,Database!A:M,MATCH($A$1,Database!$A$1:$M$1,),)</f>
        <v>422679</v>
      </c>
      <c r="C344" s="12">
        <f t="shared" si="10"/>
        <v>3.6710492884670641E-3</v>
      </c>
      <c r="D344" s="13">
        <f t="shared" si="11"/>
        <v>5.1218026039270302E-2</v>
      </c>
    </row>
    <row r="345" spans="1:4" s="110" customFormat="1" x14ac:dyDescent="0.2">
      <c r="A345" s="10">
        <v>43891</v>
      </c>
      <c r="B345" s="15">
        <f>VLOOKUP(A345,Database!A:M,MATCH($A$1,Database!$A$1:$M$1,),)</f>
        <v>403993</v>
      </c>
      <c r="C345" s="12">
        <f t="shared" si="10"/>
        <v>-4.4208489184463858E-2</v>
      </c>
      <c r="D345" s="13">
        <f t="shared" si="11"/>
        <v>-4.8943297699394058E-3</v>
      </c>
    </row>
    <row r="346" spans="1:4" s="110" customFormat="1" x14ac:dyDescent="0.2">
      <c r="A346" s="11">
        <v>43922</v>
      </c>
      <c r="B346" s="15">
        <f>VLOOKUP(A346,Database!A:M,MATCH($A$1,Database!$A$1:$M$1,),)</f>
        <v>340784</v>
      </c>
      <c r="C346" s="12">
        <f t="shared" si="10"/>
        <v>-0.15646063174361932</v>
      </c>
      <c r="D346" s="13">
        <f t="shared" si="11"/>
        <v>-0.164992734997709</v>
      </c>
    </row>
    <row r="347" spans="1:4" s="110" customFormat="1" x14ac:dyDescent="0.2">
      <c r="A347" s="10">
        <v>43952</v>
      </c>
      <c r="B347" s="15">
        <f>VLOOKUP(A347,Database!A:M,MATCH($A$1,Database!$A$1:$M$1,),)</f>
        <v>385103</v>
      </c>
      <c r="C347" s="12">
        <f t="shared" si="10"/>
        <v>0.13005011972393071</v>
      </c>
      <c r="D347" s="13">
        <f t="shared" si="11"/>
        <v>-6.0738135539479911E-2</v>
      </c>
    </row>
    <row r="348" spans="1:4" s="110" customFormat="1" x14ac:dyDescent="0.2">
      <c r="A348" s="11">
        <v>43983</v>
      </c>
      <c r="B348" s="15">
        <f>VLOOKUP(A348,Database!A:M,MATCH($A$1,Database!$A$1:$M$1,),)</f>
        <v>418132</v>
      </c>
      <c r="C348" s="12">
        <f t="shared" si="10"/>
        <v>8.5766665022085006E-2</v>
      </c>
      <c r="D348" s="13">
        <f t="shared" si="11"/>
        <v>1.7808459261567221E-2</v>
      </c>
    </row>
    <row r="349" spans="1:4" s="110" customFormat="1" x14ac:dyDescent="0.2">
      <c r="A349" s="10">
        <v>44013</v>
      </c>
      <c r="B349" s="15">
        <f>VLOOKUP(A349,Database!A:M,MATCH($A$1,Database!$A$1:$M$1,),)</f>
        <v>430255</v>
      </c>
      <c r="C349" s="12">
        <f t="shared" si="10"/>
        <v>2.8993236585575847E-2</v>
      </c>
      <c r="D349" s="13">
        <f t="shared" si="11"/>
        <v>3.5947751760669354E-2</v>
      </c>
    </row>
    <row r="350" spans="1:4" s="110" customFormat="1" x14ac:dyDescent="0.2">
      <c r="A350" s="11">
        <v>44044</v>
      </c>
      <c r="B350" s="15">
        <f>VLOOKUP(A350,Database!A:M,MATCH($A$1,Database!$A$1:$M$1,),)</f>
        <v>432843</v>
      </c>
      <c r="C350" s="12">
        <f t="shared" si="10"/>
        <v>6.0150375939849628E-3</v>
      </c>
      <c r="D350" s="13">
        <f t="shared" si="11"/>
        <v>4.1925637779050902E-2</v>
      </c>
    </row>
    <row r="351" spans="1:4" s="110" customFormat="1" x14ac:dyDescent="0.2">
      <c r="A351" s="10">
        <v>44075</v>
      </c>
      <c r="B351" s="15">
        <f>VLOOKUP(A351,Database!A:M,MATCH($A$1,Database!$A$1:$M$1,),)</f>
        <v>440843</v>
      </c>
      <c r="C351" s="12">
        <f t="shared" si="10"/>
        <v>1.8482452066915719E-2</v>
      </c>
      <c r="D351" s="13">
        <f t="shared" si="11"/>
        <v>6.4144157192169357E-2</v>
      </c>
    </row>
    <row r="352" spans="1:4" s="110" customFormat="1" x14ac:dyDescent="0.2">
      <c r="A352" s="11">
        <v>44105</v>
      </c>
      <c r="B352" s="15">
        <f>VLOOKUP(A352,Database!A:M,MATCH($A$1,Database!$A$1:$M$1,),)</f>
        <v>439587</v>
      </c>
      <c r="C352" s="12">
        <f t="shared" si="10"/>
        <v>-2.8490868631236062E-3</v>
      </c>
      <c r="D352" s="13">
        <f t="shared" si="11"/>
        <v>5.6245029182154793E-2</v>
      </c>
    </row>
    <row r="353" spans="1:4" s="110" customFormat="1" x14ac:dyDescent="0.2">
      <c r="A353" s="10">
        <v>44136</v>
      </c>
      <c r="B353" s="15">
        <f>VLOOKUP(A353,Database!A:M,MATCH($A$1,Database!$A$1:$M$1,),)</f>
        <v>434907</v>
      </c>
      <c r="C353" s="12">
        <f t="shared" si="10"/>
        <v>-1.0646356693896771E-2</v>
      </c>
      <c r="D353" s="13">
        <f t="shared" si="11"/>
        <v>4.5311317013375638E-2</v>
      </c>
    </row>
    <row r="354" spans="1:4" s="110" customFormat="1" x14ac:dyDescent="0.2">
      <c r="A354" s="11">
        <v>44166</v>
      </c>
      <c r="B354" s="15">
        <f>VLOOKUP(A354,Database!A:M,MATCH($A$1,Database!$A$1:$M$1,),)</f>
        <v>431856</v>
      </c>
      <c r="C354" s="12">
        <f t="shared" si="10"/>
        <v>-7.015292924694245E-3</v>
      </c>
      <c r="D354" s="13">
        <f t="shared" si="11"/>
        <v>2.2984557731438603E-2</v>
      </c>
    </row>
    <row r="355" spans="1:4" s="110" customFormat="1" x14ac:dyDescent="0.2">
      <c r="A355" s="10">
        <v>44197</v>
      </c>
      <c r="B355" s="15">
        <f>VLOOKUP(A355,Database!A:M,MATCH($A$1,Database!$A$1:$M$1,),)</f>
        <v>457790</v>
      </c>
      <c r="C355" s="12">
        <f t="shared" si="10"/>
        <v>6.0052424882368199E-2</v>
      </c>
      <c r="D355" s="13">
        <f t="shared" si="11"/>
        <v>8.7043760522210328E-2</v>
      </c>
    </row>
    <row r="356" spans="1:4" s="110" customFormat="1" x14ac:dyDescent="0.2">
      <c r="A356" s="11">
        <v>44228</v>
      </c>
      <c r="B356" s="15">
        <f>VLOOKUP(A356,Database!A:M,MATCH($A$1,Database!$A$1:$M$1,),)</f>
        <v>450910</v>
      </c>
      <c r="C356" s="12">
        <f t="shared" si="10"/>
        <v>-1.5028724961226763E-2</v>
      </c>
      <c r="D356" s="13">
        <f t="shared" si="11"/>
        <v>6.6790637812619028E-2</v>
      </c>
    </row>
    <row r="357" spans="1:4" s="110" customFormat="1" x14ac:dyDescent="0.2">
      <c r="A357" s="10">
        <v>44256</v>
      </c>
      <c r="B357" s="15">
        <f>VLOOKUP(A357,Database!A:M,MATCH($A$1,Database!$A$1:$M$1,),)</f>
        <v>494626</v>
      </c>
      <c r="C357" s="12">
        <f t="shared" si="10"/>
        <v>9.6950610986671404E-2</v>
      </c>
      <c r="D357" s="13">
        <f t="shared" si="11"/>
        <v>0.22434299604201063</v>
      </c>
    </row>
    <row r="358" spans="1:4" s="110" customFormat="1" x14ac:dyDescent="0.2">
      <c r="A358" s="11">
        <v>44287</v>
      </c>
      <c r="B358" s="15">
        <f>VLOOKUP(A358,Database!A:M,MATCH($A$1,Database!$A$1:$M$1,),)</f>
        <v>492307</v>
      </c>
      <c r="C358" s="12">
        <f t="shared" si="10"/>
        <v>-4.6883908245826137E-3</v>
      </c>
      <c r="D358" s="13">
        <f t="shared" si="11"/>
        <v>0.44463061646086671</v>
      </c>
    </row>
    <row r="359" spans="1:4" s="110" customFormat="1" x14ac:dyDescent="0.2">
      <c r="A359" s="10">
        <v>44317</v>
      </c>
      <c r="B359" s="15">
        <f>VLOOKUP(A359,Database!A:M,MATCH($A$1,Database!$A$1:$M$1,),)</f>
        <v>491778</v>
      </c>
      <c r="C359" s="12">
        <f t="shared" si="10"/>
        <v>-1.0745327610616952E-3</v>
      </c>
      <c r="D359" s="13">
        <f t="shared" si="11"/>
        <v>0.27700381456389589</v>
      </c>
    </row>
    <row r="360" spans="1:4" s="110" customFormat="1" x14ac:dyDescent="0.2">
      <c r="A360" s="11">
        <v>44348</v>
      </c>
      <c r="B360" s="15">
        <f>VLOOKUP(A360,Database!A:M,MATCH($A$1,Database!$A$1:$M$1,),)</f>
        <v>501804</v>
      </c>
      <c r="C360" s="12">
        <f t="shared" si="10"/>
        <v>2.0387247904542292E-2</v>
      </c>
      <c r="D360" s="13">
        <f t="shared" si="11"/>
        <v>0.20010905647020558</v>
      </c>
    </row>
    <row r="361" spans="1:4" s="110" customFormat="1" x14ac:dyDescent="0.2">
      <c r="A361" s="10">
        <v>44378</v>
      </c>
      <c r="B361" s="15">
        <f>VLOOKUP(A361,Database!A:M,MATCH($A$1,Database!$A$1:$M$1,),)</f>
        <v>496834</v>
      </c>
      <c r="C361" s="12">
        <f t="shared" si="10"/>
        <v>-9.9042654103992794E-3</v>
      </c>
      <c r="D361" s="13">
        <f t="shared" si="11"/>
        <v>0.15474311745360309</v>
      </c>
    </row>
    <row r="362" spans="1:4" s="110" customFormat="1" x14ac:dyDescent="0.2">
      <c r="A362" s="11">
        <v>44409</v>
      </c>
      <c r="B362" s="15">
        <f>VLOOKUP(A362,Database!A:M,MATCH($A$1,Database!$A$1:$M$1,),)</f>
        <v>505547</v>
      </c>
      <c r="C362" s="12">
        <f t="shared" si="10"/>
        <v>1.7537044566193136E-2</v>
      </c>
      <c r="D362" s="13">
        <f t="shared" si="11"/>
        <v>0.16796852438413004</v>
      </c>
    </row>
    <row r="363" spans="1:4" s="110" customFormat="1" x14ac:dyDescent="0.2">
      <c r="A363" s="11">
        <v>44440</v>
      </c>
      <c r="B363" s="15">
        <f>VLOOKUP(A363,Database!A:M,MATCH($A$1,Database!$A$1:$M$1,),)</f>
        <v>510560</v>
      </c>
      <c r="C363" s="12">
        <f t="shared" si="10"/>
        <v>9.9159919849193048E-3</v>
      </c>
      <c r="D363" s="13">
        <f t="shared" si="11"/>
        <v>0.15814473633470419</v>
      </c>
    </row>
    <row r="364" spans="1:4" s="110" customFormat="1" x14ac:dyDescent="0.2">
      <c r="A364" s="10">
        <v>44470</v>
      </c>
      <c r="B364" s="15">
        <f>VLOOKUP(A364,Database!A:M,MATCH($A$1,Database!$A$1:$M$1,),)</f>
        <v>518231</v>
      </c>
      <c r="C364" s="12">
        <f t="shared" si="10"/>
        <v>1.5024678784080226E-2</v>
      </c>
      <c r="D364" s="13">
        <f t="shared" si="11"/>
        <v>0.17890428970829439</v>
      </c>
    </row>
    <row r="365" spans="1:4" s="110" customFormat="1" x14ac:dyDescent="0.2">
      <c r="A365" s="11">
        <v>44501</v>
      </c>
      <c r="B365" s="15">
        <f>VLOOKUP(A365,Database!A:M,MATCH($A$1,Database!$A$1:$M$1,),)</f>
        <v>521070</v>
      </c>
      <c r="C365" s="12">
        <f t="shared" si="10"/>
        <v>5.4782519764352191E-3</v>
      </c>
      <c r="D365" s="13">
        <f t="shared" si="11"/>
        <v>0.19811821837772214</v>
      </c>
    </row>
    <row r="366" spans="1:4" s="110" customFormat="1" x14ac:dyDescent="0.2">
      <c r="A366" s="10">
        <v>44531</v>
      </c>
      <c r="B366" s="15">
        <f>VLOOKUP(A366,Database!A:M,MATCH($A$1,Database!$A$1:$M$1,),)</f>
        <v>513586</v>
      </c>
      <c r="C366" s="12">
        <f t="shared" si="10"/>
        <v>-1.4362753564780164E-2</v>
      </c>
      <c r="D366" s="13">
        <f t="shared" si="11"/>
        <v>0.18925289911451965</v>
      </c>
    </row>
    <row r="367" spans="1:4" s="110" customFormat="1" x14ac:dyDescent="0.2">
      <c r="A367" s="11">
        <v>44562</v>
      </c>
      <c r="B367" s="15">
        <f>VLOOKUP(A367,Database!A:M,MATCH($A$1,Database!$A$1:$M$1,),)</f>
        <v>521891</v>
      </c>
      <c r="C367" s="12">
        <f t="shared" si="10"/>
        <v>1.6170612127277613E-2</v>
      </c>
      <c r="D367" s="13">
        <f t="shared" si="11"/>
        <v>0.14002271784005768</v>
      </c>
    </row>
    <row r="368" spans="1:4" s="110" customFormat="1" x14ac:dyDescent="0.2">
      <c r="A368" s="11">
        <v>44593</v>
      </c>
      <c r="B368" s="15">
        <f>VLOOKUP(A368,Database!A:M,MATCH($A$1,Database!$A$1:$M$1,),)</f>
        <v>530893</v>
      </c>
      <c r="C368" s="12">
        <f t="shared" si="10"/>
        <v>1.7248812491497265E-2</v>
      </c>
      <c r="D368" s="13">
        <f t="shared" si="11"/>
        <v>0.1773812956022266</v>
      </c>
    </row>
    <row r="369" spans="1:4" s="110" customFormat="1" x14ac:dyDescent="0.2">
      <c r="A369" s="11">
        <v>44621</v>
      </c>
      <c r="B369" s="15">
        <f>VLOOKUP(A369,Database!A:M,MATCH($A$1,Database!$A$1:$M$1,),)</f>
        <v>541436</v>
      </c>
      <c r="C369" s="12">
        <f t="shared" si="10"/>
        <v>1.9858992301650238E-2</v>
      </c>
      <c r="D369" s="13">
        <f t="shared" si="11"/>
        <v>9.463716019780602E-2</v>
      </c>
    </row>
    <row r="370" spans="1:4" s="110" customFormat="1" x14ac:dyDescent="0.2">
      <c r="A370" s="11">
        <v>44652</v>
      </c>
      <c r="B370" s="15">
        <f>VLOOKUP(A370,Database!A:M,MATCH($A$1,Database!$A$1:$M$1,),)</f>
        <v>543908</v>
      </c>
      <c r="C370" s="12">
        <f t="shared" si="10"/>
        <v>4.565636566463996E-3</v>
      </c>
      <c r="D370" s="13">
        <f t="shared" si="11"/>
        <v>0.10481467864564184</v>
      </c>
    </row>
    <row r="371" spans="1:4" s="110" customFormat="1" x14ac:dyDescent="0.2">
      <c r="A371" s="11">
        <v>44682</v>
      </c>
      <c r="B371" s="15">
        <f>VLOOKUP(A371,Database!A:M,MATCH($A$1,Database!$A$1:$M$1,),)</f>
        <v>550725</v>
      </c>
      <c r="C371" s="12">
        <f t="shared" si="10"/>
        <v>1.2533369613978834E-2</v>
      </c>
      <c r="D371" s="13">
        <f t="shared" si="11"/>
        <v>0.1198650610641387</v>
      </c>
    </row>
    <row r="372" spans="1:4" s="110" customFormat="1" x14ac:dyDescent="0.2">
      <c r="A372" s="11">
        <v>44713</v>
      </c>
      <c r="B372" s="15">
        <f>VLOOKUP(A372,Database!A:M,MATCH($A$1,Database!$A$1:$M$1,),)</f>
        <v>555563</v>
      </c>
      <c r="C372" s="12">
        <f t="shared" si="10"/>
        <v>8.7847836942212543E-3</v>
      </c>
      <c r="D372" s="13">
        <f t="shared" si="11"/>
        <v>0.10713146965747583</v>
      </c>
    </row>
    <row r="373" spans="1:4" s="110" customFormat="1" x14ac:dyDescent="0.2">
      <c r="A373" s="11">
        <v>44743</v>
      </c>
      <c r="B373" s="15">
        <f>VLOOKUP(A373,Database!A:M,MATCH($A$1,Database!$A$1:$M$1,),)</f>
        <v>557867</v>
      </c>
      <c r="C373" s="12">
        <f t="shared" si="10"/>
        <v>4.1471444282646609E-3</v>
      </c>
      <c r="D373" s="13">
        <f t="shared" ref="D373" si="12">(B373-B361)/B361</f>
        <v>0.12284384724072829</v>
      </c>
    </row>
    <row r="374" spans="1:4" s="110" customFormat="1" x14ac:dyDescent="0.2">
      <c r="B374" s="22"/>
    </row>
    <row r="375" spans="1:4" s="110" customFormat="1" x14ac:dyDescent="0.2">
      <c r="B375" s="22"/>
    </row>
    <row r="376" spans="1:4" s="110" customFormat="1" x14ac:dyDescent="0.2">
      <c r="B376" s="22"/>
    </row>
    <row r="377" spans="1:4" s="110" customFormat="1" x14ac:dyDescent="0.2">
      <c r="B377" s="22"/>
    </row>
    <row r="378" spans="1:4" s="110" customFormat="1" x14ac:dyDescent="0.2">
      <c r="B378" s="22"/>
    </row>
    <row r="379" spans="1:4" s="110" customFormat="1" x14ac:dyDescent="0.2">
      <c r="B379" s="22"/>
    </row>
    <row r="380" spans="1:4" s="110" customFormat="1" x14ac:dyDescent="0.2">
      <c r="B380" s="22"/>
    </row>
    <row r="381" spans="1:4" s="110" customFormat="1" x14ac:dyDescent="0.2">
      <c r="B381" s="22"/>
    </row>
    <row r="382" spans="1:4" s="110" customFormat="1" x14ac:dyDescent="0.2">
      <c r="B382" s="22"/>
    </row>
    <row r="383" spans="1:4" s="110" customFormat="1" x14ac:dyDescent="0.2">
      <c r="B383" s="22"/>
    </row>
    <row r="384" spans="1:4"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row r="805" spans="1:4" x14ac:dyDescent="0.2">
      <c r="A805" s="110"/>
      <c r="B805" s="22"/>
      <c r="C805" s="110"/>
      <c r="D805" s="110"/>
    </row>
    <row r="806" spans="1:4" x14ac:dyDescent="0.2">
      <c r="A806" s="110"/>
      <c r="B806" s="22"/>
      <c r="C806" s="110"/>
      <c r="D806" s="110"/>
    </row>
    <row r="807" spans="1:4" x14ac:dyDescent="0.2">
      <c r="A807" s="110"/>
      <c r="B807" s="22"/>
      <c r="C807" s="110"/>
      <c r="D807" s="110"/>
    </row>
    <row r="808" spans="1:4" x14ac:dyDescent="0.2">
      <c r="A808" s="110"/>
      <c r="B808" s="22"/>
      <c r="C808" s="110"/>
      <c r="D808" s="110"/>
    </row>
    <row r="809" spans="1:4" x14ac:dyDescent="0.2">
      <c r="A809" s="110"/>
      <c r="B809" s="22"/>
      <c r="C809" s="110"/>
      <c r="D809" s="110"/>
    </row>
    <row r="810" spans="1:4" x14ac:dyDescent="0.2">
      <c r="A810" s="110"/>
      <c r="B810" s="22"/>
      <c r="C810" s="110"/>
      <c r="D810" s="110"/>
    </row>
    <row r="811" spans="1:4" x14ac:dyDescent="0.2">
      <c r="A811" s="110"/>
      <c r="B811" s="22"/>
      <c r="C811" s="110"/>
      <c r="D811" s="110"/>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3"/>
  <sheetViews>
    <sheetView zoomScale="160" zoomScaleNormal="160" workbookViewId="0">
      <pane ySplit="6" topLeftCell="A364" activePane="bottomLeft" state="frozen"/>
      <selection pane="bottomLeft" activeCell="P362" sqref="P362"/>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47875</v>
      </c>
      <c r="C223" s="12">
        <f t="shared" si="6"/>
        <v>-5.3808119001121871E-3</v>
      </c>
      <c r="D223" s="13">
        <f t="shared" si="7"/>
        <v>4.953924305715905E-3</v>
      </c>
    </row>
    <row r="224" spans="1:4" x14ac:dyDescent="0.2">
      <c r="A224" s="11">
        <v>40210</v>
      </c>
      <c r="B224" s="15">
        <f>VLOOKUP(A224,Database!A:K,MATCH($A$1,Database!$A$1:$K$1,),)</f>
        <v>48699</v>
      </c>
      <c r="C224" s="12">
        <f t="shared" si="6"/>
        <v>1.7211488250652742E-2</v>
      </c>
      <c r="D224" s="13">
        <f t="shared" si="7"/>
        <v>3.7738663484486873E-2</v>
      </c>
    </row>
    <row r="225" spans="1:4" x14ac:dyDescent="0.2">
      <c r="A225" s="10">
        <v>40238</v>
      </c>
      <c r="B225" s="15">
        <f>VLOOKUP(A225,Database!A:K,MATCH($A$1,Database!$A$1:$K$1,),)</f>
        <v>48268</v>
      </c>
      <c r="C225" s="12">
        <f t="shared" si="6"/>
        <v>-8.8502844000903514E-3</v>
      </c>
      <c r="D225" s="13">
        <f t="shared" si="7"/>
        <v>2.8905184174624829E-2</v>
      </c>
    </row>
    <row r="226" spans="1:4" x14ac:dyDescent="0.2">
      <c r="A226" s="11">
        <v>40269</v>
      </c>
      <c r="B226" s="15">
        <f>VLOOKUP(A226,Database!A:K,MATCH($A$1,Database!$A$1:$K$1,),)</f>
        <v>48217</v>
      </c>
      <c r="C226" s="12">
        <f t="shared" si="6"/>
        <v>-1.0566006463909837E-3</v>
      </c>
      <c r="D226" s="13">
        <f t="shared" si="7"/>
        <v>2.2998748223113319E-2</v>
      </c>
    </row>
    <row r="227" spans="1:4" x14ac:dyDescent="0.2">
      <c r="A227" s="10">
        <v>40299</v>
      </c>
      <c r="B227" s="15">
        <f>VLOOKUP(A227,Database!A:K,MATCH($A$1,Database!$A$1:$K$1,),)</f>
        <v>48195</v>
      </c>
      <c r="C227" s="12">
        <f t="shared" si="6"/>
        <v>-4.562706099508472E-4</v>
      </c>
      <c r="D227" s="13">
        <f t="shared" si="7"/>
        <v>2.0669645693470847E-2</v>
      </c>
    </row>
    <row r="228" spans="1:4" x14ac:dyDescent="0.2">
      <c r="A228" s="11">
        <v>40330</v>
      </c>
      <c r="B228" s="15">
        <f>VLOOKUP(A228,Database!A:K,MATCH($A$1,Database!$A$1:$K$1,),)</f>
        <v>47866</v>
      </c>
      <c r="C228" s="12">
        <f t="shared" si="6"/>
        <v>-6.8264342774146695E-3</v>
      </c>
      <c r="D228" s="13">
        <f t="shared" si="7"/>
        <v>1.0897571277719113E-2</v>
      </c>
    </row>
    <row r="229" spans="1:4" x14ac:dyDescent="0.2">
      <c r="A229" s="10">
        <v>40360</v>
      </c>
      <c r="B229" s="15">
        <f>VLOOKUP(A229,Database!A:K,MATCH($A$1,Database!$A$1:$K$1,),)</f>
        <v>47954</v>
      </c>
      <c r="C229" s="12">
        <f t="shared" si="6"/>
        <v>1.8384657167927129E-3</v>
      </c>
      <c r="D229" s="13">
        <f t="shared" si="7"/>
        <v>1.3184027044158039E-2</v>
      </c>
    </row>
    <row r="230" spans="1:4" x14ac:dyDescent="0.2">
      <c r="A230" s="11">
        <v>40391</v>
      </c>
      <c r="B230" s="15">
        <f>VLOOKUP(A230,Database!A:K,MATCH($A$1,Database!$A$1:$K$1,),)</f>
        <v>48217</v>
      </c>
      <c r="C230" s="12">
        <f t="shared" si="6"/>
        <v>5.4844225716311461E-3</v>
      </c>
      <c r="D230" s="13">
        <f t="shared" si="7"/>
        <v>1.9192965397704452E-2</v>
      </c>
    </row>
    <row r="231" spans="1:4" x14ac:dyDescent="0.2">
      <c r="A231" s="10">
        <v>40422</v>
      </c>
      <c r="B231" s="15">
        <f>VLOOKUP(A231,Database!A:K,MATCH($A$1,Database!$A$1:$K$1,),)</f>
        <v>48679</v>
      </c>
      <c r="C231" s="12">
        <f t="shared" si="6"/>
        <v>9.5816828089677914E-3</v>
      </c>
      <c r="D231" s="13">
        <f t="shared" si="7"/>
        <v>2.3549696166866418E-2</v>
      </c>
    </row>
    <row r="232" spans="1:4" x14ac:dyDescent="0.2">
      <c r="A232" s="11">
        <v>40452</v>
      </c>
      <c r="B232" s="15">
        <f>VLOOKUP(A232,Database!A:K,MATCH($A$1,Database!$A$1:$K$1,),)</f>
        <v>48569</v>
      </c>
      <c r="C232" s="12">
        <f t="shared" si="6"/>
        <v>-2.2597013085724851E-3</v>
      </c>
      <c r="D232" s="13">
        <f t="shared" si="7"/>
        <v>2.0292838686637397E-2</v>
      </c>
    </row>
    <row r="233" spans="1:4" x14ac:dyDescent="0.2">
      <c r="A233" s="10">
        <v>40483</v>
      </c>
      <c r="B233" s="15">
        <f>VLOOKUP(A233,Database!A:K,MATCH($A$1,Database!$A$1:$K$1,),)</f>
        <v>49131</v>
      </c>
      <c r="C233" s="12">
        <f t="shared" si="6"/>
        <v>1.15711667936338E-2</v>
      </c>
      <c r="D233" s="13">
        <f t="shared" si="7"/>
        <v>3.0237580993520519E-2</v>
      </c>
    </row>
    <row r="234" spans="1:4" x14ac:dyDescent="0.2">
      <c r="A234" s="11">
        <v>40513</v>
      </c>
      <c r="B234" s="15">
        <f>VLOOKUP(A234,Database!A:K,MATCH($A$1,Database!$A$1:$K$1,),)</f>
        <v>49186</v>
      </c>
      <c r="C234" s="12">
        <f t="shared" si="6"/>
        <v>1.1194561478496264E-3</v>
      </c>
      <c r="D234" s="13">
        <f t="shared" si="7"/>
        <v>2.1855652968795446E-2</v>
      </c>
    </row>
    <row r="235" spans="1:4" x14ac:dyDescent="0.2">
      <c r="A235" s="10">
        <v>40544</v>
      </c>
      <c r="B235" s="15">
        <f>VLOOKUP(A235,Database!A:K,MATCH($A$1,Database!$A$1:$K$1,),)</f>
        <v>49676</v>
      </c>
      <c r="C235" s="12">
        <f t="shared" si="6"/>
        <v>9.9621843614036507E-3</v>
      </c>
      <c r="D235" s="13">
        <f t="shared" si="7"/>
        <v>3.7618798955613576E-2</v>
      </c>
    </row>
    <row r="236" spans="1:4" x14ac:dyDescent="0.2">
      <c r="A236" s="11">
        <v>40575</v>
      </c>
      <c r="B236" s="15">
        <f>VLOOKUP(A236,Database!A:K,MATCH($A$1,Database!$A$1:$K$1,),)</f>
        <v>50066</v>
      </c>
      <c r="C236" s="12">
        <f t="shared" si="6"/>
        <v>7.8508736613253881E-3</v>
      </c>
      <c r="D236" s="13">
        <f t="shared" si="7"/>
        <v>2.8070391589149674E-2</v>
      </c>
    </row>
    <row r="237" spans="1:4" x14ac:dyDescent="0.2">
      <c r="A237" s="10">
        <v>40603</v>
      </c>
      <c r="B237" s="15">
        <f>VLOOKUP(A237,Database!A:K,MATCH($A$1,Database!$A$1:$K$1,),)</f>
        <v>50078</v>
      </c>
      <c r="C237" s="12">
        <f t="shared" si="6"/>
        <v>2.3968361762473535E-4</v>
      </c>
      <c r="D237" s="13">
        <f t="shared" si="7"/>
        <v>3.7498964117013339E-2</v>
      </c>
    </row>
    <row r="238" spans="1:4" x14ac:dyDescent="0.2">
      <c r="A238" s="11">
        <v>40634</v>
      </c>
      <c r="B238" s="15">
        <f>VLOOKUP(A238,Database!A:K,MATCH($A$1,Database!$A$1:$K$1,),)</f>
        <v>50836</v>
      </c>
      <c r="C238" s="12">
        <f t="shared" si="6"/>
        <v>1.5136387235911977E-2</v>
      </c>
      <c r="D238" s="13">
        <f t="shared" si="7"/>
        <v>5.4316942157330399E-2</v>
      </c>
    </row>
    <row r="239" spans="1:4" x14ac:dyDescent="0.2">
      <c r="A239" s="10">
        <v>40664</v>
      </c>
      <c r="B239" s="15">
        <f>VLOOKUP(A239,Database!A:K,MATCH($A$1,Database!$A$1:$K$1,),)</f>
        <v>50382</v>
      </c>
      <c r="C239" s="12">
        <f t="shared" si="6"/>
        <v>-8.9306790463451104E-3</v>
      </c>
      <c r="D239" s="13">
        <f t="shared" si="7"/>
        <v>4.53781512605042E-2</v>
      </c>
    </row>
    <row r="240" spans="1:4" x14ac:dyDescent="0.2">
      <c r="A240" s="11">
        <v>40695</v>
      </c>
      <c r="B240" s="15">
        <f>VLOOKUP(A240,Database!A:K,MATCH($A$1,Database!$A$1:$K$1,),)</f>
        <v>50943</v>
      </c>
      <c r="C240" s="12">
        <f t="shared" si="6"/>
        <v>1.1134929141360009E-2</v>
      </c>
      <c r="D240" s="13">
        <f t="shared" si="7"/>
        <v>6.4283625120127016E-2</v>
      </c>
    </row>
    <row r="241" spans="1:4" x14ac:dyDescent="0.2">
      <c r="A241" s="10">
        <v>40725</v>
      </c>
      <c r="B241" s="15">
        <f>VLOOKUP(A241,Database!A:K,MATCH($A$1,Database!$A$1:$K$1,),)</f>
        <v>50941</v>
      </c>
      <c r="C241" s="12">
        <f t="shared" si="6"/>
        <v>-3.9259564611428457E-5</v>
      </c>
      <c r="D241" s="13">
        <f t="shared" si="7"/>
        <v>6.2288860157651081E-2</v>
      </c>
    </row>
    <row r="242" spans="1:4" x14ac:dyDescent="0.2">
      <c r="A242" s="11">
        <v>40756</v>
      </c>
      <c r="B242" s="15">
        <f>VLOOKUP(A242,Database!A:K,MATCH($A$1,Database!$A$1:$K$1,),)</f>
        <v>51179</v>
      </c>
      <c r="C242" s="12">
        <f t="shared" si="6"/>
        <v>4.6720716122573176E-3</v>
      </c>
      <c r="D242" s="13">
        <f t="shared" si="7"/>
        <v>6.1430615757927701E-2</v>
      </c>
    </row>
    <row r="243" spans="1:4" x14ac:dyDescent="0.2">
      <c r="A243" s="10">
        <v>40787</v>
      </c>
      <c r="B243" s="15">
        <f>VLOOKUP(A243,Database!A:K,MATCH($A$1,Database!$A$1:$K$1,),)</f>
        <v>51096</v>
      </c>
      <c r="C243" s="12">
        <f t="shared" si="6"/>
        <v>-1.6217589245589011E-3</v>
      </c>
      <c r="D243" s="13">
        <f t="shared" si="7"/>
        <v>4.9651800571088152E-2</v>
      </c>
    </row>
    <row r="244" spans="1:4" x14ac:dyDescent="0.2">
      <c r="A244" s="11">
        <v>40817</v>
      </c>
      <c r="B244" s="15">
        <f>VLOOKUP(A244,Database!A:K,MATCH($A$1,Database!$A$1:$K$1,),)</f>
        <v>51322</v>
      </c>
      <c r="C244" s="12">
        <f t="shared" si="6"/>
        <v>4.4230468138406137E-3</v>
      </c>
      <c r="D244" s="13">
        <f t="shared" si="7"/>
        <v>5.6682245876999729E-2</v>
      </c>
    </row>
    <row r="245" spans="1:4" x14ac:dyDescent="0.2">
      <c r="A245" s="10">
        <v>40848</v>
      </c>
      <c r="B245" s="15">
        <f>VLOOKUP(A245,Database!A:K,MATCH($A$1,Database!$A$1:$K$1,),)</f>
        <v>51413</v>
      </c>
      <c r="C245" s="12">
        <f t="shared" si="6"/>
        <v>1.7731187405011495E-3</v>
      </c>
      <c r="D245" s="13">
        <f t="shared" si="7"/>
        <v>4.6447253261688137E-2</v>
      </c>
    </row>
    <row r="246" spans="1:4" x14ac:dyDescent="0.2">
      <c r="A246" s="11">
        <v>40878</v>
      </c>
      <c r="B246" s="15">
        <f>VLOOKUP(A246,Database!A:K,MATCH($A$1,Database!$A$1:$K$1,),)</f>
        <v>51262</v>
      </c>
      <c r="C246" s="12">
        <f t="shared" si="6"/>
        <v>-2.9370003695563377E-3</v>
      </c>
      <c r="D246" s="13">
        <f t="shared" si="7"/>
        <v>4.2207132110763226E-2</v>
      </c>
    </row>
    <row r="247" spans="1:4" x14ac:dyDescent="0.2">
      <c r="A247" s="10">
        <v>40909</v>
      </c>
      <c r="B247" s="15">
        <f>VLOOKUP(A247,Database!A:K,MATCH($A$1,Database!$A$1:$K$1,),)</f>
        <v>51495</v>
      </c>
      <c r="C247" s="12">
        <f t="shared" si="6"/>
        <v>4.5452772033865241E-3</v>
      </c>
      <c r="D247" s="13">
        <f t="shared" si="7"/>
        <v>3.661727997423303E-2</v>
      </c>
    </row>
    <row r="248" spans="1:4" x14ac:dyDescent="0.2">
      <c r="A248" s="11">
        <v>40940</v>
      </c>
      <c r="B248" s="15">
        <f>VLOOKUP(A248,Database!A:K,MATCH($A$1,Database!$A$1:$K$1,),)</f>
        <v>51654</v>
      </c>
      <c r="C248" s="12">
        <f t="shared" si="6"/>
        <v>3.0876784153801339E-3</v>
      </c>
      <c r="D248" s="13">
        <f t="shared" si="7"/>
        <v>3.171813206567331E-2</v>
      </c>
    </row>
    <row r="249" spans="1:4" x14ac:dyDescent="0.2">
      <c r="A249" s="10">
        <v>40969</v>
      </c>
      <c r="B249" s="15">
        <f>VLOOKUP(A249,Database!A:K,MATCH($A$1,Database!$A$1:$K$1,),)</f>
        <v>52155</v>
      </c>
      <c r="C249" s="12">
        <f t="shared" si="6"/>
        <v>9.699152050180045E-3</v>
      </c>
      <c r="D249" s="13">
        <f t="shared" si="7"/>
        <v>4.1475298534286512E-2</v>
      </c>
    </row>
    <row r="250" spans="1:4" x14ac:dyDescent="0.2">
      <c r="A250" s="11">
        <v>41000</v>
      </c>
      <c r="B250" s="15">
        <f>VLOOKUP(A250,Database!A:K,MATCH($A$1,Database!$A$1:$K$1,),)</f>
        <v>52249</v>
      </c>
      <c r="C250" s="12">
        <f t="shared" si="6"/>
        <v>1.8023200076694469E-3</v>
      </c>
      <c r="D250" s="13">
        <f t="shared" si="7"/>
        <v>2.7795263199307578E-2</v>
      </c>
    </row>
    <row r="251" spans="1:4" x14ac:dyDescent="0.2">
      <c r="A251" s="10">
        <v>41030</v>
      </c>
      <c r="B251" s="15">
        <f>VLOOKUP(A251,Database!A:K,MATCH($A$1,Database!$A$1:$K$1,),)</f>
        <v>52283</v>
      </c>
      <c r="C251" s="12">
        <f t="shared" si="6"/>
        <v>6.507301575149764E-4</v>
      </c>
      <c r="D251" s="13">
        <f t="shared" si="7"/>
        <v>3.7731729585963242E-2</v>
      </c>
    </row>
    <row r="252" spans="1:4" x14ac:dyDescent="0.2">
      <c r="A252" s="11">
        <v>41061</v>
      </c>
      <c r="B252" s="15">
        <f>VLOOKUP(A252,Database!A:K,MATCH($A$1,Database!$A$1:$K$1,),)</f>
        <v>52249</v>
      </c>
      <c r="C252" s="12">
        <f t="shared" si="6"/>
        <v>-6.503069831493985E-4</v>
      </c>
      <c r="D252" s="13">
        <f t="shared" si="7"/>
        <v>2.5636495691262785E-2</v>
      </c>
    </row>
    <row r="253" spans="1:4" x14ac:dyDescent="0.2">
      <c r="A253" s="10">
        <v>41091</v>
      </c>
      <c r="B253" s="15">
        <f>VLOOKUP(A253,Database!A:K,MATCH($A$1,Database!$A$1:$K$1,),)</f>
        <v>52231</v>
      </c>
      <c r="C253" s="12">
        <f t="shared" si="6"/>
        <v>-3.445042010373404E-4</v>
      </c>
      <c r="D253" s="13">
        <f t="shared" si="7"/>
        <v>2.5323413360554367E-2</v>
      </c>
    </row>
    <row r="254" spans="1:4" x14ac:dyDescent="0.2">
      <c r="A254" s="11">
        <v>41122</v>
      </c>
      <c r="B254" s="15">
        <f>VLOOKUP(A254,Database!A:K,MATCH($A$1,Database!$A$1:$K$1,),)</f>
        <v>52361</v>
      </c>
      <c r="C254" s="12">
        <f t="shared" si="6"/>
        <v>2.48894334782026E-3</v>
      </c>
      <c r="D254" s="13">
        <f t="shared" si="7"/>
        <v>2.3095410226850858E-2</v>
      </c>
    </row>
    <row r="255" spans="1:4" x14ac:dyDescent="0.2">
      <c r="A255" s="10">
        <v>41153</v>
      </c>
      <c r="B255" s="15">
        <f>VLOOKUP(A255,Database!A:K,MATCH($A$1,Database!$A$1:$K$1,),)</f>
        <v>52492</v>
      </c>
      <c r="C255" s="12">
        <f t="shared" si="6"/>
        <v>2.5018620729168658E-3</v>
      </c>
      <c r="D255" s="13">
        <f t="shared" si="7"/>
        <v>2.7321121027086268E-2</v>
      </c>
    </row>
    <row r="256" spans="1:4" x14ac:dyDescent="0.2">
      <c r="A256" s="11">
        <v>41183</v>
      </c>
      <c r="B256" s="15">
        <f>VLOOKUP(A256,Database!A:K,MATCH($A$1,Database!$A$1:$K$1,),)</f>
        <v>52805</v>
      </c>
      <c r="C256" s="12">
        <f t="shared" si="6"/>
        <v>5.9628133810866414E-3</v>
      </c>
      <c r="D256" s="13">
        <f t="shared" si="7"/>
        <v>2.8895990023771481E-2</v>
      </c>
    </row>
    <row r="257" spans="1:4" x14ac:dyDescent="0.2">
      <c r="A257" s="10">
        <v>41214</v>
      </c>
      <c r="B257" s="15">
        <f>VLOOKUP(A257,Database!A:K,MATCH($A$1,Database!$A$1:$K$1,),)</f>
        <v>52717</v>
      </c>
      <c r="C257" s="12">
        <f t="shared" si="6"/>
        <v>-1.6665088533282834E-3</v>
      </c>
      <c r="D257" s="13">
        <f t="shared" si="7"/>
        <v>2.5363234979479898E-2</v>
      </c>
    </row>
    <row r="258" spans="1:4" x14ac:dyDescent="0.2">
      <c r="A258" s="11">
        <v>41244</v>
      </c>
      <c r="B258" s="15">
        <f>VLOOKUP(A258,Database!A:K,MATCH($A$1,Database!$A$1:$K$1,),)</f>
        <v>52692</v>
      </c>
      <c r="C258" s="12">
        <f t="shared" si="6"/>
        <v>-4.742303241838496E-4</v>
      </c>
      <c r="D258" s="13">
        <f t="shared" si="7"/>
        <v>2.7895907299754205E-2</v>
      </c>
    </row>
    <row r="259" spans="1:4" x14ac:dyDescent="0.2">
      <c r="A259" s="10">
        <v>41275</v>
      </c>
      <c r="B259" s="15">
        <f>VLOOKUP(A259,Database!A:K,MATCH($A$1,Database!$A$1:$K$1,),)</f>
        <v>52702</v>
      </c>
      <c r="C259" s="12">
        <f t="shared" si="6"/>
        <v>1.897821301146284E-4</v>
      </c>
      <c r="D259" s="13">
        <f t="shared" si="7"/>
        <v>2.343916885134479E-2</v>
      </c>
    </row>
    <row r="260" spans="1:4" x14ac:dyDescent="0.2">
      <c r="A260" s="11">
        <v>41306</v>
      </c>
      <c r="B260" s="15">
        <f>VLOOKUP(A260,Database!A:K,MATCH($A$1,Database!$A$1:$K$1,),)</f>
        <v>53282</v>
      </c>
      <c r="C260" s="12">
        <f t="shared" si="6"/>
        <v>1.1005274942127434E-2</v>
      </c>
      <c r="D260" s="13">
        <f t="shared" si="7"/>
        <v>3.1517404266852518E-2</v>
      </c>
    </row>
    <row r="261" spans="1:4" x14ac:dyDescent="0.2">
      <c r="A261" s="10">
        <v>41334</v>
      </c>
      <c r="B261" s="15">
        <f>VLOOKUP(A261,Database!A:K,MATCH($A$1,Database!$A$1:$K$1,),)</f>
        <v>53099</v>
      </c>
      <c r="C261" s="12">
        <f t="shared" si="6"/>
        <v>-3.4345557599189218E-3</v>
      </c>
      <c r="D261" s="13">
        <f t="shared" si="7"/>
        <v>1.8099894545105934E-2</v>
      </c>
    </row>
    <row r="262" spans="1:4" x14ac:dyDescent="0.2">
      <c r="A262" s="11">
        <v>41365</v>
      </c>
      <c r="B262" s="15">
        <f>VLOOKUP(A262,Database!A:K,MATCH($A$1,Database!$A$1:$K$1,),)</f>
        <v>52730</v>
      </c>
      <c r="C262" s="12">
        <f t="shared" si="6"/>
        <v>-6.9492834140002634E-3</v>
      </c>
      <c r="D262" s="13">
        <f t="shared" si="7"/>
        <v>9.2059178166089307E-3</v>
      </c>
    </row>
    <row r="263" spans="1:4" x14ac:dyDescent="0.2">
      <c r="A263" s="10">
        <v>41395</v>
      </c>
      <c r="B263" s="15">
        <f>VLOOKUP(A263,Database!A:K,MATCH($A$1,Database!$A$1:$K$1,),)</f>
        <v>53253</v>
      </c>
      <c r="C263" s="12">
        <f t="shared" si="6"/>
        <v>9.918452493836525E-3</v>
      </c>
      <c r="D263" s="13">
        <f t="shared" si="7"/>
        <v>1.8552875695732839E-2</v>
      </c>
    </row>
    <row r="264" spans="1:4" x14ac:dyDescent="0.2">
      <c r="A264" s="11">
        <v>41426</v>
      </c>
      <c r="B264" s="15">
        <f>VLOOKUP(A264,Database!A:K,MATCH($A$1,Database!$A$1:$K$1,),)</f>
        <v>53213</v>
      </c>
      <c r="C264" s="12">
        <f t="shared" ref="C264:C327" si="8">(B264-B263)/B263</f>
        <v>-7.5113139165868589E-4</v>
      </c>
      <c r="D264" s="13">
        <f t="shared" si="7"/>
        <v>1.8450113877777567E-2</v>
      </c>
    </row>
    <row r="265" spans="1:4" x14ac:dyDescent="0.2">
      <c r="A265" s="10">
        <v>41456</v>
      </c>
      <c r="B265" s="15">
        <f>VLOOKUP(A265,Database!A:K,MATCH($A$1,Database!$A$1:$K$1,),)</f>
        <v>53613</v>
      </c>
      <c r="C265" s="12">
        <f t="shared" si="8"/>
        <v>7.5169601413188503E-3</v>
      </c>
      <c r="D265" s="13">
        <f t="shared" si="7"/>
        <v>2.6459382359135378E-2</v>
      </c>
    </row>
    <row r="266" spans="1:4" x14ac:dyDescent="0.2">
      <c r="A266" s="11">
        <v>41487</v>
      </c>
      <c r="B266" s="15">
        <f>VLOOKUP(A266,Database!A:K,MATCH($A$1,Database!$A$1:$K$1,),)</f>
        <v>53743</v>
      </c>
      <c r="C266" s="12">
        <f t="shared" si="8"/>
        <v>2.4247850334806857E-3</v>
      </c>
      <c r="D266" s="13">
        <f t="shared" si="7"/>
        <v>2.6393689960084794E-2</v>
      </c>
    </row>
    <row r="267" spans="1:4" x14ac:dyDescent="0.2">
      <c r="A267" s="10">
        <v>41518</v>
      </c>
      <c r="B267" s="15">
        <f>VLOOKUP(A267,Database!A:K,MATCH($A$1,Database!$A$1:$K$1,),)</f>
        <v>53812</v>
      </c>
      <c r="C267" s="12">
        <f t="shared" si="8"/>
        <v>1.2838881342686489E-3</v>
      </c>
      <c r="D267" s="13">
        <f t="shared" si="7"/>
        <v>2.5146689019279127E-2</v>
      </c>
    </row>
    <row r="268" spans="1:4" x14ac:dyDescent="0.2">
      <c r="A268" s="11">
        <v>41548</v>
      </c>
      <c r="B268" s="15">
        <f>VLOOKUP(A268,Database!A:K,MATCH($A$1,Database!$A$1:$K$1,),)</f>
        <v>53939</v>
      </c>
      <c r="C268" s="12">
        <f t="shared" si="8"/>
        <v>2.3600683862335537E-3</v>
      </c>
      <c r="D268" s="13">
        <f t="shared" si="7"/>
        <v>2.1475239087207651E-2</v>
      </c>
    </row>
    <row r="269" spans="1:4" x14ac:dyDescent="0.2">
      <c r="A269" s="10">
        <v>41579</v>
      </c>
      <c r="B269" s="15">
        <f>VLOOKUP(A269,Database!A:K,MATCH($A$1,Database!$A$1:$K$1,),)</f>
        <v>54064</v>
      </c>
      <c r="C269" s="12">
        <f t="shared" si="8"/>
        <v>2.3174326554070337E-3</v>
      </c>
      <c r="D269" s="13">
        <f t="shared" si="7"/>
        <v>2.5551529867025816E-2</v>
      </c>
    </row>
    <row r="270" spans="1:4" x14ac:dyDescent="0.2">
      <c r="A270" s="11">
        <v>41609</v>
      </c>
      <c r="B270" s="15">
        <f>VLOOKUP(A270,Database!A:K,MATCH($A$1,Database!$A$1:$K$1,),)</f>
        <v>54560</v>
      </c>
      <c r="C270" s="12">
        <f t="shared" si="8"/>
        <v>9.1743119266055051E-3</v>
      </c>
      <c r="D270" s="13">
        <f t="shared" si="7"/>
        <v>3.545130190541259E-2</v>
      </c>
    </row>
    <row r="271" spans="1:4" x14ac:dyDescent="0.2">
      <c r="A271" s="10">
        <v>41640</v>
      </c>
      <c r="B271" s="15">
        <f>VLOOKUP(A271,Database!A:K,MATCH($A$1,Database!$A$1:$K$1,),)</f>
        <v>54796</v>
      </c>
      <c r="C271" s="12">
        <f t="shared" si="8"/>
        <v>4.3255131964809387E-3</v>
      </c>
      <c r="D271" s="13">
        <f t="shared" si="7"/>
        <v>3.973283746347387E-2</v>
      </c>
    </row>
    <row r="272" spans="1:4" x14ac:dyDescent="0.2">
      <c r="A272" s="11">
        <v>41671</v>
      </c>
      <c r="B272" s="15">
        <f>VLOOKUP(A272,Database!A:K,MATCH($A$1,Database!$A$1:$K$1,),)</f>
        <v>54807</v>
      </c>
      <c r="C272" s="12">
        <f t="shared" si="8"/>
        <v>2.0074457989634279E-4</v>
      </c>
      <c r="D272" s="13">
        <f t="shared" si="7"/>
        <v>2.8621297999324349E-2</v>
      </c>
    </row>
    <row r="273" spans="1:4" x14ac:dyDescent="0.2">
      <c r="A273" s="10">
        <v>41699</v>
      </c>
      <c r="B273" s="15">
        <f>VLOOKUP(A273,Database!A:K,MATCH($A$1,Database!$A$1:$K$1,),)</f>
        <v>54886</v>
      </c>
      <c r="C273" s="12">
        <f t="shared" si="8"/>
        <v>1.4414217162041344E-3</v>
      </c>
      <c r="D273" s="13">
        <f t="shared" si="7"/>
        <v>3.3654117779995857E-2</v>
      </c>
    </row>
    <row r="274" spans="1:4" x14ac:dyDescent="0.2">
      <c r="A274" s="11">
        <v>41730</v>
      </c>
      <c r="B274" s="15">
        <f>VLOOKUP(A274,Database!A:K,MATCH($A$1,Database!$A$1:$K$1,),)</f>
        <v>55219</v>
      </c>
      <c r="C274" s="12">
        <f t="shared" si="8"/>
        <v>6.067120941588019E-3</v>
      </c>
      <c r="D274" s="13">
        <f t="shared" si="7"/>
        <v>4.7202730893229662E-2</v>
      </c>
    </row>
    <row r="275" spans="1:4" x14ac:dyDescent="0.2">
      <c r="A275" s="10">
        <v>41760</v>
      </c>
      <c r="B275" s="15">
        <f>VLOOKUP(A275,Database!A:K,MATCH($A$1,Database!$A$1:$K$1,),)</f>
        <v>55451</v>
      </c>
      <c r="C275" s="12">
        <f t="shared" si="8"/>
        <v>4.2014523986309057E-3</v>
      </c>
      <c r="D275" s="13">
        <f t="shared" ref="D275:D338" si="9">(B275-B263)/B263</f>
        <v>4.1274669971644792E-2</v>
      </c>
    </row>
    <row r="276" spans="1:4" x14ac:dyDescent="0.2">
      <c r="A276" s="11">
        <v>41791</v>
      </c>
      <c r="B276" s="15">
        <f>VLOOKUP(A276,Database!A:K,MATCH($A$1,Database!$A$1:$K$1,),)</f>
        <v>55956</v>
      </c>
      <c r="C276" s="12">
        <f t="shared" si="8"/>
        <v>9.1071396367964508E-3</v>
      </c>
      <c r="D276" s="13">
        <f t="shared" si="9"/>
        <v>5.1547554169094019E-2</v>
      </c>
    </row>
    <row r="277" spans="1:4" x14ac:dyDescent="0.2">
      <c r="A277" s="10">
        <v>41821</v>
      </c>
      <c r="B277" s="15">
        <f>VLOOKUP(A277,Database!A:K,MATCH($A$1,Database!$A$1:$K$1,),)</f>
        <v>56142</v>
      </c>
      <c r="C277" s="12">
        <f t="shared" si="8"/>
        <v>3.324040317392237E-3</v>
      </c>
      <c r="D277" s="13">
        <f t="shared" si="9"/>
        <v>4.7171394997481957E-2</v>
      </c>
    </row>
    <row r="278" spans="1:4" x14ac:dyDescent="0.2">
      <c r="A278" s="11">
        <v>41852</v>
      </c>
      <c r="B278" s="15">
        <f>VLOOKUP(A278,Database!A:K,MATCH($A$1,Database!$A$1:$K$1,),)</f>
        <v>56296</v>
      </c>
      <c r="C278" s="12">
        <f t="shared" si="8"/>
        <v>2.7430444230700725E-3</v>
      </c>
      <c r="D278" s="13">
        <f t="shared" si="9"/>
        <v>4.7503860967940008E-2</v>
      </c>
    </row>
    <row r="279" spans="1:4" x14ac:dyDescent="0.2">
      <c r="A279" s="10">
        <v>41883</v>
      </c>
      <c r="B279" s="15">
        <f>VLOOKUP(A279,Database!A:K,MATCH($A$1,Database!$A$1:$K$1,),)</f>
        <v>56466</v>
      </c>
      <c r="C279" s="12">
        <f t="shared" si="8"/>
        <v>3.0197527355407135E-3</v>
      </c>
      <c r="D279" s="13">
        <f t="shared" si="9"/>
        <v>4.9319854307589388E-2</v>
      </c>
    </row>
    <row r="280" spans="1:4" x14ac:dyDescent="0.2">
      <c r="A280" s="11">
        <v>41913</v>
      </c>
      <c r="B280" s="15">
        <f>VLOOKUP(A280,Database!A:K,MATCH($A$1,Database!$A$1:$K$1,),)</f>
        <v>56767</v>
      </c>
      <c r="C280" s="12">
        <f t="shared" si="8"/>
        <v>5.3306414479509789E-3</v>
      </c>
      <c r="D280" s="13">
        <f t="shared" si="9"/>
        <v>5.2429596395928736E-2</v>
      </c>
    </row>
    <row r="281" spans="1:4" x14ac:dyDescent="0.2">
      <c r="A281" s="10">
        <v>41944</v>
      </c>
      <c r="B281" s="15">
        <f>VLOOKUP(A281,Database!A:K,MATCH($A$1,Database!$A$1:$K$1,),)</f>
        <v>56756</v>
      </c>
      <c r="C281" s="12">
        <f t="shared" si="8"/>
        <v>-1.9377455211654659E-4</v>
      </c>
      <c r="D281" s="13">
        <f t="shared" si="9"/>
        <v>4.9792838117786328E-2</v>
      </c>
    </row>
    <row r="282" spans="1:4" x14ac:dyDescent="0.2">
      <c r="A282" s="11">
        <v>41974</v>
      </c>
      <c r="B282" s="15">
        <f>VLOOKUP(A282,Database!A:K,MATCH($A$1,Database!$A$1:$K$1,),)</f>
        <v>57059</v>
      </c>
      <c r="C282" s="12">
        <f t="shared" si="8"/>
        <v>5.3386426104729016E-3</v>
      </c>
      <c r="D282" s="13">
        <f t="shared" si="9"/>
        <v>4.5802785923753662E-2</v>
      </c>
    </row>
    <row r="283" spans="1:4" x14ac:dyDescent="0.2">
      <c r="A283" s="10">
        <v>42005</v>
      </c>
      <c r="B283" s="15">
        <f>VLOOKUP(A283,Database!A:K,MATCH($A$1,Database!$A$1:$K$1,),)</f>
        <v>57164</v>
      </c>
      <c r="C283" s="12">
        <f t="shared" si="8"/>
        <v>1.8402004942252757E-3</v>
      </c>
      <c r="D283" s="13">
        <f t="shared" si="9"/>
        <v>4.3214833199503616E-2</v>
      </c>
    </row>
    <row r="284" spans="1:4" x14ac:dyDescent="0.2">
      <c r="A284" s="11">
        <v>42036</v>
      </c>
      <c r="B284" s="15">
        <f>VLOOKUP(A284,Database!A:K,MATCH($A$1,Database!$A$1:$K$1,),)</f>
        <v>57190</v>
      </c>
      <c r="C284" s="12">
        <f t="shared" si="8"/>
        <v>4.5483171226646141E-4</v>
      </c>
      <c r="D284" s="13">
        <f t="shared" si="9"/>
        <v>4.3479847464739908E-2</v>
      </c>
    </row>
    <row r="285" spans="1:4" x14ac:dyDescent="0.2">
      <c r="A285" s="10">
        <v>42064</v>
      </c>
      <c r="B285" s="15">
        <f>VLOOKUP(A285,Database!A:K,MATCH($A$1,Database!$A$1:$K$1,),)</f>
        <v>57178</v>
      </c>
      <c r="C285" s="12">
        <f t="shared" si="8"/>
        <v>-2.0982689281342893E-4</v>
      </c>
      <c r="D285" s="13">
        <f t="shared" si="9"/>
        <v>4.1759282877236452E-2</v>
      </c>
    </row>
    <row r="286" spans="1:4" x14ac:dyDescent="0.2">
      <c r="A286" s="11">
        <v>42095</v>
      </c>
      <c r="B286" s="15">
        <f>VLOOKUP(A286,Database!A:K,MATCH($A$1,Database!$A$1:$K$1,),)</f>
        <v>57091</v>
      </c>
      <c r="C286" s="12">
        <f t="shared" si="8"/>
        <v>-1.5215642379936339E-3</v>
      </c>
      <c r="D286" s="13">
        <f t="shared" si="9"/>
        <v>3.3901374526883861E-2</v>
      </c>
    </row>
    <row r="287" spans="1:4" x14ac:dyDescent="0.2">
      <c r="A287" s="10">
        <v>42125</v>
      </c>
      <c r="B287" s="15">
        <f>VLOOKUP(A287,Database!A:K,MATCH($A$1,Database!$A$1:$K$1,),)</f>
        <v>57103</v>
      </c>
      <c r="C287" s="12">
        <f t="shared" si="8"/>
        <v>2.1019074810390428E-4</v>
      </c>
      <c r="D287" s="13">
        <f t="shared" si="9"/>
        <v>2.9792068673243043E-2</v>
      </c>
    </row>
    <row r="288" spans="1:4" x14ac:dyDescent="0.2">
      <c r="A288" s="11">
        <v>42156</v>
      </c>
      <c r="B288" s="15">
        <f>VLOOKUP(A288,Database!A:K,MATCH($A$1,Database!$A$1:$K$1,),)</f>
        <v>57401</v>
      </c>
      <c r="C288" s="12">
        <f t="shared" si="8"/>
        <v>5.2186400014009775E-3</v>
      </c>
      <c r="D288" s="13">
        <f t="shared" si="9"/>
        <v>2.5823861605547217E-2</v>
      </c>
    </row>
    <row r="289" spans="1:4" x14ac:dyDescent="0.2">
      <c r="A289" s="10">
        <v>42186</v>
      </c>
      <c r="B289" s="15">
        <f>VLOOKUP(A289,Database!A:K,MATCH($A$1,Database!$A$1:$K$1,),)</f>
        <v>57565</v>
      </c>
      <c r="C289" s="12">
        <f t="shared" si="8"/>
        <v>2.8570930820020555E-3</v>
      </c>
      <c r="D289" s="13">
        <f t="shared" si="9"/>
        <v>2.5346442948238394E-2</v>
      </c>
    </row>
    <row r="290" spans="1:4" x14ac:dyDescent="0.2">
      <c r="A290" s="11">
        <v>42217</v>
      </c>
      <c r="B290" s="15">
        <f>VLOOKUP(A290,Database!A:K,MATCH($A$1,Database!$A$1:$K$1,),)</f>
        <v>57531</v>
      </c>
      <c r="C290" s="12">
        <f t="shared" si="8"/>
        <v>-5.9063667158863894E-4</v>
      </c>
      <c r="D290" s="13">
        <f t="shared" si="9"/>
        <v>2.1937615461134007E-2</v>
      </c>
    </row>
    <row r="291" spans="1:4" x14ac:dyDescent="0.2">
      <c r="A291" s="10">
        <v>42248</v>
      </c>
      <c r="B291" s="15">
        <f>VLOOKUP(A291,Database!A:K,MATCH($A$1,Database!$A$1:$K$1,),)</f>
        <v>57389</v>
      </c>
      <c r="C291" s="12">
        <f t="shared" si="8"/>
        <v>-2.4682345170429854E-3</v>
      </c>
      <c r="D291" s="13">
        <f t="shared" si="9"/>
        <v>1.6346119788899514E-2</v>
      </c>
    </row>
    <row r="292" spans="1:4" x14ac:dyDescent="0.2">
      <c r="A292" s="11">
        <v>42278</v>
      </c>
      <c r="B292" s="15">
        <f>VLOOKUP(A292,Database!A:K,MATCH($A$1,Database!$A$1:$K$1,),)</f>
        <v>57183</v>
      </c>
      <c r="C292" s="12">
        <f t="shared" si="8"/>
        <v>-3.5895380647859346E-3</v>
      </c>
      <c r="D292" s="13">
        <f t="shared" si="9"/>
        <v>7.3282012436803072E-3</v>
      </c>
    </row>
    <row r="293" spans="1:4" x14ac:dyDescent="0.2">
      <c r="A293" s="10">
        <v>42309</v>
      </c>
      <c r="B293" s="15">
        <f>VLOOKUP(A293,Database!A:K,MATCH($A$1,Database!$A$1:$K$1,),)</f>
        <v>57480</v>
      </c>
      <c r="C293" s="12">
        <f t="shared" si="8"/>
        <v>5.193851319448088E-3</v>
      </c>
      <c r="D293" s="13">
        <f t="shared" si="9"/>
        <v>1.2756360560997956E-2</v>
      </c>
    </row>
    <row r="294" spans="1:4" x14ac:dyDescent="0.2">
      <c r="A294" s="11">
        <v>42339</v>
      </c>
      <c r="B294" s="15">
        <f>VLOOKUP(A294,Database!A:K,MATCH($A$1,Database!$A$1:$K$1,),)</f>
        <v>57366</v>
      </c>
      <c r="C294" s="12">
        <f t="shared" si="8"/>
        <v>-1.9832985386221296E-3</v>
      </c>
      <c r="D294" s="13">
        <f t="shared" si="9"/>
        <v>5.3803957307348533E-3</v>
      </c>
    </row>
    <row r="295" spans="1:4" x14ac:dyDescent="0.2">
      <c r="A295" s="10">
        <v>42370</v>
      </c>
      <c r="B295" s="15">
        <f>VLOOKUP(A295,Database!A:K,MATCH($A$1,Database!$A$1:$K$1,),)</f>
        <v>57550</v>
      </c>
      <c r="C295" s="12">
        <f t="shared" si="8"/>
        <v>3.2074748108635778E-3</v>
      </c>
      <c r="D295" s="13">
        <f t="shared" si="9"/>
        <v>6.7525015744174651E-3</v>
      </c>
    </row>
    <row r="296" spans="1:4" x14ac:dyDescent="0.2">
      <c r="A296" s="11">
        <v>42401</v>
      </c>
      <c r="B296" s="15">
        <f>VLOOKUP(A296,Database!A:K,MATCH($A$1,Database!$A$1:$K$1,),)</f>
        <v>57661</v>
      </c>
      <c r="C296" s="12">
        <f t="shared" si="8"/>
        <v>1.9287576020851434E-3</v>
      </c>
      <c r="D296" s="13">
        <f t="shared" si="9"/>
        <v>8.2357055429270846E-3</v>
      </c>
    </row>
    <row r="297" spans="1:4" x14ac:dyDescent="0.2">
      <c r="A297" s="10">
        <v>42430</v>
      </c>
      <c r="B297" s="15">
        <f>VLOOKUP(A297,Database!A:K,MATCH($A$1,Database!$A$1:$K$1,),)</f>
        <v>57226</v>
      </c>
      <c r="C297" s="12">
        <f t="shared" si="8"/>
        <v>-7.5440939283050934E-3</v>
      </c>
      <c r="D297" s="13">
        <f t="shared" si="9"/>
        <v>8.3948371751372901E-4</v>
      </c>
    </row>
    <row r="298" spans="1:4" x14ac:dyDescent="0.2">
      <c r="A298" s="11">
        <v>42461</v>
      </c>
      <c r="B298" s="15">
        <f>VLOOKUP(A298,Database!A:K,MATCH($A$1,Database!$A$1:$K$1,),)</f>
        <v>57844</v>
      </c>
      <c r="C298" s="12">
        <f t="shared" si="8"/>
        <v>1.079928703736064E-2</v>
      </c>
      <c r="D298" s="13">
        <f t="shared" si="9"/>
        <v>1.3189469443519994E-2</v>
      </c>
    </row>
    <row r="299" spans="1:4" x14ac:dyDescent="0.2">
      <c r="A299" s="10">
        <v>42491</v>
      </c>
      <c r="B299" s="15">
        <f>VLOOKUP(A299,Database!A:K,MATCH($A$1,Database!$A$1:$K$1,),)</f>
        <v>58102</v>
      </c>
      <c r="C299" s="12">
        <f t="shared" si="8"/>
        <v>4.460272456953184E-3</v>
      </c>
      <c r="D299" s="13">
        <f t="shared" si="9"/>
        <v>1.7494702555032136E-2</v>
      </c>
    </row>
    <row r="300" spans="1:4" x14ac:dyDescent="0.2">
      <c r="A300" s="11">
        <v>42522</v>
      </c>
      <c r="B300" s="15">
        <f>VLOOKUP(A300,Database!A:K,MATCH($A$1,Database!$A$1:$K$1,),)</f>
        <v>58508</v>
      </c>
      <c r="C300" s="12">
        <f t="shared" si="8"/>
        <v>6.987711266393584E-3</v>
      </c>
      <c r="D300" s="13">
        <f t="shared" si="9"/>
        <v>1.9285378303513876E-2</v>
      </c>
    </row>
    <row r="301" spans="1:4" x14ac:dyDescent="0.2">
      <c r="A301" s="10">
        <v>42552</v>
      </c>
      <c r="B301" s="15">
        <f>VLOOKUP(A301,Database!A:K,MATCH($A$1,Database!$A$1:$K$1,),)</f>
        <v>58155</v>
      </c>
      <c r="C301" s="12">
        <f t="shared" si="8"/>
        <v>-6.0333629589116016E-3</v>
      </c>
      <c r="D301" s="13">
        <f t="shared" si="9"/>
        <v>1.0249283418744029E-2</v>
      </c>
    </row>
    <row r="302" spans="1:4" x14ac:dyDescent="0.2">
      <c r="A302" s="11">
        <v>42583</v>
      </c>
      <c r="B302" s="15">
        <f>VLOOKUP(A302,Database!A:K,MATCH($A$1,Database!$A$1:$K$1,),)</f>
        <v>58377</v>
      </c>
      <c r="C302" s="12">
        <f t="shared" si="8"/>
        <v>3.817384575702863E-3</v>
      </c>
      <c r="D302" s="13">
        <f t="shared" si="9"/>
        <v>1.4705115502946238E-2</v>
      </c>
    </row>
    <row r="303" spans="1:4" x14ac:dyDescent="0.2">
      <c r="A303" s="10">
        <v>42614</v>
      </c>
      <c r="B303" s="15">
        <f>VLOOKUP(A303,Database!A:K,MATCH($A$1,Database!$A$1:$K$1,),)</f>
        <v>58767</v>
      </c>
      <c r="C303" s="12">
        <f t="shared" si="8"/>
        <v>6.680713294619456E-3</v>
      </c>
      <c r="D303" s="13">
        <f t="shared" si="9"/>
        <v>2.4011570161529213E-2</v>
      </c>
    </row>
    <row r="304" spans="1:4" x14ac:dyDescent="0.2">
      <c r="A304" s="11">
        <v>42644</v>
      </c>
      <c r="B304" s="15">
        <f>VLOOKUP(A304,Database!A:K,MATCH($A$1,Database!$A$1:$K$1,),)</f>
        <v>59053</v>
      </c>
      <c r="C304" s="12">
        <f t="shared" si="8"/>
        <v>4.8666768764782957E-3</v>
      </c>
      <c r="D304" s="13">
        <f t="shared" si="9"/>
        <v>3.2702026826154626E-2</v>
      </c>
    </row>
    <row r="305" spans="1:4" x14ac:dyDescent="0.2">
      <c r="A305" s="10">
        <v>42675</v>
      </c>
      <c r="B305" s="15">
        <f>VLOOKUP(A305,Database!A:K,MATCH($A$1,Database!$A$1:$K$1,),)</f>
        <v>59102</v>
      </c>
      <c r="C305" s="12">
        <f t="shared" si="8"/>
        <v>8.2976309416964427E-4</v>
      </c>
      <c r="D305" s="13">
        <f t="shared" si="9"/>
        <v>2.8218510786360472E-2</v>
      </c>
    </row>
    <row r="306" spans="1:4" x14ac:dyDescent="0.2">
      <c r="A306" s="11">
        <v>42705</v>
      </c>
      <c r="B306" s="15">
        <f>VLOOKUP(A306,Database!A:K,MATCH($A$1,Database!$A$1:$K$1,),)</f>
        <v>59341</v>
      </c>
      <c r="C306" s="12">
        <f t="shared" si="8"/>
        <v>4.0438563838787181E-3</v>
      </c>
      <c r="D306" s="13">
        <f t="shared" si="9"/>
        <v>3.4428058431823727E-2</v>
      </c>
    </row>
    <row r="307" spans="1:4" x14ac:dyDescent="0.2">
      <c r="A307" s="10">
        <v>42736</v>
      </c>
      <c r="B307" s="15">
        <f>VLOOKUP(A307,Database!A:K,MATCH($A$1,Database!$A$1:$K$1,),)</f>
        <v>59521</v>
      </c>
      <c r="C307" s="12">
        <f t="shared" si="8"/>
        <v>3.0333159198530526E-3</v>
      </c>
      <c r="D307" s="13">
        <f t="shared" si="9"/>
        <v>3.4248479582971329E-2</v>
      </c>
    </row>
    <row r="308" spans="1:4" x14ac:dyDescent="0.2">
      <c r="A308" s="11">
        <v>42767</v>
      </c>
      <c r="B308" s="15">
        <f>VLOOKUP(A308,Database!A:K,MATCH($A$1,Database!$A$1:$K$1,),)</f>
        <v>59910</v>
      </c>
      <c r="C308" s="12">
        <f t="shared" si="8"/>
        <v>6.5355084760000673E-3</v>
      </c>
      <c r="D308" s="13">
        <f t="shared" si="9"/>
        <v>3.9003832746570474E-2</v>
      </c>
    </row>
    <row r="309" spans="1:4" x14ac:dyDescent="0.2">
      <c r="A309" s="10">
        <v>42795</v>
      </c>
      <c r="B309" s="15">
        <f>VLOOKUP(A309,Database!A:K,MATCH($A$1,Database!$A$1:$K$1,),)</f>
        <v>60338</v>
      </c>
      <c r="C309" s="12">
        <f t="shared" si="8"/>
        <v>7.1440494074445004E-3</v>
      </c>
      <c r="D309" s="13">
        <f t="shared" si="9"/>
        <v>5.4380875825673643E-2</v>
      </c>
    </row>
    <row r="310" spans="1:4" x14ac:dyDescent="0.2">
      <c r="A310" s="11">
        <v>42826</v>
      </c>
      <c r="B310" s="15">
        <f>VLOOKUP(A310,Database!A:K,MATCH($A$1,Database!$A$1:$K$1,),)</f>
        <v>60468</v>
      </c>
      <c r="C310" s="12">
        <f t="shared" si="8"/>
        <v>2.1545294839073223E-3</v>
      </c>
      <c r="D310" s="13">
        <f t="shared" si="9"/>
        <v>4.5363391190097503E-2</v>
      </c>
    </row>
    <row r="311" spans="1:4" x14ac:dyDescent="0.2">
      <c r="A311" s="10">
        <v>42856</v>
      </c>
      <c r="B311" s="15">
        <f>VLOOKUP(A311,Database!A:K,MATCH($A$1,Database!$A$1:$K$1,),)</f>
        <v>60611</v>
      </c>
      <c r="C311" s="12">
        <f t="shared" si="8"/>
        <v>2.3648872130713765E-3</v>
      </c>
      <c r="D311" s="13">
        <f t="shared" si="9"/>
        <v>4.3182678737392864E-2</v>
      </c>
    </row>
    <row r="312" spans="1:4" x14ac:dyDescent="0.2">
      <c r="A312" s="11">
        <v>42887</v>
      </c>
      <c r="B312" s="15">
        <f>VLOOKUP(A312,Database!A:K,MATCH($A$1,Database!$A$1:$K$1,),)</f>
        <v>60410</v>
      </c>
      <c r="C312" s="12">
        <f t="shared" si="8"/>
        <v>-3.3162297272772271E-3</v>
      </c>
      <c r="D312" s="13">
        <f t="shared" si="9"/>
        <v>3.2508374923087439E-2</v>
      </c>
    </row>
    <row r="313" spans="1:4" x14ac:dyDescent="0.2">
      <c r="A313" s="10">
        <v>42917</v>
      </c>
      <c r="B313" s="15">
        <f>VLOOKUP(A313,Database!A:K,MATCH($A$1,Database!$A$1:$K$1,),)</f>
        <v>60444</v>
      </c>
      <c r="C313" s="12">
        <f t="shared" si="8"/>
        <v>5.6282072504552222E-4</v>
      </c>
      <c r="D313" s="13">
        <f t="shared" si="9"/>
        <v>3.9360330152179518E-2</v>
      </c>
    </row>
    <row r="314" spans="1:4" x14ac:dyDescent="0.2">
      <c r="A314" s="11">
        <v>42948</v>
      </c>
      <c r="B314" s="15">
        <f>VLOOKUP(A314,Database!A:K,MATCH($A$1,Database!$A$1:$K$1,),)</f>
        <v>60701</v>
      </c>
      <c r="C314" s="12">
        <f t="shared" si="8"/>
        <v>4.2518694990404341E-3</v>
      </c>
      <c r="D314" s="13">
        <f t="shared" si="9"/>
        <v>3.981019922229645E-2</v>
      </c>
    </row>
    <row r="315" spans="1:4" x14ac:dyDescent="0.2">
      <c r="A315" s="10">
        <v>42979</v>
      </c>
      <c r="B315" s="15">
        <f>VLOOKUP(A315,Database!A:K,MATCH($A$1,Database!$A$1:$K$1,),)</f>
        <v>61377</v>
      </c>
      <c r="C315" s="12">
        <f t="shared" si="8"/>
        <v>1.1136554587239091E-2</v>
      </c>
      <c r="D315" s="13">
        <f t="shared" si="9"/>
        <v>4.4412680586043189E-2</v>
      </c>
    </row>
    <row r="316" spans="1:4" x14ac:dyDescent="0.2">
      <c r="A316" s="11">
        <v>43009</v>
      </c>
      <c r="B316" s="15">
        <f>VLOOKUP(A316,Database!A:K,MATCH($A$1,Database!$A$1:$K$1,),)</f>
        <v>61566</v>
      </c>
      <c r="C316" s="12">
        <f t="shared" si="8"/>
        <v>3.0793293904882936E-3</v>
      </c>
      <c r="D316" s="13">
        <f t="shared" si="9"/>
        <v>4.2554992972414614E-2</v>
      </c>
    </row>
    <row r="317" spans="1:4" x14ac:dyDescent="0.2">
      <c r="A317" s="10">
        <v>43040</v>
      </c>
      <c r="B317" s="15">
        <f>VLOOKUP(A317,Database!A:K,MATCH($A$1,Database!$A$1:$K$1,),)</f>
        <v>61691</v>
      </c>
      <c r="C317" s="12">
        <f t="shared" si="8"/>
        <v>2.0303414222135594E-3</v>
      </c>
      <c r="D317" s="13">
        <f t="shared" si="9"/>
        <v>4.3805624175154816E-2</v>
      </c>
    </row>
    <row r="318" spans="1:4" x14ac:dyDescent="0.2">
      <c r="A318" s="11">
        <v>43070</v>
      </c>
      <c r="B318" s="15">
        <f>VLOOKUP(A318,Database!A:K,MATCH($A$1,Database!$A$1:$K$1,),)</f>
        <v>62218</v>
      </c>
      <c r="C318" s="12">
        <f t="shared" si="8"/>
        <v>8.5425750919907277E-3</v>
      </c>
      <c r="D318" s="13">
        <f t="shared" si="9"/>
        <v>4.8482499452317959E-2</v>
      </c>
    </row>
    <row r="319" spans="1:4" x14ac:dyDescent="0.2">
      <c r="A319" s="10">
        <v>43101</v>
      </c>
      <c r="B319" s="15">
        <f>VLOOKUP(A319,Database!A:K,MATCH($A$1,Database!$A$1:$K$1,),)</f>
        <v>61818</v>
      </c>
      <c r="C319" s="12">
        <f t="shared" si="8"/>
        <v>-6.4290076826641809E-3</v>
      </c>
      <c r="D319" s="13">
        <f t="shared" si="9"/>
        <v>3.8591421515095516E-2</v>
      </c>
    </row>
    <row r="320" spans="1:4" x14ac:dyDescent="0.2">
      <c r="A320" s="11">
        <v>43132</v>
      </c>
      <c r="B320" s="15">
        <f>VLOOKUP(A320,Database!A:K,MATCH($A$1,Database!$A$1:$K$1,),)</f>
        <v>62077</v>
      </c>
      <c r="C320" s="12">
        <f t="shared" si="8"/>
        <v>4.1897182050535439E-3</v>
      </c>
      <c r="D320" s="13">
        <f t="shared" si="9"/>
        <v>3.6170923051243531E-2</v>
      </c>
    </row>
    <row r="321" spans="1:4" x14ac:dyDescent="0.2">
      <c r="A321" s="10">
        <v>43160</v>
      </c>
      <c r="B321" s="15">
        <f>VLOOKUP(A321,Database!A:K,MATCH($A$1,Database!$A$1:$K$1,),)</f>
        <v>62234</v>
      </c>
      <c r="C321" s="12">
        <f t="shared" si="8"/>
        <v>2.5291170642911223E-3</v>
      </c>
      <c r="D321" s="13">
        <f t="shared" si="9"/>
        <v>3.1422983857602171E-2</v>
      </c>
    </row>
    <row r="322" spans="1:4" x14ac:dyDescent="0.2">
      <c r="A322" s="11">
        <v>43191</v>
      </c>
      <c r="B322" s="15">
        <f>VLOOKUP(A322,Database!A:K,MATCH($A$1,Database!$A$1:$K$1,),)</f>
        <v>62369</v>
      </c>
      <c r="C322" s="12">
        <f t="shared" si="8"/>
        <v>2.1692322524664975E-3</v>
      </c>
      <c r="D322" s="13">
        <f t="shared" si="9"/>
        <v>3.1438116028312493E-2</v>
      </c>
    </row>
    <row r="323" spans="1:4" x14ac:dyDescent="0.2">
      <c r="A323" s="10">
        <v>43221</v>
      </c>
      <c r="B323" s="15">
        <f>VLOOKUP(A323,Database!A:K,MATCH($A$1,Database!$A$1:$K$1,),)</f>
        <v>62431</v>
      </c>
      <c r="C323" s="12">
        <f t="shared" si="8"/>
        <v>9.9408359922397338E-4</v>
      </c>
      <c r="D323" s="13">
        <f t="shared" si="9"/>
        <v>3.0027552754450512E-2</v>
      </c>
    </row>
    <row r="324" spans="1:4" x14ac:dyDescent="0.2">
      <c r="A324" s="11">
        <v>43252</v>
      </c>
      <c r="B324" s="15">
        <f>VLOOKUP(A324,Database!A:K,MATCH($A$1,Database!$A$1:$K$1,),)</f>
        <v>62272</v>
      </c>
      <c r="C324" s="12">
        <f t="shared" si="8"/>
        <v>-2.5468116800948246E-3</v>
      </c>
      <c r="D324" s="13">
        <f t="shared" si="9"/>
        <v>3.0822711471610659E-2</v>
      </c>
    </row>
    <row r="325" spans="1:4" x14ac:dyDescent="0.2">
      <c r="A325" s="10">
        <v>43282</v>
      </c>
      <c r="B325" s="15">
        <f>VLOOKUP(A325,Database!A:K,MATCH($A$1,Database!$A$1:$K$1,),)</f>
        <v>62676</v>
      </c>
      <c r="C325" s="12">
        <f t="shared" si="8"/>
        <v>6.4876670092497432E-3</v>
      </c>
      <c r="D325" s="13">
        <f t="shared" si="9"/>
        <v>3.6926742108397859E-2</v>
      </c>
    </row>
    <row r="326" spans="1:4" x14ac:dyDescent="0.2">
      <c r="A326" s="11">
        <v>43313</v>
      </c>
      <c r="B326" s="15">
        <f>VLOOKUP(A326,Database!A:K,MATCH($A$1,Database!$A$1:$K$1,),)</f>
        <v>62358</v>
      </c>
      <c r="C326" s="12">
        <f t="shared" si="8"/>
        <v>-5.0737124258089222E-3</v>
      </c>
      <c r="D326" s="13">
        <f t="shared" si="9"/>
        <v>2.7297738093276881E-2</v>
      </c>
    </row>
    <row r="327" spans="1:4" x14ac:dyDescent="0.2">
      <c r="A327" s="10">
        <v>43344</v>
      </c>
      <c r="B327" s="15">
        <f>VLOOKUP(A327,Database!A:K,MATCH($A$1,Database!$A$1:$K$1,),)</f>
        <v>62759</v>
      </c>
      <c r="C327" s="12">
        <f t="shared" si="8"/>
        <v>6.4306103467077196E-3</v>
      </c>
      <c r="D327" s="13">
        <f t="shared" si="9"/>
        <v>2.2516577871189533E-2</v>
      </c>
    </row>
    <row r="328" spans="1:4" x14ac:dyDescent="0.2">
      <c r="A328" s="11">
        <v>43374</v>
      </c>
      <c r="B328" s="15">
        <f>VLOOKUP(A328,Database!A:K,MATCH($A$1,Database!$A$1:$K$1,),)</f>
        <v>63130</v>
      </c>
      <c r="C328" s="12">
        <f t="shared" ref="C328:C391" si="10">(B328-B327)/B327</f>
        <v>5.9115027326757915E-3</v>
      </c>
      <c r="D328" s="13">
        <f t="shared" si="9"/>
        <v>2.5403631874736057E-2</v>
      </c>
    </row>
    <row r="329" spans="1:4" x14ac:dyDescent="0.2">
      <c r="A329" s="10">
        <v>43405</v>
      </c>
      <c r="B329" s="15">
        <f>VLOOKUP(A329,Database!A:K,MATCH($A$1,Database!$A$1:$K$1,),)</f>
        <v>63225</v>
      </c>
      <c r="C329" s="12">
        <f t="shared" si="10"/>
        <v>1.5048313004910503E-3</v>
      </c>
      <c r="D329" s="13">
        <f t="shared" si="9"/>
        <v>2.4865863740253846E-2</v>
      </c>
    </row>
    <row r="330" spans="1:4" x14ac:dyDescent="0.2">
      <c r="A330" s="11">
        <v>43435</v>
      </c>
      <c r="B330" s="15">
        <f>VLOOKUP(A330,Database!A:K,MATCH($A$1,Database!$A$1:$K$1,),)</f>
        <v>63120</v>
      </c>
      <c r="C330" s="12">
        <f t="shared" si="10"/>
        <v>-1.66073546856465E-3</v>
      </c>
      <c r="D330" s="13">
        <f t="shared" si="9"/>
        <v>1.4497412324407728E-2</v>
      </c>
    </row>
    <row r="331" spans="1:4" x14ac:dyDescent="0.2">
      <c r="A331" s="10">
        <v>43466</v>
      </c>
      <c r="B331" s="15">
        <f>VLOOKUP(A331,Database!A:K,MATCH($A$1,Database!$A$1:$K$1,),)</f>
        <v>64169</v>
      </c>
      <c r="C331" s="12">
        <f t="shared" si="10"/>
        <v>1.6619138149556401E-2</v>
      </c>
      <c r="D331" s="13">
        <f t="shared" si="9"/>
        <v>3.8030994208806498E-2</v>
      </c>
    </row>
    <row r="332" spans="1:4" x14ac:dyDescent="0.2">
      <c r="A332" s="11">
        <v>43497</v>
      </c>
      <c r="B332" s="15">
        <f>VLOOKUP(A332,Database!A:K,MATCH($A$1,Database!$A$1:$K$1,),)</f>
        <v>62926</v>
      </c>
      <c r="C332" s="12">
        <f t="shared" si="10"/>
        <v>-1.9370724181458337E-2</v>
      </c>
      <c r="D332" s="13">
        <f t="shared" si="9"/>
        <v>1.3676562978236707E-2</v>
      </c>
    </row>
    <row r="333" spans="1:4" x14ac:dyDescent="0.2">
      <c r="A333" s="10">
        <v>43525</v>
      </c>
      <c r="B333" s="15">
        <f>VLOOKUP(A333,Database!A:K,MATCH($A$1,Database!$A$1:$K$1,),)</f>
        <v>64026</v>
      </c>
      <c r="C333" s="12">
        <f t="shared" si="10"/>
        <v>1.7480850522836346E-2</v>
      </c>
      <c r="D333" s="13">
        <f t="shared" si="9"/>
        <v>2.8794549603110838E-2</v>
      </c>
    </row>
    <row r="334" spans="1:4" x14ac:dyDescent="0.2">
      <c r="A334" s="11">
        <v>43556</v>
      </c>
      <c r="B334" s="15">
        <f>VLOOKUP(A334,Database!A:K,MATCH($A$1,Database!$A$1:$K$1,),)</f>
        <v>64241</v>
      </c>
      <c r="C334" s="12">
        <f t="shared" si="10"/>
        <v>3.3580108081092057E-3</v>
      </c>
      <c r="D334" s="13">
        <f t="shared" si="9"/>
        <v>3.001491125398836E-2</v>
      </c>
    </row>
    <row r="335" spans="1:4" x14ac:dyDescent="0.2">
      <c r="A335" s="10">
        <v>43586</v>
      </c>
      <c r="B335" s="15">
        <f>VLOOKUP(A335,Database!A:K,MATCH($A$1,Database!$A$1:$K$1,),)</f>
        <v>64325</v>
      </c>
      <c r="C335" s="12">
        <f t="shared" si="10"/>
        <v>1.3075761585280429E-3</v>
      </c>
      <c r="D335" s="13">
        <f t="shared" si="9"/>
        <v>3.033749259182137E-2</v>
      </c>
    </row>
    <row r="336" spans="1:4" x14ac:dyDescent="0.2">
      <c r="A336" s="11">
        <v>43617</v>
      </c>
      <c r="B336" s="15">
        <f>VLOOKUP(A336,Database!A:K,MATCH($A$1,Database!$A$1:$K$1,),)</f>
        <v>64707</v>
      </c>
      <c r="C336" s="12">
        <f t="shared" si="10"/>
        <v>5.9385930820054413E-3</v>
      </c>
      <c r="D336" s="13">
        <f t="shared" si="9"/>
        <v>3.9102646454265158E-2</v>
      </c>
    </row>
    <row r="337" spans="1:4" x14ac:dyDescent="0.2">
      <c r="A337" s="10">
        <v>43647</v>
      </c>
      <c r="B337" s="15">
        <f>VLOOKUP(A337,Database!A:K,MATCH($A$1,Database!$A$1:$K$1,),)</f>
        <v>65549</v>
      </c>
      <c r="C337" s="12">
        <f t="shared" si="10"/>
        <v>1.3012502511320259E-2</v>
      </c>
      <c r="D337" s="13">
        <f t="shared" si="9"/>
        <v>4.5838917608015825E-2</v>
      </c>
    </row>
    <row r="338" spans="1:4" x14ac:dyDescent="0.2">
      <c r="A338" s="11">
        <v>43678</v>
      </c>
      <c r="B338" s="15">
        <f>VLOOKUP(A338,Database!A:K,MATCH($A$1,Database!$A$1:$K$1,),)</f>
        <v>65324</v>
      </c>
      <c r="C338" s="12">
        <f t="shared" si="10"/>
        <v>-3.4325466444949581E-3</v>
      </c>
      <c r="D338" s="13">
        <f t="shared" si="9"/>
        <v>4.7564065556945381E-2</v>
      </c>
    </row>
    <row r="339" spans="1:4" x14ac:dyDescent="0.2">
      <c r="A339" s="10">
        <v>43709</v>
      </c>
      <c r="B339" s="15">
        <f>VLOOKUP(A339,Database!A:K,MATCH($A$1,Database!$A$1:$K$1,),)</f>
        <v>64832</v>
      </c>
      <c r="C339" s="12">
        <f t="shared" si="10"/>
        <v>-7.5316882003551525E-3</v>
      </c>
      <c r="D339" s="13">
        <f t="shared" ref="D339:D402" si="11">(B339-B327)/B327</f>
        <v>3.3031119042687102E-2</v>
      </c>
    </row>
    <row r="340" spans="1:4" x14ac:dyDescent="0.2">
      <c r="A340" s="11">
        <v>43739</v>
      </c>
      <c r="B340" s="15">
        <f>VLOOKUP(A340,Database!A:K,MATCH($A$1,Database!$A$1:$K$1,),)</f>
        <v>64933</v>
      </c>
      <c r="C340" s="12">
        <f t="shared" si="10"/>
        <v>1.5578726554787759E-3</v>
      </c>
      <c r="D340" s="13">
        <f t="shared" si="11"/>
        <v>2.8560114050372249E-2</v>
      </c>
    </row>
    <row r="341" spans="1:4" x14ac:dyDescent="0.2">
      <c r="A341" s="10">
        <v>43770</v>
      </c>
      <c r="B341" s="15">
        <f>VLOOKUP(A341,Database!A:K,MATCH($A$1,Database!$A$1:$K$1,),)</f>
        <v>64963</v>
      </c>
      <c r="C341" s="12">
        <f t="shared" si="10"/>
        <v>4.6201469206720775E-4</v>
      </c>
      <c r="D341" s="13">
        <f t="shared" si="11"/>
        <v>2.748912613681297E-2</v>
      </c>
    </row>
    <row r="342" spans="1:4" x14ac:dyDescent="0.2">
      <c r="A342" s="11">
        <v>43800</v>
      </c>
      <c r="B342" s="15">
        <f>VLOOKUP(A342,Database!A:K,MATCH($A$1,Database!$A$1:$K$1,),)</f>
        <v>65455</v>
      </c>
      <c r="C342" s="12">
        <f t="shared" si="10"/>
        <v>7.5735418622908425E-3</v>
      </c>
      <c r="D342" s="13">
        <f t="shared" si="11"/>
        <v>3.6993029150823829E-2</v>
      </c>
    </row>
    <row r="343" spans="1:4" x14ac:dyDescent="0.2">
      <c r="A343" s="10">
        <v>43831</v>
      </c>
      <c r="B343" s="15">
        <f>VLOOKUP(A343,Database!A:K,MATCH($A$1,Database!$A$1:$K$1,),)</f>
        <v>64768</v>
      </c>
      <c r="C343" s="12">
        <f t="shared" si="10"/>
        <v>-1.0495760446108013E-2</v>
      </c>
      <c r="D343" s="13">
        <f t="shared" si="11"/>
        <v>9.3347254905016448E-3</v>
      </c>
    </row>
    <row r="344" spans="1:4" x14ac:dyDescent="0.2">
      <c r="A344" s="11">
        <v>43862</v>
      </c>
      <c r="B344" s="15">
        <f>VLOOKUP(A344,Database!A:K,MATCH($A$1,Database!$A$1:$K$1,),)</f>
        <v>64872</v>
      </c>
      <c r="C344" s="12">
        <f t="shared" si="10"/>
        <v>1.6057312252964427E-3</v>
      </c>
      <c r="D344" s="13">
        <f t="shared" si="11"/>
        <v>3.0925213743126848E-2</v>
      </c>
    </row>
    <row r="345" spans="1:4" x14ac:dyDescent="0.2">
      <c r="A345" s="10">
        <v>43891</v>
      </c>
      <c r="B345" s="15">
        <f>VLOOKUP(A345,Database!A:K,MATCH($A$1,Database!$A$1:$K$1,),)</f>
        <v>81800</v>
      </c>
      <c r="C345" s="12">
        <f t="shared" si="10"/>
        <v>0.26094462942409669</v>
      </c>
      <c r="D345" s="13">
        <f t="shared" si="11"/>
        <v>0.27760597257364195</v>
      </c>
    </row>
    <row r="346" spans="1:4" x14ac:dyDescent="0.2">
      <c r="A346" s="11">
        <v>43922</v>
      </c>
      <c r="B346" s="15">
        <f>VLOOKUP(A346,Database!A:K,MATCH($A$1,Database!$A$1:$K$1,),)</f>
        <v>71138</v>
      </c>
      <c r="C346" s="12">
        <f t="shared" si="10"/>
        <v>-0.13034229828850855</v>
      </c>
      <c r="D346" s="13">
        <f t="shared" si="11"/>
        <v>0.10736134244485609</v>
      </c>
    </row>
    <row r="347" spans="1:4" x14ac:dyDescent="0.2">
      <c r="A347" s="10">
        <v>43952</v>
      </c>
      <c r="B347" s="15">
        <f>VLOOKUP(A347,Database!A:K,MATCH($A$1,Database!$A$1:$K$1,),)</f>
        <v>72476</v>
      </c>
      <c r="C347" s="12">
        <f t="shared" si="10"/>
        <v>1.8808513031010148E-2</v>
      </c>
      <c r="D347" s="13">
        <f t="shared" si="11"/>
        <v>0.12671589584143023</v>
      </c>
    </row>
    <row r="348" spans="1:4" x14ac:dyDescent="0.2">
      <c r="A348" s="11">
        <v>43983</v>
      </c>
      <c r="B348" s="15">
        <f>VLOOKUP(A348,Database!A:K,MATCH($A$1,Database!$A$1:$K$1,),)</f>
        <v>71208</v>
      </c>
      <c r="C348" s="12">
        <f t="shared" si="10"/>
        <v>-1.7495446768585464E-2</v>
      </c>
      <c r="D348" s="13">
        <f t="shared" si="11"/>
        <v>0.10046826463906533</v>
      </c>
    </row>
    <row r="349" spans="1:4" x14ac:dyDescent="0.2">
      <c r="A349" s="10">
        <v>44013</v>
      </c>
      <c r="B349" s="15">
        <f>VLOOKUP(A349,Database!A:K,MATCH($A$1,Database!$A$1:$K$1,),)</f>
        <v>71444</v>
      </c>
      <c r="C349" s="12">
        <f t="shared" si="10"/>
        <v>3.3142343556903718E-3</v>
      </c>
      <c r="D349" s="13">
        <f t="shared" si="11"/>
        <v>8.9932722085767899E-2</v>
      </c>
    </row>
    <row r="350" spans="1:4" x14ac:dyDescent="0.2">
      <c r="A350" s="11">
        <v>44044</v>
      </c>
      <c r="B350" s="15">
        <f>VLOOKUP(A350,Database!A:K,MATCH($A$1,Database!$A$1:$K$1,),)</f>
        <v>70080</v>
      </c>
      <c r="C350" s="12">
        <f t="shared" si="10"/>
        <v>-1.9091876154750574E-2</v>
      </c>
      <c r="D350" s="13">
        <f t="shared" si="11"/>
        <v>7.2806319270099812E-2</v>
      </c>
    </row>
    <row r="351" spans="1:4" x14ac:dyDescent="0.2">
      <c r="A351" s="10">
        <v>44075</v>
      </c>
      <c r="B351" s="15">
        <f>VLOOKUP(A351,Database!A:K,MATCH($A$1,Database!$A$1:$K$1,),)</f>
        <v>70053</v>
      </c>
      <c r="C351" s="12">
        <f t="shared" si="10"/>
        <v>-3.8527397260273972E-4</v>
      </c>
      <c r="D351" s="13">
        <f t="shared" si="11"/>
        <v>8.0531219151036532E-2</v>
      </c>
    </row>
    <row r="352" spans="1:4" x14ac:dyDescent="0.2">
      <c r="A352" s="11">
        <v>44105</v>
      </c>
      <c r="B352" s="15">
        <f>VLOOKUP(A352,Database!A:K,MATCH($A$1,Database!$A$1:$K$1,),)</f>
        <v>69685</v>
      </c>
      <c r="C352" s="12">
        <f t="shared" si="10"/>
        <v>-5.2531654604370979E-3</v>
      </c>
      <c r="D352" s="13">
        <f t="shared" si="11"/>
        <v>7.3183127223445707E-2</v>
      </c>
    </row>
    <row r="353" spans="1:4" x14ac:dyDescent="0.2">
      <c r="A353" s="10">
        <v>44136</v>
      </c>
      <c r="B353" s="15">
        <f>VLOOKUP(A353,Database!A:K,MATCH($A$1,Database!$A$1:$K$1,),)</f>
        <v>70464</v>
      </c>
      <c r="C353" s="12">
        <f t="shared" si="10"/>
        <v>1.1178876372246538E-2</v>
      </c>
      <c r="D353" s="13">
        <f t="shared" si="11"/>
        <v>8.4678971106629933E-2</v>
      </c>
    </row>
    <row r="354" spans="1:4" x14ac:dyDescent="0.2">
      <c r="A354" s="11">
        <v>44166</v>
      </c>
      <c r="B354" s="15">
        <f>VLOOKUP(A354,Database!A:K,MATCH($A$1,Database!$A$1:$K$1,),)</f>
        <v>69983</v>
      </c>
      <c r="C354" s="12">
        <f t="shared" si="10"/>
        <v>-6.8261807447774752E-3</v>
      </c>
      <c r="D354" s="13">
        <f t="shared" si="11"/>
        <v>6.9177297379879307E-2</v>
      </c>
    </row>
    <row r="355" spans="1:4" x14ac:dyDescent="0.2">
      <c r="A355" s="10">
        <v>44197</v>
      </c>
      <c r="B355" s="15">
        <f>VLOOKUP(A355,Database!A:K,MATCH($A$1,Database!$A$1:$K$1,),)</f>
        <v>70921</v>
      </c>
      <c r="C355" s="12">
        <f t="shared" si="10"/>
        <v>1.3403255076232799E-2</v>
      </c>
      <c r="D355" s="13">
        <f t="shared" si="11"/>
        <v>9.5000617588932801E-2</v>
      </c>
    </row>
    <row r="356" spans="1:4" x14ac:dyDescent="0.2">
      <c r="A356" s="11">
        <v>44228</v>
      </c>
      <c r="B356" s="15">
        <f>VLOOKUP(A356,Database!A:K,MATCH($A$1,Database!$A$1:$K$1,),)</f>
        <v>70969</v>
      </c>
      <c r="C356" s="12">
        <f t="shared" si="10"/>
        <v>6.7680940765076634E-4</v>
      </c>
      <c r="D356" s="13">
        <f t="shared" si="11"/>
        <v>9.3985078308052777E-2</v>
      </c>
    </row>
    <row r="357" spans="1:4" x14ac:dyDescent="0.2">
      <c r="A357" s="10">
        <v>44256</v>
      </c>
      <c r="B357" s="15">
        <f>VLOOKUP(A357,Database!A:K,MATCH($A$1,Database!$A$1:$K$1,),)</f>
        <v>71309</v>
      </c>
      <c r="C357" s="12">
        <f t="shared" si="10"/>
        <v>4.7908241626625709E-3</v>
      </c>
      <c r="D357" s="13">
        <f t="shared" si="11"/>
        <v>-0.12825183374083129</v>
      </c>
    </row>
    <row r="358" spans="1:4" x14ac:dyDescent="0.2">
      <c r="A358" s="11">
        <v>44287</v>
      </c>
      <c r="B358" s="15">
        <f>VLOOKUP(A358,Database!A:K,MATCH($A$1,Database!$A$1:$K$1,),)</f>
        <v>71984</v>
      </c>
      <c r="C358" s="12">
        <f t="shared" si="10"/>
        <v>9.4658458259125784E-3</v>
      </c>
      <c r="D358" s="13">
        <f t="shared" si="11"/>
        <v>1.1892378194495207E-2</v>
      </c>
    </row>
    <row r="359" spans="1:4" x14ac:dyDescent="0.2">
      <c r="A359" s="10">
        <v>44317</v>
      </c>
      <c r="B359" s="15">
        <f>VLOOKUP(A359,Database!A:K,MATCH($A$1,Database!$A$1:$K$1,),)</f>
        <v>72530</v>
      </c>
      <c r="C359" s="12">
        <f t="shared" si="10"/>
        <v>7.585018893087353E-3</v>
      </c>
      <c r="D359" s="13">
        <f t="shared" si="11"/>
        <v>7.4507423146972791E-4</v>
      </c>
    </row>
    <row r="360" spans="1:4" x14ac:dyDescent="0.2">
      <c r="A360" s="11">
        <v>44348</v>
      </c>
      <c r="B360" s="15">
        <f>VLOOKUP(A360,Database!A:K,MATCH($A$1,Database!$A$1:$K$1,),)</f>
        <v>73116</v>
      </c>
      <c r="C360" s="12">
        <f t="shared" si="10"/>
        <v>8.0794154143113191E-3</v>
      </c>
      <c r="D360" s="13">
        <f t="shared" si="11"/>
        <v>2.6794742163801819E-2</v>
      </c>
    </row>
    <row r="361" spans="1:4" x14ac:dyDescent="0.2">
      <c r="A361" s="10">
        <v>44378</v>
      </c>
      <c r="B361" s="15">
        <f>VLOOKUP(A361,Database!A:K,MATCH($A$1,Database!$A$1:$K$1,),)</f>
        <v>72837</v>
      </c>
      <c r="C361" s="12">
        <f t="shared" si="10"/>
        <v>-3.8158542589857214E-3</v>
      </c>
      <c r="D361" s="13">
        <f t="shared" si="11"/>
        <v>1.9497788477688818E-2</v>
      </c>
    </row>
    <row r="362" spans="1:4" x14ac:dyDescent="0.2">
      <c r="A362" s="11">
        <v>44409</v>
      </c>
      <c r="B362" s="15">
        <f>VLOOKUP(A362,Database!A:K,MATCH($A$1,Database!$A$1:$K$1,),)</f>
        <v>74234</v>
      </c>
      <c r="C362" s="12">
        <f t="shared" si="10"/>
        <v>1.9179812457954061E-2</v>
      </c>
      <c r="D362" s="13">
        <f t="shared" si="11"/>
        <v>5.9275114155251142E-2</v>
      </c>
    </row>
    <row r="363" spans="1:4" x14ac:dyDescent="0.2">
      <c r="A363" s="11">
        <v>44440</v>
      </c>
      <c r="B363" s="15">
        <f>VLOOKUP(A363,Database!A:K,MATCH($A$1,Database!$A$1:$K$1,),)</f>
        <v>74785</v>
      </c>
      <c r="C363" s="12">
        <f t="shared" si="10"/>
        <v>7.4224748767411156E-3</v>
      </c>
      <c r="D363" s="13">
        <f t="shared" si="11"/>
        <v>6.7548855866272683E-2</v>
      </c>
    </row>
    <row r="364" spans="1:4" x14ac:dyDescent="0.2">
      <c r="A364" s="10">
        <v>44470</v>
      </c>
      <c r="B364" s="15">
        <f>VLOOKUP(A364,Database!A:K,MATCH($A$1,Database!$A$1:$K$1,),)</f>
        <v>75535</v>
      </c>
      <c r="C364" s="12">
        <f t="shared" si="10"/>
        <v>1.0028749080698E-2</v>
      </c>
      <c r="D364" s="13">
        <f t="shared" si="11"/>
        <v>8.3949199971299418E-2</v>
      </c>
    </row>
    <row r="365" spans="1:4" x14ac:dyDescent="0.2">
      <c r="A365" s="11">
        <v>44501</v>
      </c>
      <c r="B365" s="15">
        <f>VLOOKUP(A365,Database!A:K,MATCH($A$1,Database!$A$1:$K$1,),)</f>
        <v>75783</v>
      </c>
      <c r="C365" s="12">
        <f t="shared" si="10"/>
        <v>3.2832461772688156E-3</v>
      </c>
      <c r="D365" s="13">
        <f t="shared" si="11"/>
        <v>7.5485354223433249E-2</v>
      </c>
    </row>
    <row r="366" spans="1:4" x14ac:dyDescent="0.2">
      <c r="A366" s="11">
        <v>44531</v>
      </c>
      <c r="B366" s="15">
        <f>VLOOKUP(A366,Database!A:K,MATCH($A$1,Database!$A$1:$K$1,),)</f>
        <v>76187</v>
      </c>
      <c r="C366" s="12">
        <f t="shared" si="10"/>
        <v>5.3310109127376855E-3</v>
      </c>
      <c r="D366" s="13">
        <f t="shared" si="11"/>
        <v>8.8650100738750834E-2</v>
      </c>
    </row>
    <row r="367" spans="1:4" x14ac:dyDescent="0.2">
      <c r="A367" s="11">
        <v>44562</v>
      </c>
      <c r="B367" s="15">
        <f>VLOOKUP(A367,Database!A:K,MATCH($A$1,Database!$A$1:$K$1,),)</f>
        <v>76603</v>
      </c>
      <c r="C367" s="12">
        <f t="shared" si="10"/>
        <v>5.4602491238662761E-3</v>
      </c>
      <c r="D367" s="13">
        <f t="shared" si="11"/>
        <v>8.0117313630659465E-2</v>
      </c>
    </row>
    <row r="368" spans="1:4" x14ac:dyDescent="0.2">
      <c r="A368" s="11">
        <v>44593</v>
      </c>
      <c r="B368" s="15">
        <f>VLOOKUP(A368,Database!A:K,MATCH($A$1,Database!$A$1:$K$1,),)</f>
        <v>76533</v>
      </c>
      <c r="C368" s="12">
        <f t="shared" si="10"/>
        <v>-9.1380233150137726E-4</v>
      </c>
      <c r="D368" s="13">
        <f t="shared" si="11"/>
        <v>7.8400428356042773E-2</v>
      </c>
    </row>
    <row r="369" spans="1:4" x14ac:dyDescent="0.2">
      <c r="A369" s="11">
        <v>44621</v>
      </c>
      <c r="B369" s="15">
        <f>VLOOKUP(A369,Database!A:K,MATCH($A$1,Database!$A$1:$K$1,),)</f>
        <v>77268</v>
      </c>
      <c r="C369" s="12">
        <f t="shared" si="10"/>
        <v>9.6037003645486254E-3</v>
      </c>
      <c r="D369" s="13">
        <f t="shared" si="11"/>
        <v>8.3565889298685997E-2</v>
      </c>
    </row>
    <row r="370" spans="1:4" x14ac:dyDescent="0.2">
      <c r="A370" s="10">
        <v>44652</v>
      </c>
      <c r="B370" s="15">
        <f>VLOOKUP(A370,Database!A:K,MATCH($A$1,Database!$A$1:$K$1,),)</f>
        <v>77270</v>
      </c>
      <c r="C370" s="12">
        <f t="shared" si="10"/>
        <v>2.5883936429052132E-5</v>
      </c>
      <c r="D370" s="13">
        <f t="shared" si="11"/>
        <v>7.3432985107801732E-2</v>
      </c>
    </row>
    <row r="371" spans="1:4" x14ac:dyDescent="0.2">
      <c r="A371" s="11">
        <v>44682</v>
      </c>
      <c r="B371" s="15">
        <f>VLOOKUP(A371,Database!A:K,MATCH($A$1,Database!$A$1:$K$1,),)</f>
        <v>78111</v>
      </c>
      <c r="C371" s="12">
        <f t="shared" si="10"/>
        <v>1.0883913549889997E-2</v>
      </c>
      <c r="D371" s="13">
        <f t="shared" si="11"/>
        <v>7.6947470012408661E-2</v>
      </c>
    </row>
    <row r="372" spans="1:4" x14ac:dyDescent="0.2">
      <c r="A372" s="11">
        <v>44713</v>
      </c>
      <c r="B372" s="15">
        <f>VLOOKUP(A372,Database!A:K,MATCH($A$1,Database!$A$1:$K$1,),)</f>
        <v>78803</v>
      </c>
      <c r="C372" s="12">
        <f t="shared" si="10"/>
        <v>8.859187566411901E-3</v>
      </c>
      <c r="D372" s="13">
        <f t="shared" si="11"/>
        <v>7.7780513157174894E-2</v>
      </c>
    </row>
    <row r="373" spans="1:4" x14ac:dyDescent="0.2">
      <c r="A373" s="11">
        <v>44743</v>
      </c>
      <c r="B373" s="15">
        <f>VLOOKUP(A373,Database!A:K,MATCH($A$1,Database!$A$1:$K$1,),)</f>
        <v>78964</v>
      </c>
      <c r="C373" s="12">
        <f t="shared" si="10"/>
        <v>2.0430694262908774E-3</v>
      </c>
      <c r="D373" s="13">
        <f t="shared" ref="D373" si="12">(B373-B361)/B361</f>
        <v>8.411933495338908E-2</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3"/>
  <sheetViews>
    <sheetView zoomScale="200" zoomScaleNormal="200" workbookViewId="0">
      <pane ySplit="6" topLeftCell="A368" activePane="bottomLeft" state="frozen"/>
      <selection pane="bottomLeft" activeCell="A368" sqref="A368:D373"/>
    </sheetView>
  </sheetViews>
  <sheetFormatPr baseColWidth="10" defaultColWidth="9.1640625" defaultRowHeight="15" x14ac:dyDescent="0.2"/>
  <cols>
    <col min="1" max="1" width="14" style="54" customWidth="1"/>
    <col min="2" max="4" width="14.1640625" style="54" customWidth="1"/>
    <col min="5" max="13" width="9.1640625" style="110" customWidth="1"/>
    <col min="14"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27236</v>
      </c>
      <c r="C223" s="12">
        <f t="shared" si="6"/>
        <v>9.3388674770234215E-3</v>
      </c>
      <c r="D223" s="13">
        <f t="shared" si="7"/>
        <v>8.7308874605772691E-2</v>
      </c>
    </row>
    <row r="224" spans="1:4" x14ac:dyDescent="0.2">
      <c r="A224" s="11">
        <v>40210</v>
      </c>
      <c r="B224" s="15">
        <f>VLOOKUP(A224,Database!A:Q,MATCH($A$1,Database!$A$1:$Q$1,),)</f>
        <v>27249</v>
      </c>
      <c r="C224" s="12">
        <f t="shared" si="6"/>
        <v>4.7730944338375677E-4</v>
      </c>
      <c r="D224" s="13">
        <f t="shared" si="7"/>
        <v>7.9553108038508777E-2</v>
      </c>
    </row>
    <row r="225" spans="1:4" x14ac:dyDescent="0.2">
      <c r="A225" s="10">
        <v>40238</v>
      </c>
      <c r="B225" s="15">
        <f>VLOOKUP(A225,Database!A:Q,MATCH($A$1,Database!$A$1:$Q$1,),)</f>
        <v>27852</v>
      </c>
      <c r="C225" s="12">
        <f t="shared" si="6"/>
        <v>2.2129252449631178E-2</v>
      </c>
      <c r="D225" s="13">
        <f t="shared" si="7"/>
        <v>0.11671544845836174</v>
      </c>
    </row>
    <row r="226" spans="1:4" x14ac:dyDescent="0.2">
      <c r="A226" s="11">
        <v>40269</v>
      </c>
      <c r="B226" s="15">
        <f>VLOOKUP(A226,Database!A:Q,MATCH($A$1,Database!$A$1:$Q$1,),)</f>
        <v>27767</v>
      </c>
      <c r="C226" s="12">
        <f t="shared" si="6"/>
        <v>-3.0518454689070803E-3</v>
      </c>
      <c r="D226" s="13">
        <f t="shared" si="7"/>
        <v>0.11370928926680571</v>
      </c>
    </row>
    <row r="227" spans="1:4" x14ac:dyDescent="0.2">
      <c r="A227" s="10">
        <v>40299</v>
      </c>
      <c r="B227" s="15">
        <f>VLOOKUP(A227,Database!A:Q,MATCH($A$1,Database!$A$1:$Q$1,),)</f>
        <v>27752</v>
      </c>
      <c r="C227" s="12">
        <f t="shared" si="6"/>
        <v>-5.4020960132531424E-4</v>
      </c>
      <c r="D227" s="13">
        <f t="shared" si="7"/>
        <v>0.1030645097181923</v>
      </c>
    </row>
    <row r="228" spans="1:4" x14ac:dyDescent="0.2">
      <c r="A228" s="11">
        <v>40330</v>
      </c>
      <c r="B228" s="15">
        <f>VLOOKUP(A228,Database!A:Q,MATCH($A$1,Database!$A$1:$Q$1,),)</f>
        <v>28465</v>
      </c>
      <c r="C228" s="12">
        <f t="shared" si="6"/>
        <v>2.5691842029403285E-2</v>
      </c>
      <c r="D228" s="13">
        <f t="shared" si="7"/>
        <v>0.10466470040360136</v>
      </c>
    </row>
    <row r="229" spans="1:4" x14ac:dyDescent="0.2">
      <c r="A229" s="10">
        <v>40360</v>
      </c>
      <c r="B229" s="15">
        <f>VLOOKUP(A229,Database!A:Q,MATCH($A$1,Database!$A$1:$Q$1,),)</f>
        <v>28113</v>
      </c>
      <c r="C229" s="12">
        <f t="shared" si="6"/>
        <v>-1.2366063586861058E-2</v>
      </c>
      <c r="D229" s="13">
        <f t="shared" si="7"/>
        <v>7.6713902719264648E-2</v>
      </c>
    </row>
    <row r="230" spans="1:4" x14ac:dyDescent="0.2">
      <c r="A230" s="11">
        <v>40391</v>
      </c>
      <c r="B230" s="15">
        <f>VLOOKUP(A230,Database!A:Q,MATCH($A$1,Database!$A$1:$Q$1,),)</f>
        <v>28764</v>
      </c>
      <c r="C230" s="12">
        <f t="shared" si="6"/>
        <v>2.3156546793298476E-2</v>
      </c>
      <c r="D230" s="13">
        <f t="shared" si="7"/>
        <v>9.996175908221798E-2</v>
      </c>
    </row>
    <row r="231" spans="1:4" x14ac:dyDescent="0.2">
      <c r="A231" s="10">
        <v>40422</v>
      </c>
      <c r="B231" s="15">
        <f>VLOOKUP(A231,Database!A:Q,MATCH($A$1,Database!$A$1:$Q$1,),)</f>
        <v>28998</v>
      </c>
      <c r="C231" s="12">
        <f t="shared" si="6"/>
        <v>8.135168961201502E-3</v>
      </c>
      <c r="D231" s="13">
        <f t="shared" si="7"/>
        <v>0.10095295948973006</v>
      </c>
    </row>
    <row r="232" spans="1:4" x14ac:dyDescent="0.2">
      <c r="A232" s="11">
        <v>40452</v>
      </c>
      <c r="B232" s="15">
        <f>VLOOKUP(A232,Database!A:Q,MATCH($A$1,Database!$A$1:$Q$1,),)</f>
        <v>28899</v>
      </c>
      <c r="C232" s="12">
        <f t="shared" si="6"/>
        <v>-3.414028553693358E-3</v>
      </c>
      <c r="D232" s="13">
        <f t="shared" si="7"/>
        <v>8.5041676053165122E-2</v>
      </c>
    </row>
    <row r="233" spans="1:4" x14ac:dyDescent="0.2">
      <c r="A233" s="10">
        <v>40483</v>
      </c>
      <c r="B233" s="15">
        <f>VLOOKUP(A233,Database!A:Q,MATCH($A$1,Database!$A$1:$Q$1,),)</f>
        <v>28943</v>
      </c>
      <c r="C233" s="12">
        <f t="shared" si="6"/>
        <v>1.5225440326654901E-3</v>
      </c>
      <c r="D233" s="13">
        <f t="shared" si="7"/>
        <v>8.5389634740868525E-2</v>
      </c>
    </row>
    <row r="234" spans="1:4" x14ac:dyDescent="0.2">
      <c r="A234" s="11">
        <v>40513</v>
      </c>
      <c r="B234" s="15">
        <f>VLOOKUP(A234,Database!A:Q,MATCH($A$1,Database!$A$1:$Q$1,),)</f>
        <v>29646</v>
      </c>
      <c r="C234" s="12">
        <f t="shared" si="6"/>
        <v>2.4289119994471892E-2</v>
      </c>
      <c r="D234" s="13">
        <f t="shared" si="7"/>
        <v>9.8651052475541068E-2</v>
      </c>
    </row>
    <row r="235" spans="1:4" x14ac:dyDescent="0.2">
      <c r="A235" s="10">
        <v>40544</v>
      </c>
      <c r="B235" s="15">
        <f>VLOOKUP(A235,Database!A:Q,MATCH($A$1,Database!$A$1:$Q$1,),)</f>
        <v>30596</v>
      </c>
      <c r="C235" s="12">
        <f t="shared" si="6"/>
        <v>3.2044795250624029E-2</v>
      </c>
      <c r="D235" s="13">
        <f t="shared" si="7"/>
        <v>0.12336613305918637</v>
      </c>
    </row>
    <row r="236" spans="1:4" x14ac:dyDescent="0.2">
      <c r="A236" s="11">
        <v>40575</v>
      </c>
      <c r="B236" s="15">
        <f>VLOOKUP(A236,Database!A:Q,MATCH($A$1,Database!$A$1:$Q$1,),)</f>
        <v>30116</v>
      </c>
      <c r="C236" s="12">
        <f t="shared" si="6"/>
        <v>-1.5688325271277292E-2</v>
      </c>
      <c r="D236" s="13">
        <f t="shared" si="7"/>
        <v>0.10521487027046864</v>
      </c>
    </row>
    <row r="237" spans="1:4" x14ac:dyDescent="0.2">
      <c r="A237" s="10">
        <v>40603</v>
      </c>
      <c r="B237" s="15">
        <f>VLOOKUP(A237,Database!A:Q,MATCH($A$1,Database!$A$1:$Q$1,),)</f>
        <v>30497</v>
      </c>
      <c r="C237" s="12">
        <f t="shared" si="6"/>
        <v>1.2651082481073184E-2</v>
      </c>
      <c r="D237" s="13">
        <f t="shared" si="7"/>
        <v>9.4966250179520317E-2</v>
      </c>
    </row>
    <row r="238" spans="1:4" x14ac:dyDescent="0.2">
      <c r="A238" s="11">
        <v>40634</v>
      </c>
      <c r="B238" s="15">
        <f>VLOOKUP(A238,Database!A:Q,MATCH($A$1,Database!$A$1:$Q$1,),)</f>
        <v>30696</v>
      </c>
      <c r="C238" s="12">
        <f t="shared" si="6"/>
        <v>6.5252319900318068E-3</v>
      </c>
      <c r="D238" s="13">
        <f t="shared" si="7"/>
        <v>0.10548492815212303</v>
      </c>
    </row>
    <row r="239" spans="1:4" x14ac:dyDescent="0.2">
      <c r="A239" s="10">
        <v>40664</v>
      </c>
      <c r="B239" s="15">
        <f>VLOOKUP(A239,Database!A:Q,MATCH($A$1,Database!$A$1:$Q$1,),)</f>
        <v>30943</v>
      </c>
      <c r="C239" s="12">
        <f t="shared" si="6"/>
        <v>8.0466510294500918E-3</v>
      </c>
      <c r="D239" s="13">
        <f t="shared" si="7"/>
        <v>0.11498270394926492</v>
      </c>
    </row>
    <row r="240" spans="1:4" x14ac:dyDescent="0.2">
      <c r="A240" s="11">
        <v>40695</v>
      </c>
      <c r="B240" s="15">
        <f>VLOOKUP(A240,Database!A:Q,MATCH($A$1,Database!$A$1:$Q$1,),)</f>
        <v>31181</v>
      </c>
      <c r="C240" s="12">
        <f t="shared" si="6"/>
        <v>7.6915619041463337E-3</v>
      </c>
      <c r="D240" s="13">
        <f t="shared" si="7"/>
        <v>9.5415422448621112E-2</v>
      </c>
    </row>
    <row r="241" spans="1:4" x14ac:dyDescent="0.2">
      <c r="A241" s="10">
        <v>40725</v>
      </c>
      <c r="B241" s="15">
        <f>VLOOKUP(A241,Database!A:Q,MATCH($A$1,Database!$A$1:$Q$1,),)</f>
        <v>31130</v>
      </c>
      <c r="C241" s="12">
        <f t="shared" si="6"/>
        <v>-1.6356114300375229E-3</v>
      </c>
      <c r="D241" s="13">
        <f t="shared" si="7"/>
        <v>0.1073168996549639</v>
      </c>
    </row>
    <row r="242" spans="1:4" x14ac:dyDescent="0.2">
      <c r="A242" s="11">
        <v>40756</v>
      </c>
      <c r="B242" s="15">
        <f>VLOOKUP(A242,Database!A:Q,MATCH($A$1,Database!$A$1:$Q$1,),)</f>
        <v>31648</v>
      </c>
      <c r="C242" s="12">
        <f t="shared" si="6"/>
        <v>1.663989720526823E-2</v>
      </c>
      <c r="D242" s="13">
        <f t="shared" si="7"/>
        <v>0.10026421916284244</v>
      </c>
    </row>
    <row r="243" spans="1:4" x14ac:dyDescent="0.2">
      <c r="A243" s="10">
        <v>40787</v>
      </c>
      <c r="B243" s="15">
        <f>VLOOKUP(A243,Database!A:Q,MATCH($A$1,Database!$A$1:$Q$1,),)</f>
        <v>31604</v>
      </c>
      <c r="C243" s="12">
        <f t="shared" si="6"/>
        <v>-1.390293225480283E-3</v>
      </c>
      <c r="D243" s="13">
        <f t="shared" si="7"/>
        <v>8.9868266777019104E-2</v>
      </c>
    </row>
    <row r="244" spans="1:4" x14ac:dyDescent="0.2">
      <c r="A244" s="11">
        <v>40817</v>
      </c>
      <c r="B244" s="15">
        <f>VLOOKUP(A244,Database!A:Q,MATCH($A$1,Database!$A$1:$Q$1,),)</f>
        <v>32441</v>
      </c>
      <c r="C244" s="12">
        <f t="shared" si="6"/>
        <v>2.6483989368434376E-2</v>
      </c>
      <c r="D244" s="13">
        <f t="shared" si="7"/>
        <v>0.12256479462957195</v>
      </c>
    </row>
    <row r="245" spans="1:4" x14ac:dyDescent="0.2">
      <c r="A245" s="10">
        <v>40848</v>
      </c>
      <c r="B245" s="15">
        <f>VLOOKUP(A245,Database!A:Q,MATCH($A$1,Database!$A$1:$Q$1,),)</f>
        <v>32722</v>
      </c>
      <c r="C245" s="12">
        <f t="shared" si="6"/>
        <v>8.6618784870996571E-3</v>
      </c>
      <c r="D245" s="13">
        <f t="shared" si="7"/>
        <v>0.13056697647099472</v>
      </c>
    </row>
    <row r="246" spans="1:4" x14ac:dyDescent="0.2">
      <c r="A246" s="11">
        <v>40878</v>
      </c>
      <c r="B246" s="15">
        <f>VLOOKUP(A246,Database!A:Q,MATCH($A$1,Database!$A$1:$Q$1,),)</f>
        <v>32460</v>
      </c>
      <c r="C246" s="12">
        <f t="shared" si="6"/>
        <v>-8.006845547338182E-3</v>
      </c>
      <c r="D246" s="13">
        <f t="shared" si="7"/>
        <v>9.492005666869055E-2</v>
      </c>
    </row>
    <row r="247" spans="1:4" x14ac:dyDescent="0.2">
      <c r="A247" s="10">
        <v>40909</v>
      </c>
      <c r="B247" s="15">
        <f>VLOOKUP(A247,Database!A:Q,MATCH($A$1,Database!$A$1:$Q$1,),)</f>
        <v>32483</v>
      </c>
      <c r="C247" s="12">
        <f t="shared" si="6"/>
        <v>7.0856438693776955E-4</v>
      </c>
      <c r="D247" s="13">
        <f t="shared" si="7"/>
        <v>6.1674728722708849E-2</v>
      </c>
    </row>
    <row r="248" spans="1:4" x14ac:dyDescent="0.2">
      <c r="A248" s="11">
        <v>40940</v>
      </c>
      <c r="B248" s="15">
        <f>VLOOKUP(A248,Database!A:Q,MATCH($A$1,Database!$A$1:$Q$1,),)</f>
        <v>32903</v>
      </c>
      <c r="C248" s="12">
        <f t="shared" si="6"/>
        <v>1.292984022411723E-2</v>
      </c>
      <c r="D248" s="13">
        <f t="shared" si="7"/>
        <v>9.2542170274936913E-2</v>
      </c>
    </row>
    <row r="249" spans="1:4" x14ac:dyDescent="0.2">
      <c r="A249" s="10">
        <v>40969</v>
      </c>
      <c r="B249" s="15">
        <f>VLOOKUP(A249,Database!A:Q,MATCH($A$1,Database!$A$1:$Q$1,),)</f>
        <v>32899</v>
      </c>
      <c r="C249" s="12">
        <f t="shared" si="6"/>
        <v>-1.215694617512081E-4</v>
      </c>
      <c r="D249" s="13">
        <f t="shared" si="7"/>
        <v>7.8761845427419097E-2</v>
      </c>
    </row>
    <row r="250" spans="1:4" x14ac:dyDescent="0.2">
      <c r="A250" s="11">
        <v>41000</v>
      </c>
      <c r="B250" s="15">
        <f>VLOOKUP(A250,Database!A:Q,MATCH($A$1,Database!$A$1:$Q$1,),)</f>
        <v>33185</v>
      </c>
      <c r="C250" s="12">
        <f t="shared" si="6"/>
        <v>8.6932733517736099E-3</v>
      </c>
      <c r="D250" s="13">
        <f t="shared" si="7"/>
        <v>8.1085483450612464E-2</v>
      </c>
    </row>
    <row r="251" spans="1:4" x14ac:dyDescent="0.2">
      <c r="A251" s="10">
        <v>41030</v>
      </c>
      <c r="B251" s="15">
        <f>VLOOKUP(A251,Database!A:Q,MATCH($A$1,Database!$A$1:$Q$1,),)</f>
        <v>33845</v>
      </c>
      <c r="C251" s="12">
        <f t="shared" si="6"/>
        <v>1.9888503842097335E-2</v>
      </c>
      <c r="D251" s="13">
        <f t="shared" si="7"/>
        <v>9.3785347251397727E-2</v>
      </c>
    </row>
    <row r="252" spans="1:4" x14ac:dyDescent="0.2">
      <c r="A252" s="11">
        <v>41061</v>
      </c>
      <c r="B252" s="15">
        <f>VLOOKUP(A252,Database!A:Q,MATCH($A$1,Database!$A$1:$Q$1,),)</f>
        <v>33686</v>
      </c>
      <c r="C252" s="12">
        <f t="shared" si="6"/>
        <v>-4.6978874279804995E-3</v>
      </c>
      <c r="D252" s="13">
        <f t="shared" si="7"/>
        <v>8.0337384945960683E-2</v>
      </c>
    </row>
    <row r="253" spans="1:4" x14ac:dyDescent="0.2">
      <c r="A253" s="10">
        <v>41091</v>
      </c>
      <c r="B253" s="15">
        <f>VLOOKUP(A253,Database!A:Q,MATCH($A$1,Database!$A$1:$Q$1,),)</f>
        <v>34154</v>
      </c>
      <c r="C253" s="12">
        <f t="shared" si="6"/>
        <v>1.3893011933741021E-2</v>
      </c>
      <c r="D253" s="13">
        <f t="shared" si="7"/>
        <v>9.7141021522646961E-2</v>
      </c>
    </row>
    <row r="254" spans="1:4" x14ac:dyDescent="0.2">
      <c r="A254" s="11">
        <v>41122</v>
      </c>
      <c r="B254" s="15">
        <f>VLOOKUP(A254,Database!A:Q,MATCH($A$1,Database!$A$1:$Q$1,),)</f>
        <v>34451</v>
      </c>
      <c r="C254" s="12">
        <f t="shared" si="6"/>
        <v>8.6959067751947068E-3</v>
      </c>
      <c r="D254" s="13">
        <f t="shared" si="7"/>
        <v>8.8567997977755303E-2</v>
      </c>
    </row>
    <row r="255" spans="1:4" x14ac:dyDescent="0.2">
      <c r="A255" s="10">
        <v>41153</v>
      </c>
      <c r="B255" s="15">
        <f>VLOOKUP(A255,Database!A:Q,MATCH($A$1,Database!$A$1:$Q$1,),)</f>
        <v>34766</v>
      </c>
      <c r="C255" s="12">
        <f t="shared" si="6"/>
        <v>9.1434210908246487E-3</v>
      </c>
      <c r="D255" s="13">
        <f t="shared" si="7"/>
        <v>0.1000506265029743</v>
      </c>
    </row>
    <row r="256" spans="1:4" x14ac:dyDescent="0.2">
      <c r="A256" s="11">
        <v>41183</v>
      </c>
      <c r="B256" s="15">
        <f>VLOOKUP(A256,Database!A:Q,MATCH($A$1,Database!$A$1:$Q$1,),)</f>
        <v>34738</v>
      </c>
      <c r="C256" s="12">
        <f t="shared" si="6"/>
        <v>-8.0538457113271591E-4</v>
      </c>
      <c r="D256" s="13">
        <f t="shared" si="7"/>
        <v>7.0805462223729229E-2</v>
      </c>
    </row>
    <row r="257" spans="1:4" x14ac:dyDescent="0.2">
      <c r="A257" s="10">
        <v>41214</v>
      </c>
      <c r="B257" s="15">
        <f>VLOOKUP(A257,Database!A:Q,MATCH($A$1,Database!$A$1:$Q$1,),)</f>
        <v>35177</v>
      </c>
      <c r="C257" s="12">
        <f t="shared" si="6"/>
        <v>1.2637457539294145E-2</v>
      </c>
      <c r="D257" s="13">
        <f t="shared" si="7"/>
        <v>7.5025976407310069E-2</v>
      </c>
    </row>
    <row r="258" spans="1:4" x14ac:dyDescent="0.2">
      <c r="A258" s="11">
        <v>41244</v>
      </c>
      <c r="B258" s="15">
        <f>VLOOKUP(A258,Database!A:Q,MATCH($A$1,Database!$A$1:$Q$1,),)</f>
        <v>35232</v>
      </c>
      <c r="C258" s="12">
        <f t="shared" si="6"/>
        <v>1.5635216192398443E-3</v>
      </c>
      <c r="D258" s="13">
        <f t="shared" si="7"/>
        <v>8.5397412199630318E-2</v>
      </c>
    </row>
    <row r="259" spans="1:4" x14ac:dyDescent="0.2">
      <c r="A259" s="10">
        <v>41275</v>
      </c>
      <c r="B259" s="15">
        <f>VLOOKUP(A259,Database!A:Q,MATCH($A$1,Database!$A$1:$Q$1,),)</f>
        <v>35822</v>
      </c>
      <c r="C259" s="12">
        <f t="shared" si="6"/>
        <v>1.6746139872842871E-2</v>
      </c>
      <c r="D259" s="13">
        <f t="shared" si="7"/>
        <v>0.10279222978173198</v>
      </c>
    </row>
    <row r="260" spans="1:4" x14ac:dyDescent="0.2">
      <c r="A260" s="11">
        <v>41306</v>
      </c>
      <c r="B260" s="15">
        <f>VLOOKUP(A260,Database!A:Q,MATCH($A$1,Database!$A$1:$Q$1,),)</f>
        <v>35555</v>
      </c>
      <c r="C260" s="12">
        <f t="shared" si="6"/>
        <v>-7.4535201831276866E-3</v>
      </c>
      <c r="D260" s="13">
        <f t="shared" si="7"/>
        <v>8.0600553141050968E-2</v>
      </c>
    </row>
    <row r="261" spans="1:4" x14ac:dyDescent="0.2">
      <c r="A261" s="10">
        <v>41334</v>
      </c>
      <c r="B261" s="15">
        <f>VLOOKUP(A261,Database!A:Q,MATCH($A$1,Database!$A$1:$Q$1,),)</f>
        <v>35372</v>
      </c>
      <c r="C261" s="12">
        <f t="shared" si="6"/>
        <v>-5.1469554211784558E-3</v>
      </c>
      <c r="D261" s="13">
        <f t="shared" si="7"/>
        <v>7.516945803823824E-2</v>
      </c>
    </row>
    <row r="262" spans="1:4" x14ac:dyDescent="0.2">
      <c r="A262" s="11">
        <v>41365</v>
      </c>
      <c r="B262" s="15">
        <f>VLOOKUP(A262,Database!A:Q,MATCH($A$1,Database!$A$1:$Q$1,),)</f>
        <v>35134</v>
      </c>
      <c r="C262" s="12">
        <f t="shared" si="6"/>
        <v>-6.7284858079837157E-3</v>
      </c>
      <c r="D262" s="13">
        <f t="shared" si="7"/>
        <v>5.8731354527648036E-2</v>
      </c>
    </row>
    <row r="263" spans="1:4" x14ac:dyDescent="0.2">
      <c r="A263" s="10">
        <v>41395</v>
      </c>
      <c r="B263" s="15">
        <f>VLOOKUP(A263,Database!A:Q,MATCH($A$1,Database!$A$1:$Q$1,),)</f>
        <v>35184</v>
      </c>
      <c r="C263" s="12">
        <f t="shared" si="6"/>
        <v>1.4231229008937211E-3</v>
      </c>
      <c r="D263" s="13">
        <f t="shared" si="7"/>
        <v>3.9562712365194271E-2</v>
      </c>
    </row>
    <row r="264" spans="1:4" x14ac:dyDescent="0.2">
      <c r="A264" s="11">
        <v>41426</v>
      </c>
      <c r="B264" s="15">
        <f>VLOOKUP(A264,Database!A:Q,MATCH($A$1,Database!$A$1:$Q$1,),)</f>
        <v>35194</v>
      </c>
      <c r="C264" s="12">
        <f t="shared" ref="C264:C327" si="8">(B264-B263)/B263</f>
        <v>2.8422010004547523E-4</v>
      </c>
      <c r="D264" s="13">
        <f t="shared" si="7"/>
        <v>4.4766371786498844E-2</v>
      </c>
    </row>
    <row r="265" spans="1:4" x14ac:dyDescent="0.2">
      <c r="A265" s="10">
        <v>41456</v>
      </c>
      <c r="B265" s="15">
        <f>VLOOKUP(A265,Database!A:Q,MATCH($A$1,Database!$A$1:$Q$1,),)</f>
        <v>35608</v>
      </c>
      <c r="C265" s="12">
        <f t="shared" si="8"/>
        <v>1.1763368756037961E-2</v>
      </c>
      <c r="D265" s="13">
        <f t="shared" si="7"/>
        <v>4.2571880306845465E-2</v>
      </c>
    </row>
    <row r="266" spans="1:4" x14ac:dyDescent="0.2">
      <c r="A266" s="11">
        <v>41487</v>
      </c>
      <c r="B266" s="15">
        <f>VLOOKUP(A266,Database!A:Q,MATCH($A$1,Database!$A$1:$Q$1,),)</f>
        <v>35763</v>
      </c>
      <c r="C266" s="12">
        <f t="shared" si="8"/>
        <v>4.3529543922713994E-3</v>
      </c>
      <c r="D266" s="13">
        <f t="shared" si="7"/>
        <v>3.8083074511625209E-2</v>
      </c>
    </row>
    <row r="267" spans="1:4" x14ac:dyDescent="0.2">
      <c r="A267" s="10">
        <v>41518</v>
      </c>
      <c r="B267" s="15">
        <f>VLOOKUP(A267,Database!A:Q,MATCH($A$1,Database!$A$1:$Q$1,),)</f>
        <v>35662</v>
      </c>
      <c r="C267" s="12">
        <f t="shared" si="8"/>
        <v>-2.8241478623158012E-3</v>
      </c>
      <c r="D267" s="13">
        <f t="shared" si="7"/>
        <v>2.5772306276246909E-2</v>
      </c>
    </row>
    <row r="268" spans="1:4" x14ac:dyDescent="0.2">
      <c r="A268" s="11">
        <v>41548</v>
      </c>
      <c r="B268" s="15">
        <f>VLOOKUP(A268,Database!A:Q,MATCH($A$1,Database!$A$1:$Q$1,),)</f>
        <v>35655</v>
      </c>
      <c r="C268" s="12">
        <f t="shared" si="8"/>
        <v>-1.9628736470192362E-4</v>
      </c>
      <c r="D268" s="13">
        <f t="shared" si="7"/>
        <v>2.6397604928320571E-2</v>
      </c>
    </row>
    <row r="269" spans="1:4" x14ac:dyDescent="0.2">
      <c r="A269" s="10">
        <v>41579</v>
      </c>
      <c r="B269" s="15">
        <f>VLOOKUP(A269,Database!A:Q,MATCH($A$1,Database!$A$1:$Q$1,),)</f>
        <v>36542</v>
      </c>
      <c r="C269" s="12">
        <f t="shared" si="8"/>
        <v>2.4877296311877718E-2</v>
      </c>
      <c r="D269" s="13">
        <f t="shared" si="7"/>
        <v>3.8803763822952496E-2</v>
      </c>
    </row>
    <row r="270" spans="1:4" x14ac:dyDescent="0.2">
      <c r="A270" s="11">
        <v>41609</v>
      </c>
      <c r="B270" s="15">
        <f>VLOOKUP(A270,Database!A:Q,MATCH($A$1,Database!$A$1:$Q$1,),)</f>
        <v>37329</v>
      </c>
      <c r="C270" s="12">
        <f t="shared" si="8"/>
        <v>2.1536861693393902E-2</v>
      </c>
      <c r="D270" s="13">
        <f t="shared" si="7"/>
        <v>5.9519754768392372E-2</v>
      </c>
    </row>
    <row r="271" spans="1:4" x14ac:dyDescent="0.2">
      <c r="A271" s="10">
        <v>41640</v>
      </c>
      <c r="B271" s="15">
        <f>VLOOKUP(A271,Database!A:Q,MATCH($A$1,Database!$A$1:$Q$1,),)</f>
        <v>36494</v>
      </c>
      <c r="C271" s="12">
        <f t="shared" si="8"/>
        <v>-2.2368667791797262E-2</v>
      </c>
      <c r="D271" s="13">
        <f t="shared" si="7"/>
        <v>1.8759421584501144E-2</v>
      </c>
    </row>
    <row r="272" spans="1:4" x14ac:dyDescent="0.2">
      <c r="A272" s="11">
        <v>41671</v>
      </c>
      <c r="B272" s="15">
        <f>VLOOKUP(A272,Database!A:Q,MATCH($A$1,Database!$A$1:$Q$1,),)</f>
        <v>37222</v>
      </c>
      <c r="C272" s="12">
        <f t="shared" si="8"/>
        <v>1.9948484682413548E-2</v>
      </c>
      <c r="D272" s="13">
        <f t="shared" si="7"/>
        <v>4.6885107579805935E-2</v>
      </c>
    </row>
    <row r="273" spans="1:4" x14ac:dyDescent="0.2">
      <c r="A273" s="10">
        <v>41699</v>
      </c>
      <c r="B273" s="15">
        <f>VLOOKUP(A273,Database!A:Q,MATCH($A$1,Database!$A$1:$Q$1,),)</f>
        <v>37682</v>
      </c>
      <c r="C273" s="12">
        <f t="shared" si="8"/>
        <v>1.2358282736016335E-2</v>
      </c>
      <c r="D273" s="13">
        <f t="shared" si="7"/>
        <v>6.53058916657243E-2</v>
      </c>
    </row>
    <row r="274" spans="1:4" x14ac:dyDescent="0.2">
      <c r="A274" s="11">
        <v>41730</v>
      </c>
      <c r="B274" s="15">
        <f>VLOOKUP(A274,Database!A:Q,MATCH($A$1,Database!$A$1:$Q$1,),)</f>
        <v>37846</v>
      </c>
      <c r="C274" s="12">
        <f t="shared" si="8"/>
        <v>4.3522106045326683E-3</v>
      </c>
      <c r="D274" s="13">
        <f t="shared" si="7"/>
        <v>7.7190186144475439E-2</v>
      </c>
    </row>
    <row r="275" spans="1:4" x14ac:dyDescent="0.2">
      <c r="A275" s="10">
        <v>41760</v>
      </c>
      <c r="B275" s="15">
        <f>VLOOKUP(A275,Database!A:Q,MATCH($A$1,Database!$A$1:$Q$1,),)</f>
        <v>37955</v>
      </c>
      <c r="C275" s="12">
        <f t="shared" si="8"/>
        <v>2.8800930085081645E-3</v>
      </c>
      <c r="D275" s="13">
        <f t="shared" ref="D275:D338" si="9">(B275-B263)/B263</f>
        <v>7.8757389722601184E-2</v>
      </c>
    </row>
    <row r="276" spans="1:4" x14ac:dyDescent="0.2">
      <c r="A276" s="11">
        <v>41791</v>
      </c>
      <c r="B276" s="15">
        <f>VLOOKUP(A276,Database!A:Q,MATCH($A$1,Database!$A$1:$Q$1,),)</f>
        <v>38559</v>
      </c>
      <c r="C276" s="12">
        <f t="shared" si="8"/>
        <v>1.5913581873270979E-2</v>
      </c>
      <c r="D276" s="13">
        <f t="shared" si="9"/>
        <v>9.5612888560550099E-2</v>
      </c>
    </row>
    <row r="277" spans="1:4" x14ac:dyDescent="0.2">
      <c r="A277" s="10">
        <v>41821</v>
      </c>
      <c r="B277" s="15">
        <f>VLOOKUP(A277,Database!A:Q,MATCH($A$1,Database!$A$1:$Q$1,),)</f>
        <v>38651</v>
      </c>
      <c r="C277" s="12">
        <f t="shared" si="8"/>
        <v>2.3859539925827952E-3</v>
      </c>
      <c r="D277" s="13">
        <f t="shared" si="9"/>
        <v>8.5458323972141093E-2</v>
      </c>
    </row>
    <row r="278" spans="1:4" x14ac:dyDescent="0.2">
      <c r="A278" s="11">
        <v>41852</v>
      </c>
      <c r="B278" s="15">
        <f>VLOOKUP(A278,Database!A:Q,MATCH($A$1,Database!$A$1:$Q$1,),)</f>
        <v>38975</v>
      </c>
      <c r="C278" s="12">
        <f t="shared" si="8"/>
        <v>8.3827067863703406E-3</v>
      </c>
      <c r="D278" s="13">
        <f t="shared" si="9"/>
        <v>8.9813494393647067E-2</v>
      </c>
    </row>
    <row r="279" spans="1:4" x14ac:dyDescent="0.2">
      <c r="A279" s="10">
        <v>41883</v>
      </c>
      <c r="B279" s="15">
        <f>VLOOKUP(A279,Database!A:Q,MATCH($A$1,Database!$A$1:$Q$1,),)</f>
        <v>39185</v>
      </c>
      <c r="C279" s="12">
        <f t="shared" si="8"/>
        <v>5.3880692751763952E-3</v>
      </c>
      <c r="D279" s="13">
        <f t="shared" si="9"/>
        <v>9.8788626549268135E-2</v>
      </c>
    </row>
    <row r="280" spans="1:4" x14ac:dyDescent="0.2">
      <c r="A280" s="11">
        <v>41913</v>
      </c>
      <c r="B280" s="15">
        <f>VLOOKUP(A280,Database!A:Q,MATCH($A$1,Database!$A$1:$Q$1,),)</f>
        <v>39547</v>
      </c>
      <c r="C280" s="12">
        <f t="shared" si="8"/>
        <v>9.2382289141253026E-3</v>
      </c>
      <c r="D280" s="13">
        <f t="shared" si="9"/>
        <v>0.10915720095358294</v>
      </c>
    </row>
    <row r="281" spans="1:4" x14ac:dyDescent="0.2">
      <c r="A281" s="10">
        <v>41944</v>
      </c>
      <c r="B281" s="15">
        <f>VLOOKUP(A281,Database!A:Q,MATCH($A$1,Database!$A$1:$Q$1,),)</f>
        <v>39811</v>
      </c>
      <c r="C281" s="12">
        <f t="shared" si="8"/>
        <v>6.6756011834020277E-3</v>
      </c>
      <c r="D281" s="13">
        <f t="shared" si="9"/>
        <v>8.9458705051721307E-2</v>
      </c>
    </row>
    <row r="282" spans="1:4" x14ac:dyDescent="0.2">
      <c r="A282" s="11">
        <v>41974</v>
      </c>
      <c r="B282" s="15">
        <f>VLOOKUP(A282,Database!A:Q,MATCH($A$1,Database!$A$1:$Q$1,),)</f>
        <v>39845</v>
      </c>
      <c r="C282" s="12">
        <f t="shared" si="8"/>
        <v>8.5403531687222123E-4</v>
      </c>
      <c r="D282" s="13">
        <f t="shared" si="9"/>
        <v>6.7400680436122046E-2</v>
      </c>
    </row>
    <row r="283" spans="1:4" x14ac:dyDescent="0.2">
      <c r="A283" s="10">
        <v>42005</v>
      </c>
      <c r="B283" s="15">
        <f>VLOOKUP(A283,Database!A:Q,MATCH($A$1,Database!$A$1:$Q$1,),)</f>
        <v>39923</v>
      </c>
      <c r="C283" s="12">
        <f t="shared" si="8"/>
        <v>1.9575856443719412E-3</v>
      </c>
      <c r="D283" s="13">
        <f t="shared" si="9"/>
        <v>9.3960651065928644E-2</v>
      </c>
    </row>
    <row r="284" spans="1:4" x14ac:dyDescent="0.2">
      <c r="A284" s="11">
        <v>42036</v>
      </c>
      <c r="B284" s="15">
        <f>VLOOKUP(A284,Database!A:Q,MATCH($A$1,Database!$A$1:$Q$1,),)</f>
        <v>40821</v>
      </c>
      <c r="C284" s="12">
        <f t="shared" si="8"/>
        <v>2.2493299601733338E-2</v>
      </c>
      <c r="D284" s="13">
        <f t="shared" si="9"/>
        <v>9.6690129493310406E-2</v>
      </c>
    </row>
    <row r="285" spans="1:4" x14ac:dyDescent="0.2">
      <c r="A285" s="10">
        <v>42064</v>
      </c>
      <c r="B285" s="15">
        <f>VLOOKUP(A285,Database!A:Q,MATCH($A$1,Database!$A$1:$Q$1,),)</f>
        <v>40614</v>
      </c>
      <c r="C285" s="12">
        <f t="shared" si="8"/>
        <v>-5.0709193797310211E-3</v>
      </c>
      <c r="D285" s="13">
        <f t="shared" si="9"/>
        <v>7.7809033490791366E-2</v>
      </c>
    </row>
    <row r="286" spans="1:4" x14ac:dyDescent="0.2">
      <c r="A286" s="11">
        <v>42095</v>
      </c>
      <c r="B286" s="15">
        <f>VLOOKUP(A286,Database!A:Q,MATCH($A$1,Database!$A$1:$Q$1,),)</f>
        <v>40977</v>
      </c>
      <c r="C286" s="12">
        <f t="shared" si="8"/>
        <v>8.9378046978874272E-3</v>
      </c>
      <c r="D286" s="13">
        <f t="shared" si="9"/>
        <v>8.2730011097606082E-2</v>
      </c>
    </row>
    <row r="287" spans="1:4" x14ac:dyDescent="0.2">
      <c r="A287" s="10">
        <v>42125</v>
      </c>
      <c r="B287" s="15">
        <f>VLOOKUP(A287,Database!A:Q,MATCH($A$1,Database!$A$1:$Q$1,),)</f>
        <v>40687</v>
      </c>
      <c r="C287" s="12">
        <f t="shared" si="8"/>
        <v>-7.0771408351026181E-3</v>
      </c>
      <c r="D287" s="13">
        <f t="shared" si="9"/>
        <v>7.1979976287709135E-2</v>
      </c>
    </row>
    <row r="288" spans="1:4" x14ac:dyDescent="0.2">
      <c r="A288" s="11">
        <v>42156</v>
      </c>
      <c r="B288" s="15">
        <f>VLOOKUP(A288,Database!A:Q,MATCH($A$1,Database!$A$1:$Q$1,),)</f>
        <v>40957</v>
      </c>
      <c r="C288" s="12">
        <f t="shared" si="8"/>
        <v>6.6360262491704965E-3</v>
      </c>
      <c r="D288" s="13">
        <f t="shared" si="9"/>
        <v>6.2190409502321117E-2</v>
      </c>
    </row>
    <row r="289" spans="1:4" x14ac:dyDescent="0.2">
      <c r="A289" s="10">
        <v>42186</v>
      </c>
      <c r="B289" s="15">
        <f>VLOOKUP(A289,Database!A:Q,MATCH($A$1,Database!$A$1:$Q$1,),)</f>
        <v>41636</v>
      </c>
      <c r="C289" s="12">
        <f t="shared" si="8"/>
        <v>1.6578362673047343E-2</v>
      </c>
      <c r="D289" s="13">
        <f t="shared" si="9"/>
        <v>7.7229567152208217E-2</v>
      </c>
    </row>
    <row r="290" spans="1:4" x14ac:dyDescent="0.2">
      <c r="A290" s="11">
        <v>42217</v>
      </c>
      <c r="B290" s="15">
        <f>VLOOKUP(A290,Database!A:Q,MATCH($A$1,Database!$A$1:$Q$1,),)</f>
        <v>41527</v>
      </c>
      <c r="C290" s="12">
        <f t="shared" si="8"/>
        <v>-2.6179267941204725E-3</v>
      </c>
      <c r="D290" s="13">
        <f t="shared" si="9"/>
        <v>6.5477870429762663E-2</v>
      </c>
    </row>
    <row r="291" spans="1:4" x14ac:dyDescent="0.2">
      <c r="A291" s="10">
        <v>42248</v>
      </c>
      <c r="B291" s="15">
        <f>VLOOKUP(A291,Database!A:Q,MATCH($A$1,Database!$A$1:$Q$1,),)</f>
        <v>42038</v>
      </c>
      <c r="C291" s="12">
        <f t="shared" si="8"/>
        <v>1.2305247188576108E-2</v>
      </c>
      <c r="D291" s="13">
        <f t="shared" si="9"/>
        <v>7.2808472629832838E-2</v>
      </c>
    </row>
    <row r="292" spans="1:4" x14ac:dyDescent="0.2">
      <c r="A292" s="11">
        <v>42278</v>
      </c>
      <c r="B292" s="15">
        <f>VLOOKUP(A292,Database!A:Q,MATCH($A$1,Database!$A$1:$Q$1,),)</f>
        <v>42287</v>
      </c>
      <c r="C292" s="12">
        <f t="shared" si="8"/>
        <v>5.9232123316998904E-3</v>
      </c>
      <c r="D292" s="13">
        <f t="shared" si="9"/>
        <v>6.9284648645914992E-2</v>
      </c>
    </row>
    <row r="293" spans="1:4" x14ac:dyDescent="0.2">
      <c r="A293" s="10">
        <v>42309</v>
      </c>
      <c r="B293" s="15">
        <f>VLOOKUP(A293,Database!A:Q,MATCH($A$1,Database!$A$1:$Q$1,),)</f>
        <v>42112</v>
      </c>
      <c r="C293" s="12">
        <f t="shared" si="8"/>
        <v>-4.1383876841582521E-3</v>
      </c>
      <c r="D293" s="13">
        <f t="shared" si="9"/>
        <v>5.7798096003617093E-2</v>
      </c>
    </row>
    <row r="294" spans="1:4" x14ac:dyDescent="0.2">
      <c r="A294" s="11">
        <v>42339</v>
      </c>
      <c r="B294" s="15">
        <f>VLOOKUP(A294,Database!A:Q,MATCH($A$1,Database!$A$1:$Q$1,),)</f>
        <v>42614</v>
      </c>
      <c r="C294" s="12">
        <f t="shared" si="8"/>
        <v>1.1920592705167174E-2</v>
      </c>
      <c r="D294" s="13">
        <f t="shared" si="9"/>
        <v>6.949429037520391E-2</v>
      </c>
    </row>
    <row r="295" spans="1:4" x14ac:dyDescent="0.2">
      <c r="A295" s="10">
        <v>42370</v>
      </c>
      <c r="B295" s="15">
        <f>VLOOKUP(A295,Database!A:Q,MATCH($A$1,Database!$A$1:$Q$1,),)</f>
        <v>43126</v>
      </c>
      <c r="C295" s="12">
        <f t="shared" si="8"/>
        <v>1.2014830806777116E-2</v>
      </c>
      <c r="D295" s="13">
        <f t="shared" si="9"/>
        <v>8.0229441675224805E-2</v>
      </c>
    </row>
    <row r="296" spans="1:4" x14ac:dyDescent="0.2">
      <c r="A296" s="11">
        <v>42401</v>
      </c>
      <c r="B296" s="15">
        <f>VLOOKUP(A296,Database!A:Q,MATCH($A$1,Database!$A$1:$Q$1,),)</f>
        <v>43429</v>
      </c>
      <c r="C296" s="12">
        <f t="shared" si="8"/>
        <v>7.0259240365440805E-3</v>
      </c>
      <c r="D296" s="13">
        <f t="shared" si="9"/>
        <v>6.3888684745596627E-2</v>
      </c>
    </row>
    <row r="297" spans="1:4" x14ac:dyDescent="0.2">
      <c r="A297" s="10">
        <v>42430</v>
      </c>
      <c r="B297" s="15">
        <f>VLOOKUP(A297,Database!A:Q,MATCH($A$1,Database!$A$1:$Q$1,),)</f>
        <v>43585</v>
      </c>
      <c r="C297" s="12">
        <f t="shared" si="8"/>
        <v>3.592069815100509E-3</v>
      </c>
      <c r="D297" s="13">
        <f t="shared" si="9"/>
        <v>7.3152115034224655E-2</v>
      </c>
    </row>
    <row r="298" spans="1:4" x14ac:dyDescent="0.2">
      <c r="A298" s="11">
        <v>42461</v>
      </c>
      <c r="B298" s="15">
        <f>VLOOKUP(A298,Database!A:Q,MATCH($A$1,Database!$A$1:$Q$1,),)</f>
        <v>43979</v>
      </c>
      <c r="C298" s="12">
        <f t="shared" si="8"/>
        <v>9.0398072731444311E-3</v>
      </c>
      <c r="D298" s="13">
        <f t="shared" si="9"/>
        <v>7.3260609610269173E-2</v>
      </c>
    </row>
    <row r="299" spans="1:4" x14ac:dyDescent="0.2">
      <c r="A299" s="10">
        <v>42491</v>
      </c>
      <c r="B299" s="15">
        <f>VLOOKUP(A299,Database!A:Q,MATCH($A$1,Database!$A$1:$Q$1,),)</f>
        <v>44826</v>
      </c>
      <c r="C299" s="12">
        <f t="shared" si="8"/>
        <v>1.9259191887036994E-2</v>
      </c>
      <c r="D299" s="13">
        <f t="shared" si="9"/>
        <v>0.10172782461228402</v>
      </c>
    </row>
    <row r="300" spans="1:4" x14ac:dyDescent="0.2">
      <c r="A300" s="11">
        <v>42522</v>
      </c>
      <c r="B300" s="15">
        <f>VLOOKUP(A300,Database!A:Q,MATCH($A$1,Database!$A$1:$Q$1,),)</f>
        <v>45352</v>
      </c>
      <c r="C300" s="12">
        <f t="shared" si="8"/>
        <v>1.1734261366171419E-2</v>
      </c>
      <c r="D300" s="13">
        <f t="shared" si="9"/>
        <v>0.1073076641355568</v>
      </c>
    </row>
    <row r="301" spans="1:4" x14ac:dyDescent="0.2">
      <c r="A301" s="10">
        <v>42552</v>
      </c>
      <c r="B301" s="15">
        <f>VLOOKUP(A301,Database!A:Q,MATCH($A$1,Database!$A$1:$Q$1,),)</f>
        <v>45204</v>
      </c>
      <c r="C301" s="12">
        <f t="shared" si="8"/>
        <v>-3.2633621449991179E-3</v>
      </c>
      <c r="D301" s="13">
        <f t="shared" si="9"/>
        <v>8.5695071572677486E-2</v>
      </c>
    </row>
    <row r="302" spans="1:4" x14ac:dyDescent="0.2">
      <c r="A302" s="11">
        <v>42583</v>
      </c>
      <c r="B302" s="15">
        <f>VLOOKUP(A302,Database!A:Q,MATCH($A$1,Database!$A$1:$Q$1,),)</f>
        <v>45596</v>
      </c>
      <c r="C302" s="12">
        <f t="shared" si="8"/>
        <v>8.6717989558446149E-3</v>
      </c>
      <c r="D302" s="13">
        <f t="shared" si="9"/>
        <v>9.7984443855804654E-2</v>
      </c>
    </row>
    <row r="303" spans="1:4" x14ac:dyDescent="0.2">
      <c r="A303" s="10">
        <v>42614</v>
      </c>
      <c r="B303" s="15">
        <f>VLOOKUP(A303,Database!A:Q,MATCH($A$1,Database!$A$1:$Q$1,),)</f>
        <v>45978</v>
      </c>
      <c r="C303" s="12">
        <f t="shared" si="8"/>
        <v>8.377927888411265E-3</v>
      </c>
      <c r="D303" s="13">
        <f t="shared" si="9"/>
        <v>9.372472524858462E-2</v>
      </c>
    </row>
    <row r="304" spans="1:4" x14ac:dyDescent="0.2">
      <c r="A304" s="11">
        <v>42644</v>
      </c>
      <c r="B304" s="15">
        <f>VLOOKUP(A304,Database!A:Q,MATCH($A$1,Database!$A$1:$Q$1,),)</f>
        <v>46397</v>
      </c>
      <c r="C304" s="12">
        <f t="shared" si="8"/>
        <v>9.1130540693375086E-3</v>
      </c>
      <c r="D304" s="13">
        <f t="shared" si="9"/>
        <v>9.7192990753659517E-2</v>
      </c>
    </row>
    <row r="305" spans="1:4" x14ac:dyDescent="0.2">
      <c r="A305" s="10">
        <v>42675</v>
      </c>
      <c r="B305" s="15">
        <f>VLOOKUP(A305,Database!A:Q,MATCH($A$1,Database!$A$1:$Q$1,),)</f>
        <v>46452</v>
      </c>
      <c r="C305" s="12">
        <f t="shared" si="8"/>
        <v>1.1854214712158115E-3</v>
      </c>
      <c r="D305" s="13">
        <f t="shared" si="9"/>
        <v>0.10305851063829788</v>
      </c>
    </row>
    <row r="306" spans="1:4" x14ac:dyDescent="0.2">
      <c r="A306" s="11">
        <v>42705</v>
      </c>
      <c r="B306" s="15">
        <f>VLOOKUP(A306,Database!A:Q,MATCH($A$1,Database!$A$1:$Q$1,),)</f>
        <v>48167</v>
      </c>
      <c r="C306" s="12">
        <f t="shared" si="8"/>
        <v>3.6919831223628692E-2</v>
      </c>
      <c r="D306" s="13">
        <f t="shared" si="9"/>
        <v>0.13030928802740882</v>
      </c>
    </row>
    <row r="307" spans="1:4" x14ac:dyDescent="0.2">
      <c r="A307" s="10">
        <v>42736</v>
      </c>
      <c r="B307" s="15">
        <f>VLOOKUP(A307,Database!A:Q,MATCH($A$1,Database!$A$1:$Q$1,),)</f>
        <v>48082</v>
      </c>
      <c r="C307" s="12">
        <f t="shared" si="8"/>
        <v>-1.7646936699400005E-3</v>
      </c>
      <c r="D307" s="13">
        <f t="shared" si="9"/>
        <v>0.11491907434030516</v>
      </c>
    </row>
    <row r="308" spans="1:4" x14ac:dyDescent="0.2">
      <c r="A308" s="11">
        <v>42767</v>
      </c>
      <c r="B308" s="15">
        <f>VLOOKUP(A308,Database!A:Q,MATCH($A$1,Database!$A$1:$Q$1,),)</f>
        <v>48270</v>
      </c>
      <c r="C308" s="12">
        <f t="shared" si="8"/>
        <v>3.9099871053616736E-3</v>
      </c>
      <c r="D308" s="13">
        <f t="shared" si="9"/>
        <v>0.11146929471090745</v>
      </c>
    </row>
    <row r="309" spans="1:4" x14ac:dyDescent="0.2">
      <c r="A309" s="10">
        <v>42795</v>
      </c>
      <c r="B309" s="15">
        <f>VLOOKUP(A309,Database!A:Q,MATCH($A$1,Database!$A$1:$Q$1,),)</f>
        <v>48919</v>
      </c>
      <c r="C309" s="12">
        <f t="shared" si="8"/>
        <v>1.3445204060493059E-2</v>
      </c>
      <c r="D309" s="13">
        <f t="shared" si="9"/>
        <v>0.1223815532866812</v>
      </c>
    </row>
    <row r="310" spans="1:4" x14ac:dyDescent="0.2">
      <c r="A310" s="11">
        <v>42826</v>
      </c>
      <c r="B310" s="15">
        <f>VLOOKUP(A310,Database!A:Q,MATCH($A$1,Database!$A$1:$Q$1,),)</f>
        <v>49435</v>
      </c>
      <c r="C310" s="12">
        <f t="shared" si="8"/>
        <v>1.0548048815388704E-2</v>
      </c>
      <c r="D310" s="13">
        <f t="shared" si="9"/>
        <v>0.12405921007753701</v>
      </c>
    </row>
    <row r="311" spans="1:4" x14ac:dyDescent="0.2">
      <c r="A311" s="10">
        <v>42856</v>
      </c>
      <c r="B311" s="15">
        <f>VLOOKUP(A311,Database!A:Q,MATCH($A$1,Database!$A$1:$Q$1,),)</f>
        <v>49924</v>
      </c>
      <c r="C311" s="12">
        <f t="shared" si="8"/>
        <v>9.8917770810154747E-3</v>
      </c>
      <c r="D311" s="13">
        <f t="shared" si="9"/>
        <v>0.11372863962878686</v>
      </c>
    </row>
    <row r="312" spans="1:4" x14ac:dyDescent="0.2">
      <c r="A312" s="11">
        <v>42887</v>
      </c>
      <c r="B312" s="15">
        <f>VLOOKUP(A312,Database!A:Q,MATCH($A$1,Database!$A$1:$Q$1,),)</f>
        <v>50255</v>
      </c>
      <c r="C312" s="12">
        <f t="shared" si="8"/>
        <v>6.6300777181315601E-3</v>
      </c>
      <c r="D312" s="13">
        <f t="shared" si="9"/>
        <v>0.10810989592520727</v>
      </c>
    </row>
    <row r="313" spans="1:4" x14ac:dyDescent="0.2">
      <c r="A313" s="10">
        <v>42917</v>
      </c>
      <c r="B313" s="15">
        <f>VLOOKUP(A313,Database!A:Q,MATCH($A$1,Database!$A$1:$Q$1,),)</f>
        <v>50606</v>
      </c>
      <c r="C313" s="12">
        <f t="shared" si="8"/>
        <v>6.9843796637150532E-3</v>
      </c>
      <c r="D313" s="13">
        <f t="shared" si="9"/>
        <v>0.11950269887620564</v>
      </c>
    </row>
    <row r="314" spans="1:4" x14ac:dyDescent="0.2">
      <c r="A314" s="11">
        <v>42948</v>
      </c>
      <c r="B314" s="15">
        <f>VLOOKUP(A314,Database!A:Q,MATCH($A$1,Database!$A$1:$Q$1,),)</f>
        <v>50947</v>
      </c>
      <c r="C314" s="12">
        <f t="shared" si="8"/>
        <v>6.7383314231514047E-3</v>
      </c>
      <c r="D314" s="13">
        <f t="shared" si="9"/>
        <v>0.11735678568295464</v>
      </c>
    </row>
    <row r="315" spans="1:4" x14ac:dyDescent="0.2">
      <c r="A315" s="10">
        <v>42979</v>
      </c>
      <c r="B315" s="15">
        <f>VLOOKUP(A315,Database!A:Q,MATCH($A$1,Database!$A$1:$Q$1,),)</f>
        <v>51433</v>
      </c>
      <c r="C315" s="12">
        <f t="shared" si="8"/>
        <v>9.5393251810705244E-3</v>
      </c>
      <c r="D315" s="13">
        <f t="shared" si="9"/>
        <v>0.11864369916046805</v>
      </c>
    </row>
    <row r="316" spans="1:4" x14ac:dyDescent="0.2">
      <c r="A316" s="11">
        <v>43009</v>
      </c>
      <c r="B316" s="15">
        <f>VLOOKUP(A316,Database!A:Q,MATCH($A$1,Database!$A$1:$Q$1,),)</f>
        <v>50938</v>
      </c>
      <c r="C316" s="12">
        <f t="shared" si="8"/>
        <v>-9.6241712519199735E-3</v>
      </c>
      <c r="D316" s="13">
        <f t="shared" si="9"/>
        <v>9.7872707287109076E-2</v>
      </c>
    </row>
    <row r="317" spans="1:4" x14ac:dyDescent="0.2">
      <c r="A317" s="10">
        <v>43040</v>
      </c>
      <c r="B317" s="15">
        <f>VLOOKUP(A317,Database!A:Q,MATCH($A$1,Database!$A$1:$Q$1,),)</f>
        <v>53336</v>
      </c>
      <c r="C317" s="12">
        <f t="shared" si="8"/>
        <v>4.707683850956064E-2</v>
      </c>
      <c r="D317" s="13">
        <f t="shared" si="9"/>
        <v>0.14819598725566177</v>
      </c>
    </row>
    <row r="318" spans="1:4" x14ac:dyDescent="0.2">
      <c r="A318" s="11">
        <v>43070</v>
      </c>
      <c r="B318" s="15">
        <f>VLOOKUP(A318,Database!A:Q,MATCH($A$1,Database!$A$1:$Q$1,),)</f>
        <v>55188</v>
      </c>
      <c r="C318" s="12">
        <f t="shared" si="8"/>
        <v>3.4723263836808162E-2</v>
      </c>
      <c r="D318" s="13">
        <f t="shared" si="9"/>
        <v>0.14576369713704404</v>
      </c>
    </row>
    <row r="319" spans="1:4" x14ac:dyDescent="0.2">
      <c r="A319" s="10">
        <v>43101</v>
      </c>
      <c r="B319" s="15">
        <f>VLOOKUP(A319,Database!A:Q,MATCH($A$1,Database!$A$1:$Q$1,),)</f>
        <v>54273</v>
      </c>
      <c r="C319" s="12">
        <f t="shared" si="8"/>
        <v>-1.6579691237225483E-2</v>
      </c>
      <c r="D319" s="13">
        <f t="shared" si="9"/>
        <v>0.12875920302816021</v>
      </c>
    </row>
    <row r="320" spans="1:4" x14ac:dyDescent="0.2">
      <c r="A320" s="11">
        <v>43132</v>
      </c>
      <c r="B320" s="15">
        <f>VLOOKUP(A320,Database!A:Q,MATCH($A$1,Database!$A$1:$Q$1,),)</f>
        <v>54595</v>
      </c>
      <c r="C320" s="12">
        <f t="shared" si="8"/>
        <v>5.9329685110460079E-3</v>
      </c>
      <c r="D320" s="13">
        <f t="shared" si="9"/>
        <v>0.13103376838616118</v>
      </c>
    </row>
    <row r="321" spans="1:4" x14ac:dyDescent="0.2">
      <c r="A321" s="10">
        <v>43160</v>
      </c>
      <c r="B321" s="15">
        <f>VLOOKUP(A321,Database!A:Q,MATCH($A$1,Database!$A$1:$Q$1,),)</f>
        <v>55486</v>
      </c>
      <c r="C321" s="12">
        <f t="shared" si="8"/>
        <v>1.6320175840278412E-2</v>
      </c>
      <c r="D321" s="13">
        <f t="shared" si="9"/>
        <v>0.13424231893538299</v>
      </c>
    </row>
    <row r="322" spans="1:4" x14ac:dyDescent="0.2">
      <c r="A322" s="11">
        <v>43191</v>
      </c>
      <c r="B322" s="15">
        <f>VLOOKUP(A322,Database!A:Q,MATCH($A$1,Database!$A$1:$Q$1,),)</f>
        <v>55831</v>
      </c>
      <c r="C322" s="12">
        <f t="shared" si="8"/>
        <v>6.2177846664023357E-3</v>
      </c>
      <c r="D322" s="13">
        <f t="shared" si="9"/>
        <v>0.12938201678972389</v>
      </c>
    </row>
    <row r="323" spans="1:4" x14ac:dyDescent="0.2">
      <c r="A323" s="10">
        <v>43221</v>
      </c>
      <c r="B323" s="15">
        <f>VLOOKUP(A323,Database!A:Q,MATCH($A$1,Database!$A$1:$Q$1,),)</f>
        <v>55791</v>
      </c>
      <c r="C323" s="12">
        <f t="shared" si="8"/>
        <v>-7.1644785155200517E-4</v>
      </c>
      <c r="D323" s="13">
        <f t="shared" si="9"/>
        <v>0.11751862831503886</v>
      </c>
    </row>
    <row r="324" spans="1:4" x14ac:dyDescent="0.2">
      <c r="A324" s="11">
        <v>43252</v>
      </c>
      <c r="B324" s="15">
        <f>VLOOKUP(A324,Database!A:Q,MATCH($A$1,Database!$A$1:$Q$1,),)</f>
        <v>55728</v>
      </c>
      <c r="C324" s="12">
        <f t="shared" si="8"/>
        <v>-1.129214389417648E-3</v>
      </c>
      <c r="D324" s="13">
        <f t="shared" si="9"/>
        <v>0.10890458660829769</v>
      </c>
    </row>
    <row r="325" spans="1:4" x14ac:dyDescent="0.2">
      <c r="A325" s="10">
        <v>43282</v>
      </c>
      <c r="B325" s="15">
        <f>VLOOKUP(A325,Database!A:Q,MATCH($A$1,Database!$A$1:$Q$1,),)</f>
        <v>56803</v>
      </c>
      <c r="C325" s="12">
        <f t="shared" si="8"/>
        <v>1.9290123456790122E-2</v>
      </c>
      <c r="D325" s="13">
        <f t="shared" si="9"/>
        <v>0.12245583527644943</v>
      </c>
    </row>
    <row r="326" spans="1:4" x14ac:dyDescent="0.2">
      <c r="A326" s="11">
        <v>43313</v>
      </c>
      <c r="B326" s="15">
        <f>VLOOKUP(A326,Database!A:Q,MATCH($A$1,Database!$A$1:$Q$1,),)</f>
        <v>57127</v>
      </c>
      <c r="C326" s="12">
        <f t="shared" si="8"/>
        <v>5.703924088516452E-3</v>
      </c>
      <c r="D326" s="13">
        <f t="shared" si="9"/>
        <v>0.12130253008027951</v>
      </c>
    </row>
    <row r="327" spans="1:4" x14ac:dyDescent="0.2">
      <c r="A327" s="10">
        <v>43344</v>
      </c>
      <c r="B327" s="15">
        <f>VLOOKUP(A327,Database!A:Q,MATCH($A$1,Database!$A$1:$Q$1,),)</f>
        <v>57839</v>
      </c>
      <c r="C327" s="12">
        <f t="shared" si="8"/>
        <v>1.246345860976421E-2</v>
      </c>
      <c r="D327" s="13">
        <f t="shared" si="9"/>
        <v>0.12455038593898858</v>
      </c>
    </row>
    <row r="328" spans="1:4" x14ac:dyDescent="0.2">
      <c r="A328" s="11">
        <v>43374</v>
      </c>
      <c r="B328" s="15">
        <f>VLOOKUP(A328,Database!A:Q,MATCH($A$1,Database!$A$1:$Q$1,),)</f>
        <v>58059</v>
      </c>
      <c r="C328" s="12">
        <f t="shared" ref="C328:C391" si="10">(B328-B327)/B327</f>
        <v>3.8036618890368089E-3</v>
      </c>
      <c r="D328" s="13">
        <f t="shared" si="9"/>
        <v>0.13979740076171032</v>
      </c>
    </row>
    <row r="329" spans="1:4" x14ac:dyDescent="0.2">
      <c r="A329" s="10">
        <v>43405</v>
      </c>
      <c r="B329" s="15">
        <f>VLOOKUP(A329,Database!A:Q,MATCH($A$1,Database!$A$1:$Q$1,),)</f>
        <v>59497</v>
      </c>
      <c r="C329" s="12">
        <f t="shared" si="10"/>
        <v>2.4767908506863709E-2</v>
      </c>
      <c r="D329" s="13">
        <f t="shared" si="9"/>
        <v>0.11551297435128244</v>
      </c>
    </row>
    <row r="330" spans="1:4" x14ac:dyDescent="0.2">
      <c r="A330" s="11">
        <v>43435</v>
      </c>
      <c r="B330" s="15">
        <f>VLOOKUP(A330,Database!A:Q,MATCH($A$1,Database!$A$1:$Q$1,),)</f>
        <v>55333</v>
      </c>
      <c r="C330" s="12">
        <f t="shared" si="10"/>
        <v>-6.998672201959763E-2</v>
      </c>
      <c r="D330" s="13">
        <f t="shared" si="9"/>
        <v>2.6273827643690656E-3</v>
      </c>
    </row>
    <row r="331" spans="1:4" x14ac:dyDescent="0.2">
      <c r="A331" s="10">
        <v>43466</v>
      </c>
      <c r="B331" s="15">
        <f>VLOOKUP(A331,Database!A:Q,MATCH($A$1,Database!$A$1:$Q$1,),)</f>
        <v>59084</v>
      </c>
      <c r="C331" s="12">
        <f t="shared" si="10"/>
        <v>6.7789564997379509E-2</v>
      </c>
      <c r="D331" s="13">
        <f t="shared" si="9"/>
        <v>8.8644445672802316E-2</v>
      </c>
    </row>
    <row r="332" spans="1:4" x14ac:dyDescent="0.2">
      <c r="A332" s="11">
        <v>43497</v>
      </c>
      <c r="B332" s="15">
        <f>VLOOKUP(A332,Database!A:Q,MATCH($A$1,Database!$A$1:$Q$1,),)</f>
        <v>59819</v>
      </c>
      <c r="C332" s="12">
        <f t="shared" si="10"/>
        <v>1.243991605172297E-2</v>
      </c>
      <c r="D332" s="13">
        <f t="shared" si="9"/>
        <v>9.5686418170162102E-2</v>
      </c>
    </row>
    <row r="333" spans="1:4" x14ac:dyDescent="0.2">
      <c r="A333" s="10">
        <v>43525</v>
      </c>
      <c r="B333" s="15">
        <f>VLOOKUP(A333,Database!A:Q,MATCH($A$1,Database!$A$1:$Q$1,),)</f>
        <v>60006</v>
      </c>
      <c r="C333" s="12">
        <f t="shared" si="10"/>
        <v>3.1260970594627125E-3</v>
      </c>
      <c r="D333" s="13">
        <f t="shared" si="9"/>
        <v>8.1461990411995824E-2</v>
      </c>
    </row>
    <row r="334" spans="1:4" x14ac:dyDescent="0.2">
      <c r="A334" s="11">
        <v>43556</v>
      </c>
      <c r="B334" s="15">
        <f>VLOOKUP(A334,Database!A:Q,MATCH($A$1,Database!$A$1:$Q$1,),)</f>
        <v>59864</v>
      </c>
      <c r="C334" s="12">
        <f t="shared" si="10"/>
        <v>-2.3664300236643002E-3</v>
      </c>
      <c r="D334" s="13">
        <f t="shared" si="9"/>
        <v>7.2235854632730925E-2</v>
      </c>
    </row>
    <row r="335" spans="1:4" x14ac:dyDescent="0.2">
      <c r="A335" s="10">
        <v>43586</v>
      </c>
      <c r="B335" s="15">
        <f>VLOOKUP(A335,Database!A:Q,MATCH($A$1,Database!$A$1:$Q$1,),)</f>
        <v>61676</v>
      </c>
      <c r="C335" s="12">
        <f t="shared" si="10"/>
        <v>3.0268608846719232E-2</v>
      </c>
      <c r="D335" s="13">
        <f t="shared" si="9"/>
        <v>0.10548296320195014</v>
      </c>
    </row>
    <row r="336" spans="1:4" x14ac:dyDescent="0.2">
      <c r="A336" s="11">
        <v>43617</v>
      </c>
      <c r="B336" s="15">
        <f>VLOOKUP(A336,Database!A:Q,MATCH($A$1,Database!$A$1:$Q$1,),)</f>
        <v>62748</v>
      </c>
      <c r="C336" s="12">
        <f t="shared" si="10"/>
        <v>1.7381153122770606E-2</v>
      </c>
      <c r="D336" s="13">
        <f t="shared" si="9"/>
        <v>0.12596899224806202</v>
      </c>
    </row>
    <row r="337" spans="1:4" x14ac:dyDescent="0.2">
      <c r="A337" s="10">
        <v>43647</v>
      </c>
      <c r="B337" s="15">
        <f>VLOOKUP(A337,Database!A:Q,MATCH($A$1,Database!$A$1:$Q$1,),)</f>
        <v>63746</v>
      </c>
      <c r="C337" s="12">
        <f t="shared" si="10"/>
        <v>1.5904889398865304E-2</v>
      </c>
      <c r="D337" s="13">
        <f t="shared" si="9"/>
        <v>0.12222945971163494</v>
      </c>
    </row>
    <row r="338" spans="1:4" x14ac:dyDescent="0.2">
      <c r="A338" s="11">
        <v>43678</v>
      </c>
      <c r="B338" s="15">
        <f>VLOOKUP(A338,Database!A:Q,MATCH($A$1,Database!$A$1:$Q$1,),)</f>
        <v>63727</v>
      </c>
      <c r="C338" s="12">
        <f t="shared" si="10"/>
        <v>-2.980579173595206E-4</v>
      </c>
      <c r="D338" s="13">
        <f t="shared" si="9"/>
        <v>0.11553206014669071</v>
      </c>
    </row>
    <row r="339" spans="1:4" x14ac:dyDescent="0.2">
      <c r="A339" s="10">
        <v>43709</v>
      </c>
      <c r="B339" s="15">
        <f>VLOOKUP(A339,Database!A:Q,MATCH($A$1,Database!$A$1:$Q$1,),)</f>
        <v>63995</v>
      </c>
      <c r="C339" s="12">
        <f t="shared" si="10"/>
        <v>4.205438824987839E-3</v>
      </c>
      <c r="D339" s="13">
        <f t="shared" ref="D339:D402" si="11">(B339-B327)/B327</f>
        <v>0.10643337540413908</v>
      </c>
    </row>
    <row r="340" spans="1:4" x14ac:dyDescent="0.2">
      <c r="A340" s="11">
        <v>43739</v>
      </c>
      <c r="B340" s="15">
        <f>VLOOKUP(A340,Database!A:Q,MATCH($A$1,Database!$A$1:$Q$1,),)</f>
        <v>64346</v>
      </c>
      <c r="C340" s="12">
        <f t="shared" si="10"/>
        <v>5.4848035002734588E-3</v>
      </c>
      <c r="D340" s="13">
        <f t="shared" si="11"/>
        <v>0.10828639831895141</v>
      </c>
    </row>
    <row r="341" spans="1:4" x14ac:dyDescent="0.2">
      <c r="A341" s="10">
        <v>43770</v>
      </c>
      <c r="B341" s="15">
        <f>VLOOKUP(A341,Database!A:Q,MATCH($A$1,Database!$A$1:$Q$1,),)</f>
        <v>64466</v>
      </c>
      <c r="C341" s="12">
        <f t="shared" si="10"/>
        <v>1.8649177882075032E-3</v>
      </c>
      <c r="D341" s="13">
        <f t="shared" si="11"/>
        <v>8.3516815973914652E-2</v>
      </c>
    </row>
    <row r="342" spans="1:4" x14ac:dyDescent="0.2">
      <c r="A342" s="11">
        <v>43800</v>
      </c>
      <c r="B342" s="15">
        <f>VLOOKUP(A342,Database!A:Q,MATCH($A$1,Database!$A$1:$Q$1,),)</f>
        <v>66026</v>
      </c>
      <c r="C342" s="12">
        <f t="shared" si="10"/>
        <v>2.4198802469518815E-2</v>
      </c>
      <c r="D342" s="13">
        <f t="shared" si="11"/>
        <v>0.19324815209730178</v>
      </c>
    </row>
    <row r="343" spans="1:4" x14ac:dyDescent="0.2">
      <c r="A343" s="10">
        <v>43831</v>
      </c>
      <c r="B343" s="15">
        <f>VLOOKUP(A343,Database!A:Q,MATCH($A$1,Database!$A$1:$Q$1,),)</f>
        <v>64673</v>
      </c>
      <c r="C343" s="12">
        <f t="shared" si="10"/>
        <v>-2.0491927422530518E-2</v>
      </c>
      <c r="D343" s="13">
        <f t="shared" si="11"/>
        <v>9.4594137160652625E-2</v>
      </c>
    </row>
    <row r="344" spans="1:4" x14ac:dyDescent="0.2">
      <c r="A344" s="11">
        <v>43862</v>
      </c>
      <c r="B344" s="15">
        <f>VLOOKUP(A344,Database!A:Q,MATCH($A$1,Database!$A$1:$Q$1,),)</f>
        <v>66932</v>
      </c>
      <c r="C344" s="12">
        <f t="shared" si="10"/>
        <v>3.4929568753575682E-2</v>
      </c>
      <c r="D344" s="13">
        <f t="shared" si="11"/>
        <v>0.11890870793560575</v>
      </c>
    </row>
    <row r="345" spans="1:4" x14ac:dyDescent="0.2">
      <c r="A345" s="10">
        <v>43891</v>
      </c>
      <c r="B345" s="15">
        <f>VLOOKUP(A345,Database!A:Q,MATCH($A$1,Database!$A$1:$Q$1,),)</f>
        <v>71863</v>
      </c>
      <c r="C345" s="12">
        <f t="shared" si="10"/>
        <v>7.3671786290563562E-2</v>
      </c>
      <c r="D345" s="13">
        <f t="shared" si="11"/>
        <v>0.19759690697596907</v>
      </c>
    </row>
    <row r="346" spans="1:4" x14ac:dyDescent="0.2">
      <c r="A346" s="11">
        <v>43922</v>
      </c>
      <c r="B346" s="15">
        <f>VLOOKUP(A346,Database!A:Q,MATCH($A$1,Database!$A$1:$Q$1,),)</f>
        <v>76674</v>
      </c>
      <c r="C346" s="12">
        <f t="shared" si="10"/>
        <v>6.6946829383688414E-2</v>
      </c>
      <c r="D346" s="13">
        <f t="shared" si="11"/>
        <v>0.28080315381531473</v>
      </c>
    </row>
    <row r="347" spans="1:4" x14ac:dyDescent="0.2">
      <c r="A347" s="10">
        <v>43952</v>
      </c>
      <c r="B347" s="15">
        <f>VLOOKUP(A347,Database!A:Q,MATCH($A$1,Database!$A$1:$Q$1,),)</f>
        <v>84419</v>
      </c>
      <c r="C347" s="12">
        <f t="shared" si="10"/>
        <v>0.10101207710566815</v>
      </c>
      <c r="D347" s="13">
        <f t="shared" si="11"/>
        <v>0.36874959465594398</v>
      </c>
    </row>
    <row r="348" spans="1:4" x14ac:dyDescent="0.2">
      <c r="A348" s="11">
        <v>43983</v>
      </c>
      <c r="B348" s="15">
        <f>VLOOKUP(A348,Database!A:Q,MATCH($A$1,Database!$A$1:$Q$1,),)</f>
        <v>82753</v>
      </c>
      <c r="C348" s="12">
        <f t="shared" si="10"/>
        <v>-1.9734893803527644E-2</v>
      </c>
      <c r="D348" s="13">
        <f t="shared" si="11"/>
        <v>0.31881494230891821</v>
      </c>
    </row>
    <row r="349" spans="1:4" x14ac:dyDescent="0.2">
      <c r="A349" s="10">
        <v>44013</v>
      </c>
      <c r="B349" s="15">
        <f>VLOOKUP(A349,Database!A:Q,MATCH($A$1,Database!$A$1:$Q$1,),)</f>
        <v>87256</v>
      </c>
      <c r="C349" s="12">
        <f t="shared" si="10"/>
        <v>5.4414945681727549E-2</v>
      </c>
      <c r="D349" s="13">
        <f t="shared" si="11"/>
        <v>0.36880745458538577</v>
      </c>
    </row>
    <row r="350" spans="1:4" x14ac:dyDescent="0.2">
      <c r="A350" s="11">
        <v>44044</v>
      </c>
      <c r="B350" s="15">
        <f>VLOOKUP(A350,Database!A:Q,MATCH($A$1,Database!$A$1:$Q$1,),)</f>
        <v>87790</v>
      </c>
      <c r="C350" s="12">
        <f t="shared" si="10"/>
        <v>6.1199229852388374E-3</v>
      </c>
      <c r="D350" s="13">
        <f t="shared" si="11"/>
        <v>0.37759505390179987</v>
      </c>
    </row>
    <row r="351" spans="1:4" x14ac:dyDescent="0.2">
      <c r="A351" s="10">
        <v>44075</v>
      </c>
      <c r="B351" s="15">
        <f>VLOOKUP(A351,Database!A:Q,MATCH($A$1,Database!$A$1:$Q$1,),)</f>
        <v>88022</v>
      </c>
      <c r="C351" s="12">
        <f t="shared" si="10"/>
        <v>2.6426700079735734E-3</v>
      </c>
      <c r="D351" s="13">
        <f t="shared" si="11"/>
        <v>0.37545120712555669</v>
      </c>
    </row>
    <row r="352" spans="1:4" x14ac:dyDescent="0.2">
      <c r="A352" s="11">
        <v>44105</v>
      </c>
      <c r="B352" s="15">
        <f>VLOOKUP(A352,Database!A:Q,MATCH($A$1,Database!$A$1:$Q$1,),)</f>
        <v>88693</v>
      </c>
      <c r="C352" s="12">
        <f t="shared" si="10"/>
        <v>7.6230942264433887E-3</v>
      </c>
      <c r="D352" s="13">
        <f t="shared" si="11"/>
        <v>0.378376278245734</v>
      </c>
    </row>
    <row r="353" spans="1:4" x14ac:dyDescent="0.2">
      <c r="A353" s="10">
        <v>44136</v>
      </c>
      <c r="B353" s="15">
        <f>VLOOKUP(A353,Database!A:Q,MATCH($A$1,Database!$A$1:$Q$1,),)</f>
        <v>88465</v>
      </c>
      <c r="C353" s="12">
        <f t="shared" si="10"/>
        <v>-2.5706651032212239E-3</v>
      </c>
      <c r="D353" s="13">
        <f t="shared" si="11"/>
        <v>0.37227375670896284</v>
      </c>
    </row>
    <row r="354" spans="1:4" x14ac:dyDescent="0.2">
      <c r="A354" s="11">
        <v>44166</v>
      </c>
      <c r="B354" s="15">
        <f>VLOOKUP(A354,Database!A:Q,MATCH($A$1,Database!$A$1:$Q$1,),)</f>
        <v>85101</v>
      </c>
      <c r="C354" s="12">
        <f t="shared" si="10"/>
        <v>-3.8026338099813484E-2</v>
      </c>
      <c r="D354" s="13">
        <f t="shared" si="11"/>
        <v>0.28890134189561689</v>
      </c>
    </row>
    <row r="355" spans="1:4" x14ac:dyDescent="0.2">
      <c r="A355" s="10">
        <v>44197</v>
      </c>
      <c r="B355" s="15">
        <f>VLOOKUP(A355,Database!A:Q,MATCH($A$1,Database!$A$1:$Q$1,),)</f>
        <v>91081</v>
      </c>
      <c r="C355" s="12">
        <f t="shared" si="10"/>
        <v>7.0269444542367304E-2</v>
      </c>
      <c r="D355" s="13">
        <f t="shared" si="11"/>
        <v>0.40833114282621807</v>
      </c>
    </row>
    <row r="356" spans="1:4" x14ac:dyDescent="0.2">
      <c r="A356" s="11">
        <v>44228</v>
      </c>
      <c r="B356" s="15">
        <f>VLOOKUP(A356,Database!A:Q,MATCH($A$1,Database!$A$1:$Q$1,),)</f>
        <v>90997</v>
      </c>
      <c r="C356" s="12">
        <f t="shared" si="10"/>
        <v>-9.2225601387775711E-4</v>
      </c>
      <c r="D356" s="13">
        <f t="shared" si="11"/>
        <v>0.35954401482101239</v>
      </c>
    </row>
    <row r="357" spans="1:4" x14ac:dyDescent="0.2">
      <c r="A357" s="10">
        <v>44256</v>
      </c>
      <c r="B357" s="15">
        <f>VLOOKUP(A357,Database!A:Q,MATCH($A$1,Database!$A$1:$Q$1,),)</f>
        <v>99351</v>
      </c>
      <c r="C357" s="12">
        <f t="shared" si="10"/>
        <v>9.1805224348055436E-2</v>
      </c>
      <c r="D357" s="13">
        <f t="shared" si="11"/>
        <v>0.38250560093511266</v>
      </c>
    </row>
    <row r="358" spans="1:4" x14ac:dyDescent="0.2">
      <c r="A358" s="11">
        <v>44287</v>
      </c>
      <c r="B358" s="15">
        <f>VLOOKUP(A358,Database!A:Q,MATCH($A$1,Database!$A$1:$Q$1,),)</f>
        <v>95121</v>
      </c>
      <c r="C358" s="12">
        <f t="shared" si="10"/>
        <v>-4.2576320318869459E-2</v>
      </c>
      <c r="D358" s="13">
        <f t="shared" si="11"/>
        <v>0.24059003051881994</v>
      </c>
    </row>
    <row r="359" spans="1:4" x14ac:dyDescent="0.2">
      <c r="A359" s="10">
        <v>44317</v>
      </c>
      <c r="B359" s="15">
        <f>VLOOKUP(A359,Database!A:Q,MATCH($A$1,Database!$A$1:$Q$1,),)</f>
        <v>96292</v>
      </c>
      <c r="C359" s="12">
        <f t="shared" si="10"/>
        <v>1.231063592687209E-2</v>
      </c>
      <c r="D359" s="13">
        <f t="shared" si="11"/>
        <v>0.14064369395515228</v>
      </c>
    </row>
    <row r="360" spans="1:4" x14ac:dyDescent="0.2">
      <c r="A360" s="11">
        <v>44348</v>
      </c>
      <c r="B360" s="15">
        <f>VLOOKUP(A360,Database!A:Q,MATCH($A$1,Database!$A$1:$Q$1,),)</f>
        <v>98517</v>
      </c>
      <c r="C360" s="12">
        <f t="shared" si="10"/>
        <v>2.3106800149545133E-2</v>
      </c>
      <c r="D360" s="13">
        <f t="shared" si="11"/>
        <v>0.19049460442521721</v>
      </c>
    </row>
    <row r="361" spans="1:4" x14ac:dyDescent="0.2">
      <c r="A361" s="10">
        <v>44378</v>
      </c>
      <c r="B361" s="15">
        <f>VLOOKUP(A361,Database!A:Q,MATCH($A$1,Database!$A$1:$Q$1,),)</f>
        <v>92068</v>
      </c>
      <c r="C361" s="12">
        <f t="shared" si="10"/>
        <v>-6.5460783418090279E-2</v>
      </c>
      <c r="D361" s="13">
        <f t="shared" si="11"/>
        <v>5.5148070046758965E-2</v>
      </c>
    </row>
    <row r="362" spans="1:4" x14ac:dyDescent="0.2">
      <c r="A362" s="11">
        <v>44409</v>
      </c>
      <c r="B362" s="15">
        <f>VLOOKUP(A362,Database!A:Q,MATCH($A$1,Database!$A$1:$Q$1,),)</f>
        <v>96886</v>
      </c>
      <c r="C362" s="12">
        <f t="shared" si="10"/>
        <v>5.2330885866967894E-2</v>
      </c>
      <c r="D362" s="13">
        <f t="shared" si="11"/>
        <v>0.10361088962296389</v>
      </c>
    </row>
    <row r="363" spans="1:4" x14ac:dyDescent="0.2">
      <c r="A363" s="11">
        <v>44440</v>
      </c>
      <c r="B363" s="15">
        <f>VLOOKUP(A363,Database!A:Q,MATCH($A$1,Database!$A$1:$Q$1,),)</f>
        <v>97724</v>
      </c>
      <c r="C363" s="12">
        <f t="shared" si="10"/>
        <v>8.6493404619862515E-3</v>
      </c>
      <c r="D363" s="13">
        <f t="shared" si="11"/>
        <v>0.11022244438890277</v>
      </c>
    </row>
    <row r="364" spans="1:4" x14ac:dyDescent="0.2">
      <c r="A364" s="10">
        <v>44470</v>
      </c>
      <c r="B364" s="15">
        <f>VLOOKUP(A364,Database!A:Q,MATCH($A$1,Database!$A$1:$Q$1,),)</f>
        <v>99837</v>
      </c>
      <c r="C364" s="12">
        <f t="shared" si="10"/>
        <v>2.1622119438418404E-2</v>
      </c>
      <c r="D364" s="13">
        <f t="shared" si="11"/>
        <v>0.12564689434340928</v>
      </c>
    </row>
    <row r="365" spans="1:4" x14ac:dyDescent="0.2">
      <c r="A365" s="11">
        <v>44501</v>
      </c>
      <c r="B365" s="15">
        <f>VLOOKUP(A365,Database!A:Q,MATCH($A$1,Database!$A$1:$Q$1,),)</f>
        <v>100341</v>
      </c>
      <c r="C365" s="12">
        <f t="shared" si="10"/>
        <v>5.0482286126386005E-3</v>
      </c>
      <c r="D365" s="13">
        <f t="shared" si="11"/>
        <v>0.13424518171028091</v>
      </c>
    </row>
    <row r="366" spans="1:4" x14ac:dyDescent="0.2">
      <c r="A366" s="11">
        <v>44531</v>
      </c>
      <c r="B366" s="15">
        <f>VLOOKUP(A366,Database!A:Q,MATCH($A$1,Database!$A$1:$Q$1,),)</f>
        <v>95958</v>
      </c>
      <c r="C366" s="12">
        <f t="shared" si="10"/>
        <v>-4.3681047627589918E-2</v>
      </c>
      <c r="D366" s="13">
        <f t="shared" si="11"/>
        <v>0.12757781929707054</v>
      </c>
    </row>
    <row r="367" spans="1:4" x14ac:dyDescent="0.2">
      <c r="A367" s="11">
        <v>44562</v>
      </c>
      <c r="B367" s="15">
        <f>VLOOKUP(A367,Database!A:Q,MATCH($A$1,Database!$A$1:$Q$1,),)</f>
        <v>102773</v>
      </c>
      <c r="C367" s="12">
        <f t="shared" si="10"/>
        <v>7.1020654869838884E-2</v>
      </c>
      <c r="D367" s="13">
        <f t="shared" si="11"/>
        <v>0.12836925374117544</v>
      </c>
    </row>
    <row r="368" spans="1:4" x14ac:dyDescent="0.2">
      <c r="A368" s="11">
        <v>44593</v>
      </c>
      <c r="B368" s="15">
        <f>VLOOKUP(A368,Database!A:Q,MATCH($A$1,Database!$A$1:$Q$1,),)</f>
        <v>104095</v>
      </c>
      <c r="C368" s="12">
        <f t="shared" si="10"/>
        <v>1.286330067235558E-2</v>
      </c>
      <c r="D368" s="13">
        <f t="shared" si="11"/>
        <v>0.143938811169599</v>
      </c>
    </row>
    <row r="369" spans="1:4" x14ac:dyDescent="0.2">
      <c r="A369" s="10">
        <v>44621</v>
      </c>
      <c r="B369" s="15">
        <f>VLOOKUP(A369,Database!A:Q,MATCH($A$1,Database!$A$1:$Q$1,),)</f>
        <v>102895</v>
      </c>
      <c r="C369" s="12">
        <f t="shared" si="10"/>
        <v>-1.1527931216677074E-2</v>
      </c>
      <c r="D369" s="13">
        <f t="shared" si="11"/>
        <v>3.5671508087487792E-2</v>
      </c>
    </row>
    <row r="370" spans="1:4" x14ac:dyDescent="0.2">
      <c r="A370" s="11">
        <v>44652</v>
      </c>
      <c r="B370" s="15">
        <f>VLOOKUP(A370,Database!A:Q,MATCH($A$1,Database!$A$1:$Q$1,),)</f>
        <v>104003</v>
      </c>
      <c r="C370" s="12">
        <f t="shared" si="10"/>
        <v>1.0768258904708684E-2</v>
      </c>
      <c r="D370" s="13">
        <f t="shared" si="11"/>
        <v>9.3375805552927321E-2</v>
      </c>
    </row>
    <row r="371" spans="1:4" x14ac:dyDescent="0.2">
      <c r="A371" s="10">
        <v>44682</v>
      </c>
      <c r="B371" s="15">
        <f>VLOOKUP(A371,Database!A:Q,MATCH($A$1,Database!$A$1:$Q$1,),)</f>
        <v>106789</v>
      </c>
      <c r="C371" s="12">
        <f t="shared" si="10"/>
        <v>2.678768881666875E-2</v>
      </c>
      <c r="D371" s="13">
        <f t="shared" si="11"/>
        <v>0.10901217131225854</v>
      </c>
    </row>
    <row r="372" spans="1:4" x14ac:dyDescent="0.2">
      <c r="A372" s="11">
        <v>44713</v>
      </c>
      <c r="B372" s="15">
        <f>VLOOKUP(A372,Database!A:Q,MATCH($A$1,Database!$A$1:$Q$1,),)</f>
        <v>107765</v>
      </c>
      <c r="C372" s="12">
        <f t="shared" si="10"/>
        <v>9.1395181151616746E-3</v>
      </c>
      <c r="D372" s="13">
        <f t="shared" si="11"/>
        <v>9.3872123592882453E-2</v>
      </c>
    </row>
    <row r="373" spans="1:4" x14ac:dyDescent="0.2">
      <c r="A373" s="11">
        <v>44743</v>
      </c>
      <c r="B373" s="15">
        <f>VLOOKUP(A373,Database!A:Q,MATCH($A$1,Database!$A$1:$Q$1,),)</f>
        <v>110624</v>
      </c>
      <c r="C373" s="12">
        <f t="shared" si="10"/>
        <v>2.6529949426993923E-2</v>
      </c>
      <c r="D373" s="13">
        <f t="shared" ref="D373" si="12">(B373-B361)/B361</f>
        <v>0.20154668288656211</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3"/>
  <sheetViews>
    <sheetView zoomScale="90" zoomScaleNormal="90" workbookViewId="0">
      <pane ySplit="6" topLeftCell="A343" activePane="bottomLeft" state="frozen"/>
      <selection pane="bottomLeft" activeCell="S371" sqref="S371"/>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21187</v>
      </c>
      <c r="C223" s="12">
        <f t="shared" si="6"/>
        <v>-3.7744751120547297E-4</v>
      </c>
      <c r="D223" s="13">
        <f t="shared" si="7"/>
        <v>2.0912639136510383E-2</v>
      </c>
    </row>
    <row r="224" spans="1:4" x14ac:dyDescent="0.2">
      <c r="A224" s="11">
        <v>40210</v>
      </c>
      <c r="B224" s="15">
        <f>VLOOKUP(A224,Database!A:Q,MATCH($A$1,Database!$A$1:$Q$1,),)</f>
        <v>21199</v>
      </c>
      <c r="C224" s="12">
        <f t="shared" si="6"/>
        <v>5.6638504743474773E-4</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21888</v>
      </c>
      <c r="C231" s="12">
        <f t="shared" si="6"/>
        <v>1.1434844257421214E-3</v>
      </c>
      <c r="D231" s="13">
        <f t="shared" si="7"/>
        <v>3.0945315811784654E-2</v>
      </c>
    </row>
    <row r="232" spans="1:4" x14ac:dyDescent="0.2">
      <c r="A232" s="11">
        <v>40452</v>
      </c>
      <c r="B232" s="15">
        <f>VLOOKUP(A232,Database!A:Q,MATCH($A$1,Database!$A$1:$Q$1,),)</f>
        <v>22105</v>
      </c>
      <c r="C232" s="12">
        <f t="shared" si="6"/>
        <v>9.9141081871345037E-3</v>
      </c>
      <c r="D232" s="13">
        <f t="shared" si="7"/>
        <v>3.8866434815302192E-2</v>
      </c>
    </row>
    <row r="233" spans="1:4" x14ac:dyDescent="0.2">
      <c r="A233" s="10">
        <v>40483</v>
      </c>
      <c r="B233" s="15">
        <f>VLOOKUP(A233,Database!A:Q,MATCH($A$1,Database!$A$1:$Q$1,),)</f>
        <v>22180</v>
      </c>
      <c r="C233" s="12">
        <f t="shared" si="6"/>
        <v>3.3928975344944584E-3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7.1175720960966624E-2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22718</v>
      </c>
      <c r="C243" s="12">
        <f t="shared" si="6"/>
        <v>-4.5570063973359044E-3</v>
      </c>
      <c r="D243" s="13">
        <f t="shared" si="7"/>
        <v>3.7920321637426903E-2</v>
      </c>
    </row>
    <row r="244" spans="1:4" x14ac:dyDescent="0.2">
      <c r="A244" s="11">
        <v>40817</v>
      </c>
      <c r="B244" s="15">
        <f>VLOOKUP(A244,Database!A:Q,MATCH($A$1,Database!$A$1:$Q$1,),)</f>
        <v>22830</v>
      </c>
      <c r="C244" s="12">
        <f t="shared" si="6"/>
        <v>4.9300114446694252E-3</v>
      </c>
      <c r="D244" s="13">
        <f t="shared" si="7"/>
        <v>3.27980095001131E-2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22656</v>
      </c>
      <c r="C246" s="12">
        <f t="shared" si="6"/>
        <v>-3.4748185616890258E-3</v>
      </c>
      <c r="D246" s="13">
        <f t="shared" si="7"/>
        <v>1.7241379310344827E-2</v>
      </c>
    </row>
    <row r="247" spans="1:4" x14ac:dyDescent="0.2">
      <c r="A247" s="10">
        <v>40909</v>
      </c>
      <c r="B247" s="15">
        <f>VLOOKUP(A247,Database!A:Q,MATCH($A$1,Database!$A$1:$Q$1,),)</f>
        <v>22973</v>
      </c>
      <c r="C247" s="12">
        <f t="shared" si="6"/>
        <v>1.3991878531073447E-2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22471</v>
      </c>
      <c r="C252" s="12">
        <f t="shared" si="6"/>
        <v>-1.800463225975615E-2</v>
      </c>
      <c r="D252" s="13">
        <f t="shared" si="7"/>
        <v>-6.0158358030698456E-3</v>
      </c>
    </row>
    <row r="253" spans="1:4" x14ac:dyDescent="0.2">
      <c r="A253" s="10">
        <v>41091</v>
      </c>
      <c r="B253" s="15">
        <f>VLOOKUP(A253,Database!A:Q,MATCH($A$1,Database!$A$1:$Q$1,),)</f>
        <v>22793</v>
      </c>
      <c r="C253" s="12">
        <f t="shared" si="6"/>
        <v>1.4329580348004094E-2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-4.8419755260146139E-3</v>
      </c>
    </row>
    <row r="256" spans="1:4" x14ac:dyDescent="0.2">
      <c r="A256" s="11">
        <v>41183</v>
      </c>
      <c r="B256" s="15">
        <f>VLOOKUP(A256,Database!A:Q,MATCH($A$1,Database!$A$1:$Q$1,),)</f>
        <v>22504</v>
      </c>
      <c r="C256" s="12">
        <f t="shared" si="6"/>
        <v>-4.6001415428167025E-3</v>
      </c>
      <c r="D256" s="13">
        <f t="shared" si="7"/>
        <v>-1.4279456855015331E-2</v>
      </c>
    </row>
    <row r="257" spans="1:4" x14ac:dyDescent="0.2">
      <c r="A257" s="10">
        <v>41214</v>
      </c>
      <c r="B257" s="15">
        <f>VLOOKUP(A257,Database!A:Q,MATCH($A$1,Database!$A$1:$Q$1,),)</f>
        <v>22661</v>
      </c>
      <c r="C257" s="12">
        <f t="shared" si="6"/>
        <v>6.9765375044436541E-3</v>
      </c>
      <c r="D257" s="13">
        <f t="shared" si="7"/>
        <v>-3.2548933362656698E-3</v>
      </c>
    </row>
    <row r="258" spans="1:4" x14ac:dyDescent="0.2">
      <c r="A258" s="11">
        <v>41244</v>
      </c>
      <c r="B258" s="15">
        <f>VLOOKUP(A258,Database!A:Q,MATCH($A$1,Database!$A$1:$Q$1,),)</f>
        <v>22898</v>
      </c>
      <c r="C258" s="12">
        <f t="shared" si="6"/>
        <v>1.0458496977185473E-2</v>
      </c>
      <c r="D258" s="13">
        <f t="shared" si="7"/>
        <v>1.0681497175141243E-2</v>
      </c>
    </row>
    <row r="259" spans="1:4" x14ac:dyDescent="0.2">
      <c r="A259" s="10">
        <v>41275</v>
      </c>
      <c r="B259" s="15">
        <f>VLOOKUP(A259,Database!A:Q,MATCH($A$1,Database!$A$1:$Q$1,),)</f>
        <v>23167</v>
      </c>
      <c r="C259" s="12">
        <f t="shared" si="6"/>
        <v>1.1747750895274696E-2</v>
      </c>
      <c r="D259" s="13">
        <f t="shared" si="7"/>
        <v>8.4446959474165327E-3</v>
      </c>
    </row>
    <row r="260" spans="1:4" x14ac:dyDescent="0.2">
      <c r="A260" s="11">
        <v>41306</v>
      </c>
      <c r="B260" s="15">
        <f>VLOOKUP(A260,Database!A:Q,MATCH($A$1,Database!$A$1:$Q$1,),)</f>
        <v>22992</v>
      </c>
      <c r="C260" s="12">
        <f t="shared" si="6"/>
        <v>-7.5538481460698404E-3</v>
      </c>
      <c r="D260" s="13">
        <f t="shared" si="7"/>
        <v>-3.0436105917648593E-4</v>
      </c>
    </row>
    <row r="261" spans="1:4" x14ac:dyDescent="0.2">
      <c r="A261" s="10">
        <v>41334</v>
      </c>
      <c r="B261" s="15">
        <f>VLOOKUP(A261,Database!A:Q,MATCH($A$1,Database!$A$1:$Q$1,),)</f>
        <v>23025</v>
      </c>
      <c r="C261" s="12">
        <f t="shared" si="6"/>
        <v>1.4352818371607516E-3</v>
      </c>
      <c r="D261" s="13">
        <f t="shared" si="7"/>
        <v>3.4865983874482458E-3</v>
      </c>
    </row>
    <row r="262" spans="1:4" x14ac:dyDescent="0.2">
      <c r="A262" s="11">
        <v>41365</v>
      </c>
      <c r="B262" s="15">
        <f>VLOOKUP(A262,Database!A:Q,MATCH($A$1,Database!$A$1:$Q$1,),)</f>
        <v>22925</v>
      </c>
      <c r="C262" s="12">
        <f t="shared" si="6"/>
        <v>-4.3431053203040176E-3</v>
      </c>
      <c r="D262" s="13">
        <f t="shared" si="7"/>
        <v>-5.2072032978954224E-3</v>
      </c>
    </row>
    <row r="263" spans="1:4" x14ac:dyDescent="0.2">
      <c r="A263" s="10">
        <v>41395</v>
      </c>
      <c r="B263" s="15">
        <f>VLOOKUP(A263,Database!A:Q,MATCH($A$1,Database!$A$1:$Q$1,),)</f>
        <v>23021</v>
      </c>
      <c r="C263" s="12">
        <f t="shared" si="6"/>
        <v>4.1875681570338061E-3</v>
      </c>
      <c r="D263" s="13">
        <f t="shared" si="7"/>
        <v>6.0306777957435647E-3</v>
      </c>
    </row>
    <row r="264" spans="1:4" x14ac:dyDescent="0.2">
      <c r="A264" s="11">
        <v>41426</v>
      </c>
      <c r="B264" s="15">
        <f>VLOOKUP(A264,Database!A:Q,MATCH($A$1,Database!$A$1:$Q$1,),)</f>
        <v>23001</v>
      </c>
      <c r="C264" s="12">
        <f t="shared" ref="C264:C327" si="8">(B264-B263)/B263</f>
        <v>-8.6877199079101689E-4</v>
      </c>
      <c r="D264" s="13">
        <f t="shared" si="7"/>
        <v>2.3585955231186864E-2</v>
      </c>
    </row>
    <row r="265" spans="1:4" x14ac:dyDescent="0.2">
      <c r="A265" s="10">
        <v>41456</v>
      </c>
      <c r="B265" s="15">
        <f>VLOOKUP(A265,Database!A:Q,MATCH($A$1,Database!$A$1:$Q$1,),)</f>
        <v>23262</v>
      </c>
      <c r="C265" s="12">
        <f t="shared" si="8"/>
        <v>1.1347332724664145E-2</v>
      </c>
      <c r="D265" s="13">
        <f t="shared" si="7"/>
        <v>2.0576492782871936E-2</v>
      </c>
    </row>
    <row r="266" spans="1:4" x14ac:dyDescent="0.2">
      <c r="A266" s="11">
        <v>41487</v>
      </c>
      <c r="B266" s="15">
        <f>VLOOKUP(A266,Database!A:Q,MATCH($A$1,Database!$A$1:$Q$1,),)</f>
        <v>23254</v>
      </c>
      <c r="C266" s="12">
        <f t="shared" si="8"/>
        <v>-3.4390852033359124E-4</v>
      </c>
      <c r="D266" s="13">
        <f t="shared" si="7"/>
        <v>2.2558374741656041E-2</v>
      </c>
    </row>
    <row r="267" spans="1:4" x14ac:dyDescent="0.2">
      <c r="A267" s="10">
        <v>41518</v>
      </c>
      <c r="B267" s="15">
        <f>VLOOKUP(A267,Database!A:Q,MATCH($A$1,Database!$A$1:$Q$1,),)</f>
        <v>23674</v>
      </c>
      <c r="C267" s="12">
        <f t="shared" si="8"/>
        <v>1.8061408789885613E-2</v>
      </c>
      <c r="D267" s="13">
        <f t="shared" si="7"/>
        <v>4.7151450813871197E-2</v>
      </c>
    </row>
    <row r="268" spans="1:4" x14ac:dyDescent="0.2">
      <c r="A268" s="11">
        <v>41548</v>
      </c>
      <c r="B268" s="15">
        <f>VLOOKUP(A268,Database!A:Q,MATCH($A$1,Database!$A$1:$Q$1,),)</f>
        <v>23690</v>
      </c>
      <c r="C268" s="12">
        <f t="shared" si="8"/>
        <v>6.7584692067246765E-4</v>
      </c>
      <c r="D268" s="13">
        <f t="shared" si="7"/>
        <v>5.270174191254888E-2</v>
      </c>
    </row>
    <row r="269" spans="1:4" x14ac:dyDescent="0.2">
      <c r="A269" s="10">
        <v>41579</v>
      </c>
      <c r="B269" s="15">
        <f>VLOOKUP(A269,Database!A:Q,MATCH($A$1,Database!$A$1:$Q$1,),)</f>
        <v>23711</v>
      </c>
      <c r="C269" s="12">
        <f t="shared" si="8"/>
        <v>8.8644997889404816E-4</v>
      </c>
      <c r="D269" s="13">
        <f t="shared" si="7"/>
        <v>4.633511319006222E-2</v>
      </c>
    </row>
    <row r="270" spans="1:4" x14ac:dyDescent="0.2">
      <c r="A270" s="11">
        <v>41609</v>
      </c>
      <c r="B270" s="15">
        <f>VLOOKUP(A270,Database!A:Q,MATCH($A$1,Database!$A$1:$Q$1,),)</f>
        <v>23755</v>
      </c>
      <c r="C270" s="12">
        <f t="shared" si="8"/>
        <v>1.8556787988697229E-3</v>
      </c>
      <c r="D270" s="13">
        <f t="shared" si="7"/>
        <v>3.7426849506507119E-2</v>
      </c>
    </row>
    <row r="271" spans="1:4" x14ac:dyDescent="0.2">
      <c r="A271" s="10">
        <v>41640</v>
      </c>
      <c r="B271" s="15">
        <f>VLOOKUP(A271,Database!A:Q,MATCH($A$1,Database!$A$1:$Q$1,),)</f>
        <v>23735</v>
      </c>
      <c r="C271" s="12">
        <f t="shared" si="8"/>
        <v>-8.4192801515470424E-4</v>
      </c>
      <c r="D271" s="13">
        <f t="shared" si="7"/>
        <v>2.4517632839815253E-2</v>
      </c>
    </row>
    <row r="272" spans="1:4" x14ac:dyDescent="0.2">
      <c r="A272" s="11">
        <v>41671</v>
      </c>
      <c r="B272" s="15">
        <f>VLOOKUP(A272,Database!A:Q,MATCH($A$1,Database!$A$1:$Q$1,),)</f>
        <v>23842</v>
      </c>
      <c r="C272" s="12">
        <f t="shared" si="8"/>
        <v>4.5081103855066354E-3</v>
      </c>
      <c r="D272" s="13">
        <f t="shared" si="7"/>
        <v>3.6969380654140571E-2</v>
      </c>
    </row>
    <row r="273" spans="1:4" x14ac:dyDescent="0.2">
      <c r="A273" s="10">
        <v>41699</v>
      </c>
      <c r="B273" s="15">
        <f>VLOOKUP(A273,Database!A:Q,MATCH($A$1,Database!$A$1:$Q$1,),)</f>
        <v>23989</v>
      </c>
      <c r="C273" s="12">
        <f t="shared" si="8"/>
        <v>6.1655901350557837E-3</v>
      </c>
      <c r="D273" s="13">
        <f t="shared" si="7"/>
        <v>4.1867535287730726E-2</v>
      </c>
    </row>
    <row r="274" spans="1:4" x14ac:dyDescent="0.2">
      <c r="A274" s="11">
        <v>41730</v>
      </c>
      <c r="B274" s="15">
        <f>VLOOKUP(A274,Database!A:Q,MATCH($A$1,Database!$A$1:$Q$1,),)</f>
        <v>24191</v>
      </c>
      <c r="C274" s="12">
        <f t="shared" si="8"/>
        <v>8.4205260744507904E-3</v>
      </c>
      <c r="D274" s="13">
        <f t="shared" si="7"/>
        <v>5.5223555070883314E-2</v>
      </c>
    </row>
    <row r="275" spans="1:4" x14ac:dyDescent="0.2">
      <c r="A275" s="10">
        <v>41760</v>
      </c>
      <c r="B275" s="15">
        <f>VLOOKUP(A275,Database!A:Q,MATCH($A$1,Database!$A$1:$Q$1,),)</f>
        <v>24523</v>
      </c>
      <c r="C275" s="12">
        <f t="shared" si="8"/>
        <v>1.372411227315944E-2</v>
      </c>
      <c r="D275" s="13">
        <f t="shared" ref="D275:D338" si="9">(B275-B263)/B263</f>
        <v>6.5244776508405364E-2</v>
      </c>
    </row>
    <row r="276" spans="1:4" x14ac:dyDescent="0.2">
      <c r="A276" s="11">
        <v>41791</v>
      </c>
      <c r="B276" s="15">
        <f>VLOOKUP(A276,Database!A:Q,MATCH($A$1,Database!$A$1:$Q$1,),)</f>
        <v>24717</v>
      </c>
      <c r="C276" s="12">
        <f t="shared" si="8"/>
        <v>7.9109407495004686E-3</v>
      </c>
      <c r="D276" s="13">
        <f t="shared" si="9"/>
        <v>7.4605451936872305E-2</v>
      </c>
    </row>
    <row r="277" spans="1:4" x14ac:dyDescent="0.2">
      <c r="A277" s="10">
        <v>41821</v>
      </c>
      <c r="B277" s="15">
        <f>VLOOKUP(A277,Database!A:Q,MATCH($A$1,Database!$A$1:$Q$1,),)</f>
        <v>24730</v>
      </c>
      <c r="C277" s="12">
        <f t="shared" si="8"/>
        <v>5.2595379698183438E-4</v>
      </c>
      <c r="D277" s="13">
        <f t="shared" si="9"/>
        <v>6.3107213481213995E-2</v>
      </c>
    </row>
    <row r="278" spans="1:4" x14ac:dyDescent="0.2">
      <c r="A278" s="11">
        <v>41852</v>
      </c>
      <c r="B278" s="15">
        <f>VLOOKUP(A278,Database!A:Q,MATCH($A$1,Database!$A$1:$Q$1,),)</f>
        <v>24836</v>
      </c>
      <c r="C278" s="12">
        <f t="shared" si="8"/>
        <v>4.2862919530934091E-3</v>
      </c>
      <c r="D278" s="13">
        <f t="shared" si="9"/>
        <v>6.8031306441902473E-2</v>
      </c>
    </row>
    <row r="279" spans="1:4" x14ac:dyDescent="0.2">
      <c r="A279" s="10">
        <v>41883</v>
      </c>
      <c r="B279" s="15">
        <f>VLOOKUP(A279,Database!A:Q,MATCH($A$1,Database!$A$1:$Q$1,),)</f>
        <v>24949</v>
      </c>
      <c r="C279" s="12">
        <f t="shared" si="8"/>
        <v>4.5498469962957002E-3</v>
      </c>
      <c r="D279" s="13">
        <f t="shared" si="9"/>
        <v>5.3856551491087271E-2</v>
      </c>
    </row>
    <row r="280" spans="1:4" x14ac:dyDescent="0.2">
      <c r="A280" s="11">
        <v>41913</v>
      </c>
      <c r="B280" s="15">
        <f>VLOOKUP(A280,Database!A:Q,MATCH($A$1,Database!$A$1:$Q$1,),)</f>
        <v>24859</v>
      </c>
      <c r="C280" s="12">
        <f t="shared" si="8"/>
        <v>-3.6073590123852661E-3</v>
      </c>
      <c r="D280" s="13">
        <f t="shared" si="9"/>
        <v>4.934571549176868E-2</v>
      </c>
    </row>
    <row r="281" spans="1:4" x14ac:dyDescent="0.2">
      <c r="A281" s="10">
        <v>41944</v>
      </c>
      <c r="B281" s="15">
        <f>VLOOKUP(A281,Database!A:Q,MATCH($A$1,Database!$A$1:$Q$1,),)</f>
        <v>24950</v>
      </c>
      <c r="C281" s="12">
        <f t="shared" si="8"/>
        <v>3.6606460436863913E-3</v>
      </c>
      <c r="D281" s="13">
        <f t="shared" si="9"/>
        <v>5.225422799544515E-2</v>
      </c>
    </row>
    <row r="282" spans="1:4" x14ac:dyDescent="0.2">
      <c r="A282" s="11">
        <v>41974</v>
      </c>
      <c r="B282" s="15">
        <f>VLOOKUP(A282,Database!A:Q,MATCH($A$1,Database!$A$1:$Q$1,),)</f>
        <v>25117</v>
      </c>
      <c r="C282" s="12">
        <f t="shared" si="8"/>
        <v>6.6933867735470944E-3</v>
      </c>
      <c r="D282" s="13">
        <f t="shared" si="9"/>
        <v>5.7335297832035358E-2</v>
      </c>
    </row>
    <row r="283" spans="1:4" x14ac:dyDescent="0.2">
      <c r="A283" s="10">
        <v>42005</v>
      </c>
      <c r="B283" s="15">
        <f>VLOOKUP(A283,Database!A:Q,MATCH($A$1,Database!$A$1:$Q$1,),)</f>
        <v>25313</v>
      </c>
      <c r="C283" s="12">
        <f t="shared" si="8"/>
        <v>7.8034797149341088E-3</v>
      </c>
      <c r="D283" s="13">
        <f t="shared" si="9"/>
        <v>6.6484095218032446E-2</v>
      </c>
    </row>
    <row r="284" spans="1:4" x14ac:dyDescent="0.2">
      <c r="A284" s="11">
        <v>42036</v>
      </c>
      <c r="B284" s="15">
        <f>VLOOKUP(A284,Database!A:Q,MATCH($A$1,Database!$A$1:$Q$1,),)</f>
        <v>25111</v>
      </c>
      <c r="C284" s="12">
        <f t="shared" si="8"/>
        <v>-7.9800892821870178E-3</v>
      </c>
      <c r="D284" s="13">
        <f t="shared" si="9"/>
        <v>5.322540055364483E-2</v>
      </c>
    </row>
    <row r="285" spans="1:4" x14ac:dyDescent="0.2">
      <c r="A285" s="10">
        <v>42064</v>
      </c>
      <c r="B285" s="15">
        <f>VLOOKUP(A285,Database!A:Q,MATCH($A$1,Database!$A$1:$Q$1,),)</f>
        <v>25650</v>
      </c>
      <c r="C285" s="12">
        <f t="shared" si="8"/>
        <v>2.1464696746445782E-2</v>
      </c>
      <c r="D285" s="13">
        <f t="shared" si="9"/>
        <v>6.9240068364667146E-2</v>
      </c>
    </row>
    <row r="286" spans="1:4" x14ac:dyDescent="0.2">
      <c r="A286" s="11">
        <v>42095</v>
      </c>
      <c r="B286" s="15">
        <f>VLOOKUP(A286,Database!A:Q,MATCH($A$1,Database!$A$1:$Q$1,),)</f>
        <v>25225</v>
      </c>
      <c r="C286" s="12">
        <f t="shared" si="8"/>
        <v>-1.6569200779727095E-2</v>
      </c>
      <c r="D286" s="13">
        <f t="shared" si="9"/>
        <v>4.2743168947129095E-2</v>
      </c>
    </row>
    <row r="287" spans="1:4" x14ac:dyDescent="0.2">
      <c r="A287" s="10">
        <v>42125</v>
      </c>
      <c r="B287" s="15">
        <f>VLOOKUP(A287,Database!A:Q,MATCH($A$1,Database!$A$1:$Q$1,),)</f>
        <v>25202</v>
      </c>
      <c r="C287" s="12">
        <f t="shared" si="8"/>
        <v>-9.1179385530227946E-4</v>
      </c>
      <c r="D287" s="13">
        <f t="shared" si="9"/>
        <v>2.7688292623251641E-2</v>
      </c>
    </row>
    <row r="288" spans="1:4" x14ac:dyDescent="0.2">
      <c r="A288" s="11">
        <v>42156</v>
      </c>
      <c r="B288" s="15">
        <f>VLOOKUP(A288,Database!A:Q,MATCH($A$1,Database!$A$1:$Q$1,),)</f>
        <v>25362</v>
      </c>
      <c r="C288" s="12">
        <f t="shared" si="8"/>
        <v>6.3487024839298471E-3</v>
      </c>
      <c r="D288" s="13">
        <f t="shared" si="9"/>
        <v>2.609539992717563E-2</v>
      </c>
    </row>
    <row r="289" spans="1:4" x14ac:dyDescent="0.2">
      <c r="A289" s="10">
        <v>42186</v>
      </c>
      <c r="B289" s="15">
        <f>VLOOKUP(A289,Database!A:Q,MATCH($A$1,Database!$A$1:$Q$1,),)</f>
        <v>25642</v>
      </c>
      <c r="C289" s="12">
        <f t="shared" si="8"/>
        <v>1.1040138790316222E-2</v>
      </c>
      <c r="D289" s="13">
        <f t="shared" si="9"/>
        <v>3.687828548321876E-2</v>
      </c>
    </row>
    <row r="290" spans="1:4" x14ac:dyDescent="0.2">
      <c r="A290" s="11">
        <v>42217</v>
      </c>
      <c r="B290" s="15">
        <f>VLOOKUP(A290,Database!A:Q,MATCH($A$1,Database!$A$1:$Q$1,),)</f>
        <v>25816</v>
      </c>
      <c r="C290" s="12">
        <f t="shared" si="8"/>
        <v>6.7857421417986119E-3</v>
      </c>
      <c r="D290" s="13">
        <f t="shared" si="9"/>
        <v>3.9458850056369787E-2</v>
      </c>
    </row>
    <row r="291" spans="1:4" x14ac:dyDescent="0.2">
      <c r="A291" s="10">
        <v>42248</v>
      </c>
      <c r="B291" s="15">
        <f>VLOOKUP(A291,Database!A:Q,MATCH($A$1,Database!$A$1:$Q$1,),)</f>
        <v>26062</v>
      </c>
      <c r="C291" s="12">
        <f t="shared" si="8"/>
        <v>9.5289742795165791E-3</v>
      </c>
      <c r="D291" s="13">
        <f t="shared" si="9"/>
        <v>4.4611006453164452E-2</v>
      </c>
    </row>
    <row r="292" spans="1:4" x14ac:dyDescent="0.2">
      <c r="A292" s="11">
        <v>42278</v>
      </c>
      <c r="B292" s="15">
        <f>VLOOKUP(A292,Database!A:Q,MATCH($A$1,Database!$A$1:$Q$1,),)</f>
        <v>25924</v>
      </c>
      <c r="C292" s="12">
        <f t="shared" si="8"/>
        <v>-5.2950656127695494E-3</v>
      </c>
      <c r="D292" s="13">
        <f t="shared" si="9"/>
        <v>4.2841626775011063E-2</v>
      </c>
    </row>
    <row r="293" spans="1:4" x14ac:dyDescent="0.2">
      <c r="A293" s="10">
        <v>42309</v>
      </c>
      <c r="B293" s="15">
        <f>VLOOKUP(A293,Database!A:Q,MATCH($A$1,Database!$A$1:$Q$1,),)</f>
        <v>26098</v>
      </c>
      <c r="C293" s="12">
        <f t="shared" si="8"/>
        <v>6.7119271717327577E-3</v>
      </c>
      <c r="D293" s="13">
        <f t="shared" si="9"/>
        <v>4.6012024048096192E-2</v>
      </c>
    </row>
    <row r="294" spans="1:4" x14ac:dyDescent="0.2">
      <c r="A294" s="11">
        <v>42339</v>
      </c>
      <c r="B294" s="15">
        <f>VLOOKUP(A294,Database!A:Q,MATCH($A$1,Database!$A$1:$Q$1,),)</f>
        <v>26298</v>
      </c>
      <c r="C294" s="12">
        <f t="shared" si="8"/>
        <v>7.663422484481569E-3</v>
      </c>
      <c r="D294" s="13">
        <f t="shared" si="9"/>
        <v>4.7019946649679498E-2</v>
      </c>
    </row>
    <row r="295" spans="1:4" x14ac:dyDescent="0.2">
      <c r="A295" s="10">
        <v>42370</v>
      </c>
      <c r="B295" s="15">
        <f>VLOOKUP(A295,Database!A:Q,MATCH($A$1,Database!$A$1:$Q$1,),)</f>
        <v>26178</v>
      </c>
      <c r="C295" s="12">
        <f t="shared" si="8"/>
        <v>-4.5630846452201692E-3</v>
      </c>
      <c r="D295" s="13">
        <f t="shared" si="9"/>
        <v>3.4172164500454315E-2</v>
      </c>
    </row>
    <row r="296" spans="1:4" x14ac:dyDescent="0.2">
      <c r="A296" s="11">
        <v>42401</v>
      </c>
      <c r="B296" s="15">
        <f>VLOOKUP(A296,Database!A:Q,MATCH($A$1,Database!$A$1:$Q$1,),)</f>
        <v>26752</v>
      </c>
      <c r="C296" s="12">
        <f t="shared" si="8"/>
        <v>2.1926808770723508E-2</v>
      </c>
      <c r="D296" s="13">
        <f t="shared" si="9"/>
        <v>6.5349846680737525E-2</v>
      </c>
    </row>
    <row r="297" spans="1:4" x14ac:dyDescent="0.2">
      <c r="A297" s="10">
        <v>42430</v>
      </c>
      <c r="B297" s="15">
        <f>VLOOKUP(A297,Database!A:Q,MATCH($A$1,Database!$A$1:$Q$1,),)</f>
        <v>26567</v>
      </c>
      <c r="C297" s="12">
        <f t="shared" si="8"/>
        <v>-6.9153708133971288E-3</v>
      </c>
      <c r="D297" s="13">
        <f t="shared" si="9"/>
        <v>3.5750487329434699E-2</v>
      </c>
    </row>
    <row r="298" spans="1:4" x14ac:dyDescent="0.2">
      <c r="A298" s="11">
        <v>42461</v>
      </c>
      <c r="B298" s="15">
        <f>VLOOKUP(A298,Database!A:Q,MATCH($A$1,Database!$A$1:$Q$1,),)</f>
        <v>26781</v>
      </c>
      <c r="C298" s="12">
        <f t="shared" si="8"/>
        <v>8.0551059585199682E-3</v>
      </c>
      <c r="D298" s="13">
        <f t="shared" si="9"/>
        <v>6.1684836471754212E-2</v>
      </c>
    </row>
    <row r="299" spans="1:4" x14ac:dyDescent="0.2">
      <c r="A299" s="10">
        <v>42491</v>
      </c>
      <c r="B299" s="15">
        <f>VLOOKUP(A299,Database!A:Q,MATCH($A$1,Database!$A$1:$Q$1,),)</f>
        <v>26700</v>
      </c>
      <c r="C299" s="12">
        <f t="shared" si="8"/>
        <v>-3.0245323176879132E-3</v>
      </c>
      <c r="D299" s="13">
        <f t="shared" si="9"/>
        <v>5.943972700579319E-2</v>
      </c>
    </row>
    <row r="300" spans="1:4" x14ac:dyDescent="0.2">
      <c r="A300" s="11">
        <v>42522</v>
      </c>
      <c r="B300" s="15">
        <f>VLOOKUP(A300,Database!A:Q,MATCH($A$1,Database!$A$1:$Q$1,),)</f>
        <v>26877</v>
      </c>
      <c r="C300" s="12">
        <f t="shared" si="8"/>
        <v>6.6292134831460675E-3</v>
      </c>
      <c r="D300" s="13">
        <f t="shared" si="9"/>
        <v>5.9735036669032411E-2</v>
      </c>
    </row>
    <row r="301" spans="1:4" x14ac:dyDescent="0.2">
      <c r="A301" s="10">
        <v>42552</v>
      </c>
      <c r="B301" s="15">
        <f>VLOOKUP(A301,Database!A:Q,MATCH($A$1,Database!$A$1:$Q$1,),)</f>
        <v>26845</v>
      </c>
      <c r="C301" s="12">
        <f t="shared" si="8"/>
        <v>-1.1906090709528593E-3</v>
      </c>
      <c r="D301" s="13">
        <f t="shared" si="9"/>
        <v>4.6915217221745575E-2</v>
      </c>
    </row>
    <row r="302" spans="1:4" x14ac:dyDescent="0.2">
      <c r="A302" s="11">
        <v>42583</v>
      </c>
      <c r="B302" s="15">
        <f>VLOOKUP(A302,Database!A:Q,MATCH($A$1,Database!$A$1:$Q$1,),)</f>
        <v>26744</v>
      </c>
      <c r="C302" s="12">
        <f t="shared" si="8"/>
        <v>-3.7623393555596945E-3</v>
      </c>
      <c r="D302" s="13">
        <f t="shared" si="9"/>
        <v>3.594669972110319E-2</v>
      </c>
    </row>
    <row r="303" spans="1:4" x14ac:dyDescent="0.2">
      <c r="A303" s="10">
        <v>42614</v>
      </c>
      <c r="B303" s="15">
        <f>VLOOKUP(A303,Database!A:Q,MATCH($A$1,Database!$A$1:$Q$1,),)</f>
        <v>26682</v>
      </c>
      <c r="C303" s="12">
        <f t="shared" si="8"/>
        <v>-2.3182769967095423E-3</v>
      </c>
      <c r="D303" s="13">
        <f t="shared" si="9"/>
        <v>2.3789425216790731E-2</v>
      </c>
    </row>
    <row r="304" spans="1:4" x14ac:dyDescent="0.2">
      <c r="A304" s="11">
        <v>42644</v>
      </c>
      <c r="B304" s="15">
        <f>VLOOKUP(A304,Database!A:Q,MATCH($A$1,Database!$A$1:$Q$1,),)</f>
        <v>25894</v>
      </c>
      <c r="C304" s="12">
        <f t="shared" si="8"/>
        <v>-2.9533018514354248E-2</v>
      </c>
      <c r="D304" s="13">
        <f t="shared" si="9"/>
        <v>-1.1572288227125443E-3</v>
      </c>
    </row>
    <row r="305" spans="1:4" x14ac:dyDescent="0.2">
      <c r="A305" s="10">
        <v>42675</v>
      </c>
      <c r="B305" s="15">
        <f>VLOOKUP(A305,Database!A:Q,MATCH($A$1,Database!$A$1:$Q$1,),)</f>
        <v>26119</v>
      </c>
      <c r="C305" s="12">
        <f t="shared" si="8"/>
        <v>8.6892716459411445E-3</v>
      </c>
      <c r="D305" s="13">
        <f t="shared" si="9"/>
        <v>8.0465936087056476E-4</v>
      </c>
    </row>
    <row r="306" spans="1:4" x14ac:dyDescent="0.2">
      <c r="A306" s="11">
        <v>42705</v>
      </c>
      <c r="B306" s="15">
        <f>VLOOKUP(A306,Database!A:Q,MATCH($A$1,Database!$A$1:$Q$1,),)</f>
        <v>26179</v>
      </c>
      <c r="C306" s="12">
        <f t="shared" si="8"/>
        <v>2.2971782993223325E-3</v>
      </c>
      <c r="D306" s="13">
        <f t="shared" si="9"/>
        <v>-4.5250589398433344E-3</v>
      </c>
    </row>
    <row r="307" spans="1:4" x14ac:dyDescent="0.2">
      <c r="A307" s="10">
        <v>42736</v>
      </c>
      <c r="B307" s="15">
        <f>VLOOKUP(A307,Database!A:Q,MATCH($A$1,Database!$A$1:$Q$1,),)</f>
        <v>26149</v>
      </c>
      <c r="C307" s="12">
        <f t="shared" si="8"/>
        <v>-1.1459566828373887E-3</v>
      </c>
      <c r="D307" s="13">
        <f t="shared" si="9"/>
        <v>-1.1078004431201772E-3</v>
      </c>
    </row>
    <row r="308" spans="1:4" x14ac:dyDescent="0.2">
      <c r="A308" s="11">
        <v>42767</v>
      </c>
      <c r="B308" s="15">
        <f>VLOOKUP(A308,Database!A:Q,MATCH($A$1,Database!$A$1:$Q$1,),)</f>
        <v>26447</v>
      </c>
      <c r="C308" s="12">
        <f t="shared" si="8"/>
        <v>1.1396229301311714E-2</v>
      </c>
      <c r="D308" s="13">
        <f t="shared" si="9"/>
        <v>-1.1401016746411483E-2</v>
      </c>
    </row>
    <row r="309" spans="1:4" x14ac:dyDescent="0.2">
      <c r="A309" s="10">
        <v>42795</v>
      </c>
      <c r="B309" s="15">
        <f>VLOOKUP(A309,Database!A:Q,MATCH($A$1,Database!$A$1:$Q$1,),)</f>
        <v>26580</v>
      </c>
      <c r="C309" s="12">
        <f t="shared" si="8"/>
        <v>5.028925776080463E-3</v>
      </c>
      <c r="D309" s="13">
        <f t="shared" si="9"/>
        <v>4.8932886663906349E-4</v>
      </c>
    </row>
    <row r="310" spans="1:4" x14ac:dyDescent="0.2">
      <c r="A310" s="11">
        <v>42826</v>
      </c>
      <c r="B310" s="15">
        <f>VLOOKUP(A310,Database!A:Q,MATCH($A$1,Database!$A$1:$Q$1,),)</f>
        <v>26763</v>
      </c>
      <c r="C310" s="12">
        <f t="shared" si="8"/>
        <v>6.8848758465011282E-3</v>
      </c>
      <c r="D310" s="13">
        <f t="shared" si="9"/>
        <v>-6.7211829281953628E-4</v>
      </c>
    </row>
    <row r="311" spans="1:4" x14ac:dyDescent="0.2">
      <c r="A311" s="10">
        <v>42856</v>
      </c>
      <c r="B311" s="15">
        <f>VLOOKUP(A311,Database!A:Q,MATCH($A$1,Database!$A$1:$Q$1,),)</f>
        <v>26765</v>
      </c>
      <c r="C311" s="12">
        <f t="shared" si="8"/>
        <v>7.4730037738669053E-5</v>
      </c>
      <c r="D311" s="13">
        <f t="shared" si="9"/>
        <v>2.4344569288389513E-3</v>
      </c>
    </row>
    <row r="312" spans="1:4" x14ac:dyDescent="0.2">
      <c r="A312" s="11">
        <v>42887</v>
      </c>
      <c r="B312" s="15">
        <f>VLOOKUP(A312,Database!A:Q,MATCH($A$1,Database!$A$1:$Q$1,),)</f>
        <v>27011</v>
      </c>
      <c r="C312" s="12">
        <f t="shared" si="8"/>
        <v>9.191107790024286E-3</v>
      </c>
      <c r="D312" s="13">
        <f t="shared" si="9"/>
        <v>4.9856754846150982E-3</v>
      </c>
    </row>
    <row r="313" spans="1:4" x14ac:dyDescent="0.2">
      <c r="A313" s="10">
        <v>42917</v>
      </c>
      <c r="B313" s="15">
        <f>VLOOKUP(A313,Database!A:Q,MATCH($A$1,Database!$A$1:$Q$1,),)</f>
        <v>27047</v>
      </c>
      <c r="C313" s="12">
        <f t="shared" si="8"/>
        <v>1.3327903446743918E-3</v>
      </c>
      <c r="D313" s="13">
        <f t="shared" si="9"/>
        <v>7.524678711119389E-3</v>
      </c>
    </row>
    <row r="314" spans="1:4" x14ac:dyDescent="0.2">
      <c r="A314" s="11">
        <v>42948</v>
      </c>
      <c r="B314" s="15">
        <f>VLOOKUP(A314,Database!A:Q,MATCH($A$1,Database!$A$1:$Q$1,),)</f>
        <v>27333</v>
      </c>
      <c r="C314" s="12">
        <f t="shared" si="8"/>
        <v>1.0574185676784855E-2</v>
      </c>
      <c r="D314" s="13">
        <f t="shared" si="9"/>
        <v>2.2023631468740652E-2</v>
      </c>
    </row>
    <row r="315" spans="1:4" x14ac:dyDescent="0.2">
      <c r="A315" s="10">
        <v>42979</v>
      </c>
      <c r="B315" s="15">
        <f>VLOOKUP(A315,Database!A:Q,MATCH($A$1,Database!$A$1:$Q$1,),)</f>
        <v>27395</v>
      </c>
      <c r="C315" s="12">
        <f t="shared" si="8"/>
        <v>2.2683203453700653E-3</v>
      </c>
      <c r="D315" s="13">
        <f t="shared" si="9"/>
        <v>2.6722134772505811E-2</v>
      </c>
    </row>
    <row r="316" spans="1:4" x14ac:dyDescent="0.2">
      <c r="A316" s="11">
        <v>43009</v>
      </c>
      <c r="B316" s="15">
        <f>VLOOKUP(A316,Database!A:Q,MATCH($A$1,Database!$A$1:$Q$1,),)</f>
        <v>27559</v>
      </c>
      <c r="C316" s="12">
        <f t="shared" si="8"/>
        <v>5.986493885745574E-3</v>
      </c>
      <c r="D316" s="13">
        <f t="shared" si="9"/>
        <v>6.4300610179964468E-2</v>
      </c>
    </row>
    <row r="317" spans="1:4" x14ac:dyDescent="0.2">
      <c r="A317" s="10">
        <v>43040</v>
      </c>
      <c r="B317" s="15">
        <f>VLOOKUP(A317,Database!A:Q,MATCH($A$1,Database!$A$1:$Q$1,),)</f>
        <v>27721</v>
      </c>
      <c r="C317" s="12">
        <f t="shared" si="8"/>
        <v>5.8782974708806559E-3</v>
      </c>
      <c r="D317" s="13">
        <f t="shared" si="9"/>
        <v>6.1334660591906273E-2</v>
      </c>
    </row>
    <row r="318" spans="1:4" x14ac:dyDescent="0.2">
      <c r="A318" s="11">
        <v>43070</v>
      </c>
      <c r="B318" s="15">
        <f>VLOOKUP(A318,Database!A:Q,MATCH($A$1,Database!$A$1:$Q$1,),)</f>
        <v>27603</v>
      </c>
      <c r="C318" s="12">
        <f t="shared" si="8"/>
        <v>-4.2567006962230796E-3</v>
      </c>
      <c r="D318" s="13">
        <f t="shared" si="9"/>
        <v>5.4394743878681387E-2</v>
      </c>
    </row>
    <row r="319" spans="1:4" x14ac:dyDescent="0.2">
      <c r="A319" s="10">
        <v>43101</v>
      </c>
      <c r="B319" s="15">
        <f>VLOOKUP(A319,Database!A:Q,MATCH($A$1,Database!$A$1:$Q$1,),)</f>
        <v>27603</v>
      </c>
      <c r="C319" s="12">
        <f t="shared" si="8"/>
        <v>0</v>
      </c>
      <c r="D319" s="13">
        <f t="shared" si="9"/>
        <v>5.5604420819151783E-2</v>
      </c>
    </row>
    <row r="320" spans="1:4" x14ac:dyDescent="0.2">
      <c r="A320" s="11">
        <v>43132</v>
      </c>
      <c r="B320" s="15">
        <f>VLOOKUP(A320,Database!A:Q,MATCH($A$1,Database!$A$1:$Q$1,),)</f>
        <v>27494</v>
      </c>
      <c r="C320" s="12">
        <f t="shared" si="8"/>
        <v>-3.948846139912328E-3</v>
      </c>
      <c r="D320" s="13">
        <f t="shared" si="9"/>
        <v>3.9588611184633415E-2</v>
      </c>
    </row>
    <row r="321" spans="1:4" x14ac:dyDescent="0.2">
      <c r="A321" s="10">
        <v>43160</v>
      </c>
      <c r="B321" s="15">
        <f>VLOOKUP(A321,Database!A:Q,MATCH($A$1,Database!$A$1:$Q$1,),)</f>
        <v>27656</v>
      </c>
      <c r="C321" s="12">
        <f t="shared" si="8"/>
        <v>5.8921946606532334E-3</v>
      </c>
      <c r="D321" s="13">
        <f t="shared" si="9"/>
        <v>4.0481565086531224E-2</v>
      </c>
    </row>
    <row r="322" spans="1:4" x14ac:dyDescent="0.2">
      <c r="A322" s="11">
        <v>43191</v>
      </c>
      <c r="B322" s="15">
        <f>VLOOKUP(A322,Database!A:Q,MATCH($A$1,Database!$A$1:$Q$1,),)</f>
        <v>27950</v>
      </c>
      <c r="C322" s="12">
        <f t="shared" si="8"/>
        <v>1.0630604570436795E-2</v>
      </c>
      <c r="D322" s="13">
        <f t="shared" si="9"/>
        <v>4.4352277397900083E-2</v>
      </c>
    </row>
    <row r="323" spans="1:4" x14ac:dyDescent="0.2">
      <c r="A323" s="10">
        <v>43221</v>
      </c>
      <c r="B323" s="15">
        <f>VLOOKUP(A323,Database!A:Q,MATCH($A$1,Database!$A$1:$Q$1,),)</f>
        <v>28294</v>
      </c>
      <c r="C323" s="12">
        <f t="shared" si="8"/>
        <v>1.2307692307692308E-2</v>
      </c>
      <c r="D323" s="13">
        <f t="shared" si="9"/>
        <v>5.7126844759947691E-2</v>
      </c>
    </row>
    <row r="324" spans="1:4" x14ac:dyDescent="0.2">
      <c r="A324" s="11">
        <v>43252</v>
      </c>
      <c r="B324" s="15">
        <f>VLOOKUP(A324,Database!A:Q,MATCH($A$1,Database!$A$1:$Q$1,),)</f>
        <v>28127</v>
      </c>
      <c r="C324" s="12">
        <f t="shared" si="8"/>
        <v>-5.9023114441224284E-3</v>
      </c>
      <c r="D324" s="13">
        <f t="shared" si="9"/>
        <v>4.1316500684906152E-2</v>
      </c>
    </row>
    <row r="325" spans="1:4" x14ac:dyDescent="0.2">
      <c r="A325" s="10">
        <v>43282</v>
      </c>
      <c r="B325" s="15">
        <f>VLOOKUP(A325,Database!A:Q,MATCH($A$1,Database!$A$1:$Q$1,),)</f>
        <v>28308</v>
      </c>
      <c r="C325" s="12">
        <f t="shared" si="8"/>
        <v>6.4350979485903225E-3</v>
      </c>
      <c r="D325" s="13">
        <f t="shared" si="9"/>
        <v>4.6622545938551412E-2</v>
      </c>
    </row>
    <row r="326" spans="1:4" x14ac:dyDescent="0.2">
      <c r="A326" s="11">
        <v>43313</v>
      </c>
      <c r="B326" s="15">
        <f>VLOOKUP(A326,Database!A:Q,MATCH($A$1,Database!$A$1:$Q$1,),)</f>
        <v>28535</v>
      </c>
      <c r="C326" s="12">
        <f t="shared" si="8"/>
        <v>8.0189345767980782E-3</v>
      </c>
      <c r="D326" s="13">
        <f t="shared" si="9"/>
        <v>4.397614605056159E-2</v>
      </c>
    </row>
    <row r="327" spans="1:4" x14ac:dyDescent="0.2">
      <c r="A327" s="10">
        <v>43344</v>
      </c>
      <c r="B327" s="15">
        <f>VLOOKUP(A327,Database!A:Q,MATCH($A$1,Database!$A$1:$Q$1,),)</f>
        <v>28358</v>
      </c>
      <c r="C327" s="12">
        <f t="shared" si="8"/>
        <v>-6.2029087086034693E-3</v>
      </c>
      <c r="D327" s="13">
        <f t="shared" si="9"/>
        <v>3.5152400073006025E-2</v>
      </c>
    </row>
    <row r="328" spans="1:4" x14ac:dyDescent="0.2">
      <c r="A328" s="11">
        <v>43374</v>
      </c>
      <c r="B328" s="15">
        <f>VLOOKUP(A328,Database!A:Q,MATCH($A$1,Database!$A$1:$Q$1,),)</f>
        <v>28542</v>
      </c>
      <c r="C328" s="12">
        <f t="shared" ref="C328:C391" si="10">(B328-B327)/B327</f>
        <v>6.4884688624021443E-3</v>
      </c>
      <c r="D328" s="13">
        <f t="shared" si="9"/>
        <v>3.5668928480714103E-2</v>
      </c>
    </row>
    <row r="329" spans="1:4" x14ac:dyDescent="0.2">
      <c r="A329" s="10">
        <v>43405</v>
      </c>
      <c r="B329" s="15">
        <f>VLOOKUP(A329,Database!A:Q,MATCH($A$1,Database!$A$1:$Q$1,),)</f>
        <v>29088</v>
      </c>
      <c r="C329" s="12">
        <f t="shared" si="10"/>
        <v>1.9129703594702542E-2</v>
      </c>
      <c r="D329" s="13">
        <f t="shared" si="9"/>
        <v>4.9312795353702969E-2</v>
      </c>
    </row>
    <row r="330" spans="1:4" x14ac:dyDescent="0.2">
      <c r="A330" s="11">
        <v>43435</v>
      </c>
      <c r="B330" s="15">
        <f>VLOOKUP(A330,Database!A:Q,MATCH($A$1,Database!$A$1:$Q$1,),)</f>
        <v>27847</v>
      </c>
      <c r="C330" s="12">
        <f t="shared" si="10"/>
        <v>-4.2663641364136411E-2</v>
      </c>
      <c r="D330" s="13">
        <f t="shared" si="9"/>
        <v>8.8396188820055784E-3</v>
      </c>
    </row>
    <row r="331" spans="1:4" x14ac:dyDescent="0.2">
      <c r="A331" s="10">
        <v>43466</v>
      </c>
      <c r="B331" s="15">
        <f>VLOOKUP(A331,Database!A:Q,MATCH($A$1,Database!$A$1:$Q$1,),)</f>
        <v>28629</v>
      </c>
      <c r="C331" s="12">
        <f t="shared" si="10"/>
        <v>2.8082019607139009E-2</v>
      </c>
      <c r="D331" s="13">
        <f t="shared" si="9"/>
        <v>3.7169872839908705E-2</v>
      </c>
    </row>
    <row r="332" spans="1:4" x14ac:dyDescent="0.2">
      <c r="A332" s="11">
        <v>43497</v>
      </c>
      <c r="B332" s="15">
        <f>VLOOKUP(A332,Database!A:Q,MATCH($A$1,Database!$A$1:$Q$1,),)</f>
        <v>28875</v>
      </c>
      <c r="C332" s="12">
        <f t="shared" si="10"/>
        <v>8.5926857382374513E-3</v>
      </c>
      <c r="D332" s="13">
        <f t="shared" si="9"/>
        <v>5.0229140903469846E-2</v>
      </c>
    </row>
    <row r="333" spans="1:4" x14ac:dyDescent="0.2">
      <c r="A333" s="10">
        <v>43525</v>
      </c>
      <c r="B333" s="15">
        <f>VLOOKUP(A333,Database!A:Q,MATCH($A$1,Database!$A$1:$Q$1,),)</f>
        <v>28827</v>
      </c>
      <c r="C333" s="12">
        <f t="shared" si="10"/>
        <v>-1.6623376623376624E-3</v>
      </c>
      <c r="D333" s="13">
        <f t="shared" si="9"/>
        <v>4.2341625687011858E-2</v>
      </c>
    </row>
    <row r="334" spans="1:4" x14ac:dyDescent="0.2">
      <c r="A334" s="11">
        <v>43556</v>
      </c>
      <c r="B334" s="15">
        <f>VLOOKUP(A334,Database!A:Q,MATCH($A$1,Database!$A$1:$Q$1,),)</f>
        <v>28719</v>
      </c>
      <c r="C334" s="12">
        <f t="shared" si="10"/>
        <v>-3.746487667811427E-3</v>
      </c>
      <c r="D334" s="13">
        <f t="shared" si="9"/>
        <v>2.7513416815742396E-2</v>
      </c>
    </row>
    <row r="335" spans="1:4" x14ac:dyDescent="0.2">
      <c r="A335" s="10">
        <v>43586</v>
      </c>
      <c r="B335" s="15">
        <f>VLOOKUP(A335,Database!A:Q,MATCH($A$1,Database!$A$1:$Q$1,),)</f>
        <v>28862</v>
      </c>
      <c r="C335" s="12">
        <f t="shared" si="10"/>
        <v>4.9792820084264772E-3</v>
      </c>
      <c r="D335" s="13">
        <f t="shared" si="9"/>
        <v>2.0074927546476284E-2</v>
      </c>
    </row>
    <row r="336" spans="1:4" x14ac:dyDescent="0.2">
      <c r="A336" s="11">
        <v>43617</v>
      </c>
      <c r="B336" s="15">
        <f>VLOOKUP(A336,Database!A:Q,MATCH($A$1,Database!$A$1:$Q$1,),)</f>
        <v>28805</v>
      </c>
      <c r="C336" s="12">
        <f t="shared" si="10"/>
        <v>-1.9749151132977616E-3</v>
      </c>
      <c r="D336" s="13">
        <f t="shared" si="9"/>
        <v>2.4104952536708499E-2</v>
      </c>
    </row>
    <row r="337" spans="1:4" x14ac:dyDescent="0.2">
      <c r="A337" s="10">
        <v>43647</v>
      </c>
      <c r="B337" s="15">
        <f>VLOOKUP(A337,Database!A:Q,MATCH($A$1,Database!$A$1:$Q$1,),)</f>
        <v>28665</v>
      </c>
      <c r="C337" s="12">
        <f t="shared" si="10"/>
        <v>-4.8602673147023082E-3</v>
      </c>
      <c r="D337" s="13">
        <f t="shared" si="9"/>
        <v>1.2611275964391691E-2</v>
      </c>
    </row>
    <row r="338" spans="1:4" x14ac:dyDescent="0.2">
      <c r="A338" s="11">
        <v>43678</v>
      </c>
      <c r="B338" s="15">
        <f>VLOOKUP(A338,Database!A:Q,MATCH($A$1,Database!$A$1:$Q$1,),)</f>
        <v>28580</v>
      </c>
      <c r="C338" s="12">
        <f t="shared" si="10"/>
        <v>-2.9652886795743937E-3</v>
      </c>
      <c r="D338" s="13">
        <f t="shared" si="9"/>
        <v>1.5770106886280008E-3</v>
      </c>
    </row>
    <row r="339" spans="1:4" x14ac:dyDescent="0.2">
      <c r="A339" s="10">
        <v>43709</v>
      </c>
      <c r="B339" s="15">
        <f>VLOOKUP(A339,Database!A:Q,MATCH($A$1,Database!$A$1:$Q$1,),)</f>
        <v>28600</v>
      </c>
      <c r="C339" s="12">
        <f t="shared" si="10"/>
        <v>6.9979006298110562E-4</v>
      </c>
      <c r="D339" s="13">
        <f t="shared" ref="D339:D402" si="11">(B339-B327)/B327</f>
        <v>8.5337470907680367E-3</v>
      </c>
    </row>
    <row r="340" spans="1:4" x14ac:dyDescent="0.2">
      <c r="A340" s="11">
        <v>43739</v>
      </c>
      <c r="B340" s="15">
        <f>VLOOKUP(A340,Database!A:Q,MATCH($A$1,Database!$A$1:$Q$1,),)</f>
        <v>28809</v>
      </c>
      <c r="C340" s="12">
        <f t="shared" si="10"/>
        <v>7.3076923076923076E-3</v>
      </c>
      <c r="D340" s="13">
        <f t="shared" si="11"/>
        <v>9.3546352743325619E-3</v>
      </c>
    </row>
    <row r="341" spans="1:4" x14ac:dyDescent="0.2">
      <c r="A341" s="10">
        <v>43770</v>
      </c>
      <c r="B341" s="15">
        <f>VLOOKUP(A341,Database!A:Q,MATCH($A$1,Database!$A$1:$Q$1,),)</f>
        <v>28576</v>
      </c>
      <c r="C341" s="12">
        <f t="shared" si="10"/>
        <v>-8.0877503557915936E-3</v>
      </c>
      <c r="D341" s="13">
        <f t="shared" si="11"/>
        <v>-1.7601760176017601E-2</v>
      </c>
    </row>
    <row r="342" spans="1:4" x14ac:dyDescent="0.2">
      <c r="A342" s="11">
        <v>43800</v>
      </c>
      <c r="B342" s="15">
        <f>VLOOKUP(A342,Database!A:Q,MATCH($A$1,Database!$A$1:$Q$1,),)</f>
        <v>28267</v>
      </c>
      <c r="C342" s="12">
        <f t="shared" si="10"/>
        <v>-1.0813269876819709E-2</v>
      </c>
      <c r="D342" s="13">
        <f t="shared" si="11"/>
        <v>1.5082414622760082E-2</v>
      </c>
    </row>
    <row r="343" spans="1:4" x14ac:dyDescent="0.2">
      <c r="A343" s="10">
        <v>43831</v>
      </c>
      <c r="B343" s="15">
        <f>VLOOKUP(A343,Database!A:Q,MATCH($A$1,Database!$A$1:$Q$1,),)</f>
        <v>28983</v>
      </c>
      <c r="C343" s="12">
        <f t="shared" si="10"/>
        <v>2.5329889977712527E-2</v>
      </c>
      <c r="D343" s="13">
        <f t="shared" si="11"/>
        <v>1.2365084355024626E-2</v>
      </c>
    </row>
    <row r="344" spans="1:4" x14ac:dyDescent="0.2">
      <c r="A344" s="11">
        <v>43862</v>
      </c>
      <c r="B344" s="15">
        <f>VLOOKUP(A344,Database!A:Q,MATCH($A$1,Database!$A$1:$Q$1,),)</f>
        <v>29290</v>
      </c>
      <c r="C344" s="12">
        <f t="shared" si="10"/>
        <v>1.0592416244005106E-2</v>
      </c>
      <c r="D344" s="13">
        <f t="shared" si="11"/>
        <v>1.4372294372294373E-2</v>
      </c>
    </row>
    <row r="345" spans="1:4" x14ac:dyDescent="0.2">
      <c r="A345" s="10">
        <v>43891</v>
      </c>
      <c r="B345" s="15">
        <f>VLOOKUP(A345,Database!A:Q,MATCH($A$1,Database!$A$1:$Q$1,),)</f>
        <v>30733</v>
      </c>
      <c r="C345" s="12">
        <f t="shared" si="10"/>
        <v>4.9265961078866508E-2</v>
      </c>
      <c r="D345" s="13">
        <f t="shared" si="11"/>
        <v>6.611856939674611E-2</v>
      </c>
    </row>
    <row r="346" spans="1:4" x14ac:dyDescent="0.2">
      <c r="A346" s="11">
        <v>43922</v>
      </c>
      <c r="B346" s="15">
        <f>VLOOKUP(A346,Database!A:Q,MATCH($A$1,Database!$A$1:$Q$1,),)</f>
        <v>26103</v>
      </c>
      <c r="C346" s="12">
        <f t="shared" si="10"/>
        <v>-0.15065239319298473</v>
      </c>
      <c r="D346" s="13">
        <f t="shared" si="11"/>
        <v>-9.1089522615689963E-2</v>
      </c>
    </row>
    <row r="347" spans="1:4" x14ac:dyDescent="0.2">
      <c r="A347" s="10">
        <v>43952</v>
      </c>
      <c r="B347" s="15">
        <f>VLOOKUP(A347,Database!A:Q,MATCH($A$1,Database!$A$1:$Q$1,),)</f>
        <v>26413</v>
      </c>
      <c r="C347" s="12">
        <f t="shared" si="10"/>
        <v>1.1876029575144619E-2</v>
      </c>
      <c r="D347" s="13">
        <f t="shared" si="11"/>
        <v>-8.4852054604670504E-2</v>
      </c>
    </row>
    <row r="348" spans="1:4" x14ac:dyDescent="0.2">
      <c r="A348" s="11">
        <v>43983</v>
      </c>
      <c r="B348" s="15">
        <f>VLOOKUP(A348,Database!A:Q,MATCH($A$1,Database!$A$1:$Q$1,),)</f>
        <v>28579</v>
      </c>
      <c r="C348" s="12">
        <f t="shared" si="10"/>
        <v>8.2005073259379849E-2</v>
      </c>
      <c r="D348" s="13">
        <f t="shared" si="11"/>
        <v>-7.845860093733727E-3</v>
      </c>
    </row>
    <row r="349" spans="1:4" x14ac:dyDescent="0.2">
      <c r="A349" s="10">
        <v>44013</v>
      </c>
      <c r="B349" s="15">
        <f>VLOOKUP(A349,Database!A:Q,MATCH($A$1,Database!$A$1:$Q$1,),)</f>
        <v>30173</v>
      </c>
      <c r="C349" s="12">
        <f t="shared" si="10"/>
        <v>5.5775219566814797E-2</v>
      </c>
      <c r="D349" s="13">
        <f t="shared" si="11"/>
        <v>5.2607709750566896E-2</v>
      </c>
    </row>
    <row r="350" spans="1:4" x14ac:dyDescent="0.2">
      <c r="A350" s="11">
        <v>44044</v>
      </c>
      <c r="B350" s="15">
        <f>VLOOKUP(A350,Database!A:Q,MATCH($A$1,Database!$A$1:$Q$1,),)</f>
        <v>29802</v>
      </c>
      <c r="C350" s="12">
        <f t="shared" si="10"/>
        <v>-1.2295761110926987E-2</v>
      </c>
      <c r="D350" s="13">
        <f t="shared" si="11"/>
        <v>4.2757172848145557E-2</v>
      </c>
    </row>
    <row r="351" spans="1:4" x14ac:dyDescent="0.2">
      <c r="A351" s="10">
        <v>44075</v>
      </c>
      <c r="B351" s="15">
        <f>VLOOKUP(A351,Database!A:Q,MATCH($A$1,Database!$A$1:$Q$1,),)</f>
        <v>30274</v>
      </c>
      <c r="C351" s="12">
        <f t="shared" si="10"/>
        <v>1.5837863230655662E-2</v>
      </c>
      <c r="D351" s="13">
        <f t="shared" si="11"/>
        <v>5.8531468531468532E-2</v>
      </c>
    </row>
    <row r="352" spans="1:4" x14ac:dyDescent="0.2">
      <c r="A352" s="11">
        <v>44105</v>
      </c>
      <c r="B352" s="15">
        <f>VLOOKUP(A352,Database!A:Q,MATCH($A$1,Database!$A$1:$Q$1,),)</f>
        <v>30170</v>
      </c>
      <c r="C352" s="12">
        <f t="shared" si="10"/>
        <v>-3.4352910087864174E-3</v>
      </c>
      <c r="D352" s="13">
        <f t="shared" si="11"/>
        <v>4.7242181262799818E-2</v>
      </c>
    </row>
    <row r="353" spans="1:4" x14ac:dyDescent="0.2">
      <c r="A353" s="10">
        <v>44136</v>
      </c>
      <c r="B353" s="15">
        <f>VLOOKUP(A353,Database!A:Q,MATCH($A$1,Database!$A$1:$Q$1,),)</f>
        <v>29698</v>
      </c>
      <c r="C353" s="12">
        <f t="shared" si="10"/>
        <v>-1.564468014584024E-2</v>
      </c>
      <c r="D353" s="13">
        <f t="shared" si="11"/>
        <v>3.9263717805151178E-2</v>
      </c>
    </row>
    <row r="354" spans="1:4" x14ac:dyDescent="0.2">
      <c r="A354" s="11">
        <v>44166</v>
      </c>
      <c r="B354" s="15">
        <f>VLOOKUP(A354,Database!A:Q,MATCH($A$1,Database!$A$1:$Q$1,),)</f>
        <v>29948</v>
      </c>
      <c r="C354" s="12">
        <f t="shared" si="10"/>
        <v>8.4180752912654047E-3</v>
      </c>
      <c r="D354" s="13">
        <f t="shared" si="11"/>
        <v>5.946863834152899E-2</v>
      </c>
    </row>
    <row r="355" spans="1:4" x14ac:dyDescent="0.2">
      <c r="A355" s="10">
        <v>44197</v>
      </c>
      <c r="B355" s="15">
        <f>VLOOKUP(A355,Database!A:Q,MATCH($A$1,Database!$A$1:$Q$1,),)</f>
        <v>29977</v>
      </c>
      <c r="C355" s="12">
        <f t="shared" si="10"/>
        <v>9.6834513156137303E-4</v>
      </c>
      <c r="D355" s="13">
        <f t="shared" si="11"/>
        <v>3.4295966601110998E-2</v>
      </c>
    </row>
    <row r="356" spans="1:4" x14ac:dyDescent="0.2">
      <c r="A356" s="11">
        <v>44228</v>
      </c>
      <c r="B356" s="15">
        <f>VLOOKUP(A356,Database!A:Q,MATCH($A$1,Database!$A$1:$Q$1,),)</f>
        <v>29740</v>
      </c>
      <c r="C356" s="12">
        <f t="shared" si="10"/>
        <v>-7.9060613136738168E-3</v>
      </c>
      <c r="D356" s="13">
        <f t="shared" si="11"/>
        <v>1.5363605326049846E-2</v>
      </c>
    </row>
    <row r="357" spans="1:4" x14ac:dyDescent="0.2">
      <c r="A357" s="10">
        <v>44256</v>
      </c>
      <c r="B357" s="15">
        <f>VLOOKUP(A357,Database!A:Q,MATCH($A$1,Database!$A$1:$Q$1,),)</f>
        <v>32383</v>
      </c>
      <c r="C357" s="12">
        <f t="shared" si="10"/>
        <v>8.8870208473436449E-2</v>
      </c>
      <c r="D357" s="13">
        <f t="shared" si="11"/>
        <v>5.3688217876549635E-2</v>
      </c>
    </row>
    <row r="358" spans="1:4" x14ac:dyDescent="0.2">
      <c r="A358" s="11">
        <v>44287</v>
      </c>
      <c r="B358" s="15">
        <f>VLOOKUP(A358,Database!A:Q,MATCH($A$1,Database!$A$1:$Q$1,),)</f>
        <v>32315</v>
      </c>
      <c r="C358" s="12">
        <f t="shared" si="10"/>
        <v>-2.0998672142790971E-3</v>
      </c>
      <c r="D358" s="13">
        <f t="shared" si="11"/>
        <v>0.23798030877676896</v>
      </c>
    </row>
    <row r="359" spans="1:4" x14ac:dyDescent="0.2">
      <c r="A359" s="10">
        <v>44317</v>
      </c>
      <c r="B359" s="15">
        <f>VLOOKUP(A359,Database!A:Q,MATCH($A$1,Database!$A$1:$Q$1,),)</f>
        <v>31531</v>
      </c>
      <c r="C359" s="12">
        <f t="shared" si="10"/>
        <v>-2.4261179019031409E-2</v>
      </c>
      <c r="D359" s="13">
        <f t="shared" si="11"/>
        <v>0.19376822019460113</v>
      </c>
    </row>
    <row r="360" spans="1:4" x14ac:dyDescent="0.2">
      <c r="A360" s="11">
        <v>44348</v>
      </c>
      <c r="B360" s="15">
        <f>VLOOKUP(A360,Database!A:Q,MATCH($A$1,Database!$A$1:$Q$1,),)</f>
        <v>32715</v>
      </c>
      <c r="C360" s="12">
        <f t="shared" si="10"/>
        <v>3.7550347277282674E-2</v>
      </c>
      <c r="D360" s="13">
        <f t="shared" si="11"/>
        <v>0.14472164876307778</v>
      </c>
    </row>
    <row r="361" spans="1:4" x14ac:dyDescent="0.2">
      <c r="A361" s="10">
        <v>44378</v>
      </c>
      <c r="B361" s="15">
        <f>VLOOKUP(A361,Database!A:Q,MATCH($A$1,Database!$A$1:$Q$1,),)</f>
        <v>32512</v>
      </c>
      <c r="C361" s="12">
        <f t="shared" si="10"/>
        <v>-6.2051046920372915E-3</v>
      </c>
      <c r="D361" s="13">
        <f t="shared" si="11"/>
        <v>7.7519636761342922E-2</v>
      </c>
    </row>
    <row r="362" spans="1:4" x14ac:dyDescent="0.2">
      <c r="A362" s="11">
        <v>44409</v>
      </c>
      <c r="B362" s="15">
        <f>VLOOKUP(A362,Database!A:Q,MATCH($A$1,Database!$A$1:$Q$1,),)</f>
        <v>32866</v>
      </c>
      <c r="C362" s="12">
        <f t="shared" si="10"/>
        <v>1.0888287401574803E-2</v>
      </c>
      <c r="D362" s="13">
        <f t="shared" si="11"/>
        <v>0.10281189181934099</v>
      </c>
    </row>
    <row r="363" spans="1:4" x14ac:dyDescent="0.2">
      <c r="A363" s="11">
        <v>44440</v>
      </c>
      <c r="B363" s="15">
        <f>VLOOKUP(A363,Database!A:Q,MATCH($A$1,Database!$A$1:$Q$1,),)</f>
        <v>32710</v>
      </c>
      <c r="C363" s="12">
        <f t="shared" si="10"/>
        <v>-4.7465465830949915E-3</v>
      </c>
      <c r="D363" s="13">
        <f t="shared" si="11"/>
        <v>8.0465085551958776E-2</v>
      </c>
    </row>
    <row r="364" spans="1:4" x14ac:dyDescent="0.2">
      <c r="A364" s="10">
        <v>44470</v>
      </c>
      <c r="B364" s="15">
        <f>VLOOKUP(A364,Database!A:Q,MATCH($A$1,Database!$A$1:$Q$1,),)</f>
        <v>32444</v>
      </c>
      <c r="C364" s="12">
        <f t="shared" si="10"/>
        <v>-8.1320697034546006E-3</v>
      </c>
      <c r="D364" s="13">
        <f t="shared" si="11"/>
        <v>7.5372886973815043E-2</v>
      </c>
    </row>
    <row r="365" spans="1:4" x14ac:dyDescent="0.2">
      <c r="A365" s="11">
        <v>44501</v>
      </c>
      <c r="B365" s="15">
        <f>VLOOKUP(A365,Database!A:Q,MATCH($A$1,Database!$A$1:$Q$1,),)</f>
        <v>32793</v>
      </c>
      <c r="C365" s="12">
        <f t="shared" si="10"/>
        <v>1.0756996671187277E-2</v>
      </c>
      <c r="D365" s="13">
        <f t="shared" si="11"/>
        <v>0.10421577210586572</v>
      </c>
    </row>
    <row r="366" spans="1:4" x14ac:dyDescent="0.2">
      <c r="A366" s="10">
        <v>44531</v>
      </c>
      <c r="B366" s="15">
        <f>VLOOKUP(A366,Database!A:Q,MATCH($A$1,Database!$A$1:$Q$1,),)</f>
        <v>32797</v>
      </c>
      <c r="C366" s="12">
        <f t="shared" si="10"/>
        <v>1.2197725124264324E-4</v>
      </c>
      <c r="D366" s="13">
        <f t="shared" si="11"/>
        <v>9.5131561373046611E-2</v>
      </c>
    </row>
    <row r="367" spans="1:4" x14ac:dyDescent="0.2">
      <c r="A367" s="11">
        <v>44562</v>
      </c>
      <c r="B367" s="15">
        <f>VLOOKUP(A367,Database!A:Q,MATCH($A$1,Database!$A$1:$Q$1,),)</f>
        <v>32815</v>
      </c>
      <c r="C367" s="12">
        <f t="shared" si="10"/>
        <v>5.4883068573345118E-4</v>
      </c>
      <c r="D367" s="13">
        <f t="shared" si="11"/>
        <v>9.4672582313106712E-2</v>
      </c>
    </row>
    <row r="368" spans="1:4" x14ac:dyDescent="0.2">
      <c r="A368" s="11">
        <v>44593</v>
      </c>
      <c r="B368" s="15">
        <f>VLOOKUP(A368,Database!A:Q,MATCH($A$1,Database!$A$1:$Q$1,),)</f>
        <v>32445</v>
      </c>
      <c r="C368" s="12">
        <f t="shared" si="10"/>
        <v>-1.1275331403321652E-2</v>
      </c>
      <c r="D368" s="13">
        <f t="shared" si="11"/>
        <v>9.0954942837928709E-2</v>
      </c>
    </row>
    <row r="369" spans="1:4" x14ac:dyDescent="0.2">
      <c r="A369" s="11">
        <v>44621</v>
      </c>
      <c r="B369" s="15">
        <f>VLOOKUP(A369,Database!A:Q,MATCH($A$1,Database!$A$1:$Q$1,),)</f>
        <v>32763</v>
      </c>
      <c r="C369" s="12">
        <f t="shared" si="10"/>
        <v>9.801202034211743E-3</v>
      </c>
      <c r="D369" s="13">
        <f t="shared" si="11"/>
        <v>1.1734552079794954E-2</v>
      </c>
    </row>
    <row r="370" spans="1:4" x14ac:dyDescent="0.2">
      <c r="A370" s="10">
        <v>44652</v>
      </c>
      <c r="B370" s="15">
        <f>VLOOKUP(A370,Database!A:Q,MATCH($A$1,Database!$A$1:$Q$1,),)</f>
        <v>32962</v>
      </c>
      <c r="C370" s="12">
        <f t="shared" si="10"/>
        <v>6.0739248542563259E-3</v>
      </c>
      <c r="D370" s="13">
        <f t="shared" si="11"/>
        <v>2.0021661766981277E-2</v>
      </c>
    </row>
    <row r="371" spans="1:4" x14ac:dyDescent="0.2">
      <c r="A371" s="11">
        <v>44682</v>
      </c>
      <c r="B371" s="15">
        <f>VLOOKUP(A371,Database!A:Q,MATCH($A$1,Database!$A$1:$Q$1,),)</f>
        <v>32985</v>
      </c>
      <c r="C371" s="12">
        <f t="shared" si="10"/>
        <v>6.9777319337418846E-4</v>
      </c>
      <c r="D371" s="13">
        <f t="shared" si="11"/>
        <v>4.6113348767879231E-2</v>
      </c>
    </row>
    <row r="372" spans="1:4" x14ac:dyDescent="0.2">
      <c r="A372" s="10">
        <v>44713</v>
      </c>
      <c r="B372" s="15">
        <f>VLOOKUP(A372,Database!A:Q,MATCH($A$1,Database!$A$1:$Q$1,),)</f>
        <v>33485</v>
      </c>
      <c r="C372" s="12">
        <f t="shared" si="10"/>
        <v>1.5158405335758678E-2</v>
      </c>
      <c r="D372" s="13">
        <f t="shared" si="11"/>
        <v>2.3536604004279382E-2</v>
      </c>
    </row>
    <row r="373" spans="1:4" x14ac:dyDescent="0.2">
      <c r="A373" s="11">
        <v>44743</v>
      </c>
      <c r="B373" s="15">
        <f>VLOOKUP(A373,Database!A:Q,MATCH($A$1,Database!$A$1:$Q$1,),)</f>
        <v>33623</v>
      </c>
      <c r="C373" s="12">
        <f t="shared" si="10"/>
        <v>4.1212483201433477E-3</v>
      </c>
      <c r="D373" s="13">
        <f t="shared" ref="D373" si="12">(B373-B361)/B361</f>
        <v>3.4171998031496065E-2</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3"/>
  <sheetViews>
    <sheetView zoomScale="130" zoomScaleNormal="130" workbookViewId="0">
      <pane ySplit="6" topLeftCell="A355" activePane="bottomLeft" state="frozen"/>
      <selection pane="bottomLeft" activeCell="A362" sqref="A362:D373"/>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6507</v>
      </c>
      <c r="C223" s="12">
        <f t="shared" si="6"/>
        <v>-2.4528591139046452E-3</v>
      </c>
      <c r="D223" s="13">
        <f t="shared" si="7"/>
        <v>-2.3119651703948356E-2</v>
      </c>
    </row>
    <row r="224" spans="1:4" x14ac:dyDescent="0.2">
      <c r="A224" s="11">
        <v>40210</v>
      </c>
      <c r="B224" s="15">
        <f>VLOOKUP(A224,Database!A:Q,MATCH($A$1,Database!$A$1:$Q$1,),)</f>
        <v>6412</v>
      </c>
      <c r="C224" s="12">
        <f t="shared" si="6"/>
        <v>-1.4599661902566468E-2</v>
      </c>
      <c r="D224" s="13">
        <f t="shared" si="7"/>
        <v>-1.8821729150726857E-2</v>
      </c>
    </row>
    <row r="225" spans="1:4" x14ac:dyDescent="0.2">
      <c r="A225" s="10">
        <v>40238</v>
      </c>
      <c r="B225" s="15">
        <f>VLOOKUP(A225,Database!A:Q,MATCH($A$1,Database!$A$1:$Q$1,),)</f>
        <v>6515</v>
      </c>
      <c r="C225" s="12">
        <f t="shared" si="6"/>
        <v>1.6063630692451654E-2</v>
      </c>
      <c r="D225" s="13">
        <f t="shared" si="7"/>
        <v>2.4371069182389939E-2</v>
      </c>
    </row>
    <row r="226" spans="1:4" x14ac:dyDescent="0.2">
      <c r="A226" s="11">
        <v>40269</v>
      </c>
      <c r="B226" s="15">
        <f>VLOOKUP(A226,Database!A:Q,MATCH($A$1,Database!$A$1:$Q$1,),)</f>
        <v>6409</v>
      </c>
      <c r="C226" s="12">
        <f t="shared" si="6"/>
        <v>-1.6270145817344591E-2</v>
      </c>
      <c r="D226" s="13">
        <f t="shared" si="7"/>
        <v>-1.6119128031931225E-2</v>
      </c>
    </row>
    <row r="227" spans="1:4" x14ac:dyDescent="0.2">
      <c r="A227" s="10">
        <v>40299</v>
      </c>
      <c r="B227" s="15">
        <f>VLOOKUP(A227,Database!A:Q,MATCH($A$1,Database!$A$1:$Q$1,),)</f>
        <v>6496</v>
      </c>
      <c r="C227" s="12">
        <f t="shared" si="6"/>
        <v>1.3574660633484163E-2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6516</v>
      </c>
      <c r="C229" s="12">
        <f t="shared" si="6"/>
        <v>2.9244266584577496E-3</v>
      </c>
      <c r="D229" s="13">
        <f t="shared" si="7"/>
        <v>9.450038729666925E-3</v>
      </c>
    </row>
    <row r="230" spans="1:4" x14ac:dyDescent="0.2">
      <c r="A230" s="11">
        <v>40391</v>
      </c>
      <c r="B230" s="15">
        <f>VLOOKUP(A230,Database!A:Q,MATCH($A$1,Database!$A$1:$Q$1,),)</f>
        <v>6441</v>
      </c>
      <c r="C230" s="12">
        <f t="shared" si="6"/>
        <v>-1.1510128913443831E-2</v>
      </c>
      <c r="D230" s="13">
        <f t="shared" si="7"/>
        <v>-2.8213639106819552E-2</v>
      </c>
    </row>
    <row r="231" spans="1:4" x14ac:dyDescent="0.2">
      <c r="A231" s="10">
        <v>40422</v>
      </c>
      <c r="B231" s="15">
        <f>VLOOKUP(A231,Database!A:Q,MATCH($A$1,Database!$A$1:$Q$1,),)</f>
        <v>6469</v>
      </c>
      <c r="C231" s="12">
        <f t="shared" si="6"/>
        <v>4.3471510634994562E-3</v>
      </c>
      <c r="D231" s="13">
        <f t="shared" si="7"/>
        <v>-2.3133867982726712E-3</v>
      </c>
    </row>
    <row r="232" spans="1:4" x14ac:dyDescent="0.2">
      <c r="A232" s="11">
        <v>40452</v>
      </c>
      <c r="B232" s="15">
        <f>VLOOKUP(A232,Database!A:Q,MATCH($A$1,Database!$A$1:$Q$1,),)</f>
        <v>6579</v>
      </c>
      <c r="C232" s="12">
        <f t="shared" si="6"/>
        <v>1.7004173751739064E-2</v>
      </c>
      <c r="D232" s="13">
        <f t="shared" si="7"/>
        <v>2.6685393258426966E-2</v>
      </c>
    </row>
    <row r="233" spans="1:4" x14ac:dyDescent="0.2">
      <c r="A233" s="10">
        <v>40483</v>
      </c>
      <c r="B233" s="15">
        <f>VLOOKUP(A233,Database!A:Q,MATCH($A$1,Database!$A$1:$Q$1,),)</f>
        <v>6723</v>
      </c>
      <c r="C233" s="12">
        <f t="shared" si="6"/>
        <v>2.188782489740082E-2</v>
      </c>
      <c r="D233" s="13">
        <f t="shared" si="7"/>
        <v>6.595845885524021E-2</v>
      </c>
    </row>
    <row r="234" spans="1:4" x14ac:dyDescent="0.2">
      <c r="A234" s="11">
        <v>40513</v>
      </c>
      <c r="B234" s="15">
        <f>VLOOKUP(A234,Database!A:Q,MATCH($A$1,Database!$A$1:$Q$1,),)</f>
        <v>6588</v>
      </c>
      <c r="C234" s="12">
        <f t="shared" si="6"/>
        <v>-2.0080321285140562E-2</v>
      </c>
      <c r="D234" s="13">
        <f t="shared" si="7"/>
        <v>9.9647401502376207E-3</v>
      </c>
    </row>
    <row r="235" spans="1:4" x14ac:dyDescent="0.2">
      <c r="A235" s="10">
        <v>40544</v>
      </c>
      <c r="B235" s="15">
        <f>VLOOKUP(A235,Database!A:Q,MATCH($A$1,Database!$A$1:$Q$1,),)</f>
        <v>6565</v>
      </c>
      <c r="C235" s="12">
        <f t="shared" si="6"/>
        <v>-3.4911961141469339E-3</v>
      </c>
      <c r="D235" s="13">
        <f t="shared" si="7"/>
        <v>8.9134777931458437E-3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6566</v>
      </c>
      <c r="C237" s="12">
        <f t="shared" si="6"/>
        <v>-6.8068370896989866E-3</v>
      </c>
      <c r="D237" s="13">
        <f t="shared" si="7"/>
        <v>7.8280890253261699E-3</v>
      </c>
    </row>
    <row r="238" spans="1:4" x14ac:dyDescent="0.2">
      <c r="A238" s="11">
        <v>40634</v>
      </c>
      <c r="B238" s="15">
        <f>VLOOKUP(A238,Database!A:Q,MATCH($A$1,Database!$A$1:$Q$1,),)</f>
        <v>6608</v>
      </c>
      <c r="C238" s="12">
        <f t="shared" si="6"/>
        <v>6.3965884861407248E-3</v>
      </c>
      <c r="D238" s="13">
        <f t="shared" si="7"/>
        <v>3.1050085816820096E-2</v>
      </c>
    </row>
    <row r="239" spans="1:4" x14ac:dyDescent="0.2">
      <c r="A239" s="10">
        <v>40664</v>
      </c>
      <c r="B239" s="15">
        <f>VLOOKUP(A239,Database!A:Q,MATCH($A$1,Database!$A$1:$Q$1,),)</f>
        <v>6542</v>
      </c>
      <c r="C239" s="12">
        <f t="shared" si="6"/>
        <v>-9.9878934624697338E-3</v>
      </c>
      <c r="D239" s="13">
        <f t="shared" si="7"/>
        <v>7.0812807881773399E-3</v>
      </c>
    </row>
    <row r="240" spans="1:4" x14ac:dyDescent="0.2">
      <c r="A240" s="11">
        <v>40695</v>
      </c>
      <c r="B240" s="15">
        <f>VLOOKUP(A240,Database!A:Q,MATCH($A$1,Database!$A$1:$Q$1,),)</f>
        <v>6585</v>
      </c>
      <c r="C240" s="12">
        <f t="shared" si="6"/>
        <v>6.5729134821155607E-3</v>
      </c>
      <c r="D240" s="13">
        <f t="shared" si="7"/>
        <v>1.3544712944435893E-2</v>
      </c>
    </row>
    <row r="241" spans="1:4" x14ac:dyDescent="0.2">
      <c r="A241" s="10">
        <v>40725</v>
      </c>
      <c r="B241" s="15">
        <f>VLOOKUP(A241,Database!A:Q,MATCH($A$1,Database!$A$1:$Q$1,),)</f>
        <v>6462</v>
      </c>
      <c r="C241" s="12">
        <f t="shared" si="6"/>
        <v>-1.867881548974943E-2</v>
      </c>
      <c r="D241" s="13">
        <f t="shared" si="7"/>
        <v>-8.2872928176795577E-3</v>
      </c>
    </row>
    <row r="242" spans="1:4" x14ac:dyDescent="0.2">
      <c r="A242" s="11">
        <v>40756</v>
      </c>
      <c r="B242" s="15">
        <f>VLOOKUP(A242,Database!A:Q,MATCH($A$1,Database!$A$1:$Q$1,),)</f>
        <v>6661</v>
      </c>
      <c r="C242" s="12">
        <f t="shared" si="6"/>
        <v>3.0795419374806562E-2</v>
      </c>
      <c r="D242" s="13">
        <f t="shared" si="7"/>
        <v>3.4156186927495731E-2</v>
      </c>
    </row>
    <row r="243" spans="1:4" x14ac:dyDescent="0.2">
      <c r="A243" s="10">
        <v>40787</v>
      </c>
      <c r="B243" s="15">
        <f>VLOOKUP(A243,Database!A:Q,MATCH($A$1,Database!$A$1:$Q$1,),)</f>
        <v>6686</v>
      </c>
      <c r="C243" s="12">
        <f t="shared" si="6"/>
        <v>3.7531902116799279E-3</v>
      </c>
      <c r="D243" s="13">
        <f t="shared" si="7"/>
        <v>3.3544597310248878E-2</v>
      </c>
    </row>
    <row r="244" spans="1:4" x14ac:dyDescent="0.2">
      <c r="A244" s="11">
        <v>40817</v>
      </c>
      <c r="B244" s="15">
        <f>VLOOKUP(A244,Database!A:Q,MATCH($A$1,Database!$A$1:$Q$1,),)</f>
        <v>6605</v>
      </c>
      <c r="C244" s="12">
        <f t="shared" si="6"/>
        <v>-1.2114866886030511E-2</v>
      </c>
      <c r="D244" s="13">
        <f t="shared" si="7"/>
        <v>3.9519683842529256E-3</v>
      </c>
    </row>
    <row r="245" spans="1:4" x14ac:dyDescent="0.2">
      <c r="A245" s="10">
        <v>40848</v>
      </c>
      <c r="B245" s="15">
        <f>VLOOKUP(A245,Database!A:Q,MATCH($A$1,Database!$A$1:$Q$1,),)</f>
        <v>6544</v>
      </c>
      <c r="C245" s="12">
        <f t="shared" si="6"/>
        <v>-9.2354277062831197E-3</v>
      </c>
      <c r="D245" s="13">
        <f t="shared" si="7"/>
        <v>-2.6625018592890078E-2</v>
      </c>
    </row>
    <row r="246" spans="1:4" x14ac:dyDescent="0.2">
      <c r="A246" s="11">
        <v>40878</v>
      </c>
      <c r="B246" s="15">
        <f>VLOOKUP(A246,Database!A:Q,MATCH($A$1,Database!$A$1:$Q$1,),)</f>
        <v>6353</v>
      </c>
      <c r="C246" s="12">
        <f t="shared" si="6"/>
        <v>-2.9187041564792175E-2</v>
      </c>
      <c r="D246" s="13">
        <f t="shared" si="7"/>
        <v>-3.5670916818457805E-2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6683</v>
      </c>
      <c r="C248" s="12">
        <f t="shared" si="6"/>
        <v>1.6425855513307986E-2</v>
      </c>
      <c r="D248" s="13">
        <f t="shared" si="7"/>
        <v>1.0890939343518379E-2</v>
      </c>
    </row>
    <row r="249" spans="1:4" x14ac:dyDescent="0.2">
      <c r="A249" s="10">
        <v>40969</v>
      </c>
      <c r="B249" s="15">
        <f>VLOOKUP(A249,Database!A:Q,MATCH($A$1,Database!$A$1:$Q$1,),)</f>
        <v>6815</v>
      </c>
      <c r="C249" s="12">
        <f t="shared" si="6"/>
        <v>1.9751608559030374E-2</v>
      </c>
      <c r="D249" s="13">
        <f t="shared" si="7"/>
        <v>3.7922631739262871E-2</v>
      </c>
    </row>
    <row r="250" spans="1:4" x14ac:dyDescent="0.2">
      <c r="A250" s="11">
        <v>41000</v>
      </c>
      <c r="B250" s="15">
        <f>VLOOKUP(A250,Database!A:Q,MATCH($A$1,Database!$A$1:$Q$1,),)</f>
        <v>6859</v>
      </c>
      <c r="C250" s="12">
        <f t="shared" si="6"/>
        <v>6.4563462949376376E-3</v>
      </c>
      <c r="D250" s="13">
        <f t="shared" si="7"/>
        <v>3.7984261501210655E-2</v>
      </c>
    </row>
    <row r="251" spans="1:4" x14ac:dyDescent="0.2">
      <c r="A251" s="10">
        <v>41030</v>
      </c>
      <c r="B251" s="15">
        <f>VLOOKUP(A251,Database!A:Q,MATCH($A$1,Database!$A$1:$Q$1,),)</f>
        <v>6869</v>
      </c>
      <c r="C251" s="12">
        <f t="shared" si="6"/>
        <v>1.4579384749963552E-3</v>
      </c>
      <c r="D251" s="13">
        <f t="shared" si="7"/>
        <v>4.9984714154692751E-2</v>
      </c>
    </row>
    <row r="252" spans="1:4" x14ac:dyDescent="0.2">
      <c r="A252" s="11">
        <v>41061</v>
      </c>
      <c r="B252" s="15">
        <f>VLOOKUP(A252,Database!A:Q,MATCH($A$1,Database!$A$1:$Q$1,),)</f>
        <v>6797</v>
      </c>
      <c r="C252" s="12">
        <f t="shared" si="6"/>
        <v>-1.04818750909885E-2</v>
      </c>
      <c r="D252" s="13">
        <f t="shared" si="7"/>
        <v>3.2194381169324222E-2</v>
      </c>
    </row>
    <row r="253" spans="1:4" x14ac:dyDescent="0.2">
      <c r="A253" s="10">
        <v>41091</v>
      </c>
      <c r="B253" s="15">
        <f>VLOOKUP(A253,Database!A:Q,MATCH($A$1,Database!$A$1:$Q$1,),)</f>
        <v>6813</v>
      </c>
      <c r="C253" s="12">
        <f t="shared" si="6"/>
        <v>2.3539796969251139E-3</v>
      </c>
      <c r="D253" s="13">
        <f t="shared" si="7"/>
        <v>5.4317548746518104E-2</v>
      </c>
    </row>
    <row r="254" spans="1:4" x14ac:dyDescent="0.2">
      <c r="A254" s="11">
        <v>41122</v>
      </c>
      <c r="B254" s="15">
        <f>VLOOKUP(A254,Database!A:Q,MATCH($A$1,Database!$A$1:$Q$1,),)</f>
        <v>6715</v>
      </c>
      <c r="C254" s="12">
        <f t="shared" si="6"/>
        <v>-1.4384265375018346E-2</v>
      </c>
      <c r="D254" s="13">
        <f t="shared" si="7"/>
        <v>8.1068908572286442E-3</v>
      </c>
    </row>
    <row r="255" spans="1:4" x14ac:dyDescent="0.2">
      <c r="A255" s="10">
        <v>41153</v>
      </c>
      <c r="B255" s="15">
        <f>VLOOKUP(A255,Database!A:Q,MATCH($A$1,Database!$A$1:$Q$1,),)</f>
        <v>6720</v>
      </c>
      <c r="C255" s="12">
        <f t="shared" si="6"/>
        <v>7.4460163812360388E-4</v>
      </c>
      <c r="D255" s="13">
        <f t="shared" si="7"/>
        <v>5.0852527669757704E-3</v>
      </c>
    </row>
    <row r="256" spans="1:4" x14ac:dyDescent="0.2">
      <c r="A256" s="11">
        <v>41183</v>
      </c>
      <c r="B256" s="15">
        <f>VLOOKUP(A256,Database!A:Q,MATCH($A$1,Database!$A$1:$Q$1,),)</f>
        <v>6749</v>
      </c>
      <c r="C256" s="12">
        <f t="shared" si="6"/>
        <v>4.3154761904761908E-3</v>
      </c>
      <c r="D256" s="13">
        <f t="shared" si="7"/>
        <v>2.1801665404996215E-2</v>
      </c>
    </row>
    <row r="257" spans="1:4" x14ac:dyDescent="0.2">
      <c r="A257" s="10">
        <v>41214</v>
      </c>
      <c r="B257" s="15">
        <f>VLOOKUP(A257,Database!A:Q,MATCH($A$1,Database!$A$1:$Q$1,),)</f>
        <v>6675</v>
      </c>
      <c r="C257" s="12">
        <f t="shared" si="6"/>
        <v>-1.0964587346273522E-2</v>
      </c>
      <c r="D257" s="13">
        <f t="shared" si="7"/>
        <v>2.0018337408312957E-2</v>
      </c>
    </row>
    <row r="258" spans="1:4" x14ac:dyDescent="0.2">
      <c r="A258" s="11">
        <v>41244</v>
      </c>
      <c r="B258" s="15">
        <f>VLOOKUP(A258,Database!A:Q,MATCH($A$1,Database!$A$1:$Q$1,),)</f>
        <v>6828</v>
      </c>
      <c r="C258" s="12">
        <f t="shared" si="6"/>
        <v>2.2921348314606741E-2</v>
      </c>
      <c r="D258" s="13">
        <f t="shared" si="7"/>
        <v>7.4767826223831255E-2</v>
      </c>
    </row>
    <row r="259" spans="1:4" x14ac:dyDescent="0.2">
      <c r="A259" s="10">
        <v>41275</v>
      </c>
      <c r="B259" s="15">
        <f>VLOOKUP(A259,Database!A:Q,MATCH($A$1,Database!$A$1:$Q$1,),)</f>
        <v>7012</v>
      </c>
      <c r="C259" s="12">
        <f t="shared" si="6"/>
        <v>2.6947861745752782E-2</v>
      </c>
      <c r="D259" s="13">
        <f t="shared" si="7"/>
        <v>6.6463878326996198E-2</v>
      </c>
    </row>
    <row r="260" spans="1:4" x14ac:dyDescent="0.2">
      <c r="A260" s="11">
        <v>41306</v>
      </c>
      <c r="B260" s="15">
        <f>VLOOKUP(A260,Database!A:Q,MATCH($A$1,Database!$A$1:$Q$1,),)</f>
        <v>7021</v>
      </c>
      <c r="C260" s="12">
        <f t="shared" si="6"/>
        <v>1.2835139760410724E-3</v>
      </c>
      <c r="D260" s="13">
        <f t="shared" si="7"/>
        <v>5.0576088582971718E-2</v>
      </c>
    </row>
    <row r="261" spans="1:4" x14ac:dyDescent="0.2">
      <c r="A261" s="10">
        <v>41334</v>
      </c>
      <c r="B261" s="15">
        <f>VLOOKUP(A261,Database!A:Q,MATCH($A$1,Database!$A$1:$Q$1,),)</f>
        <v>6899</v>
      </c>
      <c r="C261" s="12">
        <f t="shared" si="6"/>
        <v>-1.7376442102264633E-2</v>
      </c>
      <c r="D261" s="13">
        <f t="shared" si="7"/>
        <v>1.2325752017608218E-2</v>
      </c>
    </row>
    <row r="262" spans="1:4" x14ac:dyDescent="0.2">
      <c r="A262" s="11">
        <v>41365</v>
      </c>
      <c r="B262" s="15">
        <f>VLOOKUP(A262,Database!A:Q,MATCH($A$1,Database!$A$1:$Q$1,),)</f>
        <v>6795</v>
      </c>
      <c r="C262" s="12">
        <f t="shared" si="6"/>
        <v>-1.5074648499782578E-2</v>
      </c>
      <c r="D262" s="13">
        <f t="shared" si="7"/>
        <v>-9.3308062399766727E-3</v>
      </c>
    </row>
    <row r="263" spans="1:4" x14ac:dyDescent="0.2">
      <c r="A263" s="10">
        <v>41395</v>
      </c>
      <c r="B263" s="15">
        <f>VLOOKUP(A263,Database!A:Q,MATCH($A$1,Database!$A$1:$Q$1,),)</f>
        <v>6862</v>
      </c>
      <c r="C263" s="12">
        <f t="shared" si="6"/>
        <v>9.8601913171449604E-3</v>
      </c>
      <c r="D263" s="13">
        <f t="shared" si="7"/>
        <v>-1.0190711894016596E-3</v>
      </c>
    </row>
    <row r="264" spans="1:4" x14ac:dyDescent="0.2">
      <c r="A264" s="11">
        <v>41426</v>
      </c>
      <c r="B264" s="15">
        <f>VLOOKUP(A264,Database!A:Q,MATCH($A$1,Database!$A$1:$Q$1,),)</f>
        <v>6913</v>
      </c>
      <c r="C264" s="12">
        <f t="shared" ref="C264:C327" si="8">(B264-B263)/B263</f>
        <v>7.4322354998542697E-3</v>
      </c>
      <c r="D264" s="13">
        <f t="shared" si="7"/>
        <v>1.7066352802707078E-2</v>
      </c>
    </row>
    <row r="265" spans="1:4" x14ac:dyDescent="0.2">
      <c r="A265" s="10">
        <v>41456</v>
      </c>
      <c r="B265" s="15">
        <f>VLOOKUP(A265,Database!A:Q,MATCH($A$1,Database!$A$1:$Q$1,),)</f>
        <v>6938</v>
      </c>
      <c r="C265" s="12">
        <f t="shared" si="8"/>
        <v>3.6163749457543757E-3</v>
      </c>
      <c r="D265" s="13">
        <f t="shared" si="7"/>
        <v>1.8347277264054013E-2</v>
      </c>
    </row>
    <row r="266" spans="1:4" x14ac:dyDescent="0.2">
      <c r="A266" s="11">
        <v>41487</v>
      </c>
      <c r="B266" s="15">
        <f>VLOOKUP(A266,Database!A:Q,MATCH($A$1,Database!$A$1:$Q$1,),)</f>
        <v>6713</v>
      </c>
      <c r="C266" s="12">
        <f t="shared" si="8"/>
        <v>-3.2430095128279046E-2</v>
      </c>
      <c r="D266" s="13">
        <f t="shared" si="7"/>
        <v>-2.9784065524944157E-4</v>
      </c>
    </row>
    <row r="267" spans="1:4" x14ac:dyDescent="0.2">
      <c r="A267" s="10">
        <v>41518</v>
      </c>
      <c r="B267" s="15">
        <f>VLOOKUP(A267,Database!A:Q,MATCH($A$1,Database!$A$1:$Q$1,),)</f>
        <v>6877</v>
      </c>
      <c r="C267" s="12">
        <f t="shared" si="8"/>
        <v>2.4430210040220467E-2</v>
      </c>
      <c r="D267" s="13">
        <f t="shared" si="7"/>
        <v>2.3363095238095238E-2</v>
      </c>
    </row>
    <row r="268" spans="1:4" x14ac:dyDescent="0.2">
      <c r="A268" s="11">
        <v>41548</v>
      </c>
      <c r="B268" s="15">
        <f>VLOOKUP(A268,Database!A:Q,MATCH($A$1,Database!$A$1:$Q$1,),)</f>
        <v>6860</v>
      </c>
      <c r="C268" s="12">
        <f t="shared" si="8"/>
        <v>-2.4720081430856479E-3</v>
      </c>
      <c r="D268" s="13">
        <f t="shared" si="7"/>
        <v>1.6446881019410282E-2</v>
      </c>
    </row>
    <row r="269" spans="1:4" x14ac:dyDescent="0.2">
      <c r="A269" s="10">
        <v>41579</v>
      </c>
      <c r="B269" s="15">
        <f>VLOOKUP(A269,Database!A:Q,MATCH($A$1,Database!$A$1:$Q$1,),)</f>
        <v>6875</v>
      </c>
      <c r="C269" s="12">
        <f t="shared" si="8"/>
        <v>2.1865889212827989E-3</v>
      </c>
      <c r="D269" s="13">
        <f t="shared" si="7"/>
        <v>2.9962546816479401E-2</v>
      </c>
    </row>
    <row r="270" spans="1:4" x14ac:dyDescent="0.2">
      <c r="A270" s="11">
        <v>41609</v>
      </c>
      <c r="B270" s="15">
        <f>VLOOKUP(A270,Database!A:Q,MATCH($A$1,Database!$A$1:$Q$1,),)</f>
        <v>6861</v>
      </c>
      <c r="C270" s="12">
        <f t="shared" si="8"/>
        <v>-2.0363636363636365E-3</v>
      </c>
      <c r="D270" s="13">
        <f t="shared" si="7"/>
        <v>4.8330404217926184E-3</v>
      </c>
    </row>
    <row r="271" spans="1:4" x14ac:dyDescent="0.2">
      <c r="A271" s="10">
        <v>41640</v>
      </c>
      <c r="B271" s="15">
        <f>VLOOKUP(A271,Database!A:Q,MATCH($A$1,Database!$A$1:$Q$1,),)</f>
        <v>6488</v>
      </c>
      <c r="C271" s="12">
        <f t="shared" si="8"/>
        <v>-5.4365252878589128E-2</v>
      </c>
      <c r="D271" s="13">
        <f t="shared" si="7"/>
        <v>-7.4729035938391336E-2</v>
      </c>
    </row>
    <row r="272" spans="1:4" x14ac:dyDescent="0.2">
      <c r="A272" s="11">
        <v>41671</v>
      </c>
      <c r="B272" s="15">
        <f>VLOOKUP(A272,Database!A:Q,MATCH($A$1,Database!$A$1:$Q$1,),)</f>
        <v>6795</v>
      </c>
      <c r="C272" s="12">
        <f t="shared" si="8"/>
        <v>4.7318125770653516E-2</v>
      </c>
      <c r="D272" s="13">
        <f t="shared" si="7"/>
        <v>-3.2189146845178748E-2</v>
      </c>
    </row>
    <row r="273" spans="1:4" x14ac:dyDescent="0.2">
      <c r="A273" s="10">
        <v>41699</v>
      </c>
      <c r="B273" s="15">
        <f>VLOOKUP(A273,Database!A:Q,MATCH($A$1,Database!$A$1:$Q$1,),)</f>
        <v>6803</v>
      </c>
      <c r="C273" s="12">
        <f t="shared" si="8"/>
        <v>1.177336276674025E-3</v>
      </c>
      <c r="D273" s="13">
        <f t="shared" si="7"/>
        <v>-1.3915060153645456E-2</v>
      </c>
    </row>
    <row r="274" spans="1:4" x14ac:dyDescent="0.2">
      <c r="A274" s="11">
        <v>41730</v>
      </c>
      <c r="B274" s="15">
        <f>VLOOKUP(A274,Database!A:Q,MATCH($A$1,Database!$A$1:$Q$1,),)</f>
        <v>6894</v>
      </c>
      <c r="C274" s="12">
        <f t="shared" si="8"/>
        <v>1.3376451565485815E-2</v>
      </c>
      <c r="D274" s="13">
        <f t="shared" si="7"/>
        <v>1.456953642384106E-2</v>
      </c>
    </row>
    <row r="275" spans="1:4" x14ac:dyDescent="0.2">
      <c r="A275" s="10">
        <v>41760</v>
      </c>
      <c r="B275" s="15">
        <f>VLOOKUP(A275,Database!A:Q,MATCH($A$1,Database!$A$1:$Q$1,),)</f>
        <v>6860</v>
      </c>
      <c r="C275" s="12">
        <f t="shared" si="8"/>
        <v>-4.9318247751668114E-3</v>
      </c>
      <c r="D275" s="13">
        <f t="shared" ref="D275:D338" si="9">(B275-B263)/B263</f>
        <v>-2.9146021568055963E-4</v>
      </c>
    </row>
    <row r="276" spans="1:4" x14ac:dyDescent="0.2">
      <c r="A276" s="11">
        <v>41791</v>
      </c>
      <c r="B276" s="15">
        <f>VLOOKUP(A276,Database!A:Q,MATCH($A$1,Database!$A$1:$Q$1,),)</f>
        <v>6950</v>
      </c>
      <c r="C276" s="12">
        <f t="shared" si="8"/>
        <v>1.3119533527696793E-2</v>
      </c>
      <c r="D276" s="13">
        <f t="shared" si="9"/>
        <v>5.3522349197164766E-3</v>
      </c>
    </row>
    <row r="277" spans="1:4" x14ac:dyDescent="0.2">
      <c r="A277" s="10">
        <v>41821</v>
      </c>
      <c r="B277" s="15">
        <f>VLOOKUP(A277,Database!A:Q,MATCH($A$1,Database!$A$1:$Q$1,),)</f>
        <v>6922</v>
      </c>
      <c r="C277" s="12">
        <f t="shared" si="8"/>
        <v>-4.028776978417266E-3</v>
      </c>
      <c r="D277" s="13">
        <f t="shared" si="9"/>
        <v>-2.3061400980109543E-3</v>
      </c>
    </row>
    <row r="278" spans="1:4" x14ac:dyDescent="0.2">
      <c r="A278" s="11">
        <v>41852</v>
      </c>
      <c r="B278" s="15">
        <f>VLOOKUP(A278,Database!A:Q,MATCH($A$1,Database!$A$1:$Q$1,),)</f>
        <v>7122</v>
      </c>
      <c r="C278" s="12">
        <f t="shared" si="8"/>
        <v>2.8893383415197919E-2</v>
      </c>
      <c r="D278" s="13">
        <f t="shared" si="9"/>
        <v>6.0926560405183974E-2</v>
      </c>
    </row>
    <row r="279" spans="1:4" x14ac:dyDescent="0.2">
      <c r="A279" s="10">
        <v>41883</v>
      </c>
      <c r="B279" s="15">
        <f>VLOOKUP(A279,Database!A:Q,MATCH($A$1,Database!$A$1:$Q$1,),)</f>
        <v>7043</v>
      </c>
      <c r="C279" s="12">
        <f t="shared" si="8"/>
        <v>-1.1092389778152205E-2</v>
      </c>
      <c r="D279" s="13">
        <f t="shared" si="9"/>
        <v>2.4138432456012795E-2</v>
      </c>
    </row>
    <row r="280" spans="1:4" x14ac:dyDescent="0.2">
      <c r="A280" s="11">
        <v>41913</v>
      </c>
      <c r="B280" s="15">
        <f>VLOOKUP(A280,Database!A:Q,MATCH($A$1,Database!$A$1:$Q$1,),)</f>
        <v>7156</v>
      </c>
      <c r="C280" s="12">
        <f t="shared" si="8"/>
        <v>1.6044299304273747E-2</v>
      </c>
      <c r="D280" s="13">
        <f t="shared" si="9"/>
        <v>4.3148688046647232E-2</v>
      </c>
    </row>
    <row r="281" spans="1:4" x14ac:dyDescent="0.2">
      <c r="A281" s="10">
        <v>41944</v>
      </c>
      <c r="B281" s="15">
        <f>VLOOKUP(A281,Database!A:Q,MATCH($A$1,Database!$A$1:$Q$1,),)</f>
        <v>7147</v>
      </c>
      <c r="C281" s="12">
        <f t="shared" si="8"/>
        <v>-1.257685858021241E-3</v>
      </c>
      <c r="D281" s="13">
        <f t="shared" si="9"/>
        <v>3.9563636363636363E-2</v>
      </c>
    </row>
    <row r="282" spans="1:4" x14ac:dyDescent="0.2">
      <c r="A282" s="11">
        <v>41974</v>
      </c>
      <c r="B282" s="15">
        <f>VLOOKUP(A282,Database!A:Q,MATCH($A$1,Database!$A$1:$Q$1,),)</f>
        <v>7066</v>
      </c>
      <c r="C282" s="12">
        <f t="shared" si="8"/>
        <v>-1.1333426612564713E-2</v>
      </c>
      <c r="D282" s="13">
        <f t="shared" si="9"/>
        <v>2.9879026380994024E-2</v>
      </c>
    </row>
    <row r="283" spans="1:4" x14ac:dyDescent="0.2">
      <c r="A283" s="10">
        <v>42005</v>
      </c>
      <c r="B283" s="15">
        <f>VLOOKUP(A283,Database!A:Q,MATCH($A$1,Database!$A$1:$Q$1,),)</f>
        <v>6939</v>
      </c>
      <c r="C283" s="12">
        <f t="shared" si="8"/>
        <v>-1.7973393716388338E-2</v>
      </c>
      <c r="D283" s="13">
        <f t="shared" si="9"/>
        <v>6.9512946979038218E-2</v>
      </c>
    </row>
    <row r="284" spans="1:4" x14ac:dyDescent="0.2">
      <c r="A284" s="11">
        <v>42036</v>
      </c>
      <c r="B284" s="15">
        <f>VLOOKUP(A284,Database!A:Q,MATCH($A$1,Database!$A$1:$Q$1,),)</f>
        <v>6977</v>
      </c>
      <c r="C284" s="12">
        <f t="shared" si="8"/>
        <v>5.4762934140366046E-3</v>
      </c>
      <c r="D284" s="13">
        <f t="shared" si="9"/>
        <v>2.6784400294334071E-2</v>
      </c>
    </row>
    <row r="285" spans="1:4" x14ac:dyDescent="0.2">
      <c r="A285" s="10">
        <v>42064</v>
      </c>
      <c r="B285" s="15">
        <f>VLOOKUP(A285,Database!A:Q,MATCH($A$1,Database!$A$1:$Q$1,),)</f>
        <v>7061</v>
      </c>
      <c r="C285" s="12">
        <f t="shared" si="8"/>
        <v>1.203955854951985E-2</v>
      </c>
      <c r="D285" s="13">
        <f t="shared" si="9"/>
        <v>3.7924445097750989E-2</v>
      </c>
    </row>
    <row r="286" spans="1:4" x14ac:dyDescent="0.2">
      <c r="A286" s="11">
        <v>42095</v>
      </c>
      <c r="B286" s="15">
        <f>VLOOKUP(A286,Database!A:Q,MATCH($A$1,Database!$A$1:$Q$1,),)</f>
        <v>7084</v>
      </c>
      <c r="C286" s="12">
        <f t="shared" si="8"/>
        <v>3.2573289902280132E-3</v>
      </c>
      <c r="D286" s="13">
        <f t="shared" si="9"/>
        <v>2.7560197272991006E-2</v>
      </c>
    </row>
    <row r="287" spans="1:4" x14ac:dyDescent="0.2">
      <c r="A287" s="10">
        <v>42125</v>
      </c>
      <c r="B287" s="15">
        <f>VLOOKUP(A287,Database!A:Q,MATCH($A$1,Database!$A$1:$Q$1,),)</f>
        <v>7121</v>
      </c>
      <c r="C287" s="12">
        <f t="shared" si="8"/>
        <v>5.223037831733484E-3</v>
      </c>
      <c r="D287" s="13">
        <f t="shared" si="9"/>
        <v>3.8046647230320703E-2</v>
      </c>
    </row>
    <row r="288" spans="1:4" x14ac:dyDescent="0.2">
      <c r="A288" s="11">
        <v>42156</v>
      </c>
      <c r="B288" s="15">
        <f>VLOOKUP(A288,Database!A:Q,MATCH($A$1,Database!$A$1:$Q$1,),)</f>
        <v>7069</v>
      </c>
      <c r="C288" s="12">
        <f t="shared" si="8"/>
        <v>-7.3023451762392923E-3</v>
      </c>
      <c r="D288" s="13">
        <f t="shared" si="9"/>
        <v>1.7122302158273383E-2</v>
      </c>
    </row>
    <row r="289" spans="1:4" x14ac:dyDescent="0.2">
      <c r="A289" s="10">
        <v>42186</v>
      </c>
      <c r="B289" s="15">
        <f>VLOOKUP(A289,Database!A:Q,MATCH($A$1,Database!$A$1:$Q$1,),)</f>
        <v>7124</v>
      </c>
      <c r="C289" s="12">
        <f t="shared" si="8"/>
        <v>7.7804498514641388E-3</v>
      </c>
      <c r="D289" s="13">
        <f t="shared" si="9"/>
        <v>2.9182317249349898E-2</v>
      </c>
    </row>
    <row r="290" spans="1:4" x14ac:dyDescent="0.2">
      <c r="A290" s="11">
        <v>42217</v>
      </c>
      <c r="B290" s="15">
        <f>VLOOKUP(A290,Database!A:Q,MATCH($A$1,Database!$A$1:$Q$1,),)</f>
        <v>7158</v>
      </c>
      <c r="C290" s="12">
        <f t="shared" si="8"/>
        <v>4.7725996631106122E-3</v>
      </c>
      <c r="D290" s="13">
        <f t="shared" si="9"/>
        <v>5.054759898904802E-3</v>
      </c>
    </row>
    <row r="291" spans="1:4" x14ac:dyDescent="0.2">
      <c r="A291" s="10">
        <v>42248</v>
      </c>
      <c r="B291" s="15">
        <f>VLOOKUP(A291,Database!A:Q,MATCH($A$1,Database!$A$1:$Q$1,),)</f>
        <v>7188</v>
      </c>
      <c r="C291" s="12">
        <f t="shared" si="8"/>
        <v>4.1911148365465214E-3</v>
      </c>
      <c r="D291" s="13">
        <f t="shared" si="9"/>
        <v>2.0587817691324721E-2</v>
      </c>
    </row>
    <row r="292" spans="1:4" x14ac:dyDescent="0.2">
      <c r="A292" s="11">
        <v>42278</v>
      </c>
      <c r="B292" s="15">
        <f>VLOOKUP(A292,Database!A:Q,MATCH($A$1,Database!$A$1:$Q$1,),)</f>
        <v>7082</v>
      </c>
      <c r="C292" s="12">
        <f t="shared" si="8"/>
        <v>-1.474680022259321E-2</v>
      </c>
      <c r="D292" s="13">
        <f t="shared" si="9"/>
        <v>-1.0340972610396871E-2</v>
      </c>
    </row>
    <row r="293" spans="1:4" x14ac:dyDescent="0.2">
      <c r="A293" s="10">
        <v>42309</v>
      </c>
      <c r="B293" s="15">
        <f>VLOOKUP(A293,Database!A:Q,MATCH($A$1,Database!$A$1:$Q$1,),)</f>
        <v>7195</v>
      </c>
      <c r="C293" s="12">
        <f t="shared" si="8"/>
        <v>1.5955944648404406E-2</v>
      </c>
      <c r="D293" s="13">
        <f t="shared" si="9"/>
        <v>6.7161046592976075E-3</v>
      </c>
    </row>
    <row r="294" spans="1:4" x14ac:dyDescent="0.2">
      <c r="A294" s="11">
        <v>42339</v>
      </c>
      <c r="B294" s="15">
        <f>VLOOKUP(A294,Database!A:Q,MATCH($A$1,Database!$A$1:$Q$1,),)</f>
        <v>7336</v>
      </c>
      <c r="C294" s="12">
        <f t="shared" si="8"/>
        <v>1.9596942321056288E-2</v>
      </c>
      <c r="D294" s="13">
        <f t="shared" si="9"/>
        <v>3.8211151995471274E-2</v>
      </c>
    </row>
    <row r="295" spans="1:4" x14ac:dyDescent="0.2">
      <c r="A295" s="10">
        <v>42370</v>
      </c>
      <c r="B295" s="15">
        <f>VLOOKUP(A295,Database!A:Q,MATCH($A$1,Database!$A$1:$Q$1,),)</f>
        <v>7292</v>
      </c>
      <c r="C295" s="12">
        <f t="shared" si="8"/>
        <v>-5.9978189749182115E-3</v>
      </c>
      <c r="D295" s="13">
        <f t="shared" si="9"/>
        <v>5.0871883556708457E-2</v>
      </c>
    </row>
    <row r="296" spans="1:4" x14ac:dyDescent="0.2">
      <c r="A296" s="11">
        <v>42401</v>
      </c>
      <c r="B296" s="15">
        <f>VLOOKUP(A296,Database!A:Q,MATCH($A$1,Database!$A$1:$Q$1,),)</f>
        <v>7272</v>
      </c>
      <c r="C296" s="12">
        <f t="shared" si="8"/>
        <v>-2.7427317608337905E-3</v>
      </c>
      <c r="D296" s="13">
        <f t="shared" si="9"/>
        <v>4.2281783001289951E-2</v>
      </c>
    </row>
    <row r="297" spans="1:4" x14ac:dyDescent="0.2">
      <c r="A297" s="10">
        <v>42430</v>
      </c>
      <c r="B297" s="15">
        <f>VLOOKUP(A297,Database!A:Q,MATCH($A$1,Database!$A$1:$Q$1,),)</f>
        <v>7257</v>
      </c>
      <c r="C297" s="12">
        <f t="shared" si="8"/>
        <v>-2.0627062706270625E-3</v>
      </c>
      <c r="D297" s="13">
        <f t="shared" si="9"/>
        <v>2.7758107916725675E-2</v>
      </c>
    </row>
    <row r="298" spans="1:4" x14ac:dyDescent="0.2">
      <c r="A298" s="11">
        <v>42461</v>
      </c>
      <c r="B298" s="15">
        <f>VLOOKUP(A298,Database!A:Q,MATCH($A$1,Database!$A$1:$Q$1,),)</f>
        <v>7190</v>
      </c>
      <c r="C298" s="12">
        <f t="shared" si="8"/>
        <v>-9.2324652060079924E-3</v>
      </c>
      <c r="D298" s="13">
        <f t="shared" si="9"/>
        <v>1.4963297571993224E-2</v>
      </c>
    </row>
    <row r="299" spans="1:4" x14ac:dyDescent="0.2">
      <c r="A299" s="10">
        <v>42491</v>
      </c>
      <c r="B299" s="15">
        <f>VLOOKUP(A299,Database!A:Q,MATCH($A$1,Database!$A$1:$Q$1,),)</f>
        <v>7246</v>
      </c>
      <c r="C299" s="12">
        <f t="shared" si="8"/>
        <v>7.7885952712100142E-3</v>
      </c>
      <c r="D299" s="13">
        <f t="shared" si="9"/>
        <v>1.7553714365959837E-2</v>
      </c>
    </row>
    <row r="300" spans="1:4" x14ac:dyDescent="0.2">
      <c r="A300" s="11">
        <v>42522</v>
      </c>
      <c r="B300" s="15">
        <f>VLOOKUP(A300,Database!A:Q,MATCH($A$1,Database!$A$1:$Q$1,),)</f>
        <v>7573</v>
      </c>
      <c r="C300" s="12">
        <f t="shared" si="8"/>
        <v>4.5128346674027049E-2</v>
      </c>
      <c r="D300" s="13">
        <f t="shared" si="9"/>
        <v>7.1297213184325928E-2</v>
      </c>
    </row>
    <row r="301" spans="1:4" x14ac:dyDescent="0.2">
      <c r="A301" s="10">
        <v>42552</v>
      </c>
      <c r="B301" s="15">
        <f>VLOOKUP(A301,Database!A:Q,MATCH($A$1,Database!$A$1:$Q$1,),)</f>
        <v>7203</v>
      </c>
      <c r="C301" s="12">
        <f t="shared" si="8"/>
        <v>-4.8857784233460981E-2</v>
      </c>
      <c r="D301" s="13">
        <f t="shared" si="9"/>
        <v>1.1089275687815833E-2</v>
      </c>
    </row>
    <row r="302" spans="1:4" x14ac:dyDescent="0.2">
      <c r="A302" s="11">
        <v>42583</v>
      </c>
      <c r="B302" s="15">
        <f>VLOOKUP(A302,Database!A:Q,MATCH($A$1,Database!$A$1:$Q$1,),)</f>
        <v>7013</v>
      </c>
      <c r="C302" s="12">
        <f t="shared" si="8"/>
        <v>-2.6377898098014715E-2</v>
      </c>
      <c r="D302" s="13">
        <f t="shared" si="9"/>
        <v>-2.0257055043308186E-2</v>
      </c>
    </row>
    <row r="303" spans="1:4" x14ac:dyDescent="0.2">
      <c r="A303" s="10">
        <v>42614</v>
      </c>
      <c r="B303" s="15">
        <f>VLOOKUP(A303,Database!A:Q,MATCH($A$1,Database!$A$1:$Q$1,),)</f>
        <v>7045</v>
      </c>
      <c r="C303" s="12">
        <f t="shared" si="8"/>
        <v>4.5629545130471977E-3</v>
      </c>
      <c r="D303" s="13">
        <f t="shared" si="9"/>
        <v>-1.9894268224819142E-2</v>
      </c>
    </row>
    <row r="304" spans="1:4" x14ac:dyDescent="0.2">
      <c r="A304" s="11">
        <v>42644</v>
      </c>
      <c r="B304" s="15">
        <f>VLOOKUP(A304,Database!A:Q,MATCH($A$1,Database!$A$1:$Q$1,),)</f>
        <v>7094</v>
      </c>
      <c r="C304" s="12">
        <f t="shared" si="8"/>
        <v>6.9552874378992196E-3</v>
      </c>
      <c r="D304" s="13">
        <f t="shared" si="9"/>
        <v>1.6944365998305564E-3</v>
      </c>
    </row>
    <row r="305" spans="1:4" x14ac:dyDescent="0.2">
      <c r="A305" s="10">
        <v>42675</v>
      </c>
      <c r="B305" s="15">
        <f>VLOOKUP(A305,Database!A:Q,MATCH($A$1,Database!$A$1:$Q$1,),)</f>
        <v>6952</v>
      </c>
      <c r="C305" s="12">
        <f t="shared" si="8"/>
        <v>-2.0016915703411332E-2</v>
      </c>
      <c r="D305" s="13">
        <f t="shared" si="9"/>
        <v>-3.3773453787352331E-2</v>
      </c>
    </row>
    <row r="306" spans="1:4" x14ac:dyDescent="0.2">
      <c r="A306" s="11">
        <v>42705</v>
      </c>
      <c r="B306" s="15">
        <f>VLOOKUP(A306,Database!A:Q,MATCH($A$1,Database!$A$1:$Q$1,),)</f>
        <v>7069</v>
      </c>
      <c r="C306" s="12">
        <f t="shared" si="8"/>
        <v>1.6829689298043727E-2</v>
      </c>
      <c r="D306" s="13">
        <f t="shared" si="9"/>
        <v>-3.6395856052344605E-2</v>
      </c>
    </row>
    <row r="307" spans="1:4" x14ac:dyDescent="0.2">
      <c r="A307" s="10">
        <v>42736</v>
      </c>
      <c r="B307" s="15">
        <f>VLOOKUP(A307,Database!A:Q,MATCH($A$1,Database!$A$1:$Q$1,),)</f>
        <v>7223</v>
      </c>
      <c r="C307" s="12">
        <f t="shared" si="8"/>
        <v>2.1785259584099589E-2</v>
      </c>
      <c r="D307" s="13">
        <f t="shared" si="9"/>
        <v>-9.4624245748765774E-3</v>
      </c>
    </row>
    <row r="308" spans="1:4" x14ac:dyDescent="0.2">
      <c r="A308" s="11">
        <v>42767</v>
      </c>
      <c r="B308" s="15">
        <f>VLOOKUP(A308,Database!A:Q,MATCH($A$1,Database!$A$1:$Q$1,),)</f>
        <v>7058</v>
      </c>
      <c r="C308" s="12">
        <f t="shared" si="8"/>
        <v>-2.2843693756057042E-2</v>
      </c>
      <c r="D308" s="13">
        <f t="shared" si="9"/>
        <v>-2.9427942794279429E-2</v>
      </c>
    </row>
    <row r="309" spans="1:4" x14ac:dyDescent="0.2">
      <c r="A309" s="10">
        <v>42795</v>
      </c>
      <c r="B309" s="15">
        <f>VLOOKUP(A309,Database!A:Q,MATCH($A$1,Database!$A$1:$Q$1,),)</f>
        <v>6974</v>
      </c>
      <c r="C309" s="12">
        <f t="shared" si="8"/>
        <v>-1.1901388495324454E-2</v>
      </c>
      <c r="D309" s="13">
        <f t="shared" si="9"/>
        <v>-3.8996830646272566E-2</v>
      </c>
    </row>
    <row r="310" spans="1:4" x14ac:dyDescent="0.2">
      <c r="A310" s="11">
        <v>42826</v>
      </c>
      <c r="B310" s="15">
        <f>VLOOKUP(A310,Database!A:Q,MATCH($A$1,Database!$A$1:$Q$1,),)</f>
        <v>7046</v>
      </c>
      <c r="C310" s="12">
        <f t="shared" si="8"/>
        <v>1.0324060797246917E-2</v>
      </c>
      <c r="D310" s="13">
        <f t="shared" si="9"/>
        <v>-2.0027816411682893E-2</v>
      </c>
    </row>
    <row r="311" spans="1:4" x14ac:dyDescent="0.2">
      <c r="A311" s="10">
        <v>42856</v>
      </c>
      <c r="B311" s="15">
        <f>VLOOKUP(A311,Database!A:Q,MATCH($A$1,Database!$A$1:$Q$1,),)</f>
        <v>6951</v>
      </c>
      <c r="C311" s="12">
        <f t="shared" si="8"/>
        <v>-1.3482827135963667E-2</v>
      </c>
      <c r="D311" s="13">
        <f t="shared" si="9"/>
        <v>-4.0712117030085565E-2</v>
      </c>
    </row>
    <row r="312" spans="1:4" x14ac:dyDescent="0.2">
      <c r="A312" s="11">
        <v>42887</v>
      </c>
      <c r="B312" s="15">
        <f>VLOOKUP(A312,Database!A:Q,MATCH($A$1,Database!$A$1:$Q$1,),)</f>
        <v>6963</v>
      </c>
      <c r="C312" s="12">
        <f t="shared" si="8"/>
        <v>1.7263703064307294E-3</v>
      </c>
      <c r="D312" s="13">
        <f t="shared" si="9"/>
        <v>-8.05493199524627E-2</v>
      </c>
    </row>
    <row r="313" spans="1:4" x14ac:dyDescent="0.2">
      <c r="A313" s="10">
        <v>42917</v>
      </c>
      <c r="B313" s="15">
        <f>VLOOKUP(A313,Database!A:Q,MATCH($A$1,Database!$A$1:$Q$1,),)</f>
        <v>6854</v>
      </c>
      <c r="C313" s="12">
        <f t="shared" si="8"/>
        <v>-1.5654172052276316E-2</v>
      </c>
      <c r="D313" s="13">
        <f t="shared" si="9"/>
        <v>-4.8452033874774397E-2</v>
      </c>
    </row>
    <row r="314" spans="1:4" x14ac:dyDescent="0.2">
      <c r="A314" s="11">
        <v>42948</v>
      </c>
      <c r="B314" s="15">
        <f>VLOOKUP(A314,Database!A:Q,MATCH($A$1,Database!$A$1:$Q$1,),)</f>
        <v>6921</v>
      </c>
      <c r="C314" s="12">
        <f t="shared" si="8"/>
        <v>9.7753136854391593E-3</v>
      </c>
      <c r="D314" s="13">
        <f t="shared" si="9"/>
        <v>-1.3118494225010694E-2</v>
      </c>
    </row>
    <row r="315" spans="1:4" x14ac:dyDescent="0.2">
      <c r="A315" s="10">
        <v>42979</v>
      </c>
      <c r="B315" s="15">
        <f>VLOOKUP(A315,Database!A:Q,MATCH($A$1,Database!$A$1:$Q$1,),)</f>
        <v>6985</v>
      </c>
      <c r="C315" s="12">
        <f t="shared" si="8"/>
        <v>9.2472186100274519E-3</v>
      </c>
      <c r="D315" s="13">
        <f t="shared" si="9"/>
        <v>-8.516678495386799E-3</v>
      </c>
    </row>
    <row r="316" spans="1:4" x14ac:dyDescent="0.2">
      <c r="A316" s="11">
        <v>43009</v>
      </c>
      <c r="B316" s="15">
        <f>VLOOKUP(A316,Database!A:Q,MATCH($A$1,Database!$A$1:$Q$1,),)</f>
        <v>7013</v>
      </c>
      <c r="C316" s="12">
        <f t="shared" si="8"/>
        <v>4.0085898353614891E-3</v>
      </c>
      <c r="D316" s="13">
        <f t="shared" si="9"/>
        <v>-1.1418099802650126E-2</v>
      </c>
    </row>
    <row r="317" spans="1:4" x14ac:dyDescent="0.2">
      <c r="A317" s="10">
        <v>43040</v>
      </c>
      <c r="B317" s="15">
        <f>VLOOKUP(A317,Database!A:Q,MATCH($A$1,Database!$A$1:$Q$1,),)</f>
        <v>7124</v>
      </c>
      <c r="C317" s="12">
        <f t="shared" si="8"/>
        <v>1.5827748467132467E-2</v>
      </c>
      <c r="D317" s="13">
        <f t="shared" si="9"/>
        <v>2.4741081703107019E-2</v>
      </c>
    </row>
    <row r="318" spans="1:4" x14ac:dyDescent="0.2">
      <c r="A318" s="11">
        <v>43070</v>
      </c>
      <c r="B318" s="15">
        <f>VLOOKUP(A318,Database!A:Q,MATCH($A$1,Database!$A$1:$Q$1,),)</f>
        <v>7077</v>
      </c>
      <c r="C318" s="12">
        <f t="shared" si="8"/>
        <v>-6.5974171813587869E-3</v>
      </c>
      <c r="D318" s="13">
        <f t="shared" si="9"/>
        <v>1.1317017965766021E-3</v>
      </c>
    </row>
    <row r="319" spans="1:4" x14ac:dyDescent="0.2">
      <c r="A319" s="10">
        <v>43101</v>
      </c>
      <c r="B319" s="15">
        <f>VLOOKUP(A319,Database!A:Q,MATCH($A$1,Database!$A$1:$Q$1,),)</f>
        <v>6820</v>
      </c>
      <c r="C319" s="12">
        <f t="shared" si="8"/>
        <v>-3.6314822664971033E-2</v>
      </c>
      <c r="D319" s="13">
        <f t="shared" si="9"/>
        <v>-5.5793991416309016E-2</v>
      </c>
    </row>
    <row r="320" spans="1:4" x14ac:dyDescent="0.2">
      <c r="A320" s="11">
        <v>43132</v>
      </c>
      <c r="B320" s="15">
        <f>VLOOKUP(A320,Database!A:Q,MATCH($A$1,Database!$A$1:$Q$1,),)</f>
        <v>7092</v>
      </c>
      <c r="C320" s="12">
        <f t="shared" si="8"/>
        <v>3.988269794721408E-2</v>
      </c>
      <c r="D320" s="13">
        <f t="shared" si="9"/>
        <v>4.8172286766789462E-3</v>
      </c>
    </row>
    <row r="321" spans="1:4" x14ac:dyDescent="0.2">
      <c r="A321" s="10">
        <v>43160</v>
      </c>
      <c r="B321" s="15">
        <f>VLOOKUP(A321,Database!A:Q,MATCH($A$1,Database!$A$1:$Q$1,),)</f>
        <v>7153</v>
      </c>
      <c r="C321" s="12">
        <f t="shared" si="8"/>
        <v>8.601240834743373E-3</v>
      </c>
      <c r="D321" s="13">
        <f t="shared" si="9"/>
        <v>2.5666762259822198E-2</v>
      </c>
    </row>
    <row r="322" spans="1:4" x14ac:dyDescent="0.2">
      <c r="A322" s="11">
        <v>43191</v>
      </c>
      <c r="B322" s="15">
        <f>VLOOKUP(A322,Database!A:Q,MATCH($A$1,Database!$A$1:$Q$1,),)</f>
        <v>7051</v>
      </c>
      <c r="C322" s="12">
        <f t="shared" si="8"/>
        <v>-1.4259751153362225E-2</v>
      </c>
      <c r="D322" s="13">
        <f t="shared" si="9"/>
        <v>7.09622480840193E-4</v>
      </c>
    </row>
    <row r="323" spans="1:4" x14ac:dyDescent="0.2">
      <c r="A323" s="10">
        <v>43221</v>
      </c>
      <c r="B323" s="15">
        <f>VLOOKUP(A323,Database!A:Q,MATCH($A$1,Database!$A$1:$Q$1,),)</f>
        <v>7044</v>
      </c>
      <c r="C323" s="12">
        <f t="shared" si="8"/>
        <v>-9.9276698340660893E-4</v>
      </c>
      <c r="D323" s="13">
        <f t="shared" si="9"/>
        <v>1.3379369874838154E-2</v>
      </c>
    </row>
    <row r="324" spans="1:4" x14ac:dyDescent="0.2">
      <c r="A324" s="11">
        <v>43252</v>
      </c>
      <c r="B324" s="15">
        <f>VLOOKUP(A324,Database!A:Q,MATCH($A$1,Database!$A$1:$Q$1,),)</f>
        <v>6830</v>
      </c>
      <c r="C324" s="12">
        <f t="shared" si="8"/>
        <v>-3.0380465644520158E-2</v>
      </c>
      <c r="D324" s="13">
        <f t="shared" si="9"/>
        <v>-1.9100962228924313E-2</v>
      </c>
    </row>
    <row r="325" spans="1:4" x14ac:dyDescent="0.2">
      <c r="A325" s="10">
        <v>43282</v>
      </c>
      <c r="B325" s="15">
        <f>VLOOKUP(A325,Database!A:Q,MATCH($A$1,Database!$A$1:$Q$1,),)</f>
        <v>6574</v>
      </c>
      <c r="C325" s="12">
        <f t="shared" si="8"/>
        <v>-3.7481698389458272E-2</v>
      </c>
      <c r="D325" s="13">
        <f t="shared" si="9"/>
        <v>-4.085205719288007E-2</v>
      </c>
    </row>
    <row r="326" spans="1:4" x14ac:dyDescent="0.2">
      <c r="A326" s="11">
        <v>43313</v>
      </c>
      <c r="B326" s="15">
        <f>VLOOKUP(A326,Database!A:Q,MATCH($A$1,Database!$A$1:$Q$1,),)</f>
        <v>6515</v>
      </c>
      <c r="C326" s="12">
        <f t="shared" si="8"/>
        <v>-8.9747490112564651E-3</v>
      </c>
      <c r="D326" s="13">
        <f t="shared" si="9"/>
        <v>-5.8662043057361654E-2</v>
      </c>
    </row>
    <row r="327" spans="1:4" x14ac:dyDescent="0.2">
      <c r="A327" s="10">
        <v>43344</v>
      </c>
      <c r="B327" s="15">
        <f>VLOOKUP(A327,Database!A:Q,MATCH($A$1,Database!$A$1:$Q$1,),)</f>
        <v>6426</v>
      </c>
      <c r="C327" s="12">
        <f t="shared" si="8"/>
        <v>-1.3660782808902533E-2</v>
      </c>
      <c r="D327" s="13">
        <f t="shared" si="9"/>
        <v>-8.0028632784538298E-2</v>
      </c>
    </row>
    <row r="328" spans="1:4" x14ac:dyDescent="0.2">
      <c r="A328" s="11">
        <v>43374</v>
      </c>
      <c r="B328" s="15">
        <f>VLOOKUP(A328,Database!A:Q,MATCH($A$1,Database!$A$1:$Q$1,),)</f>
        <v>6426</v>
      </c>
      <c r="C328" s="12">
        <f t="shared" ref="C328:C391" si="10">(B328-B327)/B327</f>
        <v>0</v>
      </c>
      <c r="D328" s="13">
        <f t="shared" si="9"/>
        <v>-8.3701696848709539E-2</v>
      </c>
    </row>
    <row r="329" spans="1:4" x14ac:dyDescent="0.2">
      <c r="A329" s="10">
        <v>43405</v>
      </c>
      <c r="B329" s="15">
        <f>VLOOKUP(A329,Database!A:Q,MATCH($A$1,Database!$A$1:$Q$1,),)</f>
        <v>6473</v>
      </c>
      <c r="C329" s="12">
        <f t="shared" si="10"/>
        <v>7.3140367258014314E-3</v>
      </c>
      <c r="D329" s="13">
        <f t="shared" si="9"/>
        <v>-9.1381246490735549E-2</v>
      </c>
    </row>
    <row r="330" spans="1:4" x14ac:dyDescent="0.2">
      <c r="A330" s="11">
        <v>43435</v>
      </c>
      <c r="B330" s="15">
        <f>VLOOKUP(A330,Database!A:Q,MATCH($A$1,Database!$A$1:$Q$1,),)</f>
        <v>6366</v>
      </c>
      <c r="C330" s="12">
        <f t="shared" si="10"/>
        <v>-1.6530202379113238E-2</v>
      </c>
      <c r="D330" s="13">
        <f t="shared" si="9"/>
        <v>-0.10046629927935566</v>
      </c>
    </row>
    <row r="331" spans="1:4" x14ac:dyDescent="0.2">
      <c r="A331" s="10">
        <v>43466</v>
      </c>
      <c r="B331" s="15">
        <f>VLOOKUP(A331,Database!A:Q,MATCH($A$1,Database!$A$1:$Q$1,),)</f>
        <v>6477</v>
      </c>
      <c r="C331" s="12">
        <f t="shared" si="10"/>
        <v>1.7436380772855798E-2</v>
      </c>
      <c r="D331" s="13">
        <f t="shared" si="9"/>
        <v>-5.0293255131964809E-2</v>
      </c>
    </row>
    <row r="332" spans="1:4" x14ac:dyDescent="0.2">
      <c r="A332" s="11">
        <v>43497</v>
      </c>
      <c r="B332" s="15">
        <f>VLOOKUP(A332,Database!A:Q,MATCH($A$1,Database!$A$1:$Q$1,),)</f>
        <v>6536</v>
      </c>
      <c r="C332" s="12">
        <f t="shared" si="10"/>
        <v>9.1091554732129071E-3</v>
      </c>
      <c r="D332" s="13">
        <f t="shared" si="9"/>
        <v>-7.8398195149464181E-2</v>
      </c>
    </row>
    <row r="333" spans="1:4" x14ac:dyDescent="0.2">
      <c r="A333" s="10">
        <v>43525</v>
      </c>
      <c r="B333" s="15">
        <f>VLOOKUP(A333,Database!A:Q,MATCH($A$1,Database!$A$1:$Q$1,),)</f>
        <v>6558</v>
      </c>
      <c r="C333" s="12">
        <f t="shared" si="10"/>
        <v>3.3659730722154224E-3</v>
      </c>
      <c r="D333" s="13">
        <f t="shared" si="9"/>
        <v>-8.3181881727946314E-2</v>
      </c>
    </row>
    <row r="334" spans="1:4" x14ac:dyDescent="0.2">
      <c r="A334" s="11">
        <v>43556</v>
      </c>
      <c r="B334" s="15">
        <f>VLOOKUP(A334,Database!A:Q,MATCH($A$1,Database!$A$1:$Q$1,),)</f>
        <v>6683</v>
      </c>
      <c r="C334" s="12">
        <f t="shared" si="10"/>
        <v>1.9060689234522719E-2</v>
      </c>
      <c r="D334" s="13">
        <f t="shared" si="9"/>
        <v>-5.2191178556233161E-2</v>
      </c>
    </row>
    <row r="335" spans="1:4" x14ac:dyDescent="0.2">
      <c r="A335" s="10">
        <v>43586</v>
      </c>
      <c r="B335" s="15">
        <f>VLOOKUP(A335,Database!A:Q,MATCH($A$1,Database!$A$1:$Q$1,),)</f>
        <v>6717</v>
      </c>
      <c r="C335" s="12">
        <f t="shared" si="10"/>
        <v>5.0875355379320667E-3</v>
      </c>
      <c r="D335" s="13">
        <f t="shared" si="9"/>
        <v>-4.6422487223168656E-2</v>
      </c>
    </row>
    <row r="336" spans="1:4" x14ac:dyDescent="0.2">
      <c r="A336" s="10">
        <v>43617</v>
      </c>
      <c r="B336" s="15">
        <f>VLOOKUP(A336,Database!A:Q,MATCH($A$1,Database!$A$1:$Q$1,),)</f>
        <v>6799</v>
      </c>
      <c r="C336" s="12">
        <f t="shared" si="10"/>
        <v>1.220783087687956E-2</v>
      </c>
      <c r="D336" s="13">
        <f t="shared" si="9"/>
        <v>-4.5387994143484623E-3</v>
      </c>
    </row>
    <row r="337" spans="1:4" x14ac:dyDescent="0.2">
      <c r="A337" s="11">
        <v>43647</v>
      </c>
      <c r="B337" s="15">
        <f>VLOOKUP(A337,Database!A:Q,MATCH($A$1,Database!$A$1:$Q$1,),)</f>
        <v>6680</v>
      </c>
      <c r="C337" s="12">
        <f t="shared" si="10"/>
        <v>-1.7502573907927636E-2</v>
      </c>
      <c r="D337" s="13">
        <f t="shared" si="9"/>
        <v>1.6124125342257378E-2</v>
      </c>
    </row>
    <row r="338" spans="1:4" x14ac:dyDescent="0.2">
      <c r="A338" s="10">
        <v>43678</v>
      </c>
      <c r="B338" s="15">
        <f>VLOOKUP(A338,Database!A:Q,MATCH($A$1,Database!$A$1:$Q$1,),)</f>
        <v>6740</v>
      </c>
      <c r="C338" s="12">
        <f t="shared" si="10"/>
        <v>8.9820359281437123E-3</v>
      </c>
      <c r="D338" s="13">
        <f t="shared" si="9"/>
        <v>3.4535686876438987E-2</v>
      </c>
    </row>
    <row r="339" spans="1:4" x14ac:dyDescent="0.2">
      <c r="A339" s="10">
        <v>43709</v>
      </c>
      <c r="B339" s="15">
        <f>VLOOKUP(A339,Database!A:Q,MATCH($A$1,Database!$A$1:$Q$1,),)</f>
        <v>6698</v>
      </c>
      <c r="C339" s="12">
        <f t="shared" si="10"/>
        <v>-6.231454005934718E-3</v>
      </c>
      <c r="D339" s="13">
        <f t="shared" ref="D339:D402" si="11">(B339-B327)/B327</f>
        <v>4.2328042328042326E-2</v>
      </c>
    </row>
    <row r="340" spans="1:4" x14ac:dyDescent="0.2">
      <c r="A340" s="11">
        <v>43739</v>
      </c>
      <c r="B340" s="15">
        <f>VLOOKUP(A340,Database!A:Q,MATCH($A$1,Database!$A$1:$Q$1,),)</f>
        <v>6742</v>
      </c>
      <c r="C340" s="12">
        <f t="shared" si="10"/>
        <v>6.5691251119737231E-3</v>
      </c>
      <c r="D340" s="13">
        <f t="shared" si="11"/>
        <v>4.9175225645813885E-2</v>
      </c>
    </row>
    <row r="341" spans="1:4" x14ac:dyDescent="0.2">
      <c r="A341" s="10">
        <v>43770</v>
      </c>
      <c r="B341" s="15">
        <f>VLOOKUP(A341,Database!A:Q,MATCH($A$1,Database!$A$1:$Q$1,),)</f>
        <v>6532</v>
      </c>
      <c r="C341" s="12">
        <f t="shared" si="10"/>
        <v>-3.1148027291604864E-2</v>
      </c>
      <c r="D341" s="13">
        <f t="shared" si="11"/>
        <v>9.1147844894175802E-3</v>
      </c>
    </row>
    <row r="342" spans="1:4" x14ac:dyDescent="0.2">
      <c r="A342" s="11">
        <v>43800</v>
      </c>
      <c r="B342" s="15">
        <f>VLOOKUP(A342,Database!A:Q,MATCH($A$1,Database!$A$1:$Q$1,),)</f>
        <v>6720</v>
      </c>
      <c r="C342" s="12">
        <f t="shared" si="10"/>
        <v>2.878138395590937E-2</v>
      </c>
      <c r="D342" s="13">
        <f t="shared" si="11"/>
        <v>5.5607917059377947E-2</v>
      </c>
    </row>
    <row r="343" spans="1:4" x14ac:dyDescent="0.2">
      <c r="A343" s="10">
        <v>43831</v>
      </c>
      <c r="B343" s="15">
        <f>VLOOKUP(A343,Database!A:Q,MATCH($A$1,Database!$A$1:$Q$1,),)</f>
        <v>6702</v>
      </c>
      <c r="C343" s="12">
        <f t="shared" si="10"/>
        <v>-2.6785714285714286E-3</v>
      </c>
      <c r="D343" s="13">
        <f t="shared" si="11"/>
        <v>3.4738304770727188E-2</v>
      </c>
    </row>
    <row r="344" spans="1:4" x14ac:dyDescent="0.2">
      <c r="A344" s="11">
        <v>43862</v>
      </c>
      <c r="B344" s="15">
        <f>VLOOKUP(A344,Database!A:Q,MATCH($A$1,Database!$A$1:$Q$1,),)</f>
        <v>6635</v>
      </c>
      <c r="C344" s="12">
        <f t="shared" si="10"/>
        <v>-9.9970158161742772E-3</v>
      </c>
      <c r="D344" s="13">
        <f t="shared" si="11"/>
        <v>1.5146878824969401E-2</v>
      </c>
    </row>
    <row r="345" spans="1:4" x14ac:dyDescent="0.2">
      <c r="A345" s="10">
        <v>43891</v>
      </c>
      <c r="B345" s="15">
        <f>VLOOKUP(A345,Database!A:Q,MATCH($A$1,Database!$A$1:$Q$1,),)</f>
        <v>5482</v>
      </c>
      <c r="C345" s="12">
        <f t="shared" si="10"/>
        <v>-0.17377543330821402</v>
      </c>
      <c r="D345" s="13">
        <f t="shared" si="11"/>
        <v>-0.16407441293077157</v>
      </c>
    </row>
    <row r="346" spans="1:4" x14ac:dyDescent="0.2">
      <c r="A346" s="11">
        <v>43922</v>
      </c>
      <c r="B346" s="15">
        <f>VLOOKUP(A346,Database!A:Q,MATCH($A$1,Database!$A$1:$Q$1,),)</f>
        <v>3693</v>
      </c>
      <c r="C346" s="12">
        <f t="shared" si="10"/>
        <v>-0.326340751550529</v>
      </c>
      <c r="D346" s="13">
        <f t="shared" si="11"/>
        <v>-0.44740386054167292</v>
      </c>
    </row>
    <row r="347" spans="1:4" x14ac:dyDescent="0.2">
      <c r="A347" s="10">
        <v>43952</v>
      </c>
      <c r="B347" s="15">
        <f>VLOOKUP(A347,Database!A:Q,MATCH($A$1,Database!$A$1:$Q$1,),)</f>
        <v>6455</v>
      </c>
      <c r="C347" s="12">
        <f t="shared" si="10"/>
        <v>0.74790143514757645</v>
      </c>
      <c r="D347" s="13">
        <f t="shared" si="11"/>
        <v>-3.9005508411493223E-2</v>
      </c>
    </row>
    <row r="348" spans="1:4" x14ac:dyDescent="0.2">
      <c r="A348" s="11">
        <v>43983</v>
      </c>
      <c r="B348" s="15">
        <f>VLOOKUP(A348,Database!A:Q,MATCH($A$1,Database!$A$1:$Q$1,),)</f>
        <v>8244</v>
      </c>
      <c r="C348" s="12">
        <f t="shared" si="10"/>
        <v>0.27714949651432996</v>
      </c>
      <c r="D348" s="13">
        <f t="shared" si="11"/>
        <v>0.21253125459626415</v>
      </c>
    </row>
    <row r="349" spans="1:4" x14ac:dyDescent="0.2">
      <c r="A349" s="10">
        <v>44013</v>
      </c>
      <c r="B349" s="15">
        <f>VLOOKUP(A349,Database!A:Q,MATCH($A$1,Database!$A$1:$Q$1,),)</f>
        <v>7889</v>
      </c>
      <c r="C349" s="12">
        <f t="shared" si="10"/>
        <v>-4.3061620572537603E-2</v>
      </c>
      <c r="D349" s="13">
        <f t="shared" si="11"/>
        <v>0.18098802395209582</v>
      </c>
    </row>
    <row r="350" spans="1:4" x14ac:dyDescent="0.2">
      <c r="A350" s="11">
        <v>44044</v>
      </c>
      <c r="B350" s="15">
        <f>VLOOKUP(A350,Database!A:Q,MATCH($A$1,Database!$A$1:$Q$1,),)</f>
        <v>7467</v>
      </c>
      <c r="C350" s="12">
        <f t="shared" si="10"/>
        <v>-5.3492204335150208E-2</v>
      </c>
      <c r="D350" s="13">
        <f t="shared" si="11"/>
        <v>0.10786350148367953</v>
      </c>
    </row>
    <row r="351" spans="1:4" x14ac:dyDescent="0.2">
      <c r="A351" s="10">
        <v>44075</v>
      </c>
      <c r="B351" s="15">
        <f>VLOOKUP(A351,Database!A:Q,MATCH($A$1,Database!$A$1:$Q$1,),)</f>
        <v>7855</v>
      </c>
      <c r="C351" s="12">
        <f t="shared" si="10"/>
        <v>5.1961965983661443E-2</v>
      </c>
      <c r="D351" s="13">
        <f t="shared" si="11"/>
        <v>0.17273813078530906</v>
      </c>
    </row>
    <row r="352" spans="1:4" x14ac:dyDescent="0.2">
      <c r="A352" s="11">
        <v>44105</v>
      </c>
      <c r="B352" s="15">
        <f>VLOOKUP(A352,Database!A:Q,MATCH($A$1,Database!$A$1:$Q$1,),)</f>
        <v>7764</v>
      </c>
      <c r="C352" s="12">
        <f t="shared" si="10"/>
        <v>-1.1584977721196691E-2</v>
      </c>
      <c r="D352" s="13">
        <f t="shared" si="11"/>
        <v>0.15158706615247702</v>
      </c>
    </row>
    <row r="353" spans="1:4" x14ac:dyDescent="0.2">
      <c r="A353" s="10">
        <v>44136</v>
      </c>
      <c r="B353" s="15">
        <f>VLOOKUP(A353,Database!A:Q,MATCH($A$1,Database!$A$1:$Q$1,),)</f>
        <v>7664</v>
      </c>
      <c r="C353" s="12">
        <f t="shared" si="10"/>
        <v>-1.287995878413189E-2</v>
      </c>
      <c r="D353" s="13">
        <f t="shared" si="11"/>
        <v>0.17330067360685855</v>
      </c>
    </row>
    <row r="354" spans="1:4" x14ac:dyDescent="0.2">
      <c r="A354" s="11">
        <v>44166</v>
      </c>
      <c r="B354" s="15">
        <f>VLOOKUP(A354,Database!A:Q,MATCH($A$1,Database!$A$1:$Q$1,),)</f>
        <v>7711</v>
      </c>
      <c r="C354" s="12">
        <f t="shared" si="10"/>
        <v>6.132567849686848E-3</v>
      </c>
      <c r="D354" s="13">
        <f t="shared" si="11"/>
        <v>0.1474702380952381</v>
      </c>
    </row>
    <row r="355" spans="1:4" x14ac:dyDescent="0.2">
      <c r="A355" s="10">
        <v>44197</v>
      </c>
      <c r="B355" s="15">
        <f>VLOOKUP(A355,Database!A:Q,MATCH($A$1,Database!$A$1:$Q$1,),)</f>
        <v>8545</v>
      </c>
      <c r="C355" s="12">
        <f t="shared" si="10"/>
        <v>0.10815717805732071</v>
      </c>
      <c r="D355" s="13">
        <f t="shared" si="11"/>
        <v>0.27499253954043568</v>
      </c>
    </row>
    <row r="356" spans="1:4" x14ac:dyDescent="0.2">
      <c r="A356" s="11">
        <v>44228</v>
      </c>
      <c r="B356" s="15">
        <f>VLOOKUP(A356,Database!A:Q,MATCH($A$1,Database!$A$1:$Q$1,),)</f>
        <v>7830</v>
      </c>
      <c r="C356" s="12">
        <f t="shared" si="10"/>
        <v>-8.3674663545933295E-2</v>
      </c>
      <c r="D356" s="13">
        <f t="shared" si="11"/>
        <v>0.18010550113036924</v>
      </c>
    </row>
    <row r="357" spans="1:4" x14ac:dyDescent="0.2">
      <c r="A357" s="10">
        <v>44256</v>
      </c>
      <c r="B357" s="15">
        <f>VLOOKUP(A357,Database!A:Q,MATCH($A$1,Database!$A$1:$Q$1,),)</f>
        <v>9513</v>
      </c>
      <c r="C357" s="12">
        <f t="shared" si="10"/>
        <v>0.21494252873563219</v>
      </c>
      <c r="D357" s="13">
        <f t="shared" si="11"/>
        <v>0.73531557825611094</v>
      </c>
    </row>
    <row r="358" spans="1:4" x14ac:dyDescent="0.2">
      <c r="A358" s="11">
        <v>44287</v>
      </c>
      <c r="B358" s="15">
        <f>VLOOKUP(A358,Database!A:Q,MATCH($A$1,Database!$A$1:$Q$1,),)</f>
        <v>9367</v>
      </c>
      <c r="C358" s="12">
        <f t="shared" si="10"/>
        <v>-1.5347419320929255E-2</v>
      </c>
      <c r="D358" s="13">
        <f t="shared" si="11"/>
        <v>1.5364202545356078</v>
      </c>
    </row>
    <row r="359" spans="1:4" x14ac:dyDescent="0.2">
      <c r="A359" s="10">
        <v>44317</v>
      </c>
      <c r="B359" s="15">
        <f>VLOOKUP(A359,Database!A:Q,MATCH($A$1,Database!$A$1:$Q$1,),)</f>
        <v>9095</v>
      </c>
      <c r="C359" s="12">
        <f t="shared" si="10"/>
        <v>-2.9038112522686024E-2</v>
      </c>
      <c r="D359" s="13">
        <f t="shared" si="11"/>
        <v>0.40898528272656853</v>
      </c>
    </row>
    <row r="360" spans="1:4" x14ac:dyDescent="0.2">
      <c r="A360" s="11">
        <v>44348</v>
      </c>
      <c r="B360" s="15">
        <f>VLOOKUP(A360,Database!A:Q,MATCH($A$1,Database!$A$1:$Q$1,),)</f>
        <v>8957</v>
      </c>
      <c r="C360" s="12">
        <f t="shared" si="10"/>
        <v>-1.5173172072567345E-2</v>
      </c>
      <c r="D360" s="13">
        <f t="shared" si="11"/>
        <v>8.6487142163998054E-2</v>
      </c>
    </row>
    <row r="361" spans="1:4" x14ac:dyDescent="0.2">
      <c r="A361" s="10">
        <v>44378</v>
      </c>
      <c r="B361" s="15">
        <f>VLOOKUP(A361,Database!A:Q,MATCH($A$1,Database!$A$1:$Q$1,),)</f>
        <v>8876</v>
      </c>
      <c r="C361" s="12">
        <f t="shared" si="10"/>
        <v>-9.0432064307245721E-3</v>
      </c>
      <c r="D361" s="13">
        <f t="shared" si="11"/>
        <v>0.12511091393078971</v>
      </c>
    </row>
    <row r="362" spans="1:4" x14ac:dyDescent="0.2">
      <c r="A362" s="11">
        <v>44409</v>
      </c>
      <c r="B362" s="15">
        <f>VLOOKUP(A362,Database!A:Q,MATCH($A$1,Database!$A$1:$Q$1,),)</f>
        <v>8951</v>
      </c>
      <c r="C362" s="12">
        <f t="shared" si="10"/>
        <v>8.4497521406038754E-3</v>
      </c>
      <c r="D362" s="13">
        <f t="shared" si="11"/>
        <v>0.19874112762823087</v>
      </c>
    </row>
    <row r="363" spans="1:4" x14ac:dyDescent="0.2">
      <c r="A363" s="11">
        <v>44440</v>
      </c>
      <c r="B363" s="15">
        <f>VLOOKUP(A363,Database!A:Q,MATCH($A$1,Database!$A$1:$Q$1,),)</f>
        <v>8951</v>
      </c>
      <c r="C363" s="12">
        <f t="shared" si="10"/>
        <v>0</v>
      </c>
      <c r="D363" s="13">
        <f t="shared" si="11"/>
        <v>0.13952896244430299</v>
      </c>
    </row>
    <row r="364" spans="1:4" x14ac:dyDescent="0.2">
      <c r="A364" s="10">
        <v>44470</v>
      </c>
      <c r="B364" s="15">
        <f>VLOOKUP(A364,Database!A:Q,MATCH($A$1,Database!$A$1:$Q$1,),)</f>
        <v>9020</v>
      </c>
      <c r="C364" s="12">
        <f t="shared" si="10"/>
        <v>7.7086359066026143E-3</v>
      </c>
      <c r="D364" s="13">
        <f t="shared" si="11"/>
        <v>0.16177228232869656</v>
      </c>
    </row>
    <row r="365" spans="1:4" x14ac:dyDescent="0.2">
      <c r="A365" s="11">
        <v>44501</v>
      </c>
      <c r="B365" s="15">
        <f>VLOOKUP(A365,Database!A:Q,MATCH($A$1,Database!$A$1:$Q$1,),)</f>
        <v>9194</v>
      </c>
      <c r="C365" s="12">
        <f t="shared" si="10"/>
        <v>1.9290465631929047E-2</v>
      </c>
      <c r="D365" s="13">
        <f t="shared" si="11"/>
        <v>0.19963465553235907</v>
      </c>
    </row>
    <row r="366" spans="1:4" x14ac:dyDescent="0.2">
      <c r="A366" s="10">
        <v>44531</v>
      </c>
      <c r="B366" s="15">
        <f>VLOOKUP(A366,Database!A:Q,MATCH($A$1,Database!$A$1:$Q$1,),)</f>
        <v>8968</v>
      </c>
      <c r="C366" s="12">
        <f t="shared" si="10"/>
        <v>-2.4581248640417663E-2</v>
      </c>
      <c r="D366" s="13">
        <f t="shared" si="11"/>
        <v>0.16301387628063804</v>
      </c>
    </row>
    <row r="367" spans="1:4" x14ac:dyDescent="0.2">
      <c r="A367" s="10">
        <v>44562</v>
      </c>
      <c r="B367" s="15">
        <f>VLOOKUP(A367,Database!A:Q,MATCH($A$1,Database!$A$1:$Q$1,),)</f>
        <v>8877</v>
      </c>
      <c r="C367" s="12">
        <f t="shared" si="10"/>
        <v>-1.0147190008920606E-2</v>
      </c>
      <c r="D367" s="13">
        <f t="shared" si="11"/>
        <v>3.8853130485664134E-2</v>
      </c>
    </row>
    <row r="368" spans="1:4" x14ac:dyDescent="0.2">
      <c r="A368" s="10">
        <v>44593</v>
      </c>
      <c r="B368" s="15">
        <f>VLOOKUP(A368,Database!A:Q,MATCH($A$1,Database!$A$1:$Q$1,),)</f>
        <v>8916</v>
      </c>
      <c r="C368" s="12">
        <f t="shared" si="10"/>
        <v>4.3933761405880369E-3</v>
      </c>
      <c r="D368" s="13">
        <f t="shared" si="11"/>
        <v>0.13869731800766283</v>
      </c>
    </row>
    <row r="369" spans="1:4" x14ac:dyDescent="0.2">
      <c r="A369" s="11">
        <v>44621</v>
      </c>
      <c r="B369" s="15">
        <f>VLOOKUP(A369,Database!A:Q,MATCH($A$1,Database!$A$1:$Q$1,),)</f>
        <v>9009</v>
      </c>
      <c r="C369" s="12">
        <f t="shared" si="10"/>
        <v>1.0430686406460296E-2</v>
      </c>
      <c r="D369" s="13">
        <f t="shared" si="11"/>
        <v>-5.2980132450331126E-2</v>
      </c>
    </row>
    <row r="370" spans="1:4" x14ac:dyDescent="0.2">
      <c r="A370" s="10">
        <v>44652</v>
      </c>
      <c r="B370" s="15">
        <f>VLOOKUP(A370,Database!A:Q,MATCH($A$1,Database!$A$1:$Q$1,),)</f>
        <v>9069</v>
      </c>
      <c r="C370" s="12">
        <f t="shared" si="10"/>
        <v>6.66000666000666E-3</v>
      </c>
      <c r="D370" s="13">
        <f t="shared" si="11"/>
        <v>-3.1813814455001602E-2</v>
      </c>
    </row>
    <row r="371" spans="1:4" x14ac:dyDescent="0.2">
      <c r="A371" s="11">
        <v>44682</v>
      </c>
      <c r="B371" s="15">
        <f>VLOOKUP(A371,Database!A:Q,MATCH($A$1,Database!$A$1:$Q$1,),)</f>
        <v>9153</v>
      </c>
      <c r="C371" s="12">
        <f t="shared" si="10"/>
        <v>9.2623221964935488E-3</v>
      </c>
      <c r="D371" s="13">
        <f t="shared" si="11"/>
        <v>6.3771302913688838E-3</v>
      </c>
    </row>
    <row r="372" spans="1:4" x14ac:dyDescent="0.2">
      <c r="A372" s="11">
        <v>44713</v>
      </c>
      <c r="B372" s="15">
        <f>VLOOKUP(A372,Database!A:Q,MATCH($A$1,Database!$A$1:$Q$1,),)</f>
        <v>9206</v>
      </c>
      <c r="C372" s="12">
        <f t="shared" si="10"/>
        <v>5.7904512181798321E-3</v>
      </c>
      <c r="D372" s="13">
        <f t="shared" si="11"/>
        <v>2.7799486435190354E-2</v>
      </c>
    </row>
    <row r="373" spans="1:4" x14ac:dyDescent="0.2">
      <c r="A373" s="11">
        <v>44743</v>
      </c>
      <c r="B373" s="15">
        <f>VLOOKUP(A373,Database!A:Q,MATCH($A$1,Database!$A$1:$Q$1,),)</f>
        <v>9218</v>
      </c>
      <c r="C373" s="12">
        <f t="shared" si="10"/>
        <v>1.303497718878992E-3</v>
      </c>
      <c r="D373" s="13">
        <f t="shared" ref="D373" si="12">(B373-B361)/B361</f>
        <v>3.853086976115367E-2</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3"/>
  <sheetViews>
    <sheetView zoomScale="150" zoomScaleNormal="150" workbookViewId="0">
      <pane ySplit="6" topLeftCell="A362" activePane="bottomLeft" state="frozen"/>
      <selection pane="bottomLeft" activeCell="C378" sqref="C378"/>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49844</v>
      </c>
      <c r="C223" s="12">
        <f t="shared" si="6"/>
        <v>3.7658336186237591E-3</v>
      </c>
      <c r="D223" s="13">
        <f t="shared" si="7"/>
        <v>1.1280636260347346E-2</v>
      </c>
    </row>
    <row r="224" spans="1:4" x14ac:dyDescent="0.2">
      <c r="A224" s="11">
        <v>40210</v>
      </c>
      <c r="B224" s="15">
        <f>VLOOKUP(A224,Database!A:Q,MATCH($A$1,Database!$A$1:$Q$1,),)</f>
        <v>50538</v>
      </c>
      <c r="C224" s="12">
        <f t="shared" si="6"/>
        <v>1.3923441136345398E-2</v>
      </c>
      <c r="D224" s="13">
        <f t="shared" si="7"/>
        <v>2.7216000325209863E-2</v>
      </c>
    </row>
    <row r="225" spans="1:4" x14ac:dyDescent="0.2">
      <c r="A225" s="10">
        <v>40238</v>
      </c>
      <c r="B225" s="15">
        <f>VLOOKUP(A225,Database!A:Q,MATCH($A$1,Database!$A$1:$Q$1,),)</f>
        <v>50095</v>
      </c>
      <c r="C225" s="12">
        <f t="shared" si="6"/>
        <v>-8.7656812695397525E-3</v>
      </c>
      <c r="D225" s="13">
        <f t="shared" si="7"/>
        <v>2.5696150696150697E-2</v>
      </c>
    </row>
    <row r="226" spans="1:4" x14ac:dyDescent="0.2">
      <c r="A226" s="11">
        <v>40269</v>
      </c>
      <c r="B226" s="15">
        <f>VLOOKUP(A226,Database!A:Q,MATCH($A$1,Database!$A$1:$Q$1,),)</f>
        <v>50650</v>
      </c>
      <c r="C226" s="12">
        <f t="shared" si="6"/>
        <v>1.1078949995009482E-2</v>
      </c>
      <c r="D226" s="13">
        <f t="shared" si="7"/>
        <v>3.6062756970155666E-2</v>
      </c>
    </row>
    <row r="227" spans="1:4" x14ac:dyDescent="0.2">
      <c r="A227" s="10">
        <v>40299</v>
      </c>
      <c r="B227" s="15">
        <f>VLOOKUP(A227,Database!A:Q,MATCH($A$1,Database!$A$1:$Q$1,),)</f>
        <v>50023</v>
      </c>
      <c r="C227" s="12">
        <f t="shared" si="6"/>
        <v>-1.2379072063178677E-2</v>
      </c>
      <c r="D227" s="13">
        <f t="shared" si="7"/>
        <v>1.9109707649994905E-2</v>
      </c>
    </row>
    <row r="228" spans="1:4" x14ac:dyDescent="0.2">
      <c r="A228" s="11">
        <v>40330</v>
      </c>
      <c r="B228" s="15">
        <f>VLOOKUP(A228,Database!A:Q,MATCH($A$1,Database!$A$1:$Q$1,),)</f>
        <v>49966</v>
      </c>
      <c r="C228" s="12">
        <f t="shared" si="6"/>
        <v>-1.1394758411130881E-3</v>
      </c>
      <c r="D228" s="13">
        <f t="shared" si="7"/>
        <v>2.4061321528119364E-2</v>
      </c>
    </row>
    <row r="229" spans="1:4" x14ac:dyDescent="0.2">
      <c r="A229" s="10">
        <v>40360</v>
      </c>
      <c r="B229" s="15">
        <f>VLOOKUP(A229,Database!A:Q,MATCH($A$1,Database!$A$1:$Q$1,),)</f>
        <v>49913</v>
      </c>
      <c r="C229" s="12">
        <f t="shared" si="6"/>
        <v>-1.0607212904775248E-3</v>
      </c>
      <c r="D229" s="13">
        <f t="shared" si="7"/>
        <v>2.2555928869950011E-2</v>
      </c>
    </row>
    <row r="230" spans="1:4" x14ac:dyDescent="0.2">
      <c r="A230" s="11">
        <v>40391</v>
      </c>
      <c r="B230" s="15">
        <f>VLOOKUP(A230,Database!A:Q,MATCH($A$1,Database!$A$1:$Q$1,),)</f>
        <v>50133</v>
      </c>
      <c r="C230" s="12">
        <f t="shared" si="6"/>
        <v>4.4076693446597082E-3</v>
      </c>
      <c r="D230" s="13">
        <f t="shared" si="7"/>
        <v>2.4502390975599787E-2</v>
      </c>
    </row>
    <row r="231" spans="1:4" x14ac:dyDescent="0.2">
      <c r="A231" s="10">
        <v>40422</v>
      </c>
      <c r="B231" s="15">
        <f>VLOOKUP(A231,Database!A:Q,MATCH($A$1,Database!$A$1:$Q$1,),)</f>
        <v>50297</v>
      </c>
      <c r="C231" s="12">
        <f t="shared" si="6"/>
        <v>3.2712983463985797E-3</v>
      </c>
      <c r="D231" s="13">
        <f t="shared" si="7"/>
        <v>2.1881349045103617E-2</v>
      </c>
    </row>
    <row r="232" spans="1:4" x14ac:dyDescent="0.2">
      <c r="A232" s="11">
        <v>40452</v>
      </c>
      <c r="B232" s="15">
        <f>VLOOKUP(A232,Database!A:Q,MATCH($A$1,Database!$A$1:$Q$1,),)</f>
        <v>50255</v>
      </c>
      <c r="C232" s="12">
        <f t="shared" si="6"/>
        <v>-8.3503986321251762E-4</v>
      </c>
      <c r="D232" s="13">
        <f t="shared" si="7"/>
        <v>1.0658622423328306E-2</v>
      </c>
    </row>
    <row r="233" spans="1:4" x14ac:dyDescent="0.2">
      <c r="A233" s="10">
        <v>40483</v>
      </c>
      <c r="B233" s="15">
        <f>VLOOKUP(A233,Database!A:Q,MATCH($A$1,Database!$A$1:$Q$1,),)</f>
        <v>51382</v>
      </c>
      <c r="C233" s="12">
        <f t="shared" si="6"/>
        <v>2.2425629290617848E-2</v>
      </c>
      <c r="D233" s="13">
        <f t="shared" si="7"/>
        <v>4.5284400683538124E-2</v>
      </c>
    </row>
    <row r="234" spans="1:4" x14ac:dyDescent="0.2">
      <c r="A234" s="11">
        <v>40513</v>
      </c>
      <c r="B234" s="15">
        <f>VLOOKUP(A234,Database!A:Q,MATCH($A$1,Database!$A$1:$Q$1,),)</f>
        <v>50935</v>
      </c>
      <c r="C234" s="12">
        <f t="shared" si="6"/>
        <v>-8.69954458759877E-3</v>
      </c>
      <c r="D234" s="13">
        <f t="shared" si="7"/>
        <v>2.5736552751877882E-2</v>
      </c>
    </row>
    <row r="235" spans="1:4" x14ac:dyDescent="0.2">
      <c r="A235" s="10">
        <v>40544</v>
      </c>
      <c r="B235" s="15">
        <f>VLOOKUP(A235,Database!A:Q,MATCH($A$1,Database!$A$1:$Q$1,),)</f>
        <v>50889</v>
      </c>
      <c r="C235" s="12">
        <f t="shared" si="6"/>
        <v>-9.031118091685482E-4</v>
      </c>
      <c r="D235" s="13">
        <f t="shared" si="7"/>
        <v>2.0965412085707406E-2</v>
      </c>
    </row>
    <row r="236" spans="1:4" x14ac:dyDescent="0.2">
      <c r="A236" s="11">
        <v>40575</v>
      </c>
      <c r="B236" s="15">
        <f>VLOOKUP(A236,Database!A:Q,MATCH($A$1,Database!$A$1:$Q$1,),)</f>
        <v>51513</v>
      </c>
      <c r="C236" s="12">
        <f t="shared" si="6"/>
        <v>1.2261981960738078E-2</v>
      </c>
      <c r="D236" s="13">
        <f t="shared" si="7"/>
        <v>1.9292413629348214E-2</v>
      </c>
    </row>
    <row r="237" spans="1:4" x14ac:dyDescent="0.2">
      <c r="A237" s="10">
        <v>40603</v>
      </c>
      <c r="B237" s="15">
        <f>VLOOKUP(A237,Database!A:Q,MATCH($A$1,Database!$A$1:$Q$1,),)</f>
        <v>51635</v>
      </c>
      <c r="C237" s="12">
        <f t="shared" si="6"/>
        <v>2.3683342068992292E-3</v>
      </c>
      <c r="D237" s="13">
        <f t="shared" si="7"/>
        <v>3.0741590977143428E-2</v>
      </c>
    </row>
    <row r="238" spans="1:4" x14ac:dyDescent="0.2">
      <c r="A238" s="11">
        <v>40634</v>
      </c>
      <c r="B238" s="15">
        <f>VLOOKUP(A238,Database!A:Q,MATCH($A$1,Database!$A$1:$Q$1,),)</f>
        <v>52018</v>
      </c>
      <c r="C238" s="12">
        <f t="shared" si="6"/>
        <v>7.4174494044737093E-3</v>
      </c>
      <c r="D238" s="13">
        <f t="shared" si="7"/>
        <v>2.700888450148075E-2</v>
      </c>
    </row>
    <row r="239" spans="1:4" x14ac:dyDescent="0.2">
      <c r="A239" s="10">
        <v>40664</v>
      </c>
      <c r="B239" s="15">
        <f>VLOOKUP(A239,Database!A:Q,MATCH($A$1,Database!$A$1:$Q$1,),)</f>
        <v>51752</v>
      </c>
      <c r="C239" s="12">
        <f t="shared" si="6"/>
        <v>-5.1136145180514436E-3</v>
      </c>
      <c r="D239" s="13">
        <f t="shared" si="7"/>
        <v>3.4564100513763671E-2</v>
      </c>
    </row>
    <row r="240" spans="1:4" x14ac:dyDescent="0.2">
      <c r="A240" s="11">
        <v>40695</v>
      </c>
      <c r="B240" s="15">
        <f>VLOOKUP(A240,Database!A:Q,MATCH($A$1,Database!$A$1:$Q$1,),)</f>
        <v>52419</v>
      </c>
      <c r="C240" s="12">
        <f t="shared" si="6"/>
        <v>1.2888390786829495E-2</v>
      </c>
      <c r="D240" s="13">
        <f t="shared" si="7"/>
        <v>4.9093383500780532E-2</v>
      </c>
    </row>
    <row r="241" spans="1:4" x14ac:dyDescent="0.2">
      <c r="A241" s="10">
        <v>40725</v>
      </c>
      <c r="B241" s="15">
        <f>VLOOKUP(A241,Database!A:Q,MATCH($A$1,Database!$A$1:$Q$1,),)</f>
        <v>52110</v>
      </c>
      <c r="C241" s="12">
        <f t="shared" si="6"/>
        <v>-5.8948091340925999E-3</v>
      </c>
      <c r="D241" s="13">
        <f t="shared" si="7"/>
        <v>4.4016588864624444E-2</v>
      </c>
    </row>
    <row r="242" spans="1:4" x14ac:dyDescent="0.2">
      <c r="A242" s="11">
        <v>40756</v>
      </c>
      <c r="B242" s="15">
        <f>VLOOKUP(A242,Database!A:Q,MATCH($A$1,Database!$A$1:$Q$1,),)</f>
        <v>52132</v>
      </c>
      <c r="C242" s="12">
        <f t="shared" si="6"/>
        <v>4.2218384187296107E-4</v>
      </c>
      <c r="D242" s="13">
        <f t="shared" si="7"/>
        <v>3.9873935332016837E-2</v>
      </c>
    </row>
    <row r="243" spans="1:4" x14ac:dyDescent="0.2">
      <c r="A243" s="10">
        <v>40787</v>
      </c>
      <c r="B243" s="15">
        <f>VLOOKUP(A243,Database!A:Q,MATCH($A$1,Database!$A$1:$Q$1,),)</f>
        <v>52570</v>
      </c>
      <c r="C243" s="12">
        <f t="shared" si="6"/>
        <v>8.4017494053556362E-3</v>
      </c>
      <c r="D243" s="13">
        <f t="shared" si="7"/>
        <v>4.5191562121001255E-2</v>
      </c>
    </row>
    <row r="244" spans="1:4" x14ac:dyDescent="0.2">
      <c r="A244" s="11">
        <v>40817</v>
      </c>
      <c r="B244" s="15">
        <f>VLOOKUP(A244,Database!A:Q,MATCH($A$1,Database!$A$1:$Q$1,),)</f>
        <v>52463</v>
      </c>
      <c r="C244" s="12">
        <f t="shared" si="6"/>
        <v>-2.0353813962335934E-3</v>
      </c>
      <c r="D244" s="13">
        <f t="shared" si="7"/>
        <v>4.3935926773455376E-2</v>
      </c>
    </row>
    <row r="245" spans="1:4" x14ac:dyDescent="0.2">
      <c r="A245" s="10">
        <v>40848</v>
      </c>
      <c r="B245" s="15">
        <f>VLOOKUP(A245,Database!A:Q,MATCH($A$1,Database!$A$1:$Q$1,),)</f>
        <v>52639</v>
      </c>
      <c r="C245" s="12">
        <f t="shared" si="6"/>
        <v>3.3547452490326514E-3</v>
      </c>
      <c r="D245" s="13">
        <f t="shared" si="7"/>
        <v>2.4463820014791172E-2</v>
      </c>
    </row>
    <row r="246" spans="1:4" x14ac:dyDescent="0.2">
      <c r="A246" s="11">
        <v>40878</v>
      </c>
      <c r="B246" s="15">
        <f>VLOOKUP(A246,Database!A:Q,MATCH($A$1,Database!$A$1:$Q$1,),)</f>
        <v>52459</v>
      </c>
      <c r="C246" s="12">
        <f t="shared" si="6"/>
        <v>-3.4195178479834343E-3</v>
      </c>
      <c r="D246" s="13">
        <f t="shared" si="7"/>
        <v>2.9920486895062333E-2</v>
      </c>
    </row>
    <row r="247" spans="1:4" x14ac:dyDescent="0.2">
      <c r="A247" s="10">
        <v>40909</v>
      </c>
      <c r="B247" s="15">
        <f>VLOOKUP(A247,Database!A:Q,MATCH($A$1,Database!$A$1:$Q$1,),)</f>
        <v>53097</v>
      </c>
      <c r="C247" s="12">
        <f t="shared" si="6"/>
        <v>1.2161878800587125E-2</v>
      </c>
      <c r="D247" s="13">
        <f t="shared" si="7"/>
        <v>4.3388551553380887E-2</v>
      </c>
    </row>
    <row r="248" spans="1:4" x14ac:dyDescent="0.2">
      <c r="A248" s="11">
        <v>40940</v>
      </c>
      <c r="B248" s="15">
        <f>VLOOKUP(A248,Database!A:Q,MATCH($A$1,Database!$A$1:$Q$1,),)</f>
        <v>53944</v>
      </c>
      <c r="C248" s="12">
        <f t="shared" si="6"/>
        <v>1.595193702092397E-2</v>
      </c>
      <c r="D248" s="13">
        <f t="shared" si="7"/>
        <v>4.7191970958787105E-2</v>
      </c>
    </row>
    <row r="249" spans="1:4" x14ac:dyDescent="0.2">
      <c r="A249" s="10">
        <v>40969</v>
      </c>
      <c r="B249" s="15">
        <f>VLOOKUP(A249,Database!A:Q,MATCH($A$1,Database!$A$1:$Q$1,),)</f>
        <v>53681</v>
      </c>
      <c r="C249" s="12">
        <f t="shared" si="6"/>
        <v>-4.8754263680854219E-3</v>
      </c>
      <c r="D249" s="13">
        <f t="shared" si="7"/>
        <v>3.9624285852619345E-2</v>
      </c>
    </row>
    <row r="250" spans="1:4" x14ac:dyDescent="0.2">
      <c r="A250" s="11">
        <v>41000</v>
      </c>
      <c r="B250" s="15">
        <f>VLOOKUP(A250,Database!A:Q,MATCH($A$1,Database!$A$1:$Q$1,),)</f>
        <v>53301</v>
      </c>
      <c r="C250" s="12">
        <f t="shared" si="6"/>
        <v>-7.0788547158212407E-3</v>
      </c>
      <c r="D250" s="13">
        <f t="shared" si="7"/>
        <v>2.4664539197969935E-2</v>
      </c>
    </row>
    <row r="251" spans="1:4" x14ac:dyDescent="0.2">
      <c r="A251" s="10">
        <v>41030</v>
      </c>
      <c r="B251" s="15">
        <f>VLOOKUP(A251,Database!A:Q,MATCH($A$1,Database!$A$1:$Q$1,),)</f>
        <v>53117</v>
      </c>
      <c r="C251" s="12">
        <f t="shared" si="6"/>
        <v>-3.4520928312789627E-3</v>
      </c>
      <c r="D251" s="13">
        <f t="shared" si="7"/>
        <v>2.6375792239913435E-2</v>
      </c>
    </row>
    <row r="252" spans="1:4" x14ac:dyDescent="0.2">
      <c r="A252" s="11">
        <v>41061</v>
      </c>
      <c r="B252" s="15">
        <f>VLOOKUP(A252,Database!A:Q,MATCH($A$1,Database!$A$1:$Q$1,),)</f>
        <v>53158</v>
      </c>
      <c r="C252" s="12">
        <f t="shared" si="6"/>
        <v>7.7188094207127664E-4</v>
      </c>
      <c r="D252" s="13">
        <f t="shared" si="7"/>
        <v>1.409794158606612E-2</v>
      </c>
    </row>
    <row r="253" spans="1:4" x14ac:dyDescent="0.2">
      <c r="A253" s="10">
        <v>41091</v>
      </c>
      <c r="B253" s="15">
        <f>VLOOKUP(A253,Database!A:Q,MATCH($A$1,Database!$A$1:$Q$1,),)</f>
        <v>53303</v>
      </c>
      <c r="C253" s="12">
        <f t="shared" si="6"/>
        <v>2.7277173708566914E-3</v>
      </c>
      <c r="D253" s="13">
        <f t="shared" si="7"/>
        <v>2.2893878334292843E-2</v>
      </c>
    </row>
    <row r="254" spans="1:4" x14ac:dyDescent="0.2">
      <c r="A254" s="11">
        <v>41122</v>
      </c>
      <c r="B254" s="15">
        <f>VLOOKUP(A254,Database!A:Q,MATCH($A$1,Database!$A$1:$Q$1,),)</f>
        <v>53564</v>
      </c>
      <c r="C254" s="12">
        <f t="shared" si="6"/>
        <v>4.8965349042267787E-3</v>
      </c>
      <c r="D254" s="13">
        <f t="shared" si="7"/>
        <v>2.7468733215683265E-2</v>
      </c>
    </row>
    <row r="255" spans="1:4" x14ac:dyDescent="0.2">
      <c r="A255" s="10">
        <v>41153</v>
      </c>
      <c r="B255" s="15">
        <f>VLOOKUP(A255,Database!A:Q,MATCH($A$1,Database!$A$1:$Q$1,),)</f>
        <v>53450</v>
      </c>
      <c r="C255" s="12">
        <f t="shared" si="6"/>
        <v>-2.1282951235904713E-3</v>
      </c>
      <c r="D255" s="13">
        <f t="shared" si="7"/>
        <v>1.6739585314818336E-2</v>
      </c>
    </row>
    <row r="256" spans="1:4" x14ac:dyDescent="0.2">
      <c r="A256" s="11">
        <v>41183</v>
      </c>
      <c r="B256" s="15">
        <f>VLOOKUP(A256,Database!A:Q,MATCH($A$1,Database!$A$1:$Q$1,),)</f>
        <v>53646</v>
      </c>
      <c r="C256" s="12">
        <f t="shared" si="6"/>
        <v>3.666978484565014E-3</v>
      </c>
      <c r="D256" s="13">
        <f t="shared" si="7"/>
        <v>2.2549225168213789E-2</v>
      </c>
    </row>
    <row r="257" spans="1:4" x14ac:dyDescent="0.2">
      <c r="A257" s="10">
        <v>41214</v>
      </c>
      <c r="B257" s="15">
        <f>VLOOKUP(A257,Database!A:Q,MATCH($A$1,Database!$A$1:$Q$1,),)</f>
        <v>53436</v>
      </c>
      <c r="C257" s="12">
        <f t="shared" si="6"/>
        <v>-3.9145509450844423E-3</v>
      </c>
      <c r="D257" s="13">
        <f t="shared" si="7"/>
        <v>1.514086513801554E-2</v>
      </c>
    </row>
    <row r="258" spans="1:4" x14ac:dyDescent="0.2">
      <c r="A258" s="11">
        <v>41244</v>
      </c>
      <c r="B258" s="15">
        <f>VLOOKUP(A258,Database!A:Q,MATCH($A$1,Database!$A$1:$Q$1,),)</f>
        <v>53698</v>
      </c>
      <c r="C258" s="12">
        <f t="shared" si="6"/>
        <v>4.9030616064076656E-3</v>
      </c>
      <c r="D258" s="13">
        <f t="shared" si="7"/>
        <v>2.3618444880764027E-2</v>
      </c>
    </row>
    <row r="259" spans="1:4" x14ac:dyDescent="0.2">
      <c r="A259" s="10">
        <v>41275</v>
      </c>
      <c r="B259" s="15">
        <f>VLOOKUP(A259,Database!A:Q,MATCH($A$1,Database!$A$1:$Q$1,),)</f>
        <v>54062</v>
      </c>
      <c r="C259" s="12">
        <f t="shared" si="6"/>
        <v>6.7786509739655105E-3</v>
      </c>
      <c r="D259" s="13">
        <f t="shared" si="7"/>
        <v>1.8174284799517864E-2</v>
      </c>
    </row>
    <row r="260" spans="1:4" x14ac:dyDescent="0.2">
      <c r="A260" s="11">
        <v>41306</v>
      </c>
      <c r="B260" s="15">
        <f>VLOOKUP(A260,Database!A:Q,MATCH($A$1,Database!$A$1:$Q$1,),)</f>
        <v>54584</v>
      </c>
      <c r="C260" s="12">
        <f t="shared" si="6"/>
        <v>9.6555806296474422E-3</v>
      </c>
      <c r="D260" s="13">
        <f t="shared" si="7"/>
        <v>1.1864155420436008E-2</v>
      </c>
    </row>
    <row r="261" spans="1:4" x14ac:dyDescent="0.2">
      <c r="A261" s="10">
        <v>41334</v>
      </c>
      <c r="B261" s="15">
        <f>VLOOKUP(A261,Database!A:Q,MATCH($A$1,Database!$A$1:$Q$1,),)</f>
        <v>54227</v>
      </c>
      <c r="C261" s="12">
        <f t="shared" si="6"/>
        <v>-6.5403781327861643E-3</v>
      </c>
      <c r="D261" s="13">
        <f t="shared" si="7"/>
        <v>1.0171196512732624E-2</v>
      </c>
    </row>
    <row r="262" spans="1:4" x14ac:dyDescent="0.2">
      <c r="A262" s="11">
        <v>41365</v>
      </c>
      <c r="B262" s="15">
        <f>VLOOKUP(A262,Database!A:Q,MATCH($A$1,Database!$A$1:$Q$1,),)</f>
        <v>54152</v>
      </c>
      <c r="C262" s="12">
        <f t="shared" si="6"/>
        <v>-1.3830748520109908E-3</v>
      </c>
      <c r="D262" s="13">
        <f t="shared" si="7"/>
        <v>1.5965929344665203E-2</v>
      </c>
    </row>
    <row r="263" spans="1:4" x14ac:dyDescent="0.2">
      <c r="A263" s="10">
        <v>41395</v>
      </c>
      <c r="B263" s="15">
        <f>VLOOKUP(A263,Database!A:Q,MATCH($A$1,Database!$A$1:$Q$1,),)</f>
        <v>54488</v>
      </c>
      <c r="C263" s="12">
        <f t="shared" si="6"/>
        <v>6.2047569803516025E-3</v>
      </c>
      <c r="D263" s="13">
        <f t="shared" si="7"/>
        <v>2.5810945648285861E-2</v>
      </c>
    </row>
    <row r="264" spans="1:4" x14ac:dyDescent="0.2">
      <c r="A264" s="11">
        <v>41426</v>
      </c>
      <c r="B264" s="15">
        <f>VLOOKUP(A264,Database!A:Q,MATCH($A$1,Database!$A$1:$Q$1,),)</f>
        <v>54418</v>
      </c>
      <c r="C264" s="12">
        <f t="shared" ref="C264:C327" si="8">(B264-B263)/B263</f>
        <v>-1.2846865364850976E-3</v>
      </c>
      <c r="D264" s="13">
        <f t="shared" si="7"/>
        <v>2.3702923360547801E-2</v>
      </c>
    </row>
    <row r="265" spans="1:4" x14ac:dyDescent="0.2">
      <c r="A265" s="10">
        <v>41456</v>
      </c>
      <c r="B265" s="15">
        <f>VLOOKUP(A265,Database!A:Q,MATCH($A$1,Database!$A$1:$Q$1,),)</f>
        <v>54644</v>
      </c>
      <c r="C265" s="12">
        <f t="shared" si="8"/>
        <v>4.1530375978536512E-3</v>
      </c>
      <c r="D265" s="13">
        <f t="shared" si="7"/>
        <v>2.5158058645854828E-2</v>
      </c>
    </row>
    <row r="266" spans="1:4" x14ac:dyDescent="0.2">
      <c r="A266" s="11">
        <v>41487</v>
      </c>
      <c r="B266" s="15">
        <f>VLOOKUP(A266,Database!A:Q,MATCH($A$1,Database!$A$1:$Q$1,),)</f>
        <v>54470</v>
      </c>
      <c r="C266" s="12">
        <f t="shared" si="8"/>
        <v>-3.1842471268574775E-3</v>
      </c>
      <c r="D266" s="13">
        <f t="shared" si="7"/>
        <v>1.6914345455903219E-2</v>
      </c>
    </row>
    <row r="267" spans="1:4" x14ac:dyDescent="0.2">
      <c r="A267" s="10">
        <v>41518</v>
      </c>
      <c r="B267" s="15">
        <f>VLOOKUP(A267,Database!A:Q,MATCH($A$1,Database!$A$1:$Q$1,),)</f>
        <v>54841</v>
      </c>
      <c r="C267" s="12">
        <f t="shared" si="8"/>
        <v>6.8110886726638516E-3</v>
      </c>
      <c r="D267" s="13">
        <f t="shared" si="7"/>
        <v>2.6024321796071094E-2</v>
      </c>
    </row>
    <row r="268" spans="1:4" x14ac:dyDescent="0.2">
      <c r="A268" s="11">
        <v>41548</v>
      </c>
      <c r="B268" s="15">
        <f>VLOOKUP(A268,Database!A:Q,MATCH($A$1,Database!$A$1:$Q$1,),)</f>
        <v>54845</v>
      </c>
      <c r="C268" s="12">
        <f t="shared" si="8"/>
        <v>7.2938130231031524E-5</v>
      </c>
      <c r="D268" s="13">
        <f t="shared" si="7"/>
        <v>2.2350221824553554E-2</v>
      </c>
    </row>
    <row r="269" spans="1:4" x14ac:dyDescent="0.2">
      <c r="A269" s="10">
        <v>41579</v>
      </c>
      <c r="B269" s="15">
        <f>VLOOKUP(A269,Database!A:Q,MATCH($A$1,Database!$A$1:$Q$1,),)</f>
        <v>54799</v>
      </c>
      <c r="C269" s="12">
        <f t="shared" si="8"/>
        <v>-8.3872732245418905E-4</v>
      </c>
      <c r="D269" s="13">
        <f t="shared" si="7"/>
        <v>2.5507148738678046E-2</v>
      </c>
    </row>
    <row r="270" spans="1:4" x14ac:dyDescent="0.2">
      <c r="A270" s="11">
        <v>41609</v>
      </c>
      <c r="B270" s="15">
        <f>VLOOKUP(A270,Database!A:Q,MATCH($A$1,Database!$A$1:$Q$1,),)</f>
        <v>54632</v>
      </c>
      <c r="C270" s="12">
        <f t="shared" si="8"/>
        <v>-3.0475008668041387E-3</v>
      </c>
      <c r="D270" s="13">
        <f t="shared" si="7"/>
        <v>1.7393571455175238E-2</v>
      </c>
    </row>
    <row r="271" spans="1:4" x14ac:dyDescent="0.2">
      <c r="A271" s="10">
        <v>41640</v>
      </c>
      <c r="B271" s="15">
        <f>VLOOKUP(A271,Database!A:Q,MATCH($A$1,Database!$A$1:$Q$1,),)</f>
        <v>54553</v>
      </c>
      <c r="C271" s="12">
        <f t="shared" si="8"/>
        <v>-1.4460389515302387E-3</v>
      </c>
      <c r="D271" s="13">
        <f t="shared" si="7"/>
        <v>9.0821649217565012E-3</v>
      </c>
    </row>
    <row r="272" spans="1:4" x14ac:dyDescent="0.2">
      <c r="A272" s="11">
        <v>41671</v>
      </c>
      <c r="B272" s="15">
        <f>VLOOKUP(A272,Database!A:Q,MATCH($A$1,Database!$A$1:$Q$1,),)</f>
        <v>55394</v>
      </c>
      <c r="C272" s="12">
        <f t="shared" si="8"/>
        <v>1.5416200758895019E-2</v>
      </c>
      <c r="D272" s="13">
        <f t="shared" si="7"/>
        <v>1.483951341052323E-2</v>
      </c>
    </row>
    <row r="273" spans="1:4" x14ac:dyDescent="0.2">
      <c r="A273" s="10">
        <v>41699</v>
      </c>
      <c r="B273" s="15">
        <f>VLOOKUP(A273,Database!A:Q,MATCH($A$1,Database!$A$1:$Q$1,),)</f>
        <v>55526</v>
      </c>
      <c r="C273" s="12">
        <f t="shared" si="8"/>
        <v>2.3829295591580317E-3</v>
      </c>
      <c r="D273" s="13">
        <f t="shared" si="7"/>
        <v>2.395485643683036E-2</v>
      </c>
    </row>
    <row r="274" spans="1:4" x14ac:dyDescent="0.2">
      <c r="A274" s="11">
        <v>41730</v>
      </c>
      <c r="B274" s="15">
        <f>VLOOKUP(A274,Database!A:Q,MATCH($A$1,Database!$A$1:$Q$1,),)</f>
        <v>55954</v>
      </c>
      <c r="C274" s="12">
        <f t="shared" si="8"/>
        <v>7.7081007095774956E-3</v>
      </c>
      <c r="D274" s="13">
        <f t="shared" si="7"/>
        <v>3.3276702614861868E-2</v>
      </c>
    </row>
    <row r="275" spans="1:4" x14ac:dyDescent="0.2">
      <c r="A275" s="10">
        <v>41760</v>
      </c>
      <c r="B275" s="15">
        <f>VLOOKUP(A275,Database!A:Q,MATCH($A$1,Database!$A$1:$Q$1,),)</f>
        <v>55977</v>
      </c>
      <c r="C275" s="12">
        <f t="shared" si="8"/>
        <v>4.1105193551846159E-4</v>
      </c>
      <c r="D275" s="13">
        <f t="shared" ref="D275:D338" si="9">(B275-B263)/B263</f>
        <v>2.7327117897518721E-2</v>
      </c>
    </row>
    <row r="276" spans="1:4" x14ac:dyDescent="0.2">
      <c r="A276" s="11">
        <v>41791</v>
      </c>
      <c r="B276" s="15">
        <f>VLOOKUP(A276,Database!A:Q,MATCH($A$1,Database!$A$1:$Q$1,),)</f>
        <v>55945</v>
      </c>
      <c r="C276" s="12">
        <f t="shared" si="8"/>
        <v>-5.7166336173785661E-4</v>
      </c>
      <c r="D276" s="13">
        <f t="shared" si="9"/>
        <v>2.8060568194347459E-2</v>
      </c>
    </row>
    <row r="277" spans="1:4" x14ac:dyDescent="0.2">
      <c r="A277" s="10">
        <v>41821</v>
      </c>
      <c r="B277" s="15">
        <f>VLOOKUP(A277,Database!A:Q,MATCH($A$1,Database!$A$1:$Q$1,),)</f>
        <v>56080</v>
      </c>
      <c r="C277" s="12">
        <f t="shared" si="8"/>
        <v>2.4130842792027883E-3</v>
      </c>
      <c r="D277" s="13">
        <f t="shared" si="9"/>
        <v>2.6279188931996194E-2</v>
      </c>
    </row>
    <row r="278" spans="1:4" x14ac:dyDescent="0.2">
      <c r="A278" s="11">
        <v>41852</v>
      </c>
      <c r="B278" s="15">
        <f>VLOOKUP(A278,Database!A:Q,MATCH($A$1,Database!$A$1:$Q$1,),)</f>
        <v>56404</v>
      </c>
      <c r="C278" s="12">
        <f t="shared" si="8"/>
        <v>5.7774607703281024E-3</v>
      </c>
      <c r="D278" s="13">
        <f t="shared" si="9"/>
        <v>3.550578299981641E-2</v>
      </c>
    </row>
    <row r="279" spans="1:4" x14ac:dyDescent="0.2">
      <c r="A279" s="10">
        <v>41883</v>
      </c>
      <c r="B279" s="15">
        <f>VLOOKUP(A279,Database!A:Q,MATCH($A$1,Database!$A$1:$Q$1,),)</f>
        <v>56074</v>
      </c>
      <c r="C279" s="12">
        <f t="shared" si="8"/>
        <v>-5.8506488901496345E-3</v>
      </c>
      <c r="D279" s="13">
        <f t="shared" si="9"/>
        <v>2.2483178643715469E-2</v>
      </c>
    </row>
    <row r="280" spans="1:4" x14ac:dyDescent="0.2">
      <c r="A280" s="11">
        <v>41913</v>
      </c>
      <c r="B280" s="15">
        <f>VLOOKUP(A280,Database!A:Q,MATCH($A$1,Database!$A$1:$Q$1,),)</f>
        <v>56232</v>
      </c>
      <c r="C280" s="12">
        <f t="shared" si="8"/>
        <v>2.8177051753040623E-3</v>
      </c>
      <c r="D280" s="13">
        <f t="shared" si="9"/>
        <v>2.5289452092260006E-2</v>
      </c>
    </row>
    <row r="281" spans="1:4" x14ac:dyDescent="0.2">
      <c r="A281" s="10">
        <v>41944</v>
      </c>
      <c r="B281" s="15">
        <f>VLOOKUP(A281,Database!A:Q,MATCH($A$1,Database!$A$1:$Q$1,),)</f>
        <v>56337</v>
      </c>
      <c r="C281" s="12">
        <f t="shared" si="8"/>
        <v>1.8672641912078531E-3</v>
      </c>
      <c r="D281" s="13">
        <f t="shared" si="9"/>
        <v>2.8066205587693207E-2</v>
      </c>
    </row>
    <row r="282" spans="1:4" x14ac:dyDescent="0.2">
      <c r="A282" s="11">
        <v>41974</v>
      </c>
      <c r="B282" s="15">
        <f>VLOOKUP(A282,Database!A:Q,MATCH($A$1,Database!$A$1:$Q$1,),)</f>
        <v>56353</v>
      </c>
      <c r="C282" s="12">
        <f t="shared" si="8"/>
        <v>2.8400518309459145E-4</v>
      </c>
      <c r="D282" s="13">
        <f t="shared" si="9"/>
        <v>3.1501683994728365E-2</v>
      </c>
    </row>
    <row r="283" spans="1:4" x14ac:dyDescent="0.2">
      <c r="A283" s="10">
        <v>42005</v>
      </c>
      <c r="B283" s="15">
        <f>VLOOKUP(A283,Database!A:Q,MATCH($A$1,Database!$A$1:$Q$1,),)</f>
        <v>56507</v>
      </c>
      <c r="C283" s="12">
        <f t="shared" si="8"/>
        <v>2.7327737653718522E-3</v>
      </c>
      <c r="D283" s="13">
        <f t="shared" si="9"/>
        <v>3.5818378457646689E-2</v>
      </c>
    </row>
    <row r="284" spans="1:4" x14ac:dyDescent="0.2">
      <c r="A284" s="11">
        <v>42036</v>
      </c>
      <c r="B284" s="15">
        <f>VLOOKUP(A284,Database!A:Q,MATCH($A$1,Database!$A$1:$Q$1,),)</f>
        <v>56147</v>
      </c>
      <c r="C284" s="12">
        <f t="shared" si="8"/>
        <v>-6.3708921018634859E-3</v>
      </c>
      <c r="D284" s="13">
        <f t="shared" si="9"/>
        <v>1.3593529985196954E-2</v>
      </c>
    </row>
    <row r="285" spans="1:4" x14ac:dyDescent="0.2">
      <c r="A285" s="10">
        <v>42064</v>
      </c>
      <c r="B285" s="15">
        <f>VLOOKUP(A285,Database!A:Q,MATCH($A$1,Database!$A$1:$Q$1,),)</f>
        <v>56316</v>
      </c>
      <c r="C285" s="12">
        <f t="shared" si="8"/>
        <v>3.0099560083352629E-3</v>
      </c>
      <c r="D285" s="13">
        <f t="shared" si="9"/>
        <v>1.4227569066743507E-2</v>
      </c>
    </row>
    <row r="286" spans="1:4" x14ac:dyDescent="0.2">
      <c r="A286" s="11">
        <v>42095</v>
      </c>
      <c r="B286" s="15">
        <f>VLOOKUP(A286,Database!A:Q,MATCH($A$1,Database!$A$1:$Q$1,),)</f>
        <v>56230</v>
      </c>
      <c r="C286" s="12">
        <f t="shared" si="8"/>
        <v>-1.527097094964131E-3</v>
      </c>
      <c r="D286" s="13">
        <f t="shared" si="9"/>
        <v>4.9326232262215395E-3</v>
      </c>
    </row>
    <row r="287" spans="1:4" x14ac:dyDescent="0.2">
      <c r="A287" s="10">
        <v>42125</v>
      </c>
      <c r="B287" s="15">
        <f>VLOOKUP(A287,Database!A:Q,MATCH($A$1,Database!$A$1:$Q$1,),)</f>
        <v>56735</v>
      </c>
      <c r="C287" s="12">
        <f t="shared" si="8"/>
        <v>8.980971011915348E-3</v>
      </c>
      <c r="D287" s="13">
        <f t="shared" si="9"/>
        <v>1.3541275881165479E-2</v>
      </c>
    </row>
    <row r="288" spans="1:4" x14ac:dyDescent="0.2">
      <c r="A288" s="11">
        <v>42156</v>
      </c>
      <c r="B288" s="15">
        <f>VLOOKUP(A288,Database!A:Q,MATCH($A$1,Database!$A$1:$Q$1,),)</f>
        <v>56607</v>
      </c>
      <c r="C288" s="12">
        <f t="shared" si="8"/>
        <v>-2.2561029346963957E-3</v>
      </c>
      <c r="D288" s="13">
        <f t="shared" si="9"/>
        <v>1.1833050317275896E-2</v>
      </c>
    </row>
    <row r="289" spans="1:4" x14ac:dyDescent="0.2">
      <c r="A289" s="10">
        <v>42186</v>
      </c>
      <c r="B289" s="15">
        <f>VLOOKUP(A289,Database!A:Q,MATCH($A$1,Database!$A$1:$Q$1,),)</f>
        <v>56915</v>
      </c>
      <c r="C289" s="12">
        <f t="shared" si="8"/>
        <v>5.4410231950112178E-3</v>
      </c>
      <c r="D289" s="13">
        <f t="shared" si="9"/>
        <v>1.4889443651925821E-2</v>
      </c>
    </row>
    <row r="290" spans="1:4" x14ac:dyDescent="0.2">
      <c r="A290" s="11">
        <v>42217</v>
      </c>
      <c r="B290" s="15">
        <f>VLOOKUP(A290,Database!A:Q,MATCH($A$1,Database!$A$1:$Q$1,),)</f>
        <v>56752</v>
      </c>
      <c r="C290" s="12">
        <f t="shared" si="8"/>
        <v>-2.863919880523588E-3</v>
      </c>
      <c r="D290" s="13">
        <f t="shared" si="9"/>
        <v>6.1697751932487058E-3</v>
      </c>
    </row>
    <row r="291" spans="1:4" x14ac:dyDescent="0.2">
      <c r="A291" s="10">
        <v>42248</v>
      </c>
      <c r="B291" s="15">
        <f>VLOOKUP(A291,Database!A:Q,MATCH($A$1,Database!$A$1:$Q$1,),)</f>
        <v>57139</v>
      </c>
      <c r="C291" s="12">
        <f t="shared" si="8"/>
        <v>6.8191429376938256E-3</v>
      </c>
      <c r="D291" s="13">
        <f t="shared" si="9"/>
        <v>1.8992759567714092E-2</v>
      </c>
    </row>
    <row r="292" spans="1:4" x14ac:dyDescent="0.2">
      <c r="A292" s="11">
        <v>42278</v>
      </c>
      <c r="B292" s="15">
        <f>VLOOKUP(A292,Database!A:Q,MATCH($A$1,Database!$A$1:$Q$1,),)</f>
        <v>56789</v>
      </c>
      <c r="C292" s="12">
        <f t="shared" si="8"/>
        <v>-6.1254134654089151E-3</v>
      </c>
      <c r="D292" s="13">
        <f t="shared" si="9"/>
        <v>9.9053919476454685E-3</v>
      </c>
    </row>
    <row r="293" spans="1:4" x14ac:dyDescent="0.2">
      <c r="A293" s="10">
        <v>42309</v>
      </c>
      <c r="B293" s="15">
        <f>VLOOKUP(A293,Database!A:Q,MATCH($A$1,Database!$A$1:$Q$1,),)</f>
        <v>56970</v>
      </c>
      <c r="C293" s="12">
        <f t="shared" si="8"/>
        <v>3.1872369649051753E-3</v>
      </c>
      <c r="D293" s="13">
        <f t="shared" si="9"/>
        <v>1.1235955056179775E-2</v>
      </c>
    </row>
    <row r="294" spans="1:4" x14ac:dyDescent="0.2">
      <c r="A294" s="11">
        <v>42339</v>
      </c>
      <c r="B294" s="15">
        <f>VLOOKUP(A294,Database!A:Q,MATCH($A$1,Database!$A$1:$Q$1,),)</f>
        <v>57204</v>
      </c>
      <c r="C294" s="12">
        <f t="shared" si="8"/>
        <v>4.1074249605055294E-3</v>
      </c>
      <c r="D294" s="13">
        <f t="shared" si="9"/>
        <v>1.5101236846308094E-2</v>
      </c>
    </row>
    <row r="295" spans="1:4" x14ac:dyDescent="0.2">
      <c r="A295" s="10">
        <v>42370</v>
      </c>
      <c r="B295" s="15">
        <f>VLOOKUP(A295,Database!A:Q,MATCH($A$1,Database!$A$1:$Q$1,),)</f>
        <v>56301</v>
      </c>
      <c r="C295" s="12">
        <f t="shared" si="8"/>
        <v>-1.5785609397944201E-2</v>
      </c>
      <c r="D295" s="13">
        <f t="shared" si="9"/>
        <v>-3.6455660360663281E-3</v>
      </c>
    </row>
    <row r="296" spans="1:4" x14ac:dyDescent="0.2">
      <c r="A296" s="11">
        <v>42401</v>
      </c>
      <c r="B296" s="15">
        <f>VLOOKUP(A296,Database!A:Q,MATCH($A$1,Database!$A$1:$Q$1,),)</f>
        <v>57209</v>
      </c>
      <c r="C296" s="12">
        <f t="shared" si="8"/>
        <v>1.6127599865011277E-2</v>
      </c>
      <c r="D296" s="13">
        <f t="shared" si="9"/>
        <v>1.8914634797941119E-2</v>
      </c>
    </row>
    <row r="297" spans="1:4" x14ac:dyDescent="0.2">
      <c r="A297" s="10">
        <v>42430</v>
      </c>
      <c r="B297" s="15">
        <f>VLOOKUP(A297,Database!A:Q,MATCH($A$1,Database!$A$1:$Q$1,),)</f>
        <v>56986</v>
      </c>
      <c r="C297" s="12">
        <f t="shared" si="8"/>
        <v>-3.8979880787987902E-3</v>
      </c>
      <c r="D297" s="13">
        <f t="shared" si="9"/>
        <v>1.1897151786348462E-2</v>
      </c>
    </row>
    <row r="298" spans="1:4" x14ac:dyDescent="0.2">
      <c r="A298" s="11">
        <v>42461</v>
      </c>
      <c r="B298" s="15">
        <f>VLOOKUP(A298,Database!A:Q,MATCH($A$1,Database!$A$1:$Q$1,),)</f>
        <v>56870</v>
      </c>
      <c r="C298" s="12">
        <f t="shared" si="8"/>
        <v>-2.0355876882041202E-3</v>
      </c>
      <c r="D298" s="13">
        <f t="shared" si="9"/>
        <v>1.1381824648764005E-2</v>
      </c>
    </row>
    <row r="299" spans="1:4" x14ac:dyDescent="0.2">
      <c r="A299" s="10">
        <v>42491</v>
      </c>
      <c r="B299" s="15">
        <f>VLOOKUP(A299,Database!A:Q,MATCH($A$1,Database!$A$1:$Q$1,),)</f>
        <v>56608</v>
      </c>
      <c r="C299" s="12">
        <f t="shared" si="8"/>
        <v>-4.6069984174432919E-3</v>
      </c>
      <c r="D299" s="13">
        <f t="shared" si="9"/>
        <v>-2.2384771305190799E-3</v>
      </c>
    </row>
    <row r="300" spans="1:4" x14ac:dyDescent="0.2">
      <c r="A300" s="11">
        <v>42522</v>
      </c>
      <c r="B300" s="15">
        <f>VLOOKUP(A300,Database!A:Q,MATCH($A$1,Database!$A$1:$Q$1,),)</f>
        <v>57111</v>
      </c>
      <c r="C300" s="12">
        <f t="shared" si="8"/>
        <v>8.885669869983041E-3</v>
      </c>
      <c r="D300" s="13">
        <f t="shared" si="9"/>
        <v>8.9034925009274478E-3</v>
      </c>
    </row>
    <row r="301" spans="1:4" x14ac:dyDescent="0.2">
      <c r="A301" s="10">
        <v>42552</v>
      </c>
      <c r="B301" s="15">
        <f>VLOOKUP(A301,Database!A:Q,MATCH($A$1,Database!$A$1:$Q$1,),)</f>
        <v>56779</v>
      </c>
      <c r="C301" s="12">
        <f t="shared" si="8"/>
        <v>-5.8132408817915988E-3</v>
      </c>
      <c r="D301" s="13">
        <f t="shared" si="9"/>
        <v>-2.3895282438724415E-3</v>
      </c>
    </row>
    <row r="302" spans="1:4" x14ac:dyDescent="0.2">
      <c r="A302" s="11">
        <v>42583</v>
      </c>
      <c r="B302" s="15">
        <f>VLOOKUP(A302,Database!A:Q,MATCH($A$1,Database!$A$1:$Q$1,),)</f>
        <v>56867</v>
      </c>
      <c r="C302" s="12">
        <f t="shared" si="8"/>
        <v>1.5498687895172511E-3</v>
      </c>
      <c r="D302" s="13">
        <f t="shared" si="9"/>
        <v>2.0263603044826614E-3</v>
      </c>
    </row>
    <row r="303" spans="1:4" x14ac:dyDescent="0.2">
      <c r="A303" s="10">
        <v>42614</v>
      </c>
      <c r="B303" s="15">
        <f>VLOOKUP(A303,Database!A:Q,MATCH($A$1,Database!$A$1:$Q$1,),)</f>
        <v>56370</v>
      </c>
      <c r="C303" s="12">
        <f t="shared" si="8"/>
        <v>-8.7396908576151365E-3</v>
      </c>
      <c r="D303" s="13">
        <f t="shared" si="9"/>
        <v>-1.3458408442569873E-2</v>
      </c>
    </row>
    <row r="304" spans="1:4" x14ac:dyDescent="0.2">
      <c r="A304" s="11">
        <v>42644</v>
      </c>
      <c r="B304" s="15">
        <f>VLOOKUP(A304,Database!A:Q,MATCH($A$1,Database!$A$1:$Q$1,),)</f>
        <v>56836</v>
      </c>
      <c r="C304" s="12">
        <f t="shared" si="8"/>
        <v>8.2668085861273728E-3</v>
      </c>
      <c r="D304" s="13">
        <f t="shared" si="9"/>
        <v>8.2762506823504556E-4</v>
      </c>
    </row>
    <row r="305" spans="1:4" x14ac:dyDescent="0.2">
      <c r="A305" s="10">
        <v>42675</v>
      </c>
      <c r="B305" s="15">
        <f>VLOOKUP(A305,Database!A:Q,MATCH($A$1,Database!$A$1:$Q$1,),)</f>
        <v>56518</v>
      </c>
      <c r="C305" s="12">
        <f t="shared" si="8"/>
        <v>-5.5950453937645157E-3</v>
      </c>
      <c r="D305" s="13">
        <f t="shared" si="9"/>
        <v>-7.9340003510619626E-3</v>
      </c>
    </row>
    <row r="306" spans="1:4" x14ac:dyDescent="0.2">
      <c r="A306" s="11">
        <v>42705</v>
      </c>
      <c r="B306" s="15">
        <f>VLOOKUP(A306,Database!A:Q,MATCH($A$1,Database!$A$1:$Q$1,),)</f>
        <v>56445</v>
      </c>
      <c r="C306" s="12">
        <f t="shared" si="8"/>
        <v>-1.2916239074277221E-3</v>
      </c>
      <c r="D306" s="13">
        <f t="shared" si="9"/>
        <v>-1.3268302915880008E-2</v>
      </c>
    </row>
    <row r="307" spans="1:4" x14ac:dyDescent="0.2">
      <c r="A307" s="10">
        <v>42736</v>
      </c>
      <c r="B307" s="15">
        <f>VLOOKUP(A307,Database!A:Q,MATCH($A$1,Database!$A$1:$Q$1,),)</f>
        <v>57804</v>
      </c>
      <c r="C307" s="12">
        <f t="shared" si="8"/>
        <v>2.4076534679776773E-2</v>
      </c>
      <c r="D307" s="13">
        <f t="shared" si="9"/>
        <v>2.6695795811797304E-2</v>
      </c>
    </row>
    <row r="308" spans="1:4" x14ac:dyDescent="0.2">
      <c r="A308" s="11">
        <v>42767</v>
      </c>
      <c r="B308" s="15">
        <f>VLOOKUP(A308,Database!A:Q,MATCH($A$1,Database!$A$1:$Q$1,),)</f>
        <v>57170</v>
      </c>
      <c r="C308" s="12">
        <f t="shared" si="8"/>
        <v>-1.0968099093488341E-2</v>
      </c>
      <c r="D308" s="13">
        <f t="shared" si="9"/>
        <v>-6.8171091961055077E-4</v>
      </c>
    </row>
    <row r="309" spans="1:4" x14ac:dyDescent="0.2">
      <c r="A309" s="10">
        <v>42795</v>
      </c>
      <c r="B309" s="15">
        <f>VLOOKUP(A309,Database!A:Q,MATCH($A$1,Database!$A$1:$Q$1,),)</f>
        <v>57361</v>
      </c>
      <c r="C309" s="12">
        <f t="shared" si="8"/>
        <v>3.3409130662935107E-3</v>
      </c>
      <c r="D309" s="13">
        <f t="shared" si="9"/>
        <v>6.5805636472115962E-3</v>
      </c>
    </row>
    <row r="310" spans="1:4" x14ac:dyDescent="0.2">
      <c r="A310" s="11">
        <v>42826</v>
      </c>
      <c r="B310" s="15">
        <f>VLOOKUP(A310,Database!A:Q,MATCH($A$1,Database!$A$1:$Q$1,),)</f>
        <v>57644</v>
      </c>
      <c r="C310" s="12">
        <f t="shared" si="8"/>
        <v>4.9336657310716341E-3</v>
      </c>
      <c r="D310" s="13">
        <f t="shared" si="9"/>
        <v>1.3609987691225602E-2</v>
      </c>
    </row>
    <row r="311" spans="1:4" x14ac:dyDescent="0.2">
      <c r="A311" s="10">
        <v>42856</v>
      </c>
      <c r="B311" s="15">
        <f>VLOOKUP(A311,Database!A:Q,MATCH($A$1,Database!$A$1:$Q$1,),)</f>
        <v>56574</v>
      </c>
      <c r="C311" s="12">
        <f t="shared" si="8"/>
        <v>-1.8562209423357158E-2</v>
      </c>
      <c r="D311" s="13">
        <f t="shared" si="9"/>
        <v>-6.0062182023742222E-4</v>
      </c>
    </row>
    <row r="312" spans="1:4" x14ac:dyDescent="0.2">
      <c r="A312" s="11">
        <v>42887</v>
      </c>
      <c r="B312" s="15">
        <f>VLOOKUP(A312,Database!A:Q,MATCH($A$1,Database!$A$1:$Q$1,),)</f>
        <v>57790</v>
      </c>
      <c r="C312" s="12">
        <f t="shared" si="8"/>
        <v>2.1493972496199668E-2</v>
      </c>
      <c r="D312" s="13">
        <f t="shared" si="9"/>
        <v>1.1889128188965347E-2</v>
      </c>
    </row>
    <row r="313" spans="1:4" x14ac:dyDescent="0.2">
      <c r="A313" s="10">
        <v>42917</v>
      </c>
      <c r="B313" s="15">
        <f>VLOOKUP(A313,Database!A:Q,MATCH($A$1,Database!$A$1:$Q$1,),)</f>
        <v>57475</v>
      </c>
      <c r="C313" s="12">
        <f t="shared" si="8"/>
        <v>-5.4507700294168541E-3</v>
      </c>
      <c r="D313" s="13">
        <f t="shared" si="9"/>
        <v>1.2258053153454622E-2</v>
      </c>
    </row>
    <row r="314" spans="1:4" x14ac:dyDescent="0.2">
      <c r="A314" s="11">
        <v>42948</v>
      </c>
      <c r="B314" s="15">
        <f>VLOOKUP(A314,Database!A:Q,MATCH($A$1,Database!$A$1:$Q$1,),)</f>
        <v>57612</v>
      </c>
      <c r="C314" s="12">
        <f t="shared" si="8"/>
        <v>2.3836450630709003E-3</v>
      </c>
      <c r="D314" s="13">
        <f t="shared" si="9"/>
        <v>1.3100743840891906E-2</v>
      </c>
    </row>
    <row r="315" spans="1:4" x14ac:dyDescent="0.2">
      <c r="A315" s="10">
        <v>42979</v>
      </c>
      <c r="B315" s="15">
        <f>VLOOKUP(A315,Database!A:Q,MATCH($A$1,Database!$A$1:$Q$1,),)</f>
        <v>58351</v>
      </c>
      <c r="C315" s="12">
        <f t="shared" si="8"/>
        <v>1.2827188780115253E-2</v>
      </c>
      <c r="D315" s="13">
        <f t="shared" si="9"/>
        <v>3.514280645733546E-2</v>
      </c>
    </row>
    <row r="316" spans="1:4" x14ac:dyDescent="0.2">
      <c r="A316" s="11">
        <v>43009</v>
      </c>
      <c r="B316" s="15">
        <f>VLOOKUP(A316,Database!A:Q,MATCH($A$1,Database!$A$1:$Q$1,),)</f>
        <v>57945</v>
      </c>
      <c r="C316" s="12">
        <f t="shared" si="8"/>
        <v>-6.957892752480677E-3</v>
      </c>
      <c r="D316" s="13">
        <f t="shared" si="9"/>
        <v>1.9512280948694491E-2</v>
      </c>
    </row>
    <row r="317" spans="1:4" x14ac:dyDescent="0.2">
      <c r="A317" s="10">
        <v>43040</v>
      </c>
      <c r="B317" s="15">
        <f>VLOOKUP(A317,Database!A:Q,MATCH($A$1,Database!$A$1:$Q$1,),)</f>
        <v>57965</v>
      </c>
      <c r="C317" s="12">
        <f t="shared" si="8"/>
        <v>3.4515488825610492E-4</v>
      </c>
      <c r="D317" s="13">
        <f t="shared" si="9"/>
        <v>2.5602462932163204E-2</v>
      </c>
    </row>
    <row r="318" spans="1:4" x14ac:dyDescent="0.2">
      <c r="A318" s="11">
        <v>43070</v>
      </c>
      <c r="B318" s="15">
        <f>VLOOKUP(A318,Database!A:Q,MATCH($A$1,Database!$A$1:$Q$1,),)</f>
        <v>58394</v>
      </c>
      <c r="C318" s="12">
        <f t="shared" si="8"/>
        <v>7.4010178556025187E-3</v>
      </c>
      <c r="D318" s="13">
        <f t="shared" si="9"/>
        <v>3.4529187704845428E-2</v>
      </c>
    </row>
    <row r="319" spans="1:4" x14ac:dyDescent="0.2">
      <c r="A319" s="10">
        <v>43101</v>
      </c>
      <c r="B319" s="15">
        <f>VLOOKUP(A319,Database!A:Q,MATCH($A$1,Database!$A$1:$Q$1,),)</f>
        <v>58569</v>
      </c>
      <c r="C319" s="12">
        <f t="shared" si="8"/>
        <v>2.9968832414289139E-3</v>
      </c>
      <c r="D319" s="13">
        <f t="shared" si="9"/>
        <v>1.3234378243720158E-2</v>
      </c>
    </row>
    <row r="320" spans="1:4" x14ac:dyDescent="0.2">
      <c r="A320" s="11">
        <v>43132</v>
      </c>
      <c r="B320" s="15">
        <f>VLOOKUP(A320,Database!A:Q,MATCH($A$1,Database!$A$1:$Q$1,),)</f>
        <v>58800</v>
      </c>
      <c r="C320" s="12">
        <f t="shared" si="8"/>
        <v>3.9440659734671923E-3</v>
      </c>
      <c r="D320" s="13">
        <f t="shared" si="9"/>
        <v>2.85114570578975E-2</v>
      </c>
    </row>
    <row r="321" spans="1:4" x14ac:dyDescent="0.2">
      <c r="A321" s="10">
        <v>43160</v>
      </c>
      <c r="B321" s="15">
        <f>VLOOKUP(A321,Database!A:Q,MATCH($A$1,Database!$A$1:$Q$1,),)</f>
        <v>57897</v>
      </c>
      <c r="C321" s="12">
        <f t="shared" si="8"/>
        <v>-1.5357142857142857E-2</v>
      </c>
      <c r="D321" s="13">
        <f t="shared" si="9"/>
        <v>9.3443280277540498E-3</v>
      </c>
    </row>
    <row r="322" spans="1:4" x14ac:dyDescent="0.2">
      <c r="A322" s="11">
        <v>43191</v>
      </c>
      <c r="B322" s="15">
        <f>VLOOKUP(A322,Database!A:Q,MATCH($A$1,Database!$A$1:$Q$1,),)</f>
        <v>58154</v>
      </c>
      <c r="C322" s="12">
        <f t="shared" si="8"/>
        <v>4.4389173877748414E-3</v>
      </c>
      <c r="D322" s="13">
        <f t="shared" si="9"/>
        <v>8.84740822982444E-3</v>
      </c>
    </row>
    <row r="323" spans="1:4" x14ac:dyDescent="0.2">
      <c r="A323" s="10">
        <v>43221</v>
      </c>
      <c r="B323" s="15">
        <f>VLOOKUP(A323,Database!A:Q,MATCH($A$1,Database!$A$1:$Q$1,),)</f>
        <v>59558</v>
      </c>
      <c r="C323" s="12">
        <f t="shared" si="8"/>
        <v>2.4142793273033668E-2</v>
      </c>
      <c r="D323" s="13">
        <f t="shared" si="9"/>
        <v>5.2745077243963656E-2</v>
      </c>
    </row>
    <row r="324" spans="1:4" x14ac:dyDescent="0.2">
      <c r="A324" s="11">
        <v>43252</v>
      </c>
      <c r="B324" s="15">
        <f>VLOOKUP(A324,Database!A:Q,MATCH($A$1,Database!$A$1:$Q$1,),)</f>
        <v>58534</v>
      </c>
      <c r="C324" s="12">
        <f t="shared" si="8"/>
        <v>-1.7193324154605595E-2</v>
      </c>
      <c r="D324" s="13">
        <f t="shared" si="9"/>
        <v>1.2874199688527427E-2</v>
      </c>
    </row>
    <row r="325" spans="1:4" x14ac:dyDescent="0.2">
      <c r="A325" s="10">
        <v>43282</v>
      </c>
      <c r="B325" s="15">
        <f>VLOOKUP(A325,Database!A:Q,MATCH($A$1,Database!$A$1:$Q$1,),)</f>
        <v>58872</v>
      </c>
      <c r="C325" s="12">
        <f t="shared" si="8"/>
        <v>5.7744217036252432E-3</v>
      </c>
      <c r="D325" s="13">
        <f t="shared" si="9"/>
        <v>2.4306220095693779E-2</v>
      </c>
    </row>
    <row r="326" spans="1:4" x14ac:dyDescent="0.2">
      <c r="A326" s="11">
        <v>43313</v>
      </c>
      <c r="B326" s="15">
        <f>VLOOKUP(A326,Database!A:Q,MATCH($A$1,Database!$A$1:$Q$1,),)</f>
        <v>59007</v>
      </c>
      <c r="C326" s="12">
        <f t="shared" si="8"/>
        <v>2.293110476966979E-3</v>
      </c>
      <c r="D326" s="13">
        <f t="shared" si="9"/>
        <v>2.4213705478025413E-2</v>
      </c>
    </row>
    <row r="327" spans="1:4" x14ac:dyDescent="0.2">
      <c r="A327" s="10">
        <v>43344</v>
      </c>
      <c r="B327" s="15">
        <f>VLOOKUP(A327,Database!A:Q,MATCH($A$1,Database!$A$1:$Q$1,),)</f>
        <v>58841</v>
      </c>
      <c r="C327" s="12">
        <f t="shared" si="8"/>
        <v>-2.813225549511075E-3</v>
      </c>
      <c r="D327" s="13">
        <f t="shared" si="9"/>
        <v>8.3974567702353002E-3</v>
      </c>
    </row>
    <row r="328" spans="1:4" x14ac:dyDescent="0.2">
      <c r="A328" s="11">
        <v>43374</v>
      </c>
      <c r="B328" s="15">
        <f>VLOOKUP(A328,Database!A:Q,MATCH($A$1,Database!$A$1:$Q$1,),)</f>
        <v>59247</v>
      </c>
      <c r="C328" s="12">
        <f t="shared" ref="C328:C391" si="10">(B328-B327)/B327</f>
        <v>6.8999507146377528E-3</v>
      </c>
      <c r="D328" s="13">
        <f t="shared" si="9"/>
        <v>2.246958322547243E-2</v>
      </c>
    </row>
    <row r="329" spans="1:4" x14ac:dyDescent="0.2">
      <c r="A329" s="10">
        <v>43405</v>
      </c>
      <c r="B329" s="15">
        <f>VLOOKUP(A329,Database!A:Q,MATCH($A$1,Database!$A$1:$Q$1,),)</f>
        <v>60634</v>
      </c>
      <c r="C329" s="12">
        <f t="shared" si="10"/>
        <v>2.3410468040575894E-2</v>
      </c>
      <c r="D329" s="13">
        <f t="shared" si="9"/>
        <v>4.6045027171569053E-2</v>
      </c>
    </row>
    <row r="330" spans="1:4" x14ac:dyDescent="0.2">
      <c r="A330" s="11">
        <v>43435</v>
      </c>
      <c r="B330" s="15">
        <f>VLOOKUP(A330,Database!A:Q,MATCH($A$1,Database!$A$1:$Q$1,),)</f>
        <v>59479</v>
      </c>
      <c r="C330" s="12">
        <f t="shared" si="10"/>
        <v>-1.9048718540752713E-2</v>
      </c>
      <c r="D330" s="13">
        <f t="shared" si="9"/>
        <v>1.8580676096859268E-2</v>
      </c>
    </row>
    <row r="331" spans="1:4" x14ac:dyDescent="0.2">
      <c r="A331" s="10">
        <v>43466</v>
      </c>
      <c r="B331" s="15">
        <f>VLOOKUP(A331,Database!A:Q,MATCH($A$1,Database!$A$1:$Q$1,),)</f>
        <v>59441</v>
      </c>
      <c r="C331" s="12">
        <f t="shared" si="10"/>
        <v>-6.3888094957884295E-4</v>
      </c>
      <c r="D331" s="13">
        <f t="shared" si="9"/>
        <v>1.4888422202871827E-2</v>
      </c>
    </row>
    <row r="332" spans="1:4" x14ac:dyDescent="0.2">
      <c r="A332" s="11">
        <v>43497</v>
      </c>
      <c r="B332" s="15">
        <f>VLOOKUP(A332,Database!A:Q,MATCH($A$1,Database!$A$1:$Q$1,),)</f>
        <v>59106</v>
      </c>
      <c r="C332" s="12">
        <f t="shared" si="10"/>
        <v>-5.6358405814168674E-3</v>
      </c>
      <c r="D332" s="13">
        <f t="shared" si="9"/>
        <v>5.2040816326530612E-3</v>
      </c>
    </row>
    <row r="333" spans="1:4" x14ac:dyDescent="0.2">
      <c r="A333" s="10">
        <v>43525</v>
      </c>
      <c r="B333" s="15">
        <f>VLOOKUP(A333,Database!A:Q,MATCH($A$1,Database!$A$1:$Q$1,),)</f>
        <v>59339</v>
      </c>
      <c r="C333" s="12">
        <f t="shared" si="10"/>
        <v>3.9420701790004401E-3</v>
      </c>
      <c r="D333" s="13">
        <f t="shared" si="9"/>
        <v>2.490629911739814E-2</v>
      </c>
    </row>
    <row r="334" spans="1:4" x14ac:dyDescent="0.2">
      <c r="A334" s="11">
        <v>43556</v>
      </c>
      <c r="B334" s="15">
        <f>VLOOKUP(A334,Database!A:Q,MATCH($A$1,Database!$A$1:$Q$1,),)</f>
        <v>59893</v>
      </c>
      <c r="C334" s="12">
        <f t="shared" si="10"/>
        <v>9.3361869933770367E-3</v>
      </c>
      <c r="D334" s="13">
        <f t="shared" si="9"/>
        <v>2.9903360044021048E-2</v>
      </c>
    </row>
    <row r="335" spans="1:4" x14ac:dyDescent="0.2">
      <c r="A335" s="10">
        <v>43586</v>
      </c>
      <c r="B335" s="15">
        <f>VLOOKUP(A335,Database!A:Q,MATCH($A$1,Database!$A$1:$Q$1,),)</f>
        <v>59540</v>
      </c>
      <c r="C335" s="12">
        <f t="shared" si="10"/>
        <v>-5.8938440218389461E-3</v>
      </c>
      <c r="D335" s="13">
        <f t="shared" si="9"/>
        <v>-3.0222640115517646E-4</v>
      </c>
    </row>
    <row r="336" spans="1:4" x14ac:dyDescent="0.2">
      <c r="A336" s="11">
        <v>43617</v>
      </c>
      <c r="B336" s="15">
        <f>VLOOKUP(A336,Database!A:Q,MATCH($A$1,Database!$A$1:$Q$1,),)</f>
        <v>59459</v>
      </c>
      <c r="C336" s="12">
        <f t="shared" si="10"/>
        <v>-1.3604299630500503E-3</v>
      </c>
      <c r="D336" s="13">
        <f t="shared" si="9"/>
        <v>1.5802781289506952E-2</v>
      </c>
    </row>
    <row r="337" spans="1:4" x14ac:dyDescent="0.2">
      <c r="A337" s="10">
        <v>43647</v>
      </c>
      <c r="B337" s="15">
        <f>VLOOKUP(A337,Database!A:Q,MATCH($A$1,Database!$A$1:$Q$1,),)</f>
        <v>60437</v>
      </c>
      <c r="C337" s="12">
        <f t="shared" si="10"/>
        <v>1.6448308918750737E-2</v>
      </c>
      <c r="D337" s="13">
        <f t="shared" si="9"/>
        <v>2.6583095529283871E-2</v>
      </c>
    </row>
    <row r="338" spans="1:4" x14ac:dyDescent="0.2">
      <c r="A338" s="11">
        <v>43678</v>
      </c>
      <c r="B338" s="15">
        <f>VLOOKUP(A338,Database!A:Q,MATCH($A$1,Database!$A$1:$Q$1,),)</f>
        <v>60074</v>
      </c>
      <c r="C338" s="12">
        <f t="shared" si="10"/>
        <v>-6.0062544467792906E-3</v>
      </c>
      <c r="D338" s="13">
        <f t="shared" si="9"/>
        <v>1.8082600369447692E-2</v>
      </c>
    </row>
    <row r="339" spans="1:4" x14ac:dyDescent="0.2">
      <c r="A339" s="10">
        <v>43709</v>
      </c>
      <c r="B339" s="15">
        <f>VLOOKUP(A339,Database!A:Q,MATCH($A$1,Database!$A$1:$Q$1,),)</f>
        <v>59377</v>
      </c>
      <c r="C339" s="12">
        <f t="shared" si="10"/>
        <v>-1.1602357092918734E-2</v>
      </c>
      <c r="D339" s="13">
        <f t="shared" ref="D339:D402" si="11">(B339-B327)/B327</f>
        <v>9.1092945395217628E-3</v>
      </c>
    </row>
    <row r="340" spans="1:4" x14ac:dyDescent="0.2">
      <c r="A340" s="11">
        <v>43739</v>
      </c>
      <c r="B340" s="15">
        <f>VLOOKUP(A340,Database!A:Q,MATCH($A$1,Database!$A$1:$Q$1,),)</f>
        <v>59662</v>
      </c>
      <c r="C340" s="12">
        <f t="shared" si="10"/>
        <v>4.7998383212354955E-3</v>
      </c>
      <c r="D340" s="13">
        <f t="shared" si="11"/>
        <v>7.0045740712609923E-3</v>
      </c>
    </row>
    <row r="341" spans="1:4" x14ac:dyDescent="0.2">
      <c r="A341" s="10">
        <v>43770</v>
      </c>
      <c r="B341" s="15">
        <f>VLOOKUP(A341,Database!A:Q,MATCH($A$1,Database!$A$1:$Q$1,),)</f>
        <v>60033</v>
      </c>
      <c r="C341" s="12">
        <f t="shared" si="10"/>
        <v>6.2183634474204689E-3</v>
      </c>
      <c r="D341" s="13">
        <f t="shared" si="11"/>
        <v>-9.9119305999934033E-3</v>
      </c>
    </row>
    <row r="342" spans="1:4" x14ac:dyDescent="0.2">
      <c r="A342" s="11">
        <v>43800</v>
      </c>
      <c r="B342" s="15">
        <f>VLOOKUP(A342,Database!A:Q,MATCH($A$1,Database!$A$1:$Q$1,),)</f>
        <v>60632</v>
      </c>
      <c r="C342" s="12">
        <f t="shared" si="10"/>
        <v>9.9778455182982697E-3</v>
      </c>
      <c r="D342" s="13">
        <f t="shared" si="11"/>
        <v>1.9384993022747526E-2</v>
      </c>
    </row>
    <row r="343" spans="1:4" x14ac:dyDescent="0.2">
      <c r="A343" s="10">
        <v>43831</v>
      </c>
      <c r="B343" s="15">
        <f>VLOOKUP(A343,Database!A:Q,MATCH($A$1,Database!$A$1:$Q$1,),)</f>
        <v>60118</v>
      </c>
      <c r="C343" s="12">
        <f t="shared" si="10"/>
        <v>-8.4773716849188552E-3</v>
      </c>
      <c r="D343" s="13">
        <f t="shared" si="11"/>
        <v>1.1389444995878266E-2</v>
      </c>
    </row>
    <row r="344" spans="1:4" x14ac:dyDescent="0.2">
      <c r="A344" s="11">
        <v>43862</v>
      </c>
      <c r="B344" s="15">
        <f>VLOOKUP(A344,Database!A:Q,MATCH($A$1,Database!$A$1:$Q$1,),)</f>
        <v>60618</v>
      </c>
      <c r="C344" s="12">
        <f t="shared" si="10"/>
        <v>8.3169766126617653E-3</v>
      </c>
      <c r="D344" s="13">
        <f t="shared" si="11"/>
        <v>2.5581159273170236E-2</v>
      </c>
    </row>
    <row r="345" spans="1:4" x14ac:dyDescent="0.2">
      <c r="A345" s="10">
        <v>43891</v>
      </c>
      <c r="B345" s="15">
        <f>VLOOKUP(A345,Database!A:Q,MATCH($A$1,Database!$A$1:$Q$1,),)</f>
        <v>64302</v>
      </c>
      <c r="C345" s="12">
        <f t="shared" si="10"/>
        <v>6.0774027516579232E-2</v>
      </c>
      <c r="D345" s="13">
        <f t="shared" si="11"/>
        <v>8.3638079509260346E-2</v>
      </c>
    </row>
    <row r="346" spans="1:4" x14ac:dyDescent="0.2">
      <c r="A346" s="11">
        <v>43922</v>
      </c>
      <c r="B346" s="15">
        <f>VLOOKUP(A346,Database!A:Q,MATCH($A$1,Database!$A$1:$Q$1,),)</f>
        <v>56625</v>
      </c>
      <c r="C346" s="12">
        <f t="shared" si="10"/>
        <v>-0.11938975459550247</v>
      </c>
      <c r="D346" s="13">
        <f t="shared" si="11"/>
        <v>-5.4563972417477832E-2</v>
      </c>
    </row>
    <row r="347" spans="1:4" x14ac:dyDescent="0.2">
      <c r="A347" s="10">
        <v>43952</v>
      </c>
      <c r="B347" s="15">
        <f>VLOOKUP(A347,Database!A:Q,MATCH($A$1,Database!$A$1:$Q$1,),)</f>
        <v>60494</v>
      </c>
      <c r="C347" s="12">
        <f t="shared" si="10"/>
        <v>6.8326710816777048E-2</v>
      </c>
      <c r="D347" s="13">
        <f t="shared" si="11"/>
        <v>1.6022841787033927E-2</v>
      </c>
    </row>
    <row r="348" spans="1:4" x14ac:dyDescent="0.2">
      <c r="A348" s="11">
        <v>43983</v>
      </c>
      <c r="B348" s="15">
        <f>VLOOKUP(A348,Database!A:Q,MATCH($A$1,Database!$A$1:$Q$1,),)</f>
        <v>61107</v>
      </c>
      <c r="C348" s="12">
        <f t="shared" si="10"/>
        <v>1.013323635401858E-2</v>
      </c>
      <c r="D348" s="13">
        <f t="shared" si="11"/>
        <v>2.771657780991944E-2</v>
      </c>
    </row>
    <row r="349" spans="1:4" x14ac:dyDescent="0.2">
      <c r="A349" s="10">
        <v>44013</v>
      </c>
      <c r="B349" s="15">
        <f>VLOOKUP(A349,Database!A:Q,MATCH($A$1,Database!$A$1:$Q$1,),)</f>
        <v>61181</v>
      </c>
      <c r="C349" s="12">
        <f t="shared" si="10"/>
        <v>1.2109905575465986E-3</v>
      </c>
      <c r="D349" s="13">
        <f t="shared" si="11"/>
        <v>1.231033969257243E-2</v>
      </c>
    </row>
    <row r="350" spans="1:4" x14ac:dyDescent="0.2">
      <c r="A350" s="11">
        <v>44044</v>
      </c>
      <c r="B350" s="15">
        <f>VLOOKUP(A350,Database!A:Q,MATCH($A$1,Database!$A$1:$Q$1,),)</f>
        <v>59992</v>
      </c>
      <c r="C350" s="12">
        <f t="shared" si="10"/>
        <v>-1.9434138049394419E-2</v>
      </c>
      <c r="D350" s="13">
        <f t="shared" si="11"/>
        <v>-1.3649831874022039E-3</v>
      </c>
    </row>
    <row r="351" spans="1:4" x14ac:dyDescent="0.2">
      <c r="A351" s="10">
        <v>44075</v>
      </c>
      <c r="B351" s="15">
        <f>VLOOKUP(A351,Database!A:Q,MATCH($A$1,Database!$A$1:$Q$1,),)</f>
        <v>62289</v>
      </c>
      <c r="C351" s="12">
        <f t="shared" si="10"/>
        <v>3.8288438458461131E-2</v>
      </c>
      <c r="D351" s="13">
        <f t="shared" si="11"/>
        <v>4.9042558566448291E-2</v>
      </c>
    </row>
    <row r="352" spans="1:4" x14ac:dyDescent="0.2">
      <c r="A352" s="11">
        <v>44105</v>
      </c>
      <c r="B352" s="15">
        <f>VLOOKUP(A352,Database!A:Q,MATCH($A$1,Database!$A$1:$Q$1,),)</f>
        <v>61465</v>
      </c>
      <c r="C352" s="12">
        <f t="shared" si="10"/>
        <v>-1.3228659956011494E-2</v>
      </c>
      <c r="D352" s="13">
        <f t="shared" si="11"/>
        <v>3.0220240689215916E-2</v>
      </c>
    </row>
    <row r="353" spans="1:4" x14ac:dyDescent="0.2">
      <c r="A353" s="10">
        <v>44136</v>
      </c>
      <c r="B353" s="15">
        <f>VLOOKUP(A353,Database!A:Q,MATCH($A$1,Database!$A$1:$Q$1,),)</f>
        <v>61442</v>
      </c>
      <c r="C353" s="12">
        <f t="shared" si="10"/>
        <v>-3.7419669730741074E-4</v>
      </c>
      <c r="D353" s="13">
        <f t="shared" si="11"/>
        <v>2.3470424599803443E-2</v>
      </c>
    </row>
    <row r="354" spans="1:4" x14ac:dyDescent="0.2">
      <c r="A354" s="11">
        <v>44166</v>
      </c>
      <c r="B354" s="15">
        <f>VLOOKUP(A354,Database!A:Q,MATCH($A$1,Database!$A$1:$Q$1,),)</f>
        <v>60493</v>
      </c>
      <c r="C354" s="12">
        <f t="shared" si="10"/>
        <v>-1.5445460759740895E-2</v>
      </c>
      <c r="D354" s="13">
        <f t="shared" si="11"/>
        <v>-2.2925188019527641E-3</v>
      </c>
    </row>
    <row r="355" spans="1:4" x14ac:dyDescent="0.2">
      <c r="A355" s="10">
        <v>44197</v>
      </c>
      <c r="B355" s="15">
        <f>VLOOKUP(A355,Database!A:Q,MATCH($A$1,Database!$A$1:$Q$1,),)</f>
        <v>65762</v>
      </c>
      <c r="C355" s="12">
        <f t="shared" si="10"/>
        <v>8.7100986891045243E-2</v>
      </c>
      <c r="D355" s="13">
        <f t="shared" si="11"/>
        <v>9.388203200372601E-2</v>
      </c>
    </row>
    <row r="356" spans="1:4" x14ac:dyDescent="0.2">
      <c r="A356" s="11">
        <v>44228</v>
      </c>
      <c r="B356" s="15">
        <f>VLOOKUP(A356,Database!A:Q,MATCH($A$1,Database!$A$1:$Q$1,),)</f>
        <v>62783</v>
      </c>
      <c r="C356" s="12">
        <f t="shared" si="10"/>
        <v>-4.5299717161886806E-2</v>
      </c>
      <c r="D356" s="13">
        <f t="shared" si="11"/>
        <v>3.5715464053581447E-2</v>
      </c>
    </row>
    <row r="357" spans="1:4" x14ac:dyDescent="0.2">
      <c r="A357" s="10">
        <v>44256</v>
      </c>
      <c r="B357" s="15">
        <f>VLOOKUP(A357,Database!A:Q,MATCH($A$1,Database!$A$1:$Q$1,),)</f>
        <v>69549</v>
      </c>
      <c r="C357" s="12">
        <f t="shared" si="10"/>
        <v>0.10776802637656691</v>
      </c>
      <c r="D357" s="13">
        <f t="shared" si="11"/>
        <v>8.1599328170196883E-2</v>
      </c>
    </row>
    <row r="358" spans="1:4" x14ac:dyDescent="0.2">
      <c r="A358" s="11">
        <v>44287</v>
      </c>
      <c r="B358" s="15">
        <f>VLOOKUP(A358,Database!A:Q,MATCH($A$1,Database!$A$1:$Q$1,),)</f>
        <v>68499</v>
      </c>
      <c r="C358" s="12">
        <f t="shared" si="10"/>
        <v>-1.5097269550964068E-2</v>
      </c>
      <c r="D358" s="13">
        <f t="shared" si="11"/>
        <v>0.20969536423841059</v>
      </c>
    </row>
    <row r="359" spans="1:4" x14ac:dyDescent="0.2">
      <c r="A359" s="10">
        <v>44317</v>
      </c>
      <c r="B359" s="15">
        <f>VLOOKUP(A359,Database!A:Q,MATCH($A$1,Database!$A$1:$Q$1,),)</f>
        <v>66475</v>
      </c>
      <c r="C359" s="12">
        <f t="shared" si="10"/>
        <v>-2.9547876611337391E-2</v>
      </c>
      <c r="D359" s="13">
        <f t="shared" si="11"/>
        <v>9.8869309352993678E-2</v>
      </c>
    </row>
    <row r="360" spans="1:4" x14ac:dyDescent="0.2">
      <c r="A360" s="11">
        <v>44348</v>
      </c>
      <c r="B360" s="15">
        <f>VLOOKUP(A360,Database!A:Q,MATCH($A$1,Database!$A$1:$Q$1,),)</f>
        <v>66887</v>
      </c>
      <c r="C360" s="12">
        <f t="shared" si="10"/>
        <v>6.197818728845431E-3</v>
      </c>
      <c r="D360" s="13">
        <f t="shared" si="11"/>
        <v>9.4588181386747835E-2</v>
      </c>
    </row>
    <row r="361" spans="1:4" x14ac:dyDescent="0.2">
      <c r="A361" s="10">
        <v>44378</v>
      </c>
      <c r="B361" s="15">
        <f>VLOOKUP(A361,Database!A:Q,MATCH($A$1,Database!$A$1:$Q$1,),)</f>
        <v>67006</v>
      </c>
      <c r="C361" s="12">
        <f t="shared" si="10"/>
        <v>1.7791200083723294E-3</v>
      </c>
      <c r="D361" s="13">
        <f t="shared" si="11"/>
        <v>9.5209297003971821E-2</v>
      </c>
    </row>
    <row r="362" spans="1:4" x14ac:dyDescent="0.2">
      <c r="A362" s="11">
        <v>44409</v>
      </c>
      <c r="B362" s="15">
        <f>VLOOKUP(A362,Database!A:Q,MATCH($A$1,Database!$A$1:$Q$1,),)</f>
        <v>67257</v>
      </c>
      <c r="C362" s="12">
        <f t="shared" si="10"/>
        <v>3.7459332000119392E-3</v>
      </c>
      <c r="D362" s="13">
        <f t="shared" si="11"/>
        <v>0.12109947993065742</v>
      </c>
    </row>
    <row r="363" spans="1:4" x14ac:dyDescent="0.2">
      <c r="A363" s="11">
        <v>44440</v>
      </c>
      <c r="B363" s="15">
        <f>VLOOKUP(A363,Database!A:Q,MATCH($A$1,Database!$A$1:$Q$1,),)</f>
        <v>67760</v>
      </c>
      <c r="C363" s="12">
        <f t="shared" si="10"/>
        <v>7.478775443448266E-3</v>
      </c>
      <c r="D363" s="13">
        <f t="shared" si="11"/>
        <v>8.7832522596285059E-2</v>
      </c>
    </row>
    <row r="364" spans="1:4" x14ac:dyDescent="0.2">
      <c r="A364" s="10">
        <v>44470</v>
      </c>
      <c r="B364" s="15">
        <f>VLOOKUP(A364,Database!A:Q,MATCH($A$1,Database!$A$1:$Q$1,),)</f>
        <v>68516</v>
      </c>
      <c r="C364" s="12">
        <f t="shared" si="10"/>
        <v>1.1157024793388429E-2</v>
      </c>
      <c r="D364" s="13">
        <f t="shared" si="11"/>
        <v>0.11471569185715448</v>
      </c>
    </row>
    <row r="365" spans="1:4" x14ac:dyDescent="0.2">
      <c r="A365" s="11">
        <v>44501</v>
      </c>
      <c r="B365" s="15">
        <f>VLOOKUP(A365,Database!A:Q,MATCH($A$1,Database!$A$1:$Q$1,),)</f>
        <v>68402</v>
      </c>
      <c r="C365" s="12">
        <f t="shared" si="10"/>
        <v>-1.6638449413275732E-3</v>
      </c>
      <c r="D365" s="13">
        <f t="shared" si="11"/>
        <v>0.11327756257934311</v>
      </c>
    </row>
    <row r="366" spans="1:4" x14ac:dyDescent="0.2">
      <c r="A366" s="10">
        <v>44531</v>
      </c>
      <c r="B366" s="15">
        <f>VLOOKUP(A366,Database!A:Q,MATCH($A$1,Database!$A$1:$Q$1,),)</f>
        <v>67197</v>
      </c>
      <c r="C366" s="12">
        <f t="shared" si="10"/>
        <v>-1.7616443963626795E-2</v>
      </c>
      <c r="D366" s="13">
        <f t="shared" si="11"/>
        <v>0.11082273982113633</v>
      </c>
    </row>
    <row r="367" spans="1:4" x14ac:dyDescent="0.2">
      <c r="A367" s="11">
        <v>44562</v>
      </c>
      <c r="B367" s="15">
        <f>VLOOKUP(A367,Database!A:Q,MATCH($A$1,Database!$A$1:$Q$1,),)</f>
        <v>69233</v>
      </c>
      <c r="C367" s="12">
        <f t="shared" si="10"/>
        <v>3.0298971680283344E-2</v>
      </c>
      <c r="D367" s="13">
        <f t="shared" si="11"/>
        <v>5.2781241446428026E-2</v>
      </c>
    </row>
    <row r="368" spans="1:4" x14ac:dyDescent="0.2">
      <c r="A368" s="11">
        <v>44593</v>
      </c>
      <c r="B368" s="15">
        <f>VLOOKUP(A368,Database!A:Q,MATCH($A$1,Database!$A$1:$Q$1,),)</f>
        <v>67568</v>
      </c>
      <c r="C368" s="12">
        <f t="shared" si="10"/>
        <v>-2.4049225080525184E-2</v>
      </c>
      <c r="D368" s="13">
        <f t="shared" si="11"/>
        <v>7.6214898937610506E-2</v>
      </c>
    </row>
    <row r="369" spans="1:4" x14ac:dyDescent="0.2">
      <c r="A369" s="11">
        <v>44621</v>
      </c>
      <c r="B369" s="15">
        <f>VLOOKUP(A369,Database!A:Q,MATCH($A$1,Database!$A$1:$Q$1,),)</f>
        <v>68468</v>
      </c>
      <c r="C369" s="12">
        <f t="shared" si="10"/>
        <v>1.3319914752545584E-2</v>
      </c>
      <c r="D369" s="13">
        <f t="shared" si="11"/>
        <v>-1.5542998461516341E-2</v>
      </c>
    </row>
    <row r="370" spans="1:4" x14ac:dyDescent="0.2">
      <c r="A370" s="11">
        <v>44652</v>
      </c>
      <c r="B370" s="15">
        <f>VLOOKUP(A370,Database!A:Q,MATCH($A$1,Database!$A$1:$Q$1,),)</f>
        <v>68026</v>
      </c>
      <c r="C370" s="12">
        <f t="shared" si="10"/>
        <v>-6.4555704854822689E-3</v>
      </c>
      <c r="D370" s="13">
        <f t="shared" si="11"/>
        <v>-6.9052102950408036E-3</v>
      </c>
    </row>
    <row r="371" spans="1:4" x14ac:dyDescent="0.2">
      <c r="A371" s="10">
        <v>44682</v>
      </c>
      <c r="B371" s="15">
        <f>VLOOKUP(A371,Database!A:Q,MATCH($A$1,Database!$A$1:$Q$1,),)</f>
        <v>68053</v>
      </c>
      <c r="C371" s="12">
        <f t="shared" si="10"/>
        <v>3.9690706494575602E-4</v>
      </c>
      <c r="D371" s="13">
        <f t="shared" si="11"/>
        <v>2.3738247461451673E-2</v>
      </c>
    </row>
    <row r="372" spans="1:4" x14ac:dyDescent="0.2">
      <c r="A372" s="11">
        <v>44713</v>
      </c>
      <c r="B372" s="15">
        <f>VLOOKUP(A372,Database!A:Q,MATCH($A$1,Database!$A$1:$Q$1,),)</f>
        <v>67806</v>
      </c>
      <c r="C372" s="12">
        <f t="shared" si="10"/>
        <v>-3.6295240474336181E-3</v>
      </c>
      <c r="D372" s="13">
        <f t="shared" si="11"/>
        <v>1.3739590652892191E-2</v>
      </c>
    </row>
    <row r="373" spans="1:4" x14ac:dyDescent="0.2">
      <c r="A373" s="11">
        <v>44743</v>
      </c>
      <c r="B373" s="15">
        <f>VLOOKUP(A373,Database!A:Q,MATCH($A$1,Database!$A$1:$Q$1,),)</f>
        <v>67334</v>
      </c>
      <c r="C373" s="12">
        <f t="shared" si="10"/>
        <v>-6.9610358965283307E-3</v>
      </c>
      <c r="D373" s="13">
        <f t="shared" ref="D373" si="12">(B373-B361)/B361</f>
        <v>4.8950840223263587E-3</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3"/>
  <sheetViews>
    <sheetView zoomScale="150" zoomScaleNormal="150" workbookViewId="0">
      <pane ySplit="6" topLeftCell="A362" activePane="bottomLeft" state="frozen"/>
      <selection pane="bottomLeft" activeCell="A369" sqref="A369:D373"/>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37700</v>
      </c>
      <c r="C223" s="12">
        <f t="shared" si="6"/>
        <v>1.0887171725218407E-3</v>
      </c>
      <c r="D223" s="13">
        <f t="shared" si="7"/>
        <v>-1.4533667921371811E-2</v>
      </c>
    </row>
    <row r="224" spans="1:4" x14ac:dyDescent="0.2">
      <c r="A224" s="11">
        <v>40210</v>
      </c>
      <c r="B224" s="15">
        <f>VLOOKUP(A224,Database!A:K,MATCH($A$1,Database!$A$1:$K$1,),)</f>
        <v>38267</v>
      </c>
      <c r="C224" s="12">
        <f t="shared" si="6"/>
        <v>1.5039787798408488E-2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38877</v>
      </c>
      <c r="C228" s="12">
        <f t="shared" si="6"/>
        <v>4.7034500581470476E-3</v>
      </c>
      <c r="D228" s="13">
        <f t="shared" si="7"/>
        <v>3.0837354828445671E-2</v>
      </c>
    </row>
    <row r="229" spans="1:4" x14ac:dyDescent="0.2">
      <c r="A229" s="10">
        <v>40360</v>
      </c>
      <c r="B229" s="15">
        <f>VLOOKUP(A229,Database!A:K,MATCH($A$1,Database!$A$1:$K$1,),)</f>
        <v>39033</v>
      </c>
      <c r="C229" s="12">
        <f t="shared" si="6"/>
        <v>4.0126552974766574E-3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39479</v>
      </c>
      <c r="C232" s="12">
        <f t="shared" si="6"/>
        <v>2.3866954424273199E-3</v>
      </c>
      <c r="D232" s="13">
        <f t="shared" si="7"/>
        <v>5.2773333333333332E-2</v>
      </c>
    </row>
    <row r="233" spans="1:4" x14ac:dyDescent="0.2">
      <c r="A233" s="10">
        <v>40483</v>
      </c>
      <c r="B233" s="15">
        <f>VLOOKUP(A233,Database!A:K,MATCH($A$1,Database!$A$1:$K$1,),)</f>
        <v>39710</v>
      </c>
      <c r="C233" s="12">
        <f t="shared" si="6"/>
        <v>5.8512120367790474E-3</v>
      </c>
      <c r="D233" s="13">
        <f t="shared" si="7"/>
        <v>5.3315649867374006E-2</v>
      </c>
    </row>
    <row r="234" spans="1:4" x14ac:dyDescent="0.2">
      <c r="A234" s="11">
        <v>40513</v>
      </c>
      <c r="B234" s="15">
        <f>VLOOKUP(A234,Database!A:K,MATCH($A$1,Database!$A$1:$K$1,),)</f>
        <v>39469</v>
      </c>
      <c r="C234" s="12">
        <f t="shared" si="6"/>
        <v>-6.0690002518257362E-3</v>
      </c>
      <c r="D234" s="13">
        <f t="shared" si="7"/>
        <v>4.8062880055232481E-2</v>
      </c>
    </row>
    <row r="235" spans="1:4" x14ac:dyDescent="0.2">
      <c r="A235" s="10">
        <v>40544</v>
      </c>
      <c r="B235" s="15">
        <f>VLOOKUP(A235,Database!A:K,MATCH($A$1,Database!$A$1:$K$1,),)</f>
        <v>39743</v>
      </c>
      <c r="C235" s="12">
        <f t="shared" si="6"/>
        <v>6.942157135980136E-3</v>
      </c>
      <c r="D235" s="13">
        <f t="shared" si="7"/>
        <v>5.4190981432360744E-2</v>
      </c>
    </row>
    <row r="236" spans="1:4" x14ac:dyDescent="0.2">
      <c r="A236" s="11">
        <v>40575</v>
      </c>
      <c r="B236" s="15">
        <f>VLOOKUP(A236,Database!A:K,MATCH($A$1,Database!$A$1:$K$1,),)</f>
        <v>40382</v>
      </c>
      <c r="C236" s="12">
        <f t="shared" si="6"/>
        <v>1.6078303097400801E-2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6.8498083699873966E-2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6.7960181362243216E-2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6.0680534090045354E-2</v>
      </c>
    </row>
    <row r="247" spans="1:4" x14ac:dyDescent="0.2">
      <c r="A247" s="10">
        <v>40909</v>
      </c>
      <c r="B247" s="15">
        <f>VLOOKUP(A247,Database!A:K,MATCH($A$1,Database!$A$1:$K$1,),)</f>
        <v>42905</v>
      </c>
      <c r="C247" s="12">
        <f t="shared" si="6"/>
        <v>2.4866233518058476E-2</v>
      </c>
      <c r="D247" s="13">
        <f t="shared" si="7"/>
        <v>7.9561180585260294E-2</v>
      </c>
    </row>
    <row r="248" spans="1:4" x14ac:dyDescent="0.2">
      <c r="A248" s="11">
        <v>40940</v>
      </c>
      <c r="B248" s="15">
        <f>VLOOKUP(A248,Database!A:K,MATCH($A$1,Database!$A$1:$K$1,),)</f>
        <v>42950</v>
      </c>
      <c r="C248" s="12">
        <f t="shared" si="6"/>
        <v>1.0488288078312551E-3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45143</v>
      </c>
      <c r="C259" s="12">
        <f t="shared" si="6"/>
        <v>1.3583905878126544E-2</v>
      </c>
      <c r="D259" s="13">
        <f t="shared" si="7"/>
        <v>5.2161752709474422E-2</v>
      </c>
    </row>
    <row r="260" spans="1:4" x14ac:dyDescent="0.2">
      <c r="A260" s="11">
        <v>41306</v>
      </c>
      <c r="B260" s="15">
        <f>VLOOKUP(A260,Database!A:K,MATCH($A$1,Database!$A$1:$K$1,),)</f>
        <v>44868</v>
      </c>
      <c r="C260" s="12">
        <f t="shared" si="6"/>
        <v>-6.0917528741997653E-3</v>
      </c>
      <c r="D260" s="13">
        <f t="shared" si="7"/>
        <v>4.4656577415599537E-2</v>
      </c>
    </row>
    <row r="261" spans="1:4" x14ac:dyDescent="0.2">
      <c r="A261" s="10">
        <v>41334</v>
      </c>
      <c r="B261" s="15">
        <f>VLOOKUP(A261,Database!A:K,MATCH($A$1,Database!$A$1:$K$1,),)</f>
        <v>45054</v>
      </c>
      <c r="C261" s="12">
        <f t="shared" si="6"/>
        <v>4.1454934474458409E-3</v>
      </c>
      <c r="D261" s="13">
        <f t="shared" si="7"/>
        <v>4.9182618415537234E-2</v>
      </c>
    </row>
    <row r="262" spans="1:4" x14ac:dyDescent="0.2">
      <c r="A262" s="11">
        <v>41365</v>
      </c>
      <c r="B262" s="15">
        <f>VLOOKUP(A262,Database!A:K,MATCH($A$1,Database!$A$1:$K$1,),)</f>
        <v>44725</v>
      </c>
      <c r="C262" s="12">
        <f t="shared" si="6"/>
        <v>-7.3023482931593199E-3</v>
      </c>
      <c r="D262" s="13">
        <f t="shared" si="7"/>
        <v>3.1361697221261385E-2</v>
      </c>
    </row>
    <row r="263" spans="1:4" x14ac:dyDescent="0.2">
      <c r="A263" s="10">
        <v>41395</v>
      </c>
      <c r="B263" s="15">
        <f>VLOOKUP(A263,Database!A:K,MATCH($A$1,Database!$A$1:$K$1,),)</f>
        <v>44818</v>
      </c>
      <c r="C263" s="12">
        <f t="shared" si="6"/>
        <v>2.0793739519284517E-3</v>
      </c>
      <c r="D263" s="13">
        <f t="shared" si="7"/>
        <v>3.4747073626855682E-2</v>
      </c>
    </row>
    <row r="264" spans="1:4" x14ac:dyDescent="0.2">
      <c r="A264" s="11">
        <v>41426</v>
      </c>
      <c r="B264" s="15">
        <f>VLOOKUP(A264,Database!A:K,MATCH($A$1,Database!$A$1:$K$1,),)</f>
        <v>44703</v>
      </c>
      <c r="C264" s="12">
        <f t="shared" ref="C264:C327" si="8">(B264-B263)/B263</f>
        <v>-2.5659333303583382E-3</v>
      </c>
      <c r="D264" s="13">
        <f t="shared" si="7"/>
        <v>2.666391070690368E-2</v>
      </c>
    </row>
    <row r="265" spans="1:4" x14ac:dyDescent="0.2">
      <c r="A265" s="10">
        <v>41456</v>
      </c>
      <c r="B265" s="15">
        <f>VLOOKUP(A265,Database!A:K,MATCH($A$1,Database!$A$1:$K$1,),)</f>
        <v>45053</v>
      </c>
      <c r="C265" s="12">
        <f t="shared" si="8"/>
        <v>7.8294521620472894E-3</v>
      </c>
      <c r="D265" s="13">
        <f t="shared" si="7"/>
        <v>3.152761241871966E-2</v>
      </c>
    </row>
    <row r="266" spans="1:4" x14ac:dyDescent="0.2">
      <c r="A266" s="11">
        <v>41487</v>
      </c>
      <c r="B266" s="15">
        <f>VLOOKUP(A266,Database!A:K,MATCH($A$1,Database!$A$1:$K$1,),)</f>
        <v>45156</v>
      </c>
      <c r="C266" s="12">
        <f t="shared" si="8"/>
        <v>2.2861962577408828E-3</v>
      </c>
      <c r="D266" s="13">
        <f t="shared" si="7"/>
        <v>3.3034407027818451E-2</v>
      </c>
    </row>
    <row r="267" spans="1:4" x14ac:dyDescent="0.2">
      <c r="A267" s="10">
        <v>41518</v>
      </c>
      <c r="B267" s="15">
        <f>VLOOKUP(A267,Database!A:K,MATCH($A$1,Database!$A$1:$K$1,),)</f>
        <v>45346</v>
      </c>
      <c r="C267" s="12">
        <f t="shared" si="8"/>
        <v>4.2076357516166183E-3</v>
      </c>
      <c r="D267" s="13">
        <f t="shared" si="7"/>
        <v>2.8603833503459228E-2</v>
      </c>
    </row>
    <row r="268" spans="1:4" x14ac:dyDescent="0.2">
      <c r="A268" s="11">
        <v>41548</v>
      </c>
      <c r="B268" s="15">
        <f>VLOOKUP(A268,Database!A:K,MATCH($A$1,Database!$A$1:$K$1,),)</f>
        <v>45942</v>
      </c>
      <c r="C268" s="12">
        <f t="shared" si="8"/>
        <v>1.3143386406739293E-2</v>
      </c>
      <c r="D268" s="13">
        <f t="shared" si="7"/>
        <v>5.1111924590463986E-2</v>
      </c>
    </row>
    <row r="269" spans="1:4" x14ac:dyDescent="0.2">
      <c r="A269" s="10">
        <v>41579</v>
      </c>
      <c r="B269" s="15">
        <f>VLOOKUP(A269,Database!A:K,MATCH($A$1,Database!$A$1:$K$1,),)</f>
        <v>46748</v>
      </c>
      <c r="C269" s="12">
        <f t="shared" si="8"/>
        <v>1.7543859649122806E-2</v>
      </c>
      <c r="D269" s="13">
        <f t="shared" si="7"/>
        <v>5.0044923629829291E-2</v>
      </c>
    </row>
    <row r="270" spans="1:4" x14ac:dyDescent="0.2">
      <c r="A270" s="11">
        <v>41609</v>
      </c>
      <c r="B270" s="15">
        <f>VLOOKUP(A270,Database!A:K,MATCH($A$1,Database!$A$1:$K$1,),)</f>
        <v>46334</v>
      </c>
      <c r="C270" s="12">
        <f t="shared" si="8"/>
        <v>-8.8559938393086342E-3</v>
      </c>
      <c r="D270" s="13">
        <f t="shared" si="7"/>
        <v>4.0325115631595493E-2</v>
      </c>
    </row>
    <row r="271" spans="1:4" x14ac:dyDescent="0.2">
      <c r="A271" s="10">
        <v>41640</v>
      </c>
      <c r="B271" s="15">
        <f>VLOOKUP(A271,Database!A:K,MATCH($A$1,Database!$A$1:$K$1,),)</f>
        <v>45918</v>
      </c>
      <c r="C271" s="12">
        <f t="shared" si="8"/>
        <v>-8.9782880821858684E-3</v>
      </c>
      <c r="D271" s="13">
        <f t="shared" si="7"/>
        <v>1.7167667190926612E-2</v>
      </c>
    </row>
    <row r="272" spans="1:4" x14ac:dyDescent="0.2">
      <c r="A272" s="11">
        <v>41671</v>
      </c>
      <c r="B272" s="15">
        <f>VLOOKUP(A272,Database!A:K,MATCH($A$1,Database!$A$1:$K$1,),)</f>
        <v>46426</v>
      </c>
      <c r="C272" s="12">
        <f t="shared" si="8"/>
        <v>1.1063199616708045E-2</v>
      </c>
      <c r="D272" s="13">
        <f t="shared" si="7"/>
        <v>3.4724079522153874E-2</v>
      </c>
    </row>
    <row r="273" spans="1:4" x14ac:dyDescent="0.2">
      <c r="A273" s="10">
        <v>41699</v>
      </c>
      <c r="B273" s="15">
        <f>VLOOKUP(A273,Database!A:K,MATCH($A$1,Database!$A$1:$K$1,),)</f>
        <v>47064</v>
      </c>
      <c r="C273" s="12">
        <f t="shared" si="8"/>
        <v>1.3742299573514841E-2</v>
      </c>
      <c r="D273" s="13">
        <f t="shared" si="7"/>
        <v>4.461313090957518E-2</v>
      </c>
    </row>
    <row r="274" spans="1:4" x14ac:dyDescent="0.2">
      <c r="A274" s="11">
        <v>41730</v>
      </c>
      <c r="B274" s="15">
        <f>VLOOKUP(A274,Database!A:K,MATCH($A$1,Database!$A$1:$K$1,),)</f>
        <v>47141</v>
      </c>
      <c r="C274" s="12">
        <f t="shared" si="8"/>
        <v>1.6360700322964473E-3</v>
      </c>
      <c r="D274" s="13">
        <f t="shared" si="7"/>
        <v>5.4019005030743431E-2</v>
      </c>
    </row>
    <row r="275" spans="1:4" x14ac:dyDescent="0.2">
      <c r="A275" s="10">
        <v>41760</v>
      </c>
      <c r="B275" s="15">
        <f>VLOOKUP(A275,Database!A:K,MATCH($A$1,Database!$A$1:$K$1,),)</f>
        <v>47542</v>
      </c>
      <c r="C275" s="12">
        <f t="shared" si="8"/>
        <v>8.5063957064975288E-3</v>
      </c>
      <c r="D275" s="13">
        <f t="shared" ref="D275:D338" si="9">(B275-B263)/B263</f>
        <v>6.0779151233879246E-2</v>
      </c>
    </row>
    <row r="276" spans="1:4" x14ac:dyDescent="0.2">
      <c r="A276" s="11">
        <v>41791</v>
      </c>
      <c r="B276" s="15">
        <f>VLOOKUP(A276,Database!A:K,MATCH($A$1,Database!$A$1:$K$1,),)</f>
        <v>47714</v>
      </c>
      <c r="C276" s="12">
        <f t="shared" si="8"/>
        <v>3.6178536872659966E-3</v>
      </c>
      <c r="D276" s="13">
        <f t="shared" si="9"/>
        <v>6.7355658456926829E-2</v>
      </c>
    </row>
    <row r="277" spans="1:4" x14ac:dyDescent="0.2">
      <c r="A277" s="10">
        <v>41821</v>
      </c>
      <c r="B277" s="15">
        <f>VLOOKUP(A277,Database!A:K,MATCH($A$1,Database!$A$1:$K$1,),)</f>
        <v>48086</v>
      </c>
      <c r="C277" s="12">
        <f t="shared" si="8"/>
        <v>7.7964538709812637E-3</v>
      </c>
      <c r="D277" s="13">
        <f t="shared" si="9"/>
        <v>6.7320711162408717E-2</v>
      </c>
    </row>
    <row r="278" spans="1:4" x14ac:dyDescent="0.2">
      <c r="A278" s="11">
        <v>41852</v>
      </c>
      <c r="B278" s="15">
        <f>VLOOKUP(A278,Database!A:K,MATCH($A$1,Database!$A$1:$K$1,),)</f>
        <v>48379</v>
      </c>
      <c r="C278" s="12">
        <f t="shared" si="8"/>
        <v>6.0932495944765628E-3</v>
      </c>
      <c r="D278" s="13">
        <f t="shared" si="9"/>
        <v>7.137478961821242E-2</v>
      </c>
    </row>
    <row r="279" spans="1:4" x14ac:dyDescent="0.2">
      <c r="A279" s="10">
        <v>41883</v>
      </c>
      <c r="B279" s="15">
        <f>VLOOKUP(A279,Database!A:K,MATCH($A$1,Database!$A$1:$K$1,),)</f>
        <v>48985</v>
      </c>
      <c r="C279" s="12">
        <f t="shared" si="8"/>
        <v>1.2526096033402923E-2</v>
      </c>
      <c r="D279" s="13">
        <f t="shared" si="9"/>
        <v>8.024963613108102E-2</v>
      </c>
    </row>
    <row r="280" spans="1:4" x14ac:dyDescent="0.2">
      <c r="A280" s="11">
        <v>41913</v>
      </c>
      <c r="B280" s="15">
        <f>VLOOKUP(A280,Database!A:K,MATCH($A$1,Database!$A$1:$K$1,),)</f>
        <v>49664</v>
      </c>
      <c r="C280" s="12">
        <f t="shared" si="8"/>
        <v>1.3861386138613862E-2</v>
      </c>
      <c r="D280" s="13">
        <f t="shared" si="9"/>
        <v>8.1015193069522443E-2</v>
      </c>
    </row>
    <row r="281" spans="1:4" x14ac:dyDescent="0.2">
      <c r="A281" s="10">
        <v>41944</v>
      </c>
      <c r="B281" s="15">
        <f>VLOOKUP(A281,Database!A:K,MATCH($A$1,Database!$A$1:$K$1,),)</f>
        <v>49736</v>
      </c>
      <c r="C281" s="12">
        <f t="shared" si="8"/>
        <v>1.4497422680412372E-3</v>
      </c>
      <c r="D281" s="13">
        <f t="shared" si="9"/>
        <v>6.3917172927184046E-2</v>
      </c>
    </row>
    <row r="282" spans="1:4" x14ac:dyDescent="0.2">
      <c r="A282" s="11">
        <v>41974</v>
      </c>
      <c r="B282" s="15">
        <f>VLOOKUP(A282,Database!A:K,MATCH($A$1,Database!$A$1:$K$1,),)</f>
        <v>50463</v>
      </c>
      <c r="C282" s="12">
        <f t="shared" si="8"/>
        <v>1.461717870355477E-2</v>
      </c>
      <c r="D282" s="13">
        <f t="shared" si="9"/>
        <v>8.9113825700349633E-2</v>
      </c>
    </row>
    <row r="283" spans="1:4" x14ac:dyDescent="0.2">
      <c r="A283" s="10">
        <v>42005</v>
      </c>
      <c r="B283" s="15">
        <f>VLOOKUP(A283,Database!A:K,MATCH($A$1,Database!$A$1:$K$1,),)</f>
        <v>50837</v>
      </c>
      <c r="C283" s="12">
        <f t="shared" si="8"/>
        <v>7.4113707072508573E-3</v>
      </c>
      <c r="D283" s="13">
        <f t="shared" si="9"/>
        <v>0.10712574589485604</v>
      </c>
    </row>
    <row r="284" spans="1:4" x14ac:dyDescent="0.2">
      <c r="A284" s="11">
        <v>42036</v>
      </c>
      <c r="B284" s="15">
        <f>VLOOKUP(A284,Database!A:K,MATCH($A$1,Database!$A$1:$K$1,),)</f>
        <v>50640</v>
      </c>
      <c r="C284" s="12">
        <f t="shared" si="8"/>
        <v>-3.8751303184688317E-3</v>
      </c>
      <c r="D284" s="13">
        <f t="shared" si="9"/>
        <v>9.0768104079610556E-2</v>
      </c>
    </row>
    <row r="285" spans="1:4" x14ac:dyDescent="0.2">
      <c r="A285" s="10">
        <v>42064</v>
      </c>
      <c r="B285" s="15">
        <f>VLOOKUP(A285,Database!A:K,MATCH($A$1,Database!$A$1:$K$1,),)</f>
        <v>51075</v>
      </c>
      <c r="C285" s="12">
        <f t="shared" si="8"/>
        <v>8.5900473933649291E-3</v>
      </c>
      <c r="D285" s="13">
        <f t="shared" si="9"/>
        <v>8.5224375318714934E-2</v>
      </c>
    </row>
    <row r="286" spans="1:4" x14ac:dyDescent="0.2">
      <c r="A286" s="11">
        <v>42095</v>
      </c>
      <c r="B286" s="15">
        <f>VLOOKUP(A286,Database!A:K,MATCH($A$1,Database!$A$1:$K$1,),)</f>
        <v>51744</v>
      </c>
      <c r="C286" s="12">
        <f t="shared" si="8"/>
        <v>1.3098384728340675E-2</v>
      </c>
      <c r="D286" s="13">
        <f t="shared" si="9"/>
        <v>9.7643240491292083E-2</v>
      </c>
    </row>
    <row r="287" spans="1:4" x14ac:dyDescent="0.2">
      <c r="A287" s="10">
        <v>42125</v>
      </c>
      <c r="B287" s="15">
        <f>VLOOKUP(A287,Database!A:K,MATCH($A$1,Database!$A$1:$K$1,),)</f>
        <v>51866</v>
      </c>
      <c r="C287" s="12">
        <f t="shared" si="8"/>
        <v>2.3577612863327148E-3</v>
      </c>
      <c r="D287" s="13">
        <f t="shared" si="9"/>
        <v>9.0951158975221907E-2</v>
      </c>
    </row>
    <row r="288" spans="1:4" x14ac:dyDescent="0.2">
      <c r="A288" s="11">
        <v>42156</v>
      </c>
      <c r="B288" s="15">
        <f>VLOOKUP(A288,Database!A:K,MATCH($A$1,Database!$A$1:$K$1,),)</f>
        <v>51885</v>
      </c>
      <c r="C288" s="12">
        <f t="shared" si="8"/>
        <v>3.6632861604904947E-4</v>
      </c>
      <c r="D288" s="13">
        <f t="shared" si="9"/>
        <v>8.741669111791088E-2</v>
      </c>
    </row>
    <row r="289" spans="1:4" x14ac:dyDescent="0.2">
      <c r="A289" s="10">
        <v>42186</v>
      </c>
      <c r="B289" s="15">
        <f>VLOOKUP(A289,Database!A:K,MATCH($A$1,Database!$A$1:$K$1,),)</f>
        <v>52115</v>
      </c>
      <c r="C289" s="12">
        <f t="shared" si="8"/>
        <v>4.4328804085959333E-3</v>
      </c>
      <c r="D289" s="13">
        <f t="shared" si="9"/>
        <v>8.3787380942478062E-2</v>
      </c>
    </row>
    <row r="290" spans="1:4" x14ac:dyDescent="0.2">
      <c r="A290" s="11">
        <v>42217</v>
      </c>
      <c r="B290" s="15">
        <f>VLOOKUP(A290,Database!A:K,MATCH($A$1,Database!$A$1:$K$1,),)</f>
        <v>52473</v>
      </c>
      <c r="C290" s="12">
        <f t="shared" si="8"/>
        <v>6.8694233905785282E-3</v>
      </c>
      <c r="D290" s="13">
        <f t="shared" si="9"/>
        <v>8.4623493664606544E-2</v>
      </c>
    </row>
    <row r="291" spans="1:4" x14ac:dyDescent="0.2">
      <c r="A291" s="10">
        <v>42248</v>
      </c>
      <c r="B291" s="15">
        <f>VLOOKUP(A291,Database!A:K,MATCH($A$1,Database!$A$1:$K$1,),)</f>
        <v>52394</v>
      </c>
      <c r="C291" s="12">
        <f t="shared" si="8"/>
        <v>-1.5055361805118824E-3</v>
      </c>
      <c r="D291" s="13">
        <f t="shared" si="9"/>
        <v>6.9592732469123203E-2</v>
      </c>
    </row>
    <row r="292" spans="1:4" x14ac:dyDescent="0.2">
      <c r="A292" s="11">
        <v>42278</v>
      </c>
      <c r="B292" s="15">
        <f>VLOOKUP(A292,Database!A:K,MATCH($A$1,Database!$A$1:$K$1,),)</f>
        <v>52766</v>
      </c>
      <c r="C292" s="12">
        <f t="shared" si="8"/>
        <v>7.1000496240027485E-3</v>
      </c>
      <c r="D292" s="13">
        <f t="shared" si="9"/>
        <v>6.2459729381443299E-2</v>
      </c>
    </row>
    <row r="293" spans="1:4" x14ac:dyDescent="0.2">
      <c r="A293" s="10">
        <v>42309</v>
      </c>
      <c r="B293" s="15">
        <f>VLOOKUP(A293,Database!A:K,MATCH($A$1,Database!$A$1:$K$1,),)</f>
        <v>52886</v>
      </c>
      <c r="C293" s="12">
        <f t="shared" si="8"/>
        <v>2.2741917143615205E-3</v>
      </c>
      <c r="D293" s="13">
        <f t="shared" si="9"/>
        <v>6.3334405661894799E-2</v>
      </c>
    </row>
    <row r="294" spans="1:4" x14ac:dyDescent="0.2">
      <c r="A294" s="11">
        <v>42339</v>
      </c>
      <c r="B294" s="15">
        <f>VLOOKUP(A294,Database!A:K,MATCH($A$1,Database!$A$1:$K$1,),)</f>
        <v>53695</v>
      </c>
      <c r="C294" s="12">
        <f t="shared" si="8"/>
        <v>1.5297054040766932E-2</v>
      </c>
      <c r="D294" s="13">
        <f t="shared" si="9"/>
        <v>6.404692547014644E-2</v>
      </c>
    </row>
    <row r="295" spans="1:4" x14ac:dyDescent="0.2">
      <c r="A295" s="10">
        <v>42370</v>
      </c>
      <c r="B295" s="15">
        <f>VLOOKUP(A295,Database!A:K,MATCH($A$1,Database!$A$1:$K$1,),)</f>
        <v>53050</v>
      </c>
      <c r="C295" s="12">
        <f t="shared" si="8"/>
        <v>-1.2012291647266971E-2</v>
      </c>
      <c r="D295" s="13">
        <f t="shared" si="9"/>
        <v>4.3531286267875759E-2</v>
      </c>
    </row>
    <row r="296" spans="1:4" x14ac:dyDescent="0.2">
      <c r="A296" s="11">
        <v>42401</v>
      </c>
      <c r="B296" s="15">
        <f>VLOOKUP(A296,Database!A:K,MATCH($A$1,Database!$A$1:$K$1,),)</f>
        <v>54244</v>
      </c>
      <c r="C296" s="12">
        <f t="shared" si="8"/>
        <v>2.2507068803016023E-2</v>
      </c>
      <c r="D296" s="13">
        <f t="shared" si="9"/>
        <v>7.1169036334913116E-2</v>
      </c>
    </row>
    <row r="297" spans="1:4" x14ac:dyDescent="0.2">
      <c r="A297" s="10">
        <v>42430</v>
      </c>
      <c r="B297" s="15">
        <f>VLOOKUP(A297,Database!A:K,MATCH($A$1,Database!$A$1:$K$1,),)</f>
        <v>53927</v>
      </c>
      <c r="C297" s="12">
        <f t="shared" si="8"/>
        <v>-5.8439643094167094E-3</v>
      </c>
      <c r="D297" s="13">
        <f t="shared" si="9"/>
        <v>5.5839451786588348E-2</v>
      </c>
    </row>
    <row r="298" spans="1:4" x14ac:dyDescent="0.2">
      <c r="A298" s="11">
        <v>42461</v>
      </c>
      <c r="B298" s="15">
        <f>VLOOKUP(A298,Database!A:K,MATCH($A$1,Database!$A$1:$K$1,),)</f>
        <v>54246</v>
      </c>
      <c r="C298" s="12">
        <f t="shared" si="8"/>
        <v>5.9154041574721386E-3</v>
      </c>
      <c r="D298" s="13">
        <f t="shared" si="9"/>
        <v>4.8353432282003714E-2</v>
      </c>
    </row>
    <row r="299" spans="1:4" x14ac:dyDescent="0.2">
      <c r="A299" s="10">
        <v>42491</v>
      </c>
      <c r="B299" s="15">
        <f>VLOOKUP(A299,Database!A:K,MATCH($A$1,Database!$A$1:$K$1,),)</f>
        <v>54302</v>
      </c>
      <c r="C299" s="12">
        <f t="shared" si="8"/>
        <v>1.0323341813221251E-3</v>
      </c>
      <c r="D299" s="13">
        <f t="shared" si="9"/>
        <v>4.6967184668183393E-2</v>
      </c>
    </row>
    <row r="300" spans="1:4" x14ac:dyDescent="0.2">
      <c r="A300" s="11">
        <v>42522</v>
      </c>
      <c r="B300" s="15">
        <f>VLOOKUP(A300,Database!A:K,MATCH($A$1,Database!$A$1:$K$1,),)</f>
        <v>54351</v>
      </c>
      <c r="C300" s="12">
        <f t="shared" si="8"/>
        <v>9.0236087068616255E-4</v>
      </c>
      <c r="D300" s="13">
        <f t="shared" si="9"/>
        <v>4.7528187337380748E-2</v>
      </c>
    </row>
    <row r="301" spans="1:4" x14ac:dyDescent="0.2">
      <c r="A301" s="10">
        <v>42552</v>
      </c>
      <c r="B301" s="15">
        <f>VLOOKUP(A301,Database!A:K,MATCH($A$1,Database!$A$1:$K$1,),)</f>
        <v>54329</v>
      </c>
      <c r="C301" s="12">
        <f t="shared" si="8"/>
        <v>-4.0477636106051409E-4</v>
      </c>
      <c r="D301" s="13">
        <f t="shared" si="9"/>
        <v>4.2482970354024756E-2</v>
      </c>
    </row>
    <row r="302" spans="1:4" x14ac:dyDescent="0.2">
      <c r="A302" s="11">
        <v>42583</v>
      </c>
      <c r="B302" s="15">
        <f>VLOOKUP(A302,Database!A:K,MATCH($A$1,Database!$A$1:$K$1,),)</f>
        <v>54794</v>
      </c>
      <c r="C302" s="12">
        <f t="shared" si="8"/>
        <v>8.5589648254155246E-3</v>
      </c>
      <c r="D302" s="13">
        <f t="shared" si="9"/>
        <v>4.4232271835038972E-2</v>
      </c>
    </row>
    <row r="303" spans="1:4" x14ac:dyDescent="0.2">
      <c r="A303" s="10">
        <v>42614</v>
      </c>
      <c r="B303" s="15">
        <f>VLOOKUP(A303,Database!A:K,MATCH($A$1,Database!$A$1:$K$1,),)</f>
        <v>55357</v>
      </c>
      <c r="C303" s="12">
        <f t="shared" si="8"/>
        <v>1.0274847611052304E-2</v>
      </c>
      <c r="D303" s="13">
        <f t="shared" si="9"/>
        <v>5.6552276978279956E-2</v>
      </c>
    </row>
    <row r="304" spans="1:4" x14ac:dyDescent="0.2">
      <c r="A304" s="11">
        <v>42644</v>
      </c>
      <c r="B304" s="15">
        <f>VLOOKUP(A304,Database!A:K,MATCH($A$1,Database!$A$1:$K$1,),)</f>
        <v>55358</v>
      </c>
      <c r="C304" s="12">
        <f t="shared" si="8"/>
        <v>1.8064562747258703E-5</v>
      </c>
      <c r="D304" s="13">
        <f t="shared" si="9"/>
        <v>4.9122541030208848E-2</v>
      </c>
    </row>
    <row r="305" spans="1:4" x14ac:dyDescent="0.2">
      <c r="A305" s="10">
        <v>42675</v>
      </c>
      <c r="B305" s="15">
        <f>VLOOKUP(A305,Database!A:K,MATCH($A$1,Database!$A$1:$K$1,),)</f>
        <v>56322</v>
      </c>
      <c r="C305" s="12">
        <f t="shared" si="8"/>
        <v>1.7413923913436179E-2</v>
      </c>
      <c r="D305" s="13">
        <f t="shared" si="9"/>
        <v>6.4969935332602202E-2</v>
      </c>
    </row>
    <row r="306" spans="1:4" x14ac:dyDescent="0.2">
      <c r="A306" s="11">
        <v>42705</v>
      </c>
      <c r="B306" s="15">
        <f>VLOOKUP(A306,Database!A:K,MATCH($A$1,Database!$A$1:$K$1,),)</f>
        <v>55371</v>
      </c>
      <c r="C306" s="12">
        <f t="shared" si="8"/>
        <v>-1.6885053797805475E-2</v>
      </c>
      <c r="D306" s="13">
        <f t="shared" si="9"/>
        <v>3.1213334574913865E-2</v>
      </c>
    </row>
    <row r="307" spans="1:4" x14ac:dyDescent="0.2">
      <c r="A307" s="10">
        <v>42736</v>
      </c>
      <c r="B307" s="15">
        <f>VLOOKUP(A307,Database!A:K,MATCH($A$1,Database!$A$1:$K$1,),)</f>
        <v>57368</v>
      </c>
      <c r="C307" s="12">
        <f t="shared" si="8"/>
        <v>3.6065810622889237E-2</v>
      </c>
      <c r="D307" s="13">
        <f t="shared" si="9"/>
        <v>8.1394910461828465E-2</v>
      </c>
    </row>
    <row r="308" spans="1:4" x14ac:dyDescent="0.2">
      <c r="A308" s="11">
        <v>42767</v>
      </c>
      <c r="B308" s="15">
        <f>VLOOKUP(A308,Database!A:K,MATCH($A$1,Database!$A$1:$K$1,),)</f>
        <v>57449</v>
      </c>
      <c r="C308" s="12">
        <f t="shared" si="8"/>
        <v>1.4119369683447218E-3</v>
      </c>
      <c r="D308" s="13">
        <f t="shared" si="9"/>
        <v>5.9084875746626353E-2</v>
      </c>
    </row>
    <row r="309" spans="1:4" x14ac:dyDescent="0.2">
      <c r="A309" s="10">
        <v>42795</v>
      </c>
      <c r="B309" s="15">
        <f>VLOOKUP(A309,Database!A:K,MATCH($A$1,Database!$A$1:$K$1,),)</f>
        <v>57341</v>
      </c>
      <c r="C309" s="12">
        <f t="shared" si="8"/>
        <v>-1.8799282842173058E-3</v>
      </c>
      <c r="D309" s="13">
        <f t="shared" si="9"/>
        <v>6.3307804995642258E-2</v>
      </c>
    </row>
    <row r="310" spans="1:4" x14ac:dyDescent="0.2">
      <c r="A310" s="11">
        <v>42826</v>
      </c>
      <c r="B310" s="15">
        <f>VLOOKUP(A310,Database!A:K,MATCH($A$1,Database!$A$1:$K$1,),)</f>
        <v>57435</v>
      </c>
      <c r="C310" s="12">
        <f t="shared" si="8"/>
        <v>1.6393156729042047E-3</v>
      </c>
      <c r="D310" s="13">
        <f t="shared" si="9"/>
        <v>5.8787744718504592E-2</v>
      </c>
    </row>
    <row r="311" spans="1:4" x14ac:dyDescent="0.2">
      <c r="A311" s="10">
        <v>42856</v>
      </c>
      <c r="B311" s="15">
        <f>VLOOKUP(A311,Database!A:K,MATCH($A$1,Database!$A$1:$K$1,),)</f>
        <v>57494</v>
      </c>
      <c r="C311" s="12">
        <f t="shared" si="8"/>
        <v>1.027248193610168E-3</v>
      </c>
      <c r="D311" s="13">
        <f t="shared" si="9"/>
        <v>5.8782365290412877E-2</v>
      </c>
    </row>
    <row r="312" spans="1:4" x14ac:dyDescent="0.2">
      <c r="A312" s="11">
        <v>42887</v>
      </c>
      <c r="B312" s="15">
        <f>VLOOKUP(A312,Database!A:K,MATCH($A$1,Database!$A$1:$K$1,),)</f>
        <v>57296</v>
      </c>
      <c r="C312" s="12">
        <f t="shared" si="8"/>
        <v>-3.4438376178383833E-3</v>
      </c>
      <c r="D312" s="13">
        <f t="shared" si="9"/>
        <v>5.4184835605600633E-2</v>
      </c>
    </row>
    <row r="313" spans="1:4" x14ac:dyDescent="0.2">
      <c r="A313" s="10">
        <v>42917</v>
      </c>
      <c r="B313" s="15">
        <f>VLOOKUP(A313,Database!A:K,MATCH($A$1,Database!$A$1:$K$1,),)</f>
        <v>57150</v>
      </c>
      <c r="C313" s="12">
        <f t="shared" si="8"/>
        <v>-2.5481709019826862E-3</v>
      </c>
      <c r="D313" s="13">
        <f t="shared" si="9"/>
        <v>5.1924386607520842E-2</v>
      </c>
    </row>
    <row r="314" spans="1:4" x14ac:dyDescent="0.2">
      <c r="A314" s="11">
        <v>42948</v>
      </c>
      <c r="B314" s="15">
        <f>VLOOKUP(A314,Database!A:K,MATCH($A$1,Database!$A$1:$K$1,),)</f>
        <v>57530</v>
      </c>
      <c r="C314" s="12">
        <f t="shared" si="8"/>
        <v>6.649168853893263E-3</v>
      </c>
      <c r="D314" s="13">
        <f t="shared" si="9"/>
        <v>4.9932474358506403E-2</v>
      </c>
    </row>
    <row r="315" spans="1:4" x14ac:dyDescent="0.2">
      <c r="A315" s="10">
        <v>42979</v>
      </c>
      <c r="B315" s="15">
        <f>VLOOKUP(A315,Database!A:K,MATCH($A$1,Database!$A$1:$K$1,),)</f>
        <v>57788</v>
      </c>
      <c r="C315" s="12">
        <f t="shared" si="8"/>
        <v>4.4846167217104122E-3</v>
      </c>
      <c r="D315" s="13">
        <f t="shared" si="9"/>
        <v>4.3914952038585905E-2</v>
      </c>
    </row>
    <row r="316" spans="1:4" x14ac:dyDescent="0.2">
      <c r="A316" s="11">
        <v>43009</v>
      </c>
      <c r="B316" s="15">
        <f>VLOOKUP(A316,Database!A:K,MATCH($A$1,Database!$A$1:$K$1,),)</f>
        <v>58224</v>
      </c>
      <c r="C316" s="12">
        <f t="shared" si="8"/>
        <v>7.5448189935626775E-3</v>
      </c>
      <c r="D316" s="13">
        <f t="shared" si="9"/>
        <v>5.1772101593265653E-2</v>
      </c>
    </row>
    <row r="317" spans="1:4" x14ac:dyDescent="0.2">
      <c r="A317" s="10">
        <v>43040</v>
      </c>
      <c r="B317" s="15">
        <f>VLOOKUP(A317,Database!A:K,MATCH($A$1,Database!$A$1:$K$1,),)</f>
        <v>58915</v>
      </c>
      <c r="C317" s="12">
        <f t="shared" si="8"/>
        <v>1.1867958230283044E-2</v>
      </c>
      <c r="D317" s="13">
        <f t="shared" si="9"/>
        <v>4.6038848052270868E-2</v>
      </c>
    </row>
    <row r="318" spans="1:4" x14ac:dyDescent="0.2">
      <c r="A318" s="11">
        <v>43070</v>
      </c>
      <c r="B318" s="15">
        <f>VLOOKUP(A318,Database!A:K,MATCH($A$1,Database!$A$1:$K$1,),)</f>
        <v>59203</v>
      </c>
      <c r="C318" s="12">
        <f t="shared" si="8"/>
        <v>4.8883985402698804E-3</v>
      </c>
      <c r="D318" s="13">
        <f t="shared" si="9"/>
        <v>6.9205902006465481E-2</v>
      </c>
    </row>
    <row r="319" spans="1:4" x14ac:dyDescent="0.2">
      <c r="A319" s="10">
        <v>43101</v>
      </c>
      <c r="B319" s="15">
        <f>VLOOKUP(A319,Database!A:K,MATCH($A$1,Database!$A$1:$K$1,),)</f>
        <v>59463</v>
      </c>
      <c r="C319" s="12">
        <f t="shared" si="8"/>
        <v>4.3916693410806888E-3</v>
      </c>
      <c r="D319" s="13">
        <f t="shared" si="9"/>
        <v>3.6518616650397434E-2</v>
      </c>
    </row>
    <row r="320" spans="1:4" x14ac:dyDescent="0.2">
      <c r="A320" s="11">
        <v>43132</v>
      </c>
      <c r="B320" s="15">
        <f>VLOOKUP(A320,Database!A:K,MATCH($A$1,Database!$A$1:$K$1,),)</f>
        <v>59793</v>
      </c>
      <c r="C320" s="12">
        <f t="shared" si="8"/>
        <v>5.5496695424045207E-3</v>
      </c>
      <c r="D320" s="13">
        <f t="shared" si="9"/>
        <v>4.0801406464864486E-2</v>
      </c>
    </row>
    <row r="321" spans="1:4" x14ac:dyDescent="0.2">
      <c r="A321" s="10">
        <v>43160</v>
      </c>
      <c r="B321" s="15">
        <f>VLOOKUP(A321,Database!A:K,MATCH($A$1,Database!$A$1:$K$1,),)</f>
        <v>60288</v>
      </c>
      <c r="C321" s="12">
        <f t="shared" si="8"/>
        <v>8.2785610355727256E-3</v>
      </c>
      <c r="D321" s="13">
        <f t="shared" si="9"/>
        <v>5.1394290298390329E-2</v>
      </c>
    </row>
    <row r="322" spans="1:4" x14ac:dyDescent="0.2">
      <c r="A322" s="11">
        <v>43191</v>
      </c>
      <c r="B322" s="15">
        <f>VLOOKUP(A322,Database!A:K,MATCH($A$1,Database!$A$1:$K$1,),)</f>
        <v>59625</v>
      </c>
      <c r="C322" s="12">
        <f t="shared" si="8"/>
        <v>-1.0997213375796178E-2</v>
      </c>
      <c r="D322" s="13">
        <f t="shared" si="9"/>
        <v>3.8130060067902843E-2</v>
      </c>
    </row>
    <row r="323" spans="1:4" x14ac:dyDescent="0.2">
      <c r="A323" s="10">
        <v>43221</v>
      </c>
      <c r="B323" s="15">
        <f>VLOOKUP(A323,Database!A:K,MATCH($A$1,Database!$A$1:$K$1,),)</f>
        <v>60912</v>
      </c>
      <c r="C323" s="12">
        <f t="shared" si="8"/>
        <v>2.1584905660377358E-2</v>
      </c>
      <c r="D323" s="13">
        <f t="shared" si="9"/>
        <v>5.9449681705917141E-2</v>
      </c>
    </row>
    <row r="324" spans="1:4" x14ac:dyDescent="0.2">
      <c r="A324" s="11">
        <v>43252</v>
      </c>
      <c r="B324" s="15">
        <f>VLOOKUP(A324,Database!A:K,MATCH($A$1,Database!$A$1:$K$1,),)</f>
        <v>61589</v>
      </c>
      <c r="C324" s="12">
        <f t="shared" si="8"/>
        <v>1.1114394536380351E-2</v>
      </c>
      <c r="D324" s="13">
        <f t="shared" si="9"/>
        <v>7.492669645350461E-2</v>
      </c>
    </row>
    <row r="325" spans="1:4" x14ac:dyDescent="0.2">
      <c r="A325" s="10">
        <v>43282</v>
      </c>
      <c r="B325" s="15">
        <f>VLOOKUP(A325,Database!A:K,MATCH($A$1,Database!$A$1:$K$1,),)</f>
        <v>62174</v>
      </c>
      <c r="C325" s="12">
        <f t="shared" si="8"/>
        <v>9.4984493984315386E-3</v>
      </c>
      <c r="D325" s="13">
        <f t="shared" si="9"/>
        <v>8.7909011373578302E-2</v>
      </c>
    </row>
    <row r="326" spans="1:4" x14ac:dyDescent="0.2">
      <c r="A326" s="11">
        <v>43313</v>
      </c>
      <c r="B326" s="15">
        <f>VLOOKUP(A326,Database!A:K,MATCH($A$1,Database!$A$1:$K$1,),)</f>
        <v>62627</v>
      </c>
      <c r="C326" s="12">
        <f t="shared" si="8"/>
        <v>7.286003795798887E-3</v>
      </c>
      <c r="D326" s="13">
        <f t="shared" si="9"/>
        <v>8.8597253606813836E-2</v>
      </c>
    </row>
    <row r="327" spans="1:4" x14ac:dyDescent="0.2">
      <c r="A327" s="10">
        <v>43344</v>
      </c>
      <c r="B327" s="15">
        <f>VLOOKUP(A327,Database!A:K,MATCH($A$1,Database!$A$1:$K$1,),)</f>
        <v>61172</v>
      </c>
      <c r="C327" s="12">
        <f t="shared" si="8"/>
        <v>-2.3232790968751495E-2</v>
      </c>
      <c r="D327" s="13">
        <f t="shared" si="9"/>
        <v>5.8558870353706653E-2</v>
      </c>
    </row>
    <row r="328" spans="1:4" x14ac:dyDescent="0.2">
      <c r="A328" s="11">
        <v>43374</v>
      </c>
      <c r="B328" s="15">
        <f>VLOOKUP(A328,Database!A:K,MATCH($A$1,Database!$A$1:$K$1,),)</f>
        <v>61817</v>
      </c>
      <c r="C328" s="12">
        <f t="shared" ref="C328:C391" si="10">(B328-B327)/B327</f>
        <v>1.0544039756751455E-2</v>
      </c>
      <c r="D328" s="13">
        <f t="shared" si="9"/>
        <v>6.1709947787853804E-2</v>
      </c>
    </row>
    <row r="329" spans="1:4" x14ac:dyDescent="0.2">
      <c r="A329" s="10">
        <v>43405</v>
      </c>
      <c r="B329" s="15">
        <f>VLOOKUP(A329,Database!A:K,MATCH($A$1,Database!$A$1:$K$1,),)</f>
        <v>61475</v>
      </c>
      <c r="C329" s="12">
        <f t="shared" si="10"/>
        <v>-5.5324587087694325E-3</v>
      </c>
      <c r="D329" s="13">
        <f t="shared" si="9"/>
        <v>4.3452431469065605E-2</v>
      </c>
    </row>
    <row r="330" spans="1:4" x14ac:dyDescent="0.2">
      <c r="A330" s="11">
        <v>43435</v>
      </c>
      <c r="B330" s="15">
        <f>VLOOKUP(A330,Database!A:K,MATCH($A$1,Database!$A$1:$K$1,),)</f>
        <v>61452</v>
      </c>
      <c r="C330" s="12">
        <f t="shared" si="10"/>
        <v>-3.7413582757218379E-4</v>
      </c>
      <c r="D330" s="13">
        <f t="shared" si="9"/>
        <v>3.7987939800347953E-2</v>
      </c>
    </row>
    <row r="331" spans="1:4" x14ac:dyDescent="0.2">
      <c r="A331" s="10">
        <v>43466</v>
      </c>
      <c r="B331" s="15">
        <f>VLOOKUP(A331,Database!A:K,MATCH($A$1,Database!$A$1:$K$1,),)</f>
        <v>61512</v>
      </c>
      <c r="C331" s="12">
        <f t="shared" si="10"/>
        <v>9.7637180238234716E-4</v>
      </c>
      <c r="D331" s="13">
        <f t="shared" si="9"/>
        <v>3.4458402704202612E-2</v>
      </c>
    </row>
    <row r="332" spans="1:4" x14ac:dyDescent="0.2">
      <c r="A332" s="11">
        <v>43497</v>
      </c>
      <c r="B332" s="15">
        <f>VLOOKUP(A332,Database!A:K,MATCH($A$1,Database!$A$1:$K$1,),)</f>
        <v>62162</v>
      </c>
      <c r="C332" s="12">
        <f t="shared" si="10"/>
        <v>1.0567043828846405E-2</v>
      </c>
      <c r="D332" s="13">
        <f t="shared" si="9"/>
        <v>3.9620022410650074E-2</v>
      </c>
    </row>
    <row r="333" spans="1:4" x14ac:dyDescent="0.2">
      <c r="A333" s="10">
        <v>43525</v>
      </c>
      <c r="B333" s="15">
        <f>VLOOKUP(A333,Database!A:K,MATCH($A$1,Database!$A$1:$K$1,),)</f>
        <v>62598</v>
      </c>
      <c r="C333" s="12">
        <f t="shared" si="10"/>
        <v>7.0139313406904543E-3</v>
      </c>
      <c r="D333" s="13">
        <f t="shared" si="9"/>
        <v>3.8316082802547773E-2</v>
      </c>
    </row>
    <row r="334" spans="1:4" x14ac:dyDescent="0.2">
      <c r="A334" s="11">
        <v>43556</v>
      </c>
      <c r="B334" s="15">
        <f>VLOOKUP(A334,Database!A:K,MATCH($A$1,Database!$A$1:$K$1,),)</f>
        <v>63137</v>
      </c>
      <c r="C334" s="12">
        <f t="shared" si="10"/>
        <v>8.6104987379788493E-3</v>
      </c>
      <c r="D334" s="13">
        <f t="shared" si="9"/>
        <v>5.8901467505241091E-2</v>
      </c>
    </row>
    <row r="335" spans="1:4" x14ac:dyDescent="0.2">
      <c r="A335" s="10">
        <v>43586</v>
      </c>
      <c r="B335" s="15">
        <f>VLOOKUP(A335,Database!A:K,MATCH($A$1,Database!$A$1:$K$1,),)</f>
        <v>63898</v>
      </c>
      <c r="C335" s="12">
        <f t="shared" si="10"/>
        <v>1.2053154251864992E-2</v>
      </c>
      <c r="D335" s="13">
        <f t="shared" si="9"/>
        <v>4.9021539269766219E-2</v>
      </c>
    </row>
    <row r="336" spans="1:4" x14ac:dyDescent="0.2">
      <c r="A336" s="11">
        <v>43617</v>
      </c>
      <c r="B336" s="15">
        <f>VLOOKUP(A336,Database!A:K,MATCH($A$1,Database!$A$1:$K$1,),)</f>
        <v>64702</v>
      </c>
      <c r="C336" s="12">
        <f t="shared" si="10"/>
        <v>1.2582553444552256E-2</v>
      </c>
      <c r="D336" s="13">
        <f t="shared" si="9"/>
        <v>5.0544740132166456E-2</v>
      </c>
    </row>
    <row r="337" spans="1:4" x14ac:dyDescent="0.2">
      <c r="A337" s="10">
        <v>43647</v>
      </c>
      <c r="B337" s="15">
        <f>VLOOKUP(A337,Database!A:K,MATCH($A$1,Database!$A$1:$K$1,),)</f>
        <v>65003</v>
      </c>
      <c r="C337" s="12">
        <f t="shared" si="10"/>
        <v>4.6520973076566415E-3</v>
      </c>
      <c r="D337" s="13">
        <f t="shared" si="9"/>
        <v>4.5501334963167883E-2</v>
      </c>
    </row>
    <row r="338" spans="1:4" x14ac:dyDescent="0.2">
      <c r="A338" s="11">
        <v>43678</v>
      </c>
      <c r="B338" s="15">
        <f>VLOOKUP(A338,Database!A:K,MATCH($A$1,Database!$A$1:$K$1,),)</f>
        <v>65191</v>
      </c>
      <c r="C338" s="12">
        <f t="shared" si="10"/>
        <v>2.8921742073442763E-3</v>
      </c>
      <c r="D338" s="13">
        <f t="shared" si="9"/>
        <v>4.0940808277579954E-2</v>
      </c>
    </row>
    <row r="339" spans="1:4" x14ac:dyDescent="0.2">
      <c r="A339" s="10">
        <v>43709</v>
      </c>
      <c r="B339" s="15">
        <f>VLOOKUP(A339,Database!A:K,MATCH($A$1,Database!$A$1:$K$1,),)</f>
        <v>65707</v>
      </c>
      <c r="C339" s="12">
        <f t="shared" si="10"/>
        <v>7.915203018821617E-3</v>
      </c>
      <c r="D339" s="13">
        <f t="shared" ref="D339:D402" si="11">(B339-B327)/B327</f>
        <v>7.4135225266461782E-2</v>
      </c>
    </row>
    <row r="340" spans="1:4" x14ac:dyDescent="0.2">
      <c r="A340" s="11">
        <v>43739</v>
      </c>
      <c r="B340" s="15">
        <f>VLOOKUP(A340,Database!A:K,MATCH($A$1,Database!$A$1:$K$1,),)</f>
        <v>66068</v>
      </c>
      <c r="C340" s="12">
        <f t="shared" si="10"/>
        <v>5.4940873879495335E-3</v>
      </c>
      <c r="D340" s="13">
        <f t="shared" si="11"/>
        <v>6.8767491143213039E-2</v>
      </c>
    </row>
    <row r="341" spans="1:4" x14ac:dyDescent="0.2">
      <c r="A341" s="10">
        <v>43770</v>
      </c>
      <c r="B341" s="15">
        <f>VLOOKUP(A341,Database!A:K,MATCH($A$1,Database!$A$1:$K$1,),)</f>
        <v>65841</v>
      </c>
      <c r="C341" s="12">
        <f t="shared" si="10"/>
        <v>-3.4358539686383726E-3</v>
      </c>
      <c r="D341" s="13">
        <f t="shared" si="11"/>
        <v>7.1020740138267591E-2</v>
      </c>
    </row>
    <row r="342" spans="1:4" x14ac:dyDescent="0.2">
      <c r="A342" s="11">
        <v>43800</v>
      </c>
      <c r="B342" s="15">
        <f>VLOOKUP(A342,Database!A:K,MATCH($A$1,Database!$A$1:$K$1,),)</f>
        <v>66980</v>
      </c>
      <c r="C342" s="12">
        <f t="shared" si="10"/>
        <v>1.7299251226439452E-2</v>
      </c>
      <c r="D342" s="13">
        <f t="shared" si="11"/>
        <v>8.9956388726160255E-2</v>
      </c>
    </row>
    <row r="343" spans="1:4" x14ac:dyDescent="0.2">
      <c r="A343" s="10">
        <v>43831</v>
      </c>
      <c r="B343" s="15">
        <f>VLOOKUP(A343,Database!A:K,MATCH($A$1,Database!$A$1:$K$1,),)</f>
        <v>67950</v>
      </c>
      <c r="C343" s="12">
        <f t="shared" si="10"/>
        <v>1.4481934905942071E-2</v>
      </c>
      <c r="D343" s="13">
        <f t="shared" si="11"/>
        <v>0.10466250487709715</v>
      </c>
    </row>
    <row r="344" spans="1:4" x14ac:dyDescent="0.2">
      <c r="A344" s="11">
        <v>43862</v>
      </c>
      <c r="B344" s="15">
        <f>VLOOKUP(A344,Database!A:K,MATCH($A$1,Database!$A$1:$K$1,),)</f>
        <v>68276</v>
      </c>
      <c r="C344" s="12">
        <f t="shared" si="10"/>
        <v>4.7976453274466519E-3</v>
      </c>
      <c r="D344" s="13">
        <f t="shared" si="11"/>
        <v>9.8355908754544571E-2</v>
      </c>
    </row>
    <row r="345" spans="1:4" x14ac:dyDescent="0.2">
      <c r="A345" s="10">
        <v>43891</v>
      </c>
      <c r="B345" s="15">
        <f>VLOOKUP(A345,Database!A:K,MATCH($A$1,Database!$A$1:$K$1,),)</f>
        <v>47758</v>
      </c>
      <c r="C345" s="12">
        <f t="shared" si="10"/>
        <v>-0.30051555451403128</v>
      </c>
      <c r="D345" s="13">
        <f t="shared" si="11"/>
        <v>-0.23706827694175533</v>
      </c>
    </row>
    <row r="346" spans="1:4" x14ac:dyDescent="0.2">
      <c r="A346" s="11">
        <v>43922</v>
      </c>
      <c r="B346" s="15">
        <f>VLOOKUP(A346,Database!A:K,MATCH($A$1,Database!$A$1:$K$1,),)</f>
        <v>31107</v>
      </c>
      <c r="C346" s="12">
        <f t="shared" si="10"/>
        <v>-0.34865362871142008</v>
      </c>
      <c r="D346" s="13">
        <f t="shared" si="11"/>
        <v>-0.50730950156009946</v>
      </c>
    </row>
    <row r="347" spans="1:4" x14ac:dyDescent="0.2">
      <c r="A347" s="10">
        <v>43952</v>
      </c>
      <c r="B347" s="15">
        <f>VLOOKUP(A347,Database!A:K,MATCH($A$1,Database!$A$1:$K$1,),)</f>
        <v>41021</v>
      </c>
      <c r="C347" s="12">
        <f t="shared" si="10"/>
        <v>0.31870640048863602</v>
      </c>
      <c r="D347" s="13">
        <f t="shared" si="11"/>
        <v>-0.35802372531221632</v>
      </c>
    </row>
    <row r="348" spans="1:4" x14ac:dyDescent="0.2">
      <c r="A348" s="11">
        <v>43983</v>
      </c>
      <c r="B348" s="15">
        <f>VLOOKUP(A348,Database!A:K,MATCH($A$1,Database!$A$1:$K$1,),)</f>
        <v>52844</v>
      </c>
      <c r="C348" s="12">
        <f t="shared" si="10"/>
        <v>0.28821822968723337</v>
      </c>
      <c r="D348" s="13">
        <f t="shared" si="11"/>
        <v>-0.18327099625977558</v>
      </c>
    </row>
    <row r="349" spans="1:4" x14ac:dyDescent="0.2">
      <c r="A349" s="10">
        <v>44013</v>
      </c>
      <c r="B349" s="15">
        <f>VLOOKUP(A349,Database!A:K,MATCH($A$1,Database!$A$1:$K$1,),)</f>
        <v>54918</v>
      </c>
      <c r="C349" s="12">
        <f t="shared" si="10"/>
        <v>3.924759669971993E-2</v>
      </c>
      <c r="D349" s="13">
        <f t="shared" si="11"/>
        <v>-0.15514668553759056</v>
      </c>
    </row>
    <row r="350" spans="1:4" x14ac:dyDescent="0.2">
      <c r="A350" s="11">
        <v>44044</v>
      </c>
      <c r="B350" s="15">
        <f>VLOOKUP(A350,Database!A:K,MATCH($A$1,Database!$A$1:$K$1,),)</f>
        <v>57687</v>
      </c>
      <c r="C350" s="12">
        <f t="shared" si="10"/>
        <v>5.0420627116792308E-2</v>
      </c>
      <c r="D350" s="13">
        <f t="shared" si="11"/>
        <v>-0.11510791366906475</v>
      </c>
    </row>
    <row r="351" spans="1:4" x14ac:dyDescent="0.2">
      <c r="A351" s="10">
        <v>44075</v>
      </c>
      <c r="B351" s="15">
        <f>VLOOKUP(A351,Database!A:K,MATCH($A$1,Database!$A$1:$K$1,),)</f>
        <v>59171</v>
      </c>
      <c r="C351" s="12">
        <f t="shared" si="10"/>
        <v>2.5725033369736684E-2</v>
      </c>
      <c r="D351" s="13">
        <f t="shared" si="11"/>
        <v>-9.9471897971296824E-2</v>
      </c>
    </row>
    <row r="352" spans="1:4" x14ac:dyDescent="0.2">
      <c r="A352" s="11">
        <v>44105</v>
      </c>
      <c r="B352" s="15">
        <f>VLOOKUP(A352,Database!A:K,MATCH($A$1,Database!$A$1:$K$1,),)</f>
        <v>59223</v>
      </c>
      <c r="C352" s="12">
        <f t="shared" si="10"/>
        <v>8.7880887596964732E-4</v>
      </c>
      <c r="D352" s="13">
        <f t="shared" si="11"/>
        <v>-0.10360537627898529</v>
      </c>
    </row>
    <row r="353" spans="1:4" x14ac:dyDescent="0.2">
      <c r="A353" s="10">
        <v>44136</v>
      </c>
      <c r="B353" s="15">
        <f>VLOOKUP(A353,Database!A:K,MATCH($A$1,Database!$A$1:$K$1,),)</f>
        <v>57001</v>
      </c>
      <c r="C353" s="12">
        <f t="shared" si="10"/>
        <v>-3.7519207064822792E-2</v>
      </c>
      <c r="D353" s="13">
        <f t="shared" si="11"/>
        <v>-0.13426284533953009</v>
      </c>
    </row>
    <row r="354" spans="1:4" x14ac:dyDescent="0.2">
      <c r="A354" s="11">
        <v>44166</v>
      </c>
      <c r="B354" s="15">
        <f>VLOOKUP(A354,Database!A:K,MATCH($A$1,Database!$A$1:$K$1,),)</f>
        <v>54066</v>
      </c>
      <c r="C354" s="12">
        <f t="shared" si="10"/>
        <v>-5.1490324731145065E-2</v>
      </c>
      <c r="D354" s="13">
        <f t="shared" si="11"/>
        <v>-0.19280382203642879</v>
      </c>
    </row>
    <row r="355" spans="1:4" x14ac:dyDescent="0.2">
      <c r="A355" s="10">
        <v>44197</v>
      </c>
      <c r="B355" s="15">
        <f>VLOOKUP(A355,Database!A:K,MATCH($A$1,Database!$A$1:$K$1,),)</f>
        <v>59553</v>
      </c>
      <c r="C355" s="12">
        <f t="shared" si="10"/>
        <v>0.10148707135723005</v>
      </c>
      <c r="D355" s="13">
        <f t="shared" si="11"/>
        <v>-0.12357615894039735</v>
      </c>
    </row>
    <row r="356" spans="1:4" x14ac:dyDescent="0.2">
      <c r="A356" s="11">
        <v>44228</v>
      </c>
      <c r="B356" s="15">
        <f>VLOOKUP(A356,Database!A:K,MATCH($A$1,Database!$A$1:$K$1,),)</f>
        <v>59036</v>
      </c>
      <c r="C356" s="12">
        <f t="shared" si="10"/>
        <v>-8.6813426695548507E-3</v>
      </c>
      <c r="D356" s="13">
        <f t="shared" si="11"/>
        <v>-0.13533305993321226</v>
      </c>
    </row>
    <row r="357" spans="1:4" x14ac:dyDescent="0.2">
      <c r="A357" s="10">
        <v>44256</v>
      </c>
      <c r="B357" s="15">
        <f>VLOOKUP(A357,Database!A:K,MATCH($A$1,Database!$A$1:$K$1,),)</f>
        <v>67362</v>
      </c>
      <c r="C357" s="12">
        <f t="shared" si="10"/>
        <v>0.14103259028389456</v>
      </c>
      <c r="D357" s="13">
        <f t="shared" si="11"/>
        <v>0.41048620126470958</v>
      </c>
    </row>
    <row r="358" spans="1:4" x14ac:dyDescent="0.2">
      <c r="A358" s="11">
        <v>44287</v>
      </c>
      <c r="B358" s="15">
        <f>VLOOKUP(A358,Database!A:K,MATCH($A$1,Database!$A$1:$K$1,),)</f>
        <v>69899</v>
      </c>
      <c r="C358" s="12">
        <f t="shared" si="10"/>
        <v>3.766218342685787E-2</v>
      </c>
      <c r="D358" s="13">
        <f t="shared" si="11"/>
        <v>1.2470505031021957</v>
      </c>
    </row>
    <row r="359" spans="1:4" x14ac:dyDescent="0.2">
      <c r="A359" s="10">
        <v>44317</v>
      </c>
      <c r="B359" s="15">
        <f>VLOOKUP(A359,Database!A:K,MATCH($A$1,Database!$A$1:$K$1,),)</f>
        <v>72480</v>
      </c>
      <c r="C359" s="12">
        <f t="shared" si="10"/>
        <v>3.692470564671884E-2</v>
      </c>
      <c r="D359" s="13">
        <f t="shared" si="11"/>
        <v>0.76689988054898706</v>
      </c>
    </row>
    <row r="360" spans="1:4" x14ac:dyDescent="0.2">
      <c r="A360" s="11">
        <v>44348</v>
      </c>
      <c r="B360" s="15">
        <f>VLOOKUP(A360,Database!A:K,MATCH($A$1,Database!$A$1:$K$1,),)</f>
        <v>75837</v>
      </c>
      <c r="C360" s="12">
        <f t="shared" si="10"/>
        <v>4.6316225165562913E-2</v>
      </c>
      <c r="D360" s="13">
        <f t="shared" si="11"/>
        <v>0.43511089243811973</v>
      </c>
    </row>
    <row r="361" spans="1:4" x14ac:dyDescent="0.2">
      <c r="A361" s="10">
        <v>44378</v>
      </c>
      <c r="B361" s="15">
        <f>VLOOKUP(A361,Database!A:K,MATCH($A$1,Database!$A$1:$K$1,),)</f>
        <v>77074</v>
      </c>
      <c r="C361" s="12">
        <f t="shared" si="10"/>
        <v>1.6311299233883195E-2</v>
      </c>
      <c r="D361" s="13">
        <f t="shared" si="11"/>
        <v>0.40343785279871808</v>
      </c>
    </row>
    <row r="362" spans="1:4" x14ac:dyDescent="0.2">
      <c r="A362" s="11">
        <v>44409</v>
      </c>
      <c r="B362" s="15">
        <f>VLOOKUP(A362,Database!A:K,MATCH($A$1,Database!$A$1:$K$1,),)</f>
        <v>77792</v>
      </c>
      <c r="C362" s="12">
        <f t="shared" si="10"/>
        <v>9.3157225523522857E-3</v>
      </c>
      <c r="D362" s="13">
        <f t="shared" si="11"/>
        <v>0.34851873038986253</v>
      </c>
    </row>
    <row r="363" spans="1:4" x14ac:dyDescent="0.2">
      <c r="A363" s="11">
        <v>44440</v>
      </c>
      <c r="B363" s="15">
        <f>VLOOKUP(A363,Database!A:K,MATCH($A$1,Database!$A$1:$K$1,),)</f>
        <v>78288</v>
      </c>
      <c r="C363" s="12">
        <f t="shared" si="10"/>
        <v>6.375976964212258E-3</v>
      </c>
      <c r="D363" s="13">
        <f t="shared" si="11"/>
        <v>0.32308056311368744</v>
      </c>
    </row>
    <row r="364" spans="1:4" x14ac:dyDescent="0.2">
      <c r="A364" s="10">
        <v>44470</v>
      </c>
      <c r="B364" s="15">
        <f>VLOOKUP(A364,Database!A:K,MATCH($A$1,Database!$A$1:$K$1,),)</f>
        <v>78603</v>
      </c>
      <c r="C364" s="12">
        <f t="shared" si="10"/>
        <v>4.023605150214592E-3</v>
      </c>
      <c r="D364" s="13">
        <f t="shared" si="11"/>
        <v>0.32723772858517808</v>
      </c>
    </row>
    <row r="365" spans="1:4" x14ac:dyDescent="0.2">
      <c r="A365" s="11">
        <v>44501</v>
      </c>
      <c r="B365" s="15">
        <f>VLOOKUP(A365,Database!A:K,MATCH($A$1,Database!$A$1:$K$1,),)</f>
        <v>79051</v>
      </c>
      <c r="C365" s="12">
        <f t="shared" si="10"/>
        <v>5.6995280078368507E-3</v>
      </c>
      <c r="D365" s="13">
        <f t="shared" si="11"/>
        <v>0.3868353186786197</v>
      </c>
    </row>
    <row r="366" spans="1:4" x14ac:dyDescent="0.2">
      <c r="A366" s="11">
        <v>44531</v>
      </c>
      <c r="B366" s="15">
        <f>VLOOKUP(A366,Database!A:K,MATCH($A$1,Database!$A$1:$K$1,),)</f>
        <v>77583</v>
      </c>
      <c r="C366" s="12">
        <f t="shared" si="10"/>
        <v>-1.8570290065906821E-2</v>
      </c>
      <c r="D366" s="13">
        <f t="shared" si="11"/>
        <v>0.43496837198979027</v>
      </c>
    </row>
    <row r="367" spans="1:4" x14ac:dyDescent="0.2">
      <c r="A367" s="11">
        <v>44562</v>
      </c>
      <c r="B367" s="15">
        <f>VLOOKUP(A367,Database!A:K,MATCH($A$1,Database!$A$1:$K$1,),)</f>
        <v>75557</v>
      </c>
      <c r="C367" s="12">
        <f t="shared" si="10"/>
        <v>-2.6113968266243893E-2</v>
      </c>
      <c r="D367" s="13">
        <f t="shared" si="11"/>
        <v>0.26873541215387975</v>
      </c>
    </row>
    <row r="368" spans="1:4" x14ac:dyDescent="0.2">
      <c r="A368" s="11">
        <v>44593</v>
      </c>
      <c r="B368" s="15">
        <f>VLOOKUP(A368,Database!A:K,MATCH($A$1,Database!$A$1:$K$1,),)</f>
        <v>80553</v>
      </c>
      <c r="C368" s="12">
        <f t="shared" si="10"/>
        <v>6.612226530963379E-2</v>
      </c>
      <c r="D368" s="13">
        <f t="shared" si="11"/>
        <v>0.36447252523883733</v>
      </c>
    </row>
    <row r="369" spans="1:4" x14ac:dyDescent="0.2">
      <c r="A369" s="11">
        <v>44621</v>
      </c>
      <c r="B369" s="15">
        <f>VLOOKUP(A369,Database!A:K,MATCH($A$1,Database!$A$1:$K$1,),)</f>
        <v>82388</v>
      </c>
      <c r="C369" s="12">
        <f t="shared" si="10"/>
        <v>2.2780033021737242E-2</v>
      </c>
      <c r="D369" s="13">
        <f t="shared" si="11"/>
        <v>0.22306344823490989</v>
      </c>
    </row>
    <row r="370" spans="1:4" x14ac:dyDescent="0.2">
      <c r="A370" s="10">
        <v>44652</v>
      </c>
      <c r="B370" s="15">
        <f>VLOOKUP(A370,Database!A:K,MATCH($A$1,Database!$A$1:$K$1,),)</f>
        <v>84481</v>
      </c>
      <c r="C370" s="12">
        <f t="shared" si="10"/>
        <v>2.5404185075496431E-2</v>
      </c>
      <c r="D370" s="13">
        <f t="shared" si="11"/>
        <v>0.20861528777235727</v>
      </c>
    </row>
    <row r="371" spans="1:4" x14ac:dyDescent="0.2">
      <c r="A371" s="11">
        <v>44682</v>
      </c>
      <c r="B371" s="15">
        <f>VLOOKUP(A371,Database!A:K,MATCH($A$1,Database!$A$1:$K$1,),)</f>
        <v>85322</v>
      </c>
      <c r="C371" s="12">
        <f t="shared" si="10"/>
        <v>9.9549011020229408E-3</v>
      </c>
      <c r="D371" s="13">
        <f t="shared" si="11"/>
        <v>0.17717991169977926</v>
      </c>
    </row>
    <row r="372" spans="1:4" x14ac:dyDescent="0.2">
      <c r="A372" s="10">
        <v>44713</v>
      </c>
      <c r="B372" s="15">
        <f>VLOOKUP(A372,Database!A:K,MATCH($A$1,Database!$A$1:$K$1,),)</f>
        <v>85991</v>
      </c>
      <c r="C372" s="12">
        <f t="shared" si="10"/>
        <v>7.8408851175546749E-3</v>
      </c>
      <c r="D372" s="13">
        <f t="shared" si="11"/>
        <v>0.13389242717934519</v>
      </c>
    </row>
    <row r="373" spans="1:4" x14ac:dyDescent="0.2">
      <c r="A373" s="11">
        <v>44743</v>
      </c>
      <c r="B373" s="15">
        <f>VLOOKUP(A373,Database!A:K,MATCH($A$1,Database!$A$1:$K$1,),)</f>
        <v>86050</v>
      </c>
      <c r="C373" s="12">
        <f t="shared" si="10"/>
        <v>6.8611831470735305E-4</v>
      </c>
      <c r="D373" s="13">
        <f t="shared" ref="D373" si="12">(B373-B361)/B361</f>
        <v>0.11645950644834833</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3"/>
  <sheetViews>
    <sheetView zoomScale="140" zoomScaleNormal="140" workbookViewId="0">
      <pane ySplit="6" topLeftCell="A362" activePane="bottomLeft" state="frozen"/>
      <selection pane="bottomLeft" activeCell="D376" sqref="D376"/>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37399</v>
      </c>
      <c r="C223" s="12">
        <f t="shared" si="6"/>
        <v>5.8361572804044972E-3</v>
      </c>
      <c r="D223" s="13">
        <f t="shared" si="7"/>
        <v>0.297765285585398</v>
      </c>
    </row>
    <row r="224" spans="1:4" x14ac:dyDescent="0.2">
      <c r="A224" s="11">
        <v>40210</v>
      </c>
      <c r="B224" s="15">
        <f>VLOOKUP(A224,Database!A:K,MATCH($A$1,Database!$A$1:$K$1,),)</f>
        <v>36950</v>
      </c>
      <c r="C224" s="12">
        <f t="shared" si="6"/>
        <v>-1.2005668600764727E-2</v>
      </c>
      <c r="D224" s="13">
        <f t="shared" si="7"/>
        <v>0.23744139316811788</v>
      </c>
    </row>
    <row r="225" spans="1:4" x14ac:dyDescent="0.2">
      <c r="A225" s="10">
        <v>40238</v>
      </c>
      <c r="B225" s="15">
        <f>VLOOKUP(A225,Database!A:K,MATCH($A$1,Database!$A$1:$K$1,),)</f>
        <v>37123</v>
      </c>
      <c r="C225" s="12">
        <f t="shared" si="6"/>
        <v>4.6820027063599456E-3</v>
      </c>
      <c r="D225" s="13">
        <f t="shared" si="7"/>
        <v>0.28787510841283609</v>
      </c>
    </row>
    <row r="226" spans="1:4" x14ac:dyDescent="0.2">
      <c r="A226" s="11">
        <v>40269</v>
      </c>
      <c r="B226" s="15">
        <f>VLOOKUP(A226,Database!A:K,MATCH($A$1,Database!$A$1:$K$1,),)</f>
        <v>37218</v>
      </c>
      <c r="C226" s="12">
        <f t="shared" si="6"/>
        <v>2.5590604207634082E-3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35609</v>
      </c>
      <c r="C228" s="12">
        <f t="shared" si="6"/>
        <v>-2.723597224498716E-2</v>
      </c>
      <c r="D228" s="13">
        <f t="shared" si="7"/>
        <v>6.6936329588014987E-2</v>
      </c>
    </row>
    <row r="229" spans="1:4" x14ac:dyDescent="0.2">
      <c r="A229" s="10">
        <v>40360</v>
      </c>
      <c r="B229" s="15">
        <f>VLOOKUP(A229,Database!A:K,MATCH($A$1,Database!$A$1:$K$1,),)</f>
        <v>35764</v>
      </c>
      <c r="C229" s="12">
        <f t="shared" si="6"/>
        <v>4.3528321491757699E-3</v>
      </c>
      <c r="D229" s="13">
        <f t="shared" si="7"/>
        <v>8.1594386983608547E-2</v>
      </c>
    </row>
    <row r="230" spans="1:4" x14ac:dyDescent="0.2">
      <c r="A230" s="11">
        <v>40391</v>
      </c>
      <c r="B230" s="15">
        <f>VLOOKUP(A230,Database!A:K,MATCH($A$1,Database!$A$1:$K$1,),)</f>
        <v>36223</v>
      </c>
      <c r="C230" s="12">
        <f t="shared" si="6"/>
        <v>1.2834134884241136E-2</v>
      </c>
      <c r="D230" s="13">
        <f t="shared" si="7"/>
        <v>4.5155519649143057E-2</v>
      </c>
    </row>
    <row r="231" spans="1:4" x14ac:dyDescent="0.2">
      <c r="A231" s="10">
        <v>40422</v>
      </c>
      <c r="B231" s="15">
        <f>VLOOKUP(A231,Database!A:K,MATCH($A$1,Database!$A$1:$K$1,),)</f>
        <v>37357</v>
      </c>
      <c r="C231" s="12">
        <f t="shared" si="6"/>
        <v>3.1306076249896474E-2</v>
      </c>
      <c r="D231" s="13">
        <f t="shared" si="7"/>
        <v>7.347701149425287E-2</v>
      </c>
    </row>
    <row r="232" spans="1:4" x14ac:dyDescent="0.2">
      <c r="A232" s="11">
        <v>40452</v>
      </c>
      <c r="B232" s="15">
        <f>VLOOKUP(A232,Database!A:K,MATCH($A$1,Database!$A$1:$K$1,),)</f>
        <v>38519</v>
      </c>
      <c r="C232" s="12">
        <f t="shared" si="6"/>
        <v>3.1105281473351714E-2</v>
      </c>
      <c r="D232" s="13">
        <f t="shared" si="7"/>
        <v>0.10417084706894081</v>
      </c>
    </row>
    <row r="233" spans="1:4" x14ac:dyDescent="0.2">
      <c r="A233" s="10">
        <v>40483</v>
      </c>
      <c r="B233" s="15">
        <f>VLOOKUP(A233,Database!A:K,MATCH($A$1,Database!$A$1:$K$1,),)</f>
        <v>39272</v>
      </c>
      <c r="C233" s="12">
        <f t="shared" si="6"/>
        <v>1.9548794101612192E-2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0.11708869221102168</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43780</v>
      </c>
      <c r="C237" s="12">
        <f t="shared" si="6"/>
        <v>3.513500732964487E-2</v>
      </c>
      <c r="D237" s="13">
        <f t="shared" si="7"/>
        <v>0.17932279180023167</v>
      </c>
    </row>
    <row r="238" spans="1:4" x14ac:dyDescent="0.2">
      <c r="A238" s="11">
        <v>40634</v>
      </c>
      <c r="B238" s="15">
        <f>VLOOKUP(A238,Database!A:K,MATCH($A$1,Database!$A$1:$K$1,),)</f>
        <v>44561</v>
      </c>
      <c r="C238" s="12">
        <f t="shared" si="6"/>
        <v>1.7839195979899497E-2</v>
      </c>
      <c r="D238" s="13">
        <f t="shared" si="7"/>
        <v>0.19729700682465473</v>
      </c>
    </row>
    <row r="239" spans="1:4" x14ac:dyDescent="0.2">
      <c r="A239" s="10">
        <v>40664</v>
      </c>
      <c r="B239" s="15">
        <f>VLOOKUP(A239,Database!A:K,MATCH($A$1,Database!$A$1:$K$1,),)</f>
        <v>45300</v>
      </c>
      <c r="C239" s="12">
        <f t="shared" si="6"/>
        <v>1.6584008437871681E-2</v>
      </c>
      <c r="D239" s="13">
        <f t="shared" si="7"/>
        <v>0.23750204884445172</v>
      </c>
    </row>
    <row r="240" spans="1:4" x14ac:dyDescent="0.2">
      <c r="A240" s="11">
        <v>40695</v>
      </c>
      <c r="B240" s="15">
        <f>VLOOKUP(A240,Database!A:K,MATCH($A$1,Database!$A$1:$K$1,),)</f>
        <v>44572</v>
      </c>
      <c r="C240" s="12">
        <f t="shared" si="6"/>
        <v>-1.6070640176600443E-2</v>
      </c>
      <c r="D240" s="13">
        <f t="shared" si="7"/>
        <v>0.2517060293745963</v>
      </c>
    </row>
    <row r="241" spans="1:4" x14ac:dyDescent="0.2">
      <c r="A241" s="10">
        <v>40725</v>
      </c>
      <c r="B241" s="15">
        <f>VLOOKUP(A241,Database!A:K,MATCH($A$1,Database!$A$1:$K$1,),)</f>
        <v>44796</v>
      </c>
      <c r="C241" s="12">
        <f t="shared" si="6"/>
        <v>5.0255765951718566E-3</v>
      </c>
      <c r="D241" s="13">
        <f t="shared" si="7"/>
        <v>0.25254445811430487</v>
      </c>
    </row>
    <row r="242" spans="1:4" x14ac:dyDescent="0.2">
      <c r="A242" s="11">
        <v>40756</v>
      </c>
      <c r="B242" s="15">
        <f>VLOOKUP(A242,Database!A:K,MATCH($A$1,Database!$A$1:$K$1,),)</f>
        <v>45033</v>
      </c>
      <c r="C242" s="12">
        <f t="shared" si="6"/>
        <v>5.2906509509777662E-3</v>
      </c>
      <c r="D242" s="13">
        <f t="shared" si="7"/>
        <v>0.24321563647406344</v>
      </c>
    </row>
    <row r="243" spans="1:4" x14ac:dyDescent="0.2">
      <c r="A243" s="10">
        <v>40787</v>
      </c>
      <c r="B243" s="15">
        <f>VLOOKUP(A243,Database!A:K,MATCH($A$1,Database!$A$1:$K$1,),)</f>
        <v>45082</v>
      </c>
      <c r="C243" s="12">
        <f t="shared" si="6"/>
        <v>1.0880909555215064E-3</v>
      </c>
      <c r="D243" s="13">
        <f t="shared" si="7"/>
        <v>0.20678855368471771</v>
      </c>
    </row>
    <row r="244" spans="1:4" x14ac:dyDescent="0.2">
      <c r="A244" s="11">
        <v>40817</v>
      </c>
      <c r="B244" s="15">
        <f>VLOOKUP(A244,Database!A:K,MATCH($A$1,Database!$A$1:$K$1,),)</f>
        <v>44846</v>
      </c>
      <c r="C244" s="12">
        <f t="shared" si="6"/>
        <v>-5.2349052837052483E-3</v>
      </c>
      <c r="D244" s="13">
        <f t="shared" si="7"/>
        <v>0.16425660063864586</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47495</v>
      </c>
      <c r="C249" s="12">
        <f t="shared" si="6"/>
        <v>6.8686269106018527E-3</v>
      </c>
      <c r="D249" s="13">
        <f t="shared" si="7"/>
        <v>8.4856098675194155E-2</v>
      </c>
    </row>
    <row r="250" spans="1:4" x14ac:dyDescent="0.2">
      <c r="A250" s="11">
        <v>41000</v>
      </c>
      <c r="B250" s="15">
        <f>VLOOKUP(A250,Database!A:K,MATCH($A$1,Database!$A$1:$K$1,),)</f>
        <v>47006</v>
      </c>
      <c r="C250" s="12">
        <f t="shared" si="6"/>
        <v>-1.0295820612696073E-2</v>
      </c>
      <c r="D250" s="13">
        <f t="shared" si="7"/>
        <v>5.4868607077938107E-2</v>
      </c>
    </row>
    <row r="251" spans="1:4" x14ac:dyDescent="0.2">
      <c r="A251" s="10">
        <v>41030</v>
      </c>
      <c r="B251" s="15">
        <f>VLOOKUP(A251,Database!A:K,MATCH($A$1,Database!$A$1:$K$1,),)</f>
        <v>45766</v>
      </c>
      <c r="C251" s="12">
        <f t="shared" si="6"/>
        <v>-2.6379611113474876E-2</v>
      </c>
      <c r="D251" s="13">
        <f t="shared" si="7"/>
        <v>1.0286975717439294E-2</v>
      </c>
    </row>
    <row r="252" spans="1:4" x14ac:dyDescent="0.2">
      <c r="A252" s="11">
        <v>41061</v>
      </c>
      <c r="B252" s="15">
        <f>VLOOKUP(A252,Database!A:K,MATCH($A$1,Database!$A$1:$K$1,),)</f>
        <v>43646</v>
      </c>
      <c r="C252" s="12">
        <f t="shared" si="6"/>
        <v>-4.6322597561508541E-2</v>
      </c>
      <c r="D252" s="13">
        <f t="shared" si="7"/>
        <v>-2.0775374674683659E-2</v>
      </c>
    </row>
    <row r="253" spans="1:4" x14ac:dyDescent="0.2">
      <c r="A253" s="10">
        <v>41091</v>
      </c>
      <c r="B253" s="15">
        <f>VLOOKUP(A253,Database!A:K,MATCH($A$1,Database!$A$1:$K$1,),)</f>
        <v>43484</v>
      </c>
      <c r="C253" s="12">
        <f t="shared" si="6"/>
        <v>-3.7116803372588551E-3</v>
      </c>
      <c r="D253" s="13">
        <f t="shared" si="7"/>
        <v>-2.928832931511742E-2</v>
      </c>
    </row>
    <row r="254" spans="1:4" x14ac:dyDescent="0.2">
      <c r="A254" s="11">
        <v>41122</v>
      </c>
      <c r="B254" s="15">
        <f>VLOOKUP(A254,Database!A:K,MATCH($A$1,Database!$A$1:$K$1,),)</f>
        <v>46391</v>
      </c>
      <c r="C254" s="12">
        <f t="shared" si="6"/>
        <v>6.6852175512832304E-2</v>
      </c>
      <c r="D254" s="13">
        <f t="shared" si="7"/>
        <v>3.0155663624453179E-2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46043</v>
      </c>
      <c r="C259" s="12">
        <f t="shared" si="6"/>
        <v>3.4215229045896352E-3</v>
      </c>
      <c r="D259" s="13">
        <f t="shared" si="7"/>
        <v>6.3603776884070644E-3</v>
      </c>
    </row>
    <row r="260" spans="1:4" x14ac:dyDescent="0.2">
      <c r="A260" s="11">
        <v>41306</v>
      </c>
      <c r="B260" s="15">
        <f>VLOOKUP(A260,Database!A:K,MATCH($A$1,Database!$A$1:$K$1,),)</f>
        <v>49101</v>
      </c>
      <c r="C260" s="12">
        <f t="shared" si="6"/>
        <v>6.6416176183133155E-2</v>
      </c>
      <c r="D260" s="13">
        <f t="shared" si="7"/>
        <v>4.091496894278264E-2</v>
      </c>
    </row>
    <row r="261" spans="1:4" x14ac:dyDescent="0.2">
      <c r="A261" s="10">
        <v>41334</v>
      </c>
      <c r="B261" s="15">
        <f>VLOOKUP(A261,Database!A:K,MATCH($A$1,Database!$A$1:$K$1,),)</f>
        <v>47586</v>
      </c>
      <c r="C261" s="12">
        <f t="shared" si="6"/>
        <v>-3.0854768741980815E-2</v>
      </c>
      <c r="D261" s="13">
        <f t="shared" si="7"/>
        <v>1.915991156963891E-3</v>
      </c>
    </row>
    <row r="262" spans="1:4" x14ac:dyDescent="0.2">
      <c r="A262" s="11">
        <v>41365</v>
      </c>
      <c r="B262" s="15">
        <f>VLOOKUP(A262,Database!A:K,MATCH($A$1,Database!$A$1:$K$1,),)</f>
        <v>46120</v>
      </c>
      <c r="C262" s="12">
        <f t="shared" si="6"/>
        <v>-3.0807380321943429E-2</v>
      </c>
      <c r="D262" s="13">
        <f t="shared" si="7"/>
        <v>-1.8848657618176404E-2</v>
      </c>
    </row>
    <row r="263" spans="1:4" x14ac:dyDescent="0.2">
      <c r="A263" s="10">
        <v>41395</v>
      </c>
      <c r="B263" s="15">
        <f>VLOOKUP(A263,Database!A:K,MATCH($A$1,Database!$A$1:$K$1,),)</f>
        <v>45589</v>
      </c>
      <c r="C263" s="12">
        <f t="shared" si="6"/>
        <v>-1.1513443191673894E-2</v>
      </c>
      <c r="D263" s="13">
        <f t="shared" si="7"/>
        <v>-3.8674998907485907E-3</v>
      </c>
    </row>
    <row r="264" spans="1:4" x14ac:dyDescent="0.2">
      <c r="A264" s="11">
        <v>41426</v>
      </c>
      <c r="B264" s="15">
        <f>VLOOKUP(A264,Database!A:K,MATCH($A$1,Database!$A$1:$K$1,),)</f>
        <v>45824</v>
      </c>
      <c r="C264" s="12">
        <f t="shared" ref="C264:C327" si="8">(B264-B263)/B263</f>
        <v>5.1547522428656038E-3</v>
      </c>
      <c r="D264" s="13">
        <f t="shared" si="7"/>
        <v>4.9901480089813502E-2</v>
      </c>
    </row>
    <row r="265" spans="1:4" x14ac:dyDescent="0.2">
      <c r="A265" s="10">
        <v>41456</v>
      </c>
      <c r="B265" s="15">
        <f>VLOOKUP(A265,Database!A:K,MATCH($A$1,Database!$A$1:$K$1,),)</f>
        <v>45961</v>
      </c>
      <c r="C265" s="12">
        <f t="shared" si="8"/>
        <v>2.9896997206703912E-3</v>
      </c>
      <c r="D265" s="13">
        <f t="shared" si="7"/>
        <v>5.6963480820531688E-2</v>
      </c>
    </row>
    <row r="266" spans="1:4" x14ac:dyDescent="0.2">
      <c r="A266" s="11">
        <v>41487</v>
      </c>
      <c r="B266" s="15">
        <f>VLOOKUP(A266,Database!A:K,MATCH($A$1,Database!$A$1:$K$1,),)</f>
        <v>45632</v>
      </c>
      <c r="C266" s="12">
        <f t="shared" si="8"/>
        <v>-7.1582428580753248E-3</v>
      </c>
      <c r="D266" s="13">
        <f t="shared" si="7"/>
        <v>-1.6360932077342589E-2</v>
      </c>
    </row>
    <row r="267" spans="1:4" x14ac:dyDescent="0.2">
      <c r="A267" s="10">
        <v>41518</v>
      </c>
      <c r="B267" s="15">
        <f>VLOOKUP(A267,Database!A:K,MATCH($A$1,Database!$A$1:$K$1,),)</f>
        <v>45745</v>
      </c>
      <c r="C267" s="12">
        <f t="shared" si="8"/>
        <v>2.4763323983169705E-3</v>
      </c>
      <c r="D267" s="13">
        <f t="shared" si="7"/>
        <v>-2.8912900418196871E-2</v>
      </c>
    </row>
    <row r="268" spans="1:4" x14ac:dyDescent="0.2">
      <c r="A268" s="11">
        <v>41548</v>
      </c>
      <c r="B268" s="15">
        <f>VLOOKUP(A268,Database!A:K,MATCH($A$1,Database!$A$1:$K$1,),)</f>
        <v>45024</v>
      </c>
      <c r="C268" s="12">
        <f t="shared" si="8"/>
        <v>-1.5761285386381024E-2</v>
      </c>
      <c r="D268" s="13">
        <f t="shared" si="7"/>
        <v>-6.1530765382691345E-2</v>
      </c>
    </row>
    <row r="269" spans="1:4" x14ac:dyDescent="0.2">
      <c r="A269" s="10">
        <v>41579</v>
      </c>
      <c r="B269" s="15">
        <f>VLOOKUP(A269,Database!A:K,MATCH($A$1,Database!$A$1:$K$1,),)</f>
        <v>44716</v>
      </c>
      <c r="C269" s="12">
        <f t="shared" si="8"/>
        <v>-6.8407960199004976E-3</v>
      </c>
      <c r="D269" s="13">
        <f t="shared" si="7"/>
        <v>-4.4978856093289478E-2</v>
      </c>
    </row>
    <row r="270" spans="1:4" x14ac:dyDescent="0.2">
      <c r="A270" s="11">
        <v>41609</v>
      </c>
      <c r="B270" s="15">
        <f>VLOOKUP(A270,Database!A:K,MATCH($A$1,Database!$A$1:$K$1,),)</f>
        <v>46666</v>
      </c>
      <c r="C270" s="12">
        <f t="shared" si="8"/>
        <v>4.3608551748814742E-2</v>
      </c>
      <c r="D270" s="13">
        <f t="shared" si="7"/>
        <v>1.699864882534978E-2</v>
      </c>
    </row>
    <row r="271" spans="1:4" x14ac:dyDescent="0.2">
      <c r="A271" s="10">
        <v>41640</v>
      </c>
      <c r="B271" s="15">
        <f>VLOOKUP(A271,Database!A:K,MATCH($A$1,Database!$A$1:$K$1,),)</f>
        <v>47076</v>
      </c>
      <c r="C271" s="12">
        <f t="shared" si="8"/>
        <v>8.7858397977113954E-3</v>
      </c>
      <c r="D271" s="13">
        <f t="shared" si="7"/>
        <v>2.2435549377755576E-2</v>
      </c>
    </row>
    <row r="272" spans="1:4" x14ac:dyDescent="0.2">
      <c r="A272" s="11">
        <v>41671</v>
      </c>
      <c r="B272" s="15">
        <f>VLOOKUP(A272,Database!A:K,MATCH($A$1,Database!$A$1:$K$1,),)</f>
        <v>47571</v>
      </c>
      <c r="C272" s="12">
        <f t="shared" si="8"/>
        <v>1.0514912057099158E-2</v>
      </c>
      <c r="D272" s="13">
        <f t="shared" si="7"/>
        <v>-3.1160261501802407E-2</v>
      </c>
    </row>
    <row r="273" spans="1:4" x14ac:dyDescent="0.2">
      <c r="A273" s="10">
        <v>41699</v>
      </c>
      <c r="B273" s="15">
        <f>VLOOKUP(A273,Database!A:K,MATCH($A$1,Database!$A$1:$K$1,),)</f>
        <v>46861</v>
      </c>
      <c r="C273" s="12">
        <f t="shared" si="8"/>
        <v>-1.4925059384919384E-2</v>
      </c>
      <c r="D273" s="13">
        <f t="shared" si="7"/>
        <v>-1.5235573488000672E-2</v>
      </c>
    </row>
    <row r="274" spans="1:4" x14ac:dyDescent="0.2">
      <c r="A274" s="11">
        <v>41730</v>
      </c>
      <c r="B274" s="15">
        <f>VLOOKUP(A274,Database!A:K,MATCH($A$1,Database!$A$1:$K$1,),)</f>
        <v>47080</v>
      </c>
      <c r="C274" s="12">
        <f t="shared" si="8"/>
        <v>4.6733957875418793E-3</v>
      </c>
      <c r="D274" s="13">
        <f t="shared" si="7"/>
        <v>2.0815264527320035E-2</v>
      </c>
    </row>
    <row r="275" spans="1:4" x14ac:dyDescent="0.2">
      <c r="A275" s="10">
        <v>41760</v>
      </c>
      <c r="B275" s="15">
        <f>VLOOKUP(A275,Database!A:K,MATCH($A$1,Database!$A$1:$K$1,),)</f>
        <v>46780</v>
      </c>
      <c r="C275" s="12">
        <f t="shared" si="8"/>
        <v>-6.3721325403568391E-3</v>
      </c>
      <c r="D275" s="13">
        <f t="shared" ref="D275:D338" si="9">(B275-B263)/B263</f>
        <v>2.6124723069161422E-2</v>
      </c>
    </row>
    <row r="276" spans="1:4" x14ac:dyDescent="0.2">
      <c r="A276" s="11">
        <v>41791</v>
      </c>
      <c r="B276" s="15">
        <f>VLOOKUP(A276,Database!A:K,MATCH($A$1,Database!$A$1:$K$1,),)</f>
        <v>45732</v>
      </c>
      <c r="C276" s="12">
        <f t="shared" si="8"/>
        <v>-2.2402736212056434E-2</v>
      </c>
      <c r="D276" s="13">
        <f t="shared" si="9"/>
        <v>-2.0076815642458101E-3</v>
      </c>
    </row>
    <row r="277" spans="1:4" x14ac:dyDescent="0.2">
      <c r="A277" s="10">
        <v>41821</v>
      </c>
      <c r="B277" s="15">
        <f>VLOOKUP(A277,Database!A:K,MATCH($A$1,Database!$A$1:$K$1,),)</f>
        <v>45765</v>
      </c>
      <c r="C277" s="12">
        <f t="shared" si="8"/>
        <v>7.2159538178955657E-4</v>
      </c>
      <c r="D277" s="13">
        <f t="shared" si="9"/>
        <v>-4.2644851069384912E-3</v>
      </c>
    </row>
    <row r="278" spans="1:4" x14ac:dyDescent="0.2">
      <c r="A278" s="11">
        <v>41852</v>
      </c>
      <c r="B278" s="15">
        <f>VLOOKUP(A278,Database!A:K,MATCH($A$1,Database!$A$1:$K$1,),)</f>
        <v>45907</v>
      </c>
      <c r="C278" s="12">
        <f t="shared" si="8"/>
        <v>3.1028078225718344E-3</v>
      </c>
      <c r="D278" s="13">
        <f t="shared" si="9"/>
        <v>6.0264726507713888E-3</v>
      </c>
    </row>
    <row r="279" spans="1:4" x14ac:dyDescent="0.2">
      <c r="A279" s="10">
        <v>41883</v>
      </c>
      <c r="B279" s="15">
        <f>VLOOKUP(A279,Database!A:K,MATCH($A$1,Database!$A$1:$K$1,),)</f>
        <v>45387</v>
      </c>
      <c r="C279" s="12">
        <f t="shared" si="8"/>
        <v>-1.1327248567756552E-2</v>
      </c>
      <c r="D279" s="13">
        <f t="shared" si="9"/>
        <v>-7.8259919116843366E-3</v>
      </c>
    </row>
    <row r="280" spans="1:4" x14ac:dyDescent="0.2">
      <c r="A280" s="11">
        <v>41913</v>
      </c>
      <c r="B280" s="15">
        <f>VLOOKUP(A280,Database!A:K,MATCH($A$1,Database!$A$1:$K$1,),)</f>
        <v>44501</v>
      </c>
      <c r="C280" s="12">
        <f t="shared" si="8"/>
        <v>-1.9521008218212264E-2</v>
      </c>
      <c r="D280" s="13">
        <f t="shared" si="9"/>
        <v>-1.1616027007818053E-2</v>
      </c>
    </row>
    <row r="281" spans="1:4" x14ac:dyDescent="0.2">
      <c r="A281" s="10">
        <v>41944</v>
      </c>
      <c r="B281" s="15">
        <f>VLOOKUP(A281,Database!A:K,MATCH($A$1,Database!$A$1:$K$1,),)</f>
        <v>43630</v>
      </c>
      <c r="C281" s="12">
        <f t="shared" si="8"/>
        <v>-1.9572593874294959E-2</v>
      </c>
      <c r="D281" s="13">
        <f t="shared" si="9"/>
        <v>-2.4286608820109135E-2</v>
      </c>
    </row>
    <row r="282" spans="1:4" x14ac:dyDescent="0.2">
      <c r="A282" s="11">
        <v>41974</v>
      </c>
      <c r="B282" s="15">
        <f>VLOOKUP(A282,Database!A:K,MATCH($A$1,Database!$A$1:$K$1,),)</f>
        <v>40445</v>
      </c>
      <c r="C282" s="12">
        <f t="shared" si="8"/>
        <v>-7.3000229200091679E-2</v>
      </c>
      <c r="D282" s="13">
        <f t="shared" si="9"/>
        <v>-0.13330904727210388</v>
      </c>
    </row>
    <row r="283" spans="1:4" x14ac:dyDescent="0.2">
      <c r="A283" s="10">
        <v>42005</v>
      </c>
      <c r="B283" s="15">
        <f>VLOOKUP(A283,Database!A:K,MATCH($A$1,Database!$A$1:$K$1,),)</f>
        <v>36572</v>
      </c>
      <c r="C283" s="12">
        <f t="shared" si="8"/>
        <v>-9.5759673630856718E-2</v>
      </c>
      <c r="D283" s="13">
        <f t="shared" si="9"/>
        <v>-0.22312855807630214</v>
      </c>
    </row>
    <row r="284" spans="1:4" x14ac:dyDescent="0.2">
      <c r="A284" s="11">
        <v>42036</v>
      </c>
      <c r="B284" s="15">
        <f>VLOOKUP(A284,Database!A:K,MATCH($A$1,Database!$A$1:$K$1,),)</f>
        <v>37842</v>
      </c>
      <c r="C284" s="12">
        <f t="shared" si="8"/>
        <v>3.4726019905938967E-2</v>
      </c>
      <c r="D284" s="13">
        <f t="shared" si="9"/>
        <v>-0.20451535599419815</v>
      </c>
    </row>
    <row r="285" spans="1:4" x14ac:dyDescent="0.2">
      <c r="A285" s="10">
        <v>42064</v>
      </c>
      <c r="B285" s="15">
        <f>VLOOKUP(A285,Database!A:K,MATCH($A$1,Database!$A$1:$K$1,),)</f>
        <v>38365</v>
      </c>
      <c r="C285" s="12">
        <f t="shared" si="8"/>
        <v>1.3820622588658104E-2</v>
      </c>
      <c r="D285" s="13">
        <f t="shared" si="9"/>
        <v>-0.18130214890847399</v>
      </c>
    </row>
    <row r="286" spans="1:4" x14ac:dyDescent="0.2">
      <c r="A286" s="11">
        <v>42095</v>
      </c>
      <c r="B286" s="15">
        <f>VLOOKUP(A286,Database!A:K,MATCH($A$1,Database!$A$1:$K$1,),)</f>
        <v>37819</v>
      </c>
      <c r="C286" s="12">
        <f t="shared" si="8"/>
        <v>-1.4231721621269386E-2</v>
      </c>
      <c r="D286" s="13">
        <f t="shared" si="9"/>
        <v>-0.19670773152081564</v>
      </c>
    </row>
    <row r="287" spans="1:4" x14ac:dyDescent="0.2">
      <c r="A287" s="10">
        <v>42125</v>
      </c>
      <c r="B287" s="15">
        <f>VLOOKUP(A287,Database!A:K,MATCH($A$1,Database!$A$1:$K$1,),)</f>
        <v>39293</v>
      </c>
      <c r="C287" s="12">
        <f t="shared" si="8"/>
        <v>3.8975118326766971E-2</v>
      </c>
      <c r="D287" s="13">
        <f t="shared" si="9"/>
        <v>-0.16004702864471995</v>
      </c>
    </row>
    <row r="288" spans="1:4" x14ac:dyDescent="0.2">
      <c r="A288" s="11">
        <v>42156</v>
      </c>
      <c r="B288" s="15">
        <f>VLOOKUP(A288,Database!A:K,MATCH($A$1,Database!$A$1:$K$1,),)</f>
        <v>39799</v>
      </c>
      <c r="C288" s="12">
        <f t="shared" si="8"/>
        <v>1.287761178835925E-2</v>
      </c>
      <c r="D288" s="13">
        <f t="shared" si="9"/>
        <v>-0.12973410303507391</v>
      </c>
    </row>
    <row r="289" spans="1:4" x14ac:dyDescent="0.2">
      <c r="A289" s="10">
        <v>42186</v>
      </c>
      <c r="B289" s="15">
        <f>VLOOKUP(A289,Database!A:K,MATCH($A$1,Database!$A$1:$K$1,),)</f>
        <v>40279</v>
      </c>
      <c r="C289" s="12">
        <f t="shared" si="8"/>
        <v>1.2060604537802458E-2</v>
      </c>
      <c r="D289" s="13">
        <f t="shared" si="9"/>
        <v>-0.11987326559597947</v>
      </c>
    </row>
    <row r="290" spans="1:4" x14ac:dyDescent="0.2">
      <c r="A290" s="11">
        <v>42217</v>
      </c>
      <c r="B290" s="15">
        <f>VLOOKUP(A290,Database!A:K,MATCH($A$1,Database!$A$1:$K$1,),)</f>
        <v>39179</v>
      </c>
      <c r="C290" s="12">
        <f t="shared" si="8"/>
        <v>-2.7309516125027931E-2</v>
      </c>
      <c r="D290" s="13">
        <f t="shared" si="9"/>
        <v>-0.14655716993051168</v>
      </c>
    </row>
    <row r="291" spans="1:4" x14ac:dyDescent="0.2">
      <c r="A291" s="10">
        <v>42248</v>
      </c>
      <c r="B291" s="15">
        <f>VLOOKUP(A291,Database!A:K,MATCH($A$1,Database!$A$1:$K$1,),)</f>
        <v>36906</v>
      </c>
      <c r="C291" s="12">
        <f t="shared" si="8"/>
        <v>-5.8015773756349066E-2</v>
      </c>
      <c r="D291" s="13">
        <f t="shared" si="9"/>
        <v>-0.18685967347478352</v>
      </c>
    </row>
    <row r="292" spans="1:4" x14ac:dyDescent="0.2">
      <c r="A292" s="11">
        <v>42278</v>
      </c>
      <c r="B292" s="15">
        <f>VLOOKUP(A292,Database!A:K,MATCH($A$1,Database!$A$1:$K$1,),)</f>
        <v>36551</v>
      </c>
      <c r="C292" s="12">
        <f t="shared" si="8"/>
        <v>-9.6190321356960928E-3</v>
      </c>
      <c r="D292" s="13">
        <f t="shared" si="9"/>
        <v>-0.17864767083885755</v>
      </c>
    </row>
    <row r="293" spans="1:4" x14ac:dyDescent="0.2">
      <c r="A293" s="10">
        <v>42309</v>
      </c>
      <c r="B293" s="15">
        <f>VLOOKUP(A293,Database!A:K,MATCH($A$1,Database!$A$1:$K$1,),)</f>
        <v>36122</v>
      </c>
      <c r="C293" s="12">
        <f t="shared" si="8"/>
        <v>-1.1737024978796749E-2</v>
      </c>
      <c r="D293" s="13">
        <f t="shared" si="9"/>
        <v>-0.17208342883337152</v>
      </c>
    </row>
    <row r="294" spans="1:4" x14ac:dyDescent="0.2">
      <c r="A294" s="11">
        <v>42339</v>
      </c>
      <c r="B294" s="15">
        <f>VLOOKUP(A294,Database!A:K,MATCH($A$1,Database!$A$1:$K$1,),)</f>
        <v>35966</v>
      </c>
      <c r="C294" s="12">
        <f t="shared" si="8"/>
        <v>-4.3186977465256631E-3</v>
      </c>
      <c r="D294" s="13">
        <f t="shared" si="9"/>
        <v>-0.11074298429966621</v>
      </c>
    </row>
    <row r="295" spans="1:4" x14ac:dyDescent="0.2">
      <c r="A295" s="10">
        <v>42370</v>
      </c>
      <c r="B295" s="15">
        <f>VLOOKUP(A295,Database!A:K,MATCH($A$1,Database!$A$1:$K$1,),)</f>
        <v>34562</v>
      </c>
      <c r="C295" s="12">
        <f t="shared" si="8"/>
        <v>-3.9036868153255855E-2</v>
      </c>
      <c r="D295" s="13">
        <f t="shared" si="9"/>
        <v>-5.4960078748769549E-2</v>
      </c>
    </row>
    <row r="296" spans="1:4" x14ac:dyDescent="0.2">
      <c r="A296" s="11">
        <v>42401</v>
      </c>
      <c r="B296" s="15">
        <f>VLOOKUP(A296,Database!A:K,MATCH($A$1,Database!$A$1:$K$1,),)</f>
        <v>32927</v>
      </c>
      <c r="C296" s="12">
        <f t="shared" si="8"/>
        <v>-4.7306290145246226E-2</v>
      </c>
      <c r="D296" s="13">
        <f t="shared" si="9"/>
        <v>-0.12988214153585961</v>
      </c>
    </row>
    <row r="297" spans="1:4" x14ac:dyDescent="0.2">
      <c r="A297" s="10">
        <v>42430</v>
      </c>
      <c r="B297" s="15">
        <f>VLOOKUP(A297,Database!A:K,MATCH($A$1,Database!$A$1:$K$1,),)</f>
        <v>34189</v>
      </c>
      <c r="C297" s="12">
        <f t="shared" si="8"/>
        <v>3.83272086737328E-2</v>
      </c>
      <c r="D297" s="13">
        <f t="shared" si="9"/>
        <v>-0.1088492115209175</v>
      </c>
    </row>
    <row r="298" spans="1:4" x14ac:dyDescent="0.2">
      <c r="A298" s="11">
        <v>42461</v>
      </c>
      <c r="B298" s="15">
        <f>VLOOKUP(A298,Database!A:K,MATCH($A$1,Database!$A$1:$K$1,),)</f>
        <v>35125</v>
      </c>
      <c r="C298" s="12">
        <f t="shared" si="8"/>
        <v>2.7377226593348739E-2</v>
      </c>
      <c r="D298" s="13">
        <f t="shared" si="9"/>
        <v>-7.1234035802110046E-2</v>
      </c>
    </row>
    <row r="299" spans="1:4" x14ac:dyDescent="0.2">
      <c r="A299" s="10">
        <v>42491</v>
      </c>
      <c r="B299" s="15">
        <f>VLOOKUP(A299,Database!A:K,MATCH($A$1,Database!$A$1:$K$1,),)</f>
        <v>36019</v>
      </c>
      <c r="C299" s="12">
        <f t="shared" si="8"/>
        <v>2.5451957295373664E-2</v>
      </c>
      <c r="D299" s="13">
        <f t="shared" si="9"/>
        <v>-8.3322729239304713E-2</v>
      </c>
    </row>
    <row r="300" spans="1:4" x14ac:dyDescent="0.2">
      <c r="A300" s="11">
        <v>42522</v>
      </c>
      <c r="B300" s="15">
        <f>VLOOKUP(A300,Database!A:K,MATCH($A$1,Database!$A$1:$K$1,),)</f>
        <v>37148</v>
      </c>
      <c r="C300" s="12">
        <f t="shared" si="8"/>
        <v>3.1344568144590357E-2</v>
      </c>
      <c r="D300" s="13">
        <f t="shared" si="9"/>
        <v>-6.6609713811904822E-2</v>
      </c>
    </row>
    <row r="301" spans="1:4" x14ac:dyDescent="0.2">
      <c r="A301" s="10">
        <v>42552</v>
      </c>
      <c r="B301" s="15">
        <f>VLOOKUP(A301,Database!A:K,MATCH($A$1,Database!$A$1:$K$1,),)</f>
        <v>36794</v>
      </c>
      <c r="C301" s="12">
        <f t="shared" si="8"/>
        <v>-9.529449768493594E-3</v>
      </c>
      <c r="D301" s="13">
        <f t="shared" si="9"/>
        <v>-8.6521512450656674E-2</v>
      </c>
    </row>
    <row r="302" spans="1:4" x14ac:dyDescent="0.2">
      <c r="A302" s="11">
        <v>42583</v>
      </c>
      <c r="B302" s="15">
        <f>VLOOKUP(A302,Database!A:K,MATCH($A$1,Database!$A$1:$K$1,),)</f>
        <v>35936</v>
      </c>
      <c r="C302" s="12">
        <f t="shared" si="8"/>
        <v>-2.3319019405337826E-2</v>
      </c>
      <c r="D302" s="13">
        <f t="shared" si="9"/>
        <v>-8.2773935016207667E-2</v>
      </c>
    </row>
    <row r="303" spans="1:4" x14ac:dyDescent="0.2">
      <c r="A303" s="10">
        <v>42614</v>
      </c>
      <c r="B303" s="15">
        <f>VLOOKUP(A303,Database!A:K,MATCH($A$1,Database!$A$1:$K$1,),)</f>
        <v>36912</v>
      </c>
      <c r="C303" s="12">
        <f t="shared" si="8"/>
        <v>2.7159394479073909E-2</v>
      </c>
      <c r="D303" s="13">
        <f t="shared" si="9"/>
        <v>1.6257519102584944E-4</v>
      </c>
    </row>
    <row r="304" spans="1:4" x14ac:dyDescent="0.2">
      <c r="A304" s="11">
        <v>42644</v>
      </c>
      <c r="B304" s="15">
        <f>VLOOKUP(A304,Database!A:K,MATCH($A$1,Database!$A$1:$K$1,),)</f>
        <v>37899</v>
      </c>
      <c r="C304" s="12">
        <f t="shared" si="8"/>
        <v>2.6739271781534461E-2</v>
      </c>
      <c r="D304" s="13">
        <f t="shared" si="9"/>
        <v>3.6879975924051324E-2</v>
      </c>
    </row>
    <row r="305" spans="1:4" x14ac:dyDescent="0.2">
      <c r="A305" s="10">
        <v>42675</v>
      </c>
      <c r="B305" s="15">
        <f>VLOOKUP(A305,Database!A:K,MATCH($A$1,Database!$A$1:$K$1,),)</f>
        <v>37521</v>
      </c>
      <c r="C305" s="12">
        <f t="shared" si="8"/>
        <v>-9.9738779387318934E-3</v>
      </c>
      <c r="D305" s="13">
        <f t="shared" si="9"/>
        <v>3.8729859919162835E-2</v>
      </c>
    </row>
    <row r="306" spans="1:4" x14ac:dyDescent="0.2">
      <c r="A306" s="11">
        <v>42705</v>
      </c>
      <c r="B306" s="15">
        <f>VLOOKUP(A306,Database!A:K,MATCH($A$1,Database!$A$1:$K$1,),)</f>
        <v>39423</v>
      </c>
      <c r="C306" s="12">
        <f t="shared" si="8"/>
        <v>5.0691612696889744E-2</v>
      </c>
      <c r="D306" s="13">
        <f t="shared" si="9"/>
        <v>9.6118556414391376E-2</v>
      </c>
    </row>
    <row r="307" spans="1:4" x14ac:dyDescent="0.2">
      <c r="A307" s="10">
        <v>42736</v>
      </c>
      <c r="B307" s="15">
        <f>VLOOKUP(A307,Database!A:K,MATCH($A$1,Database!$A$1:$K$1,),)</f>
        <v>39938</v>
      </c>
      <c r="C307" s="12">
        <f t="shared" si="8"/>
        <v>1.3063440123785608E-2</v>
      </c>
      <c r="D307" s="13">
        <f t="shared" si="9"/>
        <v>0.15554655401886464</v>
      </c>
    </row>
    <row r="308" spans="1:4" x14ac:dyDescent="0.2">
      <c r="A308" s="11">
        <v>42767</v>
      </c>
      <c r="B308" s="15">
        <f>VLOOKUP(A308,Database!A:K,MATCH($A$1,Database!$A$1:$K$1,),)</f>
        <v>40272</v>
      </c>
      <c r="C308" s="12">
        <f t="shared" si="8"/>
        <v>8.3629625920176275E-3</v>
      </c>
      <c r="D308" s="13">
        <f t="shared" si="9"/>
        <v>0.22306921371518815</v>
      </c>
    </row>
    <row r="309" spans="1:4" x14ac:dyDescent="0.2">
      <c r="A309" s="10">
        <v>42795</v>
      </c>
      <c r="B309" s="15">
        <f>VLOOKUP(A309,Database!A:K,MATCH($A$1,Database!$A$1:$K$1,),)</f>
        <v>39840</v>
      </c>
      <c r="C309" s="12">
        <f t="shared" si="8"/>
        <v>-1.0727056019070322E-2</v>
      </c>
      <c r="D309" s="13">
        <f t="shared" si="9"/>
        <v>0.16528708063997191</v>
      </c>
    </row>
    <row r="310" spans="1:4" x14ac:dyDescent="0.2">
      <c r="A310" s="11">
        <v>42826</v>
      </c>
      <c r="B310" s="15">
        <f>VLOOKUP(A310,Database!A:K,MATCH($A$1,Database!$A$1:$K$1,),)</f>
        <v>39640</v>
      </c>
      <c r="C310" s="12">
        <f t="shared" si="8"/>
        <v>-5.0200803212851405E-3</v>
      </c>
      <c r="D310" s="13">
        <f t="shared" si="9"/>
        <v>0.12854092526690392</v>
      </c>
    </row>
    <row r="311" spans="1:4" x14ac:dyDescent="0.2">
      <c r="A311" s="10">
        <v>42856</v>
      </c>
      <c r="B311" s="15">
        <f>VLOOKUP(A311,Database!A:K,MATCH($A$1,Database!$A$1:$K$1,),)</f>
        <v>38041</v>
      </c>
      <c r="C311" s="12">
        <f t="shared" si="8"/>
        <v>-4.0338042381432897E-2</v>
      </c>
      <c r="D311" s="13">
        <f t="shared" si="9"/>
        <v>5.6137038785085649E-2</v>
      </c>
    </row>
    <row r="312" spans="1:4" x14ac:dyDescent="0.2">
      <c r="A312" s="11">
        <v>42887</v>
      </c>
      <c r="B312" s="15">
        <f>VLOOKUP(A312,Database!A:K,MATCH($A$1,Database!$A$1:$K$1,),)</f>
        <v>37413</v>
      </c>
      <c r="C312" s="12">
        <f t="shared" si="8"/>
        <v>-1.650850398254515E-2</v>
      </c>
      <c r="D312" s="13">
        <f t="shared" si="9"/>
        <v>7.1336276515559386E-3</v>
      </c>
    </row>
    <row r="313" spans="1:4" x14ac:dyDescent="0.2">
      <c r="A313" s="10">
        <v>42917</v>
      </c>
      <c r="B313" s="15">
        <f>VLOOKUP(A313,Database!A:K,MATCH($A$1,Database!$A$1:$K$1,),)</f>
        <v>37366</v>
      </c>
      <c r="C313" s="12">
        <f t="shared" si="8"/>
        <v>-1.2562478282949776E-3</v>
      </c>
      <c r="D313" s="13">
        <f t="shared" si="9"/>
        <v>1.5546012936891885E-2</v>
      </c>
    </row>
    <row r="314" spans="1:4" x14ac:dyDescent="0.2">
      <c r="A314" s="11">
        <v>42948</v>
      </c>
      <c r="B314" s="15">
        <f>VLOOKUP(A314,Database!A:K,MATCH($A$1,Database!$A$1:$K$1,),)</f>
        <v>38658</v>
      </c>
      <c r="C314" s="12">
        <f t="shared" si="8"/>
        <v>3.4576888080072796E-2</v>
      </c>
      <c r="D314" s="13">
        <f t="shared" si="9"/>
        <v>7.5745770258236866E-2</v>
      </c>
    </row>
    <row r="315" spans="1:4" x14ac:dyDescent="0.2">
      <c r="A315" s="10">
        <v>42979</v>
      </c>
      <c r="B315" s="15">
        <f>VLOOKUP(A315,Database!A:K,MATCH($A$1,Database!$A$1:$K$1,),)</f>
        <v>40749</v>
      </c>
      <c r="C315" s="12">
        <f t="shared" si="8"/>
        <v>5.4089709762532981E-2</v>
      </c>
      <c r="D315" s="13">
        <f t="shared" si="9"/>
        <v>0.10394993498049415</v>
      </c>
    </row>
    <row r="316" spans="1:4" x14ac:dyDescent="0.2">
      <c r="A316" s="11">
        <v>43009</v>
      </c>
      <c r="B316" s="15">
        <f>VLOOKUP(A316,Database!A:K,MATCH($A$1,Database!$A$1:$K$1,),)</f>
        <v>40920</v>
      </c>
      <c r="C316" s="12">
        <f t="shared" si="8"/>
        <v>4.1964219980858428E-3</v>
      </c>
      <c r="D316" s="13">
        <f t="shared" si="9"/>
        <v>7.9711865748436639E-2</v>
      </c>
    </row>
    <row r="317" spans="1:4" x14ac:dyDescent="0.2">
      <c r="A317" s="10">
        <v>43040</v>
      </c>
      <c r="B317" s="15">
        <f>VLOOKUP(A317,Database!A:K,MATCH($A$1,Database!$A$1:$K$1,),)</f>
        <v>42042</v>
      </c>
      <c r="C317" s="12">
        <f t="shared" si="8"/>
        <v>2.7419354838709678E-2</v>
      </c>
      <c r="D317" s="13">
        <f t="shared" si="9"/>
        <v>0.12049252418645559</v>
      </c>
    </row>
    <row r="318" spans="1:4" x14ac:dyDescent="0.2">
      <c r="A318" s="11">
        <v>43070</v>
      </c>
      <c r="B318" s="15">
        <f>VLOOKUP(A318,Database!A:K,MATCH($A$1,Database!$A$1:$K$1,),)</f>
        <v>42907</v>
      </c>
      <c r="C318" s="12">
        <f t="shared" si="8"/>
        <v>2.0574663431806289E-2</v>
      </c>
      <c r="D318" s="13">
        <f t="shared" si="9"/>
        <v>8.8374806584988461E-2</v>
      </c>
    </row>
    <row r="319" spans="1:4" x14ac:dyDescent="0.2">
      <c r="A319" s="10">
        <v>43101</v>
      </c>
      <c r="B319" s="15">
        <f>VLOOKUP(A319,Database!A:K,MATCH($A$1,Database!$A$1:$K$1,),)</f>
        <v>43013</v>
      </c>
      <c r="C319" s="12">
        <f t="shared" si="8"/>
        <v>2.4704593656046797E-3</v>
      </c>
      <c r="D319" s="13">
        <f t="shared" si="9"/>
        <v>7.6994341228904806E-2</v>
      </c>
    </row>
    <row r="320" spans="1:4" x14ac:dyDescent="0.2">
      <c r="A320" s="11">
        <v>43132</v>
      </c>
      <c r="B320" s="15">
        <f>VLOOKUP(A320,Database!A:K,MATCH($A$1,Database!$A$1:$K$1,),)</f>
        <v>43517</v>
      </c>
      <c r="C320" s="12">
        <f t="shared" si="8"/>
        <v>1.1717387766489201E-2</v>
      </c>
      <c r="D320" s="13">
        <f t="shared" si="9"/>
        <v>8.057707588398888E-2</v>
      </c>
    </row>
    <row r="321" spans="1:4" x14ac:dyDescent="0.2">
      <c r="A321" s="10">
        <v>43160</v>
      </c>
      <c r="B321" s="15">
        <f>VLOOKUP(A321,Database!A:K,MATCH($A$1,Database!$A$1:$K$1,),)</f>
        <v>42920</v>
      </c>
      <c r="C321" s="12">
        <f t="shared" si="8"/>
        <v>-1.3718776570076063E-2</v>
      </c>
      <c r="D321" s="13">
        <f t="shared" si="9"/>
        <v>7.7309236947791168E-2</v>
      </c>
    </row>
    <row r="322" spans="1:4" x14ac:dyDescent="0.2">
      <c r="A322" s="11">
        <v>43191</v>
      </c>
      <c r="B322" s="15">
        <f>VLOOKUP(A322,Database!A:K,MATCH($A$1,Database!$A$1:$K$1,),)</f>
        <v>42638</v>
      </c>
      <c r="C322" s="12">
        <f t="shared" si="8"/>
        <v>-6.5703634669151915E-3</v>
      </c>
      <c r="D322" s="13">
        <f t="shared" si="9"/>
        <v>7.5630676084762871E-2</v>
      </c>
    </row>
    <row r="323" spans="1:4" x14ac:dyDescent="0.2">
      <c r="A323" s="10">
        <v>43221</v>
      </c>
      <c r="B323" s="15">
        <f>VLOOKUP(A323,Database!A:K,MATCH($A$1,Database!$A$1:$K$1,),)</f>
        <v>43767</v>
      </c>
      <c r="C323" s="12">
        <f t="shared" si="8"/>
        <v>2.6478727895304657E-2</v>
      </c>
      <c r="D323" s="13">
        <f t="shared" si="9"/>
        <v>0.15052180542046739</v>
      </c>
    </row>
    <row r="324" spans="1:4" x14ac:dyDescent="0.2">
      <c r="A324" s="11">
        <v>43252</v>
      </c>
      <c r="B324" s="15">
        <f>VLOOKUP(A324,Database!A:K,MATCH($A$1,Database!$A$1:$K$1,),)</f>
        <v>43541</v>
      </c>
      <c r="C324" s="12">
        <f t="shared" si="8"/>
        <v>-5.1637078163913452E-3</v>
      </c>
      <c r="D324" s="13">
        <f t="shared" si="9"/>
        <v>0.16379333386790687</v>
      </c>
    </row>
    <row r="325" spans="1:4" x14ac:dyDescent="0.2">
      <c r="A325" s="10">
        <v>43282</v>
      </c>
      <c r="B325" s="15">
        <f>VLOOKUP(A325,Database!A:K,MATCH($A$1,Database!$A$1:$K$1,),)</f>
        <v>43903</v>
      </c>
      <c r="C325" s="12">
        <f t="shared" si="8"/>
        <v>8.3140028938242117E-3</v>
      </c>
      <c r="D325" s="13">
        <f t="shared" si="9"/>
        <v>0.17494513729058503</v>
      </c>
    </row>
    <row r="326" spans="1:4" x14ac:dyDescent="0.2">
      <c r="A326" s="11">
        <v>43313</v>
      </c>
      <c r="B326" s="15">
        <f>VLOOKUP(A326,Database!A:K,MATCH($A$1,Database!$A$1:$K$1,),)</f>
        <v>44601</v>
      </c>
      <c r="C326" s="12">
        <f t="shared" si="8"/>
        <v>1.5898685739015556E-2</v>
      </c>
      <c r="D326" s="13">
        <f t="shared" si="9"/>
        <v>0.15373273319882041</v>
      </c>
    </row>
    <row r="327" spans="1:4" x14ac:dyDescent="0.2">
      <c r="A327" s="10">
        <v>43344</v>
      </c>
      <c r="B327" s="15">
        <f>VLOOKUP(A327,Database!A:K,MATCH($A$1,Database!$A$1:$K$1,),)</f>
        <v>44201</v>
      </c>
      <c r="C327" s="12">
        <f t="shared" si="8"/>
        <v>-8.968408780072195E-3</v>
      </c>
      <c r="D327" s="13">
        <f t="shared" si="9"/>
        <v>8.4713735306387886E-2</v>
      </c>
    </row>
    <row r="328" spans="1:4" x14ac:dyDescent="0.2">
      <c r="A328" s="11">
        <v>43374</v>
      </c>
      <c r="B328" s="15">
        <f>VLOOKUP(A328,Database!A:K,MATCH($A$1,Database!$A$1:$K$1,),)</f>
        <v>45906</v>
      </c>
      <c r="C328" s="12">
        <f t="shared" ref="C328:C391" si="10">(B328-B327)/B327</f>
        <v>3.8573787923350152E-2</v>
      </c>
      <c r="D328" s="13">
        <f t="shared" si="9"/>
        <v>0.12184750733137829</v>
      </c>
    </row>
    <row r="329" spans="1:4" x14ac:dyDescent="0.2">
      <c r="A329" s="10">
        <v>43405</v>
      </c>
      <c r="B329" s="15">
        <f>VLOOKUP(A329,Database!A:K,MATCH($A$1,Database!$A$1:$K$1,),)</f>
        <v>43799</v>
      </c>
      <c r="C329" s="12">
        <f t="shared" si="10"/>
        <v>-4.5898139676730711E-2</v>
      </c>
      <c r="D329" s="13">
        <f t="shared" si="9"/>
        <v>4.1791541791541792E-2</v>
      </c>
    </row>
    <row r="330" spans="1:4" x14ac:dyDescent="0.2">
      <c r="A330" s="11">
        <v>43435</v>
      </c>
      <c r="B330" s="15">
        <f>VLOOKUP(A330,Database!A:K,MATCH($A$1,Database!$A$1:$K$1,),)</f>
        <v>41261</v>
      </c>
      <c r="C330" s="12">
        <f t="shared" si="10"/>
        <v>-5.7946528459553871E-2</v>
      </c>
      <c r="D330" s="13">
        <f t="shared" si="9"/>
        <v>-3.8362038828163234E-2</v>
      </c>
    </row>
    <row r="331" spans="1:4" x14ac:dyDescent="0.2">
      <c r="A331" s="10">
        <v>43466</v>
      </c>
      <c r="B331" s="15">
        <f>VLOOKUP(A331,Database!A:K,MATCH($A$1,Database!$A$1:$K$1,),)</f>
        <v>40109</v>
      </c>
      <c r="C331" s="12">
        <f t="shared" si="10"/>
        <v>-2.7919827439955407E-2</v>
      </c>
      <c r="D331" s="13">
        <f t="shared" si="9"/>
        <v>-6.7514472368818731E-2</v>
      </c>
    </row>
    <row r="332" spans="1:4" x14ac:dyDescent="0.2">
      <c r="A332" s="11">
        <v>43497</v>
      </c>
      <c r="B332" s="15">
        <f>VLOOKUP(A332,Database!A:K,MATCH($A$1,Database!$A$1:$K$1,),)</f>
        <v>41996</v>
      </c>
      <c r="C332" s="12">
        <f t="shared" si="10"/>
        <v>4.7046797476875513E-2</v>
      </c>
      <c r="D332" s="13">
        <f t="shared" si="9"/>
        <v>-3.4951857894615898E-2</v>
      </c>
    </row>
    <row r="333" spans="1:4" x14ac:dyDescent="0.2">
      <c r="A333" s="10">
        <v>43525</v>
      </c>
      <c r="B333" s="15">
        <f>VLOOKUP(A333,Database!A:K,MATCH($A$1,Database!$A$1:$K$1,),)</f>
        <v>43001</v>
      </c>
      <c r="C333" s="12">
        <f t="shared" si="10"/>
        <v>2.3930850557195925E-2</v>
      </c>
      <c r="D333" s="13">
        <f t="shared" si="9"/>
        <v>1.8872320596458527E-3</v>
      </c>
    </row>
    <row r="334" spans="1:4" x14ac:dyDescent="0.2">
      <c r="A334" s="11">
        <v>43556</v>
      </c>
      <c r="B334" s="15">
        <f>VLOOKUP(A334,Database!A:K,MATCH($A$1,Database!$A$1:$K$1,),)</f>
        <v>43734</v>
      </c>
      <c r="C334" s="12">
        <f t="shared" si="10"/>
        <v>1.7046115206623101E-2</v>
      </c>
      <c r="D334" s="13">
        <f t="shared" si="9"/>
        <v>2.5704770392607532E-2</v>
      </c>
    </row>
    <row r="335" spans="1:4" x14ac:dyDescent="0.2">
      <c r="A335" s="10">
        <v>43586</v>
      </c>
      <c r="B335" s="15">
        <f>VLOOKUP(A335,Database!A:K,MATCH($A$1,Database!$A$1:$K$1,),)</f>
        <v>43625</v>
      </c>
      <c r="C335" s="12">
        <f t="shared" si="10"/>
        <v>-2.4923400557918325E-3</v>
      </c>
      <c r="D335" s="13">
        <f t="shared" si="9"/>
        <v>-3.2444535837503142E-3</v>
      </c>
    </row>
    <row r="336" spans="1:4" x14ac:dyDescent="0.2">
      <c r="A336" s="11">
        <v>43617</v>
      </c>
      <c r="B336" s="15">
        <f>VLOOKUP(A336,Database!A:K,MATCH($A$1,Database!$A$1:$K$1,),)</f>
        <v>42238</v>
      </c>
      <c r="C336" s="12">
        <f t="shared" si="10"/>
        <v>-3.1793696275071635E-2</v>
      </c>
      <c r="D336" s="13">
        <f t="shared" si="9"/>
        <v>-2.9925817046002619E-2</v>
      </c>
    </row>
    <row r="337" spans="1:4" x14ac:dyDescent="0.2">
      <c r="A337" s="10">
        <v>43647</v>
      </c>
      <c r="B337" s="15">
        <f>VLOOKUP(A337,Database!A:K,MATCH($A$1,Database!$A$1:$K$1,),)</f>
        <v>42850</v>
      </c>
      <c r="C337" s="12">
        <f t="shared" si="10"/>
        <v>1.448932241109901E-2</v>
      </c>
      <c r="D337" s="13">
        <f t="shared" si="9"/>
        <v>-2.398469352891602E-2</v>
      </c>
    </row>
    <row r="338" spans="1:4" x14ac:dyDescent="0.2">
      <c r="A338" s="11">
        <v>43678</v>
      </c>
      <c r="B338" s="15">
        <f>VLOOKUP(A338,Database!A:K,MATCH($A$1,Database!$A$1:$K$1,),)</f>
        <v>42735</v>
      </c>
      <c r="C338" s="12">
        <f t="shared" si="10"/>
        <v>-2.6837806301050174E-3</v>
      </c>
      <c r="D338" s="13">
        <f t="shared" si="9"/>
        <v>-4.183762695903679E-2</v>
      </c>
    </row>
    <row r="339" spans="1:4" x14ac:dyDescent="0.2">
      <c r="A339" s="10">
        <v>43709</v>
      </c>
      <c r="B339" s="15">
        <f>VLOOKUP(A339,Database!A:K,MATCH($A$1,Database!$A$1:$K$1,),)</f>
        <v>42589</v>
      </c>
      <c r="C339" s="12">
        <f t="shared" si="10"/>
        <v>-3.4164034164034162E-3</v>
      </c>
      <c r="D339" s="13">
        <f t="shared" ref="D339:D402" si="11">(B339-B327)/B327</f>
        <v>-3.646976312753105E-2</v>
      </c>
    </row>
    <row r="340" spans="1:4" x14ac:dyDescent="0.2">
      <c r="A340" s="11">
        <v>43739</v>
      </c>
      <c r="B340" s="15">
        <f>VLOOKUP(A340,Database!A:K,MATCH($A$1,Database!$A$1:$K$1,),)</f>
        <v>43254</v>
      </c>
      <c r="C340" s="12">
        <f t="shared" si="10"/>
        <v>1.56143605156261E-2</v>
      </c>
      <c r="D340" s="13">
        <f t="shared" si="11"/>
        <v>-5.7770226114233436E-2</v>
      </c>
    </row>
    <row r="341" spans="1:4" x14ac:dyDescent="0.2">
      <c r="A341" s="10">
        <v>43770</v>
      </c>
      <c r="B341" s="15">
        <f>VLOOKUP(A341,Database!A:K,MATCH($A$1,Database!$A$1:$K$1,),)</f>
        <v>43246</v>
      </c>
      <c r="C341" s="12">
        <f t="shared" si="10"/>
        <v>-1.8495399269431728E-4</v>
      </c>
      <c r="D341" s="13">
        <f t="shared" si="11"/>
        <v>-1.2625859037877578E-2</v>
      </c>
    </row>
    <row r="342" spans="1:4" x14ac:dyDescent="0.2">
      <c r="A342" s="11">
        <v>43800</v>
      </c>
      <c r="B342" s="15">
        <f>VLOOKUP(A342,Database!A:K,MATCH($A$1,Database!$A$1:$K$1,),)</f>
        <v>44459</v>
      </c>
      <c r="C342" s="12">
        <f t="shared" si="10"/>
        <v>2.8048836886648477E-2</v>
      </c>
      <c r="D342" s="13">
        <f t="shared" si="11"/>
        <v>7.7506604299459533E-2</v>
      </c>
    </row>
    <row r="343" spans="1:4" x14ac:dyDescent="0.2">
      <c r="A343" s="10">
        <v>43831</v>
      </c>
      <c r="B343" s="15">
        <f>VLOOKUP(A343,Database!A:K,MATCH($A$1,Database!$A$1:$K$1,),)</f>
        <v>43351</v>
      </c>
      <c r="C343" s="12">
        <f t="shared" si="10"/>
        <v>-2.4921838098022897E-2</v>
      </c>
      <c r="D343" s="13">
        <f t="shared" si="11"/>
        <v>8.0829738961330375E-2</v>
      </c>
    </row>
    <row r="344" spans="1:4" x14ac:dyDescent="0.2">
      <c r="A344" s="11">
        <v>43862</v>
      </c>
      <c r="B344" s="15">
        <f>VLOOKUP(A344,Database!A:K,MATCH($A$1,Database!$A$1:$K$1,),)</f>
        <v>42010</v>
      </c>
      <c r="C344" s="12">
        <f t="shared" si="10"/>
        <v>-3.0933542478835552E-2</v>
      </c>
      <c r="D344" s="13">
        <f t="shared" si="11"/>
        <v>3.3336508238879893E-4</v>
      </c>
    </row>
    <row r="345" spans="1:4" x14ac:dyDescent="0.2">
      <c r="A345" s="10">
        <v>43891</v>
      </c>
      <c r="B345" s="15">
        <f>VLOOKUP(A345,Database!A:K,MATCH($A$1,Database!$A$1:$K$1,),)</f>
        <v>34537</v>
      </c>
      <c r="C345" s="12">
        <f t="shared" si="10"/>
        <v>-0.1778862175672459</v>
      </c>
      <c r="D345" s="13">
        <f t="shared" si="11"/>
        <v>-0.19683263179926047</v>
      </c>
    </row>
    <row r="346" spans="1:4" x14ac:dyDescent="0.2">
      <c r="A346" s="11">
        <v>43922</v>
      </c>
      <c r="B346" s="15">
        <f>VLOOKUP(A346,Database!A:K,MATCH($A$1,Database!$A$1:$K$1,),)</f>
        <v>26068</v>
      </c>
      <c r="C346" s="12">
        <f t="shared" si="10"/>
        <v>-0.24521527637026957</v>
      </c>
      <c r="D346" s="13">
        <f t="shared" si="11"/>
        <v>-0.40394201307906891</v>
      </c>
    </row>
    <row r="347" spans="1:4" x14ac:dyDescent="0.2">
      <c r="A347" s="10">
        <v>43952</v>
      </c>
      <c r="B347" s="15">
        <f>VLOOKUP(A347,Database!A:K,MATCH($A$1,Database!$A$1:$K$1,),)</f>
        <v>29535</v>
      </c>
      <c r="C347" s="12">
        <f t="shared" si="10"/>
        <v>0.13299831210679761</v>
      </c>
      <c r="D347" s="13">
        <f t="shared" si="11"/>
        <v>-0.32297994269340974</v>
      </c>
    </row>
    <row r="348" spans="1:4" x14ac:dyDescent="0.2">
      <c r="A348" s="11">
        <v>43983</v>
      </c>
      <c r="B348" s="15">
        <f>VLOOKUP(A348,Database!A:K,MATCH($A$1,Database!$A$1:$K$1,),)</f>
        <v>33677</v>
      </c>
      <c r="C348" s="12">
        <f t="shared" si="10"/>
        <v>0.14024039275435923</v>
      </c>
      <c r="D348" s="13">
        <f t="shared" si="11"/>
        <v>-0.20268478621146835</v>
      </c>
    </row>
    <row r="349" spans="1:4" x14ac:dyDescent="0.2">
      <c r="A349" s="10">
        <v>44013</v>
      </c>
      <c r="B349" s="15">
        <f>VLOOKUP(A349,Database!A:K,MATCH($A$1,Database!$A$1:$K$1,),)</f>
        <v>35448</v>
      </c>
      <c r="C349" s="12">
        <f t="shared" si="10"/>
        <v>5.2587819580128869E-2</v>
      </c>
      <c r="D349" s="13">
        <f t="shared" si="11"/>
        <v>-0.1727421236872812</v>
      </c>
    </row>
    <row r="350" spans="1:4" x14ac:dyDescent="0.2">
      <c r="A350" s="11">
        <v>44044</v>
      </c>
      <c r="B350" s="15">
        <f>VLOOKUP(A350,Database!A:K,MATCH($A$1,Database!$A$1:$K$1,),)</f>
        <v>36194</v>
      </c>
      <c r="C350" s="12">
        <f t="shared" si="10"/>
        <v>2.1044910855337395E-2</v>
      </c>
      <c r="D350" s="13">
        <f t="shared" si="11"/>
        <v>-0.15305955305955307</v>
      </c>
    </row>
    <row r="351" spans="1:4" x14ac:dyDescent="0.2">
      <c r="A351" s="10">
        <v>44075</v>
      </c>
      <c r="B351" s="15">
        <f>VLOOKUP(A351,Database!A:K,MATCH($A$1,Database!$A$1:$K$1,),)</f>
        <v>36714</v>
      </c>
      <c r="C351" s="12">
        <f t="shared" si="10"/>
        <v>1.436702215836879E-2</v>
      </c>
      <c r="D351" s="13">
        <f t="shared" si="11"/>
        <v>-0.13794641808917796</v>
      </c>
    </row>
    <row r="352" spans="1:4" x14ac:dyDescent="0.2">
      <c r="A352" s="11">
        <v>44105</v>
      </c>
      <c r="B352" s="15">
        <f>VLOOKUP(A352,Database!A:K,MATCH($A$1,Database!$A$1:$K$1,),)</f>
        <v>36926</v>
      </c>
      <c r="C352" s="12">
        <f t="shared" si="10"/>
        <v>5.7743640028327069E-3</v>
      </c>
      <c r="D352" s="13">
        <f t="shared" si="11"/>
        <v>-0.14629860822120497</v>
      </c>
    </row>
    <row r="353" spans="1:4" x14ac:dyDescent="0.2">
      <c r="A353" s="10">
        <v>44136</v>
      </c>
      <c r="B353" s="15">
        <f>VLOOKUP(A353,Database!A:K,MATCH($A$1,Database!$A$1:$K$1,),)</f>
        <v>36193</v>
      </c>
      <c r="C353" s="12">
        <f t="shared" si="10"/>
        <v>-1.9850511834479771E-2</v>
      </c>
      <c r="D353" s="13">
        <f t="shared" si="11"/>
        <v>-0.16309022799796513</v>
      </c>
    </row>
    <row r="354" spans="1:4" x14ac:dyDescent="0.2">
      <c r="A354" s="11">
        <v>44166</v>
      </c>
      <c r="B354" s="15">
        <f>VLOOKUP(A354,Database!A:K,MATCH($A$1,Database!$A$1:$K$1,),)</f>
        <v>39293</v>
      </c>
      <c r="C354" s="12">
        <f t="shared" si="10"/>
        <v>8.5651921642306519E-2</v>
      </c>
      <c r="D354" s="13">
        <f t="shared" si="11"/>
        <v>-0.11619694550034863</v>
      </c>
    </row>
    <row r="355" spans="1:4" x14ac:dyDescent="0.2">
      <c r="A355" s="10">
        <v>44197</v>
      </c>
      <c r="B355" s="15">
        <f>VLOOKUP(A355,Database!A:K,MATCH($A$1,Database!$A$1:$K$1,),)</f>
        <v>41104</v>
      </c>
      <c r="C355" s="12">
        <f t="shared" si="10"/>
        <v>4.6089634286005141E-2</v>
      </c>
      <c r="D355" s="13">
        <f t="shared" si="11"/>
        <v>-5.1832714354916841E-2</v>
      </c>
    </row>
    <row r="356" spans="1:4" x14ac:dyDescent="0.2">
      <c r="A356" s="11">
        <v>44228</v>
      </c>
      <c r="B356" s="15">
        <f>VLOOKUP(A356,Database!A:K,MATCH($A$1,Database!$A$1:$K$1,),)</f>
        <v>42741</v>
      </c>
      <c r="C356" s="12">
        <f t="shared" si="10"/>
        <v>3.9825807707279094E-2</v>
      </c>
      <c r="D356" s="13">
        <f t="shared" si="11"/>
        <v>1.7400618900261844E-2</v>
      </c>
    </row>
    <row r="357" spans="1:4" x14ac:dyDescent="0.2">
      <c r="A357" s="10">
        <v>44256</v>
      </c>
      <c r="B357" s="15">
        <f>VLOOKUP(A357,Database!A:K,MATCH($A$1,Database!$A$1:$K$1,),)</f>
        <v>46146</v>
      </c>
      <c r="C357" s="12">
        <f t="shared" si="10"/>
        <v>7.9665894574296348E-2</v>
      </c>
      <c r="D357" s="13">
        <f t="shared" si="11"/>
        <v>0.33613226394880852</v>
      </c>
    </row>
    <row r="358" spans="1:4" x14ac:dyDescent="0.2">
      <c r="A358" s="11">
        <v>44287</v>
      </c>
      <c r="B358" s="15">
        <f>VLOOKUP(A358,Database!A:K,MATCH($A$1,Database!$A$1:$K$1,),)</f>
        <v>45900</v>
      </c>
      <c r="C358" s="12">
        <f t="shared" si="10"/>
        <v>-5.3309062540631905E-3</v>
      </c>
      <c r="D358" s="13">
        <f t="shared" si="11"/>
        <v>0.76077949976983272</v>
      </c>
    </row>
    <row r="359" spans="1:4" x14ac:dyDescent="0.2">
      <c r="A359" s="10">
        <v>44317</v>
      </c>
      <c r="B359" s="15">
        <f>VLOOKUP(A359,Database!A:K,MATCH($A$1,Database!$A$1:$K$1,),)</f>
        <v>46209</v>
      </c>
      <c r="C359" s="12">
        <f t="shared" si="10"/>
        <v>6.7320261437908493E-3</v>
      </c>
      <c r="D359" s="13">
        <f t="shared" si="11"/>
        <v>0.5645505332656171</v>
      </c>
    </row>
    <row r="360" spans="1:4" x14ac:dyDescent="0.2">
      <c r="A360" s="11">
        <v>44348</v>
      </c>
      <c r="B360" s="15">
        <f>VLOOKUP(A360,Database!A:K,MATCH($A$1,Database!$A$1:$K$1,),)</f>
        <v>46690</v>
      </c>
      <c r="C360" s="12">
        <f t="shared" si="10"/>
        <v>1.04092276396373E-2</v>
      </c>
      <c r="D360" s="13">
        <f t="shared" si="11"/>
        <v>0.38640615256703387</v>
      </c>
    </row>
    <row r="361" spans="1:4" x14ac:dyDescent="0.2">
      <c r="A361" s="10">
        <v>44378</v>
      </c>
      <c r="B361" s="15">
        <f>VLOOKUP(A361,Database!A:K,MATCH($A$1,Database!$A$1:$K$1,),)</f>
        <v>48209</v>
      </c>
      <c r="C361" s="12">
        <f t="shared" si="10"/>
        <v>3.253373313343328E-2</v>
      </c>
      <c r="D361" s="13">
        <f t="shared" si="11"/>
        <v>0.35999210110584517</v>
      </c>
    </row>
    <row r="362" spans="1:4" x14ac:dyDescent="0.2">
      <c r="A362" s="11">
        <v>44409</v>
      </c>
      <c r="B362" s="15">
        <f>VLOOKUP(A362,Database!A:K,MATCH($A$1,Database!$A$1:$K$1,),)</f>
        <v>49523</v>
      </c>
      <c r="C362" s="12">
        <f t="shared" si="10"/>
        <v>2.7256321433757183E-2</v>
      </c>
      <c r="D362" s="13">
        <f t="shared" si="11"/>
        <v>0.36826545836326463</v>
      </c>
    </row>
    <row r="363" spans="1:4" x14ac:dyDescent="0.2">
      <c r="A363" s="11">
        <v>44440</v>
      </c>
      <c r="B363" s="15">
        <f>VLOOKUP(A363,Database!A:K,MATCH($A$1,Database!$A$1:$K$1,),)</f>
        <v>51633</v>
      </c>
      <c r="C363" s="12">
        <f t="shared" si="10"/>
        <v>4.2606465682612123E-2</v>
      </c>
      <c r="D363" s="13">
        <f t="shared" si="11"/>
        <v>0.40635724791632621</v>
      </c>
    </row>
    <row r="364" spans="1:4" x14ac:dyDescent="0.2">
      <c r="A364" s="10">
        <v>44470</v>
      </c>
      <c r="B364" s="15">
        <f>VLOOKUP(A364,Database!A:K,MATCH($A$1,Database!$A$1:$K$1,),)</f>
        <v>53978</v>
      </c>
      <c r="C364" s="12">
        <f t="shared" si="10"/>
        <v>4.5416690875990158E-2</v>
      </c>
      <c r="D364" s="13">
        <f t="shared" si="11"/>
        <v>0.46178844174836159</v>
      </c>
    </row>
    <row r="365" spans="1:4" x14ac:dyDescent="0.2">
      <c r="A365" s="11">
        <v>44501</v>
      </c>
      <c r="B365" s="15">
        <f>VLOOKUP(A365,Database!A:K,MATCH($A$1,Database!$A$1:$K$1,),)</f>
        <v>55209</v>
      </c>
      <c r="C365" s="12">
        <f t="shared" si="10"/>
        <v>2.2805587461558412E-2</v>
      </c>
      <c r="D365" s="13">
        <f t="shared" si="11"/>
        <v>0.52540546514519382</v>
      </c>
    </row>
    <row r="366" spans="1:4" x14ac:dyDescent="0.2">
      <c r="A366" s="10">
        <v>44531</v>
      </c>
      <c r="B366" s="15">
        <f>VLOOKUP(A366,Database!A:K,MATCH($A$1,Database!$A$1:$K$1,),)</f>
        <v>55910</v>
      </c>
      <c r="C366" s="12">
        <f t="shared" si="10"/>
        <v>1.2697205165824413E-2</v>
      </c>
      <c r="D366" s="13">
        <f t="shared" si="11"/>
        <v>0.42289975313669104</v>
      </c>
    </row>
    <row r="367" spans="1:4" x14ac:dyDescent="0.2">
      <c r="A367" s="11">
        <v>44562</v>
      </c>
      <c r="B367" s="15">
        <f>VLOOKUP(A367,Database!A:K,MATCH($A$1,Database!$A$1:$K$1,),)</f>
        <v>54919</v>
      </c>
      <c r="C367" s="12">
        <f t="shared" si="10"/>
        <v>-1.7724915042031837E-2</v>
      </c>
      <c r="D367" s="13">
        <f t="shared" si="11"/>
        <v>0.33609867652783182</v>
      </c>
    </row>
    <row r="368" spans="1:4" x14ac:dyDescent="0.2">
      <c r="A368" s="11">
        <v>44593</v>
      </c>
      <c r="B368" s="15">
        <f>VLOOKUP(A368,Database!A:K,MATCH($A$1,Database!$A$1:$K$1,),)</f>
        <v>58392</v>
      </c>
      <c r="C368" s="12">
        <f t="shared" si="10"/>
        <v>6.3238587738305499E-2</v>
      </c>
      <c r="D368" s="13">
        <f t="shared" si="11"/>
        <v>0.36618235417982731</v>
      </c>
    </row>
    <row r="369" spans="1:4" x14ac:dyDescent="0.2">
      <c r="A369" s="11">
        <v>44621</v>
      </c>
      <c r="B369" s="15">
        <f>VLOOKUP(A369,Database!A:K,MATCH($A$1,Database!$A$1:$K$1,),)</f>
        <v>64656</v>
      </c>
      <c r="C369" s="12">
        <f t="shared" si="10"/>
        <v>0.10727496917385944</v>
      </c>
      <c r="D369" s="13">
        <f t="shared" si="11"/>
        <v>0.4011181900923157</v>
      </c>
    </row>
    <row r="370" spans="1:4" x14ac:dyDescent="0.2">
      <c r="A370" s="10">
        <v>44652</v>
      </c>
      <c r="B370" s="15">
        <f>VLOOKUP(A370,Database!A:K,MATCH($A$1,Database!$A$1:$K$1,),)</f>
        <v>63819</v>
      </c>
      <c r="C370" s="12">
        <f t="shared" si="10"/>
        <v>-1.2945434298440981E-2</v>
      </c>
      <c r="D370" s="13">
        <f t="shared" si="11"/>
        <v>0.39039215686274509</v>
      </c>
    </row>
    <row r="371" spans="1:4" x14ac:dyDescent="0.2">
      <c r="A371" s="11">
        <v>44682</v>
      </c>
      <c r="B371" s="15">
        <f>VLOOKUP(A371,Database!A:K,MATCH($A$1,Database!$A$1:$K$1,),)</f>
        <v>66988</v>
      </c>
      <c r="C371" s="12">
        <f t="shared" si="10"/>
        <v>4.9656058540560023E-2</v>
      </c>
      <c r="D371" s="13">
        <f t="shared" si="11"/>
        <v>0.44967430587115065</v>
      </c>
    </row>
    <row r="372" spans="1:4" x14ac:dyDescent="0.2">
      <c r="A372" s="11">
        <v>44713</v>
      </c>
      <c r="B372" s="15">
        <f>VLOOKUP(A372,Database!A:K,MATCH($A$1,Database!$A$1:$K$1,),)</f>
        <v>68658</v>
      </c>
      <c r="C372" s="12">
        <f t="shared" si="10"/>
        <v>2.4929838179972533E-2</v>
      </c>
      <c r="D372" s="13">
        <f t="shared" si="11"/>
        <v>0.47050760334118658</v>
      </c>
    </row>
    <row r="373" spans="1:4" x14ac:dyDescent="0.2">
      <c r="A373" s="10">
        <v>44743</v>
      </c>
      <c r="B373" s="15">
        <f>VLOOKUP(A373,Database!A:K,MATCH($A$1,Database!$A$1:$K$1,),)</f>
        <v>67440</v>
      </c>
      <c r="C373" s="12">
        <f t="shared" si="10"/>
        <v>-1.7740103119811237E-2</v>
      </c>
      <c r="D373" s="13">
        <f t="shared" ref="D373" si="12">(B373-B361)/B361</f>
        <v>0.39890891742205814</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3"/>
  <sheetViews>
    <sheetView zoomScale="140" zoomScaleNormal="140" workbookViewId="0">
      <pane ySplit="6" topLeftCell="A359" activePane="bottomLeft" state="frozen"/>
      <selection pane="bottomLeft" activeCell="A364" sqref="A364:D373"/>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56798</v>
      </c>
      <c r="C223" s="12">
        <f t="shared" si="6"/>
        <v>-4.9230014541249848E-3</v>
      </c>
      <c r="D223" s="13">
        <f t="shared" si="7"/>
        <v>1.8067754077791719E-2</v>
      </c>
    </row>
    <row r="224" spans="1:4" x14ac:dyDescent="0.2">
      <c r="A224" s="11">
        <v>40210</v>
      </c>
      <c r="B224" s="15">
        <f>VLOOKUP(A224,Database!A:Q,MATCH($A$1,Database!$A$1:$Q$1,),)</f>
        <v>55803</v>
      </c>
      <c r="C224" s="12">
        <f t="shared" si="6"/>
        <v>-1.7518222472622275E-2</v>
      </c>
      <c r="D224" s="13">
        <f t="shared" si="7"/>
        <v>2.9803646563814866E-2</v>
      </c>
    </row>
    <row r="225" spans="1:4" x14ac:dyDescent="0.2">
      <c r="A225" s="10">
        <v>40238</v>
      </c>
      <c r="B225" s="15">
        <f>VLOOKUP(A225,Database!A:Q,MATCH($A$1,Database!$A$1:$Q$1,),)</f>
        <v>60897</v>
      </c>
      <c r="C225" s="12">
        <f t="shared" si="6"/>
        <v>9.1285414762647163E-2</v>
      </c>
      <c r="D225" s="13">
        <f t="shared" si="7"/>
        <v>0.14683615819209039</v>
      </c>
    </row>
    <row r="226" spans="1:4" x14ac:dyDescent="0.2">
      <c r="A226" s="11">
        <v>40269</v>
      </c>
      <c r="B226" s="15">
        <f>VLOOKUP(A226,Database!A:Q,MATCH($A$1,Database!$A$1:$Q$1,),)</f>
        <v>61823</v>
      </c>
      <c r="C226" s="12">
        <f t="shared" si="6"/>
        <v>1.5206003579815098E-2</v>
      </c>
      <c r="D226" s="13">
        <f t="shared" si="7"/>
        <v>0.15434023563679819</v>
      </c>
    </row>
    <row r="227" spans="1:4" x14ac:dyDescent="0.2">
      <c r="A227" s="10">
        <v>40299</v>
      </c>
      <c r="B227" s="15">
        <f>VLOOKUP(A227,Database!A:Q,MATCH($A$1,Database!$A$1:$Q$1,),)</f>
        <v>61571</v>
      </c>
      <c r="C227" s="12">
        <f t="shared" si="6"/>
        <v>-4.0761528880837233E-3</v>
      </c>
      <c r="D227" s="13">
        <f t="shared" si="7"/>
        <v>0.13832757122520289</v>
      </c>
    </row>
    <row r="228" spans="1:4" x14ac:dyDescent="0.2">
      <c r="A228" s="11">
        <v>40330</v>
      </c>
      <c r="B228" s="15">
        <f>VLOOKUP(A228,Database!A:Q,MATCH($A$1,Database!$A$1:$Q$1,),)</f>
        <v>61425</v>
      </c>
      <c r="C228" s="12">
        <f t="shared" si="6"/>
        <v>-2.3712462035698624E-3</v>
      </c>
      <c r="D228" s="13">
        <f t="shared" si="7"/>
        <v>8.5036477009768421E-2</v>
      </c>
    </row>
    <row r="229" spans="1:4" x14ac:dyDescent="0.2">
      <c r="A229" s="10">
        <v>40360</v>
      </c>
      <c r="B229" s="15">
        <f>VLOOKUP(A229,Database!A:Q,MATCH($A$1,Database!$A$1:$Q$1,),)</f>
        <v>62679</v>
      </c>
      <c r="C229" s="12">
        <f t="shared" si="6"/>
        <v>2.0415140415140417E-2</v>
      </c>
      <c r="D229" s="13">
        <f t="shared" si="7"/>
        <v>8.5388238553716148E-2</v>
      </c>
    </row>
    <row r="230" spans="1:4" x14ac:dyDescent="0.2">
      <c r="A230" s="11">
        <v>40391</v>
      </c>
      <c r="B230" s="15">
        <f>VLOOKUP(A230,Database!A:Q,MATCH($A$1,Database!$A$1:$Q$1,),)</f>
        <v>62545</v>
      </c>
      <c r="C230" s="12">
        <f t="shared" si="6"/>
        <v>-2.1378771199285248E-3</v>
      </c>
      <c r="D230" s="13">
        <f t="shared" si="7"/>
        <v>4.5291746301977095E-3</v>
      </c>
    </row>
    <row r="231" spans="1:4" x14ac:dyDescent="0.2">
      <c r="A231" s="10">
        <v>40422</v>
      </c>
      <c r="B231" s="15">
        <f>VLOOKUP(A231,Database!A:Q,MATCH($A$1,Database!$A$1:$Q$1,),)</f>
        <v>63260</v>
      </c>
      <c r="C231" s="12">
        <f t="shared" si="6"/>
        <v>1.1431769126229115E-2</v>
      </c>
      <c r="D231" s="13">
        <f t="shared" si="7"/>
        <v>0.18167893301453283</v>
      </c>
    </row>
    <row r="232" spans="1:4" x14ac:dyDescent="0.2">
      <c r="A232" s="11">
        <v>40452</v>
      </c>
      <c r="B232" s="15">
        <f>VLOOKUP(A232,Database!A:Q,MATCH($A$1,Database!$A$1:$Q$1,),)</f>
        <v>64916</v>
      </c>
      <c r="C232" s="12">
        <f t="shared" si="6"/>
        <v>2.6177679418273789E-2</v>
      </c>
      <c r="D232" s="13">
        <f t="shared" si="7"/>
        <v>0.14958649878694505</v>
      </c>
    </row>
    <row r="233" spans="1:4" x14ac:dyDescent="0.2">
      <c r="A233" s="10">
        <v>40483</v>
      </c>
      <c r="B233" s="15">
        <f>VLOOKUP(A233,Database!A:Q,MATCH($A$1,Database!$A$1:$Q$1,),)</f>
        <v>65380</v>
      </c>
      <c r="C233" s="12">
        <f t="shared" si="6"/>
        <v>7.1476985642984778E-3</v>
      </c>
      <c r="D233" s="13">
        <f t="shared" si="7"/>
        <v>0.13991805422369452</v>
      </c>
    </row>
    <row r="234" spans="1:4" x14ac:dyDescent="0.2">
      <c r="A234" s="11">
        <v>40513</v>
      </c>
      <c r="B234" s="15">
        <f>VLOOKUP(A234,Database!A:Q,MATCH($A$1,Database!$A$1:$Q$1,),)</f>
        <v>65296</v>
      </c>
      <c r="C234" s="12">
        <f t="shared" si="6"/>
        <v>-1.2847965738758029E-3</v>
      </c>
      <c r="D234" s="13">
        <f t="shared" si="7"/>
        <v>0.14395837348236654</v>
      </c>
    </row>
    <row r="235" spans="1:4" x14ac:dyDescent="0.2">
      <c r="A235" s="10">
        <v>40544</v>
      </c>
      <c r="B235" s="15">
        <f>VLOOKUP(A235,Database!A:Q,MATCH($A$1,Database!$A$1:$Q$1,),)</f>
        <v>66218</v>
      </c>
      <c r="C235" s="12">
        <f t="shared" si="6"/>
        <v>1.4120313648615535E-2</v>
      </c>
      <c r="D235" s="13">
        <f t="shared" si="7"/>
        <v>0.16585091024331844</v>
      </c>
    </row>
    <row r="236" spans="1:4" x14ac:dyDescent="0.2">
      <c r="A236" s="11">
        <v>40575</v>
      </c>
      <c r="B236" s="15">
        <f>VLOOKUP(A236,Database!A:Q,MATCH($A$1,Database!$A$1:$Q$1,),)</f>
        <v>67255</v>
      </c>
      <c r="C236" s="12">
        <f t="shared" si="6"/>
        <v>1.5660394454679996E-2</v>
      </c>
      <c r="D236" s="13">
        <f t="shared" si="7"/>
        <v>0.20522194147268069</v>
      </c>
    </row>
    <row r="237" spans="1:4" x14ac:dyDescent="0.2">
      <c r="A237" s="10">
        <v>40603</v>
      </c>
      <c r="B237" s="15">
        <f>VLOOKUP(A237,Database!A:Q,MATCH($A$1,Database!$A$1:$Q$1,),)</f>
        <v>67581</v>
      </c>
      <c r="C237" s="12">
        <f t="shared" si="6"/>
        <v>4.8472232547765969E-3</v>
      </c>
      <c r="D237" s="13">
        <f t="shared" si="7"/>
        <v>0.10975910143356815</v>
      </c>
    </row>
    <row r="238" spans="1:4" x14ac:dyDescent="0.2">
      <c r="A238" s="11">
        <v>40634</v>
      </c>
      <c r="B238" s="15">
        <f>VLOOKUP(A238,Database!A:Q,MATCH($A$1,Database!$A$1:$Q$1,),)</f>
        <v>66660</v>
      </c>
      <c r="C238" s="12">
        <f t="shared" si="6"/>
        <v>-1.362809073556177E-2</v>
      </c>
      <c r="D238" s="13">
        <f t="shared" si="7"/>
        <v>7.8239490157384795E-2</v>
      </c>
    </row>
    <row r="239" spans="1:4" x14ac:dyDescent="0.2">
      <c r="A239" s="10">
        <v>40664</v>
      </c>
      <c r="B239" s="15">
        <f>VLOOKUP(A239,Database!A:Q,MATCH($A$1,Database!$A$1:$Q$1,),)</f>
        <v>65855</v>
      </c>
      <c r="C239" s="12">
        <f t="shared" si="6"/>
        <v>-1.2076207620762076E-2</v>
      </c>
      <c r="D239" s="13">
        <f t="shared" si="7"/>
        <v>6.9578210521186928E-2</v>
      </c>
    </row>
    <row r="240" spans="1:4" x14ac:dyDescent="0.2">
      <c r="A240" s="11">
        <v>40695</v>
      </c>
      <c r="B240" s="15">
        <f>VLOOKUP(A240,Database!A:Q,MATCH($A$1,Database!$A$1:$Q$1,),)</f>
        <v>66825</v>
      </c>
      <c r="C240" s="12">
        <f t="shared" si="6"/>
        <v>1.472932958773062E-2</v>
      </c>
      <c r="D240" s="13">
        <f t="shared" si="7"/>
        <v>8.7912087912087919E-2</v>
      </c>
    </row>
    <row r="241" spans="1:4" x14ac:dyDescent="0.2">
      <c r="A241" s="10">
        <v>40725</v>
      </c>
      <c r="B241" s="15">
        <f>VLOOKUP(A241,Database!A:Q,MATCH($A$1,Database!$A$1:$Q$1,),)</f>
        <v>66536</v>
      </c>
      <c r="C241" s="12">
        <f t="shared" si="6"/>
        <v>-4.3247287691732137E-3</v>
      </c>
      <c r="D241" s="13">
        <f t="shared" si="7"/>
        <v>6.1535761578838208E-2</v>
      </c>
    </row>
    <row r="242" spans="1:4" x14ac:dyDescent="0.2">
      <c r="A242" s="11">
        <v>40756</v>
      </c>
      <c r="B242" s="15">
        <f>VLOOKUP(A242,Database!A:Q,MATCH($A$1,Database!$A$1:$Q$1,),)</f>
        <v>65805</v>
      </c>
      <c r="C242" s="12">
        <f t="shared" si="6"/>
        <v>-1.09865336058675E-2</v>
      </c>
      <c r="D242" s="13">
        <f t="shared" si="7"/>
        <v>5.2122471820289389E-2</v>
      </c>
    </row>
    <row r="243" spans="1:4" x14ac:dyDescent="0.2">
      <c r="A243" s="10">
        <v>40787</v>
      </c>
      <c r="B243" s="15">
        <f>VLOOKUP(A243,Database!A:Q,MATCH($A$1,Database!$A$1:$Q$1,),)</f>
        <v>68816</v>
      </c>
      <c r="C243" s="12">
        <f t="shared" si="6"/>
        <v>4.575640148924854E-2</v>
      </c>
      <c r="D243" s="13">
        <f t="shared" si="7"/>
        <v>8.7828011381599749E-2</v>
      </c>
    </row>
    <row r="244" spans="1:4" x14ac:dyDescent="0.2">
      <c r="A244" s="11">
        <v>40817</v>
      </c>
      <c r="B244" s="15">
        <f>VLOOKUP(A244,Database!A:Q,MATCH($A$1,Database!$A$1:$Q$1,),)</f>
        <v>69880</v>
      </c>
      <c r="C244" s="12">
        <f t="shared" si="6"/>
        <v>1.5461520576610091E-2</v>
      </c>
      <c r="D244" s="13">
        <f t="shared" si="7"/>
        <v>7.6468051019779409E-2</v>
      </c>
    </row>
    <row r="245" spans="1:4" x14ac:dyDescent="0.2">
      <c r="A245" s="10">
        <v>40848</v>
      </c>
      <c r="B245" s="15">
        <f>VLOOKUP(A245,Database!A:Q,MATCH($A$1,Database!$A$1:$Q$1,),)</f>
        <v>70223</v>
      </c>
      <c r="C245" s="12">
        <f t="shared" si="6"/>
        <v>4.9084144247281049E-3</v>
      </c>
      <c r="D245" s="13">
        <f t="shared" si="7"/>
        <v>7.4074640562863267E-2</v>
      </c>
    </row>
    <row r="246" spans="1:4" x14ac:dyDescent="0.2">
      <c r="A246" s="11">
        <v>40878</v>
      </c>
      <c r="B246" s="15">
        <f>VLOOKUP(A246,Database!A:Q,MATCH($A$1,Database!$A$1:$Q$1,),)</f>
        <v>71420</v>
      </c>
      <c r="C246" s="12">
        <f t="shared" si="6"/>
        <v>1.7045697278669381E-2</v>
      </c>
      <c r="D246" s="13">
        <f t="shared" si="7"/>
        <v>9.3788287184513597E-2</v>
      </c>
    </row>
    <row r="247" spans="1:4" x14ac:dyDescent="0.2">
      <c r="A247" s="10">
        <v>40909</v>
      </c>
      <c r="B247" s="15">
        <f>VLOOKUP(A247,Database!A:Q,MATCH($A$1,Database!$A$1:$Q$1,),)</f>
        <v>71720</v>
      </c>
      <c r="C247" s="12">
        <f t="shared" si="6"/>
        <v>4.2005040604872583E-3</v>
      </c>
      <c r="D247" s="13">
        <f t="shared" si="7"/>
        <v>8.3089190250385095E-2</v>
      </c>
    </row>
    <row r="248" spans="1:4" x14ac:dyDescent="0.2">
      <c r="A248" s="11">
        <v>40940</v>
      </c>
      <c r="B248" s="15">
        <f>VLOOKUP(A248,Database!A:Q,MATCH($A$1,Database!$A$1:$Q$1,),)</f>
        <v>72657</v>
      </c>
      <c r="C248" s="12">
        <f t="shared" si="6"/>
        <v>1.3064696040156162E-2</v>
      </c>
      <c r="D248" s="13">
        <f t="shared" si="7"/>
        <v>8.032116571258642E-2</v>
      </c>
    </row>
    <row r="249" spans="1:4" x14ac:dyDescent="0.2">
      <c r="A249" s="10">
        <v>40969</v>
      </c>
      <c r="B249" s="15">
        <f>VLOOKUP(A249,Database!A:Q,MATCH($A$1,Database!$A$1:$Q$1,),)</f>
        <v>72592</v>
      </c>
      <c r="C249" s="12">
        <f t="shared" si="6"/>
        <v>-8.9461442118446953E-4</v>
      </c>
      <c r="D249" s="13">
        <f t="shared" si="7"/>
        <v>7.4148059365798075E-2</v>
      </c>
    </row>
    <row r="250" spans="1:4" x14ac:dyDescent="0.2">
      <c r="A250" s="11">
        <v>41000</v>
      </c>
      <c r="B250" s="15">
        <f>VLOOKUP(A250,Database!A:Q,MATCH($A$1,Database!$A$1:$Q$1,),)</f>
        <v>73002</v>
      </c>
      <c r="C250" s="12">
        <f t="shared" si="6"/>
        <v>5.6480052898391008E-3</v>
      </c>
      <c r="D250" s="13">
        <f t="shared" si="7"/>
        <v>9.5139513951395138E-2</v>
      </c>
    </row>
    <row r="251" spans="1:4" x14ac:dyDescent="0.2">
      <c r="A251" s="10">
        <v>41030</v>
      </c>
      <c r="B251" s="15">
        <f>VLOOKUP(A251,Database!A:Q,MATCH($A$1,Database!$A$1:$Q$1,),)</f>
        <v>73646</v>
      </c>
      <c r="C251" s="12">
        <f t="shared" si="6"/>
        <v>8.8216761184625077E-3</v>
      </c>
      <c r="D251" s="13">
        <f t="shared" si="7"/>
        <v>0.1183053678536178</v>
      </c>
    </row>
    <row r="252" spans="1:4" x14ac:dyDescent="0.2">
      <c r="A252" s="11">
        <v>41061</v>
      </c>
      <c r="B252" s="15">
        <f>VLOOKUP(A252,Database!A:Q,MATCH($A$1,Database!$A$1:$Q$1,),)</f>
        <v>72324</v>
      </c>
      <c r="C252" s="12">
        <f t="shared" si="6"/>
        <v>-1.7950737310919805E-2</v>
      </c>
      <c r="D252" s="13">
        <f t="shared" si="7"/>
        <v>8.2289562289562287E-2</v>
      </c>
    </row>
    <row r="253" spans="1:4" x14ac:dyDescent="0.2">
      <c r="A253" s="10">
        <v>41091</v>
      </c>
      <c r="B253" s="15">
        <f>VLOOKUP(A253,Database!A:Q,MATCH($A$1,Database!$A$1:$Q$1,),)</f>
        <v>73197</v>
      </c>
      <c r="C253" s="12">
        <f t="shared" si="6"/>
        <v>1.2070681931309109E-2</v>
      </c>
      <c r="D253" s="13">
        <f t="shared" si="7"/>
        <v>0.10011121798725502</v>
      </c>
    </row>
    <row r="254" spans="1:4" x14ac:dyDescent="0.2">
      <c r="A254" s="11">
        <v>41122</v>
      </c>
      <c r="B254" s="15">
        <f>VLOOKUP(A254,Database!A:Q,MATCH($A$1,Database!$A$1:$Q$1,),)</f>
        <v>73976</v>
      </c>
      <c r="C254" s="12">
        <f t="shared" si="6"/>
        <v>1.0642512671284342E-2</v>
      </c>
      <c r="D254" s="13">
        <f t="shared" si="7"/>
        <v>0.12416989590456652</v>
      </c>
    </row>
    <row r="255" spans="1:4" x14ac:dyDescent="0.2">
      <c r="A255" s="10">
        <v>41153</v>
      </c>
      <c r="B255" s="15">
        <f>VLOOKUP(A255,Database!A:Q,MATCH($A$1,Database!$A$1:$Q$1,),)</f>
        <v>75123</v>
      </c>
      <c r="C255" s="12">
        <f t="shared" si="6"/>
        <v>1.5505028657943117E-2</v>
      </c>
      <c r="D255" s="13">
        <f t="shared" si="7"/>
        <v>9.1650197628458496E-2</v>
      </c>
    </row>
    <row r="256" spans="1:4" x14ac:dyDescent="0.2">
      <c r="A256" s="11">
        <v>41183</v>
      </c>
      <c r="B256" s="15">
        <f>VLOOKUP(A256,Database!A:Q,MATCH($A$1,Database!$A$1:$Q$1,),)</f>
        <v>74820</v>
      </c>
      <c r="C256" s="12">
        <f t="shared" si="6"/>
        <v>-4.0333852481929632E-3</v>
      </c>
      <c r="D256" s="13">
        <f t="shared" si="7"/>
        <v>7.0692615912993709E-2</v>
      </c>
    </row>
    <row r="257" spans="1:4" x14ac:dyDescent="0.2">
      <c r="A257" s="10">
        <v>41214</v>
      </c>
      <c r="B257" s="15">
        <f>VLOOKUP(A257,Database!A:Q,MATCH($A$1,Database!$A$1:$Q$1,),)</f>
        <v>75907</v>
      </c>
      <c r="C257" s="12">
        <f t="shared" si="6"/>
        <v>1.4528201015771184E-2</v>
      </c>
      <c r="D257" s="13">
        <f t="shared" si="7"/>
        <v>8.0942141463623024E-2</v>
      </c>
    </row>
    <row r="258" spans="1:4" x14ac:dyDescent="0.2">
      <c r="A258" s="11">
        <v>41244</v>
      </c>
      <c r="B258" s="15">
        <f>VLOOKUP(A258,Database!A:Q,MATCH($A$1,Database!$A$1:$Q$1,),)</f>
        <v>76795</v>
      </c>
      <c r="C258" s="12">
        <f t="shared" si="6"/>
        <v>1.1698525827657529E-2</v>
      </c>
      <c r="D258" s="13">
        <f t="shared" si="7"/>
        <v>7.5259031083730041E-2</v>
      </c>
    </row>
    <row r="259" spans="1:4" x14ac:dyDescent="0.2">
      <c r="A259" s="10">
        <v>41275</v>
      </c>
      <c r="B259" s="15">
        <f>VLOOKUP(A259,Database!A:Q,MATCH($A$1,Database!$A$1:$Q$1,),)</f>
        <v>77707</v>
      </c>
      <c r="C259" s="12">
        <f t="shared" si="6"/>
        <v>1.1875773162315254E-2</v>
      </c>
      <c r="D259" s="13">
        <f t="shared" si="7"/>
        <v>8.3477412158393757E-2</v>
      </c>
    </row>
    <row r="260" spans="1:4" x14ac:dyDescent="0.2">
      <c r="A260" s="11">
        <v>41306</v>
      </c>
      <c r="B260" s="15">
        <f>VLOOKUP(A260,Database!A:Q,MATCH($A$1,Database!$A$1:$Q$1,),)</f>
        <v>78895</v>
      </c>
      <c r="C260" s="12">
        <f t="shared" si="6"/>
        <v>1.5288197974442457E-2</v>
      </c>
      <c r="D260" s="13">
        <f t="shared" si="7"/>
        <v>8.5855457836134158E-2</v>
      </c>
    </row>
    <row r="261" spans="1:4" x14ac:dyDescent="0.2">
      <c r="A261" s="10">
        <v>41334</v>
      </c>
      <c r="B261" s="15">
        <f>VLOOKUP(A261,Database!A:Q,MATCH($A$1,Database!$A$1:$Q$1,),)</f>
        <v>77964</v>
      </c>
      <c r="C261" s="12">
        <f t="shared" si="6"/>
        <v>-1.1800494327904176E-2</v>
      </c>
      <c r="D261" s="13">
        <f t="shared" si="7"/>
        <v>7.4002644919550359E-2</v>
      </c>
    </row>
    <row r="262" spans="1:4" x14ac:dyDescent="0.2">
      <c r="A262" s="11">
        <v>41365</v>
      </c>
      <c r="B262" s="15">
        <f>VLOOKUP(A262,Database!A:Q,MATCH($A$1,Database!$A$1:$Q$1,),)</f>
        <v>78315</v>
      </c>
      <c r="C262" s="12">
        <f t="shared" si="6"/>
        <v>4.5020778820994301E-3</v>
      </c>
      <c r="D262" s="13">
        <f t="shared" si="7"/>
        <v>7.2778827977315691E-2</v>
      </c>
    </row>
    <row r="263" spans="1:4" x14ac:dyDescent="0.2">
      <c r="A263" s="10">
        <v>41395</v>
      </c>
      <c r="B263" s="15">
        <f>VLOOKUP(A263,Database!A:Q,MATCH($A$1,Database!$A$1:$Q$1,),)</f>
        <v>79771</v>
      </c>
      <c r="C263" s="12">
        <f t="shared" si="6"/>
        <v>1.8591585264636404E-2</v>
      </c>
      <c r="D263" s="13">
        <f t="shared" si="7"/>
        <v>8.3168128615267636E-2</v>
      </c>
    </row>
    <row r="264" spans="1:4" x14ac:dyDescent="0.2">
      <c r="A264" s="11">
        <v>41426</v>
      </c>
      <c r="B264" s="15">
        <f>VLOOKUP(A264,Database!A:Q,MATCH($A$1,Database!$A$1:$Q$1,),)</f>
        <v>81309</v>
      </c>
      <c r="C264" s="12">
        <f t="shared" ref="C264:C327" si="8">(B264-B263)/B263</f>
        <v>1.9280189542565593E-2</v>
      </c>
      <c r="D264" s="13">
        <f t="shared" si="7"/>
        <v>0.12423261987721917</v>
      </c>
    </row>
    <row r="265" spans="1:4" x14ac:dyDescent="0.2">
      <c r="A265" s="10">
        <v>41456</v>
      </c>
      <c r="B265" s="15">
        <f>VLOOKUP(A265,Database!A:Q,MATCH($A$1,Database!$A$1:$Q$1,),)</f>
        <v>81704</v>
      </c>
      <c r="C265" s="12">
        <f t="shared" si="8"/>
        <v>4.8580107983126099E-3</v>
      </c>
      <c r="D265" s="13">
        <f t="shared" si="7"/>
        <v>0.11622061013429512</v>
      </c>
    </row>
    <row r="266" spans="1:4" x14ac:dyDescent="0.2">
      <c r="A266" s="11">
        <v>41487</v>
      </c>
      <c r="B266" s="15">
        <f>VLOOKUP(A266,Database!A:Q,MATCH($A$1,Database!$A$1:$Q$1,),)</f>
        <v>81294</v>
      </c>
      <c r="C266" s="12">
        <f t="shared" si="8"/>
        <v>-5.0181141682169783E-3</v>
      </c>
      <c r="D266" s="13">
        <f t="shared" si="7"/>
        <v>9.8923975343354606E-2</v>
      </c>
    </row>
    <row r="267" spans="1:4" x14ac:dyDescent="0.2">
      <c r="A267" s="10">
        <v>41518</v>
      </c>
      <c r="B267" s="15">
        <f>VLOOKUP(A267,Database!A:Q,MATCH($A$1,Database!$A$1:$Q$1,),)</f>
        <v>80179</v>
      </c>
      <c r="C267" s="12">
        <f t="shared" si="8"/>
        <v>-1.3715649371417326E-2</v>
      </c>
      <c r="D267" s="13">
        <f t="shared" si="7"/>
        <v>6.7302956484698431E-2</v>
      </c>
    </row>
    <row r="268" spans="1:4" x14ac:dyDescent="0.2">
      <c r="A268" s="11">
        <v>41548</v>
      </c>
      <c r="B268" s="15">
        <f>VLOOKUP(A268,Database!A:Q,MATCH($A$1,Database!$A$1:$Q$1,),)</f>
        <v>81482</v>
      </c>
      <c r="C268" s="12">
        <f t="shared" si="8"/>
        <v>1.6251138078549245E-2</v>
      </c>
      <c r="D268" s="13">
        <f t="shared" si="7"/>
        <v>8.9040363539160658E-2</v>
      </c>
    </row>
    <row r="269" spans="1:4" x14ac:dyDescent="0.2">
      <c r="A269" s="10">
        <v>41579</v>
      </c>
      <c r="B269" s="15">
        <f>VLOOKUP(A269,Database!A:Q,MATCH($A$1,Database!$A$1:$Q$1,),)</f>
        <v>81803</v>
      </c>
      <c r="C269" s="12">
        <f t="shared" si="8"/>
        <v>3.9395203848702782E-3</v>
      </c>
      <c r="D269" s="13">
        <f t="shared" si="7"/>
        <v>7.7673995810663046E-2</v>
      </c>
    </row>
    <row r="270" spans="1:4" x14ac:dyDescent="0.2">
      <c r="A270" s="11">
        <v>41609</v>
      </c>
      <c r="B270" s="15">
        <f>VLOOKUP(A270,Database!A:Q,MATCH($A$1,Database!$A$1:$Q$1,),)</f>
        <v>81447</v>
      </c>
      <c r="C270" s="12">
        <f t="shared" si="8"/>
        <v>-4.351918633790937E-3</v>
      </c>
      <c r="D270" s="13">
        <f t="shared" si="7"/>
        <v>6.0576860472687025E-2</v>
      </c>
    </row>
    <row r="271" spans="1:4" x14ac:dyDescent="0.2">
      <c r="A271" s="10">
        <v>41640</v>
      </c>
      <c r="B271" s="15">
        <f>VLOOKUP(A271,Database!A:Q,MATCH($A$1,Database!$A$1:$Q$1,),)</f>
        <v>79169</v>
      </c>
      <c r="C271" s="12">
        <f t="shared" si="8"/>
        <v>-2.7969108745564599E-2</v>
      </c>
      <c r="D271" s="13">
        <f t="shared" si="7"/>
        <v>1.8814263837234741E-2</v>
      </c>
    </row>
    <row r="272" spans="1:4" x14ac:dyDescent="0.2">
      <c r="A272" s="11">
        <v>41671</v>
      </c>
      <c r="B272" s="15">
        <f>VLOOKUP(A272,Database!A:Q,MATCH($A$1,Database!$A$1:$Q$1,),)</f>
        <v>81551</v>
      </c>
      <c r="C272" s="12">
        <f t="shared" si="8"/>
        <v>3.0087534262148063E-2</v>
      </c>
      <c r="D272" s="13">
        <f t="shared" si="7"/>
        <v>3.3664997781861966E-2</v>
      </c>
    </row>
    <row r="273" spans="1:4" x14ac:dyDescent="0.2">
      <c r="A273" s="10">
        <v>41699</v>
      </c>
      <c r="B273" s="15">
        <f>VLOOKUP(A273,Database!A:Q,MATCH($A$1,Database!$A$1:$Q$1,),)</f>
        <v>84408</v>
      </c>
      <c r="C273" s="12">
        <f t="shared" si="8"/>
        <v>3.5033292050373387E-2</v>
      </c>
      <c r="D273" s="13">
        <f t="shared" si="7"/>
        <v>8.2653532399569032E-2</v>
      </c>
    </row>
    <row r="274" spans="1:4" x14ac:dyDescent="0.2">
      <c r="A274" s="11">
        <v>41730</v>
      </c>
      <c r="B274" s="15">
        <f>VLOOKUP(A274,Database!A:Q,MATCH($A$1,Database!$A$1:$Q$1,),)</f>
        <v>85795</v>
      </c>
      <c r="C274" s="12">
        <f t="shared" si="8"/>
        <v>1.6432091744858306E-2</v>
      </c>
      <c r="D274" s="13">
        <f t="shared" si="7"/>
        <v>9.5511715507884828E-2</v>
      </c>
    </row>
    <row r="275" spans="1:4" x14ac:dyDescent="0.2">
      <c r="A275" s="10">
        <v>41760</v>
      </c>
      <c r="B275" s="15">
        <f>VLOOKUP(A275,Database!A:Q,MATCH($A$1,Database!$A$1:$Q$1,),)</f>
        <v>85889</v>
      </c>
      <c r="C275" s="12">
        <f t="shared" si="8"/>
        <v>1.0956349437612914E-3</v>
      </c>
      <c r="D275" s="13">
        <f t="shared" ref="D275:D338" si="9">(B275-B263)/B263</f>
        <v>7.6694538115355204E-2</v>
      </c>
    </row>
    <row r="276" spans="1:4" x14ac:dyDescent="0.2">
      <c r="A276" s="11">
        <v>41791</v>
      </c>
      <c r="B276" s="15">
        <f>VLOOKUP(A276,Database!A:Q,MATCH($A$1,Database!$A$1:$Q$1,),)</f>
        <v>86280</v>
      </c>
      <c r="C276" s="12">
        <f t="shared" si="8"/>
        <v>4.5523873837161923E-3</v>
      </c>
      <c r="D276" s="13">
        <f t="shared" si="9"/>
        <v>6.1137143489650589E-2</v>
      </c>
    </row>
    <row r="277" spans="1:4" x14ac:dyDescent="0.2">
      <c r="A277" s="10">
        <v>41821</v>
      </c>
      <c r="B277" s="15">
        <f>VLOOKUP(A277,Database!A:Q,MATCH($A$1,Database!$A$1:$Q$1,),)</f>
        <v>86500</v>
      </c>
      <c r="C277" s="12">
        <f t="shared" si="8"/>
        <v>2.5498377375985167E-3</v>
      </c>
      <c r="D277" s="13">
        <f t="shared" si="9"/>
        <v>5.8699696465289337E-2</v>
      </c>
    </row>
    <row r="278" spans="1:4" x14ac:dyDescent="0.2">
      <c r="A278" s="11">
        <v>41852</v>
      </c>
      <c r="B278" s="15">
        <f>VLOOKUP(A278,Database!A:Q,MATCH($A$1,Database!$A$1:$Q$1,),)</f>
        <v>87271</v>
      </c>
      <c r="C278" s="12">
        <f t="shared" si="8"/>
        <v>8.9132947976878606E-3</v>
      </c>
      <c r="D278" s="13">
        <f t="shared" si="9"/>
        <v>7.352326124929269E-2</v>
      </c>
    </row>
    <row r="279" spans="1:4" x14ac:dyDescent="0.2">
      <c r="A279" s="10">
        <v>41883</v>
      </c>
      <c r="B279" s="15">
        <f>VLOOKUP(A279,Database!A:Q,MATCH($A$1,Database!$A$1:$Q$1,),)</f>
        <v>86406</v>
      </c>
      <c r="C279" s="12">
        <f t="shared" si="8"/>
        <v>-9.9116545014953424E-3</v>
      </c>
      <c r="D279" s="13">
        <f t="shared" si="9"/>
        <v>7.7663727409920308E-2</v>
      </c>
    </row>
    <row r="280" spans="1:4" x14ac:dyDescent="0.2">
      <c r="A280" s="11">
        <v>41913</v>
      </c>
      <c r="B280" s="15">
        <f>VLOOKUP(A280,Database!A:Q,MATCH($A$1,Database!$A$1:$Q$1,),)</f>
        <v>86891</v>
      </c>
      <c r="C280" s="12">
        <f t="shared" si="8"/>
        <v>5.61303613175011E-3</v>
      </c>
      <c r="D280" s="13">
        <f t="shared" si="9"/>
        <v>6.6382759382440287E-2</v>
      </c>
    </row>
    <row r="281" spans="1:4" x14ac:dyDescent="0.2">
      <c r="A281" s="10">
        <v>41944</v>
      </c>
      <c r="B281" s="15">
        <f>VLOOKUP(A281,Database!A:Q,MATCH($A$1,Database!$A$1:$Q$1,),)</f>
        <v>87707</v>
      </c>
      <c r="C281" s="12">
        <f t="shared" si="8"/>
        <v>9.3910761758985387E-3</v>
      </c>
      <c r="D281" s="13">
        <f t="shared" si="9"/>
        <v>7.2173392173881148E-2</v>
      </c>
    </row>
    <row r="282" spans="1:4" x14ac:dyDescent="0.2">
      <c r="A282" s="11">
        <v>41974</v>
      </c>
      <c r="B282" s="15">
        <f>VLOOKUP(A282,Database!A:Q,MATCH($A$1,Database!$A$1:$Q$1,),)</f>
        <v>87441</v>
      </c>
      <c r="C282" s="12">
        <f t="shared" si="8"/>
        <v>-3.0328252020933337E-3</v>
      </c>
      <c r="D282" s="13">
        <f t="shared" si="9"/>
        <v>7.3593870860805183E-2</v>
      </c>
    </row>
    <row r="283" spans="1:4" x14ac:dyDescent="0.2">
      <c r="A283" s="10">
        <v>42005</v>
      </c>
      <c r="B283" s="15">
        <f>VLOOKUP(A283,Database!A:Q,MATCH($A$1,Database!$A$1:$Q$1,),)</f>
        <v>88397</v>
      </c>
      <c r="C283" s="12">
        <f t="shared" si="8"/>
        <v>1.0933086309625919E-2</v>
      </c>
      <c r="D283" s="13">
        <f t="shared" si="9"/>
        <v>0.1165607750508406</v>
      </c>
    </row>
    <row r="284" spans="1:4" x14ac:dyDescent="0.2">
      <c r="A284" s="11">
        <v>42036</v>
      </c>
      <c r="B284" s="15">
        <f>VLOOKUP(A284,Database!A:Q,MATCH($A$1,Database!$A$1:$Q$1,),)</f>
        <v>87342</v>
      </c>
      <c r="C284" s="12">
        <f t="shared" si="8"/>
        <v>-1.193479416722287E-2</v>
      </c>
      <c r="D284" s="13">
        <f t="shared" si="9"/>
        <v>7.1010778531225865E-2</v>
      </c>
    </row>
    <row r="285" spans="1:4" x14ac:dyDescent="0.2">
      <c r="A285" s="10">
        <v>42064</v>
      </c>
      <c r="B285" s="15">
        <f>VLOOKUP(A285,Database!A:Q,MATCH($A$1,Database!$A$1:$Q$1,),)</f>
        <v>91104</v>
      </c>
      <c r="C285" s="12">
        <f t="shared" si="8"/>
        <v>4.3072061551143778E-2</v>
      </c>
      <c r="D285" s="13">
        <f t="shared" si="9"/>
        <v>7.9328973557008811E-2</v>
      </c>
    </row>
    <row r="286" spans="1:4" x14ac:dyDescent="0.2">
      <c r="A286" s="11">
        <v>42095</v>
      </c>
      <c r="B286" s="15">
        <f>VLOOKUP(A286,Database!A:Q,MATCH($A$1,Database!$A$1:$Q$1,),)</f>
        <v>91741</v>
      </c>
      <c r="C286" s="12">
        <f t="shared" si="8"/>
        <v>6.9920091324200909E-3</v>
      </c>
      <c r="D286" s="13">
        <f t="shared" si="9"/>
        <v>6.9304738038347219E-2</v>
      </c>
    </row>
    <row r="287" spans="1:4" x14ac:dyDescent="0.2">
      <c r="A287" s="10">
        <v>42125</v>
      </c>
      <c r="B287" s="15">
        <f>VLOOKUP(A287,Database!A:Q,MATCH($A$1,Database!$A$1:$Q$1,),)</f>
        <v>92278</v>
      </c>
      <c r="C287" s="12">
        <f t="shared" si="8"/>
        <v>5.8534352143534514E-3</v>
      </c>
      <c r="D287" s="13">
        <f t="shared" si="9"/>
        <v>7.4386708425991682E-2</v>
      </c>
    </row>
    <row r="288" spans="1:4" x14ac:dyDescent="0.2">
      <c r="A288" s="11">
        <v>42156</v>
      </c>
      <c r="B288" s="15">
        <f>VLOOKUP(A288,Database!A:Q,MATCH($A$1,Database!$A$1:$Q$1,),)</f>
        <v>92285</v>
      </c>
      <c r="C288" s="12">
        <f t="shared" si="8"/>
        <v>7.585773423784651E-5</v>
      </c>
      <c r="D288" s="13">
        <f t="shared" si="9"/>
        <v>6.9598980064904961E-2</v>
      </c>
    </row>
    <row r="289" spans="1:4" x14ac:dyDescent="0.2">
      <c r="A289" s="10">
        <v>42186</v>
      </c>
      <c r="B289" s="15">
        <f>VLOOKUP(A289,Database!A:Q,MATCH($A$1,Database!$A$1:$Q$1,),)</f>
        <v>92532</v>
      </c>
      <c r="C289" s="12">
        <f t="shared" si="8"/>
        <v>2.676491304112261E-3</v>
      </c>
      <c r="D289" s="13">
        <f t="shared" si="9"/>
        <v>6.9734104046242779E-2</v>
      </c>
    </row>
    <row r="290" spans="1:4" x14ac:dyDescent="0.2">
      <c r="A290" s="11">
        <v>42217</v>
      </c>
      <c r="B290" s="15">
        <f>VLOOKUP(A290,Database!A:Q,MATCH($A$1,Database!$A$1:$Q$1,),)</f>
        <v>93082</v>
      </c>
      <c r="C290" s="12">
        <f t="shared" si="8"/>
        <v>5.9438896814075128E-3</v>
      </c>
      <c r="D290" s="13">
        <f t="shared" si="9"/>
        <v>6.658569284183749E-2</v>
      </c>
    </row>
    <row r="291" spans="1:4" x14ac:dyDescent="0.2">
      <c r="A291" s="10">
        <v>42248</v>
      </c>
      <c r="B291" s="15">
        <f>VLOOKUP(A291,Database!A:Q,MATCH($A$1,Database!$A$1:$Q$1,),)</f>
        <v>93565</v>
      </c>
      <c r="C291" s="12">
        <f t="shared" si="8"/>
        <v>5.188973163447283E-3</v>
      </c>
      <c r="D291" s="13">
        <f t="shared" si="9"/>
        <v>8.2853042612781522E-2</v>
      </c>
    </row>
    <row r="292" spans="1:4" x14ac:dyDescent="0.2">
      <c r="A292" s="11">
        <v>42278</v>
      </c>
      <c r="B292" s="15">
        <f>VLOOKUP(A292,Database!A:Q,MATCH($A$1,Database!$A$1:$Q$1,),)</f>
        <v>92770</v>
      </c>
      <c r="C292" s="12">
        <f t="shared" si="8"/>
        <v>-8.4967669534548179E-3</v>
      </c>
      <c r="D292" s="13">
        <f t="shared" si="9"/>
        <v>6.7659481419249407E-2</v>
      </c>
    </row>
    <row r="293" spans="1:4" x14ac:dyDescent="0.2">
      <c r="A293" s="10">
        <v>42309</v>
      </c>
      <c r="B293" s="15">
        <f>VLOOKUP(A293,Database!A:Q,MATCH($A$1,Database!$A$1:$Q$1,),)</f>
        <v>93987</v>
      </c>
      <c r="C293" s="12">
        <f t="shared" si="8"/>
        <v>1.3118465021019727E-2</v>
      </c>
      <c r="D293" s="13">
        <f t="shared" si="9"/>
        <v>7.1602038605812532E-2</v>
      </c>
    </row>
    <row r="294" spans="1:4" x14ac:dyDescent="0.2">
      <c r="A294" s="11">
        <v>42339</v>
      </c>
      <c r="B294" s="15">
        <f>VLOOKUP(A294,Database!A:Q,MATCH($A$1,Database!$A$1:$Q$1,),)</f>
        <v>93440</v>
      </c>
      <c r="C294" s="12">
        <f t="shared" si="8"/>
        <v>-5.8199538234011087E-3</v>
      </c>
      <c r="D294" s="13">
        <f t="shared" si="9"/>
        <v>6.8606260221177703E-2</v>
      </c>
    </row>
    <row r="295" spans="1:4" x14ac:dyDescent="0.2">
      <c r="A295" s="10">
        <v>42370</v>
      </c>
      <c r="B295" s="15">
        <f>VLOOKUP(A295,Database!A:Q,MATCH($A$1,Database!$A$1:$Q$1,),)</f>
        <v>93062</v>
      </c>
      <c r="C295" s="12">
        <f t="shared" si="8"/>
        <v>-4.045376712328767E-3</v>
      </c>
      <c r="D295" s="13">
        <f t="shared" si="9"/>
        <v>5.2773284161227188E-2</v>
      </c>
    </row>
    <row r="296" spans="1:4" x14ac:dyDescent="0.2">
      <c r="A296" s="11">
        <v>42401</v>
      </c>
      <c r="B296" s="15">
        <f>VLOOKUP(A296,Database!A:Q,MATCH($A$1,Database!$A$1:$Q$1,),)</f>
        <v>95541</v>
      </c>
      <c r="C296" s="12">
        <f t="shared" si="8"/>
        <v>2.6638155208355718E-2</v>
      </c>
      <c r="D296" s="13">
        <f t="shared" si="9"/>
        <v>9.3872363811224838E-2</v>
      </c>
    </row>
    <row r="297" spans="1:4" x14ac:dyDescent="0.2">
      <c r="A297" s="10">
        <v>42430</v>
      </c>
      <c r="B297" s="15">
        <f>VLOOKUP(A297,Database!A:Q,MATCH($A$1,Database!$A$1:$Q$1,),)</f>
        <v>93535</v>
      </c>
      <c r="C297" s="12">
        <f t="shared" si="8"/>
        <v>-2.0996221517463706E-2</v>
      </c>
      <c r="D297" s="13">
        <f t="shared" si="9"/>
        <v>2.66837899543379E-2</v>
      </c>
    </row>
    <row r="298" spans="1:4" x14ac:dyDescent="0.2">
      <c r="A298" s="11">
        <v>42461</v>
      </c>
      <c r="B298" s="15">
        <f>VLOOKUP(A298,Database!A:Q,MATCH($A$1,Database!$A$1:$Q$1,),)</f>
        <v>93713</v>
      </c>
      <c r="C298" s="12">
        <f t="shared" si="8"/>
        <v>1.9030309509809162E-3</v>
      </c>
      <c r="D298" s="13">
        <f t="shared" si="9"/>
        <v>2.1495296541350104E-2</v>
      </c>
    </row>
    <row r="299" spans="1:4" x14ac:dyDescent="0.2">
      <c r="A299" s="10">
        <v>42491</v>
      </c>
      <c r="B299" s="15">
        <f>VLOOKUP(A299,Database!A:Q,MATCH($A$1,Database!$A$1:$Q$1,),)</f>
        <v>94098</v>
      </c>
      <c r="C299" s="12">
        <f t="shared" si="8"/>
        <v>4.1082880710253643E-3</v>
      </c>
      <c r="D299" s="13">
        <f t="shared" si="9"/>
        <v>1.9723010901840091E-2</v>
      </c>
    </row>
    <row r="300" spans="1:4" x14ac:dyDescent="0.2">
      <c r="A300" s="11">
        <v>42522</v>
      </c>
      <c r="B300" s="15">
        <f>VLOOKUP(A300,Database!A:Q,MATCH($A$1,Database!$A$1:$Q$1,),)</f>
        <v>94731</v>
      </c>
      <c r="C300" s="12">
        <f t="shared" si="8"/>
        <v>6.7270292673595614E-3</v>
      </c>
      <c r="D300" s="13">
        <f t="shared" si="9"/>
        <v>2.6504849108739233E-2</v>
      </c>
    </row>
    <row r="301" spans="1:4" x14ac:dyDescent="0.2">
      <c r="A301" s="10">
        <v>42552</v>
      </c>
      <c r="B301" s="15">
        <f>VLOOKUP(A301,Database!A:Q,MATCH($A$1,Database!$A$1:$Q$1,),)</f>
        <v>95925</v>
      </c>
      <c r="C301" s="12">
        <f t="shared" si="8"/>
        <v>1.260411058681952E-2</v>
      </c>
      <c r="D301" s="13">
        <f t="shared" si="9"/>
        <v>3.6668395798210351E-2</v>
      </c>
    </row>
    <row r="302" spans="1:4" x14ac:dyDescent="0.2">
      <c r="A302" s="11">
        <v>42583</v>
      </c>
      <c r="B302" s="15">
        <f>VLOOKUP(A302,Database!A:Q,MATCH($A$1,Database!$A$1:$Q$1,),)</f>
        <v>96331</v>
      </c>
      <c r="C302" s="12">
        <f t="shared" si="8"/>
        <v>4.2324732864216837E-3</v>
      </c>
      <c r="D302" s="13">
        <f t="shared" si="9"/>
        <v>3.4904707677101909E-2</v>
      </c>
    </row>
    <row r="303" spans="1:4" x14ac:dyDescent="0.2">
      <c r="A303" s="10">
        <v>42614</v>
      </c>
      <c r="B303" s="15">
        <f>VLOOKUP(A303,Database!A:Q,MATCH($A$1,Database!$A$1:$Q$1,),)</f>
        <v>97261</v>
      </c>
      <c r="C303" s="12">
        <f t="shared" si="8"/>
        <v>9.6542130778254145E-3</v>
      </c>
      <c r="D303" s="13">
        <f t="shared" si="9"/>
        <v>3.9501950515684281E-2</v>
      </c>
    </row>
    <row r="304" spans="1:4" x14ac:dyDescent="0.2">
      <c r="A304" s="11">
        <v>42644</v>
      </c>
      <c r="B304" s="15">
        <f>VLOOKUP(A304,Database!A:Q,MATCH($A$1,Database!$A$1:$Q$1,),)</f>
        <v>96935</v>
      </c>
      <c r="C304" s="12">
        <f t="shared" si="8"/>
        <v>-3.3518059653920894E-3</v>
      </c>
      <c r="D304" s="13">
        <f t="shared" si="9"/>
        <v>4.4895979303654202E-2</v>
      </c>
    </row>
    <row r="305" spans="1:4" x14ac:dyDescent="0.2">
      <c r="A305" s="10">
        <v>42675</v>
      </c>
      <c r="B305" s="15">
        <f>VLOOKUP(A305,Database!A:Q,MATCH($A$1,Database!$A$1:$Q$1,),)</f>
        <v>96622</v>
      </c>
      <c r="C305" s="12">
        <f t="shared" si="8"/>
        <v>-3.2289678650642183E-3</v>
      </c>
      <c r="D305" s="13">
        <f t="shared" si="9"/>
        <v>2.8035792184025451E-2</v>
      </c>
    </row>
    <row r="306" spans="1:4" x14ac:dyDescent="0.2">
      <c r="A306" s="11">
        <v>42705</v>
      </c>
      <c r="B306" s="15">
        <f>VLOOKUP(A306,Database!A:Q,MATCH($A$1,Database!$A$1:$Q$1,),)</f>
        <v>99352</v>
      </c>
      <c r="C306" s="12">
        <f t="shared" si="8"/>
        <v>2.8254434807807746E-2</v>
      </c>
      <c r="D306" s="13">
        <f t="shared" si="9"/>
        <v>6.327054794520548E-2</v>
      </c>
    </row>
    <row r="307" spans="1:4" x14ac:dyDescent="0.2">
      <c r="A307" s="10">
        <v>42736</v>
      </c>
      <c r="B307" s="15">
        <f>VLOOKUP(A307,Database!A:Q,MATCH($A$1,Database!$A$1:$Q$1,),)</f>
        <v>99430</v>
      </c>
      <c r="C307" s="12">
        <f t="shared" si="8"/>
        <v>7.8508736613253885E-4</v>
      </c>
      <c r="D307" s="13">
        <f t="shared" si="9"/>
        <v>6.8427499946272383E-2</v>
      </c>
    </row>
    <row r="308" spans="1:4" x14ac:dyDescent="0.2">
      <c r="A308" s="11">
        <v>42767</v>
      </c>
      <c r="B308" s="15">
        <f>VLOOKUP(A308,Database!A:Q,MATCH($A$1,Database!$A$1:$Q$1,),)</f>
        <v>98936</v>
      </c>
      <c r="C308" s="12">
        <f t="shared" si="8"/>
        <v>-4.9683194206979787E-3</v>
      </c>
      <c r="D308" s="13">
        <f t="shared" si="9"/>
        <v>3.5534482578160165E-2</v>
      </c>
    </row>
    <row r="309" spans="1:4" x14ac:dyDescent="0.2">
      <c r="A309" s="10">
        <v>42795</v>
      </c>
      <c r="B309" s="15">
        <f>VLOOKUP(A309,Database!A:Q,MATCH($A$1,Database!$A$1:$Q$1,),)</f>
        <v>96879</v>
      </c>
      <c r="C309" s="12">
        <f t="shared" si="8"/>
        <v>-2.0791218565537319E-2</v>
      </c>
      <c r="D309" s="13">
        <f t="shared" si="9"/>
        <v>3.5751323034158337E-2</v>
      </c>
    </row>
    <row r="310" spans="1:4" x14ac:dyDescent="0.2">
      <c r="A310" s="11">
        <v>42826</v>
      </c>
      <c r="B310" s="15">
        <f>VLOOKUP(A310,Database!A:Q,MATCH($A$1,Database!$A$1:$Q$1,),)</f>
        <v>97373</v>
      </c>
      <c r="C310" s="12">
        <f t="shared" si="8"/>
        <v>5.0991442933969178E-3</v>
      </c>
      <c r="D310" s="13">
        <f t="shared" si="9"/>
        <v>3.9055413870007362E-2</v>
      </c>
    </row>
    <row r="311" spans="1:4" x14ac:dyDescent="0.2">
      <c r="A311" s="10">
        <v>42856</v>
      </c>
      <c r="B311" s="15">
        <f>VLOOKUP(A311,Database!A:Q,MATCH($A$1,Database!$A$1:$Q$1,),)</f>
        <v>97805</v>
      </c>
      <c r="C311" s="12">
        <f t="shared" si="8"/>
        <v>4.4365481190884537E-3</v>
      </c>
      <c r="D311" s="13">
        <f t="shared" si="9"/>
        <v>3.9395098726859229E-2</v>
      </c>
    </row>
    <row r="312" spans="1:4" x14ac:dyDescent="0.2">
      <c r="A312" s="11">
        <v>42887</v>
      </c>
      <c r="B312" s="15">
        <f>VLOOKUP(A312,Database!A:Q,MATCH($A$1,Database!$A$1:$Q$1,),)</f>
        <v>98720</v>
      </c>
      <c r="C312" s="12">
        <f t="shared" si="8"/>
        <v>9.355349930985123E-3</v>
      </c>
      <c r="D312" s="13">
        <f t="shared" si="9"/>
        <v>4.2108707814759685E-2</v>
      </c>
    </row>
    <row r="313" spans="1:4" x14ac:dyDescent="0.2">
      <c r="A313" s="10">
        <v>42917</v>
      </c>
      <c r="B313" s="15">
        <f>VLOOKUP(A313,Database!A:Q,MATCH($A$1,Database!$A$1:$Q$1,),)</f>
        <v>98774</v>
      </c>
      <c r="C313" s="12">
        <f t="shared" si="8"/>
        <v>5.4700162074554294E-4</v>
      </c>
      <c r="D313" s="13">
        <f t="shared" si="9"/>
        <v>2.9700286682303883E-2</v>
      </c>
    </row>
    <row r="314" spans="1:4" x14ac:dyDescent="0.2">
      <c r="A314" s="11">
        <v>42948</v>
      </c>
      <c r="B314" s="15">
        <f>VLOOKUP(A314,Database!A:Q,MATCH($A$1,Database!$A$1:$Q$1,),)</f>
        <v>96666</v>
      </c>
      <c r="C314" s="12">
        <f t="shared" si="8"/>
        <v>-2.134164861198291E-2</v>
      </c>
      <c r="D314" s="13">
        <f t="shared" si="9"/>
        <v>3.4775928828725956E-3</v>
      </c>
    </row>
    <row r="315" spans="1:4" x14ac:dyDescent="0.2">
      <c r="A315" s="10">
        <v>42979</v>
      </c>
      <c r="B315" s="15">
        <f>VLOOKUP(A315,Database!A:Q,MATCH($A$1,Database!$A$1:$Q$1,),)</f>
        <v>100864</v>
      </c>
      <c r="C315" s="12">
        <f t="shared" si="8"/>
        <v>4.3427885709556614E-2</v>
      </c>
      <c r="D315" s="13">
        <f t="shared" si="9"/>
        <v>3.704465304695613E-2</v>
      </c>
    </row>
    <row r="316" spans="1:4" x14ac:dyDescent="0.2">
      <c r="A316" s="11">
        <v>43009</v>
      </c>
      <c r="B316" s="15">
        <f>VLOOKUP(A316,Database!A:Q,MATCH($A$1,Database!$A$1:$Q$1,),)</f>
        <v>101485</v>
      </c>
      <c r="C316" s="12">
        <f t="shared" si="8"/>
        <v>6.1568052030456849E-3</v>
      </c>
      <c r="D316" s="13">
        <f t="shared" si="9"/>
        <v>4.6938670242946304E-2</v>
      </c>
    </row>
    <row r="317" spans="1:4" x14ac:dyDescent="0.2">
      <c r="A317" s="10">
        <v>43040</v>
      </c>
      <c r="B317" s="15">
        <f>VLOOKUP(A317,Database!A:Q,MATCH($A$1,Database!$A$1:$Q$1,),)</f>
        <v>100674</v>
      </c>
      <c r="C317" s="12">
        <f t="shared" si="8"/>
        <v>-7.9913287677981972E-3</v>
      </c>
      <c r="D317" s="13">
        <f t="shared" si="9"/>
        <v>4.1936618989464096E-2</v>
      </c>
    </row>
    <row r="318" spans="1:4" x14ac:dyDescent="0.2">
      <c r="A318" s="11">
        <v>43070</v>
      </c>
      <c r="B318" s="15">
        <f>VLOOKUP(A318,Database!A:Q,MATCH($A$1,Database!$A$1:$Q$1,),)</f>
        <v>100407</v>
      </c>
      <c r="C318" s="12">
        <f t="shared" si="8"/>
        <v>-2.6521246796590977E-3</v>
      </c>
      <c r="D318" s="13">
        <f t="shared" si="9"/>
        <v>1.0618809888074725E-2</v>
      </c>
    </row>
    <row r="319" spans="1:4" x14ac:dyDescent="0.2">
      <c r="A319" s="10">
        <v>43101</v>
      </c>
      <c r="B319" s="15">
        <f>VLOOKUP(A319,Database!A:Q,MATCH($A$1,Database!$A$1:$Q$1,),)</f>
        <v>100178</v>
      </c>
      <c r="C319" s="12">
        <f t="shared" si="8"/>
        <v>-2.2807174798569821E-3</v>
      </c>
      <c r="D319" s="13">
        <f t="shared" si="9"/>
        <v>7.522880418384793E-3</v>
      </c>
    </row>
    <row r="320" spans="1:4" x14ac:dyDescent="0.2">
      <c r="A320" s="11">
        <v>43132</v>
      </c>
      <c r="B320" s="15">
        <f>VLOOKUP(A320,Database!A:Q,MATCH($A$1,Database!$A$1:$Q$1,),)</f>
        <v>99933</v>
      </c>
      <c r="C320" s="12">
        <f t="shared" si="8"/>
        <v>-2.4456467487871587E-3</v>
      </c>
      <c r="D320" s="13">
        <f t="shared" si="9"/>
        <v>1.0077221638230776E-2</v>
      </c>
    </row>
    <row r="321" spans="1:4" x14ac:dyDescent="0.2">
      <c r="A321" s="10">
        <v>43160</v>
      </c>
      <c r="B321" s="15">
        <f>VLOOKUP(A321,Database!A:Q,MATCH($A$1,Database!$A$1:$Q$1,),)</f>
        <v>99932</v>
      </c>
      <c r="C321" s="12">
        <f t="shared" si="8"/>
        <v>-1.0006704492009646E-5</v>
      </c>
      <c r="D321" s="13">
        <f t="shared" si="9"/>
        <v>3.151353750554816E-2</v>
      </c>
    </row>
    <row r="322" spans="1:4" x14ac:dyDescent="0.2">
      <c r="A322" s="11">
        <v>43191</v>
      </c>
      <c r="B322" s="15">
        <f>VLOOKUP(A322,Database!A:Q,MATCH($A$1,Database!$A$1:$Q$1,),)</f>
        <v>100357</v>
      </c>
      <c r="C322" s="12">
        <f t="shared" si="8"/>
        <v>4.2528919665372452E-3</v>
      </c>
      <c r="D322" s="13">
        <f t="shared" si="9"/>
        <v>3.0645045341110986E-2</v>
      </c>
    </row>
    <row r="323" spans="1:4" x14ac:dyDescent="0.2">
      <c r="A323" s="10">
        <v>43221</v>
      </c>
      <c r="B323" s="15">
        <f>VLOOKUP(A323,Database!A:Q,MATCH($A$1,Database!$A$1:$Q$1,),)</f>
        <v>100654</v>
      </c>
      <c r="C323" s="12">
        <f t="shared" si="8"/>
        <v>2.959434817700808E-3</v>
      </c>
      <c r="D323" s="13">
        <f t="shared" si="9"/>
        <v>2.9129390112979908E-2</v>
      </c>
    </row>
    <row r="324" spans="1:4" x14ac:dyDescent="0.2">
      <c r="A324" s="11">
        <v>43252</v>
      </c>
      <c r="B324" s="15">
        <f>VLOOKUP(A324,Database!A:Q,MATCH($A$1,Database!$A$1:$Q$1,),)</f>
        <v>100387</v>
      </c>
      <c r="C324" s="12">
        <f t="shared" si="8"/>
        <v>-2.6526516581556621E-3</v>
      </c>
      <c r="D324" s="13">
        <f t="shared" si="9"/>
        <v>1.6886142625607781E-2</v>
      </c>
    </row>
    <row r="325" spans="1:4" x14ac:dyDescent="0.2">
      <c r="A325" s="10">
        <v>43282</v>
      </c>
      <c r="B325" s="15">
        <f>VLOOKUP(A325,Database!A:Q,MATCH($A$1,Database!$A$1:$Q$1,),)</f>
        <v>100899</v>
      </c>
      <c r="C325" s="12">
        <f t="shared" si="8"/>
        <v>5.1002619861137402E-3</v>
      </c>
      <c r="D325" s="13">
        <f t="shared" si="9"/>
        <v>2.1513758681434385E-2</v>
      </c>
    </row>
    <row r="326" spans="1:4" x14ac:dyDescent="0.2">
      <c r="A326" s="11">
        <v>43313</v>
      </c>
      <c r="B326" s="15">
        <f>VLOOKUP(A326,Database!A:Q,MATCH($A$1,Database!$A$1:$Q$1,),)</f>
        <v>100088</v>
      </c>
      <c r="C326" s="12">
        <f t="shared" si="8"/>
        <v>-8.037740711008037E-3</v>
      </c>
      <c r="D326" s="13">
        <f t="shared" si="9"/>
        <v>3.5400244139614755E-2</v>
      </c>
    </row>
    <row r="327" spans="1:4" x14ac:dyDescent="0.2">
      <c r="A327" s="10">
        <v>43344</v>
      </c>
      <c r="B327" s="15">
        <f>VLOOKUP(A327,Database!A:Q,MATCH($A$1,Database!$A$1:$Q$1,),)</f>
        <v>99409</v>
      </c>
      <c r="C327" s="12">
        <f t="shared" si="8"/>
        <v>-6.7840300535528739E-3</v>
      </c>
      <c r="D327" s="13">
        <f t="shared" si="9"/>
        <v>-1.4425364847715736E-2</v>
      </c>
    </row>
    <row r="328" spans="1:4" x14ac:dyDescent="0.2">
      <c r="A328" s="11">
        <v>43374</v>
      </c>
      <c r="B328" s="15">
        <f>VLOOKUP(A328,Database!A:Q,MATCH($A$1,Database!$A$1:$Q$1,),)</f>
        <v>100069</v>
      </c>
      <c r="C328" s="12">
        <f t="shared" ref="C328:C391" si="10">(B328-B327)/B327</f>
        <v>6.6392378959651537E-3</v>
      </c>
      <c r="D328" s="13">
        <f t="shared" si="9"/>
        <v>-1.3952800906537912E-2</v>
      </c>
    </row>
    <row r="329" spans="1:4" x14ac:dyDescent="0.2">
      <c r="A329" s="10">
        <v>43405</v>
      </c>
      <c r="B329" s="15">
        <f>VLOOKUP(A329,Database!A:Q,MATCH($A$1,Database!$A$1:$Q$1,),)</f>
        <v>101090</v>
      </c>
      <c r="C329" s="12">
        <f t="shared" si="10"/>
        <v>1.0202959957629236E-2</v>
      </c>
      <c r="D329" s="13">
        <f t="shared" si="9"/>
        <v>4.1321493136261597E-3</v>
      </c>
    </row>
    <row r="330" spans="1:4" x14ac:dyDescent="0.2">
      <c r="A330" s="11">
        <v>43435</v>
      </c>
      <c r="B330" s="15">
        <f>VLOOKUP(A330,Database!A:Q,MATCH($A$1,Database!$A$1:$Q$1,),)</f>
        <v>102015</v>
      </c>
      <c r="C330" s="12">
        <f t="shared" si="10"/>
        <v>9.1502621426451675E-3</v>
      </c>
      <c r="D330" s="13">
        <f t="shared" si="9"/>
        <v>1.6014819683886582E-2</v>
      </c>
    </row>
    <row r="331" spans="1:4" x14ac:dyDescent="0.2">
      <c r="A331" s="10">
        <v>43466</v>
      </c>
      <c r="B331" s="15">
        <f>VLOOKUP(A331,Database!A:Q,MATCH($A$1,Database!$A$1:$Q$1,),)</f>
        <v>99646</v>
      </c>
      <c r="C331" s="12">
        <f t="shared" si="10"/>
        <v>-2.3222075185021812E-2</v>
      </c>
      <c r="D331" s="13">
        <f t="shared" si="9"/>
        <v>-5.3105472259378306E-3</v>
      </c>
    </row>
    <row r="332" spans="1:4" x14ac:dyDescent="0.2">
      <c r="A332" s="11">
        <v>43497</v>
      </c>
      <c r="B332" s="15">
        <f>VLOOKUP(A332,Database!A:Q,MATCH($A$1,Database!$A$1:$Q$1,),)</f>
        <v>100952</v>
      </c>
      <c r="C332" s="12">
        <f t="shared" si="10"/>
        <v>1.3106396644120185E-2</v>
      </c>
      <c r="D332" s="13">
        <f t="shared" si="9"/>
        <v>1.019683187735783E-2</v>
      </c>
    </row>
    <row r="333" spans="1:4" x14ac:dyDescent="0.2">
      <c r="A333" s="10">
        <v>43525</v>
      </c>
      <c r="B333" s="15">
        <f>VLOOKUP(A333,Database!A:Q,MATCH($A$1,Database!$A$1:$Q$1,),)</f>
        <v>103572</v>
      </c>
      <c r="C333" s="12">
        <f t="shared" si="10"/>
        <v>2.5952928124257073E-2</v>
      </c>
      <c r="D333" s="13">
        <f t="shared" si="9"/>
        <v>3.6424768842813114E-2</v>
      </c>
    </row>
    <row r="334" spans="1:4" x14ac:dyDescent="0.2">
      <c r="A334" s="11">
        <v>43556</v>
      </c>
      <c r="B334" s="15">
        <f>VLOOKUP(A334,Database!A:Q,MATCH($A$1,Database!$A$1:$Q$1,),)</f>
        <v>102246</v>
      </c>
      <c r="C334" s="12">
        <f t="shared" si="10"/>
        <v>-1.2802687985169738E-2</v>
      </c>
      <c r="D334" s="13">
        <f t="shared" si="9"/>
        <v>1.8822802594736791E-2</v>
      </c>
    </row>
    <row r="335" spans="1:4" x14ac:dyDescent="0.2">
      <c r="A335" s="10">
        <v>43586</v>
      </c>
      <c r="B335" s="15">
        <f>VLOOKUP(A335,Database!A:Q,MATCH($A$1,Database!$A$1:$Q$1,),)</f>
        <v>102877</v>
      </c>
      <c r="C335" s="12">
        <f t="shared" si="10"/>
        <v>6.1713905678461752E-3</v>
      </c>
      <c r="D335" s="13">
        <f t="shared" si="9"/>
        <v>2.208556043475669E-2</v>
      </c>
    </row>
    <row r="336" spans="1:4" x14ac:dyDescent="0.2">
      <c r="A336" s="11">
        <v>43617</v>
      </c>
      <c r="B336" s="15">
        <f>VLOOKUP(A336,Database!A:Q,MATCH($A$1,Database!$A$1:$Q$1,),)</f>
        <v>102878</v>
      </c>
      <c r="C336" s="12">
        <f t="shared" si="10"/>
        <v>9.7203456554915087E-6</v>
      </c>
      <c r="D336" s="13">
        <f t="shared" si="9"/>
        <v>2.4813969936346339E-2</v>
      </c>
    </row>
    <row r="337" spans="1:4" x14ac:dyDescent="0.2">
      <c r="A337" s="10">
        <v>43647</v>
      </c>
      <c r="B337" s="15">
        <f>VLOOKUP(A337,Database!A:Q,MATCH($A$1,Database!$A$1:$Q$1,),)</f>
        <v>103345</v>
      </c>
      <c r="C337" s="12">
        <f t="shared" si="10"/>
        <v>4.5393572969925546E-3</v>
      </c>
      <c r="D337" s="13">
        <f t="shared" si="9"/>
        <v>2.4242063846024241E-2</v>
      </c>
    </row>
    <row r="338" spans="1:4" x14ac:dyDescent="0.2">
      <c r="A338" s="11">
        <v>43678</v>
      </c>
      <c r="B338" s="15">
        <f>VLOOKUP(A338,Database!A:Q,MATCH($A$1,Database!$A$1:$Q$1,),)</f>
        <v>105732</v>
      </c>
      <c r="C338" s="12">
        <f t="shared" si="10"/>
        <v>2.3097392229909527E-2</v>
      </c>
      <c r="D338" s="13">
        <f t="shared" si="9"/>
        <v>5.6390376468707537E-2</v>
      </c>
    </row>
    <row r="339" spans="1:4" x14ac:dyDescent="0.2">
      <c r="A339" s="10">
        <v>43709</v>
      </c>
      <c r="B339" s="15">
        <f>VLOOKUP(A339,Database!A:Q,MATCH($A$1,Database!$A$1:$Q$1,),)</f>
        <v>103485</v>
      </c>
      <c r="C339" s="12">
        <f t="shared" si="10"/>
        <v>-2.125184428555215E-2</v>
      </c>
      <c r="D339" s="13">
        <f t="shared" ref="D339:D402" si="11">(B339-B327)/B327</f>
        <v>4.1002323733263589E-2</v>
      </c>
    </row>
    <row r="340" spans="1:4" x14ac:dyDescent="0.2">
      <c r="A340" s="11">
        <v>43739</v>
      </c>
      <c r="B340" s="15">
        <f>VLOOKUP(A340,Database!A:Q,MATCH($A$1,Database!$A$1:$Q$1,),)</f>
        <v>103340</v>
      </c>
      <c r="C340" s="12">
        <f t="shared" si="10"/>
        <v>-1.4011692515823548E-3</v>
      </c>
      <c r="D340" s="13">
        <f t="shared" si="11"/>
        <v>3.2687445662492882E-2</v>
      </c>
    </row>
    <row r="341" spans="1:4" x14ac:dyDescent="0.2">
      <c r="A341" s="10">
        <v>43770</v>
      </c>
      <c r="B341" s="15">
        <f>VLOOKUP(A341,Database!A:Q,MATCH($A$1,Database!$A$1:$Q$1,),)</f>
        <v>105719</v>
      </c>
      <c r="C341" s="12">
        <f t="shared" si="10"/>
        <v>2.3021095413199147E-2</v>
      </c>
      <c r="D341" s="13">
        <f t="shared" si="11"/>
        <v>4.5790879414383222E-2</v>
      </c>
    </row>
    <row r="342" spans="1:4" x14ac:dyDescent="0.2">
      <c r="A342" s="11">
        <v>43800</v>
      </c>
      <c r="B342" s="15">
        <f>VLOOKUP(A342,Database!A:Q,MATCH($A$1,Database!$A$1:$Q$1,),)</f>
        <v>103750</v>
      </c>
      <c r="C342" s="12">
        <f t="shared" si="10"/>
        <v>-1.8624845108258684E-2</v>
      </c>
      <c r="D342" s="13">
        <f t="shared" si="11"/>
        <v>1.7007302847620448E-2</v>
      </c>
    </row>
    <row r="343" spans="1:4" x14ac:dyDescent="0.2">
      <c r="A343" s="10">
        <v>43831</v>
      </c>
      <c r="B343" s="15">
        <f>VLOOKUP(A343,Database!A:Q,MATCH($A$1,Database!$A$1:$Q$1,),)</f>
        <v>102930</v>
      </c>
      <c r="C343" s="12">
        <f t="shared" si="10"/>
        <v>-7.9036144578313247E-3</v>
      </c>
      <c r="D343" s="13">
        <f t="shared" si="11"/>
        <v>3.2956666599763158E-2</v>
      </c>
    </row>
    <row r="344" spans="1:4" x14ac:dyDescent="0.2">
      <c r="A344" s="11">
        <v>43862</v>
      </c>
      <c r="B344" s="15">
        <f>VLOOKUP(A344,Database!A:Q,MATCH($A$1,Database!$A$1:$Q$1,),)</f>
        <v>103495</v>
      </c>
      <c r="C344" s="12">
        <f t="shared" si="10"/>
        <v>5.4891673953172057E-3</v>
      </c>
      <c r="D344" s="13">
        <f t="shared" si="11"/>
        <v>2.5190189396941121E-2</v>
      </c>
    </row>
    <row r="345" spans="1:4" x14ac:dyDescent="0.2">
      <c r="A345" s="10">
        <v>43891</v>
      </c>
      <c r="B345" s="15">
        <f>VLOOKUP(A345,Database!A:Q,MATCH($A$1,Database!$A$1:$Q$1,),)</f>
        <v>76157</v>
      </c>
      <c r="C345" s="12">
        <f t="shared" si="10"/>
        <v>-0.26414802647470892</v>
      </c>
      <c r="D345" s="13">
        <f t="shared" si="11"/>
        <v>-0.26469509133742708</v>
      </c>
    </row>
    <row r="346" spans="1:4" x14ac:dyDescent="0.2">
      <c r="A346" s="11">
        <v>43922</v>
      </c>
      <c r="B346" s="15">
        <f>VLOOKUP(A346,Database!A:Q,MATCH($A$1,Database!$A$1:$Q$1,),)</f>
        <v>66241</v>
      </c>
      <c r="C346" s="12">
        <f t="shared" si="10"/>
        <v>-0.13020470869388237</v>
      </c>
      <c r="D346" s="13">
        <f t="shared" si="11"/>
        <v>-0.35214091504802142</v>
      </c>
    </row>
    <row r="347" spans="1:4" x14ac:dyDescent="0.2">
      <c r="A347" s="10">
        <v>43952</v>
      </c>
      <c r="B347" s="15">
        <f>VLOOKUP(A347,Database!A:Q,MATCH($A$1,Database!$A$1:$Q$1,),)</f>
        <v>97963</v>
      </c>
      <c r="C347" s="12">
        <f t="shared" si="10"/>
        <v>0.47888769795141983</v>
      </c>
      <c r="D347" s="13">
        <f t="shared" si="11"/>
        <v>-4.7765778551085276E-2</v>
      </c>
    </row>
    <row r="348" spans="1:4" x14ac:dyDescent="0.2">
      <c r="A348" s="11">
        <v>43983</v>
      </c>
      <c r="B348" s="15">
        <f>VLOOKUP(A348,Database!A:Q,MATCH($A$1,Database!$A$1:$Q$1,),)</f>
        <v>106961</v>
      </c>
      <c r="C348" s="12">
        <f t="shared" si="10"/>
        <v>9.1851004971264666E-2</v>
      </c>
      <c r="D348" s="13">
        <f t="shared" si="11"/>
        <v>3.9687785532378159E-2</v>
      </c>
    </row>
    <row r="349" spans="1:4" x14ac:dyDescent="0.2">
      <c r="A349" s="10">
        <v>44013</v>
      </c>
      <c r="B349" s="15">
        <f>VLOOKUP(A349,Database!A:Q,MATCH($A$1,Database!$A$1:$Q$1,),)</f>
        <v>105832</v>
      </c>
      <c r="C349" s="12">
        <f t="shared" si="10"/>
        <v>-1.0555249109488506E-2</v>
      </c>
      <c r="D349" s="13">
        <f t="shared" si="11"/>
        <v>2.406502491654168E-2</v>
      </c>
    </row>
    <row r="350" spans="1:4" x14ac:dyDescent="0.2">
      <c r="A350" s="11">
        <v>44044</v>
      </c>
      <c r="B350" s="15">
        <f>VLOOKUP(A350,Database!A:Q,MATCH($A$1,Database!$A$1:$Q$1,),)</f>
        <v>107235</v>
      </c>
      <c r="C350" s="12">
        <f t="shared" si="10"/>
        <v>1.3256859928943987E-2</v>
      </c>
      <c r="D350" s="13">
        <f t="shared" si="11"/>
        <v>1.421518556350017E-2</v>
      </c>
    </row>
    <row r="351" spans="1:4" x14ac:dyDescent="0.2">
      <c r="A351" s="10">
        <v>44075</v>
      </c>
      <c r="B351" s="15">
        <f>VLOOKUP(A351,Database!A:Q,MATCH($A$1,Database!$A$1:$Q$1,),)</f>
        <v>111028</v>
      </c>
      <c r="C351" s="12">
        <f t="shared" si="10"/>
        <v>3.5370914346994915E-2</v>
      </c>
      <c r="D351" s="13">
        <f t="shared" si="11"/>
        <v>7.2889790790935882E-2</v>
      </c>
    </row>
    <row r="352" spans="1:4" x14ac:dyDescent="0.2">
      <c r="A352" s="11">
        <v>44105</v>
      </c>
      <c r="B352" s="15">
        <f>VLOOKUP(A352,Database!A:Q,MATCH($A$1,Database!$A$1:$Q$1,),)</f>
        <v>110462</v>
      </c>
      <c r="C352" s="12">
        <f t="shared" si="10"/>
        <v>-5.0978131642468562E-3</v>
      </c>
      <c r="D352" s="13">
        <f t="shared" si="11"/>
        <v>6.8918134313915233E-2</v>
      </c>
    </row>
    <row r="353" spans="1:4" x14ac:dyDescent="0.2">
      <c r="A353" s="10">
        <v>44136</v>
      </c>
      <c r="B353" s="15">
        <f>VLOOKUP(A353,Database!A:Q,MATCH($A$1,Database!$A$1:$Q$1,),)</f>
        <v>108927</v>
      </c>
      <c r="C353" s="12">
        <f t="shared" si="10"/>
        <v>-1.3896181492277887E-2</v>
      </c>
      <c r="D353" s="13">
        <f t="shared" si="11"/>
        <v>3.0344592741134518E-2</v>
      </c>
    </row>
    <row r="354" spans="1:4" x14ac:dyDescent="0.2">
      <c r="A354" s="11">
        <v>44166</v>
      </c>
      <c r="B354" s="15">
        <f>VLOOKUP(A354,Database!A:Q,MATCH($A$1,Database!$A$1:$Q$1,),)</f>
        <v>111086</v>
      </c>
      <c r="C354" s="12">
        <f t="shared" si="10"/>
        <v>1.9820613805576211E-2</v>
      </c>
      <c r="D354" s="13">
        <f t="shared" si="11"/>
        <v>7.0708433734939763E-2</v>
      </c>
    </row>
    <row r="355" spans="1:4" x14ac:dyDescent="0.2">
      <c r="A355" s="10">
        <v>44197</v>
      </c>
      <c r="B355" s="15">
        <f>VLOOKUP(A355,Database!A:Q,MATCH($A$1,Database!$A$1:$Q$1,),)</f>
        <v>115032</v>
      </c>
      <c r="C355" s="12">
        <f t="shared" si="10"/>
        <v>3.5522027978323101E-2</v>
      </c>
      <c r="D355" s="13">
        <f t="shared" si="11"/>
        <v>0.11757505100553775</v>
      </c>
    </row>
    <row r="356" spans="1:4" x14ac:dyDescent="0.2">
      <c r="A356" s="11">
        <v>44228</v>
      </c>
      <c r="B356" s="15">
        <f>VLOOKUP(A356,Database!A:Q,MATCH($A$1,Database!$A$1:$Q$1,),)</f>
        <v>111776</v>
      </c>
      <c r="C356" s="12">
        <f t="shared" si="10"/>
        <v>-2.8305167257806522E-2</v>
      </c>
      <c r="D356" s="13">
        <f t="shared" si="11"/>
        <v>8.001352722353737E-2</v>
      </c>
    </row>
    <row r="357" spans="1:4" x14ac:dyDescent="0.2">
      <c r="A357" s="10">
        <v>44256</v>
      </c>
      <c r="B357" s="15">
        <f>VLOOKUP(A357,Database!A:Q,MATCH($A$1,Database!$A$1:$Q$1,),)</f>
        <v>131105</v>
      </c>
      <c r="C357" s="12">
        <f t="shared" si="10"/>
        <v>0.1729262095619811</v>
      </c>
      <c r="D357" s="13">
        <f t="shared" si="11"/>
        <v>0.72150951324238088</v>
      </c>
    </row>
    <row r="358" spans="1:4" x14ac:dyDescent="0.2">
      <c r="A358" s="11">
        <v>44287</v>
      </c>
      <c r="B358" s="15">
        <f>VLOOKUP(A358,Database!A:Q,MATCH($A$1,Database!$A$1:$Q$1,),)</f>
        <v>133457</v>
      </c>
      <c r="C358" s="12">
        <f t="shared" si="10"/>
        <v>1.7939819228862362E-2</v>
      </c>
      <c r="D358" s="13">
        <f t="shared" si="11"/>
        <v>1.0147189806917165</v>
      </c>
    </row>
    <row r="359" spans="1:4" x14ac:dyDescent="0.2">
      <c r="A359" s="10">
        <v>44317</v>
      </c>
      <c r="B359" s="15">
        <f>VLOOKUP(A359,Database!A:Q,MATCH($A$1,Database!$A$1:$Q$1,),)</f>
        <v>131143</v>
      </c>
      <c r="C359" s="12">
        <f t="shared" si="10"/>
        <v>-1.7338918153412711E-2</v>
      </c>
      <c r="D359" s="13">
        <f t="shared" si="11"/>
        <v>0.33869930483958227</v>
      </c>
    </row>
    <row r="360" spans="1:4" x14ac:dyDescent="0.2">
      <c r="A360" s="11">
        <v>44348</v>
      </c>
      <c r="B360" s="15">
        <f>VLOOKUP(A360,Database!A:Q,MATCH($A$1,Database!$A$1:$Q$1,),)</f>
        <v>127077</v>
      </c>
      <c r="C360" s="12">
        <f t="shared" si="10"/>
        <v>-3.1004323524702043E-2</v>
      </c>
      <c r="D360" s="13">
        <f t="shared" si="11"/>
        <v>0.18806854834939837</v>
      </c>
    </row>
    <row r="361" spans="1:4" x14ac:dyDescent="0.2">
      <c r="A361" s="10">
        <v>44378</v>
      </c>
      <c r="B361" s="15">
        <f>VLOOKUP(A361,Database!A:Q,MATCH($A$1,Database!$A$1:$Q$1,),)</f>
        <v>122346</v>
      </c>
      <c r="C361" s="12">
        <f t="shared" si="10"/>
        <v>-3.7229396350244338E-2</v>
      </c>
      <c r="D361" s="13">
        <f t="shared" si="11"/>
        <v>0.15603976113084889</v>
      </c>
    </row>
    <row r="362" spans="1:4" x14ac:dyDescent="0.2">
      <c r="A362" s="11">
        <v>44409</v>
      </c>
      <c r="B362" s="15">
        <f>VLOOKUP(A362,Database!A:Q,MATCH($A$1,Database!$A$1:$Q$1,),)</f>
        <v>119191</v>
      </c>
      <c r="C362" s="12">
        <f t="shared" si="10"/>
        <v>-2.5787520638190051E-2</v>
      </c>
      <c r="D362" s="13">
        <f t="shared" si="11"/>
        <v>0.11149344896722152</v>
      </c>
    </row>
    <row r="363" spans="1:4" x14ac:dyDescent="0.2">
      <c r="A363" s="11">
        <v>44440</v>
      </c>
      <c r="B363" s="15">
        <f>VLOOKUP(A363,Database!A:Q,MATCH($A$1,Database!$A$1:$Q$1,),)</f>
        <v>120345</v>
      </c>
      <c r="C363" s="12">
        <f t="shared" si="10"/>
        <v>9.6819390725809834E-3</v>
      </c>
      <c r="D363" s="13">
        <f t="shared" si="11"/>
        <v>8.3915768995208417E-2</v>
      </c>
    </row>
    <row r="364" spans="1:4" x14ac:dyDescent="0.2">
      <c r="A364" s="10">
        <v>44470</v>
      </c>
      <c r="B364" s="15">
        <f>VLOOKUP(A364,Database!A:Q,MATCH($A$1,Database!$A$1:$Q$1,),)</f>
        <v>122668</v>
      </c>
      <c r="C364" s="12">
        <f t="shared" si="10"/>
        <v>1.9302837675017656E-2</v>
      </c>
      <c r="D364" s="13">
        <f t="shared" si="11"/>
        <v>0.11049953830276475</v>
      </c>
    </row>
    <row r="365" spans="1:4" x14ac:dyDescent="0.2">
      <c r="A365" s="11">
        <v>44501</v>
      </c>
      <c r="B365" s="15">
        <f>VLOOKUP(A365,Database!A:Q,MATCH($A$1,Database!$A$1:$Q$1,),)</f>
        <v>123671</v>
      </c>
      <c r="C365" s="12">
        <f t="shared" si="10"/>
        <v>8.1765415593308775E-3</v>
      </c>
      <c r="D365" s="13">
        <f t="shared" si="11"/>
        <v>0.13535670678527822</v>
      </c>
    </row>
    <row r="366" spans="1:4" x14ac:dyDescent="0.2">
      <c r="A366" s="11">
        <v>44531</v>
      </c>
      <c r="B366" s="15">
        <f>VLOOKUP(A366,Database!A:Q,MATCH($A$1,Database!$A$1:$Q$1,),)</f>
        <v>120807</v>
      </c>
      <c r="C366" s="12">
        <f t="shared" si="10"/>
        <v>-2.3158218175643442E-2</v>
      </c>
      <c r="D366" s="13">
        <f t="shared" si="11"/>
        <v>8.7508776983598296E-2</v>
      </c>
    </row>
    <row r="367" spans="1:4" x14ac:dyDescent="0.2">
      <c r="A367" s="11">
        <v>44562</v>
      </c>
      <c r="B367" s="15">
        <f>VLOOKUP(A367,Database!A:Q,MATCH($A$1,Database!$A$1:$Q$1,),)</f>
        <v>129666</v>
      </c>
      <c r="C367" s="12">
        <f t="shared" si="10"/>
        <v>7.3331843353448056E-2</v>
      </c>
      <c r="D367" s="13">
        <f t="shared" si="11"/>
        <v>0.1272167744627582</v>
      </c>
    </row>
    <row r="368" spans="1:4" x14ac:dyDescent="0.2">
      <c r="A368" s="11">
        <v>44593</v>
      </c>
      <c r="B368" s="15">
        <f>VLOOKUP(A368,Database!A:Q,MATCH($A$1,Database!$A$1:$Q$1,),)</f>
        <v>131428</v>
      </c>
      <c r="C368" s="12">
        <f t="shared" si="10"/>
        <v>1.3588758811099286E-2</v>
      </c>
      <c r="D368" s="13">
        <f t="shared" si="11"/>
        <v>0.17581591754938447</v>
      </c>
    </row>
    <row r="369" spans="1:4" x14ac:dyDescent="0.2">
      <c r="A369" s="11">
        <v>44621</v>
      </c>
      <c r="B369" s="15">
        <f>VLOOKUP(A369,Database!A:Q,MATCH($A$1,Database!$A$1:$Q$1,),)</f>
        <v>128522</v>
      </c>
      <c r="C369" s="12">
        <f t="shared" si="10"/>
        <v>-2.2110965699850868E-2</v>
      </c>
      <c r="D369" s="13">
        <f t="shared" si="11"/>
        <v>-1.9701765760268487E-2</v>
      </c>
    </row>
    <row r="370" spans="1:4" x14ac:dyDescent="0.2">
      <c r="A370" s="11">
        <v>44652</v>
      </c>
      <c r="B370" s="15">
        <f>VLOOKUP(A370,Database!A:Q,MATCH($A$1,Database!$A$1:$Q$1,),)</f>
        <v>130811</v>
      </c>
      <c r="C370" s="12">
        <f t="shared" si="10"/>
        <v>1.7810180358226606E-2</v>
      </c>
      <c r="D370" s="13">
        <f t="shared" si="11"/>
        <v>-1.9826610818465873E-2</v>
      </c>
    </row>
    <row r="371" spans="1:4" x14ac:dyDescent="0.2">
      <c r="A371" s="10">
        <v>44682</v>
      </c>
      <c r="B371" s="15">
        <f>VLOOKUP(A371,Database!A:Q,MATCH($A$1,Database!$A$1:$Q$1,),)</f>
        <v>126390</v>
      </c>
      <c r="C371" s="12">
        <f t="shared" si="10"/>
        <v>-3.3796851946701727E-2</v>
      </c>
      <c r="D371" s="13">
        <f t="shared" si="11"/>
        <v>-3.6242879909716877E-2</v>
      </c>
    </row>
    <row r="372" spans="1:4" x14ac:dyDescent="0.2">
      <c r="A372" s="11">
        <v>44713</v>
      </c>
      <c r="B372" s="15">
        <f>VLOOKUP(A372,Database!A:Q,MATCH($A$1,Database!$A$1:$Q$1,),)</f>
        <v>127022</v>
      </c>
      <c r="C372" s="12">
        <f t="shared" si="10"/>
        <v>5.0003956009177942E-3</v>
      </c>
      <c r="D372" s="13">
        <f t="shared" si="11"/>
        <v>-4.3280845471643179E-4</v>
      </c>
    </row>
    <row r="373" spans="1:4" x14ac:dyDescent="0.2">
      <c r="A373" s="10">
        <v>44743</v>
      </c>
      <c r="B373" s="15">
        <f>VLOOKUP(A373,Database!A:Q,MATCH($A$1,Database!$A$1:$Q$1,),)</f>
        <v>124948</v>
      </c>
      <c r="C373" s="12">
        <f t="shared" si="10"/>
        <v>-1.632788020972745E-2</v>
      </c>
      <c r="D373" s="13">
        <f t="shared" ref="D373" si="12">(B373-B361)/B361</f>
        <v>2.1267552678469259E-2</v>
      </c>
    </row>
  </sheetData>
  <conditionalFormatting sqref="D19:D373">
    <cfRule type="colorScale" priority="50">
      <colorScale>
        <cfvo type="min"/>
        <cfvo type="percentile" val="50"/>
        <cfvo type="max"/>
        <color rgb="FFF8696B"/>
        <color rgb="FFFFEB84"/>
        <color rgb="FF63BE7B"/>
      </colorScale>
    </cfRule>
  </conditionalFormatting>
  <conditionalFormatting sqref="C8:C373">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3"/>
  <sheetViews>
    <sheetView zoomScale="150" zoomScaleNormal="150" workbookViewId="0">
      <pane ySplit="6" topLeftCell="A356" activePane="bottomLeft" state="frozen"/>
      <selection pane="bottomLeft" activeCell="N377" sqref="N377"/>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13" width="9.1640625" style="110" customWidth="1"/>
    <col min="14"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20557</v>
      </c>
      <c r="C223" s="12">
        <f t="shared" si="6"/>
        <v>-1.4005467888148113E-2</v>
      </c>
      <c r="D223" s="13">
        <f t="shared" si="7"/>
        <v>-9.6713243694524997E-2</v>
      </c>
    </row>
    <row r="224" spans="1:4" x14ac:dyDescent="0.2">
      <c r="A224" s="11">
        <v>40210</v>
      </c>
      <c r="B224" s="15">
        <f>VLOOKUP(A224,Database!A:K,MATCH($A$1,Database!$A$1:$K$1,),)</f>
        <v>20452</v>
      </c>
      <c r="C224" s="12">
        <f t="shared" si="6"/>
        <v>-5.1077491851923918E-3</v>
      </c>
      <c r="D224" s="13">
        <f t="shared" si="7"/>
        <v>-9.094141701484576E-2</v>
      </c>
    </row>
    <row r="225" spans="1:4" x14ac:dyDescent="0.2">
      <c r="A225" s="17">
        <v>40238</v>
      </c>
      <c r="B225" s="15">
        <f>VLOOKUP(A225,Database!A:K,MATCH($A$1,Database!$A$1:$K$1,),)</f>
        <v>21875</v>
      </c>
      <c r="C225" s="12">
        <f t="shared" si="6"/>
        <v>6.9577547428124387E-2</v>
      </c>
      <c r="D225" s="13">
        <f t="shared" si="7"/>
        <v>-1.2370761659668609E-2</v>
      </c>
    </row>
    <row r="226" spans="1:4" x14ac:dyDescent="0.2">
      <c r="A226" s="11">
        <v>40269</v>
      </c>
      <c r="B226" s="15">
        <f>VLOOKUP(A226,Database!A:K,MATCH($A$1,Database!$A$1:$K$1,),)</f>
        <v>23556</v>
      </c>
      <c r="C226" s="12">
        <f t="shared" si="6"/>
        <v>7.6845714285714281E-2</v>
      </c>
      <c r="D226" s="13">
        <f t="shared" si="7"/>
        <v>6.6268332428028251E-2</v>
      </c>
    </row>
    <row r="227" spans="1:4" x14ac:dyDescent="0.2">
      <c r="A227" s="17">
        <v>40299</v>
      </c>
      <c r="B227" s="15">
        <f>VLOOKUP(A227,Database!A:K,MATCH($A$1,Database!$A$1:$K$1,),)</f>
        <v>21747</v>
      </c>
      <c r="C227" s="12">
        <f t="shared" si="6"/>
        <v>-7.6795720835455938E-2</v>
      </c>
      <c r="D227" s="13">
        <f t="shared" si="7"/>
        <v>-2.5235320484087852E-2</v>
      </c>
    </row>
    <row r="228" spans="1:4" x14ac:dyDescent="0.2">
      <c r="A228" s="11">
        <v>40330</v>
      </c>
      <c r="B228" s="15">
        <f>VLOOKUP(A228,Database!A:K,MATCH($A$1,Database!$A$1:$K$1,),)</f>
        <v>21528</v>
      </c>
      <c r="C228" s="12">
        <f t="shared" si="6"/>
        <v>-1.0070354531659539E-2</v>
      </c>
      <c r="D228" s="13">
        <f t="shared" si="7"/>
        <v>-3.6002149382052658E-2</v>
      </c>
    </row>
    <row r="229" spans="1:4" x14ac:dyDescent="0.2">
      <c r="A229" s="17">
        <v>40360</v>
      </c>
      <c r="B229" s="15">
        <f>VLOOKUP(A229,Database!A:K,MATCH($A$1,Database!$A$1:$K$1,),)</f>
        <v>21499</v>
      </c>
      <c r="C229" s="12">
        <f t="shared" si="6"/>
        <v>-1.3470828688219993E-3</v>
      </c>
      <c r="D229" s="13">
        <f t="shared" si="7"/>
        <v>-1.7547868208198144E-2</v>
      </c>
    </row>
    <row r="230" spans="1:4" x14ac:dyDescent="0.2">
      <c r="A230" s="11">
        <v>40391</v>
      </c>
      <c r="B230" s="15">
        <f>VLOOKUP(A230,Database!A:K,MATCH($A$1,Database!$A$1:$K$1,),)</f>
        <v>21278</v>
      </c>
      <c r="C230" s="12">
        <f t="shared" si="6"/>
        <v>-1.0279547885948183E-2</v>
      </c>
      <c r="D230" s="13">
        <f t="shared" si="7"/>
        <v>-9.1273167551457583E-3</v>
      </c>
    </row>
    <row r="231" spans="1:4" x14ac:dyDescent="0.2">
      <c r="A231" s="17">
        <v>40422</v>
      </c>
      <c r="B231" s="15">
        <f>VLOOKUP(A231,Database!A:K,MATCH($A$1,Database!$A$1:$K$1,),)</f>
        <v>21351</v>
      </c>
      <c r="C231" s="12">
        <f t="shared" si="6"/>
        <v>3.4307735689444495E-3</v>
      </c>
      <c r="D231" s="13">
        <f t="shared" si="7"/>
        <v>-5.6171885971071484E-4</v>
      </c>
    </row>
    <row r="232" spans="1:4" x14ac:dyDescent="0.2">
      <c r="A232" s="11">
        <v>40452</v>
      </c>
      <c r="B232" s="15">
        <f>VLOOKUP(A232,Database!A:K,MATCH($A$1,Database!$A$1:$K$1,),)</f>
        <v>22033</v>
      </c>
      <c r="C232" s="12">
        <f t="shared" si="6"/>
        <v>3.1942297784647092E-2</v>
      </c>
      <c r="D232" s="13">
        <f t="shared" si="7"/>
        <v>6.6405304680315566E-2</v>
      </c>
    </row>
    <row r="233" spans="1:4" x14ac:dyDescent="0.2">
      <c r="A233" s="17">
        <v>40483</v>
      </c>
      <c r="B233" s="15">
        <f>VLOOKUP(A233,Database!A:K,MATCH($A$1,Database!$A$1:$K$1,),)</f>
        <v>21944</v>
      </c>
      <c r="C233" s="12">
        <f t="shared" si="6"/>
        <v>-4.0393954522761309E-3</v>
      </c>
      <c r="D233" s="13">
        <f t="shared" si="7"/>
        <v>4.8397114328030191E-2</v>
      </c>
    </row>
    <row r="234" spans="1:4" x14ac:dyDescent="0.2">
      <c r="A234" s="11">
        <v>40513</v>
      </c>
      <c r="B234" s="15">
        <f>VLOOKUP(A234,Database!A:K,MATCH($A$1,Database!$A$1:$K$1,),)</f>
        <v>22138</v>
      </c>
      <c r="C234" s="12">
        <f t="shared" si="6"/>
        <v>8.840685380969741E-3</v>
      </c>
      <c r="D234" s="13">
        <f t="shared" si="7"/>
        <v>6.1825507218571635E-2</v>
      </c>
    </row>
    <row r="235" spans="1:4" x14ac:dyDescent="0.2">
      <c r="A235" s="17">
        <v>40544</v>
      </c>
      <c r="B235" s="15">
        <f>VLOOKUP(A235,Database!A:K,MATCH($A$1,Database!$A$1:$K$1,),)</f>
        <v>21493</v>
      </c>
      <c r="C235" s="12">
        <f t="shared" si="6"/>
        <v>-2.9135423254133163E-2</v>
      </c>
      <c r="D235" s="13">
        <f t="shared" si="7"/>
        <v>4.5531935593715038E-2</v>
      </c>
    </row>
    <row r="236" spans="1:4" x14ac:dyDescent="0.2">
      <c r="A236" s="11">
        <v>40575</v>
      </c>
      <c r="B236" s="15">
        <f>VLOOKUP(A236,Database!A:K,MATCH($A$1,Database!$A$1:$K$1,),)</f>
        <v>21197</v>
      </c>
      <c r="C236" s="12">
        <f t="shared" si="6"/>
        <v>-1.3771925743265249E-2</v>
      </c>
      <c r="D236" s="13">
        <f t="shared" si="7"/>
        <v>3.642675532955212E-2</v>
      </c>
    </row>
    <row r="237" spans="1:4" x14ac:dyDescent="0.2">
      <c r="A237" s="17">
        <v>40603</v>
      </c>
      <c r="B237" s="15">
        <f>VLOOKUP(A237,Database!A:K,MATCH($A$1,Database!$A$1:$K$1,),)</f>
        <v>21865</v>
      </c>
      <c r="C237" s="12">
        <f t="shared" si="6"/>
        <v>3.1513893475491814E-2</v>
      </c>
      <c r="D237" s="13">
        <f t="shared" si="7"/>
        <v>-4.5714285714285713E-4</v>
      </c>
    </row>
    <row r="238" spans="1:4" x14ac:dyDescent="0.2">
      <c r="A238" s="11">
        <v>40634</v>
      </c>
      <c r="B238" s="15">
        <f>VLOOKUP(A238,Database!A:K,MATCH($A$1,Database!$A$1:$K$1,),)</f>
        <v>22037</v>
      </c>
      <c r="C238" s="12">
        <f t="shared" si="6"/>
        <v>7.8664532357649204E-3</v>
      </c>
      <c r="D238" s="13">
        <f t="shared" si="7"/>
        <v>-6.4484632365427064E-2</v>
      </c>
    </row>
    <row r="239" spans="1:4" x14ac:dyDescent="0.2">
      <c r="A239" s="17">
        <v>40664</v>
      </c>
      <c r="B239" s="15">
        <f>VLOOKUP(A239,Database!A:K,MATCH($A$1,Database!$A$1:$K$1,),)</f>
        <v>22320</v>
      </c>
      <c r="C239" s="12">
        <f t="shared" si="6"/>
        <v>1.2842038389980487E-2</v>
      </c>
      <c r="D239" s="13">
        <f t="shared" si="7"/>
        <v>2.6348461856807837E-2</v>
      </c>
    </row>
    <row r="240" spans="1:4" x14ac:dyDescent="0.2">
      <c r="A240" s="11">
        <v>40695</v>
      </c>
      <c r="B240" s="15">
        <f>VLOOKUP(A240,Database!A:K,MATCH($A$1,Database!$A$1:$K$1,),)</f>
        <v>22740</v>
      </c>
      <c r="C240" s="12">
        <f t="shared" si="6"/>
        <v>1.8817204301075269E-2</v>
      </c>
      <c r="D240" s="13">
        <f t="shared" si="7"/>
        <v>5.629877369007804E-2</v>
      </c>
    </row>
    <row r="241" spans="1:4" x14ac:dyDescent="0.2">
      <c r="A241" s="17">
        <v>40725</v>
      </c>
      <c r="B241" s="15">
        <f>VLOOKUP(A241,Database!A:K,MATCH($A$1,Database!$A$1:$K$1,),)</f>
        <v>22758</v>
      </c>
      <c r="C241" s="12">
        <f t="shared" si="6"/>
        <v>7.9155672823218995E-4</v>
      </c>
      <c r="D241" s="13">
        <f t="shared" si="7"/>
        <v>5.8560863295967255E-2</v>
      </c>
    </row>
    <row r="242" spans="1:4" x14ac:dyDescent="0.2">
      <c r="A242" s="11">
        <v>40756</v>
      </c>
      <c r="B242" s="15">
        <f>VLOOKUP(A242,Database!A:K,MATCH($A$1,Database!$A$1:$K$1,),)</f>
        <v>22763</v>
      </c>
      <c r="C242" s="12">
        <f t="shared" si="6"/>
        <v>2.1970296159592231E-4</v>
      </c>
      <c r="D242" s="13">
        <f t="shared" si="7"/>
        <v>6.9790393834006953E-2</v>
      </c>
    </row>
    <row r="243" spans="1:4" x14ac:dyDescent="0.2">
      <c r="A243" s="17">
        <v>40787</v>
      </c>
      <c r="B243" s="15">
        <f>VLOOKUP(A243,Database!A:K,MATCH($A$1,Database!$A$1:$K$1,),)</f>
        <v>22640</v>
      </c>
      <c r="C243" s="12">
        <f t="shared" si="6"/>
        <v>-5.4035056890568024E-3</v>
      </c>
      <c r="D243" s="13">
        <f t="shared" si="7"/>
        <v>6.0371879537258206E-2</v>
      </c>
    </row>
    <row r="244" spans="1:4" x14ac:dyDescent="0.2">
      <c r="A244" s="11">
        <v>40817</v>
      </c>
      <c r="B244" s="15">
        <f>VLOOKUP(A244,Database!A:K,MATCH($A$1,Database!$A$1:$K$1,),)</f>
        <v>23253</v>
      </c>
      <c r="C244" s="12">
        <f t="shared" si="6"/>
        <v>2.7075971731448763E-2</v>
      </c>
      <c r="D244" s="13">
        <f t="shared" si="7"/>
        <v>5.5371488222212134E-2</v>
      </c>
    </row>
    <row r="245" spans="1:4" x14ac:dyDescent="0.2">
      <c r="A245" s="17">
        <v>40848</v>
      </c>
      <c r="B245" s="15">
        <f>VLOOKUP(A245,Database!A:K,MATCH($A$1,Database!$A$1:$K$1,),)</f>
        <v>22893</v>
      </c>
      <c r="C245" s="12">
        <f t="shared" si="6"/>
        <v>-1.5481873306670108E-2</v>
      </c>
      <c r="D245" s="13">
        <f t="shared" si="7"/>
        <v>4.3246445497630334E-2</v>
      </c>
    </row>
    <row r="246" spans="1:4" x14ac:dyDescent="0.2">
      <c r="A246" s="11">
        <v>40878</v>
      </c>
      <c r="B246" s="15">
        <f>VLOOKUP(A246,Database!A:K,MATCH($A$1,Database!$A$1:$K$1,),)</f>
        <v>23447</v>
      </c>
      <c r="C246" s="12">
        <f t="shared" si="6"/>
        <v>2.4199536976368324E-2</v>
      </c>
      <c r="D246" s="13">
        <f t="shared" si="7"/>
        <v>5.9129099286295062E-2</v>
      </c>
    </row>
    <row r="247" spans="1:4" x14ac:dyDescent="0.2">
      <c r="A247" s="17">
        <v>40909</v>
      </c>
      <c r="B247" s="15">
        <f>VLOOKUP(A247,Database!A:K,MATCH($A$1,Database!$A$1:$K$1,),)</f>
        <v>23609</v>
      </c>
      <c r="C247" s="12">
        <f t="shared" si="6"/>
        <v>6.9091994711476951E-3</v>
      </c>
      <c r="D247" s="13">
        <f t="shared" si="7"/>
        <v>9.8450658353882656E-2</v>
      </c>
    </row>
    <row r="248" spans="1:4" x14ac:dyDescent="0.2">
      <c r="A248" s="11">
        <v>40940</v>
      </c>
      <c r="B248" s="15">
        <f>VLOOKUP(A248,Database!A:K,MATCH($A$1,Database!$A$1:$K$1,),)</f>
        <v>23568</v>
      </c>
      <c r="C248" s="12">
        <f t="shared" si="6"/>
        <v>-1.7366258630183405E-3</v>
      </c>
      <c r="D248" s="13">
        <f t="shared" si="7"/>
        <v>0.11185545124310044</v>
      </c>
    </row>
    <row r="249" spans="1:4" x14ac:dyDescent="0.2">
      <c r="A249" s="17">
        <v>40969</v>
      </c>
      <c r="B249" s="15">
        <f>VLOOKUP(A249,Database!A:K,MATCH($A$1,Database!$A$1:$K$1,),)</f>
        <v>24580</v>
      </c>
      <c r="C249" s="12">
        <f t="shared" si="6"/>
        <v>4.2939579090291918E-2</v>
      </c>
      <c r="D249" s="13">
        <f t="shared" si="7"/>
        <v>0.12417104962268466</v>
      </c>
    </row>
    <row r="250" spans="1:4" x14ac:dyDescent="0.2">
      <c r="A250" s="11">
        <v>41000</v>
      </c>
      <c r="B250" s="15">
        <f>VLOOKUP(A250,Database!A:K,MATCH($A$1,Database!$A$1:$K$1,),)</f>
        <v>23423</v>
      </c>
      <c r="C250" s="12">
        <f t="shared" si="6"/>
        <v>-4.7070789259560618E-2</v>
      </c>
      <c r="D250" s="13">
        <f t="shared" si="7"/>
        <v>6.2894223351635886E-2</v>
      </c>
    </row>
    <row r="251" spans="1:4" x14ac:dyDescent="0.2">
      <c r="A251" s="17">
        <v>41030</v>
      </c>
      <c r="B251" s="15">
        <f>VLOOKUP(A251,Database!A:K,MATCH($A$1,Database!$A$1:$K$1,),)</f>
        <v>22732</v>
      </c>
      <c r="C251" s="12">
        <f t="shared" si="6"/>
        <v>-2.9500917901208214E-2</v>
      </c>
      <c r="D251" s="13">
        <f t="shared" si="7"/>
        <v>1.8458781362007168E-2</v>
      </c>
    </row>
    <row r="252" spans="1:4" x14ac:dyDescent="0.2">
      <c r="A252" s="11">
        <v>41061</v>
      </c>
      <c r="B252" s="15">
        <f>VLOOKUP(A252,Database!A:K,MATCH($A$1,Database!$A$1:$K$1,),)</f>
        <v>22531</v>
      </c>
      <c r="C252" s="12">
        <f t="shared" si="6"/>
        <v>-8.8421608305472455E-3</v>
      </c>
      <c r="D252" s="13">
        <f t="shared" si="7"/>
        <v>-9.1908531222515393E-3</v>
      </c>
    </row>
    <row r="253" spans="1:4" x14ac:dyDescent="0.2">
      <c r="A253" s="17">
        <v>41091</v>
      </c>
      <c r="B253" s="15">
        <f>VLOOKUP(A253,Database!A:K,MATCH($A$1,Database!$A$1:$K$1,),)</f>
        <v>22717</v>
      </c>
      <c r="C253" s="12">
        <f t="shared" si="6"/>
        <v>8.2552927078247754E-3</v>
      </c>
      <c r="D253" s="13">
        <f t="shared" si="7"/>
        <v>-1.8015642850865629E-3</v>
      </c>
    </row>
    <row r="254" spans="1:4" x14ac:dyDescent="0.2">
      <c r="A254" s="11">
        <v>41122</v>
      </c>
      <c r="B254" s="15">
        <f>VLOOKUP(A254,Database!A:K,MATCH($A$1,Database!$A$1:$K$1,),)</f>
        <v>23115</v>
      </c>
      <c r="C254" s="12">
        <f t="shared" si="6"/>
        <v>1.7519919003389534E-2</v>
      </c>
      <c r="D254" s="13">
        <f t="shared" si="7"/>
        <v>1.5463691077625972E-2</v>
      </c>
    </row>
    <row r="255" spans="1:4" x14ac:dyDescent="0.2">
      <c r="A255" s="17">
        <v>41153</v>
      </c>
      <c r="B255" s="15">
        <f>VLOOKUP(A255,Database!A:K,MATCH($A$1,Database!$A$1:$K$1,),)</f>
        <v>23641</v>
      </c>
      <c r="C255" s="12">
        <f t="shared" si="6"/>
        <v>2.2755786285961498E-2</v>
      </c>
      <c r="D255" s="13">
        <f t="shared" si="7"/>
        <v>4.4213780918727914E-2</v>
      </c>
    </row>
    <row r="256" spans="1:4" x14ac:dyDescent="0.2">
      <c r="A256" s="11">
        <v>41183</v>
      </c>
      <c r="B256" s="15">
        <f>VLOOKUP(A256,Database!A:K,MATCH($A$1,Database!$A$1:$K$1,),)</f>
        <v>23801</v>
      </c>
      <c r="C256" s="12">
        <f t="shared" si="6"/>
        <v>6.7679032189839686E-3</v>
      </c>
      <c r="D256" s="13">
        <f t="shared" si="7"/>
        <v>2.3566851589042273E-2</v>
      </c>
    </row>
    <row r="257" spans="1:4" x14ac:dyDescent="0.2">
      <c r="A257" s="17">
        <v>41214</v>
      </c>
      <c r="B257" s="15">
        <f>VLOOKUP(A257,Database!A:K,MATCH($A$1,Database!$A$1:$K$1,),)</f>
        <v>24127</v>
      </c>
      <c r="C257" s="12">
        <f t="shared" si="6"/>
        <v>1.369690349144994E-2</v>
      </c>
      <c r="D257" s="13">
        <f t="shared" si="7"/>
        <v>5.3902939763246407E-2</v>
      </c>
    </row>
    <row r="258" spans="1:4" x14ac:dyDescent="0.2">
      <c r="A258" s="11">
        <v>41244</v>
      </c>
      <c r="B258" s="15">
        <f>VLOOKUP(A258,Database!A:K,MATCH($A$1,Database!$A$1:$K$1,),)</f>
        <v>24141</v>
      </c>
      <c r="C258" s="12">
        <f t="shared" si="6"/>
        <v>5.8026277614291048E-4</v>
      </c>
      <c r="D258" s="13">
        <f t="shared" si="7"/>
        <v>2.9598669339361113E-2</v>
      </c>
    </row>
    <row r="259" spans="1:4" x14ac:dyDescent="0.2">
      <c r="A259" s="17">
        <v>41275</v>
      </c>
      <c r="B259" s="15">
        <f>VLOOKUP(A259,Database!A:K,MATCH($A$1,Database!$A$1:$K$1,),)</f>
        <v>24373</v>
      </c>
      <c r="C259" s="12">
        <f t="shared" si="6"/>
        <v>9.6102067022907096E-3</v>
      </c>
      <c r="D259" s="13">
        <f t="shared" si="7"/>
        <v>3.2360540471853952E-2</v>
      </c>
    </row>
    <row r="260" spans="1:4" x14ac:dyDescent="0.2">
      <c r="A260" s="11">
        <v>41306</v>
      </c>
      <c r="B260" s="15">
        <f>VLOOKUP(A260,Database!A:K,MATCH($A$1,Database!$A$1:$K$1,),)</f>
        <v>24751</v>
      </c>
      <c r="C260" s="12">
        <f t="shared" si="6"/>
        <v>1.5508964838140566E-2</v>
      </c>
      <c r="D260" s="13">
        <f t="shared" si="7"/>
        <v>5.0195179904955874E-2</v>
      </c>
    </row>
    <row r="261" spans="1:4" x14ac:dyDescent="0.2">
      <c r="A261" s="17">
        <v>41334</v>
      </c>
      <c r="B261" s="15">
        <f>VLOOKUP(A261,Database!A:K,MATCH($A$1,Database!$A$1:$K$1,),)</f>
        <v>24694</v>
      </c>
      <c r="C261" s="12">
        <f t="shared" si="6"/>
        <v>-2.3029372550604017E-3</v>
      </c>
      <c r="D261" s="13">
        <f t="shared" si="7"/>
        <v>4.6379170056956879E-3</v>
      </c>
    </row>
    <row r="262" spans="1:4" x14ac:dyDescent="0.2">
      <c r="A262" s="11">
        <v>41365</v>
      </c>
      <c r="B262" s="15">
        <f>VLOOKUP(A262,Database!A:K,MATCH($A$1,Database!$A$1:$K$1,),)</f>
        <v>24798</v>
      </c>
      <c r="C262" s="12">
        <f t="shared" si="6"/>
        <v>4.2115493642180283E-3</v>
      </c>
      <c r="D262" s="13">
        <f t="shared" si="7"/>
        <v>5.8702984246253684E-2</v>
      </c>
    </row>
    <row r="263" spans="1:4" x14ac:dyDescent="0.2">
      <c r="A263" s="17">
        <v>41395</v>
      </c>
      <c r="B263" s="15">
        <f>VLOOKUP(A263,Database!A:K,MATCH($A$1,Database!$A$1:$K$1,),)</f>
        <v>25336</v>
      </c>
      <c r="C263" s="12">
        <f t="shared" si="6"/>
        <v>2.1695298007903863E-2</v>
      </c>
      <c r="D263" s="13">
        <f t="shared" si="7"/>
        <v>0.11455217314798521</v>
      </c>
    </row>
    <row r="264" spans="1:4" x14ac:dyDescent="0.2">
      <c r="A264" s="11">
        <v>41426</v>
      </c>
      <c r="B264" s="15">
        <f>VLOOKUP(A264,Database!A:K,MATCH($A$1,Database!$A$1:$K$1,),)</f>
        <v>24793</v>
      </c>
      <c r="C264" s="12">
        <f t="shared" ref="C264:C327" si="8">(B264-B263)/B263</f>
        <v>-2.1431954531101988E-2</v>
      </c>
      <c r="D264" s="13">
        <f t="shared" si="7"/>
        <v>0.10039501131774001</v>
      </c>
    </row>
    <row r="265" spans="1:4" x14ac:dyDescent="0.2">
      <c r="A265" s="17">
        <v>41456</v>
      </c>
      <c r="B265" s="15">
        <f>VLOOKUP(A265,Database!A:K,MATCH($A$1,Database!$A$1:$K$1,),)</f>
        <v>25353</v>
      </c>
      <c r="C265" s="12">
        <f t="shared" si="8"/>
        <v>2.2587020529988303E-2</v>
      </c>
      <c r="D265" s="13">
        <f t="shared" si="7"/>
        <v>0.11603644847471056</v>
      </c>
    </row>
    <row r="266" spans="1:4" x14ac:dyDescent="0.2">
      <c r="A266" s="11">
        <v>41487</v>
      </c>
      <c r="B266" s="15">
        <f>VLOOKUP(A266,Database!A:K,MATCH($A$1,Database!$A$1:$K$1,),)</f>
        <v>25291</v>
      </c>
      <c r="C266" s="12">
        <f t="shared" si="8"/>
        <v>-2.4454699641068118E-3</v>
      </c>
      <c r="D266" s="13">
        <f t="shared" si="7"/>
        <v>9.4138005624053639E-2</v>
      </c>
    </row>
    <row r="267" spans="1:4" x14ac:dyDescent="0.2">
      <c r="A267" s="17">
        <v>41518</v>
      </c>
      <c r="B267" s="15">
        <f>VLOOKUP(A267,Database!A:K,MATCH($A$1,Database!$A$1:$K$1,),)</f>
        <v>25287</v>
      </c>
      <c r="C267" s="12">
        <f t="shared" si="8"/>
        <v>-1.5815902890356254E-4</v>
      </c>
      <c r="D267" s="13">
        <f t="shared" si="7"/>
        <v>6.9624804365297582E-2</v>
      </c>
    </row>
    <row r="268" spans="1:4" x14ac:dyDescent="0.2">
      <c r="A268" s="11">
        <v>41548</v>
      </c>
      <c r="B268" s="15">
        <f>VLOOKUP(A268,Database!A:K,MATCH($A$1,Database!$A$1:$K$1,),)</f>
        <v>24915</v>
      </c>
      <c r="C268" s="12">
        <f t="shared" si="8"/>
        <v>-1.4711116383912683E-2</v>
      </c>
      <c r="D268" s="13">
        <f t="shared" si="7"/>
        <v>4.6804756102684759E-2</v>
      </c>
    </row>
    <row r="269" spans="1:4" x14ac:dyDescent="0.2">
      <c r="A269" s="17">
        <v>41579</v>
      </c>
      <c r="B269" s="15">
        <f>VLOOKUP(A269,Database!A:K,MATCH($A$1,Database!$A$1:$K$1,),)</f>
        <v>24849</v>
      </c>
      <c r="C269" s="12">
        <f t="shared" si="8"/>
        <v>-2.6490066225165563E-3</v>
      </c>
      <c r="D269" s="13">
        <f t="shared" si="7"/>
        <v>2.9924980312512953E-2</v>
      </c>
    </row>
    <row r="270" spans="1:4" x14ac:dyDescent="0.2">
      <c r="A270" s="11">
        <v>41609</v>
      </c>
      <c r="B270" s="15">
        <f>VLOOKUP(A270,Database!A:K,MATCH($A$1,Database!$A$1:$K$1,),)</f>
        <v>24955</v>
      </c>
      <c r="C270" s="12">
        <f t="shared" si="8"/>
        <v>4.265765221940521E-3</v>
      </c>
      <c r="D270" s="13">
        <f t="shared" si="7"/>
        <v>3.3718570067519986E-2</v>
      </c>
    </row>
    <row r="271" spans="1:4" x14ac:dyDescent="0.2">
      <c r="A271" s="17">
        <v>41640</v>
      </c>
      <c r="B271" s="15">
        <f>VLOOKUP(A271,Database!A:K,MATCH($A$1,Database!$A$1:$K$1,),)</f>
        <v>24920</v>
      </c>
      <c r="C271" s="12">
        <f t="shared" si="8"/>
        <v>-1.4025245441795231E-3</v>
      </c>
      <c r="D271" s="13">
        <f t="shared" si="7"/>
        <v>2.244286710704468E-2</v>
      </c>
    </row>
    <row r="272" spans="1:4" x14ac:dyDescent="0.2">
      <c r="A272" s="11">
        <v>41671</v>
      </c>
      <c r="B272" s="15">
        <f>VLOOKUP(A272,Database!A:K,MATCH($A$1,Database!$A$1:$K$1,),)</f>
        <v>24821</v>
      </c>
      <c r="C272" s="12">
        <f t="shared" si="8"/>
        <v>-3.9727126805778491E-3</v>
      </c>
      <c r="D272" s="13">
        <f t="shared" si="7"/>
        <v>2.8281685588461072E-3</v>
      </c>
    </row>
    <row r="273" spans="1:4" x14ac:dyDescent="0.2">
      <c r="A273" s="17">
        <v>41699</v>
      </c>
      <c r="B273" s="15">
        <f>VLOOKUP(A273,Database!A:K,MATCH($A$1,Database!$A$1:$K$1,),)</f>
        <v>25286</v>
      </c>
      <c r="C273" s="12">
        <f t="shared" si="8"/>
        <v>1.8734136416743888E-2</v>
      </c>
      <c r="D273" s="13">
        <f t="shared" si="7"/>
        <v>2.3973434842471854E-2</v>
      </c>
    </row>
    <row r="274" spans="1:4" x14ac:dyDescent="0.2">
      <c r="A274" s="11">
        <v>41730</v>
      </c>
      <c r="B274" s="15">
        <f>VLOOKUP(A274,Database!A:K,MATCH($A$1,Database!$A$1:$K$1,),)</f>
        <v>26095</v>
      </c>
      <c r="C274" s="12">
        <f t="shared" si="8"/>
        <v>3.1993988768488489E-2</v>
      </c>
      <c r="D274" s="13">
        <f t="shared" si="7"/>
        <v>5.2302605048794255E-2</v>
      </c>
    </row>
    <row r="275" spans="1:4" x14ac:dyDescent="0.2">
      <c r="A275" s="17">
        <v>41760</v>
      </c>
      <c r="B275" s="15">
        <f>VLOOKUP(A275,Database!A:K,MATCH($A$1,Database!$A$1:$K$1,),)</f>
        <v>26428</v>
      </c>
      <c r="C275" s="12">
        <f t="shared" si="8"/>
        <v>1.2761065338187392E-2</v>
      </c>
      <c r="D275" s="13">
        <f t="shared" ref="D275:D338" si="9">(B275-B263)/B263</f>
        <v>4.3100726239343225E-2</v>
      </c>
    </row>
    <row r="276" spans="1:4" x14ac:dyDescent="0.2">
      <c r="A276" s="11">
        <v>41791</v>
      </c>
      <c r="B276" s="15">
        <f>VLOOKUP(A276,Database!A:K,MATCH($A$1,Database!$A$1:$K$1,),)</f>
        <v>26617</v>
      </c>
      <c r="C276" s="12">
        <f t="shared" si="8"/>
        <v>7.1515059785076437E-3</v>
      </c>
      <c r="D276" s="13">
        <f t="shared" si="9"/>
        <v>7.3569152583390474E-2</v>
      </c>
    </row>
    <row r="277" spans="1:4" x14ac:dyDescent="0.2">
      <c r="A277" s="17">
        <v>41821</v>
      </c>
      <c r="B277" s="15">
        <f>VLOOKUP(A277,Database!A:K,MATCH($A$1,Database!$A$1:$K$1,),)</f>
        <v>26107</v>
      </c>
      <c r="C277" s="12">
        <f t="shared" si="8"/>
        <v>-1.9160686779126121E-2</v>
      </c>
      <c r="D277" s="13">
        <f t="shared" si="9"/>
        <v>2.974007020865381E-2</v>
      </c>
    </row>
    <row r="278" spans="1:4" x14ac:dyDescent="0.2">
      <c r="A278" s="11">
        <v>41852</v>
      </c>
      <c r="B278" s="15">
        <f>VLOOKUP(A278,Database!A:K,MATCH($A$1,Database!$A$1:$K$1,),)</f>
        <v>26595</v>
      </c>
      <c r="C278" s="12">
        <f t="shared" si="8"/>
        <v>1.8692304745853601E-2</v>
      </c>
      <c r="D278" s="13">
        <f t="shared" si="9"/>
        <v>5.1559843422561383E-2</v>
      </c>
    </row>
    <row r="279" spans="1:4" x14ac:dyDescent="0.2">
      <c r="A279" s="17">
        <v>41883</v>
      </c>
      <c r="B279" s="15">
        <f>VLOOKUP(A279,Database!A:K,MATCH($A$1,Database!$A$1:$K$1,),)</f>
        <v>26499</v>
      </c>
      <c r="C279" s="12">
        <f t="shared" si="8"/>
        <v>-3.6097010716300056E-3</v>
      </c>
      <c r="D279" s="13">
        <f t="shared" si="9"/>
        <v>4.7929766283070351E-2</v>
      </c>
    </row>
    <row r="280" spans="1:4" x14ac:dyDescent="0.2">
      <c r="A280" s="11">
        <v>41913</v>
      </c>
      <c r="B280" s="15">
        <f>VLOOKUP(A280,Database!A:K,MATCH($A$1,Database!$A$1:$K$1,),)</f>
        <v>26507</v>
      </c>
      <c r="C280" s="12">
        <f t="shared" si="8"/>
        <v>3.0189818483716368E-4</v>
      </c>
      <c r="D280" s="13">
        <f t="shared" si="9"/>
        <v>6.3897250652217547E-2</v>
      </c>
    </row>
    <row r="281" spans="1:4" x14ac:dyDescent="0.2">
      <c r="A281" s="17">
        <v>41944</v>
      </c>
      <c r="B281" s="15">
        <f>VLOOKUP(A281,Database!A:K,MATCH($A$1,Database!$A$1:$K$1,),)</f>
        <v>26619</v>
      </c>
      <c r="C281" s="12">
        <f t="shared" si="8"/>
        <v>4.2252989776285508E-3</v>
      </c>
      <c r="D281" s="13">
        <f t="shared" si="9"/>
        <v>7.12302305927804E-2</v>
      </c>
    </row>
    <row r="282" spans="1:4" x14ac:dyDescent="0.2">
      <c r="A282" s="11">
        <v>41974</v>
      </c>
      <c r="B282" s="15">
        <f>VLOOKUP(A282,Database!A:K,MATCH($A$1,Database!$A$1:$K$1,),)</f>
        <v>26253</v>
      </c>
      <c r="C282" s="12">
        <f t="shared" si="8"/>
        <v>-1.3749577369548066E-2</v>
      </c>
      <c r="D282" s="13">
        <f t="shared" si="9"/>
        <v>5.2013624524143459E-2</v>
      </c>
    </row>
    <row r="283" spans="1:4" x14ac:dyDescent="0.2">
      <c r="A283" s="17">
        <v>42005</v>
      </c>
      <c r="B283" s="15">
        <f>VLOOKUP(A283,Database!A:K,MATCH($A$1,Database!$A$1:$K$1,),)</f>
        <v>26516</v>
      </c>
      <c r="C283" s="12">
        <f t="shared" si="8"/>
        <v>1.001790271588009E-2</v>
      </c>
      <c r="D283" s="13">
        <f t="shared" si="9"/>
        <v>6.4044943820224715E-2</v>
      </c>
    </row>
    <row r="284" spans="1:4" x14ac:dyDescent="0.2">
      <c r="A284" s="11">
        <v>42036</v>
      </c>
      <c r="B284" s="15">
        <f>VLOOKUP(A284,Database!A:K,MATCH($A$1,Database!$A$1:$K$1,),)</f>
        <v>25575</v>
      </c>
      <c r="C284" s="12">
        <f t="shared" si="8"/>
        <v>-3.5488007240911147E-2</v>
      </c>
      <c r="D284" s="13">
        <f t="shared" si="9"/>
        <v>3.0377502920913742E-2</v>
      </c>
    </row>
    <row r="285" spans="1:4" x14ac:dyDescent="0.2">
      <c r="A285" s="17">
        <v>42064</v>
      </c>
      <c r="B285" s="15">
        <f>VLOOKUP(A285,Database!A:K,MATCH($A$1,Database!$A$1:$K$1,),)</f>
        <v>26521</v>
      </c>
      <c r="C285" s="12">
        <f t="shared" si="8"/>
        <v>3.6989247311827955E-2</v>
      </c>
      <c r="D285" s="13">
        <f t="shared" si="9"/>
        <v>4.8841256031005302E-2</v>
      </c>
    </row>
    <row r="286" spans="1:4" x14ac:dyDescent="0.2">
      <c r="A286" s="11">
        <v>42095</v>
      </c>
      <c r="B286" s="15">
        <f>VLOOKUP(A286,Database!A:K,MATCH($A$1,Database!$A$1:$K$1,),)</f>
        <v>26734</v>
      </c>
      <c r="C286" s="12">
        <f t="shared" si="8"/>
        <v>8.0313713660872515E-3</v>
      </c>
      <c r="D286" s="13">
        <f t="shared" si="9"/>
        <v>2.448744970300824E-2</v>
      </c>
    </row>
    <row r="287" spans="1:4" x14ac:dyDescent="0.2">
      <c r="A287" s="17">
        <v>42125</v>
      </c>
      <c r="B287" s="15">
        <f>VLOOKUP(A287,Database!A:K,MATCH($A$1,Database!$A$1:$K$1,),)</f>
        <v>26781</v>
      </c>
      <c r="C287" s="12">
        <f t="shared" si="8"/>
        <v>1.7580608962370016E-3</v>
      </c>
      <c r="D287" s="13">
        <f t="shared" si="9"/>
        <v>1.3357045557741788E-2</v>
      </c>
    </row>
    <row r="288" spans="1:4" x14ac:dyDescent="0.2">
      <c r="A288" s="11">
        <v>42156</v>
      </c>
      <c r="B288" s="15">
        <f>VLOOKUP(A288,Database!A:K,MATCH($A$1,Database!$A$1:$K$1,),)</f>
        <v>26516</v>
      </c>
      <c r="C288" s="12">
        <f t="shared" si="8"/>
        <v>-9.8950748665098398E-3</v>
      </c>
      <c r="D288" s="13">
        <f t="shared" si="9"/>
        <v>-3.7945673817485065E-3</v>
      </c>
    </row>
    <row r="289" spans="1:4" x14ac:dyDescent="0.2">
      <c r="A289" s="17">
        <v>42186</v>
      </c>
      <c r="B289" s="15">
        <f>VLOOKUP(A289,Database!A:K,MATCH($A$1,Database!$A$1:$K$1,),)</f>
        <v>27350</v>
      </c>
      <c r="C289" s="12">
        <f t="shared" si="8"/>
        <v>3.1452707799064714E-2</v>
      </c>
      <c r="D289" s="13">
        <f t="shared" si="9"/>
        <v>4.7611751637491859E-2</v>
      </c>
    </row>
    <row r="290" spans="1:4" x14ac:dyDescent="0.2">
      <c r="A290" s="11">
        <v>42217</v>
      </c>
      <c r="B290" s="15">
        <f>VLOOKUP(A290,Database!A:K,MATCH($A$1,Database!$A$1:$K$1,),)</f>
        <v>27408</v>
      </c>
      <c r="C290" s="12">
        <f t="shared" si="8"/>
        <v>2.1206581352833636E-3</v>
      </c>
      <c r="D290" s="13">
        <f t="shared" si="9"/>
        <v>3.0569655950366609E-2</v>
      </c>
    </row>
    <row r="291" spans="1:4" x14ac:dyDescent="0.2">
      <c r="A291" s="17">
        <v>42248</v>
      </c>
      <c r="B291" s="15">
        <f>VLOOKUP(A291,Database!A:K,MATCH($A$1,Database!$A$1:$K$1,),)</f>
        <v>27191</v>
      </c>
      <c r="C291" s="12">
        <f t="shared" si="8"/>
        <v>-7.9173963806187971E-3</v>
      </c>
      <c r="D291" s="13">
        <f t="shared" si="9"/>
        <v>2.6114192988414657E-2</v>
      </c>
    </row>
    <row r="292" spans="1:4" x14ac:dyDescent="0.2">
      <c r="A292" s="11">
        <v>42278</v>
      </c>
      <c r="B292" s="15">
        <f>VLOOKUP(A292,Database!A:K,MATCH($A$1,Database!$A$1:$K$1,),)</f>
        <v>27368</v>
      </c>
      <c r="C292" s="12">
        <f t="shared" si="8"/>
        <v>6.5095068221102574E-3</v>
      </c>
      <c r="D292" s="13">
        <f t="shared" si="9"/>
        <v>3.2481985890519482E-2</v>
      </c>
    </row>
    <row r="293" spans="1:4" x14ac:dyDescent="0.2">
      <c r="A293" s="17">
        <v>42309</v>
      </c>
      <c r="B293" s="15">
        <f>VLOOKUP(A293,Database!A:K,MATCH($A$1,Database!$A$1:$K$1,),)</f>
        <v>27656</v>
      </c>
      <c r="C293" s="12">
        <f t="shared" si="8"/>
        <v>1.0523238819058756E-2</v>
      </c>
      <c r="D293" s="13">
        <f t="shared" si="9"/>
        <v>3.8957135880386191E-2</v>
      </c>
    </row>
    <row r="294" spans="1:4" x14ac:dyDescent="0.2">
      <c r="A294" s="11">
        <v>42339</v>
      </c>
      <c r="B294" s="15">
        <f>VLOOKUP(A294,Database!A:K,MATCH($A$1,Database!$A$1:$K$1,),)</f>
        <v>28189</v>
      </c>
      <c r="C294" s="12">
        <f t="shared" si="8"/>
        <v>1.9272490598785073E-2</v>
      </c>
      <c r="D294" s="13">
        <f t="shared" si="9"/>
        <v>7.3743953072029869E-2</v>
      </c>
    </row>
    <row r="295" spans="1:4" x14ac:dyDescent="0.2">
      <c r="A295" s="17">
        <v>42370</v>
      </c>
      <c r="B295" s="15">
        <f>VLOOKUP(A295,Database!A:K,MATCH($A$1,Database!$A$1:$K$1,),)</f>
        <v>28172</v>
      </c>
      <c r="C295" s="12">
        <f t="shared" si="8"/>
        <v>-6.0307212033062542E-4</v>
      </c>
      <c r="D295" s="13">
        <f t="shared" si="9"/>
        <v>6.2452858651380297E-2</v>
      </c>
    </row>
    <row r="296" spans="1:4" x14ac:dyDescent="0.2">
      <c r="A296" s="11">
        <v>42401</v>
      </c>
      <c r="B296" s="15">
        <f>VLOOKUP(A296,Database!A:K,MATCH($A$1,Database!$A$1:$K$1,),)</f>
        <v>28236</v>
      </c>
      <c r="C296" s="12">
        <f t="shared" si="8"/>
        <v>2.2717591935254864E-3</v>
      </c>
      <c r="D296" s="13">
        <f t="shared" si="9"/>
        <v>0.10404692082111437</v>
      </c>
    </row>
    <row r="297" spans="1:4" x14ac:dyDescent="0.2">
      <c r="A297" s="17">
        <v>42430</v>
      </c>
      <c r="B297" s="15">
        <f>VLOOKUP(A297,Database!A:K,MATCH($A$1,Database!$A$1:$K$1,),)</f>
        <v>28934</v>
      </c>
      <c r="C297" s="12">
        <f t="shared" si="8"/>
        <v>2.4720215327950136E-2</v>
      </c>
      <c r="D297" s="13">
        <f t="shared" si="9"/>
        <v>9.0984502846800652E-2</v>
      </c>
    </row>
    <row r="298" spans="1:4" x14ac:dyDescent="0.2">
      <c r="A298" s="11">
        <v>42461</v>
      </c>
      <c r="B298" s="15">
        <f>VLOOKUP(A298,Database!A:K,MATCH($A$1,Database!$A$1:$K$1,),)</f>
        <v>27926</v>
      </c>
      <c r="C298" s="12">
        <f t="shared" si="8"/>
        <v>-3.4837906960669109E-2</v>
      </c>
      <c r="D298" s="13">
        <f t="shared" si="9"/>
        <v>4.4587416772649061E-2</v>
      </c>
    </row>
    <row r="299" spans="1:4" x14ac:dyDescent="0.2">
      <c r="A299" s="17">
        <v>42491</v>
      </c>
      <c r="B299" s="15">
        <f>VLOOKUP(A299,Database!A:K,MATCH($A$1,Database!$A$1:$K$1,),)</f>
        <v>27533</v>
      </c>
      <c r="C299" s="12">
        <f t="shared" si="8"/>
        <v>-1.4072906968416529E-2</v>
      </c>
      <c r="D299" s="13">
        <f t="shared" si="9"/>
        <v>2.8079608677793959E-2</v>
      </c>
    </row>
    <row r="300" spans="1:4" x14ac:dyDescent="0.2">
      <c r="A300" s="11">
        <v>42522</v>
      </c>
      <c r="B300" s="15">
        <f>VLOOKUP(A300,Database!A:K,MATCH($A$1,Database!$A$1:$K$1,),)</f>
        <v>28297</v>
      </c>
      <c r="C300" s="12">
        <f t="shared" si="8"/>
        <v>2.7748519957868738E-2</v>
      </c>
      <c r="D300" s="13">
        <f t="shared" si="9"/>
        <v>6.7166993513350426E-2</v>
      </c>
    </row>
    <row r="301" spans="1:4" x14ac:dyDescent="0.2">
      <c r="A301" s="17">
        <v>42552</v>
      </c>
      <c r="B301" s="15">
        <f>VLOOKUP(A301,Database!A:K,MATCH($A$1,Database!$A$1:$K$1,),)</f>
        <v>27980</v>
      </c>
      <c r="C301" s="12">
        <f t="shared" si="8"/>
        <v>-1.1202600982436301E-2</v>
      </c>
      <c r="D301" s="13">
        <f t="shared" si="9"/>
        <v>2.3034734917733089E-2</v>
      </c>
    </row>
    <row r="302" spans="1:4" x14ac:dyDescent="0.2">
      <c r="A302" s="11">
        <v>42583</v>
      </c>
      <c r="B302" s="15">
        <f>VLOOKUP(A302,Database!A:K,MATCH($A$1,Database!$A$1:$K$1,),)</f>
        <v>27856</v>
      </c>
      <c r="C302" s="12">
        <f t="shared" si="8"/>
        <v>-4.4317369549678343E-3</v>
      </c>
      <c r="D302" s="13">
        <f t="shared" si="9"/>
        <v>1.634559252772913E-2</v>
      </c>
    </row>
    <row r="303" spans="1:4" x14ac:dyDescent="0.2">
      <c r="A303" s="17">
        <v>42614</v>
      </c>
      <c r="B303" s="15">
        <f>VLOOKUP(A303,Database!A:K,MATCH($A$1,Database!$A$1:$K$1,),)</f>
        <v>27984</v>
      </c>
      <c r="C303" s="12">
        <f t="shared" si="8"/>
        <v>4.595060310166571E-3</v>
      </c>
      <c r="D303" s="13">
        <f t="shared" si="9"/>
        <v>2.9164061638041999E-2</v>
      </c>
    </row>
    <row r="304" spans="1:4" x14ac:dyDescent="0.2">
      <c r="A304" s="11">
        <v>42644</v>
      </c>
      <c r="B304" s="15">
        <f>VLOOKUP(A304,Database!A:K,MATCH($A$1,Database!$A$1:$K$1,),)</f>
        <v>28049</v>
      </c>
      <c r="C304" s="12">
        <f t="shared" si="8"/>
        <v>2.3227558604917097E-3</v>
      </c>
      <c r="D304" s="13">
        <f t="shared" si="9"/>
        <v>2.4883075124232681E-2</v>
      </c>
    </row>
    <row r="305" spans="1:4" x14ac:dyDescent="0.2">
      <c r="A305" s="17">
        <v>42675</v>
      </c>
      <c r="B305" s="15">
        <f>VLOOKUP(A305,Database!A:K,MATCH($A$1,Database!$A$1:$K$1,),)</f>
        <v>28204</v>
      </c>
      <c r="C305" s="12">
        <f t="shared" si="8"/>
        <v>5.5260437092231451E-3</v>
      </c>
      <c r="D305" s="13">
        <f t="shared" si="9"/>
        <v>1.9814868382991034E-2</v>
      </c>
    </row>
    <row r="306" spans="1:4" x14ac:dyDescent="0.2">
      <c r="A306" s="11">
        <v>42705</v>
      </c>
      <c r="B306" s="15">
        <f>VLOOKUP(A306,Database!A:K,MATCH($A$1,Database!$A$1:$K$1,),)</f>
        <v>28176</v>
      </c>
      <c r="C306" s="12">
        <f t="shared" si="8"/>
        <v>-9.9276698340660893E-4</v>
      </c>
      <c r="D306" s="13">
        <f t="shared" si="9"/>
        <v>-4.6117279789989002E-4</v>
      </c>
    </row>
    <row r="307" spans="1:4" x14ac:dyDescent="0.2">
      <c r="A307" s="17">
        <v>42736</v>
      </c>
      <c r="B307" s="15">
        <f>VLOOKUP(A307,Database!A:K,MATCH($A$1,Database!$A$1:$K$1,),)</f>
        <v>28504</v>
      </c>
      <c r="C307" s="12">
        <f t="shared" si="8"/>
        <v>1.1641113003975015E-2</v>
      </c>
      <c r="D307" s="13">
        <f t="shared" si="9"/>
        <v>1.1784750816413459E-2</v>
      </c>
    </row>
    <row r="308" spans="1:4" x14ac:dyDescent="0.2">
      <c r="A308" s="11">
        <v>42767</v>
      </c>
      <c r="B308" s="15">
        <f>VLOOKUP(A308,Database!A:K,MATCH($A$1,Database!$A$1:$K$1,),)</f>
        <v>28868</v>
      </c>
      <c r="C308" s="12">
        <f t="shared" si="8"/>
        <v>1.2770137524557957E-2</v>
      </c>
      <c r="D308" s="13">
        <f t="shared" si="9"/>
        <v>2.2382773763989235E-2</v>
      </c>
    </row>
    <row r="309" spans="1:4" x14ac:dyDescent="0.2">
      <c r="A309" s="17">
        <v>42795</v>
      </c>
      <c r="B309" s="15">
        <f>VLOOKUP(A309,Database!A:K,MATCH($A$1,Database!$A$1:$K$1,),)</f>
        <v>28678</v>
      </c>
      <c r="C309" s="12">
        <f t="shared" si="8"/>
        <v>-6.5816821393930997E-3</v>
      </c>
      <c r="D309" s="13">
        <f t="shared" si="9"/>
        <v>-8.8477224027096145E-3</v>
      </c>
    </row>
    <row r="310" spans="1:4" x14ac:dyDescent="0.2">
      <c r="A310" s="11">
        <v>42826</v>
      </c>
      <c r="B310" s="15">
        <f>VLOOKUP(A310,Database!A:K,MATCH($A$1,Database!$A$1:$K$1,),)</f>
        <v>29027</v>
      </c>
      <c r="C310" s="12">
        <f t="shared" si="8"/>
        <v>1.2169607364530302E-2</v>
      </c>
      <c r="D310" s="13">
        <f t="shared" si="9"/>
        <v>3.942562486571654E-2</v>
      </c>
    </row>
    <row r="311" spans="1:4" x14ac:dyDescent="0.2">
      <c r="A311" s="17">
        <v>42856</v>
      </c>
      <c r="B311" s="15">
        <f>VLOOKUP(A311,Database!A:K,MATCH($A$1,Database!$A$1:$K$1,),)</f>
        <v>28706</v>
      </c>
      <c r="C311" s="12">
        <f t="shared" si="8"/>
        <v>-1.1058669514589864E-2</v>
      </c>
      <c r="D311" s="13">
        <f t="shared" si="9"/>
        <v>4.2603421348926744E-2</v>
      </c>
    </row>
    <row r="312" spans="1:4" x14ac:dyDescent="0.2">
      <c r="A312" s="11">
        <v>42887</v>
      </c>
      <c r="B312" s="15">
        <f>VLOOKUP(A312,Database!A:K,MATCH($A$1,Database!$A$1:$K$1,),)</f>
        <v>28754</v>
      </c>
      <c r="C312" s="12">
        <f t="shared" si="8"/>
        <v>1.6721242945725633E-3</v>
      </c>
      <c r="D312" s="13">
        <f t="shared" si="9"/>
        <v>1.61501219210517E-2</v>
      </c>
    </row>
    <row r="313" spans="1:4" x14ac:dyDescent="0.2">
      <c r="A313" s="17">
        <v>42917</v>
      </c>
      <c r="B313" s="15">
        <f>VLOOKUP(A313,Database!A:K,MATCH($A$1,Database!$A$1:$K$1,),)</f>
        <v>28915</v>
      </c>
      <c r="C313" s="12">
        <f t="shared" si="8"/>
        <v>5.5992209779508941E-3</v>
      </c>
      <c r="D313" s="13">
        <f t="shared" si="9"/>
        <v>3.3416726233023587E-2</v>
      </c>
    </row>
    <row r="314" spans="1:4" x14ac:dyDescent="0.2">
      <c r="A314" s="11">
        <v>42948</v>
      </c>
      <c r="B314" s="15">
        <f>VLOOKUP(A314,Database!A:K,MATCH($A$1,Database!$A$1:$K$1,),)</f>
        <v>28941</v>
      </c>
      <c r="C314" s="12">
        <f t="shared" si="8"/>
        <v>8.9918727304167387E-4</v>
      </c>
      <c r="D314" s="13">
        <f t="shared" si="9"/>
        <v>3.8950315910396327E-2</v>
      </c>
    </row>
    <row r="315" spans="1:4" x14ac:dyDescent="0.2">
      <c r="A315" s="17">
        <v>42979</v>
      </c>
      <c r="B315" s="15">
        <f>VLOOKUP(A315,Database!A:K,MATCH($A$1,Database!$A$1:$K$1,),)</f>
        <v>29910</v>
      </c>
      <c r="C315" s="12">
        <f t="shared" si="8"/>
        <v>3.3481911475069973E-2</v>
      </c>
      <c r="D315" s="13">
        <f t="shared" si="9"/>
        <v>6.8825042881646661E-2</v>
      </c>
    </row>
    <row r="316" spans="1:4" x14ac:dyDescent="0.2">
      <c r="A316" s="11">
        <v>43009</v>
      </c>
      <c r="B316" s="15">
        <f>VLOOKUP(A316,Database!A:K,MATCH($A$1,Database!$A$1:$K$1,),)</f>
        <v>29568</v>
      </c>
      <c r="C316" s="12">
        <f t="shared" si="8"/>
        <v>-1.1434302908726178E-2</v>
      </c>
      <c r="D316" s="13">
        <f t="shared" si="9"/>
        <v>5.4155228350386823E-2</v>
      </c>
    </row>
    <row r="317" spans="1:4" x14ac:dyDescent="0.2">
      <c r="A317" s="17">
        <v>43040</v>
      </c>
      <c r="B317" s="15">
        <f>VLOOKUP(A317,Database!A:K,MATCH($A$1,Database!$A$1:$K$1,),)</f>
        <v>30027</v>
      </c>
      <c r="C317" s="12">
        <f t="shared" si="8"/>
        <v>1.5523538961038962E-2</v>
      </c>
      <c r="D317" s="13">
        <f t="shared" si="9"/>
        <v>6.4636221812508859E-2</v>
      </c>
    </row>
    <row r="318" spans="1:4" x14ac:dyDescent="0.2">
      <c r="A318" s="11">
        <v>43070</v>
      </c>
      <c r="B318" s="15">
        <f>VLOOKUP(A318,Database!A:K,MATCH($A$1,Database!$A$1:$K$1,),)</f>
        <v>30078</v>
      </c>
      <c r="C318" s="12">
        <f t="shared" si="8"/>
        <v>1.6984713757618145E-3</v>
      </c>
      <c r="D318" s="13">
        <f t="shared" si="9"/>
        <v>6.7504258943781939E-2</v>
      </c>
    </row>
    <row r="319" spans="1:4" x14ac:dyDescent="0.2">
      <c r="A319" s="17">
        <v>43101</v>
      </c>
      <c r="B319" s="15">
        <f>VLOOKUP(A319,Database!A:K,MATCH($A$1,Database!$A$1:$K$1,),)</f>
        <v>29012</v>
      </c>
      <c r="C319" s="12">
        <f t="shared" si="8"/>
        <v>-3.544118624908571E-2</v>
      </c>
      <c r="D319" s="13">
        <f t="shared" si="9"/>
        <v>1.782206006174572E-2</v>
      </c>
    </row>
    <row r="320" spans="1:4" x14ac:dyDescent="0.2">
      <c r="A320" s="11">
        <v>43132</v>
      </c>
      <c r="B320" s="15">
        <f>VLOOKUP(A320,Database!A:K,MATCH($A$1,Database!$A$1:$K$1,),)</f>
        <v>30037</v>
      </c>
      <c r="C320" s="12">
        <f t="shared" si="8"/>
        <v>3.53302081897146E-2</v>
      </c>
      <c r="D320" s="13">
        <f t="shared" si="9"/>
        <v>4.049466537342386E-2</v>
      </c>
    </row>
    <row r="321" spans="1:4" x14ac:dyDescent="0.2">
      <c r="A321" s="17">
        <v>43160</v>
      </c>
      <c r="B321" s="15">
        <f>VLOOKUP(A321,Database!A:K,MATCH($A$1,Database!$A$1:$K$1,),)</f>
        <v>29685</v>
      </c>
      <c r="C321" s="12">
        <f t="shared" si="8"/>
        <v>-1.1718880047940873E-2</v>
      </c>
      <c r="D321" s="13">
        <f t="shared" si="9"/>
        <v>3.511402468791408E-2</v>
      </c>
    </row>
    <row r="322" spans="1:4" x14ac:dyDescent="0.2">
      <c r="A322" s="11">
        <v>43191</v>
      </c>
      <c r="B322" s="15">
        <f>VLOOKUP(A322,Database!A:K,MATCH($A$1,Database!$A$1:$K$1,),)</f>
        <v>29858</v>
      </c>
      <c r="C322" s="12">
        <f t="shared" si="8"/>
        <v>5.8278591881421593E-3</v>
      </c>
      <c r="D322" s="13">
        <f t="shared" si="9"/>
        <v>2.862851827608778E-2</v>
      </c>
    </row>
    <row r="323" spans="1:4" x14ac:dyDescent="0.2">
      <c r="A323" s="17">
        <v>43221</v>
      </c>
      <c r="B323" s="15">
        <f>VLOOKUP(A323,Database!A:K,MATCH($A$1,Database!$A$1:$K$1,),)</f>
        <v>30663</v>
      </c>
      <c r="C323" s="12">
        <f t="shared" si="8"/>
        <v>2.6960948489517047E-2</v>
      </c>
      <c r="D323" s="13">
        <f t="shared" si="9"/>
        <v>6.8173900926635542E-2</v>
      </c>
    </row>
    <row r="324" spans="1:4" x14ac:dyDescent="0.2">
      <c r="A324" s="11">
        <v>43252</v>
      </c>
      <c r="B324" s="15">
        <f>VLOOKUP(A324,Database!A:K,MATCH($A$1,Database!$A$1:$K$1,),)</f>
        <v>31111</v>
      </c>
      <c r="C324" s="12">
        <f t="shared" si="8"/>
        <v>1.4610442552913935E-2</v>
      </c>
      <c r="D324" s="13">
        <f t="shared" si="9"/>
        <v>8.1971204006399109E-2</v>
      </c>
    </row>
    <row r="325" spans="1:4" x14ac:dyDescent="0.2">
      <c r="A325" s="17">
        <v>43282</v>
      </c>
      <c r="B325" s="15">
        <f>VLOOKUP(A325,Database!A:K,MATCH($A$1,Database!$A$1:$K$1,),)</f>
        <v>31331</v>
      </c>
      <c r="C325" s="12">
        <f t="shared" si="8"/>
        <v>7.0714538266208092E-3</v>
      </c>
      <c r="D325" s="13">
        <f t="shared" si="9"/>
        <v>8.3555248141103239E-2</v>
      </c>
    </row>
    <row r="326" spans="1:4" x14ac:dyDescent="0.2">
      <c r="A326" s="11">
        <v>43313</v>
      </c>
      <c r="B326" s="15">
        <f>VLOOKUP(A326,Database!A:K,MATCH($A$1,Database!$A$1:$K$1,),)</f>
        <v>30997</v>
      </c>
      <c r="C326" s="12">
        <f t="shared" si="8"/>
        <v>-1.0660368325300821E-2</v>
      </c>
      <c r="D326" s="13">
        <f t="shared" si="9"/>
        <v>7.1041083583842993E-2</v>
      </c>
    </row>
    <row r="327" spans="1:4" x14ac:dyDescent="0.2">
      <c r="A327" s="17">
        <v>43344</v>
      </c>
      <c r="B327" s="15">
        <f>VLOOKUP(A327,Database!A:K,MATCH($A$1,Database!$A$1:$K$1,),)</f>
        <v>31132</v>
      </c>
      <c r="C327" s="12">
        <f t="shared" si="8"/>
        <v>4.355260186469658E-3</v>
      </c>
      <c r="D327" s="13">
        <f t="shared" si="9"/>
        <v>4.0855901036442661E-2</v>
      </c>
    </row>
    <row r="328" spans="1:4" x14ac:dyDescent="0.2">
      <c r="A328" s="11">
        <v>43374</v>
      </c>
      <c r="B328" s="15">
        <f>VLOOKUP(A328,Database!A:K,MATCH($A$1,Database!$A$1:$K$1,),)</f>
        <v>31655</v>
      </c>
      <c r="C328" s="12">
        <f t="shared" ref="C328:C373" si="10">(B328-B327)/B327</f>
        <v>1.6799434665296157E-2</v>
      </c>
      <c r="D328" s="13">
        <f t="shared" si="9"/>
        <v>7.0583062770562768E-2</v>
      </c>
    </row>
    <row r="329" spans="1:4" x14ac:dyDescent="0.2">
      <c r="A329" s="17">
        <v>43405</v>
      </c>
      <c r="B329" s="15">
        <f>VLOOKUP(A329,Database!A:K,MATCH($A$1,Database!$A$1:$K$1,),)</f>
        <v>31003</v>
      </c>
      <c r="C329" s="12">
        <f t="shared" si="10"/>
        <v>-2.05970620755015E-2</v>
      </c>
      <c r="D329" s="13">
        <f t="shared" si="9"/>
        <v>3.2504079661637861E-2</v>
      </c>
    </row>
    <row r="330" spans="1:4" x14ac:dyDescent="0.2">
      <c r="A330" s="11">
        <v>43435</v>
      </c>
      <c r="B330" s="15">
        <f>VLOOKUP(A330,Database!A:K,MATCH($A$1,Database!$A$1:$K$1,),)</f>
        <v>31068</v>
      </c>
      <c r="C330" s="12">
        <f t="shared" si="10"/>
        <v>2.0965712995516562E-3</v>
      </c>
      <c r="D330" s="13">
        <f t="shared" si="9"/>
        <v>3.2914422501496107E-2</v>
      </c>
    </row>
    <row r="331" spans="1:4" x14ac:dyDescent="0.2">
      <c r="A331" s="17">
        <v>43466</v>
      </c>
      <c r="B331" s="15">
        <f>VLOOKUP(A331,Database!A:K,MATCH($A$1,Database!$A$1:$K$1,),)</f>
        <v>32154</v>
      </c>
      <c r="C331" s="12">
        <f t="shared" si="10"/>
        <v>3.495558130552337E-2</v>
      </c>
      <c r="D331" s="13">
        <f t="shared" si="9"/>
        <v>0.10830001378739831</v>
      </c>
    </row>
    <row r="332" spans="1:4" x14ac:dyDescent="0.2">
      <c r="A332" s="11">
        <v>43497</v>
      </c>
      <c r="B332" s="15">
        <f>VLOOKUP(A332,Database!A:K,MATCH($A$1,Database!$A$1:$K$1,),)</f>
        <v>30626</v>
      </c>
      <c r="C332" s="12">
        <f t="shared" si="10"/>
        <v>-4.7521303725819496E-2</v>
      </c>
      <c r="D332" s="13">
        <f t="shared" si="9"/>
        <v>1.960914871658288E-2</v>
      </c>
    </row>
    <row r="333" spans="1:4" x14ac:dyDescent="0.2">
      <c r="A333" s="17">
        <v>43525</v>
      </c>
      <c r="B333" s="15">
        <f>VLOOKUP(A333,Database!A:K,MATCH($A$1,Database!$A$1:$K$1,),)</f>
        <v>30931</v>
      </c>
      <c r="C333" s="12">
        <f t="shared" si="10"/>
        <v>9.9588584862535107E-3</v>
      </c>
      <c r="D333" s="13">
        <f t="shared" si="9"/>
        <v>4.1974060973555667E-2</v>
      </c>
    </row>
    <row r="334" spans="1:4" x14ac:dyDescent="0.2">
      <c r="A334" s="11">
        <v>43556</v>
      </c>
      <c r="B334" s="31">
        <f>VLOOKUP(A334,Database!A:K,MATCH($A$1,Database!$A$1:$K$1,),)</f>
        <v>30931</v>
      </c>
      <c r="C334" s="32">
        <f t="shared" si="10"/>
        <v>0</v>
      </c>
      <c r="D334" s="33">
        <f t="shared" si="9"/>
        <v>3.5936767365530177E-2</v>
      </c>
    </row>
    <row r="335" spans="1:4" x14ac:dyDescent="0.2">
      <c r="A335" s="17">
        <v>43586</v>
      </c>
      <c r="B335" s="15">
        <f>VLOOKUP(A335,Database!A:K,MATCH($A$1,Database!$A$1:$K$1,),)</f>
        <v>30522</v>
      </c>
      <c r="C335" s="12">
        <f t="shared" si="10"/>
        <v>-1.322298018169474E-2</v>
      </c>
      <c r="D335" s="13">
        <f t="shared" si="9"/>
        <v>-4.5983758927697878E-3</v>
      </c>
    </row>
    <row r="336" spans="1:4" x14ac:dyDescent="0.2">
      <c r="A336" s="11">
        <v>43617</v>
      </c>
      <c r="B336" s="31">
        <f>VLOOKUP(A336,Database!A:K,MATCH($A$1,Database!$A$1:$K$1,),)</f>
        <v>30499</v>
      </c>
      <c r="C336" s="32">
        <f t="shared" si="10"/>
        <v>-7.5355481292182689E-4</v>
      </c>
      <c r="D336" s="33">
        <f t="shared" si="9"/>
        <v>-1.9671498826781524E-2</v>
      </c>
    </row>
    <row r="337" spans="1:4" x14ac:dyDescent="0.2">
      <c r="A337" s="17">
        <v>43647</v>
      </c>
      <c r="B337" s="15">
        <f>VLOOKUP(A337,Database!A:K,MATCH($A$1,Database!$A$1:$K$1,),)</f>
        <v>31160</v>
      </c>
      <c r="C337" s="12">
        <f t="shared" si="10"/>
        <v>2.1672841732515821E-2</v>
      </c>
      <c r="D337" s="13">
        <f t="shared" si="9"/>
        <v>-5.4578532443905394E-3</v>
      </c>
    </row>
    <row r="338" spans="1:4" x14ac:dyDescent="0.2">
      <c r="A338" s="11">
        <v>43678</v>
      </c>
      <c r="B338" s="31">
        <f>VLOOKUP(A338,Database!A:K,MATCH($A$1,Database!$A$1:$K$1,),)</f>
        <v>31675</v>
      </c>
      <c r="C338" s="32">
        <f t="shared" si="10"/>
        <v>1.6527599486521181E-2</v>
      </c>
      <c r="D338" s="33">
        <f t="shared" si="9"/>
        <v>2.1873084492047619E-2</v>
      </c>
    </row>
    <row r="339" spans="1:4" x14ac:dyDescent="0.2">
      <c r="A339" s="17">
        <v>43709</v>
      </c>
      <c r="B339" s="15">
        <f>VLOOKUP(A339,Database!A:K,MATCH($A$1,Database!$A$1:$K$1,),)</f>
        <v>31213</v>
      </c>
      <c r="C339" s="12">
        <f t="shared" si="10"/>
        <v>-1.4585635359116023E-2</v>
      </c>
      <c r="D339" s="13">
        <f t="shared" ref="D339:D372" si="11">(B339-B327)/B327</f>
        <v>2.6018244892714892E-3</v>
      </c>
    </row>
    <row r="340" spans="1:4" x14ac:dyDescent="0.2">
      <c r="A340" s="11">
        <v>43739</v>
      </c>
      <c r="B340" s="31">
        <f>VLOOKUP(A340,Database!A:K,MATCH($A$1,Database!$A$1:$K$1,),)</f>
        <v>31212</v>
      </c>
      <c r="C340" s="32">
        <f t="shared" si="10"/>
        <v>-3.2037932912568484E-5</v>
      </c>
      <c r="D340" s="33">
        <f t="shared" si="11"/>
        <v>-1.3994629600379086E-2</v>
      </c>
    </row>
    <row r="341" spans="1:4" x14ac:dyDescent="0.2">
      <c r="A341" s="17">
        <v>43770</v>
      </c>
      <c r="B341" s="15">
        <f>VLOOKUP(A341,Database!A:K,MATCH($A$1,Database!$A$1:$K$1,),)</f>
        <v>31251</v>
      </c>
      <c r="C341" s="12">
        <f t="shared" si="10"/>
        <v>1.249519415609381E-3</v>
      </c>
      <c r="D341" s="13">
        <f t="shared" si="11"/>
        <v>7.9992258813663189E-3</v>
      </c>
    </row>
    <row r="342" spans="1:4" x14ac:dyDescent="0.2">
      <c r="A342" s="11">
        <v>43800</v>
      </c>
      <c r="B342" s="31">
        <f>VLOOKUP(A342,Database!A:K,MATCH($A$1,Database!$A$1:$K$1,),)</f>
        <v>31690</v>
      </c>
      <c r="C342" s="32">
        <f t="shared" si="10"/>
        <v>1.4047550478384692E-2</v>
      </c>
      <c r="D342" s="33">
        <f t="shared" si="11"/>
        <v>2.0020599974250031E-2</v>
      </c>
    </row>
    <row r="343" spans="1:4" x14ac:dyDescent="0.2">
      <c r="A343" s="17">
        <v>43831</v>
      </c>
      <c r="B343" s="15">
        <f>VLOOKUP(A343,Database!A:K,MATCH($A$1,Database!$A$1:$K$1,),)</f>
        <v>32196</v>
      </c>
      <c r="C343" s="12">
        <f t="shared" si="10"/>
        <v>1.5967182076364782E-2</v>
      </c>
      <c r="D343" s="13">
        <f t="shared" si="11"/>
        <v>1.3062138458667662E-3</v>
      </c>
    </row>
    <row r="344" spans="1:4" x14ac:dyDescent="0.2">
      <c r="A344" s="11">
        <v>43862</v>
      </c>
      <c r="B344" s="31">
        <f>VLOOKUP(A344,Database!A:K,MATCH($A$1,Database!$A$1:$K$1,),)</f>
        <v>32331</v>
      </c>
      <c r="C344" s="32">
        <f t="shared" si="10"/>
        <v>4.1930674617964969E-3</v>
      </c>
      <c r="D344" s="33">
        <f t="shared" si="11"/>
        <v>5.5671651537908963E-2</v>
      </c>
    </row>
    <row r="345" spans="1:4" x14ac:dyDescent="0.2">
      <c r="A345" s="17">
        <v>43891</v>
      </c>
      <c r="B345" s="15">
        <f>VLOOKUP(A345,Database!A:K,MATCH($A$1,Database!$A$1:$K$1,),)</f>
        <v>32213</v>
      </c>
      <c r="C345" s="12">
        <f t="shared" si="10"/>
        <v>-3.6497479199529862E-3</v>
      </c>
      <c r="D345" s="13">
        <f t="shared" si="11"/>
        <v>4.1447091914260777E-2</v>
      </c>
    </row>
    <row r="346" spans="1:4" x14ac:dyDescent="0.2">
      <c r="A346" s="11">
        <v>43922</v>
      </c>
      <c r="B346" s="31">
        <f>VLOOKUP(A346,Database!A:K,MATCH($A$1,Database!$A$1:$K$1,),)</f>
        <v>31885</v>
      </c>
      <c r="C346" s="32">
        <f t="shared" si="10"/>
        <v>-1.0182224567721106E-2</v>
      </c>
      <c r="D346" s="33">
        <f t="shared" si="11"/>
        <v>3.0842843748989688E-2</v>
      </c>
    </row>
    <row r="347" spans="1:4" x14ac:dyDescent="0.2">
      <c r="A347" s="17">
        <v>43952</v>
      </c>
      <c r="B347" s="15">
        <f>VLOOKUP(A347,Database!A:K,MATCH($A$1,Database!$A$1:$K$1,),)</f>
        <v>36135</v>
      </c>
      <c r="C347" s="12">
        <f t="shared" si="10"/>
        <v>0.13329151638701583</v>
      </c>
      <c r="D347" s="13">
        <f t="shared" si="11"/>
        <v>0.18390013760566148</v>
      </c>
    </row>
    <row r="348" spans="1:4" x14ac:dyDescent="0.2">
      <c r="A348" s="11">
        <v>43983</v>
      </c>
      <c r="B348" s="31">
        <f>VLOOKUP(A348,Database!A:K,MATCH($A$1,Database!$A$1:$K$1,),)</f>
        <v>36238</v>
      </c>
      <c r="C348" s="32">
        <f t="shared" si="10"/>
        <v>2.8504220285042203E-3</v>
      </c>
      <c r="D348" s="33">
        <f t="shared" si="11"/>
        <v>0.18817010393783404</v>
      </c>
    </row>
    <row r="349" spans="1:4" x14ac:dyDescent="0.2">
      <c r="A349" s="17">
        <v>44013</v>
      </c>
      <c r="B349" s="15">
        <f>VLOOKUP(A349,Database!A:K,MATCH($A$1,Database!$A$1:$K$1,),)</f>
        <v>36034</v>
      </c>
      <c r="C349" s="12">
        <f t="shared" si="10"/>
        <v>-5.6294497488823883E-3</v>
      </c>
      <c r="D349" s="13">
        <f t="shared" si="11"/>
        <v>0.15641848523748395</v>
      </c>
    </row>
    <row r="350" spans="1:4" x14ac:dyDescent="0.2">
      <c r="A350" s="11">
        <v>44044</v>
      </c>
      <c r="B350" s="31">
        <f>VLOOKUP(A350,Database!A:K,MATCH($A$1,Database!$A$1:$K$1,),)</f>
        <v>36741</v>
      </c>
      <c r="C350" s="32">
        <f t="shared" si="10"/>
        <v>1.962035855025809E-2</v>
      </c>
      <c r="D350" s="33">
        <f t="shared" si="11"/>
        <v>0.1599368587213891</v>
      </c>
    </row>
    <row r="351" spans="1:4" x14ac:dyDescent="0.2">
      <c r="A351" s="17">
        <v>44075</v>
      </c>
      <c r="B351" s="15">
        <f>VLOOKUP(A351,Database!A:K,MATCH($A$1,Database!$A$1:$K$1,),)</f>
        <v>36910</v>
      </c>
      <c r="C351" s="12">
        <f t="shared" si="10"/>
        <v>4.5997659290710653E-3</v>
      </c>
      <c r="D351" s="13">
        <f t="shared" si="11"/>
        <v>0.18252010380290265</v>
      </c>
    </row>
    <row r="352" spans="1:4" x14ac:dyDescent="0.2">
      <c r="A352" s="11">
        <v>44105</v>
      </c>
      <c r="B352" s="31">
        <f>VLOOKUP(A352,Database!A:K,MATCH($A$1,Database!$A$1:$K$1,),)</f>
        <v>36498</v>
      </c>
      <c r="C352" s="32">
        <f t="shared" si="10"/>
        <v>-1.1162286643186128E-2</v>
      </c>
      <c r="D352" s="33">
        <f t="shared" si="11"/>
        <v>0.16935793925413303</v>
      </c>
    </row>
    <row r="353" spans="1:4" x14ac:dyDescent="0.2">
      <c r="A353" s="17">
        <v>44136</v>
      </c>
      <c r="B353" s="15">
        <f>VLOOKUP(A353,Database!A:K,MATCH($A$1,Database!$A$1:$K$1,),)</f>
        <v>36557</v>
      </c>
      <c r="C353" s="12">
        <f t="shared" si="10"/>
        <v>1.6165269329826292E-3</v>
      </c>
      <c r="D353" s="13">
        <f t="shared" si="11"/>
        <v>0.16978656682986146</v>
      </c>
    </row>
    <row r="354" spans="1:4" x14ac:dyDescent="0.2">
      <c r="A354" s="11">
        <v>44166</v>
      </c>
      <c r="B354" s="31">
        <f>VLOOKUP(A354,Database!A:K,MATCH($A$1,Database!$A$1:$K$1,),)</f>
        <v>36528</v>
      </c>
      <c r="C354" s="32">
        <f t="shared" si="10"/>
        <v>-7.9328172443034162E-4</v>
      </c>
      <c r="D354" s="33">
        <f t="shared" si="11"/>
        <v>0.15266645629536132</v>
      </c>
    </row>
    <row r="355" spans="1:4" x14ac:dyDescent="0.2">
      <c r="A355" s="17">
        <v>44197</v>
      </c>
      <c r="B355" s="15">
        <f>VLOOKUP(A355,Database!A:K,MATCH($A$1,Database!$A$1:$K$1,),)</f>
        <v>38682</v>
      </c>
      <c r="C355" s="12">
        <f t="shared" si="10"/>
        <v>5.8968462549277269E-2</v>
      </c>
      <c r="D355" s="13">
        <f t="shared" si="11"/>
        <v>0.20145359672008945</v>
      </c>
    </row>
    <row r="356" spans="1:4" x14ac:dyDescent="0.2">
      <c r="A356" s="11">
        <v>44228</v>
      </c>
      <c r="B356" s="31">
        <f>VLOOKUP(A356,Database!A:K,MATCH($A$1,Database!$A$1:$K$1,),)</f>
        <v>36997</v>
      </c>
      <c r="C356" s="32">
        <f t="shared" si="10"/>
        <v>-4.3560312289953981E-2</v>
      </c>
      <c r="D356" s="33">
        <f t="shared" si="11"/>
        <v>0.14431969317373419</v>
      </c>
    </row>
    <row r="357" spans="1:4" x14ac:dyDescent="0.2">
      <c r="A357" s="17">
        <v>44256</v>
      </c>
      <c r="B357" s="15">
        <f>VLOOKUP(A357,Database!A:K,MATCH($A$1,Database!$A$1:$K$1,),)</f>
        <v>41753</v>
      </c>
      <c r="C357" s="12">
        <f t="shared" si="10"/>
        <v>0.12855096359164256</v>
      </c>
      <c r="D357" s="13">
        <f t="shared" si="11"/>
        <v>0.29615372675627855</v>
      </c>
    </row>
    <row r="358" spans="1:4" x14ac:dyDescent="0.2">
      <c r="A358" s="11">
        <v>44287</v>
      </c>
      <c r="B358" s="31">
        <f>VLOOKUP(A358,Database!A:K,MATCH($A$1,Database!$A$1:$K$1,),)</f>
        <v>41661</v>
      </c>
      <c r="C358" s="32">
        <f t="shared" si="10"/>
        <v>-2.2034344837496707E-3</v>
      </c>
      <c r="D358" s="33">
        <f t="shared" si="11"/>
        <v>0.30660185039987453</v>
      </c>
    </row>
    <row r="359" spans="1:4" x14ac:dyDescent="0.2">
      <c r="A359" s="17">
        <v>44317</v>
      </c>
      <c r="B359" s="15">
        <f>VLOOKUP(A359,Database!A:K,MATCH($A$1,Database!$A$1:$K$1,),)</f>
        <v>39836</v>
      </c>
      <c r="C359" s="12">
        <f t="shared" si="10"/>
        <v>-4.3805957610234994E-2</v>
      </c>
      <c r="D359" s="13">
        <f t="shared" si="11"/>
        <v>0.10242147502421475</v>
      </c>
    </row>
    <row r="360" spans="1:4" x14ac:dyDescent="0.2">
      <c r="A360" s="11">
        <v>44348</v>
      </c>
      <c r="B360" s="31">
        <f>VLOOKUP(A360,Database!A:K,MATCH($A$1,Database!$A$1:$K$1,),)</f>
        <v>39249</v>
      </c>
      <c r="C360" s="32">
        <f t="shared" si="10"/>
        <v>-1.4735415202329551E-2</v>
      </c>
      <c r="D360" s="33">
        <f t="shared" si="11"/>
        <v>8.3089574479827802E-2</v>
      </c>
    </row>
    <row r="361" spans="1:4" x14ac:dyDescent="0.2">
      <c r="A361" s="17">
        <v>44378</v>
      </c>
      <c r="B361" s="15">
        <f>VLOOKUP(A361,Database!A:K,MATCH($A$1,Database!$A$1:$K$1,),)</f>
        <v>38759</v>
      </c>
      <c r="C361" s="12">
        <f t="shared" si="10"/>
        <v>-1.2484394506866416E-2</v>
      </c>
      <c r="D361" s="13">
        <f t="shared" si="11"/>
        <v>7.5623022700782597E-2</v>
      </c>
    </row>
    <row r="362" spans="1:4" x14ac:dyDescent="0.2">
      <c r="A362" s="11">
        <v>44409</v>
      </c>
      <c r="B362" s="31">
        <f>VLOOKUP(A362,Database!A:K,MATCH($A$1,Database!$A$1:$K$1,),)</f>
        <v>39079</v>
      </c>
      <c r="C362" s="32">
        <f t="shared" si="10"/>
        <v>8.2561469594158773E-3</v>
      </c>
      <c r="D362" s="33">
        <f t="shared" si="11"/>
        <v>6.3634631610462428E-2</v>
      </c>
    </row>
    <row r="363" spans="1:4" x14ac:dyDescent="0.2">
      <c r="A363" s="11">
        <v>44440</v>
      </c>
      <c r="B363" s="31">
        <f>VLOOKUP(A363,Database!A:K,MATCH($A$1,Database!$A$1:$K$1,),)</f>
        <v>39167</v>
      </c>
      <c r="C363" s="32">
        <f t="shared" si="10"/>
        <v>2.2518488190588297E-3</v>
      </c>
      <c r="D363" s="33">
        <f t="shared" si="11"/>
        <v>6.1148740178813332E-2</v>
      </c>
    </row>
    <row r="364" spans="1:4" x14ac:dyDescent="0.2">
      <c r="A364" s="17">
        <v>44470</v>
      </c>
      <c r="B364" s="15">
        <f>VLOOKUP(A364,Database!A:K,MATCH($A$1,Database!$A$1:$K$1,),)</f>
        <v>40093</v>
      </c>
      <c r="C364" s="12">
        <f t="shared" si="10"/>
        <v>2.3642351979983149E-2</v>
      </c>
      <c r="D364" s="13">
        <f t="shared" si="11"/>
        <v>9.8498547865636471E-2</v>
      </c>
    </row>
    <row r="365" spans="1:4" x14ac:dyDescent="0.2">
      <c r="A365" s="11">
        <v>44501</v>
      </c>
      <c r="B365" s="31">
        <f>VLOOKUP(A365,Database!A:K,MATCH($A$1,Database!$A$1:$K$1,),)</f>
        <v>40880</v>
      </c>
      <c r="C365" s="32">
        <f t="shared" si="10"/>
        <v>1.9629361733968523E-2</v>
      </c>
      <c r="D365" s="33">
        <f t="shared" si="11"/>
        <v>0.11825368602456438</v>
      </c>
    </row>
    <row r="366" spans="1:4" x14ac:dyDescent="0.2">
      <c r="A366" s="11">
        <v>44531</v>
      </c>
      <c r="B366" s="31">
        <f>VLOOKUP(A366,Database!A:K,MATCH($A$1,Database!$A$1:$K$1,),)</f>
        <v>41207</v>
      </c>
      <c r="C366" s="32">
        <f t="shared" si="10"/>
        <v>7.9990215264187873E-3</v>
      </c>
      <c r="D366" s="33">
        <f t="shared" si="11"/>
        <v>0.12809351730179588</v>
      </c>
    </row>
    <row r="367" spans="1:4" x14ac:dyDescent="0.2">
      <c r="A367" s="11">
        <v>44562</v>
      </c>
      <c r="B367" s="31">
        <f>VLOOKUP(A367,Database!A:K,MATCH($A$1,Database!$A$1:$K$1,),)</f>
        <v>42170</v>
      </c>
      <c r="C367" s="32">
        <f t="shared" si="10"/>
        <v>2.3369815807993789E-2</v>
      </c>
      <c r="D367" s="33">
        <f t="shared" si="11"/>
        <v>9.0171139031073891E-2</v>
      </c>
    </row>
    <row r="368" spans="1:4" x14ac:dyDescent="0.2">
      <c r="A368" s="11">
        <v>44593</v>
      </c>
      <c r="B368" s="31">
        <f>VLOOKUP(A368,Database!A:K,MATCH($A$1,Database!$A$1:$K$1,),)</f>
        <v>42307</v>
      </c>
      <c r="C368" s="32">
        <f t="shared" si="10"/>
        <v>3.2487550391273419E-3</v>
      </c>
      <c r="D368" s="33">
        <f t="shared" si="11"/>
        <v>0.14352515068789362</v>
      </c>
    </row>
    <row r="369" spans="1:4" x14ac:dyDescent="0.2">
      <c r="A369" s="11">
        <v>44621</v>
      </c>
      <c r="B369" s="31">
        <f>VLOOKUP(A369,Database!A:K,MATCH($A$1,Database!$A$1:$K$1,),)</f>
        <v>42572</v>
      </c>
      <c r="C369" s="32">
        <f t="shared" si="10"/>
        <v>6.2637388611813645E-3</v>
      </c>
      <c r="D369" s="33">
        <f t="shared" si="11"/>
        <v>1.9615356980336743E-2</v>
      </c>
    </row>
    <row r="370" spans="1:4" x14ac:dyDescent="0.2">
      <c r="A370" s="17">
        <v>44652</v>
      </c>
      <c r="B370" s="15">
        <f>VLOOKUP(A370,Database!A:K,MATCH($A$1,Database!$A$1:$K$1,),)</f>
        <v>42168</v>
      </c>
      <c r="C370" s="12">
        <f t="shared" si="10"/>
        <v>-9.489805505966363E-3</v>
      </c>
      <c r="D370" s="13">
        <f t="shared" si="11"/>
        <v>1.216965507308994E-2</v>
      </c>
    </row>
    <row r="371" spans="1:4" x14ac:dyDescent="0.2">
      <c r="A371" s="11">
        <v>44682</v>
      </c>
      <c r="B371" s="31">
        <f>VLOOKUP(A371,Database!A:K,MATCH($A$1,Database!$A$1:$K$1,),)</f>
        <v>42257</v>
      </c>
      <c r="C371" s="32">
        <f t="shared" si="10"/>
        <v>2.1106051982546004E-3</v>
      </c>
      <c r="D371" s="33">
        <f t="shared" si="11"/>
        <v>6.0774174113866854E-2</v>
      </c>
    </row>
    <row r="372" spans="1:4" x14ac:dyDescent="0.2">
      <c r="A372" s="11">
        <v>44713</v>
      </c>
      <c r="B372" s="31">
        <f>VLOOKUP(A372,Database!A:K,MATCH($A$1,Database!$A$1:$K$1,),)</f>
        <v>42042</v>
      </c>
      <c r="C372" s="32">
        <f t="shared" si="10"/>
        <v>-5.0879144283787299E-3</v>
      </c>
      <c r="D372" s="33">
        <f t="shared" si="11"/>
        <v>7.116104868913857E-2</v>
      </c>
    </row>
    <row r="373" spans="1:4" x14ac:dyDescent="0.2">
      <c r="A373" s="11">
        <v>44743</v>
      </c>
      <c r="B373" s="31">
        <f>VLOOKUP(A373,Database!A:K,MATCH($A$1,Database!$A$1:$K$1,),)</f>
        <v>42655</v>
      </c>
      <c r="C373" s="32">
        <f t="shared" si="10"/>
        <v>1.4580657437800295E-2</v>
      </c>
      <c r="D373" s="33">
        <f t="shared" ref="D373" si="12">(B373-B361)/B361</f>
        <v>0.10051858923088831</v>
      </c>
    </row>
  </sheetData>
  <conditionalFormatting sqref="D19:D373">
    <cfRule type="colorScale" priority="48">
      <colorScale>
        <cfvo type="min"/>
        <cfvo type="percentile" val="50"/>
        <cfvo type="max"/>
        <color rgb="FFF8696B"/>
        <color rgb="FFFFEB84"/>
        <color rgb="FF63BE7B"/>
      </colorScale>
    </cfRule>
  </conditionalFormatting>
  <conditionalFormatting sqref="C8:C373">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3"/>
  <sheetViews>
    <sheetView zoomScale="140" zoomScaleNormal="140" workbookViewId="0">
      <pane ySplit="6" topLeftCell="A355" activePane="bottomLeft" state="frozen"/>
      <selection pane="bottomLeft" activeCell="O366" sqref="O366"/>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15226</v>
      </c>
      <c r="C223" s="12">
        <f t="shared" si="6"/>
        <v>8.8788762258150012E-3</v>
      </c>
      <c r="D223" s="13">
        <f t="shared" si="7"/>
        <v>-6.2842370899242939E-2</v>
      </c>
    </row>
    <row r="224" spans="1:4" x14ac:dyDescent="0.2">
      <c r="A224" s="11">
        <v>40210</v>
      </c>
      <c r="B224" s="15">
        <f>VLOOKUP(A224,Database!A:K,MATCH($A$1,Database!$A$1:$K$1,),)+VLOOKUP(A224,Database!A:K,MATCH($B$1,Database!$A$1:$K$1,),)</f>
        <v>15613</v>
      </c>
      <c r="C224" s="12">
        <f t="shared" si="6"/>
        <v>2.5417049783265467E-2</v>
      </c>
      <c r="D224" s="13">
        <f t="shared" si="7"/>
        <v>-3.1992063984127968E-2</v>
      </c>
    </row>
    <row r="225" spans="1:4" x14ac:dyDescent="0.2">
      <c r="A225" s="10">
        <v>40238</v>
      </c>
      <c r="B225" s="15">
        <f>VLOOKUP(A225,Database!A:K,MATCH($A$1,Database!$A$1:$K$1,),)+VLOOKUP(A225,Database!A:K,MATCH($B$1,Database!$A$1:$K$1,),)</f>
        <v>15383</v>
      </c>
      <c r="C225" s="12">
        <f t="shared" si="6"/>
        <v>-1.4731313648882341E-2</v>
      </c>
      <c r="D225" s="13">
        <f t="shared" si="7"/>
        <v>1.6050198150594452E-2</v>
      </c>
    </row>
    <row r="226" spans="1:4" x14ac:dyDescent="0.2">
      <c r="A226" s="11">
        <v>40269</v>
      </c>
      <c r="B226" s="15">
        <f>VLOOKUP(A226,Database!A:K,MATCH($A$1,Database!$A$1:$K$1,),)+VLOOKUP(A226,Database!A:K,MATCH($B$1,Database!$A$1:$K$1,),)</f>
        <v>15401</v>
      </c>
      <c r="C226" s="12">
        <f t="shared" si="6"/>
        <v>1.1701228629006045E-3</v>
      </c>
      <c r="D226" s="13">
        <f t="shared" si="7"/>
        <v>1.8854194231278116E-2</v>
      </c>
    </row>
    <row r="227" spans="1:4" x14ac:dyDescent="0.2">
      <c r="A227" s="10">
        <v>40299</v>
      </c>
      <c r="B227" s="15">
        <f>VLOOKUP(A227,Database!A:K,MATCH($A$1,Database!$A$1:$K$1,),)+VLOOKUP(A227,Database!A:K,MATCH($B$1,Database!$A$1:$K$1,),)</f>
        <v>15483</v>
      </c>
      <c r="C227" s="12">
        <f t="shared" si="6"/>
        <v>5.3243295889877284E-3</v>
      </c>
      <c r="D227" s="13">
        <f t="shared" si="7"/>
        <v>2.4482233838417258E-2</v>
      </c>
    </row>
    <row r="228" spans="1:4" x14ac:dyDescent="0.2">
      <c r="A228" s="11">
        <v>40330</v>
      </c>
      <c r="B228" s="15">
        <f>VLOOKUP(A228,Database!A:K,MATCH($A$1,Database!$A$1:$K$1,),)+VLOOKUP(A228,Database!A:K,MATCH($B$1,Database!$A$1:$K$1,),)</f>
        <v>15580</v>
      </c>
      <c r="C228" s="12">
        <f t="shared" si="6"/>
        <v>6.2649357359684816E-3</v>
      </c>
      <c r="D228" s="13">
        <f t="shared" si="7"/>
        <v>2.967417883814685E-2</v>
      </c>
    </row>
    <row r="229" spans="1:4" x14ac:dyDescent="0.2">
      <c r="A229" s="10">
        <v>40360</v>
      </c>
      <c r="B229" s="15">
        <f>VLOOKUP(A229,Database!A:K,MATCH($A$1,Database!$A$1:$K$1,),)+VLOOKUP(A229,Database!A:K,MATCH($B$1,Database!$A$1:$K$1,),)</f>
        <v>15454</v>
      </c>
      <c r="C229" s="12">
        <f t="shared" si="6"/>
        <v>-8.0872913992297811E-3</v>
      </c>
      <c r="D229" s="13">
        <f t="shared" si="7"/>
        <v>2.9992002132764595E-2</v>
      </c>
    </row>
    <row r="230" spans="1:4" x14ac:dyDescent="0.2">
      <c r="A230" s="11">
        <v>40391</v>
      </c>
      <c r="B230" s="15">
        <f>VLOOKUP(A230,Database!A:K,MATCH($A$1,Database!$A$1:$K$1,),)+VLOOKUP(A230,Database!A:K,MATCH($B$1,Database!$A$1:$K$1,),)</f>
        <v>15452</v>
      </c>
      <c r="C230" s="12">
        <f t="shared" si="6"/>
        <v>-1.2941633234114146E-4</v>
      </c>
      <c r="D230" s="13">
        <f t="shared" si="7"/>
        <v>3.0751784403975718E-2</v>
      </c>
    </row>
    <row r="231" spans="1:4" x14ac:dyDescent="0.2">
      <c r="A231" s="10">
        <v>40422</v>
      </c>
      <c r="B231" s="15">
        <f>VLOOKUP(A231,Database!A:K,MATCH($A$1,Database!$A$1:$K$1,),)+VLOOKUP(A231,Database!A:K,MATCH($B$1,Database!$A$1:$K$1,),)</f>
        <v>15491</v>
      </c>
      <c r="C231" s="12">
        <f t="shared" si="6"/>
        <v>2.5239451203727674E-3</v>
      </c>
      <c r="D231" s="13">
        <f t="shared" si="7"/>
        <v>3.646460591462599E-2</v>
      </c>
    </row>
    <row r="232" spans="1:4" x14ac:dyDescent="0.2">
      <c r="A232" s="11">
        <v>40452</v>
      </c>
      <c r="B232" s="15">
        <f>VLOOKUP(A232,Database!A:K,MATCH($A$1,Database!$A$1:$K$1,),)+VLOOKUP(A232,Database!A:K,MATCH($B$1,Database!$A$1:$K$1,),)</f>
        <v>15297</v>
      </c>
      <c r="C232" s="12">
        <f t="shared" si="6"/>
        <v>-1.2523400684268285E-2</v>
      </c>
      <c r="D232" s="13">
        <f t="shared" si="7"/>
        <v>3.114256825075834E-2</v>
      </c>
    </row>
    <row r="233" spans="1:4" x14ac:dyDescent="0.2">
      <c r="A233" s="10">
        <v>40483</v>
      </c>
      <c r="B233" s="15">
        <f>VLOOKUP(A233,Database!A:K,MATCH($A$1,Database!$A$1:$K$1,),)+VLOOKUP(A233,Database!A:K,MATCH($B$1,Database!$A$1:$K$1,),)</f>
        <v>15211</v>
      </c>
      <c r="C233" s="12">
        <f t="shared" si="6"/>
        <v>-5.6220173890305291E-3</v>
      </c>
      <c r="D233" s="13">
        <f t="shared" si="7"/>
        <v>7.8952562668596616E-4</v>
      </c>
    </row>
    <row r="234" spans="1:4" x14ac:dyDescent="0.2">
      <c r="A234" s="11">
        <v>40513</v>
      </c>
      <c r="B234" s="15">
        <f>VLOOKUP(A234,Database!A:K,MATCH($A$1,Database!$A$1:$K$1,),)+VLOOKUP(A234,Database!A:K,MATCH($B$1,Database!$A$1:$K$1,),)</f>
        <v>15336</v>
      </c>
      <c r="C234" s="12">
        <f t="shared" si="6"/>
        <v>8.21773716389455E-3</v>
      </c>
      <c r="D234" s="13">
        <f t="shared" si="7"/>
        <v>1.6167505963424332E-2</v>
      </c>
    </row>
    <row r="235" spans="1:4" x14ac:dyDescent="0.2">
      <c r="A235" s="10">
        <v>40544</v>
      </c>
      <c r="B235" s="15">
        <f>VLOOKUP(A235,Database!A:K,MATCH($A$1,Database!$A$1:$K$1,),)+VLOOKUP(A235,Database!A:K,MATCH($B$1,Database!$A$1:$K$1,),)</f>
        <v>15193</v>
      </c>
      <c r="C235" s="12">
        <f t="shared" si="6"/>
        <v>-9.3244653103808032E-3</v>
      </c>
      <c r="D235" s="13">
        <f t="shared" si="7"/>
        <v>-2.1673453303559702E-3</v>
      </c>
    </row>
    <row r="236" spans="1:4" x14ac:dyDescent="0.2">
      <c r="A236" s="11">
        <v>40575</v>
      </c>
      <c r="B236" s="15">
        <f>VLOOKUP(A236,Database!A:K,MATCH($A$1,Database!$A$1:$K$1,),)+VLOOKUP(A236,Database!A:K,MATCH($B$1,Database!$A$1:$K$1,),)</f>
        <v>15492</v>
      </c>
      <c r="C236" s="12">
        <f t="shared" si="6"/>
        <v>1.9680115842822352E-2</v>
      </c>
      <c r="D236" s="13">
        <f t="shared" si="7"/>
        <v>-7.7499519631076671E-3</v>
      </c>
    </row>
    <row r="237" spans="1:4" x14ac:dyDescent="0.2">
      <c r="A237" s="10">
        <v>40603</v>
      </c>
      <c r="B237" s="15">
        <f>VLOOKUP(A237,Database!A:K,MATCH($A$1,Database!$A$1:$K$1,),)+VLOOKUP(A237,Database!A:K,MATCH($B$1,Database!$A$1:$K$1,),)</f>
        <v>15888</v>
      </c>
      <c r="C237" s="12">
        <f t="shared" si="6"/>
        <v>2.5561580170410533E-2</v>
      </c>
      <c r="D237" s="13">
        <f t="shared" si="7"/>
        <v>3.2828446986933629E-2</v>
      </c>
    </row>
    <row r="238" spans="1:4" x14ac:dyDescent="0.2">
      <c r="A238" s="11">
        <v>40634</v>
      </c>
      <c r="B238" s="15">
        <f>VLOOKUP(A238,Database!A:K,MATCH($A$1,Database!$A$1:$K$1,),)+VLOOKUP(A238,Database!A:K,MATCH($B$1,Database!$A$1:$K$1,),)</f>
        <v>15850</v>
      </c>
      <c r="C238" s="12">
        <f t="shared" si="6"/>
        <v>-2.3917421953675729E-3</v>
      </c>
      <c r="D238" s="13">
        <f t="shared" si="7"/>
        <v>2.9153951042140122E-2</v>
      </c>
    </row>
    <row r="239" spans="1:4" x14ac:dyDescent="0.2">
      <c r="A239" s="10">
        <v>40664</v>
      </c>
      <c r="B239" s="15">
        <f>VLOOKUP(A239,Database!A:K,MATCH($A$1,Database!$A$1:$K$1,),)+VLOOKUP(A239,Database!A:K,MATCH($B$1,Database!$A$1:$K$1,),)</f>
        <v>15661</v>
      </c>
      <c r="C239" s="12">
        <f t="shared" si="6"/>
        <v>-1.1924290220820189E-2</v>
      </c>
      <c r="D239" s="13">
        <f t="shared" si="7"/>
        <v>1.1496480010333914E-2</v>
      </c>
    </row>
    <row r="240" spans="1:4" x14ac:dyDescent="0.2">
      <c r="A240" s="11">
        <v>40695</v>
      </c>
      <c r="B240" s="15">
        <f>VLOOKUP(A240,Database!A:K,MATCH($A$1,Database!$A$1:$K$1,),)+VLOOKUP(A240,Database!A:K,MATCH($B$1,Database!$A$1:$K$1,),)</f>
        <v>15666</v>
      </c>
      <c r="C240" s="12">
        <f t="shared" si="6"/>
        <v>3.1926441478832769E-4</v>
      </c>
      <c r="D240" s="13">
        <f t="shared" si="7"/>
        <v>5.5198973042362006E-3</v>
      </c>
    </row>
    <row r="241" spans="1:4" x14ac:dyDescent="0.2">
      <c r="A241" s="10">
        <v>40725</v>
      </c>
      <c r="B241" s="15">
        <f>VLOOKUP(A241,Database!A:K,MATCH($A$1,Database!$A$1:$K$1,),)+VLOOKUP(A241,Database!A:K,MATCH($B$1,Database!$A$1:$K$1,),)</f>
        <v>15811</v>
      </c>
      <c r="C241" s="12">
        <f t="shared" si="6"/>
        <v>9.2557130090642151E-3</v>
      </c>
      <c r="D241" s="13">
        <f t="shared" si="7"/>
        <v>2.310081532289375E-2</v>
      </c>
    </row>
    <row r="242" spans="1:4" x14ac:dyDescent="0.2">
      <c r="A242" s="11">
        <v>40756</v>
      </c>
      <c r="B242" s="15">
        <f>VLOOKUP(A242,Database!A:K,MATCH($A$1,Database!$A$1:$K$1,),)+VLOOKUP(A242,Database!A:K,MATCH($B$1,Database!$A$1:$K$1,),)</f>
        <v>15948</v>
      </c>
      <c r="C242" s="12">
        <f t="shared" si="6"/>
        <v>8.6648535829485802E-3</v>
      </c>
      <c r="D242" s="13">
        <f t="shared" si="7"/>
        <v>3.2099404607817759E-2</v>
      </c>
    </row>
    <row r="243" spans="1:4" x14ac:dyDescent="0.2">
      <c r="A243" s="10">
        <v>40787</v>
      </c>
      <c r="B243" s="15">
        <f>VLOOKUP(A243,Database!A:K,MATCH($A$1,Database!$A$1:$K$1,),)+VLOOKUP(A243,Database!A:K,MATCH($B$1,Database!$A$1:$K$1,),)</f>
        <v>15868</v>
      </c>
      <c r="C243" s="12">
        <f t="shared" si="6"/>
        <v>-5.0163029847002756E-3</v>
      </c>
      <c r="D243" s="13">
        <f t="shared" si="7"/>
        <v>2.4336711639016202E-2</v>
      </c>
    </row>
    <row r="244" spans="1:4" x14ac:dyDescent="0.2">
      <c r="A244" s="11">
        <v>40817</v>
      </c>
      <c r="B244" s="15">
        <f>VLOOKUP(A244,Database!A:K,MATCH($A$1,Database!$A$1:$K$1,),)+VLOOKUP(A244,Database!A:K,MATCH($B$1,Database!$A$1:$K$1,),)</f>
        <v>16098</v>
      </c>
      <c r="C244" s="12">
        <f t="shared" si="6"/>
        <v>1.4494580287370809E-2</v>
      </c>
      <c r="D244" s="13">
        <f t="shared" si="7"/>
        <v>5.2363208472249463E-2</v>
      </c>
    </row>
    <row r="245" spans="1:4" x14ac:dyDescent="0.2">
      <c r="A245" s="10">
        <v>40848</v>
      </c>
      <c r="B245" s="15">
        <f>VLOOKUP(A245,Database!A:K,MATCH($A$1,Database!$A$1:$K$1,),)+VLOOKUP(A245,Database!A:K,MATCH($B$1,Database!$A$1:$K$1,),)</f>
        <v>16030</v>
      </c>
      <c r="C245" s="12">
        <f t="shared" si="6"/>
        <v>-4.2241272207727667E-3</v>
      </c>
      <c r="D245" s="13">
        <f t="shared" si="7"/>
        <v>5.3842613897837094E-2</v>
      </c>
    </row>
    <row r="246" spans="1:4" x14ac:dyDescent="0.2">
      <c r="A246" s="11">
        <v>40878</v>
      </c>
      <c r="B246" s="15">
        <f>VLOOKUP(A246,Database!A:K,MATCH($A$1,Database!$A$1:$K$1,),)+VLOOKUP(A246,Database!A:K,MATCH($B$1,Database!$A$1:$K$1,),)</f>
        <v>15993</v>
      </c>
      <c r="C246" s="12">
        <f t="shared" si="6"/>
        <v>-2.3081721771678102E-3</v>
      </c>
      <c r="D246" s="13">
        <f t="shared" si="7"/>
        <v>4.2840375586854461E-2</v>
      </c>
    </row>
    <row r="247" spans="1:4" x14ac:dyDescent="0.2">
      <c r="A247" s="10">
        <v>40909</v>
      </c>
      <c r="B247" s="15">
        <f>VLOOKUP(A247,Database!A:K,MATCH($A$1,Database!$A$1:$K$1,),)+VLOOKUP(A247,Database!A:K,MATCH($B$1,Database!$A$1:$K$1,),)</f>
        <v>16159</v>
      </c>
      <c r="C247" s="12">
        <f t="shared" si="6"/>
        <v>1.0379541049209028E-2</v>
      </c>
      <c r="D247" s="13">
        <f t="shared" si="7"/>
        <v>6.3581912722964526E-2</v>
      </c>
    </row>
    <row r="248" spans="1:4" x14ac:dyDescent="0.2">
      <c r="A248" s="11">
        <v>40940</v>
      </c>
      <c r="B248" s="15">
        <f>VLOOKUP(A248,Database!A:K,MATCH($A$1,Database!$A$1:$K$1,),)+VLOOKUP(A248,Database!A:K,MATCH($B$1,Database!$A$1:$K$1,),)</f>
        <v>16165</v>
      </c>
      <c r="C248" s="12">
        <f t="shared" si="6"/>
        <v>3.7131010582338014E-4</v>
      </c>
      <c r="D248" s="13">
        <f t="shared" si="7"/>
        <v>4.3441776400722956E-2</v>
      </c>
    </row>
    <row r="249" spans="1:4" x14ac:dyDescent="0.2">
      <c r="A249" s="10">
        <v>40969</v>
      </c>
      <c r="B249" s="15">
        <f>VLOOKUP(A249,Database!A:K,MATCH($A$1,Database!$A$1:$K$1,),)+VLOOKUP(A249,Database!A:K,MATCH($B$1,Database!$A$1:$K$1,),)</f>
        <v>16301</v>
      </c>
      <c r="C249" s="12">
        <f t="shared" si="6"/>
        <v>8.4132384781936288E-3</v>
      </c>
      <c r="D249" s="13">
        <f t="shared" si="7"/>
        <v>2.5994461228600201E-2</v>
      </c>
    </row>
    <row r="250" spans="1:4" x14ac:dyDescent="0.2">
      <c r="A250" s="11">
        <v>41000</v>
      </c>
      <c r="B250" s="15">
        <f>VLOOKUP(A250,Database!A:K,MATCH($A$1,Database!$A$1:$K$1,),)+VLOOKUP(A250,Database!A:K,MATCH($B$1,Database!$A$1:$K$1,),)</f>
        <v>16061</v>
      </c>
      <c r="C250" s="12">
        <f t="shared" si="6"/>
        <v>-1.4723023127415497E-2</v>
      </c>
      <c r="D250" s="13">
        <f t="shared" si="7"/>
        <v>1.3312302839116719E-2</v>
      </c>
    </row>
    <row r="251" spans="1:4" x14ac:dyDescent="0.2">
      <c r="A251" s="10">
        <v>41030</v>
      </c>
      <c r="B251" s="15">
        <f>VLOOKUP(A251,Database!A:K,MATCH($A$1,Database!$A$1:$K$1,),)+VLOOKUP(A251,Database!A:K,MATCH($B$1,Database!$A$1:$K$1,),)</f>
        <v>16383</v>
      </c>
      <c r="C251" s="12">
        <f t="shared" si="6"/>
        <v>2.0048564846522631E-2</v>
      </c>
      <c r="D251" s="13">
        <f t="shared" si="7"/>
        <v>4.6101781495434521E-2</v>
      </c>
    </row>
    <row r="252" spans="1:4" x14ac:dyDescent="0.2">
      <c r="A252" s="11">
        <v>41061</v>
      </c>
      <c r="B252" s="15">
        <f>VLOOKUP(A252,Database!A:K,MATCH($A$1,Database!$A$1:$K$1,),)+VLOOKUP(A252,Database!A:K,MATCH($B$1,Database!$A$1:$K$1,),)</f>
        <v>16210</v>
      </c>
      <c r="C252" s="12">
        <f t="shared" si="6"/>
        <v>-1.0559726545809681E-2</v>
      </c>
      <c r="D252" s="13">
        <f t="shared" si="7"/>
        <v>3.4724881909868506E-2</v>
      </c>
    </row>
    <row r="253" spans="1:4" x14ac:dyDescent="0.2">
      <c r="A253" s="10">
        <v>41091</v>
      </c>
      <c r="B253" s="15">
        <f>VLOOKUP(A253,Database!A:K,MATCH($A$1,Database!$A$1:$K$1,),)+VLOOKUP(A253,Database!A:K,MATCH($B$1,Database!$A$1:$K$1,),)</f>
        <v>16400</v>
      </c>
      <c r="C253" s="12">
        <f t="shared" si="6"/>
        <v>1.1721159777914868E-2</v>
      </c>
      <c r="D253" s="13">
        <f t="shared" si="7"/>
        <v>3.7252545696034409E-2</v>
      </c>
    </row>
    <row r="254" spans="1:4" x14ac:dyDescent="0.2">
      <c r="A254" s="11">
        <v>41122</v>
      </c>
      <c r="B254" s="15">
        <f>VLOOKUP(A254,Database!A:K,MATCH($A$1,Database!$A$1:$K$1,),)+VLOOKUP(A254,Database!A:K,MATCH($B$1,Database!$A$1:$K$1,),)</f>
        <v>16231</v>
      </c>
      <c r="C254" s="12">
        <f t="shared" si="6"/>
        <v>-1.0304878048780488E-2</v>
      </c>
      <c r="D254" s="13">
        <f t="shared" si="7"/>
        <v>1.7745171808377227E-2</v>
      </c>
    </row>
    <row r="255" spans="1:4" x14ac:dyDescent="0.2">
      <c r="A255" s="10">
        <v>41153</v>
      </c>
      <c r="B255" s="15">
        <f>VLOOKUP(A255,Database!A:K,MATCH($A$1,Database!$A$1:$K$1,),)+VLOOKUP(A255,Database!A:K,MATCH($B$1,Database!$A$1:$K$1,),)</f>
        <v>16242</v>
      </c>
      <c r="C255" s="12">
        <f t="shared" si="6"/>
        <v>6.7771548271825519E-4</v>
      </c>
      <c r="D255" s="13">
        <f t="shared" si="7"/>
        <v>2.3569447945550794E-2</v>
      </c>
    </row>
    <row r="256" spans="1:4" x14ac:dyDescent="0.2">
      <c r="A256" s="11">
        <v>41183</v>
      </c>
      <c r="B256" s="15">
        <f>VLOOKUP(A256,Database!A:K,MATCH($A$1,Database!$A$1:$K$1,),)+VLOOKUP(A256,Database!A:K,MATCH($B$1,Database!$A$1:$K$1,),)</f>
        <v>15757</v>
      </c>
      <c r="C256" s="12">
        <f t="shared" si="6"/>
        <v>-2.9860854574559784E-2</v>
      </c>
      <c r="D256" s="13">
        <f t="shared" si="7"/>
        <v>-2.1182755621816374E-2</v>
      </c>
    </row>
    <row r="257" spans="1:4" x14ac:dyDescent="0.2">
      <c r="A257" s="10">
        <v>41214</v>
      </c>
      <c r="B257" s="15">
        <f>VLOOKUP(A257,Database!A:K,MATCH($A$1,Database!$A$1:$K$1,),)+VLOOKUP(A257,Database!A:K,MATCH($B$1,Database!$A$1:$K$1,),)</f>
        <v>16266</v>
      </c>
      <c r="C257" s="12">
        <f t="shared" si="6"/>
        <v>3.2303103382623599E-2</v>
      </c>
      <c r="D257" s="13">
        <f t="shared" si="7"/>
        <v>1.4722395508421708E-2</v>
      </c>
    </row>
    <row r="258" spans="1:4" x14ac:dyDescent="0.2">
      <c r="A258" s="11">
        <v>41244</v>
      </c>
      <c r="B258" s="15">
        <f>VLOOKUP(A258,Database!A:K,MATCH($A$1,Database!$A$1:$K$1,),)+VLOOKUP(A258,Database!A:K,MATCH($B$1,Database!$A$1:$K$1,),)</f>
        <v>16753</v>
      </c>
      <c r="C258" s="12">
        <f t="shared" si="6"/>
        <v>2.993975162916513E-2</v>
      </c>
      <c r="D258" s="13">
        <f t="shared" si="7"/>
        <v>4.7520790345776276E-2</v>
      </c>
    </row>
    <row r="259" spans="1:4" x14ac:dyDescent="0.2">
      <c r="A259" s="10">
        <v>41275</v>
      </c>
      <c r="B259" s="15">
        <f>VLOOKUP(A259,Database!A:K,MATCH($A$1,Database!$A$1:$K$1,),)+VLOOKUP(A259,Database!A:K,MATCH($B$1,Database!$A$1:$K$1,),)</f>
        <v>16733</v>
      </c>
      <c r="C259" s="12">
        <f t="shared" si="6"/>
        <v>-1.1938160329493224E-3</v>
      </c>
      <c r="D259" s="13">
        <f t="shared" si="7"/>
        <v>3.5522000123770034E-2</v>
      </c>
    </row>
    <row r="260" spans="1:4" x14ac:dyDescent="0.2">
      <c r="A260" s="11">
        <v>41306</v>
      </c>
      <c r="B260" s="15">
        <f>VLOOKUP(A260,Database!A:K,MATCH($A$1,Database!$A$1:$K$1,),)+VLOOKUP(A260,Database!A:K,MATCH($B$1,Database!$A$1:$K$1,),)</f>
        <v>16729</v>
      </c>
      <c r="C260" s="12">
        <f t="shared" si="6"/>
        <v>-2.3904858662523158E-4</v>
      </c>
      <c r="D260" s="13">
        <f t="shared" si="7"/>
        <v>3.4890194865450044E-2</v>
      </c>
    </row>
    <row r="261" spans="1:4" x14ac:dyDescent="0.2">
      <c r="A261" s="10">
        <v>41334</v>
      </c>
      <c r="B261" s="15">
        <f>VLOOKUP(A261,Database!A:K,MATCH($A$1,Database!$A$1:$K$1,),)+VLOOKUP(A261,Database!A:K,MATCH($B$1,Database!$A$1:$K$1,),)</f>
        <v>16484</v>
      </c>
      <c r="C261" s="12">
        <f t="shared" si="6"/>
        <v>-1.464522685157511E-2</v>
      </c>
      <c r="D261" s="13">
        <f t="shared" si="7"/>
        <v>1.1226305134654316E-2</v>
      </c>
    </row>
    <row r="262" spans="1:4" x14ac:dyDescent="0.2">
      <c r="A262" s="11">
        <v>41365</v>
      </c>
      <c r="B262" s="15">
        <f>VLOOKUP(A262,Database!A:K,MATCH($A$1,Database!$A$1:$K$1,),)+VLOOKUP(A262,Database!A:K,MATCH($B$1,Database!$A$1:$K$1,),)</f>
        <v>16502</v>
      </c>
      <c r="C262" s="12">
        <f t="shared" si="6"/>
        <v>1.0919679689395778E-3</v>
      </c>
      <c r="D262" s="13">
        <f t="shared" si="7"/>
        <v>2.745781707241143E-2</v>
      </c>
    </row>
    <row r="263" spans="1:4" x14ac:dyDescent="0.2">
      <c r="A263" s="10">
        <v>41395</v>
      </c>
      <c r="B263" s="15">
        <f>VLOOKUP(A263,Database!A:K,MATCH($A$1,Database!$A$1:$K$1,),)+VLOOKUP(A263,Database!A:K,MATCH($B$1,Database!$A$1:$K$1,),)</f>
        <v>16413</v>
      </c>
      <c r="C263" s="12">
        <f t="shared" si="6"/>
        <v>-5.3932856623439586E-3</v>
      </c>
      <c r="D263" s="13">
        <f t="shared" si="7"/>
        <v>1.8311664530305805E-3</v>
      </c>
    </row>
    <row r="264" spans="1:4" x14ac:dyDescent="0.2">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2">
      <c r="A265" s="10">
        <v>41456</v>
      </c>
      <c r="B265" s="15">
        <f>VLOOKUP(A265,Database!A:K,MATCH($A$1,Database!$A$1:$K$1,),)+VLOOKUP(A265,Database!A:K,MATCH($B$1,Database!$A$1:$K$1,),)</f>
        <v>16570</v>
      </c>
      <c r="C265" s="12">
        <f t="shared" si="8"/>
        <v>-4.3862284443910351E-3</v>
      </c>
      <c r="D265" s="13">
        <f t="shared" si="7"/>
        <v>1.0365853658536586E-2</v>
      </c>
    </row>
    <row r="266" spans="1:4" x14ac:dyDescent="0.2">
      <c r="A266" s="11">
        <v>41487</v>
      </c>
      <c r="B266" s="15">
        <f>VLOOKUP(A266,Database!A:K,MATCH($A$1,Database!$A$1:$K$1,),)+VLOOKUP(A266,Database!A:K,MATCH($B$1,Database!$A$1:$K$1,),)</f>
        <v>16622</v>
      </c>
      <c r="C266" s="12">
        <f t="shared" si="8"/>
        <v>3.1382015691007845E-3</v>
      </c>
      <c r="D266" s="13">
        <f t="shared" si="7"/>
        <v>2.4089704885712524E-2</v>
      </c>
    </row>
    <row r="267" spans="1:4" x14ac:dyDescent="0.2">
      <c r="A267" s="10">
        <v>41518</v>
      </c>
      <c r="B267" s="15">
        <f>VLOOKUP(A267,Database!A:K,MATCH($A$1,Database!$A$1:$K$1,),)+VLOOKUP(A267,Database!A:K,MATCH($B$1,Database!$A$1:$K$1,),)</f>
        <v>16604</v>
      </c>
      <c r="C267" s="12">
        <f t="shared" si="8"/>
        <v>-1.0829021778366022E-3</v>
      </c>
      <c r="D267" s="13">
        <f t="shared" si="7"/>
        <v>2.2287895579362147E-2</v>
      </c>
    </row>
    <row r="268" spans="1:4" x14ac:dyDescent="0.2">
      <c r="A268" s="11">
        <v>41548</v>
      </c>
      <c r="B268" s="15">
        <f>VLOOKUP(A268,Database!A:K,MATCH($A$1,Database!$A$1:$K$1,),)+VLOOKUP(A268,Database!A:K,MATCH($B$1,Database!$A$1:$K$1,),)</f>
        <v>16834</v>
      </c>
      <c r="C268" s="12">
        <f t="shared" si="8"/>
        <v>1.3852083835220429E-2</v>
      </c>
      <c r="D268" s="13">
        <f t="shared" si="7"/>
        <v>6.8350574347908866E-2</v>
      </c>
    </row>
    <row r="269" spans="1:4" x14ac:dyDescent="0.2">
      <c r="A269" s="10">
        <v>41579</v>
      </c>
      <c r="B269" s="15">
        <f>VLOOKUP(A269,Database!A:K,MATCH($A$1,Database!$A$1:$K$1,),)+VLOOKUP(A269,Database!A:K,MATCH($B$1,Database!$A$1:$K$1,),)</f>
        <v>16765</v>
      </c>
      <c r="C269" s="12">
        <f t="shared" si="8"/>
        <v>-4.0988475703932518E-3</v>
      </c>
      <c r="D269" s="13">
        <f t="shared" si="7"/>
        <v>3.0677486782245175E-2</v>
      </c>
    </row>
    <row r="270" spans="1:4" x14ac:dyDescent="0.2">
      <c r="A270" s="11">
        <v>41609</v>
      </c>
      <c r="B270" s="15">
        <f>VLOOKUP(A270,Database!A:K,MATCH($A$1,Database!$A$1:$K$1,),)+VLOOKUP(A270,Database!A:K,MATCH($B$1,Database!$A$1:$K$1,),)</f>
        <v>16443</v>
      </c>
      <c r="C270" s="12">
        <f t="shared" si="8"/>
        <v>-1.9206680584551147E-2</v>
      </c>
      <c r="D270" s="13">
        <f t="shared" si="7"/>
        <v>-1.85041485107145E-2</v>
      </c>
    </row>
    <row r="271" spans="1:4" x14ac:dyDescent="0.2">
      <c r="A271" s="10">
        <v>41640</v>
      </c>
      <c r="B271" s="15">
        <f>VLOOKUP(A271,Database!A:K,MATCH($A$1,Database!$A$1:$K$1,),)+VLOOKUP(A271,Database!A:K,MATCH($B$1,Database!$A$1:$K$1,),)</f>
        <v>16310</v>
      </c>
      <c r="C271" s="12">
        <f t="shared" si="8"/>
        <v>-8.0885483184333761E-3</v>
      </c>
      <c r="D271" s="13">
        <f t="shared" si="7"/>
        <v>-2.5279388035618241E-2</v>
      </c>
    </row>
    <row r="272" spans="1:4" x14ac:dyDescent="0.2">
      <c r="A272" s="11">
        <v>41671</v>
      </c>
      <c r="B272" s="15">
        <f>VLOOKUP(A272,Database!A:K,MATCH($A$1,Database!$A$1:$K$1,),)+VLOOKUP(A272,Database!A:K,MATCH($B$1,Database!$A$1:$K$1,),)</f>
        <v>16637</v>
      </c>
      <c r="C272" s="12">
        <f t="shared" si="8"/>
        <v>2.0049049662783567E-2</v>
      </c>
      <c r="D272" s="13">
        <f t="shared" si="7"/>
        <v>-5.4994321238567758E-3</v>
      </c>
    </row>
    <row r="273" spans="1:4" x14ac:dyDescent="0.2">
      <c r="A273" s="10">
        <v>41699</v>
      </c>
      <c r="B273" s="15">
        <f>VLOOKUP(A273,Database!A:K,MATCH($A$1,Database!$A$1:$K$1,),)+VLOOKUP(A273,Database!A:K,MATCH($B$1,Database!$A$1:$K$1,),)</f>
        <v>16806</v>
      </c>
      <c r="C273" s="12">
        <f t="shared" si="8"/>
        <v>1.0158081384865059E-2</v>
      </c>
      <c r="D273" s="13">
        <f t="shared" si="7"/>
        <v>1.9534093666585779E-2</v>
      </c>
    </row>
    <row r="274" spans="1:4" x14ac:dyDescent="0.2">
      <c r="A274" s="11">
        <v>41730</v>
      </c>
      <c r="B274" s="15">
        <f>VLOOKUP(A274,Database!A:K,MATCH($A$1,Database!$A$1:$K$1,),)+VLOOKUP(A274,Database!A:K,MATCH($B$1,Database!$A$1:$K$1,),)</f>
        <v>16919</v>
      </c>
      <c r="C274" s="12">
        <f t="shared" si="8"/>
        <v>6.7237891229322859E-3</v>
      </c>
      <c r="D274" s="13">
        <f t="shared" si="7"/>
        <v>2.5269664283117197E-2</v>
      </c>
    </row>
    <row r="275" spans="1:4" x14ac:dyDescent="0.2">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2">
      <c r="A276" s="11">
        <v>41791</v>
      </c>
      <c r="B276" s="15">
        <f>VLOOKUP(A276,Database!A:K,MATCH($A$1,Database!$A$1:$K$1,),)+VLOOKUP(A276,Database!A:K,MATCH($B$1,Database!$A$1:$K$1,),)</f>
        <v>16684</v>
      </c>
      <c r="C276" s="12">
        <f t="shared" si="8"/>
        <v>-4.3563883750074592E-3</v>
      </c>
      <c r="D276" s="13">
        <f t="shared" si="9"/>
        <v>2.4634981673977048E-3</v>
      </c>
    </row>
    <row r="277" spans="1:4" x14ac:dyDescent="0.2">
      <c r="A277" s="10">
        <v>41821</v>
      </c>
      <c r="B277" s="15">
        <f>VLOOKUP(A277,Database!A:K,MATCH($A$1,Database!$A$1:$K$1,),)+VLOOKUP(A277,Database!A:K,MATCH($B$1,Database!$A$1:$K$1,),)</f>
        <v>16807</v>
      </c>
      <c r="C277" s="12">
        <f t="shared" si="8"/>
        <v>7.3723327739151278E-3</v>
      </c>
      <c r="D277" s="13">
        <f t="shared" si="9"/>
        <v>1.4302957151478576E-2</v>
      </c>
    </row>
    <row r="278" spans="1:4" x14ac:dyDescent="0.2">
      <c r="A278" s="11">
        <v>41852</v>
      </c>
      <c r="B278" s="15">
        <f>VLOOKUP(A278,Database!A:K,MATCH($A$1,Database!$A$1:$K$1,),)+VLOOKUP(A278,Database!A:K,MATCH($B$1,Database!$A$1:$K$1,),)</f>
        <v>16995</v>
      </c>
      <c r="C278" s="12">
        <f t="shared" si="8"/>
        <v>1.1185815434045338E-2</v>
      </c>
      <c r="D278" s="13">
        <f t="shared" si="9"/>
        <v>2.2440139574058476E-2</v>
      </c>
    </row>
    <row r="279" spans="1:4" x14ac:dyDescent="0.2">
      <c r="A279" s="10">
        <v>41883</v>
      </c>
      <c r="B279" s="15">
        <f>VLOOKUP(A279,Database!A:K,MATCH($A$1,Database!$A$1:$K$1,),)+VLOOKUP(A279,Database!A:K,MATCH($B$1,Database!$A$1:$K$1,),)</f>
        <v>17117</v>
      </c>
      <c r="C279" s="12">
        <f t="shared" si="8"/>
        <v>7.178581935863489E-3</v>
      </c>
      <c r="D279" s="13">
        <f t="shared" si="9"/>
        <v>3.0896169597687304E-2</v>
      </c>
    </row>
    <row r="280" spans="1:4" x14ac:dyDescent="0.2">
      <c r="A280" s="11">
        <v>41913</v>
      </c>
      <c r="B280" s="15">
        <f>VLOOKUP(A280,Database!A:K,MATCH($A$1,Database!$A$1:$K$1,),)+VLOOKUP(A280,Database!A:K,MATCH($B$1,Database!$A$1:$K$1,),)</f>
        <v>17085</v>
      </c>
      <c r="C280" s="12">
        <f t="shared" si="8"/>
        <v>-1.8694864754337792E-3</v>
      </c>
      <c r="D280" s="13">
        <f t="shared" si="9"/>
        <v>1.4910300582155162E-2</v>
      </c>
    </row>
    <row r="281" spans="1:4" x14ac:dyDescent="0.2">
      <c r="A281" s="10">
        <v>41944</v>
      </c>
      <c r="B281" s="15">
        <f>VLOOKUP(A281,Database!A:K,MATCH($A$1,Database!$A$1:$K$1,),)+VLOOKUP(A281,Database!A:K,MATCH($B$1,Database!$A$1:$K$1,),)</f>
        <v>17422</v>
      </c>
      <c r="C281" s="12">
        <f t="shared" si="8"/>
        <v>1.9724904887328067E-2</v>
      </c>
      <c r="D281" s="13">
        <f t="shared" si="9"/>
        <v>3.918878616164629E-2</v>
      </c>
    </row>
    <row r="282" spans="1:4" x14ac:dyDescent="0.2">
      <c r="A282" s="11">
        <v>41974</v>
      </c>
      <c r="B282" s="15">
        <f>VLOOKUP(A282,Database!A:K,MATCH($A$1,Database!$A$1:$K$1,),)+VLOOKUP(A282,Database!A:K,MATCH($B$1,Database!$A$1:$K$1,),)</f>
        <v>17510</v>
      </c>
      <c r="C282" s="12">
        <f t="shared" si="8"/>
        <v>5.0510848352657558E-3</v>
      </c>
      <c r="D282" s="13">
        <f t="shared" si="9"/>
        <v>6.4890835005777539E-2</v>
      </c>
    </row>
    <row r="283" spans="1:4" x14ac:dyDescent="0.2">
      <c r="A283" s="10">
        <v>42005</v>
      </c>
      <c r="B283" s="15">
        <f>VLOOKUP(A283,Database!A:K,MATCH($A$1,Database!$A$1:$K$1,),)+VLOOKUP(A283,Database!A:K,MATCH($B$1,Database!$A$1:$K$1,),)</f>
        <v>17325</v>
      </c>
      <c r="C283" s="12">
        <f t="shared" si="8"/>
        <v>-1.05653912050257E-2</v>
      </c>
      <c r="D283" s="13">
        <f t="shared" si="9"/>
        <v>6.2231759656652362E-2</v>
      </c>
    </row>
    <row r="284" spans="1:4" x14ac:dyDescent="0.2">
      <c r="A284" s="11">
        <v>42036</v>
      </c>
      <c r="B284" s="15">
        <f>VLOOKUP(A284,Database!A:K,MATCH($A$1,Database!$A$1:$K$1,),)+VLOOKUP(A284,Database!A:K,MATCH($B$1,Database!$A$1:$K$1,),)</f>
        <v>17000</v>
      </c>
      <c r="C284" s="12">
        <f t="shared" si="8"/>
        <v>-1.875901875901876E-2</v>
      </c>
      <c r="D284" s="13">
        <f t="shared" si="9"/>
        <v>2.1818837530804831E-2</v>
      </c>
    </row>
    <row r="285" spans="1:4" x14ac:dyDescent="0.2">
      <c r="A285" s="10">
        <v>42064</v>
      </c>
      <c r="B285" s="15">
        <f>VLOOKUP(A285,Database!A:K,MATCH($A$1,Database!$A$1:$K$1,),)+VLOOKUP(A285,Database!A:K,MATCH($B$1,Database!$A$1:$K$1,),)</f>
        <v>17059</v>
      </c>
      <c r="C285" s="12">
        <f t="shared" si="8"/>
        <v>3.4705882352941177E-3</v>
      </c>
      <c r="D285" s="13">
        <f t="shared" si="9"/>
        <v>1.5054147328335118E-2</v>
      </c>
    </row>
    <row r="286" spans="1:4" x14ac:dyDescent="0.2">
      <c r="A286" s="11">
        <v>42095</v>
      </c>
      <c r="B286" s="15">
        <f>VLOOKUP(A286,Database!A:K,MATCH($A$1,Database!$A$1:$K$1,),)+VLOOKUP(A286,Database!A:K,MATCH($B$1,Database!$A$1:$K$1,),)</f>
        <v>17262</v>
      </c>
      <c r="C286" s="12">
        <f t="shared" si="8"/>
        <v>1.1899876897825195E-2</v>
      </c>
      <c r="D286" s="13">
        <f t="shared" si="9"/>
        <v>2.0273065784029789E-2</v>
      </c>
    </row>
    <row r="287" spans="1:4" x14ac:dyDescent="0.2">
      <c r="A287" s="10">
        <v>42125</v>
      </c>
      <c r="B287" s="15">
        <f>VLOOKUP(A287,Database!A:K,MATCH($A$1,Database!$A$1:$K$1,),)+VLOOKUP(A287,Database!A:K,MATCH($B$1,Database!$A$1:$K$1,),)</f>
        <v>17496</v>
      </c>
      <c r="C287" s="12">
        <f t="shared" si="8"/>
        <v>1.3555787278415016E-2</v>
      </c>
      <c r="D287" s="13">
        <f t="shared" si="9"/>
        <v>4.4100972727815241E-2</v>
      </c>
    </row>
    <row r="288" spans="1:4" x14ac:dyDescent="0.2">
      <c r="A288" s="11">
        <v>42156</v>
      </c>
      <c r="B288" s="15">
        <f>VLOOKUP(A288,Database!A:K,MATCH($A$1,Database!$A$1:$K$1,),)+VLOOKUP(A288,Database!A:K,MATCH($B$1,Database!$A$1:$K$1,),)</f>
        <v>17436</v>
      </c>
      <c r="C288" s="12">
        <f t="shared" si="8"/>
        <v>-3.4293552812071329E-3</v>
      </c>
      <c r="D288" s="13">
        <f t="shared" si="9"/>
        <v>4.5073123951090865E-2</v>
      </c>
    </row>
    <row r="289" spans="1:4" x14ac:dyDescent="0.2">
      <c r="A289" s="10">
        <v>42186</v>
      </c>
      <c r="B289" s="15">
        <f>VLOOKUP(A289,Database!A:K,MATCH($A$1,Database!$A$1:$K$1,),)+VLOOKUP(A289,Database!A:K,MATCH($B$1,Database!$A$1:$K$1,),)</f>
        <v>17422</v>
      </c>
      <c r="C289" s="12">
        <f t="shared" si="8"/>
        <v>-8.0293645331498047E-4</v>
      </c>
      <c r="D289" s="13">
        <f t="shared" si="9"/>
        <v>3.6591896233712146E-2</v>
      </c>
    </row>
    <row r="290" spans="1:4" x14ac:dyDescent="0.2">
      <c r="A290" s="11">
        <v>42217</v>
      </c>
      <c r="B290" s="15">
        <f>VLOOKUP(A290,Database!A:K,MATCH($A$1,Database!$A$1:$K$1,),)+VLOOKUP(A290,Database!A:K,MATCH($B$1,Database!$A$1:$K$1,),)</f>
        <v>17442</v>
      </c>
      <c r="C290" s="12">
        <f t="shared" si="8"/>
        <v>1.1479738261967627E-3</v>
      </c>
      <c r="D290" s="13">
        <f t="shared" si="9"/>
        <v>2.6301853486319506E-2</v>
      </c>
    </row>
    <row r="291" spans="1:4" x14ac:dyDescent="0.2">
      <c r="A291" s="10">
        <v>42248</v>
      </c>
      <c r="B291" s="15">
        <f>VLOOKUP(A291,Database!A:K,MATCH($A$1,Database!$A$1:$K$1,),)+VLOOKUP(A291,Database!A:K,MATCH($B$1,Database!$A$1:$K$1,),)</f>
        <v>17451</v>
      </c>
      <c r="C291" s="12">
        <f t="shared" si="8"/>
        <v>5.1599587203302369E-4</v>
      </c>
      <c r="D291" s="13">
        <f t="shared" si="9"/>
        <v>1.9512765087340071E-2</v>
      </c>
    </row>
    <row r="292" spans="1:4" x14ac:dyDescent="0.2">
      <c r="A292" s="11">
        <v>42278</v>
      </c>
      <c r="B292" s="15">
        <f>VLOOKUP(A292,Database!A:K,MATCH($A$1,Database!$A$1:$K$1,),)+VLOOKUP(A292,Database!A:K,MATCH($B$1,Database!$A$1:$K$1,),)</f>
        <v>17455</v>
      </c>
      <c r="C292" s="12">
        <f t="shared" si="8"/>
        <v>2.292132256031173E-4</v>
      </c>
      <c r="D292" s="13">
        <f t="shared" si="9"/>
        <v>2.1656423763535264E-2</v>
      </c>
    </row>
    <row r="293" spans="1:4" x14ac:dyDescent="0.2">
      <c r="A293" s="10">
        <v>42309</v>
      </c>
      <c r="B293" s="15">
        <f>VLOOKUP(A293,Database!A:K,MATCH($A$1,Database!$A$1:$K$1,),)+VLOOKUP(A293,Database!A:K,MATCH($B$1,Database!$A$1:$K$1,),)</f>
        <v>17319</v>
      </c>
      <c r="C293" s="12">
        <f t="shared" si="8"/>
        <v>-7.7914637639644804E-3</v>
      </c>
      <c r="D293" s="13">
        <f t="shared" si="9"/>
        <v>-5.9120652049133278E-3</v>
      </c>
    </row>
    <row r="294" spans="1:4" x14ac:dyDescent="0.2">
      <c r="A294" s="11">
        <v>42339</v>
      </c>
      <c r="B294" s="15">
        <f>VLOOKUP(A294,Database!A:K,MATCH($A$1,Database!$A$1:$K$1,),)+VLOOKUP(A294,Database!A:K,MATCH($B$1,Database!$A$1:$K$1,),)</f>
        <v>17507</v>
      </c>
      <c r="C294" s="12">
        <f t="shared" si="8"/>
        <v>1.0855130203822392E-2</v>
      </c>
      <c r="D294" s="13">
        <f t="shared" si="9"/>
        <v>-1.7133066818960594E-4</v>
      </c>
    </row>
    <row r="295" spans="1:4" x14ac:dyDescent="0.2">
      <c r="A295" s="10">
        <v>42370</v>
      </c>
      <c r="B295" s="15">
        <f>VLOOKUP(A295,Database!A:K,MATCH($A$1,Database!$A$1:$K$1,),)+VLOOKUP(A295,Database!A:K,MATCH($B$1,Database!$A$1:$K$1,),)</f>
        <v>17209</v>
      </c>
      <c r="C295" s="12">
        <f t="shared" si="8"/>
        <v>-1.7021762723482037E-2</v>
      </c>
      <c r="D295" s="13">
        <f t="shared" si="9"/>
        <v>-6.6955266955266955E-3</v>
      </c>
    </row>
    <row r="296" spans="1:4" x14ac:dyDescent="0.2">
      <c r="A296" s="11">
        <v>42401</v>
      </c>
      <c r="B296" s="15">
        <f>VLOOKUP(A296,Database!A:K,MATCH($A$1,Database!$A$1:$K$1,),)+VLOOKUP(A296,Database!A:K,MATCH($B$1,Database!$A$1:$K$1,),)</f>
        <v>17338</v>
      </c>
      <c r="C296" s="12">
        <f t="shared" si="8"/>
        <v>7.4960776337962692E-3</v>
      </c>
      <c r="D296" s="13">
        <f t="shared" si="9"/>
        <v>1.9882352941176469E-2</v>
      </c>
    </row>
    <row r="297" spans="1:4" x14ac:dyDescent="0.2">
      <c r="A297" s="10">
        <v>42430</v>
      </c>
      <c r="B297" s="15">
        <f>VLOOKUP(A297,Database!A:K,MATCH($A$1,Database!$A$1:$K$1,),)+VLOOKUP(A297,Database!A:K,MATCH($B$1,Database!$A$1:$K$1,),)</f>
        <v>17145</v>
      </c>
      <c r="C297" s="12">
        <f t="shared" si="8"/>
        <v>-1.1131618410427962E-2</v>
      </c>
      <c r="D297" s="13">
        <f t="shared" si="9"/>
        <v>5.0413271586845654E-3</v>
      </c>
    </row>
    <row r="298" spans="1:4" x14ac:dyDescent="0.2">
      <c r="A298" s="11">
        <v>42461</v>
      </c>
      <c r="B298" s="15">
        <f>VLOOKUP(A298,Database!A:K,MATCH($A$1,Database!$A$1:$K$1,),)+VLOOKUP(A298,Database!A:K,MATCH($B$1,Database!$A$1:$K$1,),)</f>
        <v>17088</v>
      </c>
      <c r="C298" s="12">
        <f t="shared" si="8"/>
        <v>-3.3245844269466315E-3</v>
      </c>
      <c r="D298" s="13">
        <f t="shared" si="9"/>
        <v>-1.0079944386513729E-2</v>
      </c>
    </row>
    <row r="299" spans="1:4" x14ac:dyDescent="0.2">
      <c r="A299" s="10">
        <v>42491</v>
      </c>
      <c r="B299" s="15">
        <f>VLOOKUP(A299,Database!A:K,MATCH($A$1,Database!$A$1:$K$1,),)+VLOOKUP(A299,Database!A:K,MATCH($B$1,Database!$A$1:$K$1,),)</f>
        <v>17198</v>
      </c>
      <c r="C299" s="12">
        <f t="shared" si="8"/>
        <v>6.4372659176029964E-3</v>
      </c>
      <c r="D299" s="13">
        <f t="shared" si="9"/>
        <v>-1.7032464563328759E-2</v>
      </c>
    </row>
    <row r="300" spans="1:4" x14ac:dyDescent="0.2">
      <c r="A300" s="11">
        <v>42522</v>
      </c>
      <c r="B300" s="15">
        <f>VLOOKUP(A300,Database!A:K,MATCH($A$1,Database!$A$1:$K$1,),)+VLOOKUP(A300,Database!A:K,MATCH($B$1,Database!$A$1:$K$1,),)</f>
        <v>17307</v>
      </c>
      <c r="C300" s="12">
        <f t="shared" si="8"/>
        <v>6.3379462728224215E-3</v>
      </c>
      <c r="D300" s="13">
        <f t="shared" si="9"/>
        <v>-7.3984858912594636E-3</v>
      </c>
    </row>
    <row r="301" spans="1:4" x14ac:dyDescent="0.2">
      <c r="A301" s="10">
        <v>42552</v>
      </c>
      <c r="B301" s="15">
        <f>VLOOKUP(A301,Database!A:K,MATCH($A$1,Database!$A$1:$K$1,),)+VLOOKUP(A301,Database!A:K,MATCH($B$1,Database!$A$1:$K$1,),)</f>
        <v>17291</v>
      </c>
      <c r="C301" s="12">
        <f t="shared" si="8"/>
        <v>-9.2448142370139255E-4</v>
      </c>
      <c r="D301" s="13">
        <f t="shared" si="9"/>
        <v>-7.5192285615887956E-3</v>
      </c>
    </row>
    <row r="302" spans="1:4" x14ac:dyDescent="0.2">
      <c r="A302" s="11">
        <v>42583</v>
      </c>
      <c r="B302" s="15">
        <f>VLOOKUP(A302,Database!A:K,MATCH($A$1,Database!$A$1:$K$1,),)+VLOOKUP(A302,Database!A:K,MATCH($B$1,Database!$A$1:$K$1,),)</f>
        <v>17370</v>
      </c>
      <c r="C302" s="12">
        <f t="shared" si="8"/>
        <v>4.5688508472615814E-3</v>
      </c>
      <c r="D302" s="13">
        <f t="shared" si="9"/>
        <v>-4.1279669762641896E-3</v>
      </c>
    </row>
    <row r="303" spans="1:4" x14ac:dyDescent="0.2">
      <c r="A303" s="10">
        <v>42614</v>
      </c>
      <c r="B303" s="15">
        <f>VLOOKUP(A303,Database!A:K,MATCH($A$1,Database!$A$1:$K$1,),)+VLOOKUP(A303,Database!A:K,MATCH($B$1,Database!$A$1:$K$1,),)</f>
        <v>17243</v>
      </c>
      <c r="C303" s="12">
        <f t="shared" si="8"/>
        <v>-7.3114565342544619E-3</v>
      </c>
      <c r="D303" s="13">
        <f t="shared" si="9"/>
        <v>-1.1919087731362099E-2</v>
      </c>
    </row>
    <row r="304" spans="1:4" x14ac:dyDescent="0.2">
      <c r="A304" s="11">
        <v>42644</v>
      </c>
      <c r="B304" s="15">
        <f>VLOOKUP(A304,Database!A:K,MATCH($A$1,Database!$A$1:$K$1,),)+VLOOKUP(A304,Database!A:K,MATCH($B$1,Database!$A$1:$K$1,),)</f>
        <v>16999</v>
      </c>
      <c r="C304" s="12">
        <f t="shared" si="8"/>
        <v>-1.4150669837035319E-2</v>
      </c>
      <c r="D304" s="13">
        <f t="shared" si="9"/>
        <v>-2.6124319679175022E-2</v>
      </c>
    </row>
    <row r="305" spans="1:4" x14ac:dyDescent="0.2">
      <c r="A305" s="10">
        <v>42675</v>
      </c>
      <c r="B305" s="15">
        <f>VLOOKUP(A305,Database!A:K,MATCH($A$1,Database!$A$1:$K$1,),)+VLOOKUP(A305,Database!A:K,MATCH($B$1,Database!$A$1:$K$1,),)</f>
        <v>16879</v>
      </c>
      <c r="C305" s="12">
        <f t="shared" si="8"/>
        <v>-7.0592387787516914E-3</v>
      </c>
      <c r="D305" s="13">
        <f t="shared" si="9"/>
        <v>-2.5405623881286449E-2</v>
      </c>
    </row>
    <row r="306" spans="1:4" x14ac:dyDescent="0.2">
      <c r="A306" s="11">
        <v>42705</v>
      </c>
      <c r="B306" s="15">
        <f>VLOOKUP(A306,Database!A:K,MATCH($A$1,Database!$A$1:$K$1,),)+VLOOKUP(A306,Database!A:K,MATCH($B$1,Database!$A$1:$K$1,),)</f>
        <v>16904</v>
      </c>
      <c r="C306" s="12">
        <f t="shared" si="8"/>
        <v>1.4811303987203033E-3</v>
      </c>
      <c r="D306" s="13">
        <f t="shared" si="9"/>
        <v>-3.4443365510938483E-2</v>
      </c>
    </row>
    <row r="307" spans="1:4" x14ac:dyDescent="0.2">
      <c r="A307" s="10">
        <v>42736</v>
      </c>
      <c r="B307" s="15">
        <f>VLOOKUP(A307,Database!A:K,MATCH($A$1,Database!$A$1:$K$1,),)+VLOOKUP(A307,Database!A:K,MATCH($B$1,Database!$A$1:$K$1,),)</f>
        <v>17193</v>
      </c>
      <c r="C307" s="12">
        <f t="shared" si="8"/>
        <v>1.7096545196403218E-2</v>
      </c>
      <c r="D307" s="13">
        <f t="shared" si="9"/>
        <v>-9.29746063106514E-4</v>
      </c>
    </row>
    <row r="308" spans="1:4" x14ac:dyDescent="0.2">
      <c r="A308" s="11">
        <v>42767</v>
      </c>
      <c r="B308" s="15">
        <f>VLOOKUP(A308,Database!A:K,MATCH($A$1,Database!$A$1:$K$1,),)+VLOOKUP(A308,Database!A:K,MATCH($B$1,Database!$A$1:$K$1,),)</f>
        <v>17110</v>
      </c>
      <c r="C308" s="12">
        <f t="shared" si="8"/>
        <v>-4.8275460943407204E-3</v>
      </c>
      <c r="D308" s="13">
        <f t="shared" si="9"/>
        <v>-1.3150305686930442E-2</v>
      </c>
    </row>
    <row r="309" spans="1:4" x14ac:dyDescent="0.2">
      <c r="A309" s="10">
        <v>42795</v>
      </c>
      <c r="B309" s="15">
        <f>VLOOKUP(A309,Database!A:K,MATCH($A$1,Database!$A$1:$K$1,),)+VLOOKUP(A309,Database!A:K,MATCH($B$1,Database!$A$1:$K$1,),)</f>
        <v>17359</v>
      </c>
      <c r="C309" s="12">
        <f t="shared" si="8"/>
        <v>1.4552893045002922E-2</v>
      </c>
      <c r="D309" s="13">
        <f t="shared" si="9"/>
        <v>1.2481773111694372E-2</v>
      </c>
    </row>
    <row r="310" spans="1:4" x14ac:dyDescent="0.2">
      <c r="A310" s="11">
        <v>42826</v>
      </c>
      <c r="B310" s="15">
        <f>VLOOKUP(A310,Database!A:K,MATCH($A$1,Database!$A$1:$K$1,),)+VLOOKUP(A310,Database!A:K,MATCH($B$1,Database!$A$1:$K$1,),)</f>
        <v>17258</v>
      </c>
      <c r="C310" s="12">
        <f t="shared" si="8"/>
        <v>-5.8183075061927526E-3</v>
      </c>
      <c r="D310" s="13">
        <f t="shared" si="9"/>
        <v>9.948501872659176E-3</v>
      </c>
    </row>
    <row r="311" spans="1:4" x14ac:dyDescent="0.2">
      <c r="A311" s="10">
        <v>42856</v>
      </c>
      <c r="B311" s="15">
        <f>VLOOKUP(A311,Database!A:K,MATCH($A$1,Database!$A$1:$K$1,),)+VLOOKUP(A311,Database!A:K,MATCH($B$1,Database!$A$1:$K$1,),)</f>
        <v>17239</v>
      </c>
      <c r="C311" s="12">
        <f t="shared" si="8"/>
        <v>-1.1009386950979257E-3</v>
      </c>
      <c r="D311" s="13">
        <f t="shared" si="9"/>
        <v>2.3839981393185255E-3</v>
      </c>
    </row>
    <row r="312" spans="1:4" x14ac:dyDescent="0.2">
      <c r="A312" s="11">
        <v>42887</v>
      </c>
      <c r="B312" s="15">
        <f>VLOOKUP(A312,Database!A:K,MATCH($A$1,Database!$A$1:$K$1,),)+VLOOKUP(A312,Database!A:K,MATCH($B$1,Database!$A$1:$K$1,),)</f>
        <v>17237</v>
      </c>
      <c r="C312" s="12">
        <f t="shared" si="8"/>
        <v>-1.160160102094089E-4</v>
      </c>
      <c r="D312" s="13">
        <f t="shared" si="9"/>
        <v>-4.0446062286935919E-3</v>
      </c>
    </row>
    <row r="313" spans="1:4" x14ac:dyDescent="0.2">
      <c r="A313" s="10">
        <v>42917</v>
      </c>
      <c r="B313" s="15">
        <f>VLOOKUP(A313,Database!A:K,MATCH($A$1,Database!$A$1:$K$1,),)+VLOOKUP(A313,Database!A:K,MATCH($B$1,Database!$A$1:$K$1,),)</f>
        <v>17110</v>
      </c>
      <c r="C313" s="12">
        <f t="shared" si="8"/>
        <v>-7.3678714393455936E-3</v>
      </c>
      <c r="D313" s="13">
        <f t="shared" si="9"/>
        <v>-1.0467873460181597E-2</v>
      </c>
    </row>
    <row r="314" spans="1:4" x14ac:dyDescent="0.2">
      <c r="A314" s="11">
        <v>42948</v>
      </c>
      <c r="B314" s="15">
        <f>VLOOKUP(A314,Database!A:K,MATCH($A$1,Database!$A$1:$K$1,),)+VLOOKUP(A314,Database!A:K,MATCH($B$1,Database!$A$1:$K$1,),)</f>
        <v>17206</v>
      </c>
      <c r="C314" s="12">
        <f t="shared" si="8"/>
        <v>5.6107539450613673E-3</v>
      </c>
      <c r="D314" s="13">
        <f t="shared" si="9"/>
        <v>-9.4415659182498553E-3</v>
      </c>
    </row>
    <row r="315" spans="1:4" x14ac:dyDescent="0.2">
      <c r="A315" s="10">
        <v>42979</v>
      </c>
      <c r="B315" s="15">
        <f>VLOOKUP(A315,Database!A:K,MATCH($A$1,Database!$A$1:$K$1,),)+VLOOKUP(A315,Database!A:K,MATCH($B$1,Database!$A$1:$K$1,),)</f>
        <v>17196</v>
      </c>
      <c r="C315" s="12">
        <f t="shared" si="8"/>
        <v>-5.8119260723003602E-4</v>
      </c>
      <c r="D315" s="13">
        <f t="shared" si="9"/>
        <v>-2.7257437800846719E-3</v>
      </c>
    </row>
    <row r="316" spans="1:4" x14ac:dyDescent="0.2">
      <c r="A316" s="11">
        <v>43009</v>
      </c>
      <c r="B316" s="15">
        <f>VLOOKUP(A316,Database!A:K,MATCH($A$1,Database!$A$1:$K$1,),)+VLOOKUP(A316,Database!A:K,MATCH($B$1,Database!$A$1:$K$1,),)</f>
        <v>17512</v>
      </c>
      <c r="C316" s="12">
        <f t="shared" si="8"/>
        <v>1.8376366596882996E-2</v>
      </c>
      <c r="D316" s="13">
        <f t="shared" si="9"/>
        <v>3.017824577916348E-2</v>
      </c>
    </row>
    <row r="317" spans="1:4" x14ac:dyDescent="0.2">
      <c r="A317" s="10">
        <v>43040</v>
      </c>
      <c r="B317" s="15">
        <f>VLOOKUP(A317,Database!A:K,MATCH($A$1,Database!$A$1:$K$1,),)+VLOOKUP(A317,Database!A:K,MATCH($B$1,Database!$A$1:$K$1,),)</f>
        <v>17806</v>
      </c>
      <c r="C317" s="12">
        <f t="shared" si="8"/>
        <v>1.6788487894015533E-2</v>
      </c>
      <c r="D317" s="13">
        <f t="shared" si="9"/>
        <v>5.4920315184548846E-2</v>
      </c>
    </row>
    <row r="318" spans="1:4" x14ac:dyDescent="0.2">
      <c r="A318" s="11">
        <v>43070</v>
      </c>
      <c r="B318" s="15">
        <f>VLOOKUP(A318,Database!A:K,MATCH($A$1,Database!$A$1:$K$1,),)+VLOOKUP(A318,Database!A:K,MATCH($B$1,Database!$A$1:$K$1,),)</f>
        <v>17768</v>
      </c>
      <c r="C318" s="12">
        <f t="shared" si="8"/>
        <v>-2.1341120970459395E-3</v>
      </c>
      <c r="D318" s="13">
        <f t="shared" si="9"/>
        <v>5.1112162801703741E-2</v>
      </c>
    </row>
    <row r="319" spans="1:4" x14ac:dyDescent="0.2">
      <c r="A319" s="10">
        <v>43101</v>
      </c>
      <c r="B319" s="15">
        <f>VLOOKUP(A319,Database!A:K,MATCH($A$1,Database!$A$1:$K$1,),)+VLOOKUP(A319,Database!A:K,MATCH($B$1,Database!$A$1:$K$1,),)</f>
        <v>17726</v>
      </c>
      <c r="C319" s="12">
        <f t="shared" si="8"/>
        <v>-2.3638000900495274E-3</v>
      </c>
      <c r="D319" s="13">
        <f t="shared" si="9"/>
        <v>3.1000988774501251E-2</v>
      </c>
    </row>
    <row r="320" spans="1:4" x14ac:dyDescent="0.2">
      <c r="A320" s="11">
        <v>43132</v>
      </c>
      <c r="B320" s="15">
        <f>VLOOKUP(A320,Database!A:K,MATCH($A$1,Database!$A$1:$K$1,),)+VLOOKUP(A320,Database!A:K,MATCH($B$1,Database!$A$1:$K$1,),)</f>
        <v>17818</v>
      </c>
      <c r="C320" s="12">
        <f t="shared" si="8"/>
        <v>5.1901162134717366E-3</v>
      </c>
      <c r="D320" s="13">
        <f t="shared" si="9"/>
        <v>4.1379310344827586E-2</v>
      </c>
    </row>
    <row r="321" spans="1:4" x14ac:dyDescent="0.2">
      <c r="A321" s="10">
        <v>43160</v>
      </c>
      <c r="B321" s="15">
        <f>VLOOKUP(A321,Database!A:K,MATCH($A$1,Database!$A$1:$K$1,),)+VLOOKUP(A321,Database!A:K,MATCH($B$1,Database!$A$1:$K$1,),)</f>
        <v>17755</v>
      </c>
      <c r="C321" s="12">
        <f t="shared" si="8"/>
        <v>-3.5357503647996408E-3</v>
      </c>
      <c r="D321" s="13">
        <f t="shared" si="9"/>
        <v>2.2812373984676535E-2</v>
      </c>
    </row>
    <row r="322" spans="1:4" x14ac:dyDescent="0.2">
      <c r="A322" s="11">
        <v>43191</v>
      </c>
      <c r="B322" s="15">
        <f>VLOOKUP(A322,Database!A:K,MATCH($A$1,Database!$A$1:$K$1,),)+VLOOKUP(A322,Database!A:K,MATCH($B$1,Database!$A$1:$K$1,),)</f>
        <v>18000</v>
      </c>
      <c r="C322" s="12">
        <f t="shared" si="8"/>
        <v>1.3798929878907349E-2</v>
      </c>
      <c r="D322" s="13">
        <f t="shared" si="9"/>
        <v>4.2994553250666361E-2</v>
      </c>
    </row>
    <row r="323" spans="1:4" x14ac:dyDescent="0.2">
      <c r="A323" s="10">
        <v>43221</v>
      </c>
      <c r="B323" s="15">
        <f>VLOOKUP(A323,Database!A:K,MATCH($A$1,Database!$A$1:$K$1,),)+VLOOKUP(A323,Database!A:K,MATCH($B$1,Database!$A$1:$K$1,),)</f>
        <v>17886</v>
      </c>
      <c r="C323" s="12">
        <f t="shared" si="8"/>
        <v>-6.3333333333333332E-3</v>
      </c>
      <c r="D323" s="13">
        <f t="shared" si="9"/>
        <v>3.7531179302743779E-2</v>
      </c>
    </row>
    <row r="324" spans="1:4" x14ac:dyDescent="0.2">
      <c r="A324" s="11">
        <v>43252</v>
      </c>
      <c r="B324" s="15">
        <f>VLOOKUP(A324,Database!A:K,MATCH($A$1,Database!$A$1:$K$1,),)+VLOOKUP(A324,Database!A:K,MATCH($B$1,Database!$A$1:$K$1,),)</f>
        <v>17958</v>
      </c>
      <c r="C324" s="12">
        <f t="shared" si="8"/>
        <v>4.025494800402549E-3</v>
      </c>
      <c r="D324" s="13">
        <f t="shared" si="9"/>
        <v>4.1828624470615534E-2</v>
      </c>
    </row>
    <row r="325" spans="1:4" x14ac:dyDescent="0.2">
      <c r="A325" s="10">
        <v>43282</v>
      </c>
      <c r="B325" s="15">
        <f>VLOOKUP(A325,Database!A:K,MATCH($A$1,Database!$A$1:$K$1,),)+VLOOKUP(A325,Database!A:K,MATCH($B$1,Database!$A$1:$K$1,),)</f>
        <v>17930</v>
      </c>
      <c r="C325" s="12">
        <f t="shared" si="8"/>
        <v>-1.5591936741285221E-3</v>
      </c>
      <c r="D325" s="13">
        <f t="shared" si="9"/>
        <v>4.792518994739918E-2</v>
      </c>
    </row>
    <row r="326" spans="1:4" x14ac:dyDescent="0.2">
      <c r="A326" s="11">
        <v>43313</v>
      </c>
      <c r="B326" s="15">
        <f>VLOOKUP(A326,Database!A:K,MATCH($A$1,Database!$A$1:$K$1,),)+VLOOKUP(A326,Database!A:K,MATCH($B$1,Database!$A$1:$K$1,),)</f>
        <v>17823</v>
      </c>
      <c r="C326" s="12">
        <f t="shared" si="8"/>
        <v>-5.9676519799219188E-3</v>
      </c>
      <c r="D326" s="13">
        <f t="shared" si="9"/>
        <v>3.5859583866093225E-2</v>
      </c>
    </row>
    <row r="327" spans="1:4" x14ac:dyDescent="0.2">
      <c r="A327" s="10">
        <v>43344</v>
      </c>
      <c r="B327" s="15">
        <f>VLOOKUP(A327,Database!A:K,MATCH($A$1,Database!$A$1:$K$1,),)+VLOOKUP(A327,Database!A:K,MATCH($B$1,Database!$A$1:$K$1,),)</f>
        <v>17675</v>
      </c>
      <c r="C327" s="12">
        <f t="shared" si="8"/>
        <v>-8.3038770128485671E-3</v>
      </c>
      <c r="D327" s="13">
        <f t="shared" si="9"/>
        <v>2.7855315189578973E-2</v>
      </c>
    </row>
    <row r="328" spans="1:4" x14ac:dyDescent="0.2">
      <c r="A328" s="11">
        <v>43374</v>
      </c>
      <c r="B328" s="15">
        <f>VLOOKUP(A328,Database!A:K,MATCH($A$1,Database!$A$1:$K$1,),)+VLOOKUP(A328,Database!A:K,MATCH($B$1,Database!$A$1:$K$1,),)</f>
        <v>17710</v>
      </c>
      <c r="C328" s="12">
        <f t="shared" ref="C328:C373" si="10">(B328-B327)/B327</f>
        <v>1.9801980198019802E-3</v>
      </c>
      <c r="D328" s="13">
        <f t="shared" si="9"/>
        <v>1.1306532663316583E-2</v>
      </c>
    </row>
    <row r="329" spans="1:4" x14ac:dyDescent="0.2">
      <c r="A329" s="10">
        <v>43405</v>
      </c>
      <c r="B329" s="15">
        <f>VLOOKUP(A329,Database!A:K,MATCH($A$1,Database!$A$1:$K$1,),)+VLOOKUP(A329,Database!A:K,MATCH($B$1,Database!$A$1:$K$1,),)</f>
        <v>17678</v>
      </c>
      <c r="C329" s="12">
        <f t="shared" si="10"/>
        <v>-1.8068887634105025E-3</v>
      </c>
      <c r="D329" s="13">
        <f t="shared" si="9"/>
        <v>-7.1885881163652699E-3</v>
      </c>
    </row>
    <row r="330" spans="1:4" x14ac:dyDescent="0.2">
      <c r="A330" s="11">
        <v>43435</v>
      </c>
      <c r="B330" s="15">
        <f>VLOOKUP(A330,Database!A:K,MATCH($A$1,Database!$A$1:$K$1,),)+VLOOKUP(A330,Database!A:K,MATCH($B$1,Database!$A$1:$K$1,),)</f>
        <v>17581</v>
      </c>
      <c r="C330" s="12">
        <f t="shared" si="10"/>
        <v>-5.4870460459327981E-3</v>
      </c>
      <c r="D330" s="13">
        <f t="shared" si="9"/>
        <v>-1.0524538496172894E-2</v>
      </c>
    </row>
    <row r="331" spans="1:4" x14ac:dyDescent="0.2">
      <c r="A331" s="10">
        <v>43466</v>
      </c>
      <c r="B331" s="15">
        <f>VLOOKUP(A331,Database!A:K,MATCH($A$1,Database!$A$1:$K$1,),)+VLOOKUP(A331,Database!A:K,MATCH($B$1,Database!$A$1:$K$1,),)</f>
        <v>17540</v>
      </c>
      <c r="C331" s="12">
        <f t="shared" si="10"/>
        <v>-2.3320630225811957E-3</v>
      </c>
      <c r="D331" s="13">
        <f t="shared" si="9"/>
        <v>-1.0493061040279816E-2</v>
      </c>
    </row>
    <row r="332" spans="1:4" x14ac:dyDescent="0.2">
      <c r="A332" s="11">
        <v>43497</v>
      </c>
      <c r="B332" s="15">
        <f>VLOOKUP(A332,Database!A:K,MATCH($A$1,Database!$A$1:$K$1,),)+VLOOKUP(A332,Database!A:K,MATCH($B$1,Database!$A$1:$K$1,),)</f>
        <v>17430</v>
      </c>
      <c r="C332" s="12">
        <f t="shared" si="10"/>
        <v>-6.2713797035347778E-3</v>
      </c>
      <c r="D332" s="13">
        <f t="shared" si="9"/>
        <v>-2.1775732405432707E-2</v>
      </c>
    </row>
    <row r="333" spans="1:4" x14ac:dyDescent="0.2">
      <c r="A333" s="10">
        <v>43525</v>
      </c>
      <c r="B333" s="15">
        <f>VLOOKUP(A333,Database!A:K,MATCH($A$1,Database!$A$1:$K$1,),)+VLOOKUP(A333,Database!A:K,MATCH($B$1,Database!$A$1:$K$1,),)</f>
        <v>17528</v>
      </c>
      <c r="C333" s="12">
        <f t="shared" si="10"/>
        <v>5.6224899598393578E-3</v>
      </c>
      <c r="D333" s="13">
        <f t="shared" si="9"/>
        <v>-1.2785130949028443E-2</v>
      </c>
    </row>
    <row r="334" spans="1:4" x14ac:dyDescent="0.2">
      <c r="A334" s="11">
        <v>43556</v>
      </c>
      <c r="B334" s="15">
        <f>VLOOKUP(A334,Database!A:K,MATCH($A$1,Database!$A$1:$K$1,),)+VLOOKUP(A334,Database!A:K,MATCH($B$1,Database!$A$1:$K$1,),)</f>
        <v>17567</v>
      </c>
      <c r="C334" s="12">
        <f t="shared" si="10"/>
        <v>2.2250114103149247E-3</v>
      </c>
      <c r="D334" s="13">
        <f t="shared" si="9"/>
        <v>-2.4055555555555556E-2</v>
      </c>
    </row>
    <row r="335" spans="1:4" x14ac:dyDescent="0.2">
      <c r="A335" s="30">
        <v>43586</v>
      </c>
      <c r="B335" s="31">
        <f>VLOOKUP(A335,Database!A:K,MATCH($A$1,Database!$A$1:$K$1,),)+VLOOKUP(A335,Database!A:K,MATCH($B$1,Database!$A$1:$K$1,),)</f>
        <v>17696</v>
      </c>
      <c r="C335" s="32">
        <f t="shared" si="10"/>
        <v>7.3433141686116013E-3</v>
      </c>
      <c r="D335" s="33">
        <f t="shared" si="9"/>
        <v>-1.0622833501062284E-2</v>
      </c>
    </row>
    <row r="336" spans="1:4" x14ac:dyDescent="0.2">
      <c r="A336" s="11">
        <v>43617</v>
      </c>
      <c r="B336" s="15">
        <f>VLOOKUP(A336,Database!A:K,MATCH($A$1,Database!$A$1:$K$1,),)+VLOOKUP(A336,Database!A:K,MATCH($B$1,Database!$A$1:$K$1,),)</f>
        <v>17706</v>
      </c>
      <c r="C336" s="12">
        <f t="shared" si="10"/>
        <v>5.6509945750452082E-4</v>
      </c>
      <c r="D336" s="13">
        <f t="shared" si="9"/>
        <v>-1.4032743067156699E-2</v>
      </c>
    </row>
    <row r="337" spans="1:4" x14ac:dyDescent="0.2">
      <c r="A337" s="30">
        <v>43647</v>
      </c>
      <c r="B337" s="31">
        <f>VLOOKUP(A337,Database!A:K,MATCH($A$1,Database!$A$1:$K$1,),)+VLOOKUP(A337,Database!A:K,MATCH($B$1,Database!$A$1:$K$1,),)</f>
        <v>17821</v>
      </c>
      <c r="C337" s="32">
        <f t="shared" si="10"/>
        <v>6.4949734553258779E-3</v>
      </c>
      <c r="D337" s="33">
        <f t="shared" si="9"/>
        <v>-6.0791968767428886E-3</v>
      </c>
    </row>
    <row r="338" spans="1:4" x14ac:dyDescent="0.2">
      <c r="A338" s="11">
        <v>43678</v>
      </c>
      <c r="B338" s="15">
        <f>VLOOKUP(A338,Database!A:K,MATCH($A$1,Database!$A$1:$K$1,),)+VLOOKUP(A338,Database!A:K,MATCH($B$1,Database!$A$1:$K$1,),)</f>
        <v>17720</v>
      </c>
      <c r="C338" s="12">
        <f t="shared" si="10"/>
        <v>-5.6674709612255202E-3</v>
      </c>
      <c r="D338" s="13">
        <f t="shared" si="9"/>
        <v>-5.7790495427256913E-3</v>
      </c>
    </row>
    <row r="339" spans="1:4" x14ac:dyDescent="0.2">
      <c r="A339" s="30">
        <v>43709</v>
      </c>
      <c r="B339" s="31">
        <f>VLOOKUP(A339,Database!A:K,MATCH($A$1,Database!$A$1:$K$1,),)+VLOOKUP(A339,Database!A:K,MATCH($B$1,Database!$A$1:$K$1,),)</f>
        <v>17886</v>
      </c>
      <c r="C339" s="32">
        <f t="shared" si="10"/>
        <v>9.3679458239277653E-3</v>
      </c>
      <c r="D339" s="33">
        <f t="shared" ref="D339:D372" si="11">(B339-B327)/B327</f>
        <v>1.1937765205091938E-2</v>
      </c>
    </row>
    <row r="340" spans="1:4" x14ac:dyDescent="0.2">
      <c r="A340" s="11">
        <v>43739</v>
      </c>
      <c r="B340" s="15">
        <f>VLOOKUP(A340,Database!A:K,MATCH($A$1,Database!$A$1:$K$1,),)+VLOOKUP(A340,Database!A:K,MATCH($B$1,Database!$A$1:$K$1,),)</f>
        <v>17580</v>
      </c>
      <c r="C340" s="12">
        <f t="shared" si="10"/>
        <v>-1.7108352901710835E-2</v>
      </c>
      <c r="D340" s="13">
        <f t="shared" si="11"/>
        <v>-7.3404856013551669E-3</v>
      </c>
    </row>
    <row r="341" spans="1:4" x14ac:dyDescent="0.2">
      <c r="A341" s="30">
        <v>43770</v>
      </c>
      <c r="B341" s="31">
        <f>VLOOKUP(A341,Database!A:K,MATCH($A$1,Database!$A$1:$K$1,),)+VLOOKUP(A341,Database!A:K,MATCH($B$1,Database!$A$1:$K$1,),)</f>
        <v>17708</v>
      </c>
      <c r="C341" s="32">
        <f t="shared" si="10"/>
        <v>7.2810011376564275E-3</v>
      </c>
      <c r="D341" s="33">
        <f t="shared" si="11"/>
        <v>1.6970245502884941E-3</v>
      </c>
    </row>
    <row r="342" spans="1:4" x14ac:dyDescent="0.2">
      <c r="A342" s="11">
        <v>43800</v>
      </c>
      <c r="B342" s="15">
        <f>VLOOKUP(A342,Database!A:K,MATCH($A$1,Database!$A$1:$K$1,),)+VLOOKUP(A342,Database!A:K,MATCH($B$1,Database!$A$1:$K$1,),)</f>
        <v>17598</v>
      </c>
      <c r="C342" s="12">
        <f t="shared" si="10"/>
        <v>-6.2118816354190193E-3</v>
      </c>
      <c r="D342" s="13">
        <f t="shared" si="11"/>
        <v>9.6695296058244701E-4</v>
      </c>
    </row>
    <row r="343" spans="1:4" x14ac:dyDescent="0.2">
      <c r="A343" s="30">
        <v>43831</v>
      </c>
      <c r="B343" s="31">
        <f>VLOOKUP(A343,Database!A:K,MATCH($A$1,Database!$A$1:$K$1,),)+VLOOKUP(A343,Database!A:K,MATCH($B$1,Database!$A$1:$K$1,),)</f>
        <v>17920</v>
      </c>
      <c r="C343" s="32">
        <f t="shared" si="10"/>
        <v>1.8297533810660304E-2</v>
      </c>
      <c r="D343" s="33">
        <f t="shared" si="11"/>
        <v>2.1664766248574687E-2</v>
      </c>
    </row>
    <row r="344" spans="1:4" x14ac:dyDescent="0.2">
      <c r="A344" s="11">
        <v>43862</v>
      </c>
      <c r="B344" s="15">
        <f>VLOOKUP(A344,Database!A:K,MATCH($A$1,Database!$A$1:$K$1,),)+VLOOKUP(A344,Database!A:K,MATCH($B$1,Database!$A$1:$K$1,),)</f>
        <v>17656</v>
      </c>
      <c r="C344" s="12">
        <f t="shared" si="10"/>
        <v>-1.4732142857142857E-2</v>
      </c>
      <c r="D344" s="13">
        <f t="shared" si="11"/>
        <v>1.2966150315547906E-2</v>
      </c>
    </row>
    <row r="345" spans="1:4" x14ac:dyDescent="0.2">
      <c r="A345" s="30">
        <v>43891</v>
      </c>
      <c r="B345" s="31">
        <f>VLOOKUP(A345,Database!A:K,MATCH($A$1,Database!$A$1:$K$1,),)+VLOOKUP(A345,Database!A:K,MATCH($B$1,Database!$A$1:$K$1,),)</f>
        <v>14044</v>
      </c>
      <c r="C345" s="32">
        <f t="shared" si="10"/>
        <v>-0.20457634798368826</v>
      </c>
      <c r="D345" s="33">
        <f t="shared" si="11"/>
        <v>-0.19876768598813327</v>
      </c>
    </row>
    <row r="346" spans="1:4" x14ac:dyDescent="0.2">
      <c r="A346" s="11">
        <v>43922</v>
      </c>
      <c r="B346" s="15">
        <f>VLOOKUP(A346,Database!A:K,MATCH($A$1,Database!$A$1:$K$1,),)+VLOOKUP(A346,Database!A:K,MATCH($B$1,Database!$A$1:$K$1,),)</f>
        <v>7446</v>
      </c>
      <c r="C346" s="12">
        <f t="shared" si="10"/>
        <v>-0.46980917117630305</v>
      </c>
      <c r="D346" s="13">
        <f t="shared" si="11"/>
        <v>-0.5761370751978141</v>
      </c>
    </row>
    <row r="347" spans="1:4" x14ac:dyDescent="0.2">
      <c r="A347" s="30">
        <v>43952</v>
      </c>
      <c r="B347" s="31">
        <f>VLOOKUP(A347,Database!A:K,MATCH($A$1,Database!$A$1:$K$1,),)+VLOOKUP(A347,Database!A:K,MATCH($B$1,Database!$A$1:$K$1,),)</f>
        <v>11317</v>
      </c>
      <c r="C347" s="32">
        <f t="shared" si="10"/>
        <v>0.51987644372817621</v>
      </c>
      <c r="D347" s="33">
        <f t="shared" si="11"/>
        <v>-0.36047694394213381</v>
      </c>
    </row>
    <row r="348" spans="1:4" x14ac:dyDescent="0.2">
      <c r="A348" s="11">
        <v>43983</v>
      </c>
      <c r="B348" s="15">
        <f>VLOOKUP(A348,Database!A:K,MATCH($A$1,Database!$A$1:$K$1,),)+VLOOKUP(A348,Database!A:K,MATCH($B$1,Database!$A$1:$K$1,),)</f>
        <v>15831</v>
      </c>
      <c r="C348" s="12">
        <f t="shared" si="10"/>
        <v>0.39886895820447116</v>
      </c>
      <c r="D348" s="13">
        <f t="shared" si="11"/>
        <v>-0.10589630633683497</v>
      </c>
    </row>
    <row r="349" spans="1:4" x14ac:dyDescent="0.2">
      <c r="A349" s="30">
        <v>44013</v>
      </c>
      <c r="B349" s="31">
        <f>VLOOKUP(A349,Database!A:K,MATCH($A$1,Database!$A$1:$K$1,),)+VLOOKUP(A349,Database!A:K,MATCH($B$1,Database!$A$1:$K$1,),)</f>
        <v>17003</v>
      </c>
      <c r="C349" s="32">
        <f t="shared" si="10"/>
        <v>7.4031962605015475E-2</v>
      </c>
      <c r="D349" s="33">
        <f t="shared" si="11"/>
        <v>-4.5900903428539364E-2</v>
      </c>
    </row>
    <row r="350" spans="1:4" x14ac:dyDescent="0.2">
      <c r="A350" s="11">
        <v>44044</v>
      </c>
      <c r="B350" s="15">
        <f>VLOOKUP(A350,Database!A:K,MATCH($A$1,Database!$A$1:$K$1,),)+VLOOKUP(A350,Database!A:K,MATCH($B$1,Database!$A$1:$K$1,),)</f>
        <v>17516</v>
      </c>
      <c r="C350" s="12">
        <f t="shared" si="10"/>
        <v>3.0171146268305592E-2</v>
      </c>
      <c r="D350" s="13">
        <f t="shared" si="11"/>
        <v>-1.1512415349887133E-2</v>
      </c>
    </row>
    <row r="351" spans="1:4" x14ac:dyDescent="0.2">
      <c r="A351" s="30">
        <v>44075</v>
      </c>
      <c r="B351" s="31">
        <f>VLOOKUP(A351,Database!A:K,MATCH($A$1,Database!$A$1:$K$1,),)+VLOOKUP(A351,Database!A:K,MATCH($B$1,Database!$A$1:$K$1,),)</f>
        <v>17530</v>
      </c>
      <c r="C351" s="32">
        <f t="shared" si="10"/>
        <v>7.9926923955240918E-4</v>
      </c>
      <c r="D351" s="33">
        <f t="shared" si="11"/>
        <v>-1.9903835401990384E-2</v>
      </c>
    </row>
    <row r="352" spans="1:4" x14ac:dyDescent="0.2">
      <c r="A352" s="11">
        <v>44105</v>
      </c>
      <c r="B352" s="15">
        <f>VLOOKUP(A352,Database!A:K,MATCH($A$1,Database!$A$1:$K$1,),)+VLOOKUP(A352,Database!A:K,MATCH($B$1,Database!$A$1:$K$1,),)</f>
        <v>17648</v>
      </c>
      <c r="C352" s="12">
        <f t="shared" si="10"/>
        <v>6.7313177410154024E-3</v>
      </c>
      <c r="D352" s="13">
        <f t="shared" si="11"/>
        <v>3.8680318543799774E-3</v>
      </c>
    </row>
    <row r="353" spans="1:4" x14ac:dyDescent="0.2">
      <c r="A353" s="30">
        <v>44136</v>
      </c>
      <c r="B353" s="31">
        <f>VLOOKUP(A353,Database!A:K,MATCH($A$1,Database!$A$1:$K$1,),)+VLOOKUP(A353,Database!A:K,MATCH($B$1,Database!$A$1:$K$1,),)</f>
        <v>17177</v>
      </c>
      <c r="C353" s="32">
        <f t="shared" si="10"/>
        <v>-2.6688576609247505E-2</v>
      </c>
      <c r="D353" s="33">
        <f t="shared" si="11"/>
        <v>-2.998644680370454E-2</v>
      </c>
    </row>
    <row r="354" spans="1:4" x14ac:dyDescent="0.2">
      <c r="A354" s="11">
        <v>44166</v>
      </c>
      <c r="B354" s="15">
        <f>VLOOKUP(A354,Database!A:K,MATCH($A$1,Database!$A$1:$K$1,),)+VLOOKUP(A354,Database!A:K,MATCH($B$1,Database!$A$1:$K$1,),)</f>
        <v>16924</v>
      </c>
      <c r="C354" s="12">
        <f t="shared" si="10"/>
        <v>-1.4728998078826338E-2</v>
      </c>
      <c r="D354" s="13">
        <f t="shared" si="11"/>
        <v>-3.8299806796226847E-2</v>
      </c>
    </row>
    <row r="355" spans="1:4" x14ac:dyDescent="0.2">
      <c r="A355" s="30">
        <v>44197</v>
      </c>
      <c r="B355" s="31">
        <f>VLOOKUP(A355,Database!A:K,MATCH($A$1,Database!$A$1:$K$1,),)+VLOOKUP(A355,Database!A:K,MATCH($B$1,Database!$A$1:$K$1,),)</f>
        <v>19237</v>
      </c>
      <c r="C355" s="32">
        <f t="shared" si="10"/>
        <v>0.13666981800992672</v>
      </c>
      <c r="D355" s="33">
        <f t="shared" si="11"/>
        <v>7.3493303571428567E-2</v>
      </c>
    </row>
    <row r="356" spans="1:4" x14ac:dyDescent="0.2">
      <c r="A356" s="11">
        <v>44228</v>
      </c>
      <c r="B356" s="15">
        <f>VLOOKUP(A356,Database!A:K,MATCH($A$1,Database!$A$1:$K$1,),)+VLOOKUP(A356,Database!A:K,MATCH($B$1,Database!$A$1:$K$1,),)</f>
        <v>18311</v>
      </c>
      <c r="C356" s="12">
        <f t="shared" si="10"/>
        <v>-4.8136403805167129E-2</v>
      </c>
      <c r="D356" s="13">
        <f t="shared" si="11"/>
        <v>3.7097870412324423E-2</v>
      </c>
    </row>
    <row r="357" spans="1:4" x14ac:dyDescent="0.2">
      <c r="A357" s="30">
        <v>44256</v>
      </c>
      <c r="B357" s="31">
        <f>VLOOKUP(A357,Database!A:K,MATCH($A$1,Database!$A$1:$K$1,),)+VLOOKUP(A357,Database!A:K,MATCH($B$1,Database!$A$1:$K$1,),)</f>
        <v>20071</v>
      </c>
      <c r="C357" s="32">
        <f t="shared" si="10"/>
        <v>9.6117088089126751E-2</v>
      </c>
      <c r="D357" s="33">
        <f t="shared" si="11"/>
        <v>0.42915123896325835</v>
      </c>
    </row>
    <row r="358" spans="1:4" x14ac:dyDescent="0.2">
      <c r="A358" s="11">
        <v>44287</v>
      </c>
      <c r="B358" s="15">
        <f>VLOOKUP(A358,Database!A:K,MATCH($A$1,Database!$A$1:$K$1,),)+VLOOKUP(A358,Database!A:K,MATCH($B$1,Database!$A$1:$K$1,),)</f>
        <v>20200</v>
      </c>
      <c r="C358" s="12">
        <f t="shared" si="10"/>
        <v>6.4271834985800405E-3</v>
      </c>
      <c r="D358" s="13">
        <f t="shared" si="11"/>
        <v>1.7128659683051304</v>
      </c>
    </row>
    <row r="359" spans="1:4" x14ac:dyDescent="0.2">
      <c r="A359" s="30">
        <v>44317</v>
      </c>
      <c r="B359" s="31">
        <f>VLOOKUP(A359,Database!A:K,MATCH($A$1,Database!$A$1:$K$1,),)+VLOOKUP(A359,Database!A:K,MATCH($B$1,Database!$A$1:$K$1,),)</f>
        <v>20059</v>
      </c>
      <c r="C359" s="32">
        <f t="shared" si="10"/>
        <v>-6.9801980198019803E-3</v>
      </c>
      <c r="D359" s="33">
        <f t="shared" si="11"/>
        <v>0.77246620129009458</v>
      </c>
    </row>
    <row r="360" spans="1:4" x14ac:dyDescent="0.2">
      <c r="A360" s="11">
        <v>44348</v>
      </c>
      <c r="B360" s="15">
        <f>VLOOKUP(A360,Database!A:K,MATCH($A$1,Database!$A$1:$K$1,),)+VLOOKUP(A360,Database!A:K,MATCH($B$1,Database!$A$1:$K$1,),)</f>
        <v>20449</v>
      </c>
      <c r="C360" s="12">
        <f t="shared" si="10"/>
        <v>1.9442644199611146E-2</v>
      </c>
      <c r="D360" s="13">
        <f t="shared" si="11"/>
        <v>0.29170614616890911</v>
      </c>
    </row>
    <row r="361" spans="1:4" x14ac:dyDescent="0.2">
      <c r="A361" s="30">
        <v>44378</v>
      </c>
      <c r="B361" s="31">
        <f>VLOOKUP(A361,Database!A:K,MATCH($A$1,Database!$A$1:$K$1,),)+VLOOKUP(A361,Database!A:K,MATCH($B$1,Database!$A$1:$K$1,),)</f>
        <v>20326</v>
      </c>
      <c r="C361" s="32">
        <f t="shared" si="10"/>
        <v>-6.0149640569220992E-3</v>
      </c>
      <c r="D361" s="33">
        <f t="shared" si="11"/>
        <v>0.19543609951185084</v>
      </c>
    </row>
    <row r="362" spans="1:4" x14ac:dyDescent="0.2">
      <c r="A362" s="11">
        <v>44409</v>
      </c>
      <c r="B362" s="15">
        <f>VLOOKUP(A362,Database!A:K,MATCH($A$1,Database!$A$1:$K$1,),)+VLOOKUP(A362,Database!A:K,MATCH($B$1,Database!$A$1:$K$1,),)</f>
        <v>19879</v>
      </c>
      <c r="C362" s="12">
        <f t="shared" si="10"/>
        <v>-2.1991537931713077E-2</v>
      </c>
      <c r="D362" s="13">
        <f t="shared" si="11"/>
        <v>0.13490522950445308</v>
      </c>
    </row>
    <row r="363" spans="1:4" x14ac:dyDescent="0.2">
      <c r="A363" s="11">
        <v>44440</v>
      </c>
      <c r="B363" s="15">
        <f>VLOOKUP(A363,Database!A:K,MATCH($A$1,Database!$A$1:$K$1,),)+VLOOKUP(A363,Database!A:K,MATCH($B$1,Database!$A$1:$K$1,),)</f>
        <v>19842</v>
      </c>
      <c r="C363" s="12">
        <f t="shared" si="10"/>
        <v>-1.8612606267920922E-3</v>
      </c>
      <c r="D363" s="13">
        <f t="shared" si="11"/>
        <v>0.13188819167142043</v>
      </c>
    </row>
    <row r="364" spans="1:4" x14ac:dyDescent="0.2">
      <c r="A364" s="30">
        <v>44470</v>
      </c>
      <c r="B364" s="31">
        <f>VLOOKUP(A364,Database!A:K,MATCH($A$1,Database!$A$1:$K$1,),)+VLOOKUP(A364,Database!A:K,MATCH($B$1,Database!$A$1:$K$1,),)</f>
        <v>20255</v>
      </c>
      <c r="C364" s="32">
        <f t="shared" si="10"/>
        <v>2.0814434028827739E-2</v>
      </c>
      <c r="D364" s="33">
        <f t="shared" si="11"/>
        <v>0.14772212148685404</v>
      </c>
    </row>
    <row r="365" spans="1:4" x14ac:dyDescent="0.2">
      <c r="A365" s="11">
        <v>44501</v>
      </c>
      <c r="B365" s="15">
        <f>VLOOKUP(A365,Database!A:K,MATCH($A$1,Database!$A$1:$K$1,),)+VLOOKUP(A365,Database!A:K,MATCH($B$1,Database!$A$1:$K$1,),)</f>
        <v>19252</v>
      </c>
      <c r="C365" s="12">
        <f t="shared" si="10"/>
        <v>-4.9518637373488029E-2</v>
      </c>
      <c r="D365" s="13">
        <f t="shared" si="11"/>
        <v>0.12080107119986028</v>
      </c>
    </row>
    <row r="366" spans="1:4" x14ac:dyDescent="0.2">
      <c r="A366" s="11">
        <v>44531</v>
      </c>
      <c r="B366" s="15">
        <f>VLOOKUP(A366,Database!A:K,MATCH($A$1,Database!$A$1:$K$1,),)+VLOOKUP(A366,Database!A:K,MATCH($B$1,Database!$A$1:$K$1,),)</f>
        <v>18443</v>
      </c>
      <c r="C366" s="12">
        <f t="shared" si="10"/>
        <v>-4.2021608144608355E-2</v>
      </c>
      <c r="D366" s="13">
        <f t="shared" si="11"/>
        <v>8.9754195225714956E-2</v>
      </c>
    </row>
    <row r="367" spans="1:4" x14ac:dyDescent="0.2">
      <c r="A367" s="11">
        <v>44562</v>
      </c>
      <c r="B367" s="15">
        <f>VLOOKUP(A367,Database!A:K,MATCH($A$1,Database!$A$1:$K$1,),)+VLOOKUP(A367,Database!A:K,MATCH($B$1,Database!$A$1:$K$1,),)</f>
        <v>19257</v>
      </c>
      <c r="C367" s="12">
        <f t="shared" si="10"/>
        <v>4.4135986553163802E-2</v>
      </c>
      <c r="D367" s="13">
        <f t="shared" si="11"/>
        <v>1.0396631491396788E-3</v>
      </c>
    </row>
    <row r="368" spans="1:4" x14ac:dyDescent="0.2">
      <c r="A368" s="11">
        <v>44593</v>
      </c>
      <c r="B368" s="15">
        <f>VLOOKUP(A368,Database!A:K,MATCH($A$1,Database!$A$1:$K$1,),)+VLOOKUP(A368,Database!A:K,MATCH($B$1,Database!$A$1:$K$1,),)</f>
        <v>19617</v>
      </c>
      <c r="C368" s="12">
        <f t="shared" si="10"/>
        <v>1.8694500701043778E-2</v>
      </c>
      <c r="D368" s="13">
        <f t="shared" si="11"/>
        <v>7.1323248320681557E-2</v>
      </c>
    </row>
    <row r="369" spans="1:4" x14ac:dyDescent="0.2">
      <c r="A369" s="11">
        <v>44621</v>
      </c>
      <c r="B369" s="15">
        <f>VLOOKUP(A369,Database!A:K,MATCH($A$1,Database!$A$1:$K$1,),)+VLOOKUP(A369,Database!A:K,MATCH($B$1,Database!$A$1:$K$1,),)</f>
        <v>19770</v>
      </c>
      <c r="C369" s="12">
        <f t="shared" si="10"/>
        <v>7.7993576999541214E-3</v>
      </c>
      <c r="D369" s="13">
        <f t="shared" si="11"/>
        <v>-1.4996761496686762E-2</v>
      </c>
    </row>
    <row r="370" spans="1:4" x14ac:dyDescent="0.2">
      <c r="A370" s="30">
        <v>44652</v>
      </c>
      <c r="B370" s="31">
        <f>VLOOKUP(A370,Database!A:K,MATCH($A$1,Database!$A$1:$K$1,),)+VLOOKUP(A370,Database!A:K,MATCH($B$1,Database!$A$1:$K$1,),)</f>
        <v>20080</v>
      </c>
      <c r="C370" s="32">
        <f t="shared" si="10"/>
        <v>1.5680323722812341E-2</v>
      </c>
      <c r="D370" s="33">
        <f t="shared" si="11"/>
        <v>-5.9405940594059407E-3</v>
      </c>
    </row>
    <row r="371" spans="1:4" x14ac:dyDescent="0.2">
      <c r="A371" s="11">
        <v>44682</v>
      </c>
      <c r="B371" s="15">
        <f>VLOOKUP(A371,Database!A:K,MATCH($A$1,Database!$A$1:$K$1,),)+VLOOKUP(A371,Database!A:K,MATCH($B$1,Database!$A$1:$K$1,),)</f>
        <v>19740</v>
      </c>
      <c r="C371" s="12">
        <f t="shared" si="10"/>
        <v>-1.693227091633466E-2</v>
      </c>
      <c r="D371" s="13">
        <f t="shared" si="11"/>
        <v>-1.5903085896605017E-2</v>
      </c>
    </row>
    <row r="372" spans="1:4" x14ac:dyDescent="0.2">
      <c r="A372" s="11">
        <v>44713</v>
      </c>
      <c r="B372" s="15">
        <f>VLOOKUP(A372,Database!A:K,MATCH($A$1,Database!$A$1:$K$1,),)+VLOOKUP(A372,Database!A:K,MATCH($B$1,Database!$A$1:$K$1,),)</f>
        <v>19685</v>
      </c>
      <c r="C372" s="12">
        <f t="shared" si="10"/>
        <v>-2.7862208713272541E-3</v>
      </c>
      <c r="D372" s="13">
        <f t="shared" si="11"/>
        <v>-3.7361240158442957E-2</v>
      </c>
    </row>
    <row r="373" spans="1:4" x14ac:dyDescent="0.2">
      <c r="A373" s="11">
        <v>44743</v>
      </c>
      <c r="B373" s="15">
        <f>VLOOKUP(A373,Database!A:K,MATCH($A$1,Database!$A$1:$K$1,),)+VLOOKUP(A373,Database!A:K,MATCH($B$1,Database!$A$1:$K$1,),)</f>
        <v>19741</v>
      </c>
      <c r="C373" s="12">
        <f t="shared" si="10"/>
        <v>2.844805689611379E-3</v>
      </c>
      <c r="D373" s="13">
        <f t="shared" ref="D373" si="12">(B373-B361)/B361</f>
        <v>-2.878087178982584E-2</v>
      </c>
    </row>
  </sheetData>
  <conditionalFormatting sqref="D19:D373">
    <cfRule type="colorScale" priority="46">
      <colorScale>
        <cfvo type="min"/>
        <cfvo type="percentile" val="50"/>
        <cfvo type="max"/>
        <color rgb="FFF8696B"/>
        <color rgb="FFFFEB84"/>
        <color rgb="FF63BE7B"/>
      </colorScale>
    </cfRule>
  </conditionalFormatting>
  <conditionalFormatting sqref="C8:C373">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3"/>
  <sheetViews>
    <sheetView zoomScale="170" zoomScaleNormal="170" workbookViewId="0">
      <pane ySplit="6" topLeftCell="A365" activePane="bottomLeft" state="frozen"/>
      <selection pane="bottomLeft" activeCell="A367" sqref="A367:D373"/>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8363</v>
      </c>
      <c r="C223" s="12">
        <f t="shared" si="6"/>
        <v>-2.6539401699452916E-2</v>
      </c>
      <c r="D223" s="13">
        <f t="shared" si="7"/>
        <v>-1.7389260956409351E-2</v>
      </c>
    </row>
    <row r="224" spans="1:4" x14ac:dyDescent="0.2">
      <c r="A224" s="11">
        <v>40210</v>
      </c>
      <c r="B224" s="15">
        <f>VLOOKUP(A224,Database!A:Q,MATCH($A$1,Database!$A$1:$Q$1,),)</f>
        <v>8251</v>
      </c>
      <c r="C224" s="12">
        <f t="shared" si="6"/>
        <v>-1.3392323328948942E-2</v>
      </c>
      <c r="D224" s="13">
        <f t="shared" si="7"/>
        <v>-5.6597301623599362E-2</v>
      </c>
    </row>
    <row r="225" spans="1:4" x14ac:dyDescent="0.2">
      <c r="A225" s="10">
        <v>40238</v>
      </c>
      <c r="B225" s="15">
        <f>VLOOKUP(A225,Database!A:Q,MATCH($A$1,Database!$A$1:$Q$1,),)</f>
        <v>8705</v>
      </c>
      <c r="C225" s="12">
        <f t="shared" si="6"/>
        <v>5.5023633498969819E-2</v>
      </c>
      <c r="D225" s="13">
        <f t="shared" si="7"/>
        <v>1.0446894950667441E-2</v>
      </c>
    </row>
    <row r="226" spans="1:4" x14ac:dyDescent="0.2">
      <c r="A226" s="11">
        <v>40269</v>
      </c>
      <c r="B226" s="15">
        <f>VLOOKUP(A226,Database!A:Q,MATCH($A$1,Database!$A$1:$Q$1,),)</f>
        <v>8567</v>
      </c>
      <c r="C226" s="12">
        <f t="shared" si="6"/>
        <v>-1.5852958070074669E-2</v>
      </c>
      <c r="D226" s="13">
        <f t="shared" si="7"/>
        <v>-1.2677192578079982E-2</v>
      </c>
    </row>
    <row r="227" spans="1:4" x14ac:dyDescent="0.2">
      <c r="A227" s="10">
        <v>40299</v>
      </c>
      <c r="B227" s="15">
        <f>VLOOKUP(A227,Database!A:Q,MATCH($A$1,Database!$A$1:$Q$1,),)</f>
        <v>8632</v>
      </c>
      <c r="C227" s="12">
        <f t="shared" si="6"/>
        <v>7.5872534142640367E-3</v>
      </c>
      <c r="D227" s="13">
        <f t="shared" si="7"/>
        <v>2.4448136719677188E-2</v>
      </c>
    </row>
    <row r="228" spans="1:4" x14ac:dyDescent="0.2">
      <c r="A228" s="11">
        <v>40330</v>
      </c>
      <c r="B228" s="15">
        <f>VLOOKUP(A228,Database!A:Q,MATCH($A$1,Database!$A$1:$Q$1,),)</f>
        <v>8797</v>
      </c>
      <c r="C228" s="12">
        <f t="shared" si="6"/>
        <v>1.911492122335496E-2</v>
      </c>
      <c r="D228" s="13">
        <f t="shared" si="7"/>
        <v>3.9220318960425278E-2</v>
      </c>
    </row>
    <row r="229" spans="1:4" x14ac:dyDescent="0.2">
      <c r="A229" s="10">
        <v>40360</v>
      </c>
      <c r="B229" s="15">
        <f>VLOOKUP(A229,Database!A:Q,MATCH($A$1,Database!$A$1:$Q$1,),)</f>
        <v>8613</v>
      </c>
      <c r="C229" s="12">
        <f t="shared" si="6"/>
        <v>-2.0916221439126977E-2</v>
      </c>
      <c r="D229" s="13">
        <f t="shared" si="7"/>
        <v>3.125E-2</v>
      </c>
    </row>
    <row r="230" spans="1:4" x14ac:dyDescent="0.2">
      <c r="A230" s="11">
        <v>40391</v>
      </c>
      <c r="B230" s="15">
        <f>VLOOKUP(A230,Database!A:Q,MATCH($A$1,Database!$A$1:$Q$1,),)</f>
        <v>8649</v>
      </c>
      <c r="C230" s="12">
        <f t="shared" si="6"/>
        <v>4.1797283176593526E-3</v>
      </c>
      <c r="D230" s="13">
        <f t="shared" si="7"/>
        <v>4.0418621436304585E-2</v>
      </c>
    </row>
    <row r="231" spans="1:4" x14ac:dyDescent="0.2">
      <c r="A231" s="10">
        <v>40422</v>
      </c>
      <c r="B231" s="15">
        <f>VLOOKUP(A231,Database!A:Q,MATCH($A$1,Database!$A$1:$Q$1,),)</f>
        <v>8766</v>
      </c>
      <c r="C231" s="12">
        <f t="shared" si="6"/>
        <v>1.3527575442247659E-2</v>
      </c>
      <c r="D231" s="13">
        <f t="shared" si="7"/>
        <v>4.5438282647584975E-2</v>
      </c>
    </row>
    <row r="232" spans="1:4" x14ac:dyDescent="0.2">
      <c r="A232" s="11">
        <v>40452</v>
      </c>
      <c r="B232" s="15">
        <f>VLOOKUP(A232,Database!A:Q,MATCH($A$1,Database!$A$1:$Q$1,),)</f>
        <v>8924</v>
      </c>
      <c r="C232" s="12">
        <f t="shared" si="6"/>
        <v>1.8024184348619667E-2</v>
      </c>
      <c r="D232" s="13">
        <f t="shared" si="7"/>
        <v>6.7464114832535879E-2</v>
      </c>
    </row>
    <row r="233" spans="1:4" x14ac:dyDescent="0.2">
      <c r="A233" s="10">
        <v>40483</v>
      </c>
      <c r="B233" s="15">
        <f>VLOOKUP(A233,Database!A:Q,MATCH($A$1,Database!$A$1:$Q$1,),)</f>
        <v>8902</v>
      </c>
      <c r="C233" s="12">
        <f t="shared" si="6"/>
        <v>-2.4652622142536979E-3</v>
      </c>
      <c r="D233" s="13">
        <f t="shared" si="7"/>
        <v>5.9005472281703546E-2</v>
      </c>
    </row>
    <row r="234" spans="1:4" x14ac:dyDescent="0.2">
      <c r="A234" s="11">
        <v>40513</v>
      </c>
      <c r="B234" s="15">
        <f>VLOOKUP(A234,Database!A:Q,MATCH($A$1,Database!$A$1:$Q$1,),)</f>
        <v>8878</v>
      </c>
      <c r="C234" s="12">
        <f t="shared" si="6"/>
        <v>-2.6960233655358348E-3</v>
      </c>
      <c r="D234" s="13">
        <f t="shared" si="7"/>
        <v>3.3407053893609588E-2</v>
      </c>
    </row>
    <row r="235" spans="1:4" x14ac:dyDescent="0.2">
      <c r="A235" s="10">
        <v>40544</v>
      </c>
      <c r="B235" s="15">
        <f>VLOOKUP(A235,Database!A:Q,MATCH($A$1,Database!$A$1:$Q$1,),)</f>
        <v>8828</v>
      </c>
      <c r="C235" s="12">
        <f t="shared" si="6"/>
        <v>-5.6318990763685513E-3</v>
      </c>
      <c r="D235" s="13">
        <f t="shared" si="7"/>
        <v>5.5602056678225514E-2</v>
      </c>
    </row>
    <row r="236" spans="1:4" x14ac:dyDescent="0.2">
      <c r="A236" s="11">
        <v>40575</v>
      </c>
      <c r="B236" s="15">
        <f>VLOOKUP(A236,Database!A:Q,MATCH($A$1,Database!$A$1:$Q$1,),)</f>
        <v>9116</v>
      </c>
      <c r="C236" s="12">
        <f t="shared" si="6"/>
        <v>3.2623470774807428E-2</v>
      </c>
      <c r="D236" s="13">
        <f t="shared" si="7"/>
        <v>0.10483577748151739</v>
      </c>
    </row>
    <row r="237" spans="1:4" x14ac:dyDescent="0.2">
      <c r="A237" s="10">
        <v>40603</v>
      </c>
      <c r="B237" s="15">
        <f>VLOOKUP(A237,Database!A:Q,MATCH($A$1,Database!$A$1:$Q$1,),)</f>
        <v>8842</v>
      </c>
      <c r="C237" s="12">
        <f t="shared" si="6"/>
        <v>-3.0057042562527423E-2</v>
      </c>
      <c r="D237" s="13">
        <f t="shared" si="7"/>
        <v>1.5738081562320507E-2</v>
      </c>
    </row>
    <row r="238" spans="1:4" x14ac:dyDescent="0.2">
      <c r="A238" s="11">
        <v>40634</v>
      </c>
      <c r="B238" s="15">
        <f>VLOOKUP(A238,Database!A:Q,MATCH($A$1,Database!$A$1:$Q$1,),)</f>
        <v>9053</v>
      </c>
      <c r="C238" s="12">
        <f t="shared" si="6"/>
        <v>2.3863379325944355E-2</v>
      </c>
      <c r="D238" s="13">
        <f t="shared" si="7"/>
        <v>5.6729310143574178E-2</v>
      </c>
    </row>
    <row r="239" spans="1:4" x14ac:dyDescent="0.2">
      <c r="A239" s="10">
        <v>40664</v>
      </c>
      <c r="B239" s="15">
        <f>VLOOKUP(A239,Database!A:Q,MATCH($A$1,Database!$A$1:$Q$1,),)</f>
        <v>8975</v>
      </c>
      <c r="C239" s="12">
        <f t="shared" si="6"/>
        <v>-8.6159284215177288E-3</v>
      </c>
      <c r="D239" s="13">
        <f t="shared" si="7"/>
        <v>3.9735866543095459E-2</v>
      </c>
    </row>
    <row r="240" spans="1:4" x14ac:dyDescent="0.2">
      <c r="A240" s="11">
        <v>40695</v>
      </c>
      <c r="B240" s="15">
        <f>VLOOKUP(A240,Database!A:Q,MATCH($A$1,Database!$A$1:$Q$1,),)</f>
        <v>9062</v>
      </c>
      <c r="C240" s="12">
        <f t="shared" si="6"/>
        <v>9.6935933147632315E-3</v>
      </c>
      <c r="D240" s="13">
        <f t="shared" si="7"/>
        <v>3.0123905877003525E-2</v>
      </c>
    </row>
    <row r="241" spans="1:4" x14ac:dyDescent="0.2">
      <c r="A241" s="10">
        <v>40725</v>
      </c>
      <c r="B241" s="15">
        <f>VLOOKUP(A241,Database!A:Q,MATCH($A$1,Database!$A$1:$Q$1,),)</f>
        <v>9168</v>
      </c>
      <c r="C241" s="12">
        <f t="shared" si="6"/>
        <v>1.1697197086735819E-2</v>
      </c>
      <c r="D241" s="13">
        <f t="shared" si="7"/>
        <v>6.4437478230581685E-2</v>
      </c>
    </row>
    <row r="242" spans="1:4" x14ac:dyDescent="0.2">
      <c r="A242" s="11">
        <v>40756</v>
      </c>
      <c r="B242" s="15">
        <f>VLOOKUP(A242,Database!A:Q,MATCH($A$1,Database!$A$1:$Q$1,),)</f>
        <v>9228</v>
      </c>
      <c r="C242" s="12">
        <f t="shared" si="6"/>
        <v>6.5445026178010471E-3</v>
      </c>
      <c r="D242" s="13">
        <f t="shared" si="7"/>
        <v>6.694415539368713E-2</v>
      </c>
    </row>
    <row r="243" spans="1:4" x14ac:dyDescent="0.2">
      <c r="A243" s="10">
        <v>40787</v>
      </c>
      <c r="B243" s="15">
        <f>VLOOKUP(A243,Database!A:Q,MATCH($A$1,Database!$A$1:$Q$1,),)</f>
        <v>9151</v>
      </c>
      <c r="C243" s="12">
        <f t="shared" si="6"/>
        <v>-8.3441699176419592E-3</v>
      </c>
      <c r="D243" s="13">
        <f t="shared" si="7"/>
        <v>4.3919689710244125E-2</v>
      </c>
    </row>
    <row r="244" spans="1:4" x14ac:dyDescent="0.2">
      <c r="A244" s="11">
        <v>40817</v>
      </c>
      <c r="B244" s="15">
        <f>VLOOKUP(A244,Database!A:Q,MATCH($A$1,Database!$A$1:$Q$1,),)</f>
        <v>9076</v>
      </c>
      <c r="C244" s="12">
        <f t="shared" si="6"/>
        <v>-8.195825592831385E-3</v>
      </c>
      <c r="D244" s="13">
        <f t="shared" si="7"/>
        <v>1.7032720753025549E-2</v>
      </c>
    </row>
    <row r="245" spans="1:4" x14ac:dyDescent="0.2">
      <c r="A245" s="10">
        <v>40848</v>
      </c>
      <c r="B245" s="15">
        <f>VLOOKUP(A245,Database!A:Q,MATCH($A$1,Database!$A$1:$Q$1,),)</f>
        <v>9043</v>
      </c>
      <c r="C245" s="12">
        <f t="shared" si="6"/>
        <v>-3.635962979286029E-3</v>
      </c>
      <c r="D245" s="13">
        <f t="shared" si="7"/>
        <v>1.5839137272523028E-2</v>
      </c>
    </row>
    <row r="246" spans="1:4" x14ac:dyDescent="0.2">
      <c r="A246" s="11">
        <v>40878</v>
      </c>
      <c r="B246" s="15">
        <f>VLOOKUP(A246,Database!A:Q,MATCH($A$1,Database!$A$1:$Q$1,),)</f>
        <v>8868</v>
      </c>
      <c r="C246" s="12">
        <f t="shared" si="6"/>
        <v>-1.9351984960743116E-2</v>
      </c>
      <c r="D246" s="13">
        <f t="shared" si="7"/>
        <v>-1.1263798152737104E-3</v>
      </c>
    </row>
    <row r="247" spans="1:4" x14ac:dyDescent="0.2">
      <c r="A247" s="10">
        <v>40909</v>
      </c>
      <c r="B247" s="15">
        <f>VLOOKUP(A247,Database!A:Q,MATCH($A$1,Database!$A$1:$Q$1,),)</f>
        <v>9309</v>
      </c>
      <c r="C247" s="12">
        <f t="shared" si="6"/>
        <v>4.9729364005412717E-2</v>
      </c>
      <c r="D247" s="13">
        <f t="shared" si="7"/>
        <v>5.4485727231536024E-2</v>
      </c>
    </row>
    <row r="248" spans="1:4" x14ac:dyDescent="0.2">
      <c r="A248" s="11">
        <v>40940</v>
      </c>
      <c r="B248" s="15">
        <f>VLOOKUP(A248,Database!A:Q,MATCH($A$1,Database!$A$1:$Q$1,),)</f>
        <v>9416</v>
      </c>
      <c r="C248" s="12">
        <f t="shared" si="6"/>
        <v>1.1494252873563218E-2</v>
      </c>
      <c r="D248" s="13">
        <f t="shared" si="7"/>
        <v>3.2909170688898641E-2</v>
      </c>
    </row>
    <row r="249" spans="1:4" x14ac:dyDescent="0.2">
      <c r="A249" s="10">
        <v>40969</v>
      </c>
      <c r="B249" s="15">
        <f>VLOOKUP(A249,Database!A:Q,MATCH($A$1,Database!$A$1:$Q$1,),)</f>
        <v>9186</v>
      </c>
      <c r="C249" s="12">
        <f t="shared" si="6"/>
        <v>-2.4426508071367883E-2</v>
      </c>
      <c r="D249" s="13">
        <f t="shared" si="7"/>
        <v>3.8905225062203119E-2</v>
      </c>
    </row>
    <row r="250" spans="1:4" x14ac:dyDescent="0.2">
      <c r="A250" s="11">
        <v>41000</v>
      </c>
      <c r="B250" s="15">
        <f>VLOOKUP(A250,Database!A:Q,MATCH($A$1,Database!$A$1:$Q$1,),)</f>
        <v>9201</v>
      </c>
      <c r="C250" s="12">
        <f t="shared" si="6"/>
        <v>1.6329196603527107E-3</v>
      </c>
      <c r="D250" s="13">
        <f t="shared" si="7"/>
        <v>1.6348171876725947E-2</v>
      </c>
    </row>
    <row r="251" spans="1:4" x14ac:dyDescent="0.2">
      <c r="A251" s="10">
        <v>41030</v>
      </c>
      <c r="B251" s="15">
        <f>VLOOKUP(A251,Database!A:Q,MATCH($A$1,Database!$A$1:$Q$1,),)</f>
        <v>8897</v>
      </c>
      <c r="C251" s="12">
        <f t="shared" si="6"/>
        <v>-3.303988696880774E-2</v>
      </c>
      <c r="D251" s="13">
        <f t="shared" si="7"/>
        <v>-8.6908077994428973E-3</v>
      </c>
    </row>
    <row r="252" spans="1:4" x14ac:dyDescent="0.2">
      <c r="A252" s="11">
        <v>41061</v>
      </c>
      <c r="B252" s="15">
        <f>VLOOKUP(A252,Database!A:Q,MATCH($A$1,Database!$A$1:$Q$1,),)</f>
        <v>9079</v>
      </c>
      <c r="C252" s="12">
        <f t="shared" si="6"/>
        <v>2.0456333595594022E-2</v>
      </c>
      <c r="D252" s="13">
        <f t="shared" si="7"/>
        <v>1.8759655705142353E-3</v>
      </c>
    </row>
    <row r="253" spans="1:4" x14ac:dyDescent="0.2">
      <c r="A253" s="10">
        <v>41091</v>
      </c>
      <c r="B253" s="15">
        <f>VLOOKUP(A253,Database!A:Q,MATCH($A$1,Database!$A$1:$Q$1,),)</f>
        <v>9181</v>
      </c>
      <c r="C253" s="12">
        <f t="shared" si="6"/>
        <v>1.1234717479898668E-2</v>
      </c>
      <c r="D253" s="13">
        <f t="shared" si="7"/>
        <v>1.4179755671902268E-3</v>
      </c>
    </row>
    <row r="254" spans="1:4" x14ac:dyDescent="0.2">
      <c r="A254" s="11">
        <v>41122</v>
      </c>
      <c r="B254" s="15">
        <f>VLOOKUP(A254,Database!A:Q,MATCH($A$1,Database!$A$1:$Q$1,),)</f>
        <v>9083</v>
      </c>
      <c r="C254" s="12">
        <f t="shared" si="6"/>
        <v>-1.0674218494717351E-2</v>
      </c>
      <c r="D254" s="13">
        <f t="shared" si="7"/>
        <v>-1.5713047247507585E-2</v>
      </c>
    </row>
    <row r="255" spans="1:4" x14ac:dyDescent="0.2">
      <c r="A255" s="10">
        <v>41153</v>
      </c>
      <c r="B255" s="15">
        <f>VLOOKUP(A255,Database!A:Q,MATCH($A$1,Database!$A$1:$Q$1,),)</f>
        <v>9103</v>
      </c>
      <c r="C255" s="12">
        <f t="shared" si="6"/>
        <v>2.2019156666299683E-3</v>
      </c>
      <c r="D255" s="13">
        <f t="shared" si="7"/>
        <v>-5.2453283794120864E-3</v>
      </c>
    </row>
    <row r="256" spans="1:4" x14ac:dyDescent="0.2">
      <c r="A256" s="11">
        <v>41183</v>
      </c>
      <c r="B256" s="15">
        <f>VLOOKUP(A256,Database!A:Q,MATCH($A$1,Database!$A$1:$Q$1,),)</f>
        <v>9157</v>
      </c>
      <c r="C256" s="12">
        <f t="shared" si="6"/>
        <v>5.9321102933098981E-3</v>
      </c>
      <c r="D256" s="13">
        <f t="shared" si="7"/>
        <v>8.9246364037020715E-3</v>
      </c>
    </row>
    <row r="257" spans="1:4" x14ac:dyDescent="0.2">
      <c r="A257" s="10">
        <v>41214</v>
      </c>
      <c r="B257" s="15">
        <f>VLOOKUP(A257,Database!A:Q,MATCH($A$1,Database!$A$1:$Q$1,),)</f>
        <v>9089</v>
      </c>
      <c r="C257" s="12">
        <f t="shared" si="6"/>
        <v>-7.4260128863164795E-3</v>
      </c>
      <c r="D257" s="13">
        <f t="shared" si="7"/>
        <v>5.0868074753953338E-3</v>
      </c>
    </row>
    <row r="258" spans="1:4" x14ac:dyDescent="0.2">
      <c r="A258" s="11">
        <v>41244</v>
      </c>
      <c r="B258" s="15">
        <f>VLOOKUP(A258,Database!A:Q,MATCH($A$1,Database!$A$1:$Q$1,),)</f>
        <v>9324</v>
      </c>
      <c r="C258" s="12">
        <f t="shared" si="6"/>
        <v>2.5855429640224446E-2</v>
      </c>
      <c r="D258" s="13">
        <f t="shared" si="7"/>
        <v>5.142083897158322E-2</v>
      </c>
    </row>
    <row r="259" spans="1:4" x14ac:dyDescent="0.2">
      <c r="A259" s="10">
        <v>41275</v>
      </c>
      <c r="B259" s="15">
        <f>VLOOKUP(A259,Database!A:Q,MATCH($A$1,Database!$A$1:$Q$1,),)</f>
        <v>9229</v>
      </c>
      <c r="C259" s="12">
        <f t="shared" si="6"/>
        <v>-1.018876018876019E-2</v>
      </c>
      <c r="D259" s="13">
        <f t="shared" si="7"/>
        <v>-8.593833924159416E-3</v>
      </c>
    </row>
    <row r="260" spans="1:4" x14ac:dyDescent="0.2">
      <c r="A260" s="11">
        <v>41306</v>
      </c>
      <c r="B260" s="15">
        <f>VLOOKUP(A260,Database!A:Q,MATCH($A$1,Database!$A$1:$Q$1,),)</f>
        <v>9281</v>
      </c>
      <c r="C260" s="12">
        <f t="shared" si="6"/>
        <v>5.6344132625419869E-3</v>
      </c>
      <c r="D260" s="13">
        <f t="shared" si="7"/>
        <v>-1.433729821580289E-2</v>
      </c>
    </row>
    <row r="261" spans="1:4" x14ac:dyDescent="0.2">
      <c r="A261" s="10">
        <v>41334</v>
      </c>
      <c r="B261" s="15">
        <f>VLOOKUP(A261,Database!A:Q,MATCH($A$1,Database!$A$1:$Q$1,),)</f>
        <v>9367</v>
      </c>
      <c r="C261" s="12">
        <f t="shared" si="6"/>
        <v>9.2662428617605857E-3</v>
      </c>
      <c r="D261" s="13">
        <f t="shared" si="7"/>
        <v>1.9703897234922708E-2</v>
      </c>
    </row>
    <row r="262" spans="1:4" x14ac:dyDescent="0.2">
      <c r="A262" s="11">
        <v>41365</v>
      </c>
      <c r="B262" s="15">
        <f>VLOOKUP(A262,Database!A:Q,MATCH($A$1,Database!$A$1:$Q$1,),)</f>
        <v>9329</v>
      </c>
      <c r="C262" s="12">
        <f t="shared" si="6"/>
        <v>-4.0567951318458417E-3</v>
      </c>
      <c r="D262" s="13">
        <f t="shared" si="7"/>
        <v>1.3911531355287469E-2</v>
      </c>
    </row>
    <row r="263" spans="1:4" x14ac:dyDescent="0.2">
      <c r="A263" s="10">
        <v>41395</v>
      </c>
      <c r="B263" s="15">
        <f>VLOOKUP(A263,Database!A:Q,MATCH($A$1,Database!$A$1:$Q$1,),)</f>
        <v>9328</v>
      </c>
      <c r="C263" s="12">
        <f t="shared" si="6"/>
        <v>-1.0719262514738985E-4</v>
      </c>
      <c r="D263" s="13">
        <f t="shared" si="7"/>
        <v>4.8443295492862762E-2</v>
      </c>
    </row>
    <row r="264" spans="1:4" x14ac:dyDescent="0.2">
      <c r="A264" s="11">
        <v>41426</v>
      </c>
      <c r="B264" s="15">
        <f>VLOOKUP(A264,Database!A:Q,MATCH($A$1,Database!$A$1:$Q$1,),)</f>
        <v>9170</v>
      </c>
      <c r="C264" s="12">
        <f t="shared" ref="C264:C327" si="8">(B264-B263)/B263</f>
        <v>-1.6938250428816467E-2</v>
      </c>
      <c r="D264" s="13">
        <f t="shared" si="7"/>
        <v>1.0023130300693909E-2</v>
      </c>
    </row>
    <row r="265" spans="1:4" x14ac:dyDescent="0.2">
      <c r="A265" s="10">
        <v>41456</v>
      </c>
      <c r="B265" s="15">
        <f>VLOOKUP(A265,Database!A:Q,MATCH($A$1,Database!$A$1:$Q$1,),)</f>
        <v>9215</v>
      </c>
      <c r="C265" s="12">
        <f t="shared" si="8"/>
        <v>4.9073064340239914E-3</v>
      </c>
      <c r="D265" s="13">
        <f t="shared" si="7"/>
        <v>3.7033002940856114E-3</v>
      </c>
    </row>
    <row r="266" spans="1:4" x14ac:dyDescent="0.2">
      <c r="A266" s="11">
        <v>41487</v>
      </c>
      <c r="B266" s="15">
        <f>VLOOKUP(A266,Database!A:Q,MATCH($A$1,Database!$A$1:$Q$1,),)</f>
        <v>9301</v>
      </c>
      <c r="C266" s="12">
        <f t="shared" si="8"/>
        <v>9.3326098752034726E-3</v>
      </c>
      <c r="D266" s="13">
        <f t="shared" si="7"/>
        <v>2.4000880766266653E-2</v>
      </c>
    </row>
    <row r="267" spans="1:4" x14ac:dyDescent="0.2">
      <c r="A267" s="10">
        <v>41518</v>
      </c>
      <c r="B267" s="15">
        <f>VLOOKUP(A267,Database!A:Q,MATCH($A$1,Database!$A$1:$Q$1,),)</f>
        <v>9507</v>
      </c>
      <c r="C267" s="12">
        <f t="shared" si="8"/>
        <v>2.2148156112245996E-2</v>
      </c>
      <c r="D267" s="13">
        <f t="shared" si="7"/>
        <v>4.4380973305503682E-2</v>
      </c>
    </row>
    <row r="268" spans="1:4" x14ac:dyDescent="0.2">
      <c r="A268" s="11">
        <v>41548</v>
      </c>
      <c r="B268" s="15">
        <f>VLOOKUP(A268,Database!A:Q,MATCH($A$1,Database!$A$1:$Q$1,),)</f>
        <v>9478</v>
      </c>
      <c r="C268" s="12">
        <f t="shared" si="8"/>
        <v>-3.0503839276322712E-3</v>
      </c>
      <c r="D268" s="13">
        <f t="shared" si="7"/>
        <v>3.5055149066288087E-2</v>
      </c>
    </row>
    <row r="269" spans="1:4" x14ac:dyDescent="0.2">
      <c r="A269" s="10">
        <v>41579</v>
      </c>
      <c r="B269" s="15">
        <f>VLOOKUP(A269,Database!A:Q,MATCH($A$1,Database!$A$1:$Q$1,),)</f>
        <v>9545</v>
      </c>
      <c r="C269" s="12">
        <f t="shared" si="8"/>
        <v>7.0690018991348387E-3</v>
      </c>
      <c r="D269" s="13">
        <f t="shared" si="7"/>
        <v>5.0170535812520629E-2</v>
      </c>
    </row>
    <row r="270" spans="1:4" x14ac:dyDescent="0.2">
      <c r="A270" s="11">
        <v>41609</v>
      </c>
      <c r="B270" s="15">
        <f>VLOOKUP(A270,Database!A:Q,MATCH($A$1,Database!$A$1:$Q$1,),)</f>
        <v>9389</v>
      </c>
      <c r="C270" s="12">
        <f t="shared" si="8"/>
        <v>-1.6343635411210058E-2</v>
      </c>
      <c r="D270" s="13">
        <f t="shared" si="7"/>
        <v>6.971256971256971E-3</v>
      </c>
    </row>
    <row r="271" spans="1:4" x14ac:dyDescent="0.2">
      <c r="A271" s="10">
        <v>41640</v>
      </c>
      <c r="B271" s="15">
        <f>VLOOKUP(A271,Database!A:Q,MATCH($A$1,Database!$A$1:$Q$1,),)</f>
        <v>9248</v>
      </c>
      <c r="C271" s="12">
        <f t="shared" si="8"/>
        <v>-1.5017573756523591E-2</v>
      </c>
      <c r="D271" s="13">
        <f t="shared" si="7"/>
        <v>2.0587279228518798E-3</v>
      </c>
    </row>
    <row r="272" spans="1:4" x14ac:dyDescent="0.2">
      <c r="A272" s="11">
        <v>41671</v>
      </c>
      <c r="B272" s="15">
        <f>VLOOKUP(A272,Database!A:Q,MATCH($A$1,Database!$A$1:$Q$1,),)</f>
        <v>9386</v>
      </c>
      <c r="C272" s="12">
        <f t="shared" si="8"/>
        <v>1.4922145328719723E-2</v>
      </c>
      <c r="D272" s="13">
        <f t="shared" si="7"/>
        <v>1.1313436052149553E-2</v>
      </c>
    </row>
    <row r="273" spans="1:4" x14ac:dyDescent="0.2">
      <c r="A273" s="10">
        <v>41699</v>
      </c>
      <c r="B273" s="15">
        <f>VLOOKUP(A273,Database!A:Q,MATCH($A$1,Database!$A$1:$Q$1,),)</f>
        <v>9471</v>
      </c>
      <c r="C273" s="12">
        <f t="shared" si="8"/>
        <v>9.0560409119965907E-3</v>
      </c>
      <c r="D273" s="13">
        <f t="shared" si="7"/>
        <v>1.1102807729262304E-2</v>
      </c>
    </row>
    <row r="274" spans="1:4" x14ac:dyDescent="0.2">
      <c r="A274" s="11">
        <v>41730</v>
      </c>
      <c r="B274" s="15">
        <f>VLOOKUP(A274,Database!A:Q,MATCH($A$1,Database!$A$1:$Q$1,),)</f>
        <v>9348</v>
      </c>
      <c r="C274" s="12">
        <f t="shared" si="8"/>
        <v>-1.2987012987012988E-2</v>
      </c>
      <c r="D274" s="13">
        <f t="shared" si="7"/>
        <v>2.0366598778004071E-3</v>
      </c>
    </row>
    <row r="275" spans="1:4" x14ac:dyDescent="0.2">
      <c r="A275" s="10">
        <v>41760</v>
      </c>
      <c r="B275" s="15">
        <f>VLOOKUP(A275,Database!A:Q,MATCH($A$1,Database!$A$1:$Q$1,),)</f>
        <v>9534</v>
      </c>
      <c r="C275" s="12">
        <f t="shared" si="8"/>
        <v>1.9897304236200258E-2</v>
      </c>
      <c r="D275" s="13">
        <f t="shared" ref="D275:D338" si="9">(B275-B263)/B263</f>
        <v>2.2084048027444254E-2</v>
      </c>
    </row>
    <row r="276" spans="1:4" x14ac:dyDescent="0.2">
      <c r="A276" s="11">
        <v>41791</v>
      </c>
      <c r="B276" s="15">
        <f>VLOOKUP(A276,Database!A:Q,MATCH($A$1,Database!$A$1:$Q$1,),)</f>
        <v>9596</v>
      </c>
      <c r="C276" s="12">
        <f t="shared" si="8"/>
        <v>6.5030417453324938E-3</v>
      </c>
      <c r="D276" s="13">
        <f t="shared" si="9"/>
        <v>4.6455834242093784E-2</v>
      </c>
    </row>
    <row r="277" spans="1:4" x14ac:dyDescent="0.2">
      <c r="A277" s="10">
        <v>41821</v>
      </c>
      <c r="B277" s="15">
        <f>VLOOKUP(A277,Database!A:Q,MATCH($A$1,Database!$A$1:$Q$1,),)</f>
        <v>9628</v>
      </c>
      <c r="C277" s="12">
        <f t="shared" si="8"/>
        <v>3.3347228011671531E-3</v>
      </c>
      <c r="D277" s="13">
        <f t="shared" si="9"/>
        <v>4.4818231144872489E-2</v>
      </c>
    </row>
    <row r="278" spans="1:4" x14ac:dyDescent="0.2">
      <c r="A278" s="11">
        <v>41852</v>
      </c>
      <c r="B278" s="15">
        <f>VLOOKUP(A278,Database!A:Q,MATCH($A$1,Database!$A$1:$Q$1,),)</f>
        <v>9740</v>
      </c>
      <c r="C278" s="12">
        <f t="shared" si="8"/>
        <v>1.1632737847943497E-2</v>
      </c>
      <c r="D278" s="13">
        <f t="shared" si="9"/>
        <v>4.7199225889689278E-2</v>
      </c>
    </row>
    <row r="279" spans="1:4" x14ac:dyDescent="0.2">
      <c r="A279" s="10">
        <v>41883</v>
      </c>
      <c r="B279" s="15">
        <f>VLOOKUP(A279,Database!A:Q,MATCH($A$1,Database!$A$1:$Q$1,),)</f>
        <v>9734</v>
      </c>
      <c r="C279" s="12">
        <f t="shared" si="8"/>
        <v>-6.1601642710472284E-4</v>
      </c>
      <c r="D279" s="13">
        <f t="shared" si="9"/>
        <v>2.3877143157673295E-2</v>
      </c>
    </row>
    <row r="280" spans="1:4" x14ac:dyDescent="0.2">
      <c r="A280" s="11">
        <v>41913</v>
      </c>
      <c r="B280" s="15">
        <f>VLOOKUP(A280,Database!A:Q,MATCH($A$1,Database!$A$1:$Q$1,),)</f>
        <v>9895</v>
      </c>
      <c r="C280" s="12">
        <f t="shared" si="8"/>
        <v>1.6539963016231764E-2</v>
      </c>
      <c r="D280" s="13">
        <f t="shared" si="9"/>
        <v>4.3996623760286978E-2</v>
      </c>
    </row>
    <row r="281" spans="1:4" x14ac:dyDescent="0.2">
      <c r="A281" s="10">
        <v>41944</v>
      </c>
      <c r="B281" s="15">
        <f>VLOOKUP(A281,Database!A:Q,MATCH($A$1,Database!$A$1:$Q$1,),)</f>
        <v>9834</v>
      </c>
      <c r="C281" s="12">
        <f t="shared" si="8"/>
        <v>-6.1647296614451745E-3</v>
      </c>
      <c r="D281" s="13">
        <f t="shared" si="9"/>
        <v>3.0277632268203247E-2</v>
      </c>
    </row>
    <row r="282" spans="1:4" x14ac:dyDescent="0.2">
      <c r="A282" s="11">
        <v>41974</v>
      </c>
      <c r="B282" s="15">
        <f>VLOOKUP(A282,Database!A:Q,MATCH($A$1,Database!$A$1:$Q$1,),)</f>
        <v>9815</v>
      </c>
      <c r="C282" s="12">
        <f t="shared" si="8"/>
        <v>-1.9320724018710596E-3</v>
      </c>
      <c r="D282" s="13">
        <f t="shared" si="9"/>
        <v>4.5372244115454256E-2</v>
      </c>
    </row>
    <row r="283" spans="1:4" x14ac:dyDescent="0.2">
      <c r="A283" s="10">
        <v>42005</v>
      </c>
      <c r="B283" s="15">
        <f>VLOOKUP(A283,Database!A:Q,MATCH($A$1,Database!$A$1:$Q$1,),)</f>
        <v>9847</v>
      </c>
      <c r="C283" s="12">
        <f t="shared" si="8"/>
        <v>3.2603158430973E-3</v>
      </c>
      <c r="D283" s="13">
        <f t="shared" si="9"/>
        <v>6.4770761245674741E-2</v>
      </c>
    </row>
    <row r="284" spans="1:4" x14ac:dyDescent="0.2">
      <c r="A284" s="11">
        <v>42036</v>
      </c>
      <c r="B284" s="15">
        <f>VLOOKUP(A284,Database!A:Q,MATCH($A$1,Database!$A$1:$Q$1,),)</f>
        <v>9766</v>
      </c>
      <c r="C284" s="12">
        <f t="shared" si="8"/>
        <v>-8.2258555905351891E-3</v>
      </c>
      <c r="D284" s="13">
        <f t="shared" si="9"/>
        <v>4.048582995951417E-2</v>
      </c>
    </row>
    <row r="285" spans="1:4" x14ac:dyDescent="0.2">
      <c r="A285" s="10">
        <v>42064</v>
      </c>
      <c r="B285" s="15">
        <f>VLOOKUP(A285,Database!A:Q,MATCH($A$1,Database!$A$1:$Q$1,),)</f>
        <v>9794</v>
      </c>
      <c r="C285" s="12">
        <f t="shared" si="8"/>
        <v>2.8670899037476962E-3</v>
      </c>
      <c r="D285" s="13">
        <f t="shared" si="9"/>
        <v>3.410410727483898E-2</v>
      </c>
    </row>
    <row r="286" spans="1:4" x14ac:dyDescent="0.2">
      <c r="A286" s="11">
        <v>42095</v>
      </c>
      <c r="B286" s="15">
        <f>VLOOKUP(A286,Database!A:Q,MATCH($A$1,Database!$A$1:$Q$1,),)</f>
        <v>9738</v>
      </c>
      <c r="C286" s="12">
        <f t="shared" si="8"/>
        <v>-5.717786399836635E-3</v>
      </c>
      <c r="D286" s="13">
        <f t="shared" si="9"/>
        <v>4.1720154043645701E-2</v>
      </c>
    </row>
    <row r="287" spans="1:4" x14ac:dyDescent="0.2">
      <c r="A287" s="10">
        <v>42125</v>
      </c>
      <c r="B287" s="15">
        <f>VLOOKUP(A287,Database!A:Q,MATCH($A$1,Database!$A$1:$Q$1,),)</f>
        <v>10001</v>
      </c>
      <c r="C287" s="12">
        <f t="shared" si="8"/>
        <v>2.7007599096323682E-2</v>
      </c>
      <c r="D287" s="13">
        <f t="shared" si="9"/>
        <v>4.8982588630165726E-2</v>
      </c>
    </row>
    <row r="288" spans="1:4" x14ac:dyDescent="0.2">
      <c r="A288" s="11">
        <v>42156</v>
      </c>
      <c r="B288" s="15">
        <f>VLOOKUP(A288,Database!A:Q,MATCH($A$1,Database!$A$1:$Q$1,),)</f>
        <v>10042</v>
      </c>
      <c r="C288" s="12">
        <f t="shared" si="8"/>
        <v>4.0995900409959004E-3</v>
      </c>
      <c r="D288" s="13">
        <f t="shared" si="9"/>
        <v>4.6477699041267195E-2</v>
      </c>
    </row>
    <row r="289" spans="1:4" x14ac:dyDescent="0.2">
      <c r="A289" s="10">
        <v>42186</v>
      </c>
      <c r="B289" s="15">
        <f>VLOOKUP(A289,Database!A:Q,MATCH($A$1,Database!$A$1:$Q$1,),)</f>
        <v>10062</v>
      </c>
      <c r="C289" s="12">
        <f t="shared" si="8"/>
        <v>1.9916351324437364E-3</v>
      </c>
      <c r="D289" s="13">
        <f t="shared" si="9"/>
        <v>4.5076859160781052E-2</v>
      </c>
    </row>
    <row r="290" spans="1:4" x14ac:dyDescent="0.2">
      <c r="A290" s="11">
        <v>42217</v>
      </c>
      <c r="B290" s="15">
        <f>VLOOKUP(A290,Database!A:Q,MATCH($A$1,Database!$A$1:$Q$1,),)</f>
        <v>10162</v>
      </c>
      <c r="C290" s="12">
        <f t="shared" si="8"/>
        <v>9.9383820314052872E-3</v>
      </c>
      <c r="D290" s="13">
        <f t="shared" si="9"/>
        <v>4.3326488706365504E-2</v>
      </c>
    </row>
    <row r="291" spans="1:4" x14ac:dyDescent="0.2">
      <c r="A291" s="10">
        <v>42248</v>
      </c>
      <c r="B291" s="15">
        <f>VLOOKUP(A291,Database!A:Q,MATCH($A$1,Database!$A$1:$Q$1,),)</f>
        <v>9721</v>
      </c>
      <c r="C291" s="12">
        <f t="shared" si="8"/>
        <v>-4.3396969100570754E-2</v>
      </c>
      <c r="D291" s="13">
        <f t="shared" si="9"/>
        <v>-1.3355249640435586E-3</v>
      </c>
    </row>
    <row r="292" spans="1:4" x14ac:dyDescent="0.2">
      <c r="A292" s="11">
        <v>42278</v>
      </c>
      <c r="B292" s="15">
        <f>VLOOKUP(A292,Database!A:Q,MATCH($A$1,Database!$A$1:$Q$1,),)</f>
        <v>9713</v>
      </c>
      <c r="C292" s="12">
        <f t="shared" si="8"/>
        <v>-8.2296060076123858E-4</v>
      </c>
      <c r="D292" s="13">
        <f t="shared" si="9"/>
        <v>-1.839312784234462E-2</v>
      </c>
    </row>
    <row r="293" spans="1:4" x14ac:dyDescent="0.2">
      <c r="A293" s="10">
        <v>42309</v>
      </c>
      <c r="B293" s="15">
        <f>VLOOKUP(A293,Database!A:Q,MATCH($A$1,Database!$A$1:$Q$1,),)</f>
        <v>9861</v>
      </c>
      <c r="C293" s="12">
        <f t="shared" si="8"/>
        <v>1.5237310820549778E-2</v>
      </c>
      <c r="D293" s="13">
        <f t="shared" si="9"/>
        <v>2.7455765710799268E-3</v>
      </c>
    </row>
    <row r="294" spans="1:4" x14ac:dyDescent="0.2">
      <c r="A294" s="11">
        <v>42339</v>
      </c>
      <c r="B294" s="15">
        <f>VLOOKUP(A294,Database!A:Q,MATCH($A$1,Database!$A$1:$Q$1,),)</f>
        <v>9777</v>
      </c>
      <c r="C294" s="12">
        <f t="shared" si="8"/>
        <v>-8.5184058411925771E-3</v>
      </c>
      <c r="D294" s="13">
        <f t="shared" si="9"/>
        <v>-3.8716250636780438E-3</v>
      </c>
    </row>
    <row r="295" spans="1:4" x14ac:dyDescent="0.2">
      <c r="A295" s="10">
        <v>42370</v>
      </c>
      <c r="B295" s="15">
        <f>VLOOKUP(A295,Database!A:Q,MATCH($A$1,Database!$A$1:$Q$1,),)</f>
        <v>9799</v>
      </c>
      <c r="C295" s="12">
        <f t="shared" si="8"/>
        <v>2.2501789915106885E-3</v>
      </c>
      <c r="D295" s="13">
        <f t="shared" si="9"/>
        <v>-4.8745810906875194E-3</v>
      </c>
    </row>
    <row r="296" spans="1:4" x14ac:dyDescent="0.2">
      <c r="A296" s="11">
        <v>42401</v>
      </c>
      <c r="B296" s="15">
        <f>VLOOKUP(A296,Database!A:Q,MATCH($A$1,Database!$A$1:$Q$1,),)</f>
        <v>9784</v>
      </c>
      <c r="C296" s="12">
        <f t="shared" si="8"/>
        <v>-1.5307684457597714E-3</v>
      </c>
      <c r="D296" s="13">
        <f t="shared" si="9"/>
        <v>1.8431292238378046E-3</v>
      </c>
    </row>
    <row r="297" spans="1:4" x14ac:dyDescent="0.2">
      <c r="A297" s="10">
        <v>42430</v>
      </c>
      <c r="B297" s="15">
        <f>VLOOKUP(A297,Database!A:Q,MATCH($A$1,Database!$A$1:$Q$1,),)</f>
        <v>10022</v>
      </c>
      <c r="C297" s="12">
        <f t="shared" si="8"/>
        <v>2.4325429272281276E-2</v>
      </c>
      <c r="D297" s="13">
        <f t="shared" si="9"/>
        <v>2.3279558913620584E-2</v>
      </c>
    </row>
    <row r="298" spans="1:4" x14ac:dyDescent="0.2">
      <c r="A298" s="11">
        <v>42461</v>
      </c>
      <c r="B298" s="15">
        <f>VLOOKUP(A298,Database!A:Q,MATCH($A$1,Database!$A$1:$Q$1,),)</f>
        <v>10144</v>
      </c>
      <c r="C298" s="12">
        <f t="shared" si="8"/>
        <v>1.2173218918379565E-2</v>
      </c>
      <c r="D298" s="13">
        <f t="shared" si="9"/>
        <v>4.1692339289381805E-2</v>
      </c>
    </row>
    <row r="299" spans="1:4" x14ac:dyDescent="0.2">
      <c r="A299" s="10">
        <v>42491</v>
      </c>
      <c r="B299" s="15">
        <f>VLOOKUP(A299,Database!A:Q,MATCH($A$1,Database!$A$1:$Q$1,),)</f>
        <v>10007</v>
      </c>
      <c r="C299" s="12">
        <f t="shared" si="8"/>
        <v>-1.350552050473186E-2</v>
      </c>
      <c r="D299" s="13">
        <f t="shared" si="9"/>
        <v>5.9994000599940007E-4</v>
      </c>
    </row>
    <row r="300" spans="1:4" x14ac:dyDescent="0.2">
      <c r="A300" s="11">
        <v>42522</v>
      </c>
      <c r="B300" s="15">
        <f>VLOOKUP(A300,Database!A:Q,MATCH($A$1,Database!$A$1:$Q$1,),)</f>
        <v>10067</v>
      </c>
      <c r="C300" s="12">
        <f t="shared" si="8"/>
        <v>5.9958029379434397E-3</v>
      </c>
      <c r="D300" s="13">
        <f t="shared" si="9"/>
        <v>2.4895439155546706E-3</v>
      </c>
    </row>
    <row r="301" spans="1:4" x14ac:dyDescent="0.2">
      <c r="A301" s="10">
        <v>42552</v>
      </c>
      <c r="B301" s="15">
        <f>VLOOKUP(A301,Database!A:Q,MATCH($A$1,Database!$A$1:$Q$1,),)</f>
        <v>10001</v>
      </c>
      <c r="C301" s="12">
        <f t="shared" si="8"/>
        <v>-6.5560743021754247E-3</v>
      </c>
      <c r="D301" s="13">
        <f t="shared" si="9"/>
        <v>-6.0624130391572252E-3</v>
      </c>
    </row>
    <row r="302" spans="1:4" x14ac:dyDescent="0.2">
      <c r="A302" s="11">
        <v>42583</v>
      </c>
      <c r="B302" s="15">
        <f>VLOOKUP(A302,Database!A:Q,MATCH($A$1,Database!$A$1:$Q$1,),)</f>
        <v>9934</v>
      </c>
      <c r="C302" s="12">
        <f t="shared" si="8"/>
        <v>-6.6993300669933005E-3</v>
      </c>
      <c r="D302" s="13">
        <f t="shared" si="9"/>
        <v>-2.2436528242471953E-2</v>
      </c>
    </row>
    <row r="303" spans="1:4" x14ac:dyDescent="0.2">
      <c r="A303" s="10">
        <v>42614</v>
      </c>
      <c r="B303" s="15">
        <f>VLOOKUP(A303,Database!A:Q,MATCH($A$1,Database!$A$1:$Q$1,),)</f>
        <v>10196</v>
      </c>
      <c r="C303" s="12">
        <f t="shared" si="8"/>
        <v>2.6374068854439301E-2</v>
      </c>
      <c r="D303" s="13">
        <f t="shared" si="9"/>
        <v>4.8863285670198542E-2</v>
      </c>
    </row>
    <row r="304" spans="1:4" x14ac:dyDescent="0.2">
      <c r="A304" s="11">
        <v>42644</v>
      </c>
      <c r="B304" s="15">
        <f>VLOOKUP(A304,Database!A:Q,MATCH($A$1,Database!$A$1:$Q$1,),)</f>
        <v>10358</v>
      </c>
      <c r="C304" s="12">
        <f t="shared" si="8"/>
        <v>1.5888583758336603E-2</v>
      </c>
      <c r="D304" s="13">
        <f t="shared" si="9"/>
        <v>6.6405847832801401E-2</v>
      </c>
    </row>
    <row r="305" spans="1:4" x14ac:dyDescent="0.2">
      <c r="A305" s="10">
        <v>42675</v>
      </c>
      <c r="B305" s="15">
        <f>VLOOKUP(A305,Database!A:Q,MATCH($A$1,Database!$A$1:$Q$1,),)</f>
        <v>9967</v>
      </c>
      <c r="C305" s="12">
        <f t="shared" si="8"/>
        <v>-3.7748600115852481E-2</v>
      </c>
      <c r="D305" s="13">
        <f t="shared" si="9"/>
        <v>1.0749416894838252E-2</v>
      </c>
    </row>
    <row r="306" spans="1:4" x14ac:dyDescent="0.2">
      <c r="A306" s="11">
        <v>42705</v>
      </c>
      <c r="B306" s="15">
        <f>VLOOKUP(A306,Database!A:Q,MATCH($A$1,Database!$A$1:$Q$1,),)</f>
        <v>10156</v>
      </c>
      <c r="C306" s="12">
        <f t="shared" si="8"/>
        <v>1.8962576502458112E-2</v>
      </c>
      <c r="D306" s="13">
        <f t="shared" si="9"/>
        <v>3.8764447171934134E-2</v>
      </c>
    </row>
    <row r="307" spans="1:4" x14ac:dyDescent="0.2">
      <c r="A307" s="10">
        <v>42736</v>
      </c>
      <c r="B307" s="15">
        <f>VLOOKUP(A307,Database!A:Q,MATCH($A$1,Database!$A$1:$Q$1,),)</f>
        <v>10119</v>
      </c>
      <c r="C307" s="12">
        <f t="shared" si="8"/>
        <v>-3.643166601024025E-3</v>
      </c>
      <c r="D307" s="13">
        <f t="shared" si="9"/>
        <v>3.265639350954179E-2</v>
      </c>
    </row>
    <row r="308" spans="1:4" x14ac:dyDescent="0.2">
      <c r="A308" s="11">
        <v>42767</v>
      </c>
      <c r="B308" s="15">
        <f>VLOOKUP(A308,Database!A:Q,MATCH($A$1,Database!$A$1:$Q$1,),)</f>
        <v>10276</v>
      </c>
      <c r="C308" s="12">
        <f t="shared" si="8"/>
        <v>1.551536713113944E-2</v>
      </c>
      <c r="D308" s="13">
        <f t="shared" si="9"/>
        <v>5.0286181520850369E-2</v>
      </c>
    </row>
    <row r="309" spans="1:4" x14ac:dyDescent="0.2">
      <c r="A309" s="10">
        <v>42795</v>
      </c>
      <c r="B309" s="15">
        <f>VLOOKUP(A309,Database!A:Q,MATCH($A$1,Database!$A$1:$Q$1,),)</f>
        <v>10193</v>
      </c>
      <c r="C309" s="12">
        <f t="shared" si="8"/>
        <v>-8.0770727909692495E-3</v>
      </c>
      <c r="D309" s="13">
        <f t="shared" si="9"/>
        <v>1.7062462582318898E-2</v>
      </c>
    </row>
    <row r="310" spans="1:4" x14ac:dyDescent="0.2">
      <c r="A310" s="11">
        <v>42826</v>
      </c>
      <c r="B310" s="15">
        <f>VLOOKUP(A310,Database!A:Q,MATCH($A$1,Database!$A$1:$Q$1,),)</f>
        <v>10251</v>
      </c>
      <c r="C310" s="12">
        <f t="shared" si="8"/>
        <v>5.6901795349749828E-3</v>
      </c>
      <c r="D310" s="13">
        <f t="shared" si="9"/>
        <v>1.0548107255520505E-2</v>
      </c>
    </row>
    <row r="311" spans="1:4" x14ac:dyDescent="0.2">
      <c r="A311" s="10">
        <v>42856</v>
      </c>
      <c r="B311" s="15">
        <f>VLOOKUP(A311,Database!A:Q,MATCH($A$1,Database!$A$1:$Q$1,),)</f>
        <v>10057</v>
      </c>
      <c r="C311" s="12">
        <f t="shared" si="8"/>
        <v>-1.8924982928494781E-2</v>
      </c>
      <c r="D311" s="13">
        <f t="shared" si="9"/>
        <v>4.9965024482861997E-3</v>
      </c>
    </row>
    <row r="312" spans="1:4" x14ac:dyDescent="0.2">
      <c r="A312" s="11">
        <v>42887</v>
      </c>
      <c r="B312" s="15">
        <f>VLOOKUP(A312,Database!A:Q,MATCH($A$1,Database!$A$1:$Q$1,),)</f>
        <v>10039</v>
      </c>
      <c r="C312" s="12">
        <f t="shared" si="8"/>
        <v>-1.7897981505419112E-3</v>
      </c>
      <c r="D312" s="13">
        <f t="shared" si="9"/>
        <v>-2.7813648554683621E-3</v>
      </c>
    </row>
    <row r="313" spans="1:4" x14ac:dyDescent="0.2">
      <c r="A313" s="10">
        <v>42917</v>
      </c>
      <c r="B313" s="15">
        <f>VLOOKUP(A313,Database!A:Q,MATCH($A$1,Database!$A$1:$Q$1,),)</f>
        <v>10270</v>
      </c>
      <c r="C313" s="12">
        <f t="shared" si="8"/>
        <v>2.3010259986054389E-2</v>
      </c>
      <c r="D313" s="13">
        <f t="shared" si="9"/>
        <v>2.6897310268973101E-2</v>
      </c>
    </row>
    <row r="314" spans="1:4" x14ac:dyDescent="0.2">
      <c r="A314" s="11">
        <v>42948</v>
      </c>
      <c r="B314" s="15">
        <f>VLOOKUP(A314,Database!A:Q,MATCH($A$1,Database!$A$1:$Q$1,),)</f>
        <v>10219</v>
      </c>
      <c r="C314" s="12">
        <f t="shared" si="8"/>
        <v>-4.9659201557935738E-3</v>
      </c>
      <c r="D314" s="13">
        <f t="shared" si="9"/>
        <v>2.8689349708073283E-2</v>
      </c>
    </row>
    <row r="315" spans="1:4" x14ac:dyDescent="0.2">
      <c r="A315" s="10">
        <v>42979</v>
      </c>
      <c r="B315" s="15">
        <f>VLOOKUP(A315,Database!A:Q,MATCH($A$1,Database!$A$1:$Q$1,),)</f>
        <v>10331</v>
      </c>
      <c r="C315" s="12">
        <f t="shared" si="8"/>
        <v>1.0959976514336041E-2</v>
      </c>
      <c r="D315" s="13">
        <f t="shared" si="9"/>
        <v>1.3240486465280503E-2</v>
      </c>
    </row>
    <row r="316" spans="1:4" x14ac:dyDescent="0.2">
      <c r="A316" s="11">
        <v>43009</v>
      </c>
      <c r="B316" s="15">
        <f>VLOOKUP(A316,Database!A:Q,MATCH($A$1,Database!$A$1:$Q$1,),)</f>
        <v>10358</v>
      </c>
      <c r="C316" s="12">
        <f t="shared" si="8"/>
        <v>2.6134933694705255E-3</v>
      </c>
      <c r="D316" s="13">
        <f t="shared" si="9"/>
        <v>0</v>
      </c>
    </row>
    <row r="317" spans="1:4" x14ac:dyDescent="0.2">
      <c r="A317" s="10">
        <v>43040</v>
      </c>
      <c r="B317" s="15">
        <f>VLOOKUP(A317,Database!A:Q,MATCH($A$1,Database!$A$1:$Q$1,),)</f>
        <v>10594</v>
      </c>
      <c r="C317" s="12">
        <f t="shared" si="8"/>
        <v>2.2784321297547788E-2</v>
      </c>
      <c r="D317" s="13">
        <f t="shared" si="9"/>
        <v>6.2907595063710242E-2</v>
      </c>
    </row>
    <row r="318" spans="1:4" x14ac:dyDescent="0.2">
      <c r="A318" s="11">
        <v>43070</v>
      </c>
      <c r="B318" s="15">
        <f>VLOOKUP(A318,Database!A:Q,MATCH($A$1,Database!$A$1:$Q$1,),)</f>
        <v>10696</v>
      </c>
      <c r="C318" s="12">
        <f t="shared" si="8"/>
        <v>9.6280913724749867E-3</v>
      </c>
      <c r="D318" s="13">
        <f t="shared" si="9"/>
        <v>5.3170539582512798E-2</v>
      </c>
    </row>
    <row r="319" spans="1:4" x14ac:dyDescent="0.2">
      <c r="A319" s="10">
        <v>43101</v>
      </c>
      <c r="B319" s="15">
        <f>VLOOKUP(A319,Database!A:Q,MATCH($A$1,Database!$A$1:$Q$1,),)</f>
        <v>10899</v>
      </c>
      <c r="C319" s="12">
        <f t="shared" si="8"/>
        <v>1.8979057591623036E-2</v>
      </c>
      <c r="D319" s="13">
        <f t="shared" si="9"/>
        <v>7.7082715683367928E-2</v>
      </c>
    </row>
    <row r="320" spans="1:4" x14ac:dyDescent="0.2">
      <c r="A320" s="11">
        <v>43132</v>
      </c>
      <c r="B320" s="15">
        <f>VLOOKUP(A320,Database!A:Q,MATCH($A$1,Database!$A$1:$Q$1,),)</f>
        <v>10819</v>
      </c>
      <c r="C320" s="12">
        <f t="shared" si="8"/>
        <v>-7.3401229470593634E-3</v>
      </c>
      <c r="D320" s="13">
        <f t="shared" si="9"/>
        <v>5.2841572596340987E-2</v>
      </c>
    </row>
    <row r="321" spans="1:4" x14ac:dyDescent="0.2">
      <c r="A321" s="10">
        <v>43160</v>
      </c>
      <c r="B321" s="15">
        <f>VLOOKUP(A321,Database!A:Q,MATCH($A$1,Database!$A$1:$Q$1,),)</f>
        <v>10743</v>
      </c>
      <c r="C321" s="12">
        <f t="shared" si="8"/>
        <v>-7.0246788058046031E-3</v>
      </c>
      <c r="D321" s="13">
        <f t="shared" si="9"/>
        <v>5.395859903855587E-2</v>
      </c>
    </row>
    <row r="322" spans="1:4" x14ac:dyDescent="0.2">
      <c r="A322" s="11">
        <v>43191</v>
      </c>
      <c r="B322" s="15">
        <f>VLOOKUP(A322,Database!A:Q,MATCH($A$1,Database!$A$1:$Q$1,),)</f>
        <v>10684</v>
      </c>
      <c r="C322" s="12">
        <f t="shared" si="8"/>
        <v>-5.4919482453690775E-3</v>
      </c>
      <c r="D322" s="13">
        <f t="shared" si="9"/>
        <v>4.2239781484733195E-2</v>
      </c>
    </row>
    <row r="323" spans="1:4" x14ac:dyDescent="0.2">
      <c r="A323" s="10">
        <v>43221</v>
      </c>
      <c r="B323" s="15">
        <f>VLOOKUP(A323,Database!A:Q,MATCH($A$1,Database!$A$1:$Q$1,),)</f>
        <v>10851</v>
      </c>
      <c r="C323" s="12">
        <f t="shared" si="8"/>
        <v>1.5630849868962935E-2</v>
      </c>
      <c r="D323" s="13">
        <f t="shared" si="9"/>
        <v>7.8949985085015412E-2</v>
      </c>
    </row>
    <row r="324" spans="1:4" x14ac:dyDescent="0.2">
      <c r="A324" s="11">
        <v>43252</v>
      </c>
      <c r="B324" s="15">
        <f>VLOOKUP(A324,Database!A:Q,MATCH($A$1,Database!$A$1:$Q$1,),)</f>
        <v>10783</v>
      </c>
      <c r="C324" s="12">
        <f t="shared" si="8"/>
        <v>-6.2667035296286059E-3</v>
      </c>
      <c r="D324" s="13">
        <f t="shared" si="9"/>
        <v>7.4110967227811533E-2</v>
      </c>
    </row>
    <row r="325" spans="1:4" x14ac:dyDescent="0.2">
      <c r="A325" s="10">
        <v>43282</v>
      </c>
      <c r="B325" s="15">
        <f>VLOOKUP(A325,Database!A:Q,MATCH($A$1,Database!$A$1:$Q$1,),)</f>
        <v>10422</v>
      </c>
      <c r="C325" s="12">
        <f t="shared" si="8"/>
        <v>-3.3478623759621629E-2</v>
      </c>
      <c r="D325" s="13">
        <f t="shared" si="9"/>
        <v>1.4800389483933788E-2</v>
      </c>
    </row>
    <row r="326" spans="1:4" x14ac:dyDescent="0.2">
      <c r="A326" s="11">
        <v>43313</v>
      </c>
      <c r="B326" s="15">
        <f>VLOOKUP(A326,Database!A:Q,MATCH($A$1,Database!$A$1:$Q$1,),)</f>
        <v>10596</v>
      </c>
      <c r="C326" s="12">
        <f t="shared" si="8"/>
        <v>1.6695451928612551E-2</v>
      </c>
      <c r="D326" s="13">
        <f t="shared" si="9"/>
        <v>3.6892063802720421E-2</v>
      </c>
    </row>
    <row r="327" spans="1:4" x14ac:dyDescent="0.2">
      <c r="A327" s="10">
        <v>43344</v>
      </c>
      <c r="B327" s="15">
        <f>VLOOKUP(A327,Database!A:Q,MATCH($A$1,Database!$A$1:$Q$1,),)</f>
        <v>10602</v>
      </c>
      <c r="C327" s="12">
        <f t="shared" si="8"/>
        <v>5.6625141562853911E-4</v>
      </c>
      <c r="D327" s="13">
        <f t="shared" si="9"/>
        <v>2.6231729745426386E-2</v>
      </c>
    </row>
    <row r="328" spans="1:4" x14ac:dyDescent="0.2">
      <c r="A328" s="11">
        <v>43374</v>
      </c>
      <c r="B328" s="15">
        <f>VLOOKUP(A328,Database!A:Q,MATCH($A$1,Database!$A$1:$Q$1,),)</f>
        <v>10844</v>
      </c>
      <c r="C328" s="12">
        <f t="shared" ref="C328:C373" si="10">(B328-B327)/B327</f>
        <v>2.282588190907376E-2</v>
      </c>
      <c r="D328" s="13">
        <f t="shared" si="9"/>
        <v>4.6920254875458582E-2</v>
      </c>
    </row>
    <row r="329" spans="1:4" x14ac:dyDescent="0.2">
      <c r="A329" s="10">
        <v>43405</v>
      </c>
      <c r="B329" s="15">
        <f>VLOOKUP(A329,Database!A:Q,MATCH($A$1,Database!$A$1:$Q$1,),)</f>
        <v>10789</v>
      </c>
      <c r="C329" s="12">
        <f t="shared" si="10"/>
        <v>-5.0719291774253047E-3</v>
      </c>
      <c r="D329" s="13">
        <f t="shared" si="9"/>
        <v>1.8406645270908063E-2</v>
      </c>
    </row>
    <row r="330" spans="1:4" x14ac:dyDescent="0.2">
      <c r="A330" s="11">
        <v>43435</v>
      </c>
      <c r="B330" s="15">
        <f>VLOOKUP(A330,Database!A:Q,MATCH($A$1,Database!$A$1:$Q$1,),)</f>
        <v>10614</v>
      </c>
      <c r="C330" s="12">
        <f t="shared" si="10"/>
        <v>-1.6220224302530353E-2</v>
      </c>
      <c r="D330" s="13">
        <f t="shared" si="9"/>
        <v>-7.6664173522812268E-3</v>
      </c>
    </row>
    <row r="331" spans="1:4" x14ac:dyDescent="0.2">
      <c r="A331" s="10">
        <v>43466</v>
      </c>
      <c r="B331" s="15">
        <f>VLOOKUP(A331,Database!A:Q,MATCH($A$1,Database!$A$1:$Q$1,),)</f>
        <v>10368</v>
      </c>
      <c r="C331" s="12">
        <f t="shared" si="10"/>
        <v>-2.3176936122102882E-2</v>
      </c>
      <c r="D331" s="13">
        <f t="shared" si="9"/>
        <v>-4.8720066061106522E-2</v>
      </c>
    </row>
    <row r="332" spans="1:4" x14ac:dyDescent="0.2">
      <c r="A332" s="11">
        <v>43497</v>
      </c>
      <c r="B332" s="15">
        <f>VLOOKUP(A332,Database!A:Q,MATCH($A$1,Database!$A$1:$Q$1,),)</f>
        <v>10415</v>
      </c>
      <c r="C332" s="12">
        <f t="shared" si="10"/>
        <v>4.5331790123456792E-3</v>
      </c>
      <c r="D332" s="13">
        <f t="shared" si="9"/>
        <v>-3.7341713651908678E-2</v>
      </c>
    </row>
    <row r="333" spans="1:4" x14ac:dyDescent="0.2">
      <c r="A333" s="10">
        <v>43525</v>
      </c>
      <c r="B333" s="15">
        <f>VLOOKUP(A333,Database!A:Q,MATCH($A$1,Database!$A$1:$Q$1,),)</f>
        <v>10600</v>
      </c>
      <c r="C333" s="12">
        <f t="shared" si="10"/>
        <v>1.7762842054728757E-2</v>
      </c>
      <c r="D333" s="13">
        <f t="shared" si="9"/>
        <v>-1.3310993204877594E-2</v>
      </c>
    </row>
    <row r="334" spans="1:4" x14ac:dyDescent="0.2">
      <c r="A334" s="11">
        <v>43556</v>
      </c>
      <c r="B334" s="15">
        <f>VLOOKUP(A334,Database!A:Q,MATCH($A$1,Database!$A$1:$Q$1,),)</f>
        <v>10837</v>
      </c>
      <c r="C334" s="12">
        <f t="shared" si="10"/>
        <v>2.2358490566037736E-2</v>
      </c>
      <c r="D334" s="13">
        <f t="shared" si="9"/>
        <v>1.4320479221265444E-2</v>
      </c>
    </row>
    <row r="335" spans="1:4" x14ac:dyDescent="0.2">
      <c r="A335" s="30">
        <v>43586</v>
      </c>
      <c r="B335" s="31">
        <f>VLOOKUP(A335,Database!A:Q,MATCH($A$1,Database!$A$1:$Q$1,),)</f>
        <v>10930</v>
      </c>
      <c r="C335" s="32">
        <f t="shared" si="10"/>
        <v>8.5817108055734979E-3</v>
      </c>
      <c r="D335" s="33">
        <f t="shared" si="9"/>
        <v>7.2804349829508801E-3</v>
      </c>
    </row>
    <row r="336" spans="1:4" x14ac:dyDescent="0.2">
      <c r="A336" s="11">
        <v>43617</v>
      </c>
      <c r="B336" s="15">
        <f>VLOOKUP(A336,Database!A:Q,MATCH($A$1,Database!$A$1:$Q$1,),)</f>
        <v>10986</v>
      </c>
      <c r="C336" s="12">
        <f t="shared" si="10"/>
        <v>5.123513266239707E-3</v>
      </c>
      <c r="D336" s="13">
        <f t="shared" si="9"/>
        <v>1.8825929704163961E-2</v>
      </c>
    </row>
    <row r="337" spans="1:4" x14ac:dyDescent="0.2">
      <c r="A337" s="30">
        <v>43647</v>
      </c>
      <c r="B337" s="31">
        <f>VLOOKUP(A337,Database!A:Q,MATCH($A$1,Database!$A$1:$Q$1,),)</f>
        <v>10845</v>
      </c>
      <c r="C337" s="32">
        <f t="shared" si="10"/>
        <v>-1.2834516657564172E-2</v>
      </c>
      <c r="D337" s="33">
        <f t="shared" si="9"/>
        <v>4.0587219343696031E-2</v>
      </c>
    </row>
    <row r="338" spans="1:4" x14ac:dyDescent="0.2">
      <c r="A338" s="11">
        <v>43678</v>
      </c>
      <c r="B338" s="15">
        <f>VLOOKUP(A338,Database!A:Q,MATCH($A$1,Database!$A$1:$Q$1,),)</f>
        <v>11045</v>
      </c>
      <c r="C338" s="12">
        <f t="shared" si="10"/>
        <v>1.8441678192715538E-2</v>
      </c>
      <c r="D338" s="13">
        <f t="shared" si="9"/>
        <v>4.2374480936202344E-2</v>
      </c>
    </row>
    <row r="339" spans="1:4" x14ac:dyDescent="0.2">
      <c r="A339" s="30">
        <v>43709</v>
      </c>
      <c r="B339" s="31">
        <f>VLOOKUP(A339,Database!A:Q,MATCH($A$1,Database!$A$1:$Q$1,),)</f>
        <v>10997</v>
      </c>
      <c r="C339" s="32">
        <f t="shared" si="10"/>
        <v>-4.3458578542326844E-3</v>
      </c>
      <c r="D339" s="33">
        <f t="shared" ref="D339:D372" si="11">(B339-B327)/B327</f>
        <v>3.7257121297868324E-2</v>
      </c>
    </row>
    <row r="340" spans="1:4" x14ac:dyDescent="0.2">
      <c r="A340" s="11">
        <v>43739</v>
      </c>
      <c r="B340" s="15">
        <f>VLOOKUP(A340,Database!A:Q,MATCH($A$1,Database!$A$1:$Q$1,),)</f>
        <v>11156</v>
      </c>
      <c r="C340" s="12">
        <f t="shared" si="10"/>
        <v>1.4458488678730563E-2</v>
      </c>
      <c r="D340" s="13">
        <f t="shared" si="11"/>
        <v>2.8771670970121725E-2</v>
      </c>
    </row>
    <row r="341" spans="1:4" x14ac:dyDescent="0.2">
      <c r="A341" s="30">
        <v>43770</v>
      </c>
      <c r="B341" s="31">
        <f>VLOOKUP(A341,Database!A:Q,MATCH($A$1,Database!$A$1:$Q$1,),)</f>
        <v>11255</v>
      </c>
      <c r="C341" s="32">
        <f t="shared" si="10"/>
        <v>8.8741484403011828E-3</v>
      </c>
      <c r="D341" s="33">
        <f t="shared" si="11"/>
        <v>4.3192140142737971E-2</v>
      </c>
    </row>
    <row r="342" spans="1:4" x14ac:dyDescent="0.2">
      <c r="A342" s="11">
        <v>43800</v>
      </c>
      <c r="B342" s="15">
        <f>VLOOKUP(A342,Database!A:Q,MATCH($A$1,Database!$A$1:$Q$1,),)</f>
        <v>11096</v>
      </c>
      <c r="C342" s="12">
        <f t="shared" si="10"/>
        <v>-1.4127054642381164E-2</v>
      </c>
      <c r="D342" s="13">
        <f t="shared" si="11"/>
        <v>4.5411720369323533E-2</v>
      </c>
    </row>
    <row r="343" spans="1:4" x14ac:dyDescent="0.2">
      <c r="A343" s="30">
        <v>43831</v>
      </c>
      <c r="B343" s="31">
        <f>VLOOKUP(A343,Database!A:Q,MATCH($A$1,Database!$A$1:$Q$1,),)</f>
        <v>11463</v>
      </c>
      <c r="C343" s="32">
        <f t="shared" si="10"/>
        <v>3.307498197548666E-2</v>
      </c>
      <c r="D343" s="33">
        <f t="shared" si="11"/>
        <v>0.10561342592592593</v>
      </c>
    </row>
    <row r="344" spans="1:4" x14ac:dyDescent="0.2">
      <c r="A344" s="11">
        <v>43862</v>
      </c>
      <c r="B344" s="15">
        <f>VLOOKUP(A344,Database!A:Q,MATCH($A$1,Database!$A$1:$Q$1,),)</f>
        <v>11324</v>
      </c>
      <c r="C344" s="12">
        <f t="shared" si="10"/>
        <v>-1.2125970513827095E-2</v>
      </c>
      <c r="D344" s="13">
        <f t="shared" si="11"/>
        <v>8.7277964474315892E-2</v>
      </c>
    </row>
    <row r="345" spans="1:4" x14ac:dyDescent="0.2">
      <c r="A345" s="30">
        <v>43891</v>
      </c>
      <c r="B345" s="31">
        <f>VLOOKUP(A345,Database!A:Q,MATCH($A$1,Database!$A$1:$Q$1,),)</f>
        <v>9784</v>
      </c>
      <c r="C345" s="32">
        <f t="shared" si="10"/>
        <v>-0.13599434828682444</v>
      </c>
      <c r="D345" s="33">
        <f t="shared" si="11"/>
        <v>-7.6981132075471692E-2</v>
      </c>
    </row>
    <row r="346" spans="1:4" x14ac:dyDescent="0.2">
      <c r="A346" s="11">
        <v>43922</v>
      </c>
      <c r="B346" s="15">
        <f>VLOOKUP(A346,Database!A:Q,MATCH($A$1,Database!$A$1:$Q$1,),)</f>
        <v>7179</v>
      </c>
      <c r="C346" s="12">
        <f t="shared" si="10"/>
        <v>-0.26625102207686019</v>
      </c>
      <c r="D346" s="13">
        <f t="shared" si="11"/>
        <v>-0.33754729168589093</v>
      </c>
    </row>
    <row r="347" spans="1:4" x14ac:dyDescent="0.2">
      <c r="A347" s="30">
        <v>43952</v>
      </c>
      <c r="B347" s="31">
        <f>VLOOKUP(A347,Database!A:Q,MATCH($A$1,Database!$A$1:$Q$1,),)</f>
        <v>8550</v>
      </c>
      <c r="C347" s="32">
        <f t="shared" si="10"/>
        <v>0.1909736732135395</v>
      </c>
      <c r="D347" s="33">
        <f t="shared" si="11"/>
        <v>-0.21774931381518756</v>
      </c>
    </row>
    <row r="348" spans="1:4" x14ac:dyDescent="0.2">
      <c r="A348" s="11">
        <v>43983</v>
      </c>
      <c r="B348" s="15">
        <f>VLOOKUP(A348,Database!A:Q,MATCH($A$1,Database!$A$1:$Q$1,),)</f>
        <v>10512</v>
      </c>
      <c r="C348" s="12">
        <f t="shared" si="10"/>
        <v>0.2294736842105263</v>
      </c>
      <c r="D348" s="13">
        <f t="shared" si="11"/>
        <v>-4.3145821955215727E-2</v>
      </c>
    </row>
    <row r="349" spans="1:4" x14ac:dyDescent="0.2">
      <c r="A349" s="30">
        <v>44013</v>
      </c>
      <c r="B349" s="31">
        <f>VLOOKUP(A349,Database!A:Q,MATCH($A$1,Database!$A$1:$Q$1,),)</f>
        <v>10997</v>
      </c>
      <c r="C349" s="32">
        <f t="shared" si="10"/>
        <v>4.6137747336377474E-2</v>
      </c>
      <c r="D349" s="33">
        <f t="shared" si="11"/>
        <v>1.4015675426463809E-2</v>
      </c>
    </row>
    <row r="350" spans="1:4" x14ac:dyDescent="0.2">
      <c r="A350" s="11">
        <v>44044</v>
      </c>
      <c r="B350" s="15">
        <f>VLOOKUP(A350,Database!A:Q,MATCH($A$1,Database!$A$1:$Q$1,),)</f>
        <v>11174</v>
      </c>
      <c r="C350" s="12">
        <f t="shared" si="10"/>
        <v>1.6095298717832135E-2</v>
      </c>
      <c r="D350" s="13">
        <f t="shared" si="11"/>
        <v>1.167949298325034E-2</v>
      </c>
    </row>
    <row r="351" spans="1:4" x14ac:dyDescent="0.2">
      <c r="A351" s="30">
        <v>44075</v>
      </c>
      <c r="B351" s="31">
        <f>VLOOKUP(A351,Database!A:Q,MATCH($A$1,Database!$A$1:$Q$1,),)</f>
        <v>11198</v>
      </c>
      <c r="C351" s="32">
        <f t="shared" si="10"/>
        <v>2.1478432074458565E-3</v>
      </c>
      <c r="D351" s="33">
        <f t="shared" si="11"/>
        <v>1.8277712103300901E-2</v>
      </c>
    </row>
    <row r="352" spans="1:4" x14ac:dyDescent="0.2">
      <c r="A352" s="11">
        <v>44105</v>
      </c>
      <c r="B352" s="15">
        <f>VLOOKUP(A352,Database!A:Q,MATCH($A$1,Database!$A$1:$Q$1,),)</f>
        <v>11212</v>
      </c>
      <c r="C352" s="12">
        <f t="shared" si="10"/>
        <v>1.2502232541525273E-3</v>
      </c>
      <c r="D352" s="13">
        <f t="shared" si="11"/>
        <v>5.0197203298673358E-3</v>
      </c>
    </row>
    <row r="353" spans="1:4" x14ac:dyDescent="0.2">
      <c r="A353" s="30">
        <v>44136</v>
      </c>
      <c r="B353" s="31">
        <f>VLOOKUP(A353,Database!A:Q,MATCH($A$1,Database!$A$1:$Q$1,),)</f>
        <v>11229</v>
      </c>
      <c r="C353" s="32">
        <f t="shared" si="10"/>
        <v>1.5162326079200855E-3</v>
      </c>
      <c r="D353" s="33">
        <f t="shared" si="11"/>
        <v>-2.3100844069302534E-3</v>
      </c>
    </row>
    <row r="354" spans="1:4" x14ac:dyDescent="0.2">
      <c r="A354" s="11">
        <v>44166</v>
      </c>
      <c r="B354" s="15">
        <f>VLOOKUP(A354,Database!A:Q,MATCH($A$1,Database!$A$1:$Q$1,),)</f>
        <v>11802</v>
      </c>
      <c r="C354" s="12">
        <f t="shared" si="10"/>
        <v>5.1028586695164309E-2</v>
      </c>
      <c r="D354" s="13">
        <f t="shared" si="11"/>
        <v>6.3626532083633738E-2</v>
      </c>
    </row>
    <row r="355" spans="1:4" x14ac:dyDescent="0.2">
      <c r="A355" s="30">
        <v>44197</v>
      </c>
      <c r="B355" s="31">
        <f>VLOOKUP(A355,Database!A:Q,MATCH($A$1,Database!$A$1:$Q$1,),)</f>
        <v>11835</v>
      </c>
      <c r="C355" s="32">
        <f t="shared" si="10"/>
        <v>2.7961362480935434E-3</v>
      </c>
      <c r="D355" s="33">
        <f t="shared" si="11"/>
        <v>3.245223763412719E-2</v>
      </c>
    </row>
    <row r="356" spans="1:4" x14ac:dyDescent="0.2">
      <c r="A356" s="11">
        <v>44228</v>
      </c>
      <c r="B356" s="15">
        <f>VLOOKUP(A356,Database!A:Q,MATCH($A$1,Database!$A$1:$Q$1,),)</f>
        <v>11602</v>
      </c>
      <c r="C356" s="12">
        <f t="shared" si="10"/>
        <v>-1.9687367976341359E-2</v>
      </c>
      <c r="D356" s="13">
        <f t="shared" si="11"/>
        <v>2.4549629106322853E-2</v>
      </c>
    </row>
    <row r="357" spans="1:4" x14ac:dyDescent="0.2">
      <c r="A357" s="30">
        <v>44256</v>
      </c>
      <c r="B357" s="31">
        <f>VLOOKUP(A357,Database!A:Q,MATCH($A$1,Database!$A$1:$Q$1,),)</f>
        <v>13170</v>
      </c>
      <c r="C357" s="32">
        <f t="shared" si="10"/>
        <v>0.13514911222203069</v>
      </c>
      <c r="D357" s="33">
        <f t="shared" si="11"/>
        <v>0.34607522485690922</v>
      </c>
    </row>
    <row r="358" spans="1:4" x14ac:dyDescent="0.2">
      <c r="A358" s="11">
        <v>44287</v>
      </c>
      <c r="B358" s="15">
        <f>VLOOKUP(A358,Database!A:Q,MATCH($A$1,Database!$A$1:$Q$1,),)</f>
        <v>13291</v>
      </c>
      <c r="C358" s="12">
        <f t="shared" si="10"/>
        <v>9.1875474563401678E-3</v>
      </c>
      <c r="D358" s="13">
        <f t="shared" si="11"/>
        <v>0.85137205738960853</v>
      </c>
    </row>
    <row r="359" spans="1:4" x14ac:dyDescent="0.2">
      <c r="A359" s="30">
        <v>44317</v>
      </c>
      <c r="B359" s="31">
        <f>VLOOKUP(A359,Database!A:Q,MATCH($A$1,Database!$A$1:$Q$1,),)</f>
        <v>12482</v>
      </c>
      <c r="C359" s="32">
        <f t="shared" si="10"/>
        <v>-6.0868256715070346E-2</v>
      </c>
      <c r="D359" s="33">
        <f t="shared" si="11"/>
        <v>0.4598830409356725</v>
      </c>
    </row>
    <row r="360" spans="1:4" x14ac:dyDescent="0.2">
      <c r="A360" s="11">
        <v>44348</v>
      </c>
      <c r="B360" s="15">
        <f>VLOOKUP(A360,Database!A:Q,MATCH($A$1,Database!$A$1:$Q$1,),)</f>
        <v>13588</v>
      </c>
      <c r="C360" s="12">
        <f t="shared" si="10"/>
        <v>8.8607594936708861E-2</v>
      </c>
      <c r="D360" s="13">
        <f t="shared" si="11"/>
        <v>0.2926179604261796</v>
      </c>
    </row>
    <row r="361" spans="1:4" x14ac:dyDescent="0.2">
      <c r="A361" s="30">
        <v>44378</v>
      </c>
      <c r="B361" s="31">
        <f>VLOOKUP(A361,Database!A:Q,MATCH($A$1,Database!$A$1:$Q$1,),)</f>
        <v>13864</v>
      </c>
      <c r="C361" s="32">
        <f t="shared" si="10"/>
        <v>2.0312040035325288E-2</v>
      </c>
      <c r="D361" s="33">
        <f t="shared" si="11"/>
        <v>0.26070746567245612</v>
      </c>
    </row>
    <row r="362" spans="1:4" x14ac:dyDescent="0.2">
      <c r="A362" s="11">
        <v>44409</v>
      </c>
      <c r="B362" s="15">
        <f>VLOOKUP(A362,Database!A:Q,MATCH($A$1,Database!$A$1:$Q$1,),)</f>
        <v>14060</v>
      </c>
      <c r="C362" s="12">
        <f t="shared" si="10"/>
        <v>1.4137334102712061E-2</v>
      </c>
      <c r="D362" s="13">
        <f t="shared" si="11"/>
        <v>0.25827814569536423</v>
      </c>
    </row>
    <row r="363" spans="1:4" x14ac:dyDescent="0.2">
      <c r="A363" s="11">
        <v>44440</v>
      </c>
      <c r="B363" s="15">
        <f>VLOOKUP(A363,Database!A:Q,MATCH($A$1,Database!$A$1:$Q$1,),)</f>
        <v>14324</v>
      </c>
      <c r="C363" s="12">
        <f t="shared" si="10"/>
        <v>1.8776671408250355E-2</v>
      </c>
      <c r="D363" s="13">
        <f t="shared" si="11"/>
        <v>0.27915699232005714</v>
      </c>
    </row>
    <row r="364" spans="1:4" x14ac:dyDescent="0.2">
      <c r="A364" s="30">
        <v>44470</v>
      </c>
      <c r="B364" s="31">
        <f>VLOOKUP(A364,Database!A:Q,MATCH($A$1,Database!$A$1:$Q$1,),)</f>
        <v>14463</v>
      </c>
      <c r="C364" s="32">
        <f t="shared" si="10"/>
        <v>9.7039932979614638E-3</v>
      </c>
      <c r="D364" s="33">
        <f t="shared" si="11"/>
        <v>0.28995718872636461</v>
      </c>
    </row>
    <row r="365" spans="1:4" x14ac:dyDescent="0.2">
      <c r="A365" s="11">
        <v>44501</v>
      </c>
      <c r="B365" s="15">
        <f>VLOOKUP(A365,Database!A:Q,MATCH($A$1,Database!$A$1:$Q$1,),)</f>
        <v>14381</v>
      </c>
      <c r="C365" s="12">
        <f t="shared" si="10"/>
        <v>-5.6696397704487315E-3</v>
      </c>
      <c r="D365" s="13">
        <f t="shared" si="11"/>
        <v>0.2807017543859649</v>
      </c>
    </row>
    <row r="366" spans="1:4" x14ac:dyDescent="0.2">
      <c r="A366" s="11">
        <v>44531</v>
      </c>
      <c r="B366" s="15">
        <f>VLOOKUP(A366,Database!A:Q,MATCH($A$1,Database!$A$1:$Q$1,),)</f>
        <v>14285</v>
      </c>
      <c r="C366" s="12">
        <f t="shared" si="10"/>
        <v>-6.6754745845212437E-3</v>
      </c>
      <c r="D366" s="13">
        <f t="shared" si="11"/>
        <v>0.21038806981867481</v>
      </c>
    </row>
    <row r="367" spans="1:4" x14ac:dyDescent="0.2">
      <c r="A367" s="11">
        <v>44562</v>
      </c>
      <c r="B367" s="15">
        <f>VLOOKUP(A367,Database!A:Q,MATCH($A$1,Database!$A$1:$Q$1,),)</f>
        <v>14527</v>
      </c>
      <c r="C367" s="12">
        <f t="shared" si="10"/>
        <v>1.6940847042352117E-2</v>
      </c>
      <c r="D367" s="13">
        <f t="shared" si="11"/>
        <v>0.22746092099704268</v>
      </c>
    </row>
    <row r="368" spans="1:4" x14ac:dyDescent="0.2">
      <c r="A368" s="11">
        <v>44593</v>
      </c>
      <c r="B368" s="15">
        <f>VLOOKUP(A368,Database!A:Q,MATCH($A$1,Database!$A$1:$Q$1,),)</f>
        <v>14986</v>
      </c>
      <c r="C368" s="12">
        <f t="shared" si="10"/>
        <v>3.1596337853651818E-2</v>
      </c>
      <c r="D368" s="13">
        <f t="shared" si="11"/>
        <v>0.29167384933632134</v>
      </c>
    </row>
    <row r="369" spans="1:4" x14ac:dyDescent="0.2">
      <c r="A369" s="11">
        <v>44621</v>
      </c>
      <c r="B369" s="15">
        <f>VLOOKUP(A369,Database!A:Q,MATCH($A$1,Database!$A$1:$Q$1,),)</f>
        <v>15490</v>
      </c>
      <c r="C369" s="12">
        <f t="shared" si="10"/>
        <v>3.3631389296676896E-2</v>
      </c>
      <c r="D369" s="13">
        <f t="shared" si="11"/>
        <v>0.17615793470007593</v>
      </c>
    </row>
    <row r="370" spans="1:4" x14ac:dyDescent="0.2">
      <c r="A370" s="30">
        <v>44652</v>
      </c>
      <c r="B370" s="31">
        <f>VLOOKUP(A370,Database!A:Q,MATCH($A$1,Database!$A$1:$Q$1,),)</f>
        <v>15864</v>
      </c>
      <c r="C370" s="32">
        <f t="shared" si="10"/>
        <v>2.4144609425435764E-2</v>
      </c>
      <c r="D370" s="33">
        <f t="shared" si="11"/>
        <v>0.19358964712963658</v>
      </c>
    </row>
    <row r="371" spans="1:4" x14ac:dyDescent="0.2">
      <c r="A371" s="11">
        <v>44682</v>
      </c>
      <c r="B371" s="15">
        <f>VLOOKUP(A371,Database!A:Q,MATCH($A$1,Database!$A$1:$Q$1,),)</f>
        <v>15515</v>
      </c>
      <c r="C371" s="12">
        <f t="shared" si="10"/>
        <v>-2.1999495713565305E-2</v>
      </c>
      <c r="D371" s="13">
        <f t="shared" si="11"/>
        <v>0.24298990546386798</v>
      </c>
    </row>
    <row r="372" spans="1:4" x14ac:dyDescent="0.2">
      <c r="A372" s="11">
        <v>44713</v>
      </c>
      <c r="B372" s="15">
        <f>VLOOKUP(A372,Database!A:Q,MATCH($A$1,Database!$A$1:$Q$1,),)</f>
        <v>16082</v>
      </c>
      <c r="C372" s="12">
        <f t="shared" si="10"/>
        <v>3.6545278762487914E-2</v>
      </c>
      <c r="D372" s="13">
        <f t="shared" si="11"/>
        <v>0.18354430379746836</v>
      </c>
    </row>
    <row r="373" spans="1:4" x14ac:dyDescent="0.2">
      <c r="A373" s="11">
        <v>44743</v>
      </c>
      <c r="B373" s="15">
        <f>VLOOKUP(A373,Database!A:Q,MATCH($A$1,Database!$A$1:$Q$1,),)</f>
        <v>16327</v>
      </c>
      <c r="C373" s="12">
        <f t="shared" si="10"/>
        <v>1.5234423579156822E-2</v>
      </c>
      <c r="D373" s="13">
        <f t="shared" ref="D373" si="12">(B373-B361)/B361</f>
        <v>0.17765435660703982</v>
      </c>
    </row>
  </sheetData>
  <conditionalFormatting sqref="D19:D373">
    <cfRule type="colorScale" priority="44">
      <colorScale>
        <cfvo type="min"/>
        <cfvo type="percentile" val="50"/>
        <cfvo type="max"/>
        <color rgb="FFF8696B"/>
        <color rgb="FFFFEB84"/>
        <color rgb="FF63BE7B"/>
      </colorScale>
    </cfRule>
  </conditionalFormatting>
  <conditionalFormatting sqref="C8:C373">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3"/>
  <sheetViews>
    <sheetView zoomScale="190" zoomScaleNormal="190" workbookViewId="0">
      <pane ySplit="6" topLeftCell="A364" activePane="bottomLeft" state="frozen"/>
      <selection activeCell="P14" sqref="P14"/>
      <selection pane="bottomLeft" activeCell="O380" sqref="O380"/>
    </sheetView>
  </sheetViews>
  <sheetFormatPr baseColWidth="10" defaultColWidth="9.1640625" defaultRowHeight="15" x14ac:dyDescent="0.2"/>
  <cols>
    <col min="1" max="1" width="14" style="54" customWidth="1"/>
    <col min="2" max="2" width="20.6640625" style="54" customWidth="1"/>
    <col min="3" max="4" width="14.1640625" style="54" customWidth="1"/>
    <col min="5" max="13" width="9.1640625" style="110" customWidth="1"/>
    <col min="14"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17351</v>
      </c>
      <c r="C223" s="12">
        <f t="shared" si="6"/>
        <v>1.3078764523851229E-2</v>
      </c>
      <c r="D223" s="13">
        <f t="shared" si="7"/>
        <v>1.1189463255434465E-2</v>
      </c>
    </row>
    <row r="224" spans="1:4" x14ac:dyDescent="0.2">
      <c r="A224" s="11">
        <v>40210</v>
      </c>
      <c r="B224" s="15">
        <f>VLOOKUP(A224,Database!A:Q,MATCH($A$1,Database!$A$1:$Q$1,),)</f>
        <v>17402</v>
      </c>
      <c r="C224" s="12">
        <f t="shared" si="6"/>
        <v>2.9393118552244828E-3</v>
      </c>
      <c r="D224" s="13">
        <f t="shared" si="7"/>
        <v>5.7467961611401642E-5</v>
      </c>
    </row>
    <row r="225" spans="1:4" x14ac:dyDescent="0.2">
      <c r="A225" s="10">
        <v>40238</v>
      </c>
      <c r="B225" s="15">
        <f>VLOOKUP(A225,Database!A:Q,MATCH($A$1,Database!$A$1:$Q$1,),)</f>
        <v>17908</v>
      </c>
      <c r="C225" s="12">
        <f t="shared" si="6"/>
        <v>2.9077117572692796E-2</v>
      </c>
      <c r="D225" s="13">
        <f t="shared" si="7"/>
        <v>8.467595396729255E-2</v>
      </c>
    </row>
    <row r="226" spans="1:4" x14ac:dyDescent="0.2">
      <c r="A226" s="11">
        <v>40269</v>
      </c>
      <c r="B226" s="15">
        <f>VLOOKUP(A226,Database!A:Q,MATCH($A$1,Database!$A$1:$Q$1,),)</f>
        <v>17724</v>
      </c>
      <c r="C226" s="12">
        <f t="shared" si="6"/>
        <v>-1.0274737547464821E-2</v>
      </c>
      <c r="D226" s="13">
        <f t="shared" si="7"/>
        <v>4.8757396449704143E-2</v>
      </c>
    </row>
    <row r="227" spans="1:4" x14ac:dyDescent="0.2">
      <c r="A227" s="10">
        <v>40299</v>
      </c>
      <c r="B227" s="15">
        <f>VLOOKUP(A227,Database!A:Q,MATCH($A$1,Database!$A$1:$Q$1,),)</f>
        <v>17656</v>
      </c>
      <c r="C227" s="12">
        <f t="shared" si="6"/>
        <v>-3.8366057323403293E-3</v>
      </c>
      <c r="D227" s="13">
        <f t="shared" si="7"/>
        <v>3.627186289470595E-2</v>
      </c>
    </row>
    <row r="228" spans="1:4" x14ac:dyDescent="0.2">
      <c r="A228" s="11">
        <v>40330</v>
      </c>
      <c r="B228" s="15">
        <f>VLOOKUP(A228,Database!A:Q,MATCH($A$1,Database!$A$1:$Q$1,),)</f>
        <v>17495</v>
      </c>
      <c r="C228" s="12">
        <f t="shared" si="6"/>
        <v>-9.1187131853194374E-3</v>
      </c>
      <c r="D228" s="13">
        <f t="shared" si="7"/>
        <v>4.0316346554082179E-2</v>
      </c>
    </row>
    <row r="229" spans="1:4" x14ac:dyDescent="0.2">
      <c r="A229" s="10">
        <v>40360</v>
      </c>
      <c r="B229" s="15">
        <f>VLOOKUP(A229,Database!A:Q,MATCH($A$1,Database!$A$1:$Q$1,),)</f>
        <v>17573</v>
      </c>
      <c r="C229" s="12">
        <f t="shared" si="6"/>
        <v>4.4584166904829952E-3</v>
      </c>
      <c r="D229" s="13">
        <f t="shared" si="7"/>
        <v>3.2794593006171026E-2</v>
      </c>
    </row>
    <row r="230" spans="1:4" x14ac:dyDescent="0.2">
      <c r="A230" s="11">
        <v>40391</v>
      </c>
      <c r="B230" s="15">
        <f>VLOOKUP(A230,Database!A:Q,MATCH($A$1,Database!$A$1:$Q$1,),)</f>
        <v>17643</v>
      </c>
      <c r="C230" s="12">
        <f t="shared" si="6"/>
        <v>3.983383599840665E-3</v>
      </c>
      <c r="D230" s="13">
        <f t="shared" si="7"/>
        <v>2.3791562699471944E-2</v>
      </c>
    </row>
    <row r="231" spans="1:4" x14ac:dyDescent="0.2">
      <c r="A231" s="10">
        <v>40422</v>
      </c>
      <c r="B231" s="15">
        <f>VLOOKUP(A231,Database!A:Q,MATCH($A$1,Database!$A$1:$Q$1,),)</f>
        <v>17705</v>
      </c>
      <c r="C231" s="12">
        <f t="shared" si="6"/>
        <v>3.5141415858980897E-3</v>
      </c>
      <c r="D231" s="13">
        <f t="shared" si="7"/>
        <v>3.1038900535755882E-2</v>
      </c>
    </row>
    <row r="232" spans="1:4" x14ac:dyDescent="0.2">
      <c r="A232" s="11">
        <v>40452</v>
      </c>
      <c r="B232" s="15">
        <f>VLOOKUP(A232,Database!A:Q,MATCH($A$1,Database!$A$1:$Q$1,),)</f>
        <v>18002</v>
      </c>
      <c r="C232" s="12">
        <f t="shared" si="6"/>
        <v>1.6774922338322507E-2</v>
      </c>
      <c r="D232" s="13">
        <f t="shared" si="7"/>
        <v>4.0818686401480113E-2</v>
      </c>
    </row>
    <row r="233" spans="1:4" x14ac:dyDescent="0.2">
      <c r="A233" s="10">
        <v>40483</v>
      </c>
      <c r="B233" s="15">
        <f>VLOOKUP(A233,Database!A:Q,MATCH($A$1,Database!$A$1:$Q$1,),)</f>
        <v>18420</v>
      </c>
      <c r="C233" s="12">
        <f t="shared" si="6"/>
        <v>2.3219642261970892E-2</v>
      </c>
      <c r="D233" s="13">
        <f t="shared" si="7"/>
        <v>7.6878105817012571E-2</v>
      </c>
    </row>
    <row r="234" spans="1:4" x14ac:dyDescent="0.2">
      <c r="A234" s="11">
        <v>40513</v>
      </c>
      <c r="B234" s="15">
        <f>VLOOKUP(A234,Database!A:Q,MATCH($A$1,Database!$A$1:$Q$1,),)</f>
        <v>18206</v>
      </c>
      <c r="C234" s="12">
        <f t="shared" si="6"/>
        <v>-1.1617806731813247E-2</v>
      </c>
      <c r="D234" s="13">
        <f t="shared" si="7"/>
        <v>6.2999941612658372E-2</v>
      </c>
    </row>
    <row r="235" spans="1:4" x14ac:dyDescent="0.2">
      <c r="A235" s="10">
        <v>40544</v>
      </c>
      <c r="B235" s="15">
        <f>VLOOKUP(A235,Database!A:Q,MATCH($A$1,Database!$A$1:$Q$1,),)</f>
        <v>18351</v>
      </c>
      <c r="C235" s="12">
        <f t="shared" si="6"/>
        <v>7.9644073382401405E-3</v>
      </c>
      <c r="D235" s="13">
        <f t="shared" si="7"/>
        <v>5.7633565788715348E-2</v>
      </c>
    </row>
    <row r="236" spans="1:4" x14ac:dyDescent="0.2">
      <c r="A236" s="11">
        <v>40575</v>
      </c>
      <c r="B236" s="15">
        <f>VLOOKUP(A236,Database!A:Q,MATCH($A$1,Database!$A$1:$Q$1,),)</f>
        <v>18594</v>
      </c>
      <c r="C236" s="12">
        <f t="shared" si="6"/>
        <v>1.3241785188818049E-2</v>
      </c>
      <c r="D236" s="13">
        <f t="shared" si="7"/>
        <v>6.8497873807608314E-2</v>
      </c>
    </row>
    <row r="237" spans="1:4" x14ac:dyDescent="0.2">
      <c r="A237" s="10">
        <v>40603</v>
      </c>
      <c r="B237" s="15">
        <f>VLOOKUP(A237,Database!A:Q,MATCH($A$1,Database!$A$1:$Q$1,),)</f>
        <v>18706</v>
      </c>
      <c r="C237" s="12">
        <f t="shared" si="6"/>
        <v>6.0234484242228676E-3</v>
      </c>
      <c r="D237" s="13">
        <f t="shared" si="7"/>
        <v>4.456109001563547E-2</v>
      </c>
    </row>
    <row r="238" spans="1:4" x14ac:dyDescent="0.2">
      <c r="A238" s="11">
        <v>40634</v>
      </c>
      <c r="B238" s="15">
        <f>VLOOKUP(A238,Database!A:Q,MATCH($A$1,Database!$A$1:$Q$1,),)</f>
        <v>18946</v>
      </c>
      <c r="C238" s="12">
        <f t="shared" si="6"/>
        <v>1.2830107986742221E-2</v>
      </c>
      <c r="D238" s="13">
        <f t="shared" si="7"/>
        <v>6.8946061837057093E-2</v>
      </c>
    </row>
    <row r="239" spans="1:4" x14ac:dyDescent="0.2">
      <c r="A239" s="10">
        <v>40664</v>
      </c>
      <c r="B239" s="15">
        <f>VLOOKUP(A239,Database!A:Q,MATCH($A$1,Database!$A$1:$Q$1,),)</f>
        <v>18831</v>
      </c>
      <c r="C239" s="12">
        <f t="shared" si="6"/>
        <v>-6.0698828248706852E-3</v>
      </c>
      <c r="D239" s="13">
        <f t="shared" si="7"/>
        <v>6.6549614861803358E-2</v>
      </c>
    </row>
    <row r="240" spans="1:4" x14ac:dyDescent="0.2">
      <c r="A240" s="11">
        <v>40695</v>
      </c>
      <c r="B240" s="15">
        <f>VLOOKUP(A240,Database!A:Q,MATCH($A$1,Database!$A$1:$Q$1,),)</f>
        <v>19187</v>
      </c>
      <c r="C240" s="12">
        <f t="shared" si="6"/>
        <v>1.8904997079284159E-2</v>
      </c>
      <c r="D240" s="13">
        <f t="shared" si="7"/>
        <v>9.6713346670477277E-2</v>
      </c>
    </row>
    <row r="241" spans="1:4" x14ac:dyDescent="0.2">
      <c r="A241" s="10">
        <v>40725</v>
      </c>
      <c r="B241" s="15">
        <f>VLOOKUP(A241,Database!A:Q,MATCH($A$1,Database!$A$1:$Q$1,),)</f>
        <v>18998</v>
      </c>
      <c r="C241" s="12">
        <f t="shared" si="6"/>
        <v>-9.8504195549069685E-3</v>
      </c>
      <c r="D241" s="13">
        <f t="shared" si="7"/>
        <v>8.1090308996756386E-2</v>
      </c>
    </row>
    <row r="242" spans="1:4" x14ac:dyDescent="0.2">
      <c r="A242" s="11">
        <v>40756</v>
      </c>
      <c r="B242" s="15">
        <f>VLOOKUP(A242,Database!A:Q,MATCH($A$1,Database!$A$1:$Q$1,),)</f>
        <v>18902</v>
      </c>
      <c r="C242" s="12">
        <f t="shared" si="6"/>
        <v>-5.0531634908937782E-3</v>
      </c>
      <c r="D242" s="13">
        <f t="shared" si="7"/>
        <v>7.1359746074930563E-2</v>
      </c>
    </row>
    <row r="243" spans="1:4" x14ac:dyDescent="0.2">
      <c r="A243" s="10">
        <v>40787</v>
      </c>
      <c r="B243" s="15">
        <f>VLOOKUP(A243,Database!A:Q,MATCH($A$1,Database!$A$1:$Q$1,),)</f>
        <v>19514</v>
      </c>
      <c r="C243" s="12">
        <f t="shared" si="6"/>
        <v>3.2377526187705008E-2</v>
      </c>
      <c r="D243" s="13">
        <f t="shared" si="7"/>
        <v>0.10217452696978255</v>
      </c>
    </row>
    <row r="244" spans="1:4" x14ac:dyDescent="0.2">
      <c r="A244" s="11">
        <v>40817</v>
      </c>
      <c r="B244" s="15">
        <f>VLOOKUP(A244,Database!A:Q,MATCH($A$1,Database!$A$1:$Q$1,),)</f>
        <v>19128</v>
      </c>
      <c r="C244" s="12">
        <f t="shared" si="6"/>
        <v>-1.9780670287998361E-2</v>
      </c>
      <c r="D244" s="13">
        <f t="shared" si="7"/>
        <v>6.2548605710476615E-2</v>
      </c>
    </row>
    <row r="245" spans="1:4" x14ac:dyDescent="0.2">
      <c r="A245" s="10">
        <v>40848</v>
      </c>
      <c r="B245" s="15">
        <f>VLOOKUP(A245,Database!A:Q,MATCH($A$1,Database!$A$1:$Q$1,),)</f>
        <v>19292</v>
      </c>
      <c r="C245" s="12">
        <f t="shared" si="6"/>
        <v>8.5738184859891261E-3</v>
      </c>
      <c r="D245" s="13">
        <f t="shared" si="7"/>
        <v>4.7339847991313792E-2</v>
      </c>
    </row>
    <row r="246" spans="1:4" x14ac:dyDescent="0.2">
      <c r="A246" s="11">
        <v>40878</v>
      </c>
      <c r="B246" s="15">
        <f>VLOOKUP(A246,Database!A:Q,MATCH($A$1,Database!$A$1:$Q$1,),)</f>
        <v>19512</v>
      </c>
      <c r="C246" s="12">
        <f t="shared" si="6"/>
        <v>1.1403690648973668E-2</v>
      </c>
      <c r="D246" s="13">
        <f t="shared" si="7"/>
        <v>7.1734592991321539E-2</v>
      </c>
    </row>
    <row r="247" spans="1:4" x14ac:dyDescent="0.2">
      <c r="A247" s="10">
        <v>40909</v>
      </c>
      <c r="B247" s="15">
        <f>VLOOKUP(A247,Database!A:Q,MATCH($A$1,Database!$A$1:$Q$1,),)</f>
        <v>19564</v>
      </c>
      <c r="C247" s="12">
        <f t="shared" si="6"/>
        <v>2.6650266502665026E-3</v>
      </c>
      <c r="D247" s="13">
        <f t="shared" si="7"/>
        <v>6.6099940057762513E-2</v>
      </c>
    </row>
    <row r="248" spans="1:4" x14ac:dyDescent="0.2">
      <c r="A248" s="11">
        <v>40940</v>
      </c>
      <c r="B248" s="15">
        <f>VLOOKUP(A248,Database!A:Q,MATCH($A$1,Database!$A$1:$Q$1,),)</f>
        <v>20275</v>
      </c>
      <c r="C248" s="12">
        <f t="shared" si="6"/>
        <v>3.6342261296258435E-2</v>
      </c>
      <c r="D248" s="13">
        <f t="shared" si="7"/>
        <v>9.040550715284501E-2</v>
      </c>
    </row>
    <row r="249" spans="1:4" x14ac:dyDescent="0.2">
      <c r="A249" s="10">
        <v>40969</v>
      </c>
      <c r="B249" s="15">
        <f>VLOOKUP(A249,Database!A:Q,MATCH($A$1,Database!$A$1:$Q$1,),)</f>
        <v>20063</v>
      </c>
      <c r="C249" s="12">
        <f t="shared" si="6"/>
        <v>-1.0456226880394574E-2</v>
      </c>
      <c r="D249" s="13">
        <f t="shared" si="7"/>
        <v>7.2543568908371645E-2</v>
      </c>
    </row>
    <row r="250" spans="1:4" x14ac:dyDescent="0.2">
      <c r="A250" s="11">
        <v>41000</v>
      </c>
      <c r="B250" s="15">
        <f>VLOOKUP(A250,Database!A:Q,MATCH($A$1,Database!$A$1:$Q$1,),)</f>
        <v>19540</v>
      </c>
      <c r="C250" s="12">
        <f t="shared" si="6"/>
        <v>-2.6067886158600409E-2</v>
      </c>
      <c r="D250" s="13">
        <f t="shared" si="7"/>
        <v>3.1352264330201628E-2</v>
      </c>
    </row>
    <row r="251" spans="1:4" x14ac:dyDescent="0.2">
      <c r="A251" s="10">
        <v>41030</v>
      </c>
      <c r="B251" s="15">
        <f>VLOOKUP(A251,Database!A:Q,MATCH($A$1,Database!$A$1:$Q$1,),)</f>
        <v>19633</v>
      </c>
      <c r="C251" s="12">
        <f t="shared" si="6"/>
        <v>4.759467758444217E-3</v>
      </c>
      <c r="D251" s="13">
        <f t="shared" si="7"/>
        <v>4.2589347352769369E-2</v>
      </c>
    </row>
    <row r="252" spans="1:4" x14ac:dyDescent="0.2">
      <c r="A252" s="11">
        <v>41061</v>
      </c>
      <c r="B252" s="15">
        <f>VLOOKUP(A252,Database!A:Q,MATCH($A$1,Database!$A$1:$Q$1,),)</f>
        <v>19860</v>
      </c>
      <c r="C252" s="12">
        <f t="shared" si="6"/>
        <v>1.1562165741353844E-2</v>
      </c>
      <c r="D252" s="13">
        <f t="shared" si="7"/>
        <v>3.5075832594986187E-2</v>
      </c>
    </row>
    <row r="253" spans="1:4" x14ac:dyDescent="0.2">
      <c r="A253" s="10">
        <v>41091</v>
      </c>
      <c r="B253" s="15">
        <f>VLOOKUP(A253,Database!A:Q,MATCH($A$1,Database!$A$1:$Q$1,),)</f>
        <v>19701</v>
      </c>
      <c r="C253" s="12">
        <f t="shared" si="6"/>
        <v>-8.0060422960725082E-3</v>
      </c>
      <c r="D253" s="13">
        <f t="shared" si="7"/>
        <v>3.7003895146857563E-2</v>
      </c>
    </row>
    <row r="254" spans="1:4" x14ac:dyDescent="0.2">
      <c r="A254" s="11">
        <v>41122</v>
      </c>
      <c r="B254" s="15">
        <f>VLOOKUP(A254,Database!A:Q,MATCH($A$1,Database!$A$1:$Q$1,),)</f>
        <v>19947</v>
      </c>
      <c r="C254" s="12">
        <f t="shared" si="6"/>
        <v>1.2486675803258717E-2</v>
      </c>
      <c r="D254" s="13">
        <f t="shared" si="7"/>
        <v>5.5285155010051844E-2</v>
      </c>
    </row>
    <row r="255" spans="1:4" x14ac:dyDescent="0.2">
      <c r="A255" s="10">
        <v>41153</v>
      </c>
      <c r="B255" s="15">
        <f>VLOOKUP(A255,Database!A:Q,MATCH($A$1,Database!$A$1:$Q$1,),)</f>
        <v>20118</v>
      </c>
      <c r="C255" s="12">
        <f t="shared" si="6"/>
        <v>8.5727177019100619E-3</v>
      </c>
      <c r="D255" s="13">
        <f t="shared" si="7"/>
        <v>3.0952136927334221E-2</v>
      </c>
    </row>
    <row r="256" spans="1:4" x14ac:dyDescent="0.2">
      <c r="A256" s="11">
        <v>41183</v>
      </c>
      <c r="B256" s="15">
        <f>VLOOKUP(A256,Database!A:Q,MATCH($A$1,Database!$A$1:$Q$1,),)</f>
        <v>19911</v>
      </c>
      <c r="C256" s="12">
        <f t="shared" si="6"/>
        <v>-1.0289293170295259E-2</v>
      </c>
      <c r="D256" s="13">
        <f t="shared" si="7"/>
        <v>4.0934755332496867E-2</v>
      </c>
    </row>
    <row r="257" spans="1:4" x14ac:dyDescent="0.2">
      <c r="A257" s="10">
        <v>41214</v>
      </c>
      <c r="B257" s="15">
        <f>VLOOKUP(A257,Database!A:Q,MATCH($A$1,Database!$A$1:$Q$1,),)</f>
        <v>19989</v>
      </c>
      <c r="C257" s="12">
        <f t="shared" si="6"/>
        <v>3.9174325749585653E-3</v>
      </c>
      <c r="D257" s="13">
        <f t="shared" si="7"/>
        <v>3.6128965374248395E-2</v>
      </c>
    </row>
    <row r="258" spans="1:4" x14ac:dyDescent="0.2">
      <c r="A258" s="11">
        <v>41244</v>
      </c>
      <c r="B258" s="15">
        <f>VLOOKUP(A258,Database!A:Q,MATCH($A$1,Database!$A$1:$Q$1,),)</f>
        <v>20196</v>
      </c>
      <c r="C258" s="12">
        <f t="shared" si="6"/>
        <v>1.0355695632597929E-2</v>
      </c>
      <c r="D258" s="13">
        <f t="shared" si="7"/>
        <v>3.5055350553505532E-2</v>
      </c>
    </row>
    <row r="259" spans="1:4" x14ac:dyDescent="0.2">
      <c r="A259" s="10">
        <v>41275</v>
      </c>
      <c r="B259" s="15">
        <f>VLOOKUP(A259,Database!A:Q,MATCH($A$1,Database!$A$1:$Q$1,),)</f>
        <v>20427</v>
      </c>
      <c r="C259" s="12">
        <f t="shared" si="6"/>
        <v>1.1437908496732025E-2</v>
      </c>
      <c r="D259" s="13">
        <f t="shared" si="7"/>
        <v>4.4111633612758126E-2</v>
      </c>
    </row>
    <row r="260" spans="1:4" x14ac:dyDescent="0.2">
      <c r="A260" s="11">
        <v>41306</v>
      </c>
      <c r="B260" s="15">
        <f>VLOOKUP(A260,Database!A:Q,MATCH($A$1,Database!$A$1:$Q$1,),)</f>
        <v>20324</v>
      </c>
      <c r="C260" s="12">
        <f t="shared" si="6"/>
        <v>-5.0423459147207125E-3</v>
      </c>
      <c r="D260" s="13">
        <f t="shared" si="7"/>
        <v>2.4167694204685571E-3</v>
      </c>
    </row>
    <row r="261" spans="1:4" x14ac:dyDescent="0.2">
      <c r="A261" s="10">
        <v>41334</v>
      </c>
      <c r="B261" s="15">
        <f>VLOOKUP(A261,Database!A:Q,MATCH($A$1,Database!$A$1:$Q$1,),)</f>
        <v>20345</v>
      </c>
      <c r="C261" s="12">
        <f t="shared" si="6"/>
        <v>1.0332611690612083E-3</v>
      </c>
      <c r="D261" s="13">
        <f t="shared" si="7"/>
        <v>1.4055724467926033E-2</v>
      </c>
    </row>
    <row r="262" spans="1:4" x14ac:dyDescent="0.2">
      <c r="A262" s="11">
        <v>41365</v>
      </c>
      <c r="B262" s="15">
        <f>VLOOKUP(A262,Database!A:Q,MATCH($A$1,Database!$A$1:$Q$1,),)</f>
        <v>20490</v>
      </c>
      <c r="C262" s="12">
        <f t="shared" si="6"/>
        <v>7.1270582452691075E-3</v>
      </c>
      <c r="D262" s="13">
        <f t="shared" si="7"/>
        <v>4.8618219037871037E-2</v>
      </c>
    </row>
    <row r="263" spans="1:4" x14ac:dyDescent="0.2">
      <c r="A263" s="10">
        <v>41395</v>
      </c>
      <c r="B263" s="15">
        <f>VLOOKUP(A263,Database!A:Q,MATCH($A$1,Database!$A$1:$Q$1,),)</f>
        <v>20403</v>
      </c>
      <c r="C263" s="12">
        <f t="shared" si="6"/>
        <v>-4.2459736456808197E-3</v>
      </c>
      <c r="D263" s="13">
        <f t="shared" si="7"/>
        <v>3.9219681149085722E-2</v>
      </c>
    </row>
    <row r="264" spans="1:4" x14ac:dyDescent="0.2">
      <c r="A264" s="11">
        <v>41426</v>
      </c>
      <c r="B264" s="15">
        <f>VLOOKUP(A264,Database!A:Q,MATCH($A$1,Database!$A$1:$Q$1,),)</f>
        <v>20369</v>
      </c>
      <c r="C264" s="12">
        <f t="shared" ref="C264:C327" si="8">(B264-B263)/B263</f>
        <v>-1.6664216046659804E-3</v>
      </c>
      <c r="D264" s="13">
        <f t="shared" si="7"/>
        <v>2.5629405840886202E-2</v>
      </c>
    </row>
    <row r="265" spans="1:4" x14ac:dyDescent="0.2">
      <c r="A265" s="10">
        <v>41456</v>
      </c>
      <c r="B265" s="15">
        <f>VLOOKUP(A265,Database!A:Q,MATCH($A$1,Database!$A$1:$Q$1,),)</f>
        <v>20579</v>
      </c>
      <c r="C265" s="12">
        <f t="shared" si="8"/>
        <v>1.0309784476410231E-2</v>
      </c>
      <c r="D265" s="13">
        <f t="shared" si="7"/>
        <v>4.4566265671793309E-2</v>
      </c>
    </row>
    <row r="266" spans="1:4" x14ac:dyDescent="0.2">
      <c r="A266" s="11">
        <v>41487</v>
      </c>
      <c r="B266" s="15">
        <f>VLOOKUP(A266,Database!A:Q,MATCH($A$1,Database!$A$1:$Q$1,),)</f>
        <v>20336</v>
      </c>
      <c r="C266" s="12">
        <f t="shared" si="8"/>
        <v>-1.1808153943340298E-2</v>
      </c>
      <c r="D266" s="13">
        <f t="shared" si="7"/>
        <v>1.950167945054394E-2</v>
      </c>
    </row>
    <row r="267" spans="1:4" x14ac:dyDescent="0.2">
      <c r="A267" s="10">
        <v>41518</v>
      </c>
      <c r="B267" s="15">
        <f>VLOOKUP(A267,Database!A:Q,MATCH($A$1,Database!$A$1:$Q$1,),)</f>
        <v>20327</v>
      </c>
      <c r="C267" s="12">
        <f t="shared" si="8"/>
        <v>-4.4256490952006294E-4</v>
      </c>
      <c r="D267" s="13">
        <f t="shared" si="7"/>
        <v>1.0388706630877821E-2</v>
      </c>
    </row>
    <row r="268" spans="1:4" x14ac:dyDescent="0.2">
      <c r="A268" s="11">
        <v>41548</v>
      </c>
      <c r="B268" s="15">
        <f>VLOOKUP(A268,Database!A:Q,MATCH($A$1,Database!$A$1:$Q$1,),)</f>
        <v>20770</v>
      </c>
      <c r="C268" s="12">
        <f t="shared" si="8"/>
        <v>2.1793673439267969E-2</v>
      </c>
      <c r="D268" s="13">
        <f t="shared" si="7"/>
        <v>4.3141981819094975E-2</v>
      </c>
    </row>
    <row r="269" spans="1:4" x14ac:dyDescent="0.2">
      <c r="A269" s="10">
        <v>41579</v>
      </c>
      <c r="B269" s="15">
        <f>VLOOKUP(A269,Database!A:Q,MATCH($A$1,Database!$A$1:$Q$1,),)</f>
        <v>20271</v>
      </c>
      <c r="C269" s="12">
        <f t="shared" si="8"/>
        <v>-2.4025036109773711E-2</v>
      </c>
      <c r="D269" s="13">
        <f t="shared" si="7"/>
        <v>1.4107759267597178E-2</v>
      </c>
    </row>
    <row r="270" spans="1:4" x14ac:dyDescent="0.2">
      <c r="A270" s="11">
        <v>41609</v>
      </c>
      <c r="B270" s="15">
        <f>VLOOKUP(A270,Database!A:Q,MATCH($A$1,Database!$A$1:$Q$1,),)</f>
        <v>20584</v>
      </c>
      <c r="C270" s="12">
        <f t="shared" si="8"/>
        <v>1.5440777465344582E-2</v>
      </c>
      <c r="D270" s="13">
        <f t="shared" si="7"/>
        <v>1.9211725094078036E-2</v>
      </c>
    </row>
    <row r="271" spans="1:4" x14ac:dyDescent="0.2">
      <c r="A271" s="10">
        <v>41640</v>
      </c>
      <c r="B271" s="15">
        <f>VLOOKUP(A271,Database!A:Q,MATCH($A$1,Database!$A$1:$Q$1,),)</f>
        <v>20538</v>
      </c>
      <c r="C271" s="12">
        <f t="shared" si="8"/>
        <v>-2.2347454333462883E-3</v>
      </c>
      <c r="D271" s="13">
        <f t="shared" si="7"/>
        <v>5.4339844323689239E-3</v>
      </c>
    </row>
    <row r="272" spans="1:4" x14ac:dyDescent="0.2">
      <c r="A272" s="11">
        <v>41671</v>
      </c>
      <c r="B272" s="15">
        <f>VLOOKUP(A272,Database!A:Q,MATCH($A$1,Database!$A$1:$Q$1,),)</f>
        <v>20554</v>
      </c>
      <c r="C272" s="12">
        <f t="shared" si="8"/>
        <v>7.7904372382899987E-4</v>
      </c>
      <c r="D272" s="13">
        <f t="shared" si="7"/>
        <v>1.1316669946860853E-2</v>
      </c>
    </row>
    <row r="273" spans="1:4" x14ac:dyDescent="0.2">
      <c r="A273" s="10">
        <v>41699</v>
      </c>
      <c r="B273" s="15">
        <f>VLOOKUP(A273,Database!A:Q,MATCH($A$1,Database!$A$1:$Q$1,),)</f>
        <v>20686</v>
      </c>
      <c r="C273" s="12">
        <f t="shared" si="8"/>
        <v>6.4221076189549479E-3</v>
      </c>
      <c r="D273" s="13">
        <f t="shared" si="7"/>
        <v>1.6760874907839764E-2</v>
      </c>
    </row>
    <row r="274" spans="1:4" x14ac:dyDescent="0.2">
      <c r="A274" s="11">
        <v>41730</v>
      </c>
      <c r="B274" s="15">
        <f>VLOOKUP(A274,Database!A:Q,MATCH($A$1,Database!$A$1:$Q$1,),)</f>
        <v>21166</v>
      </c>
      <c r="C274" s="12">
        <f t="shared" si="8"/>
        <v>2.320409939089239E-2</v>
      </c>
      <c r="D274" s="13">
        <f t="shared" si="7"/>
        <v>3.2991703269887748E-2</v>
      </c>
    </row>
    <row r="275" spans="1:4" x14ac:dyDescent="0.2">
      <c r="A275" s="10">
        <v>41760</v>
      </c>
      <c r="B275" s="15">
        <f>VLOOKUP(A275,Database!A:Q,MATCH($A$1,Database!$A$1:$Q$1,),)</f>
        <v>20775</v>
      </c>
      <c r="C275" s="12">
        <f t="shared" si="8"/>
        <v>-1.8473022772370784E-2</v>
      </c>
      <c r="D275" s="13">
        <f t="shared" ref="D275:D338" si="9">(B275-B263)/B263</f>
        <v>1.8232612851051315E-2</v>
      </c>
    </row>
    <row r="276" spans="1:4" x14ac:dyDescent="0.2">
      <c r="A276" s="11">
        <v>41791</v>
      </c>
      <c r="B276" s="15">
        <f>VLOOKUP(A276,Database!A:Q,MATCH($A$1,Database!$A$1:$Q$1,),)</f>
        <v>20827</v>
      </c>
      <c r="C276" s="12">
        <f t="shared" si="8"/>
        <v>2.503008423586041E-3</v>
      </c>
      <c r="D276" s="13">
        <f t="shared" si="9"/>
        <v>2.2485149000932791E-2</v>
      </c>
    </row>
    <row r="277" spans="1:4" x14ac:dyDescent="0.2">
      <c r="A277" s="10">
        <v>41821</v>
      </c>
      <c r="B277" s="15">
        <f>VLOOKUP(A277,Database!A:Q,MATCH($A$1,Database!$A$1:$Q$1,),)</f>
        <v>20929</v>
      </c>
      <c r="C277" s="12">
        <f t="shared" si="8"/>
        <v>4.8974888366063287E-3</v>
      </c>
      <c r="D277" s="13">
        <f t="shared" si="9"/>
        <v>1.7007629136498371E-2</v>
      </c>
    </row>
    <row r="278" spans="1:4" x14ac:dyDescent="0.2">
      <c r="A278" s="11">
        <v>41852</v>
      </c>
      <c r="B278" s="15">
        <f>VLOOKUP(A278,Database!A:Q,MATCH($A$1,Database!$A$1:$Q$1,),)</f>
        <v>21076</v>
      </c>
      <c r="C278" s="12">
        <f t="shared" si="8"/>
        <v>7.0237469539872902E-3</v>
      </c>
      <c r="D278" s="13">
        <f t="shared" si="9"/>
        <v>3.638867033831629E-2</v>
      </c>
    </row>
    <row r="279" spans="1:4" x14ac:dyDescent="0.2">
      <c r="A279" s="10">
        <v>41883</v>
      </c>
      <c r="B279" s="15">
        <f>VLOOKUP(A279,Database!A:Q,MATCH($A$1,Database!$A$1:$Q$1,),)</f>
        <v>20820</v>
      </c>
      <c r="C279" s="12">
        <f t="shared" si="8"/>
        <v>-1.2146517365724046E-2</v>
      </c>
      <c r="D279" s="13">
        <f t="shared" si="9"/>
        <v>2.4253455994490088E-2</v>
      </c>
    </row>
    <row r="280" spans="1:4" x14ac:dyDescent="0.2">
      <c r="A280" s="11">
        <v>41913</v>
      </c>
      <c r="B280" s="15">
        <f>VLOOKUP(A280,Database!A:Q,MATCH($A$1,Database!$A$1:$Q$1,),)</f>
        <v>21157</v>
      </c>
      <c r="C280" s="12">
        <f t="shared" si="8"/>
        <v>1.6186359269932758E-2</v>
      </c>
      <c r="D280" s="13">
        <f t="shared" si="9"/>
        <v>1.8632643235435724E-2</v>
      </c>
    </row>
    <row r="281" spans="1:4" x14ac:dyDescent="0.2">
      <c r="A281" s="10">
        <v>41944</v>
      </c>
      <c r="B281" s="15">
        <f>VLOOKUP(A281,Database!A:Q,MATCH($A$1,Database!$A$1:$Q$1,),)</f>
        <v>21379</v>
      </c>
      <c r="C281" s="12">
        <f t="shared" si="8"/>
        <v>1.0492981046462164E-2</v>
      </c>
      <c r="D281" s="13">
        <f t="shared" si="9"/>
        <v>5.465936559617187E-2</v>
      </c>
    </row>
    <row r="282" spans="1:4" x14ac:dyDescent="0.2">
      <c r="A282" s="11">
        <v>41974</v>
      </c>
      <c r="B282" s="15">
        <f>VLOOKUP(A282,Database!A:Q,MATCH($A$1,Database!$A$1:$Q$1,),)</f>
        <v>21319</v>
      </c>
      <c r="C282" s="12">
        <f t="shared" si="8"/>
        <v>-2.8064923523083399E-3</v>
      </c>
      <c r="D282" s="13">
        <f t="shared" si="9"/>
        <v>3.5707345511076564E-2</v>
      </c>
    </row>
    <row r="283" spans="1:4" x14ac:dyDescent="0.2">
      <c r="A283" s="10">
        <v>42005</v>
      </c>
      <c r="B283" s="15">
        <f>VLOOKUP(A283,Database!A:Q,MATCH($A$1,Database!$A$1:$Q$1,),)</f>
        <v>21055</v>
      </c>
      <c r="C283" s="12">
        <f t="shared" si="8"/>
        <v>-1.2383320043153994E-2</v>
      </c>
      <c r="D283" s="13">
        <f t="shared" si="9"/>
        <v>2.5172850326224558E-2</v>
      </c>
    </row>
    <row r="284" spans="1:4" x14ac:dyDescent="0.2">
      <c r="A284" s="11">
        <v>42036</v>
      </c>
      <c r="B284" s="15">
        <f>VLOOKUP(A284,Database!A:Q,MATCH($A$1,Database!$A$1:$Q$1,),)</f>
        <v>21333</v>
      </c>
      <c r="C284" s="12">
        <f t="shared" si="8"/>
        <v>1.3203514604606982E-2</v>
      </c>
      <c r="D284" s="13">
        <f t="shared" si="9"/>
        <v>3.7900165417923522E-2</v>
      </c>
    </row>
    <row r="285" spans="1:4" x14ac:dyDescent="0.2">
      <c r="A285" s="10">
        <v>42064</v>
      </c>
      <c r="B285" s="15">
        <f>VLOOKUP(A285,Database!A:Q,MATCH($A$1,Database!$A$1:$Q$1,),)</f>
        <v>21394</v>
      </c>
      <c r="C285" s="12">
        <f t="shared" si="8"/>
        <v>2.8594196784324753E-3</v>
      </c>
      <c r="D285" s="13">
        <f t="shared" si="9"/>
        <v>3.4226046601566279E-2</v>
      </c>
    </row>
    <row r="286" spans="1:4" x14ac:dyDescent="0.2">
      <c r="A286" s="11">
        <v>42095</v>
      </c>
      <c r="B286" s="15">
        <f>VLOOKUP(A286,Database!A:Q,MATCH($A$1,Database!$A$1:$Q$1,),)</f>
        <v>21474</v>
      </c>
      <c r="C286" s="12">
        <f t="shared" si="8"/>
        <v>3.7393661774329252E-3</v>
      </c>
      <c r="D286" s="13">
        <f t="shared" si="9"/>
        <v>1.455163942171407E-2</v>
      </c>
    </row>
    <row r="287" spans="1:4" x14ac:dyDescent="0.2">
      <c r="A287" s="10">
        <v>42125</v>
      </c>
      <c r="B287" s="15">
        <f>VLOOKUP(A287,Database!A:Q,MATCH($A$1,Database!$A$1:$Q$1,),)</f>
        <v>21635</v>
      </c>
      <c r="C287" s="12">
        <f t="shared" si="8"/>
        <v>7.4974387631554437E-3</v>
      </c>
      <c r="D287" s="13">
        <f t="shared" si="9"/>
        <v>4.1395908543922985E-2</v>
      </c>
    </row>
    <row r="288" spans="1:4" x14ac:dyDescent="0.2">
      <c r="A288" s="11">
        <v>42156</v>
      </c>
      <c r="B288" s="15">
        <f>VLOOKUP(A288,Database!A:Q,MATCH($A$1,Database!$A$1:$Q$1,),)</f>
        <v>21385</v>
      </c>
      <c r="C288" s="12">
        <f t="shared" si="8"/>
        <v>-1.1555350127108852E-2</v>
      </c>
      <c r="D288" s="13">
        <f t="shared" si="9"/>
        <v>2.6792144812022856E-2</v>
      </c>
    </row>
    <row r="289" spans="1:4" x14ac:dyDescent="0.2">
      <c r="A289" s="10">
        <v>42186</v>
      </c>
      <c r="B289" s="15">
        <f>VLOOKUP(A289,Database!A:Q,MATCH($A$1,Database!$A$1:$Q$1,),)</f>
        <v>21601</v>
      </c>
      <c r="C289" s="12">
        <f t="shared" si="8"/>
        <v>1.0100537760112228E-2</v>
      </c>
      <c r="D289" s="13">
        <f t="shared" si="9"/>
        <v>3.2108557503941898E-2</v>
      </c>
    </row>
    <row r="290" spans="1:4" x14ac:dyDescent="0.2">
      <c r="A290" s="11">
        <v>42217</v>
      </c>
      <c r="B290" s="15">
        <f>VLOOKUP(A290,Database!A:Q,MATCH($A$1,Database!$A$1:$Q$1,),)</f>
        <v>21653</v>
      </c>
      <c r="C290" s="12">
        <f t="shared" si="8"/>
        <v>2.4072959585204391E-3</v>
      </c>
      <c r="D290" s="13">
        <f t="shared" si="9"/>
        <v>2.7377111406338965E-2</v>
      </c>
    </row>
    <row r="291" spans="1:4" x14ac:dyDescent="0.2">
      <c r="A291" s="10">
        <v>42248</v>
      </c>
      <c r="B291" s="15">
        <f>VLOOKUP(A291,Database!A:Q,MATCH($A$1,Database!$A$1:$Q$1,),)</f>
        <v>21462</v>
      </c>
      <c r="C291" s="12">
        <f t="shared" si="8"/>
        <v>-8.8209485983466486E-3</v>
      </c>
      <c r="D291" s="13">
        <f t="shared" si="9"/>
        <v>3.0835734870317003E-2</v>
      </c>
    </row>
    <row r="292" spans="1:4" x14ac:dyDescent="0.2">
      <c r="A292" s="11">
        <v>42278</v>
      </c>
      <c r="B292" s="15">
        <f>VLOOKUP(A292,Database!A:Q,MATCH($A$1,Database!$A$1:$Q$1,),)</f>
        <v>21303</v>
      </c>
      <c r="C292" s="12">
        <f t="shared" si="8"/>
        <v>-7.4084428291864689E-3</v>
      </c>
      <c r="D292" s="13">
        <f t="shared" si="9"/>
        <v>6.9007893368625041E-3</v>
      </c>
    </row>
    <row r="293" spans="1:4" x14ac:dyDescent="0.2">
      <c r="A293" s="10">
        <v>42309</v>
      </c>
      <c r="B293" s="15">
        <f>VLOOKUP(A293,Database!A:Q,MATCH($A$1,Database!$A$1:$Q$1,),)</f>
        <v>21341</v>
      </c>
      <c r="C293" s="12">
        <f t="shared" si="8"/>
        <v>1.7837863211754212E-3</v>
      </c>
      <c r="D293" s="13">
        <f t="shared" si="9"/>
        <v>-1.7774451564619485E-3</v>
      </c>
    </row>
    <row r="294" spans="1:4" x14ac:dyDescent="0.2">
      <c r="A294" s="11">
        <v>42339</v>
      </c>
      <c r="B294" s="15">
        <f>VLOOKUP(A294,Database!A:Q,MATCH($A$1,Database!$A$1:$Q$1,),)</f>
        <v>21547</v>
      </c>
      <c r="C294" s="12">
        <f t="shared" si="8"/>
        <v>9.6527810318166908E-3</v>
      </c>
      <c r="D294" s="13">
        <f t="shared" si="9"/>
        <v>1.0694685491814813E-2</v>
      </c>
    </row>
    <row r="295" spans="1:4" x14ac:dyDescent="0.2">
      <c r="A295" s="10">
        <v>42370</v>
      </c>
      <c r="B295" s="15">
        <f>VLOOKUP(A295,Database!A:Q,MATCH($A$1,Database!$A$1:$Q$1,),)</f>
        <v>21325</v>
      </c>
      <c r="C295" s="12">
        <f t="shared" si="8"/>
        <v>-1.0303058430407946E-2</v>
      </c>
      <c r="D295" s="13">
        <f t="shared" si="9"/>
        <v>1.2823557349798148E-2</v>
      </c>
    </row>
    <row r="296" spans="1:4" x14ac:dyDescent="0.2">
      <c r="A296" s="11">
        <v>42401</v>
      </c>
      <c r="B296" s="15">
        <f>VLOOKUP(A296,Database!A:Q,MATCH($A$1,Database!$A$1:$Q$1,),)</f>
        <v>22000</v>
      </c>
      <c r="C296" s="12">
        <f t="shared" si="8"/>
        <v>3.1652989449003514E-2</v>
      </c>
      <c r="D296" s="13">
        <f t="shared" si="9"/>
        <v>3.1266113533023956E-2</v>
      </c>
    </row>
    <row r="297" spans="1:4" x14ac:dyDescent="0.2">
      <c r="A297" s="10">
        <v>42430</v>
      </c>
      <c r="B297" s="15">
        <f>VLOOKUP(A297,Database!A:Q,MATCH($A$1,Database!$A$1:$Q$1,),)</f>
        <v>21513</v>
      </c>
      <c r="C297" s="12">
        <f t="shared" si="8"/>
        <v>-2.2136363636363638E-2</v>
      </c>
      <c r="D297" s="13">
        <f t="shared" si="9"/>
        <v>5.5623071889314762E-3</v>
      </c>
    </row>
    <row r="298" spans="1:4" x14ac:dyDescent="0.2">
      <c r="A298" s="11">
        <v>42461</v>
      </c>
      <c r="B298" s="15">
        <f>VLOOKUP(A298,Database!A:Q,MATCH($A$1,Database!$A$1:$Q$1,),)</f>
        <v>21439</v>
      </c>
      <c r="C298" s="12">
        <f t="shared" si="8"/>
        <v>-3.4397805977780878E-3</v>
      </c>
      <c r="D298" s="13">
        <f t="shared" si="9"/>
        <v>-1.629877991990314E-3</v>
      </c>
    </row>
    <row r="299" spans="1:4" x14ac:dyDescent="0.2">
      <c r="A299" s="10">
        <v>42491</v>
      </c>
      <c r="B299" s="15">
        <f>VLOOKUP(A299,Database!A:Q,MATCH($A$1,Database!$A$1:$Q$1,),)</f>
        <v>21572</v>
      </c>
      <c r="C299" s="12">
        <f t="shared" si="8"/>
        <v>6.2036475581883485E-3</v>
      </c>
      <c r="D299" s="13">
        <f t="shared" si="9"/>
        <v>-2.9119482320314307E-3</v>
      </c>
    </row>
    <row r="300" spans="1:4" x14ac:dyDescent="0.2">
      <c r="A300" s="11">
        <v>42522</v>
      </c>
      <c r="B300" s="15">
        <f>VLOOKUP(A300,Database!A:Q,MATCH($A$1,Database!$A$1:$Q$1,),)</f>
        <v>21706</v>
      </c>
      <c r="C300" s="12">
        <f t="shared" si="8"/>
        <v>6.2117559799740405E-3</v>
      </c>
      <c r="D300" s="13">
        <f t="shared" si="9"/>
        <v>1.5010521393500117E-2</v>
      </c>
    </row>
    <row r="301" spans="1:4" x14ac:dyDescent="0.2">
      <c r="A301" s="10">
        <v>42552</v>
      </c>
      <c r="B301" s="15">
        <f>VLOOKUP(A301,Database!A:Q,MATCH($A$1,Database!$A$1:$Q$1,),)</f>
        <v>21471</v>
      </c>
      <c r="C301" s="12">
        <f t="shared" si="8"/>
        <v>-1.0826499585368101E-2</v>
      </c>
      <c r="D301" s="13">
        <f t="shared" si="9"/>
        <v>-6.0182398963010975E-3</v>
      </c>
    </row>
    <row r="302" spans="1:4" x14ac:dyDescent="0.2">
      <c r="A302" s="11">
        <v>42583</v>
      </c>
      <c r="B302" s="15">
        <f>VLOOKUP(A302,Database!A:Q,MATCH($A$1,Database!$A$1:$Q$1,),)</f>
        <v>21837</v>
      </c>
      <c r="C302" s="12">
        <f t="shared" si="8"/>
        <v>1.7046248428112337E-2</v>
      </c>
      <c r="D302" s="13">
        <f t="shared" si="9"/>
        <v>8.4976677596637872E-3</v>
      </c>
    </row>
    <row r="303" spans="1:4" x14ac:dyDescent="0.2">
      <c r="A303" s="10">
        <v>42614</v>
      </c>
      <c r="B303" s="15">
        <f>VLOOKUP(A303,Database!A:Q,MATCH($A$1,Database!$A$1:$Q$1,),)</f>
        <v>21946</v>
      </c>
      <c r="C303" s="12">
        <f t="shared" si="8"/>
        <v>4.9915281403123141E-3</v>
      </c>
      <c r="D303" s="13">
        <f t="shared" si="9"/>
        <v>2.2551486347963844E-2</v>
      </c>
    </row>
    <row r="304" spans="1:4" x14ac:dyDescent="0.2">
      <c r="A304" s="11">
        <v>42644</v>
      </c>
      <c r="B304" s="15">
        <f>VLOOKUP(A304,Database!A:Q,MATCH($A$1,Database!$A$1:$Q$1,),)</f>
        <v>21739</v>
      </c>
      <c r="C304" s="12">
        <f t="shared" si="8"/>
        <v>-9.4322427777271487E-3</v>
      </c>
      <c r="D304" s="13">
        <f t="shared" si="9"/>
        <v>2.0466600948223255E-2</v>
      </c>
    </row>
    <row r="305" spans="1:4" x14ac:dyDescent="0.2">
      <c r="A305" s="10">
        <v>42675</v>
      </c>
      <c r="B305" s="15">
        <f>VLOOKUP(A305,Database!A:Q,MATCH($A$1,Database!$A$1:$Q$1,),)</f>
        <v>21536</v>
      </c>
      <c r="C305" s="12">
        <f t="shared" si="8"/>
        <v>-9.3380560283361693E-3</v>
      </c>
      <c r="D305" s="13">
        <f t="shared" si="9"/>
        <v>9.1373412679818192E-3</v>
      </c>
    </row>
    <row r="306" spans="1:4" x14ac:dyDescent="0.2">
      <c r="A306" s="11">
        <v>42705</v>
      </c>
      <c r="B306" s="15">
        <f>VLOOKUP(A306,Database!A:Q,MATCH($A$1,Database!$A$1:$Q$1,),)</f>
        <v>21999</v>
      </c>
      <c r="C306" s="12">
        <f t="shared" si="8"/>
        <v>2.149888558692422E-2</v>
      </c>
      <c r="D306" s="13">
        <f t="shared" si="9"/>
        <v>2.0977398245695455E-2</v>
      </c>
    </row>
    <row r="307" spans="1:4" x14ac:dyDescent="0.2">
      <c r="A307" s="10">
        <v>42736</v>
      </c>
      <c r="B307" s="15">
        <f>VLOOKUP(A307,Database!A:Q,MATCH($A$1,Database!$A$1:$Q$1,),)</f>
        <v>22061</v>
      </c>
      <c r="C307" s="12">
        <f t="shared" si="8"/>
        <v>2.8183099231783265E-3</v>
      </c>
      <c r="D307" s="13">
        <f t="shared" si="9"/>
        <v>3.4513481828839392E-2</v>
      </c>
    </row>
    <row r="308" spans="1:4" x14ac:dyDescent="0.2">
      <c r="A308" s="11">
        <v>42767</v>
      </c>
      <c r="B308" s="15">
        <f>VLOOKUP(A308,Database!A:Q,MATCH($A$1,Database!$A$1:$Q$1,),)</f>
        <v>21694</v>
      </c>
      <c r="C308" s="12">
        <f t="shared" si="8"/>
        <v>-1.6635691945061419E-2</v>
      </c>
      <c r="D308" s="13">
        <f t="shared" si="9"/>
        <v>-1.3909090909090909E-2</v>
      </c>
    </row>
    <row r="309" spans="1:4" x14ac:dyDescent="0.2">
      <c r="A309" s="10">
        <v>42795</v>
      </c>
      <c r="B309" s="15">
        <f>VLOOKUP(A309,Database!A:Q,MATCH($A$1,Database!$A$1:$Q$1,),)</f>
        <v>21821</v>
      </c>
      <c r="C309" s="12">
        <f t="shared" si="8"/>
        <v>5.8541532220890572E-3</v>
      </c>
      <c r="D309" s="13">
        <f t="shared" si="9"/>
        <v>1.4316924650211499E-2</v>
      </c>
    </row>
    <row r="310" spans="1:4" x14ac:dyDescent="0.2">
      <c r="A310" s="11">
        <v>42826</v>
      </c>
      <c r="B310" s="15">
        <f>VLOOKUP(A310,Database!A:Q,MATCH($A$1,Database!$A$1:$Q$1,),)</f>
        <v>21797</v>
      </c>
      <c r="C310" s="12">
        <f t="shared" si="8"/>
        <v>-1.0998579350167271E-3</v>
      </c>
      <c r="D310" s="13">
        <f t="shared" si="9"/>
        <v>1.6698540043845328E-2</v>
      </c>
    </row>
    <row r="311" spans="1:4" x14ac:dyDescent="0.2">
      <c r="A311" s="10">
        <v>42856</v>
      </c>
      <c r="B311" s="15">
        <f>VLOOKUP(A311,Database!A:Q,MATCH($A$1,Database!$A$1:$Q$1,),)</f>
        <v>21601</v>
      </c>
      <c r="C311" s="12">
        <f t="shared" si="8"/>
        <v>-8.9920631279533873E-3</v>
      </c>
      <c r="D311" s="13">
        <f t="shared" si="9"/>
        <v>1.344335249397367E-3</v>
      </c>
    </row>
    <row r="312" spans="1:4" x14ac:dyDescent="0.2">
      <c r="A312" s="11">
        <v>42887</v>
      </c>
      <c r="B312" s="15">
        <f>VLOOKUP(A312,Database!A:Q,MATCH($A$1,Database!$A$1:$Q$1,),)</f>
        <v>21768</v>
      </c>
      <c r="C312" s="12">
        <f t="shared" si="8"/>
        <v>7.7311235590944863E-3</v>
      </c>
      <c r="D312" s="13">
        <f t="shared" si="9"/>
        <v>2.8563530820971158E-3</v>
      </c>
    </row>
    <row r="313" spans="1:4" x14ac:dyDescent="0.2">
      <c r="A313" s="10">
        <v>42917</v>
      </c>
      <c r="B313" s="15">
        <f>VLOOKUP(A313,Database!A:Q,MATCH($A$1,Database!$A$1:$Q$1,),)</f>
        <v>21626</v>
      </c>
      <c r="C313" s="12">
        <f t="shared" si="8"/>
        <v>-6.5233370084527747E-3</v>
      </c>
      <c r="D313" s="13">
        <f t="shared" si="9"/>
        <v>7.2190396348563177E-3</v>
      </c>
    </row>
    <row r="314" spans="1:4" x14ac:dyDescent="0.2">
      <c r="A314" s="11">
        <v>42948</v>
      </c>
      <c r="B314" s="15">
        <f>VLOOKUP(A314,Database!A:Q,MATCH($A$1,Database!$A$1:$Q$1,),)</f>
        <v>21810</v>
      </c>
      <c r="C314" s="12">
        <f t="shared" si="8"/>
        <v>8.508277073892536E-3</v>
      </c>
      <c r="D314" s="13">
        <f t="shared" si="9"/>
        <v>-1.2364335760406649E-3</v>
      </c>
    </row>
    <row r="315" spans="1:4" x14ac:dyDescent="0.2">
      <c r="A315" s="10">
        <v>42979</v>
      </c>
      <c r="B315" s="15">
        <f>VLOOKUP(A315,Database!A:Q,MATCH($A$1,Database!$A$1:$Q$1,),)</f>
        <v>21864</v>
      </c>
      <c r="C315" s="12">
        <f t="shared" si="8"/>
        <v>2.4759284731774417E-3</v>
      </c>
      <c r="D315" s="13">
        <f t="shared" si="9"/>
        <v>-3.7364439989064067E-3</v>
      </c>
    </row>
    <row r="316" spans="1:4" x14ac:dyDescent="0.2">
      <c r="A316" s="11">
        <v>43009</v>
      </c>
      <c r="B316" s="15">
        <f>VLOOKUP(A316,Database!A:Q,MATCH($A$1,Database!$A$1:$Q$1,),)</f>
        <v>21792</v>
      </c>
      <c r="C316" s="12">
        <f t="shared" si="8"/>
        <v>-3.2930845225027441E-3</v>
      </c>
      <c r="D316" s="13">
        <f t="shared" si="9"/>
        <v>2.4380146280877685E-3</v>
      </c>
    </row>
    <row r="317" spans="1:4" x14ac:dyDescent="0.2">
      <c r="A317" s="10">
        <v>43040</v>
      </c>
      <c r="B317" s="15">
        <f>VLOOKUP(A317,Database!A:Q,MATCH($A$1,Database!$A$1:$Q$1,),)</f>
        <v>21987</v>
      </c>
      <c r="C317" s="12">
        <f t="shared" si="8"/>
        <v>8.9482378854625552E-3</v>
      </c>
      <c r="D317" s="13">
        <f t="shared" si="9"/>
        <v>2.0941679049034174E-2</v>
      </c>
    </row>
    <row r="318" spans="1:4" x14ac:dyDescent="0.2">
      <c r="A318" s="11">
        <v>43070</v>
      </c>
      <c r="B318" s="15">
        <f>VLOOKUP(A318,Database!A:Q,MATCH($A$1,Database!$A$1:$Q$1,),)</f>
        <v>21793</v>
      </c>
      <c r="C318" s="12">
        <f t="shared" si="8"/>
        <v>-8.8233956428798842E-3</v>
      </c>
      <c r="D318" s="13">
        <f t="shared" si="9"/>
        <v>-9.3640620028183092E-3</v>
      </c>
    </row>
    <row r="319" spans="1:4" x14ac:dyDescent="0.2">
      <c r="A319" s="10">
        <v>43101</v>
      </c>
      <c r="B319" s="15">
        <f>VLOOKUP(A319,Database!A:Q,MATCH($A$1,Database!$A$1:$Q$1,),)</f>
        <v>21874</v>
      </c>
      <c r="C319" s="12">
        <f t="shared" si="8"/>
        <v>3.716789794888267E-3</v>
      </c>
      <c r="D319" s="13">
        <f t="shared" si="9"/>
        <v>-8.4764969856307507E-3</v>
      </c>
    </row>
    <row r="320" spans="1:4" x14ac:dyDescent="0.2">
      <c r="A320" s="11">
        <v>43132</v>
      </c>
      <c r="B320" s="15">
        <f>VLOOKUP(A320,Database!A:Q,MATCH($A$1,Database!$A$1:$Q$1,),)</f>
        <v>22449</v>
      </c>
      <c r="C320" s="12">
        <f t="shared" si="8"/>
        <v>2.6286915973301638E-2</v>
      </c>
      <c r="D320" s="13">
        <f t="shared" si="9"/>
        <v>3.4802249469899509E-2</v>
      </c>
    </row>
    <row r="321" spans="1:4" x14ac:dyDescent="0.2">
      <c r="A321" s="10">
        <v>43160</v>
      </c>
      <c r="B321" s="15">
        <f>VLOOKUP(A321,Database!A:Q,MATCH($A$1,Database!$A$1:$Q$1,),)</f>
        <v>21778</v>
      </c>
      <c r="C321" s="12">
        <f t="shared" si="8"/>
        <v>-2.9889972827297429E-2</v>
      </c>
      <c r="D321" s="13">
        <f t="shared" si="9"/>
        <v>-1.9705788002383024E-3</v>
      </c>
    </row>
    <row r="322" spans="1:4" x14ac:dyDescent="0.2">
      <c r="A322" s="11">
        <v>43191</v>
      </c>
      <c r="B322" s="15">
        <f>VLOOKUP(A322,Database!A:Q,MATCH($A$1,Database!$A$1:$Q$1,),)</f>
        <v>22169</v>
      </c>
      <c r="C322" s="12">
        <f t="shared" si="8"/>
        <v>1.7953898429607863E-2</v>
      </c>
      <c r="D322" s="13">
        <f t="shared" si="9"/>
        <v>1.7066568793870716E-2</v>
      </c>
    </row>
    <row r="323" spans="1:4" x14ac:dyDescent="0.2">
      <c r="A323" s="10">
        <v>43221</v>
      </c>
      <c r="B323" s="15">
        <f>VLOOKUP(A323,Database!A:Q,MATCH($A$1,Database!$A$1:$Q$1,),)</f>
        <v>22820</v>
      </c>
      <c r="C323" s="12">
        <f t="shared" si="8"/>
        <v>2.9365329965266813E-2</v>
      </c>
      <c r="D323" s="13">
        <f t="shared" si="9"/>
        <v>5.6432572566084901E-2</v>
      </c>
    </row>
    <row r="324" spans="1:4" x14ac:dyDescent="0.2">
      <c r="A324" s="11">
        <v>43252</v>
      </c>
      <c r="B324" s="15">
        <f>VLOOKUP(A324,Database!A:Q,MATCH($A$1,Database!$A$1:$Q$1,),)</f>
        <v>22256</v>
      </c>
      <c r="C324" s="12">
        <f t="shared" si="8"/>
        <v>-2.4715162138475022E-2</v>
      </c>
      <c r="D324" s="13">
        <f t="shared" si="9"/>
        <v>2.2418228592429253E-2</v>
      </c>
    </row>
    <row r="325" spans="1:4" x14ac:dyDescent="0.2">
      <c r="A325" s="10">
        <v>43282</v>
      </c>
      <c r="B325" s="15">
        <f>VLOOKUP(A325,Database!A:Q,MATCH($A$1,Database!$A$1:$Q$1,),)</f>
        <v>22704</v>
      </c>
      <c r="C325" s="12">
        <f t="shared" si="8"/>
        <v>2.0129403306973402E-2</v>
      </c>
      <c r="D325" s="13">
        <f t="shared" si="9"/>
        <v>4.9847405900305189E-2</v>
      </c>
    </row>
    <row r="326" spans="1:4" x14ac:dyDescent="0.2">
      <c r="A326" s="11">
        <v>43313</v>
      </c>
      <c r="B326" s="15">
        <f>VLOOKUP(A326,Database!A:Q,MATCH($A$1,Database!$A$1:$Q$1,),)</f>
        <v>22229</v>
      </c>
      <c r="C326" s="12">
        <f t="shared" si="8"/>
        <v>-2.0921423537702606E-2</v>
      </c>
      <c r="D326" s="13">
        <f t="shared" si="9"/>
        <v>1.9211370930765703E-2</v>
      </c>
    </row>
    <row r="327" spans="1:4" x14ac:dyDescent="0.2">
      <c r="A327" s="10">
        <v>43344</v>
      </c>
      <c r="B327" s="15">
        <f>VLOOKUP(A327,Database!A:Q,MATCH($A$1,Database!$A$1:$Q$1,),)</f>
        <v>22104</v>
      </c>
      <c r="C327" s="12">
        <f t="shared" si="8"/>
        <v>-5.6232848981060774E-3</v>
      </c>
      <c r="D327" s="13">
        <f t="shared" si="9"/>
        <v>1.0976948408342482E-2</v>
      </c>
    </row>
    <row r="328" spans="1:4" x14ac:dyDescent="0.2">
      <c r="A328" s="11">
        <v>43374</v>
      </c>
      <c r="B328" s="15">
        <f>VLOOKUP(A328,Database!A:Q,MATCH($A$1,Database!$A$1:$Q$1,),)</f>
        <v>22560</v>
      </c>
      <c r="C328" s="12">
        <f t="shared" ref="C328:C373" si="10">(B328-B327)/B327</f>
        <v>2.0629750271444081E-2</v>
      </c>
      <c r="D328" s="13">
        <f t="shared" si="9"/>
        <v>3.5242290748898682E-2</v>
      </c>
    </row>
    <row r="329" spans="1:4" x14ac:dyDescent="0.2">
      <c r="A329" s="10">
        <v>43405</v>
      </c>
      <c r="B329" s="15">
        <f>VLOOKUP(A329,Database!A:Q,MATCH($A$1,Database!$A$1:$Q$1,),)</f>
        <v>22531</v>
      </c>
      <c r="C329" s="12">
        <f t="shared" si="10"/>
        <v>-1.2854609929078013E-3</v>
      </c>
      <c r="D329" s="13">
        <f t="shared" si="9"/>
        <v>2.4741892936735344E-2</v>
      </c>
    </row>
    <row r="330" spans="1:4" x14ac:dyDescent="0.2">
      <c r="A330" s="11">
        <v>43435</v>
      </c>
      <c r="B330" s="15">
        <f>VLOOKUP(A330,Database!A:Q,MATCH($A$1,Database!$A$1:$Q$1,),)</f>
        <v>22200</v>
      </c>
      <c r="C330" s="12">
        <f t="shared" si="10"/>
        <v>-1.4690870356397852E-2</v>
      </c>
      <c r="D330" s="13">
        <f t="shared" si="9"/>
        <v>1.8675721561969439E-2</v>
      </c>
    </row>
    <row r="331" spans="1:4" x14ac:dyDescent="0.2">
      <c r="A331" s="10">
        <v>43466</v>
      </c>
      <c r="B331" s="15">
        <f>VLOOKUP(A331,Database!A:Q,MATCH($A$1,Database!$A$1:$Q$1,),)</f>
        <v>22176</v>
      </c>
      <c r="C331" s="12">
        <f t="shared" si="10"/>
        <v>-1.0810810810810811E-3</v>
      </c>
      <c r="D331" s="13">
        <f t="shared" si="9"/>
        <v>1.3806345432934077E-2</v>
      </c>
    </row>
    <row r="332" spans="1:4" x14ac:dyDescent="0.2">
      <c r="A332" s="11">
        <v>43497</v>
      </c>
      <c r="B332" s="15">
        <f>VLOOKUP(A332,Database!A:Q,MATCH($A$1,Database!$A$1:$Q$1,),)</f>
        <v>22194</v>
      </c>
      <c r="C332" s="12">
        <f t="shared" si="10"/>
        <v>8.1168831168831174E-4</v>
      </c>
      <c r="D332" s="13">
        <f t="shared" si="9"/>
        <v>-1.1359080582654016E-2</v>
      </c>
    </row>
    <row r="333" spans="1:4" x14ac:dyDescent="0.2">
      <c r="A333" s="10">
        <v>43525</v>
      </c>
      <c r="B333" s="15">
        <f>VLOOKUP(A333,Database!A:Q,MATCH($A$1,Database!$A$1:$Q$1,),)</f>
        <v>22566</v>
      </c>
      <c r="C333" s="12">
        <f t="shared" si="10"/>
        <v>1.6761286834279535E-2</v>
      </c>
      <c r="D333" s="13">
        <f t="shared" si="9"/>
        <v>3.6183304251997429E-2</v>
      </c>
    </row>
    <row r="334" spans="1:4" x14ac:dyDescent="0.2">
      <c r="A334" s="11">
        <v>43556</v>
      </c>
      <c r="B334" s="15">
        <f>VLOOKUP(A334,Database!A:Q,MATCH($A$1,Database!$A$1:$Q$1,),)</f>
        <v>22515</v>
      </c>
      <c r="C334" s="12">
        <f t="shared" si="10"/>
        <v>-2.2600372241425152E-3</v>
      </c>
      <c r="D334" s="13">
        <f t="shared" si="9"/>
        <v>1.5607379674319997E-2</v>
      </c>
    </row>
    <row r="335" spans="1:4" x14ac:dyDescent="0.2">
      <c r="A335" s="30">
        <v>43586</v>
      </c>
      <c r="B335" s="31">
        <f>VLOOKUP(A335,Database!A:Q,MATCH($A$1,Database!$A$1:$Q$1,),)</f>
        <v>22215</v>
      </c>
      <c r="C335" s="32">
        <f t="shared" si="10"/>
        <v>-1.3324450366422385E-2</v>
      </c>
      <c r="D335" s="33">
        <f t="shared" si="9"/>
        <v>-2.6511831726555652E-2</v>
      </c>
    </row>
    <row r="336" spans="1:4" x14ac:dyDescent="0.2">
      <c r="A336" s="11">
        <v>43617</v>
      </c>
      <c r="B336" s="15">
        <f>VLOOKUP(A336,Database!A:Q,MATCH($A$1,Database!$A$1:$Q$1,),)</f>
        <v>22167</v>
      </c>
      <c r="C336" s="12">
        <f t="shared" si="10"/>
        <v>-2.1607022282241727E-3</v>
      </c>
      <c r="D336" s="13">
        <f t="shared" si="9"/>
        <v>-3.998921639108555E-3</v>
      </c>
    </row>
    <row r="337" spans="1:4" x14ac:dyDescent="0.2">
      <c r="A337" s="30">
        <v>43647</v>
      </c>
      <c r="B337" s="31">
        <f>VLOOKUP(A337,Database!A:Q,MATCH($A$1,Database!$A$1:$Q$1,),)</f>
        <v>22569</v>
      </c>
      <c r="C337" s="32">
        <f t="shared" si="10"/>
        <v>1.8135065638110705E-2</v>
      </c>
      <c r="D337" s="33">
        <f t="shared" si="9"/>
        <v>-5.9460887949260039E-3</v>
      </c>
    </row>
    <row r="338" spans="1:4" x14ac:dyDescent="0.2">
      <c r="A338" s="11">
        <v>43678</v>
      </c>
      <c r="B338" s="15">
        <f>VLOOKUP(A338,Database!A:Q,MATCH($A$1,Database!$A$1:$Q$1,),)</f>
        <v>22615</v>
      </c>
      <c r="C338" s="12">
        <f t="shared" si="10"/>
        <v>2.0381939828968939E-3</v>
      </c>
      <c r="D338" s="13">
        <f t="shared" si="9"/>
        <v>1.7364703765351569E-2</v>
      </c>
    </row>
    <row r="339" spans="1:4" x14ac:dyDescent="0.2">
      <c r="A339" s="30">
        <v>43709</v>
      </c>
      <c r="B339" s="31">
        <f>VLOOKUP(A339,Database!A:Q,MATCH($A$1,Database!$A$1:$Q$1,),)</f>
        <v>22376</v>
      </c>
      <c r="C339" s="32">
        <f t="shared" si="10"/>
        <v>-1.0568206942294937E-2</v>
      </c>
      <c r="D339" s="33">
        <f t="shared" ref="D339:D372" si="11">(B339-B327)/B327</f>
        <v>1.2305465074194716E-2</v>
      </c>
    </row>
    <row r="340" spans="1:4" x14ac:dyDescent="0.2">
      <c r="A340" s="11">
        <v>43739</v>
      </c>
      <c r="B340" s="15">
        <f>VLOOKUP(A340,Database!A:Q,MATCH($A$1,Database!$A$1:$Q$1,),)</f>
        <v>22417</v>
      </c>
      <c r="C340" s="12">
        <f t="shared" si="10"/>
        <v>1.8323203432248838E-3</v>
      </c>
      <c r="D340" s="13">
        <f t="shared" si="11"/>
        <v>-6.3386524822695032E-3</v>
      </c>
    </row>
    <row r="341" spans="1:4" x14ac:dyDescent="0.2">
      <c r="A341" s="30">
        <v>43770</v>
      </c>
      <c r="B341" s="31">
        <f>VLOOKUP(A341,Database!A:Q,MATCH($A$1,Database!$A$1:$Q$1,),)</f>
        <v>22184</v>
      </c>
      <c r="C341" s="32">
        <f t="shared" si="10"/>
        <v>-1.0393897488513182E-2</v>
      </c>
      <c r="D341" s="33">
        <f t="shared" si="11"/>
        <v>-1.5401003062447296E-2</v>
      </c>
    </row>
    <row r="342" spans="1:4" x14ac:dyDescent="0.2">
      <c r="A342" s="11">
        <v>43800</v>
      </c>
      <c r="B342" s="15">
        <f>VLOOKUP(A342,Database!A:Q,MATCH($A$1,Database!$A$1:$Q$1,),)</f>
        <v>23230</v>
      </c>
      <c r="C342" s="12">
        <f t="shared" si="10"/>
        <v>4.7151099891813923E-2</v>
      </c>
      <c r="D342" s="13">
        <f t="shared" si="11"/>
        <v>4.6396396396396394E-2</v>
      </c>
    </row>
    <row r="343" spans="1:4" x14ac:dyDescent="0.2">
      <c r="A343" s="30">
        <v>43831</v>
      </c>
      <c r="B343" s="31">
        <f>VLOOKUP(A343,Database!A:Q,MATCH($A$1,Database!$A$1:$Q$1,),)</f>
        <v>23009</v>
      </c>
      <c r="C343" s="32">
        <f t="shared" si="10"/>
        <v>-9.5135600516573389E-3</v>
      </c>
      <c r="D343" s="33">
        <f t="shared" si="11"/>
        <v>3.7563131313131312E-2</v>
      </c>
    </row>
    <row r="344" spans="1:4" x14ac:dyDescent="0.2">
      <c r="A344" s="11">
        <v>43862</v>
      </c>
      <c r="B344" s="15">
        <f>VLOOKUP(A344,Database!A:Q,MATCH($A$1,Database!$A$1:$Q$1,),)</f>
        <v>22735</v>
      </c>
      <c r="C344" s="12">
        <f t="shared" si="10"/>
        <v>-1.1908383675952887E-2</v>
      </c>
      <c r="D344" s="13">
        <f t="shared" si="11"/>
        <v>2.4375957465981798E-2</v>
      </c>
    </row>
    <row r="345" spans="1:4" x14ac:dyDescent="0.2">
      <c r="A345" s="30">
        <v>43891</v>
      </c>
      <c r="B345" s="31">
        <f>VLOOKUP(A345,Database!A:Q,MATCH($A$1,Database!$A$1:$Q$1,),)</f>
        <v>11477</v>
      </c>
      <c r="C345" s="32">
        <f t="shared" si="10"/>
        <v>-0.49518363756322853</v>
      </c>
      <c r="D345" s="33">
        <f t="shared" si="11"/>
        <v>-0.49140299565718337</v>
      </c>
    </row>
    <row r="346" spans="1:4" x14ac:dyDescent="0.2">
      <c r="A346" s="11">
        <v>43922</v>
      </c>
      <c r="B346" s="15">
        <f>VLOOKUP(A346,Database!A:Q,MATCH($A$1,Database!$A$1:$Q$1,),)</f>
        <v>2866</v>
      </c>
      <c r="C346" s="12">
        <f t="shared" si="10"/>
        <v>-0.75028317504574371</v>
      </c>
      <c r="D346" s="13">
        <f t="shared" si="11"/>
        <v>-0.87270708416611154</v>
      </c>
    </row>
    <row r="347" spans="1:4" x14ac:dyDescent="0.2">
      <c r="A347" s="30">
        <v>43952</v>
      </c>
      <c r="B347" s="31">
        <f>VLOOKUP(A347,Database!A:Q,MATCH($A$1,Database!$A$1:$Q$1,),)</f>
        <v>8288</v>
      </c>
      <c r="C347" s="32">
        <f t="shared" si="10"/>
        <v>1.8918353105373342</v>
      </c>
      <c r="D347" s="33">
        <f t="shared" si="11"/>
        <v>-0.62691874859329277</v>
      </c>
    </row>
    <row r="348" spans="1:4" x14ac:dyDescent="0.2">
      <c r="A348" s="11">
        <v>43983</v>
      </c>
      <c r="B348" s="15">
        <f>VLOOKUP(A348,Database!A:Q,MATCH($A$1,Database!$A$1:$Q$1,),)</f>
        <v>17139</v>
      </c>
      <c r="C348" s="12">
        <f t="shared" si="10"/>
        <v>1.0679295366795367</v>
      </c>
      <c r="D348" s="13">
        <f t="shared" si="11"/>
        <v>-0.226823656787116</v>
      </c>
    </row>
    <row r="349" spans="1:4" x14ac:dyDescent="0.2">
      <c r="A349" s="30">
        <v>44013</v>
      </c>
      <c r="B349" s="31">
        <f>VLOOKUP(A349,Database!A:Q,MATCH($A$1,Database!$A$1:$Q$1,),)</f>
        <v>17912</v>
      </c>
      <c r="C349" s="32">
        <f t="shared" si="10"/>
        <v>4.5101814574946032E-2</v>
      </c>
      <c r="D349" s="33">
        <f t="shared" si="11"/>
        <v>-0.20634498648588773</v>
      </c>
    </row>
    <row r="350" spans="1:4" x14ac:dyDescent="0.2">
      <c r="A350" s="11">
        <v>44044</v>
      </c>
      <c r="B350" s="15">
        <f>VLOOKUP(A350,Database!A:Q,MATCH($A$1,Database!$A$1:$Q$1,),)</f>
        <v>18400</v>
      </c>
      <c r="C350" s="12">
        <f t="shared" si="10"/>
        <v>2.7244305493523895E-2</v>
      </c>
      <c r="D350" s="13">
        <f t="shared" si="11"/>
        <v>-0.18638072076055714</v>
      </c>
    </row>
    <row r="351" spans="1:4" x14ac:dyDescent="0.2">
      <c r="A351" s="30">
        <v>44075</v>
      </c>
      <c r="B351" s="31">
        <f>VLOOKUP(A351,Database!A:Q,MATCH($A$1,Database!$A$1:$Q$1,),)</f>
        <v>20827</v>
      </c>
      <c r="C351" s="32">
        <f t="shared" si="10"/>
        <v>0.13190217391304349</v>
      </c>
      <c r="D351" s="33">
        <f t="shared" si="11"/>
        <v>-6.9225956381837678E-2</v>
      </c>
    </row>
    <row r="352" spans="1:4" x14ac:dyDescent="0.2">
      <c r="A352" s="11">
        <v>44105</v>
      </c>
      <c r="B352" s="15">
        <f>VLOOKUP(A352,Database!A:Q,MATCH($A$1,Database!$A$1:$Q$1,),)</f>
        <v>20303</v>
      </c>
      <c r="C352" s="12">
        <f t="shared" si="10"/>
        <v>-2.515964853315408E-2</v>
      </c>
      <c r="D352" s="13">
        <f t="shared" si="11"/>
        <v>-9.4303430432261234E-2</v>
      </c>
    </row>
    <row r="353" spans="1:4" x14ac:dyDescent="0.2">
      <c r="A353" s="30">
        <v>44136</v>
      </c>
      <c r="B353" s="31">
        <f>VLOOKUP(A353,Database!A:Q,MATCH($A$1,Database!$A$1:$Q$1,),)</f>
        <v>19017</v>
      </c>
      <c r="C353" s="32">
        <f t="shared" si="10"/>
        <v>-6.334039304536275E-2</v>
      </c>
      <c r="D353" s="33">
        <f t="shared" si="11"/>
        <v>-0.14276054814280562</v>
      </c>
    </row>
    <row r="354" spans="1:4" x14ac:dyDescent="0.2">
      <c r="A354" s="11">
        <v>44166</v>
      </c>
      <c r="B354" s="15">
        <f>VLOOKUP(A354,Database!A:Q,MATCH($A$1,Database!$A$1:$Q$1,),)</f>
        <v>20007</v>
      </c>
      <c r="C354" s="12">
        <f t="shared" si="10"/>
        <v>5.205868433506862E-2</v>
      </c>
      <c r="D354" s="13">
        <f t="shared" si="11"/>
        <v>-0.13874300473525614</v>
      </c>
    </row>
    <row r="355" spans="1:4" x14ac:dyDescent="0.2">
      <c r="A355" s="30">
        <v>44197</v>
      </c>
      <c r="B355" s="31">
        <f>VLOOKUP(A355,Database!A:Q,MATCH($A$1,Database!$A$1:$Q$1,),)</f>
        <v>21093</v>
      </c>
      <c r="C355" s="32">
        <f t="shared" si="10"/>
        <v>5.4281001649422705E-2</v>
      </c>
      <c r="D355" s="33">
        <f t="shared" si="11"/>
        <v>-8.3271763223086617E-2</v>
      </c>
    </row>
    <row r="356" spans="1:4" x14ac:dyDescent="0.2">
      <c r="A356" s="11">
        <v>44228</v>
      </c>
      <c r="B356" s="15">
        <f>VLOOKUP(A356,Database!A:Q,MATCH($A$1,Database!$A$1:$Q$1,),)</f>
        <v>19904</v>
      </c>
      <c r="C356" s="12">
        <f t="shared" si="10"/>
        <v>-5.6369411653155073E-2</v>
      </c>
      <c r="D356" s="13">
        <f t="shared" si="11"/>
        <v>-0.1245216626347042</v>
      </c>
    </row>
    <row r="357" spans="1:4" x14ac:dyDescent="0.2">
      <c r="A357" s="30">
        <v>44256</v>
      </c>
      <c r="B357" s="31">
        <f>VLOOKUP(A357,Database!A:Q,MATCH($A$1,Database!$A$1:$Q$1,),)</f>
        <v>24019</v>
      </c>
      <c r="C357" s="32">
        <f t="shared" si="10"/>
        <v>0.20674236334405144</v>
      </c>
      <c r="D357" s="33">
        <f t="shared" si="11"/>
        <v>1.0927942842206151</v>
      </c>
    </row>
    <row r="358" spans="1:4" x14ac:dyDescent="0.2">
      <c r="A358" s="11">
        <v>44287</v>
      </c>
      <c r="B358" s="15">
        <f>VLOOKUP(A358,Database!A:Q,MATCH($A$1,Database!$A$1:$Q$1,),)</f>
        <v>24070</v>
      </c>
      <c r="C358" s="12">
        <f t="shared" si="10"/>
        <v>2.1233190390940507E-3</v>
      </c>
      <c r="D358" s="13">
        <f t="shared" si="11"/>
        <v>7.3984647592463366</v>
      </c>
    </row>
    <row r="359" spans="1:4" x14ac:dyDescent="0.2">
      <c r="A359" s="30">
        <v>44317</v>
      </c>
      <c r="B359" s="31">
        <f>VLOOKUP(A359,Database!A:Q,MATCH($A$1,Database!$A$1:$Q$1,),)</f>
        <v>24789</v>
      </c>
      <c r="C359" s="32">
        <f t="shared" si="10"/>
        <v>2.9871208973826339E-2</v>
      </c>
      <c r="D359" s="33">
        <f t="shared" si="11"/>
        <v>1.9909507722007722</v>
      </c>
    </row>
    <row r="360" spans="1:4" x14ac:dyDescent="0.2">
      <c r="A360" s="11">
        <v>44348</v>
      </c>
      <c r="B360" s="15">
        <f>VLOOKUP(A360,Database!A:Q,MATCH($A$1,Database!$A$1:$Q$1,),)</f>
        <v>25799</v>
      </c>
      <c r="C360" s="12">
        <f t="shared" si="10"/>
        <v>4.0743878333131631E-2</v>
      </c>
      <c r="D360" s="13">
        <f t="shared" si="11"/>
        <v>0.50528035474648458</v>
      </c>
    </row>
    <row r="361" spans="1:4" x14ac:dyDescent="0.2">
      <c r="A361" s="30">
        <v>44378</v>
      </c>
      <c r="B361" s="31">
        <f>VLOOKUP(A361,Database!A:Q,MATCH($A$1,Database!$A$1:$Q$1,),)</f>
        <v>25303</v>
      </c>
      <c r="C361" s="32">
        <f t="shared" si="10"/>
        <v>-1.9225551377960386E-2</v>
      </c>
      <c r="D361" s="33">
        <f t="shared" si="11"/>
        <v>0.41262840553818669</v>
      </c>
    </row>
    <row r="362" spans="1:4" x14ac:dyDescent="0.2">
      <c r="A362" s="11">
        <v>44409</v>
      </c>
      <c r="B362" s="15">
        <f>VLOOKUP(A362,Database!A:Q,MATCH($A$1,Database!$A$1:$Q$1,),)</f>
        <v>25020</v>
      </c>
      <c r="C362" s="12">
        <f t="shared" si="10"/>
        <v>-1.1184444532268901E-2</v>
      </c>
      <c r="D362" s="13">
        <f t="shared" si="11"/>
        <v>0.35978260869565215</v>
      </c>
    </row>
    <row r="363" spans="1:4" x14ac:dyDescent="0.2">
      <c r="A363" s="11">
        <v>44440</v>
      </c>
      <c r="B363" s="15">
        <f>VLOOKUP(A363,Database!A:Q,MATCH($A$1,Database!$A$1:$Q$1,),)</f>
        <v>25376</v>
      </c>
      <c r="C363" s="12">
        <f t="shared" si="10"/>
        <v>1.4228617106314949E-2</v>
      </c>
      <c r="D363" s="13">
        <f t="shared" si="11"/>
        <v>0.21841839919335479</v>
      </c>
    </row>
    <row r="364" spans="1:4" x14ac:dyDescent="0.2">
      <c r="A364" s="30">
        <v>44470</v>
      </c>
      <c r="B364" s="31">
        <f>VLOOKUP(A364,Database!A:Q,MATCH($A$1,Database!$A$1:$Q$1,),)</f>
        <v>25487</v>
      </c>
      <c r="C364" s="32">
        <f t="shared" si="10"/>
        <v>4.3742118537200506E-3</v>
      </c>
      <c r="D364" s="33">
        <f t="shared" si="11"/>
        <v>0.255331724375708</v>
      </c>
    </row>
    <row r="365" spans="1:4" x14ac:dyDescent="0.2">
      <c r="A365" s="11">
        <v>44501</v>
      </c>
      <c r="B365" s="15">
        <f>VLOOKUP(A365,Database!A:Q,MATCH($A$1,Database!$A$1:$Q$1,),)</f>
        <v>25784</v>
      </c>
      <c r="C365" s="12">
        <f t="shared" si="10"/>
        <v>1.1652999568407424E-2</v>
      </c>
      <c r="D365" s="13">
        <f t="shared" si="11"/>
        <v>0.35583951201556502</v>
      </c>
    </row>
    <row r="366" spans="1:4" x14ac:dyDescent="0.2">
      <c r="A366" s="30">
        <v>44531</v>
      </c>
      <c r="B366" s="31">
        <f>VLOOKUP(A366,Database!A:Q,MATCH($A$1,Database!$A$1:$Q$1,),)</f>
        <v>25051</v>
      </c>
      <c r="C366" s="32">
        <f t="shared" si="10"/>
        <v>-2.8428482780018617E-2</v>
      </c>
      <c r="D366" s="33">
        <f t="shared" si="11"/>
        <v>0.25211176088369069</v>
      </c>
    </row>
    <row r="367" spans="1:4" x14ac:dyDescent="0.2">
      <c r="A367" s="11">
        <v>44562</v>
      </c>
      <c r="B367" s="15">
        <f>VLOOKUP(A367,Database!A:Q,MATCH($A$1,Database!$A$1:$Q$1,),)</f>
        <v>25160</v>
      </c>
      <c r="C367" s="12">
        <f t="shared" si="10"/>
        <v>4.3511237076364218E-3</v>
      </c>
      <c r="D367" s="13">
        <f t="shared" si="11"/>
        <v>0.19281278149149006</v>
      </c>
    </row>
    <row r="368" spans="1:4" x14ac:dyDescent="0.2">
      <c r="A368" s="11">
        <v>44593</v>
      </c>
      <c r="B368" s="15">
        <f>VLOOKUP(A368,Database!A:Q,MATCH($A$1,Database!$A$1:$Q$1,),)</f>
        <v>25481</v>
      </c>
      <c r="C368" s="12">
        <f t="shared" si="10"/>
        <v>1.2758346581875994E-2</v>
      </c>
      <c r="D368" s="13">
        <f t="shared" si="11"/>
        <v>0.28019493569131831</v>
      </c>
    </row>
    <row r="369" spans="1:4" x14ac:dyDescent="0.2">
      <c r="A369" s="11">
        <v>44621</v>
      </c>
      <c r="B369" s="15">
        <f>VLOOKUP(A369,Database!A:Q,MATCH($A$1,Database!$A$1:$Q$1,),)</f>
        <v>26157</v>
      </c>
      <c r="C369" s="12">
        <f t="shared" si="10"/>
        <v>2.6529571052941407E-2</v>
      </c>
      <c r="D369" s="13">
        <f t="shared" si="11"/>
        <v>8.9012864815354517E-2</v>
      </c>
    </row>
    <row r="370" spans="1:4" x14ac:dyDescent="0.2">
      <c r="A370" s="30">
        <v>44652</v>
      </c>
      <c r="B370" s="31">
        <f>VLOOKUP(A370,Database!A:Q,MATCH($A$1,Database!$A$1:$Q$1,),)</f>
        <v>26166</v>
      </c>
      <c r="C370" s="32">
        <f t="shared" si="10"/>
        <v>3.4407615552242232E-4</v>
      </c>
      <c r="D370" s="33">
        <f t="shared" si="11"/>
        <v>8.70793518903199E-2</v>
      </c>
    </row>
    <row r="371" spans="1:4" x14ac:dyDescent="0.2">
      <c r="A371" s="11">
        <v>44682</v>
      </c>
      <c r="B371" s="15">
        <f>VLOOKUP(A371,Database!A:Q,MATCH($A$1,Database!$A$1:$Q$1,),)</f>
        <v>25812</v>
      </c>
      <c r="C371" s="12">
        <f t="shared" si="10"/>
        <v>-1.3529007108461362E-2</v>
      </c>
      <c r="D371" s="13">
        <f t="shared" si="11"/>
        <v>4.1268304489894714E-2</v>
      </c>
    </row>
    <row r="372" spans="1:4" x14ac:dyDescent="0.2">
      <c r="A372" s="11">
        <v>44713</v>
      </c>
      <c r="B372" s="15">
        <f>VLOOKUP(A372,Database!A:Q,MATCH($A$1,Database!$A$1:$Q$1,),)</f>
        <v>26040</v>
      </c>
      <c r="C372" s="12">
        <f t="shared" si="10"/>
        <v>8.8331008833100882E-3</v>
      </c>
      <c r="D372" s="13">
        <f t="shared" si="11"/>
        <v>9.3414473429202678E-3</v>
      </c>
    </row>
    <row r="373" spans="1:4" x14ac:dyDescent="0.2">
      <c r="A373" s="11">
        <v>44743</v>
      </c>
      <c r="B373" s="15">
        <f>VLOOKUP(A373,Database!A:Q,MATCH($A$1,Database!$A$1:$Q$1,),)</f>
        <v>25891</v>
      </c>
      <c r="C373" s="12">
        <f t="shared" si="10"/>
        <v>-5.7219662058371739E-3</v>
      </c>
      <c r="D373" s="13">
        <f t="shared" ref="D373" si="12">(B373-B361)/B361</f>
        <v>2.3238351183654114E-2</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2022-09-03T05:21:01Z</dcterms:modified>
</cp:coreProperties>
</file>