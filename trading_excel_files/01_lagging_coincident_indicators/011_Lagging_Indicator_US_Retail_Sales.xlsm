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Gas'!$A$8:$A$382</f>
              <numCache>
                <formatCode>[$-409]mmm\-yy;@</formatCode>
                <ptCount val="37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Gas'!$C$8:$C$382</f>
              <numCache>
                <formatCode>0.00%</formatCode>
                <ptCount val="37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Gas'!$A$8:$A$379</f>
              <numCache>
                <formatCode>[$-409]mmm\-yy;@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Gas'!$C$8:$C$379</f>
              <numCache>
                <formatCode>0.00%</formatCode>
                <ptCount val="37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Gas'!$A$19:$A$379</f>
              <numCache>
                <formatCode>[$-409]mmm\-yy;@</formatCode>
                <ptCount val="36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 and Gas'!$D$19:$D$379</f>
              <numCache>
                <formatCode>0.00%</formatCode>
                <ptCount val="36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0.1524408869992376</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0.08236389322496533</v>
                </pt>
                <pt idx="357">
                  <v>0.07956159235243286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 and Gas'!$B$7:$B$379</f>
              <numCache>
                <formatCode>#,##0</formatCode>
                <ptCount val="37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464043</v>
                </pt>
                <pt idx="358">
                  <v>465861</v>
                </pt>
                <pt idx="359">
                  <v>457676</v>
                </pt>
                <pt idx="360">
                  <v>466972</v>
                </pt>
                <pt idx="361">
                  <v>472501</v>
                </pt>
                <pt idx="362">
                  <v>476780</v>
                </pt>
                <pt idx="363">
                  <v>480089</v>
                </pt>
                <pt idx="364">
                  <v>483737</v>
                </pt>
                <pt idx="365">
                  <v>488175</v>
                </pt>
                <pt idx="366">
                  <v>489272</v>
                </pt>
                <pt idx="367">
                  <v>493588</v>
                </pt>
                <pt idx="368">
                  <v>496463</v>
                </pt>
                <pt idx="369">
                  <v>500963</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Sales'!$D$7:$D$381</f>
              <numCache>
                <formatCode>General</formatCode>
                <ptCount val="37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0.1661851944099526</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0.08586791816493367</v>
                </pt>
                <pt idx="369">
                  <formatCode>0.00%</formatCode>
                  <v>0.08271612059383375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Sales'!$B$7:$B$384</f>
              <numCache>
                <formatCode>#,##0</formatCode>
                <ptCount val="378"/>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641459</v>
                </pt>
                <pt idx="358">
                  <v>644741</v>
                </pt>
                <pt idx="359">
                  <v>634393</v>
                </pt>
                <pt idx="360">
                  <v>651557</v>
                </pt>
                <pt idx="361">
                  <v>662321</v>
                </pt>
                <pt idx="362">
                  <v>669958</v>
                </pt>
                <pt idx="363">
                  <v>674719</v>
                </pt>
                <pt idx="364">
                  <v>677115</v>
                </pt>
                <pt idx="365">
                  <v>684084</v>
                </pt>
                <pt idx="366">
                  <v>681108</v>
                </pt>
                <pt idx="367">
                  <v>685685</v>
                </pt>
                <pt idx="368">
                  <v>685794</v>
                </pt>
                <pt idx="369">
                  <v>694518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Auto'!$C$19:$C$381</f>
              <numCache>
                <formatCode>0.00%</formatCode>
                <ptCount val="363"/>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0.01563262163766404</v>
                </pt>
                <pt idx="346">
                  <v>0.005051586360138181</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0.000886041439476554</v>
                </pt>
                <pt idx="357">
                  <v>0.01259251294733258</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Auto'!$B$7:$B$383</f>
              <numCache>
                <formatCode>#,##0</formatCode>
                <ptCount val="377"/>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518451</v>
                </pt>
                <pt idx="358">
                  <v>521070</v>
                </pt>
                <pt idx="359">
                  <v>513586</v>
                </pt>
                <pt idx="360">
                  <v>521891</v>
                </pt>
                <pt idx="361">
                  <v>530893</v>
                </pt>
                <pt idx="362">
                  <v>541436</v>
                </pt>
                <pt idx="363">
                  <v>543908</v>
                </pt>
                <pt idx="364">
                  <v>550725</v>
                </pt>
                <pt idx="365">
                  <v>556980</v>
                </pt>
                <pt idx="366">
                  <v>556555</v>
                </pt>
                <pt idx="367">
                  <v>557536</v>
                </pt>
                <pt idx="368">
                  <v>558030</v>
                </pt>
                <pt idx="369">
                  <v>565057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Auto'!$D$7:$D$384</f>
              <numCache>
                <formatCode>General</formatCode>
                <ptCount val="378"/>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0.1794047594674092</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0.09316689880522105</v>
                </pt>
                <pt idx="369">
                  <formatCode>0.00%</formatCode>
                  <v>0.08989470557487593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0.08056253139126067</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0.06952272575138899</v>
                </pt>
                <pt idx="357">
                  <v>0.07621615160891911</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75299</v>
                </pt>
                <pt idx="358">
                  <v>75783</v>
                </pt>
                <pt idx="359">
                  <v>76187</v>
                </pt>
                <pt idx="360">
                  <v>76603</v>
                </pt>
                <pt idx="361">
                  <v>76533</v>
                </pt>
                <pt idx="362">
                  <v>77268</v>
                </pt>
                <pt idx="363">
                  <v>77270</v>
                </pt>
                <pt idx="364">
                  <v>78111</v>
                </pt>
                <pt idx="365">
                  <v>79000</v>
                </pt>
                <pt idx="366">
                  <v>78968</v>
                </pt>
                <pt idx="367">
                  <v>79317</v>
                </pt>
                <pt idx="368">
                  <v>79888</v>
                </pt>
                <pt idx="369">
                  <v>81038</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99967</v>
                </pt>
                <pt idx="358">
                  <v>100341</v>
                </pt>
                <pt idx="359">
                  <v>95958</v>
                </pt>
                <pt idx="360">
                  <v>102773</v>
                </pt>
                <pt idx="361">
                  <v>104095</v>
                </pt>
                <pt idx="362">
                  <v>102895</v>
                </pt>
                <pt idx="363">
                  <v>104003</v>
                </pt>
                <pt idx="364">
                  <v>106789</v>
                </pt>
                <pt idx="365">
                  <v>107157</v>
                </pt>
                <pt idx="366">
                  <v>108939</v>
                </pt>
                <pt idx="367">
                  <v>109557</v>
                </pt>
                <pt idx="368">
                  <v>110224</v>
                </pt>
                <pt idx="369">
                  <v>111505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0.1271126244461231</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0.1284886459037205</v>
                </pt>
                <pt idx="369">
                  <formatCode>0.00%</formatCode>
                  <v>0.1154180879690298</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32315</v>
                </pt>
                <pt idx="358">
                  <v>32793</v>
                </pt>
                <pt idx="359">
                  <v>32797</v>
                </pt>
                <pt idx="360">
                  <v>32815</v>
                </pt>
                <pt idx="361">
                  <v>32445</v>
                </pt>
                <pt idx="362">
                  <v>32763</v>
                </pt>
                <pt idx="363">
                  <v>32962</v>
                </pt>
                <pt idx="364">
                  <v>32985</v>
                </pt>
                <pt idx="365">
                  <v>33426</v>
                </pt>
                <pt idx="366">
                  <v>33641</v>
                </pt>
                <pt idx="367">
                  <v>33649</v>
                </pt>
                <pt idx="368">
                  <v>33906</v>
                </pt>
                <pt idx="369">
                  <v>34063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0.07109711634073583</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0.03971052712274999</v>
                </pt>
                <pt idx="369">
                  <formatCode>0.00%</formatCode>
                  <v>0.05409252669039146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9001</v>
                </pt>
                <pt idx="358">
                  <v>9194</v>
                </pt>
                <pt idx="359">
                  <v>8968</v>
                </pt>
                <pt idx="360">
                  <v>8877</v>
                </pt>
                <pt idx="361">
                  <v>8916</v>
                </pt>
                <pt idx="362">
                  <v>9009</v>
                </pt>
                <pt idx="363">
                  <v>9069</v>
                </pt>
                <pt idx="364">
                  <v>9153</v>
                </pt>
                <pt idx="365">
                  <v>9233</v>
                </pt>
                <pt idx="366">
                  <v>9236</v>
                </pt>
                <pt idx="367">
                  <v>9335</v>
                </pt>
                <pt idx="368">
                  <v>9258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0.1593250901597115</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0.03975741239892183</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68382</v>
                </pt>
                <pt idx="358">
                  <v>68402</v>
                </pt>
                <pt idx="359">
                  <v>67197</v>
                </pt>
                <pt idx="360">
                  <v>69233</v>
                </pt>
                <pt idx="361">
                  <v>67568</v>
                </pt>
                <pt idx="362">
                  <v>68468</v>
                </pt>
                <pt idx="363">
                  <v>68026</v>
                </pt>
                <pt idx="364">
                  <v>68053</v>
                </pt>
                <pt idx="365">
                  <v>69621</v>
                </pt>
                <pt idx="366">
                  <v>69346</v>
                </pt>
                <pt idx="367">
                  <v>69558</v>
                </pt>
                <pt idx="368">
                  <v>70107</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0.1125355893597983</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0.03799173835151982</v>
                </pt>
                <pt idx="369">
                  <formatCode>0.00%</formatCode>
                  <v>0.02335409903190898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79051</v>
                </pt>
                <pt idx="359">
                  <v>77583</v>
                </pt>
                <pt idx="360">
                  <v>75557</v>
                </pt>
                <pt idx="361">
                  <v>80553</v>
                </pt>
                <pt idx="362">
                  <v>82388</v>
                </pt>
                <pt idx="363">
                  <v>84481</v>
                </pt>
                <pt idx="364">
                  <v>85322</v>
                </pt>
                <pt idx="365">
                  <v>85939</v>
                </pt>
                <pt idx="366">
                  <v>85214</v>
                </pt>
                <pt idx="367">
                  <v>87305</v>
                </pt>
                <pt idx="368">
                  <v>88074</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0.125</v>
                </pt>
                <pt idx="369">
                  <formatCode>0.00%</formatCode>
                  <v>0.1411362796211552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54408</v>
                </pt>
                <pt idx="358">
                  <v>55209</v>
                </pt>
                <pt idx="359">
                  <v>55910</v>
                </pt>
                <pt idx="360">
                  <v>54919</v>
                </pt>
                <pt idx="361">
                  <v>58392</v>
                </pt>
                <pt idx="362">
                  <v>64656</v>
                </pt>
                <pt idx="363">
                  <v>63819</v>
                </pt>
                <pt idx="364">
                  <v>66988</v>
                </pt>
                <pt idx="365">
                  <v>68805</v>
                </pt>
                <pt idx="366">
                  <v>67283</v>
                </pt>
                <pt idx="367">
                  <v>63948</v>
                </pt>
                <pt idx="368">
                  <v>61567</v>
                </pt>
                <pt idx="369">
                  <v>64094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0.4734333531928722</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0.1888504837121285</v>
                </pt>
                <pt idx="369">
                  <formatCode>0.00%</formatCode>
                  <v>0.1780252903984708</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123008</v>
                </pt>
                <pt idx="358">
                  <v>123671</v>
                </pt>
                <pt idx="359">
                  <v>120807</v>
                </pt>
                <pt idx="360">
                  <v>129666</v>
                </pt>
                <pt idx="361">
                  <v>131428</v>
                </pt>
                <pt idx="362">
                  <v>128522</v>
                </pt>
                <pt idx="363">
                  <v>130811</v>
                </pt>
                <pt idx="364">
                  <v>126390</v>
                </pt>
                <pt idx="365">
                  <v>127104</v>
                </pt>
                <pt idx="366">
                  <v>124553</v>
                </pt>
                <pt idx="367">
                  <v>128149</v>
                </pt>
                <pt idx="368">
                  <v>127764</v>
                </pt>
                <pt idx="369">
                  <v>129461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0.1135775198710869</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0.05509860271529085</v>
                </pt>
                <pt idx="369">
                  <formatCode>0.00%</formatCode>
                  <v>0.05246000260145681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Housing!$B$7:$B$384</f>
              <numCache>
                <formatCode>#,##0</formatCode>
                <ptCount val="378"/>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40040</v>
                </pt>
                <pt idx="358">
                  <v>40880</v>
                </pt>
                <pt idx="359">
                  <v>41207</v>
                </pt>
                <pt idx="360">
                  <v>42170</v>
                </pt>
                <pt idx="361">
                  <v>42307</v>
                </pt>
                <pt idx="362">
                  <v>42572</v>
                </pt>
                <pt idx="363">
                  <v>42168</v>
                </pt>
                <pt idx="364">
                  <v>42257</v>
                </pt>
                <pt idx="365">
                  <v>42131</v>
                </pt>
                <pt idx="366">
                  <v>42597</v>
                </pt>
                <pt idx="367">
                  <v>43314</v>
                </pt>
                <pt idx="368">
                  <v>43246</v>
                </pt>
                <pt idx="369">
                  <v>43719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Housing!$D$7:$D$383</f>
              <numCache>
                <formatCode>General</formatCode>
                <ptCount val="377"/>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0.0970464135021097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0.1015002164998344</v>
                </pt>
                <pt idx="369">
                  <formatCode>0.00%</formatCode>
                  <v>0.09188311688311689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Home'!$B$7:$B$382</f>
              <numCache>
                <formatCode>#,##0</formatCode>
                <ptCount val="37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20446</v>
                </pt>
                <pt idx="358">
                  <v>19252</v>
                </pt>
                <pt idx="359">
                  <v>18443</v>
                </pt>
                <pt idx="360">
                  <v>19257</v>
                </pt>
                <pt idx="361">
                  <v>19617</v>
                </pt>
                <pt idx="362">
                  <v>19770</v>
                </pt>
                <pt idx="363">
                  <v>20080</v>
                </pt>
                <pt idx="364">
                  <v>19740</v>
                </pt>
                <pt idx="365">
                  <v>19554</v>
                </pt>
                <pt idx="366">
                  <v>19544</v>
                </pt>
                <pt idx="367">
                  <v>19474</v>
                </pt>
                <pt idx="368">
                  <v>19370</v>
                </pt>
                <pt idx="369">
                  <v>19480</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Home'!$D$7:$D$383</f>
              <numCache>
                <formatCode>General</formatCode>
                <ptCount val="377"/>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0.1585448776065277</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-0.03357780771341615</v>
                </pt>
                <pt idx="369">
                  <formatCode>0.00%</formatCode>
                  <v>-0.04724640516482442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retailers'!$B$7:$B$381</f>
              <numCache>
                <formatCode>#,##0</formatCode>
                <ptCount val="375"/>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14535</v>
                </pt>
                <pt idx="358">
                  <v>14381</v>
                </pt>
                <pt idx="359">
                  <v>14285</v>
                </pt>
                <pt idx="360">
                  <v>14527</v>
                </pt>
                <pt idx="361">
                  <v>14986</v>
                </pt>
                <pt idx="362">
                  <v>15490</v>
                </pt>
                <pt idx="363">
                  <v>15864</v>
                </pt>
                <pt idx="364">
                  <v>15515</v>
                </pt>
                <pt idx="365">
                  <v>16110</v>
                </pt>
                <pt idx="366">
                  <v>15898</v>
                </pt>
                <pt idx="367">
                  <v>15934</v>
                </pt>
                <pt idx="368">
                  <v>15994</v>
                </pt>
                <pt idx="369">
                  <v>16040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retailers'!$D$7:$D$381</f>
              <numCache>
                <formatCode>General</formatCode>
                <ptCount val="375"/>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0.2963788797716732</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0.1104630979657016</v>
                </pt>
                <pt idx="369">
                  <formatCode>0.00%</formatCode>
                  <v>0.1035431716546268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'Clothing and clothing access'!$B$7:$B$382</f>
              <numCache>
                <formatCode>#,##0</formatCode>
                <ptCount val="37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25609</v>
                </pt>
                <pt idx="358">
                  <v>25784</v>
                </pt>
                <pt idx="359">
                  <v>25051</v>
                </pt>
                <pt idx="360">
                  <v>25160</v>
                </pt>
                <pt idx="361">
                  <v>25481</v>
                </pt>
                <pt idx="362">
                  <v>26157</v>
                </pt>
                <pt idx="363">
                  <v>26166</v>
                </pt>
                <pt idx="364">
                  <v>25812</v>
                </pt>
                <pt idx="365">
                  <v>26004</v>
                </pt>
                <pt idx="366">
                  <v>25889</v>
                </pt>
                <pt idx="367">
                  <v>26145</v>
                </pt>
                <pt idx="368">
                  <v>26396</v>
                </pt>
                <pt idx="369">
                  <v>26391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'Clothing and clothing access'!$D$19:$D$383</f>
              <numCache>
                <formatCode>0.00%</formatCode>
                <ptCount val="365"/>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0.2613406885681919</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0.0448068397720076</v>
                </pt>
                <pt idx="357">
                  <v>0.03053613963840837</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6" headerRowCount="1" totalsRowShown="0" headerRowDxfId="64" dataDxfId="62" headerRowBorderDxfId="63" tableBorderDxfId="61">
  <autoFilter ref="A6:D376"/>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6" headerRowCount="1" totalsRowShown="0" headerRowDxfId="56" dataDxfId="54" headerRowBorderDxfId="55" tableBorderDxfId="53">
  <autoFilter ref="A6:D376"/>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6" headerRowCount="1" totalsRowShown="0" headerRowDxfId="48" dataDxfId="46" headerRowBorderDxfId="47" tableBorderDxfId="45">
  <autoFilter ref="A6:D376"/>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6" headerRowCount="1" totalsRowShown="0" headerRowDxfId="40" headerRowBorderDxfId="39" tableBorderDxfId="38">
  <autoFilter ref="A6:D376"/>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6" headerRowCount="1" totalsRowShown="0" headerRowDxfId="33" tableBorderDxfId="32">
  <autoFilter ref="A6:D376"/>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6" headerRowCount="1" totalsRowShown="0" headerRowDxfId="27" headerRowBorderDxfId="26" tableBorderDxfId="25">
  <autoFilter ref="A6:D376"/>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6" headerRowCount="1" totalsRowShown="0" headerRowDxfId="20" headerRowBorderDxfId="19" tableBorderDxfId="18">
  <autoFilter ref="A6:D376"/>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G11" zoomScale="140" zoomScaleNormal="140" workbookViewId="0">
      <selection activeCell="O35" sqref="O3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34"/>
    <col width="9.1640625" customWidth="1" style="122" min="35"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44835</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1"/>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4" t="n">
        <v>44470</v>
      </c>
      <c r="B359" t="n">
        <v>464043</v>
      </c>
      <c r="C359" t="n">
        <v>641459</v>
      </c>
      <c r="D359" t="n">
        <v>40040</v>
      </c>
      <c r="E359" t="n">
        <v>25609</v>
      </c>
      <c r="F359" t="n">
        <v>75299</v>
      </c>
      <c r="G359" t="n">
        <v>8382</v>
      </c>
      <c r="H359" t="n">
        <v>12064</v>
      </c>
      <c r="I359" t="n">
        <v>78449</v>
      </c>
      <c r="J359" t="n">
        <v>518451</v>
      </c>
      <c r="K359" t="n">
        <v>54408</v>
      </c>
      <c r="L359" t="n">
        <v>68382</v>
      </c>
      <c r="M359" t="n">
        <v>32315</v>
      </c>
      <c r="N359" t="n">
        <v>14535</v>
      </c>
      <c r="O359" t="n">
        <v>123008</v>
      </c>
      <c r="P359" t="n">
        <v>99967</v>
      </c>
      <c r="Q359" t="n">
        <v>9001</v>
      </c>
    </row>
    <row r="360">
      <c r="A360" s="134"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4"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4" t="n">
        <v>44805</v>
      </c>
      <c r="B370" t="n">
        <v>496463</v>
      </c>
      <c r="C370" t="n">
        <v>685794</v>
      </c>
      <c r="D370" t="n">
        <v>43246</v>
      </c>
      <c r="E370" t="n">
        <v>26396</v>
      </c>
      <c r="F370" t="n">
        <v>79888</v>
      </c>
      <c r="G370" t="n">
        <v>7389</v>
      </c>
      <c r="H370" t="n">
        <v>11981</v>
      </c>
      <c r="I370" t="n">
        <v>88074</v>
      </c>
      <c r="J370" t="n">
        <v>558030</v>
      </c>
      <c r="K370" t="n">
        <v>61567</v>
      </c>
      <c r="L370" t="n">
        <v>70107</v>
      </c>
      <c r="M370" t="n">
        <v>33906</v>
      </c>
      <c r="N370" t="n">
        <v>15994</v>
      </c>
      <c r="O370" t="n">
        <v>127764</v>
      </c>
      <c r="P370" t="n">
        <v>110224</v>
      </c>
      <c r="Q370" t="n">
        <v>9258</v>
      </c>
    </row>
    <row r="371">
      <c r="A371" s="134" t="n">
        <v>44835</v>
      </c>
      <c r="B371" t="n">
        <v>500963</v>
      </c>
      <c r="C371" t="n">
        <v>694518</v>
      </c>
      <c r="D371" t="n">
        <v>43719</v>
      </c>
      <c r="E371" t="n">
        <v>26391</v>
      </c>
      <c r="F371" t="n">
        <v>81038</v>
      </c>
      <c r="G371" t="n">
        <v>7367</v>
      </c>
      <c r="H371" t="n">
        <v>12113</v>
      </c>
      <c r="I371" t="n">
        <v>89521</v>
      </c>
      <c r="J371" t="n">
        <v>565057</v>
      </c>
      <c r="K371" t="n">
        <v>64094</v>
      </c>
      <c r="L371" t="n">
        <v>69979</v>
      </c>
      <c r="M371" t="n">
        <v>34063</v>
      </c>
      <c r="N371" t="n">
        <v>16040</v>
      </c>
      <c r="O371" t="n">
        <v>129461</v>
      </c>
      <c r="P371" t="n">
        <v>111505</v>
      </c>
      <c r="Q371" t="n">
        <v>9227</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3" sqref="E3"/>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28"/>
    <col width="9.1640625" customWidth="1" style="122" min="29" max="16384"/>
  </cols>
  <sheetData>
    <row r="1" ht="16" customHeight="1" s="95" thickBot="1"/>
    <row r="2">
      <c r="D2" s="4" t="inlineStr">
        <is>
          <t>Previous</t>
        </is>
      </c>
      <c r="E2" s="6">
        <f>DATE(YEAR(E3),MONTH(E3)-1,DAY(E3))</f>
        <v/>
      </c>
    </row>
    <row r="3" ht="16" customHeight="1" s="95" thickBot="1">
      <c r="D3" s="5" t="inlineStr">
        <is>
          <t>Latest</t>
        </is>
      </c>
      <c r="E3" s="7" t="n">
        <v>44835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6"/>
  <sheetViews>
    <sheetView zoomScale="140" zoomScaleNormal="140" workbookViewId="0">
      <pane ySplit="3" topLeftCell="A48" activePane="bottomLeft" state="frozen"/>
      <selection activeCell="P14" sqref="P14"/>
      <selection pane="bottomLeft" activeCell="B62" sqref="B62:AF66"/>
    </sheetView>
  </sheetViews>
  <sheetFormatPr baseColWidth="10" defaultColWidth="9.1640625" defaultRowHeight="15"/>
  <cols>
    <col width="3" customWidth="1" style="122" min="1" max="1"/>
    <col width="7.6640625" customWidth="1" style="122" min="2" max="32"/>
    <col width="9.1640625" customWidth="1" style="122" min="33" max="47"/>
    <col width="9.1640625" customWidth="1" style="122" min="48"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6">
    <cfRule type="colorScale" priority="243">
      <colorScale>
        <cfvo type="min"/>
        <cfvo type="percentile" val="50"/>
        <cfvo type="max"/>
        <color rgb="FFF8696B"/>
        <color rgb="FFFFEB84"/>
        <color rgb="FF63BE7B"/>
      </colorScale>
    </cfRule>
  </conditionalFormatting>
  <conditionalFormatting sqref="D4:D66">
    <cfRule type="colorScale" priority="244">
      <colorScale>
        <cfvo type="min"/>
        <cfvo type="percentile" val="50"/>
        <cfvo type="max"/>
        <color rgb="FFF8696B"/>
        <color rgb="FFFFEB84"/>
        <color rgb="FF63BE7B"/>
      </colorScale>
    </cfRule>
  </conditionalFormatting>
  <conditionalFormatting sqref="E4:E66">
    <cfRule type="colorScale" priority="245">
      <colorScale>
        <cfvo type="min"/>
        <cfvo type="percentile" val="50"/>
        <cfvo type="max"/>
        <color rgb="FFF8696B"/>
        <color rgb="FFFFEB84"/>
        <color rgb="FF63BE7B"/>
      </colorScale>
    </cfRule>
  </conditionalFormatting>
  <conditionalFormatting sqref="F4:F66">
    <cfRule type="colorScale" priority="246">
      <colorScale>
        <cfvo type="min"/>
        <cfvo type="percentile" val="50"/>
        <cfvo type="max"/>
        <color rgb="FFF8696B"/>
        <color rgb="FFFFEB84"/>
        <color rgb="FF63BE7B"/>
      </colorScale>
    </cfRule>
  </conditionalFormatting>
  <conditionalFormatting sqref="G4:G66">
    <cfRule type="colorScale" priority="247">
      <colorScale>
        <cfvo type="min"/>
        <cfvo type="percentile" val="50"/>
        <cfvo type="max"/>
        <color rgb="FFF8696B"/>
        <color rgb="FFFFEB84"/>
        <color rgb="FF63BE7B"/>
      </colorScale>
    </cfRule>
  </conditionalFormatting>
  <conditionalFormatting sqref="H4:H66">
    <cfRule type="colorScale" priority="248">
      <colorScale>
        <cfvo type="min"/>
        <cfvo type="percentile" val="50"/>
        <cfvo type="max"/>
        <color rgb="FFF8696B"/>
        <color rgb="FFFFEB84"/>
        <color rgb="FF63BE7B"/>
      </colorScale>
    </cfRule>
  </conditionalFormatting>
  <conditionalFormatting sqref="I4:I66">
    <cfRule type="colorScale" priority="249">
      <colorScale>
        <cfvo type="min"/>
        <cfvo type="percentile" val="50"/>
        <cfvo type="max"/>
        <color rgb="FFF8696B"/>
        <color rgb="FFFFEB84"/>
        <color rgb="FF63BE7B"/>
      </colorScale>
    </cfRule>
  </conditionalFormatting>
  <conditionalFormatting sqref="J4:J66">
    <cfRule type="colorScale" priority="250">
      <colorScale>
        <cfvo type="min"/>
        <cfvo type="percentile" val="50"/>
        <cfvo type="max"/>
        <color rgb="FFF8696B"/>
        <color rgb="FFFFEB84"/>
        <color rgb="FF63BE7B"/>
      </colorScale>
    </cfRule>
  </conditionalFormatting>
  <conditionalFormatting sqref="K4:K66">
    <cfRule type="colorScale" priority="251">
      <colorScale>
        <cfvo type="min"/>
        <cfvo type="percentile" val="50"/>
        <cfvo type="max"/>
        <color rgb="FFF8696B"/>
        <color rgb="FFFFEB84"/>
        <color rgb="FF63BE7B"/>
      </colorScale>
    </cfRule>
  </conditionalFormatting>
  <conditionalFormatting sqref="L4:L66">
    <cfRule type="colorScale" priority="252">
      <colorScale>
        <cfvo type="min"/>
        <cfvo type="percentile" val="50"/>
        <cfvo type="max"/>
        <color rgb="FFF8696B"/>
        <color rgb="FFFFEB84"/>
        <color rgb="FF63BE7B"/>
      </colorScale>
    </cfRule>
  </conditionalFormatting>
  <conditionalFormatting sqref="M4:M66">
    <cfRule type="colorScale" priority="253">
      <colorScale>
        <cfvo type="min"/>
        <cfvo type="percentile" val="50"/>
        <cfvo type="max"/>
        <color rgb="FFF8696B"/>
        <color rgb="FFFFEB84"/>
        <color rgb="FF63BE7B"/>
      </colorScale>
    </cfRule>
  </conditionalFormatting>
  <conditionalFormatting sqref="O4:O66">
    <cfRule type="colorScale" priority="254">
      <colorScale>
        <cfvo type="min"/>
        <cfvo type="percentile" val="50"/>
        <cfvo type="max"/>
        <color rgb="FFF8696B"/>
        <color rgb="FFFFEB84"/>
        <color rgb="FF63BE7B"/>
      </colorScale>
    </cfRule>
  </conditionalFormatting>
  <conditionalFormatting sqref="P4:P66">
    <cfRule type="colorScale" priority="255">
      <colorScale>
        <cfvo type="min"/>
        <cfvo type="percentile" val="50"/>
        <cfvo type="max"/>
        <color rgb="FFF8696B"/>
        <color rgb="FFFFEB84"/>
        <color rgb="FF63BE7B"/>
      </colorScale>
    </cfRule>
  </conditionalFormatting>
  <conditionalFormatting sqref="Q4:Q66">
    <cfRule type="colorScale" priority="256">
      <colorScale>
        <cfvo type="min"/>
        <cfvo type="percentile" val="50"/>
        <cfvo type="max"/>
        <color rgb="FFF8696B"/>
        <color rgb="FFFFEB84"/>
        <color rgb="FF63BE7B"/>
      </colorScale>
    </cfRule>
  </conditionalFormatting>
  <conditionalFormatting sqref="R4:R66">
    <cfRule type="colorScale" priority="257">
      <colorScale>
        <cfvo type="min"/>
        <cfvo type="percentile" val="50"/>
        <cfvo type="max"/>
        <color rgb="FFF8696B"/>
        <color rgb="FFFFEB84"/>
        <color rgb="FF63BE7B"/>
      </colorScale>
    </cfRule>
  </conditionalFormatting>
  <conditionalFormatting sqref="S4:S66">
    <cfRule type="colorScale" priority="258">
      <colorScale>
        <cfvo type="min"/>
        <cfvo type="percentile" val="50"/>
        <cfvo type="max"/>
        <color rgb="FFF8696B"/>
        <color rgb="FFFFEB84"/>
        <color rgb="FF63BE7B"/>
      </colorScale>
    </cfRule>
  </conditionalFormatting>
  <conditionalFormatting sqref="T4:T66">
    <cfRule type="colorScale" priority="259">
      <colorScale>
        <cfvo type="min"/>
        <cfvo type="percentile" val="50"/>
        <cfvo type="max"/>
        <color rgb="FFF8696B"/>
        <color rgb="FFFFEB84"/>
        <color rgb="FF63BE7B"/>
      </colorScale>
    </cfRule>
  </conditionalFormatting>
  <conditionalFormatting sqref="U4:U66">
    <cfRule type="colorScale" priority="260">
      <colorScale>
        <cfvo type="min"/>
        <cfvo type="percentile" val="50"/>
        <cfvo type="max"/>
        <color rgb="FFF8696B"/>
        <color rgb="FFFFEB84"/>
        <color rgb="FF63BE7B"/>
      </colorScale>
    </cfRule>
  </conditionalFormatting>
  <conditionalFormatting sqref="V4:V66">
    <cfRule type="colorScale" priority="261">
      <colorScale>
        <cfvo type="min"/>
        <cfvo type="percentile" val="50"/>
        <cfvo type="max"/>
        <color rgb="FFF8696B"/>
        <color rgb="FFFFEB84"/>
        <color rgb="FF63BE7B"/>
      </colorScale>
    </cfRule>
  </conditionalFormatting>
  <conditionalFormatting sqref="W4:W66">
    <cfRule type="colorScale" priority="262">
      <colorScale>
        <cfvo type="min"/>
        <cfvo type="percentile" val="50"/>
        <cfvo type="max"/>
        <color rgb="FFF8696B"/>
        <color rgb="FFFFEB84"/>
        <color rgb="FF63BE7B"/>
      </colorScale>
    </cfRule>
  </conditionalFormatting>
  <conditionalFormatting sqref="X4:X66">
    <cfRule type="colorScale" priority="265">
      <colorScale>
        <cfvo type="min"/>
        <cfvo type="percentile" val="50"/>
        <cfvo type="max"/>
        <color rgb="FFF8696B"/>
        <color rgb="FFFFEB84"/>
        <color rgb="FF63BE7B"/>
      </colorScale>
    </cfRule>
  </conditionalFormatting>
  <conditionalFormatting sqref="Y4:Y66">
    <cfRule type="colorScale" priority="268">
      <colorScale>
        <cfvo type="min"/>
        <cfvo type="percentile" val="50"/>
        <cfvo type="max"/>
        <color rgb="FFF8696B"/>
        <color rgb="FFFFEB84"/>
        <color rgb="FF63BE7B"/>
      </colorScale>
    </cfRule>
  </conditionalFormatting>
  <conditionalFormatting sqref="Z4:Z66">
    <cfRule type="colorScale" priority="269">
      <colorScale>
        <cfvo type="min"/>
        <cfvo type="percentile" val="50"/>
        <cfvo type="max"/>
        <color rgb="FFF8696B"/>
        <color rgb="FFFFEB84"/>
        <color rgb="FF63BE7B"/>
      </colorScale>
    </cfRule>
  </conditionalFormatting>
  <conditionalFormatting sqref="AA4:AA66">
    <cfRule type="colorScale" priority="270">
      <colorScale>
        <cfvo type="min"/>
        <cfvo type="percentile" val="50"/>
        <cfvo type="max"/>
        <color rgb="FFF8696B"/>
        <color rgb="FFFFEB84"/>
        <color rgb="FF63BE7B"/>
      </colorScale>
    </cfRule>
  </conditionalFormatting>
  <conditionalFormatting sqref="AB4:AB66">
    <cfRule type="colorScale" priority="271">
      <colorScale>
        <cfvo type="min"/>
        <cfvo type="percentile" val="50"/>
        <cfvo type="max"/>
        <color rgb="FFF8696B"/>
        <color rgb="FFFFEB84"/>
        <color rgb="FF63BE7B"/>
      </colorScale>
    </cfRule>
  </conditionalFormatting>
  <conditionalFormatting sqref="AC4:AC66">
    <cfRule type="colorScale" priority="272">
      <colorScale>
        <cfvo type="min"/>
        <cfvo type="percentile" val="50"/>
        <cfvo type="max"/>
        <color rgb="FFF8696B"/>
        <color rgb="FFFFEB84"/>
        <color rgb="FF63BE7B"/>
      </colorScale>
    </cfRule>
  </conditionalFormatting>
  <conditionalFormatting sqref="AD4:AD66">
    <cfRule type="colorScale" priority="273">
      <colorScale>
        <cfvo type="min"/>
        <cfvo type="percentile" val="50"/>
        <cfvo type="max"/>
        <color rgb="FFF8696B"/>
        <color rgb="FFFFEB84"/>
        <color rgb="FF63BE7B"/>
      </colorScale>
    </cfRule>
  </conditionalFormatting>
  <conditionalFormatting sqref="AE4:AE66">
    <cfRule type="colorScale" priority="274">
      <colorScale>
        <cfvo type="min"/>
        <cfvo type="percentile" val="50"/>
        <cfvo type="max"/>
        <color rgb="FFF8696B"/>
        <color rgb="FFFFEB84"/>
        <color rgb="FF63BE7B"/>
      </colorScale>
    </cfRule>
  </conditionalFormatting>
  <conditionalFormatting sqref="AF4:AF66">
    <cfRule type="colorScale" priority="275">
      <colorScale>
        <cfvo type="min"/>
        <cfvo type="percentile" val="50"/>
        <cfvo type="max"/>
        <color rgb="FFF8696B"/>
        <color rgb="FFFFEB84"/>
        <color rgb="FF63BE7B"/>
      </colorScale>
    </cfRule>
  </conditionalFormatting>
  <conditionalFormatting sqref="N4:N6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3"/>
  <sheetViews>
    <sheetView zoomScale="170" zoomScaleNormal="170" workbookViewId="0">
      <pane ySplit="6" topLeftCell="A364" activePane="bottomLeft" state="frozen"/>
      <selection pane="bottomLeft" activeCell="A372" sqref="A372:D376"/>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0"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c r="A376" s="11" t="n">
        <v>44835</v>
      </c>
      <c r="B376" s="15">
        <f>VLOOKUP(A376,Database!A:M,MATCH($A$1,Database!$A$1:$M$1,),)</f>
        <v/>
      </c>
      <c r="C376" s="12">
        <f>(B376-B375)/B375</f>
        <v/>
      </c>
      <c r="D376" s="13">
        <f>(B376-B364)/B364</f>
        <v/>
      </c>
    </row>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row r="665">
      <c r="A665" s="122" t="n"/>
      <c r="B665" s="122" t="n"/>
      <c r="C665" s="122" t="n"/>
      <c r="D665" s="122" t="n"/>
    </row>
    <row r="666">
      <c r="A666" s="122" t="n"/>
      <c r="B666" s="122" t="n"/>
      <c r="C666" s="122" t="n"/>
      <c r="D666" s="122" t="n"/>
    </row>
    <row r="667">
      <c r="A667" s="122" t="n"/>
      <c r="B667" s="122" t="n"/>
      <c r="C667" s="122" t="n"/>
      <c r="D667" s="122" t="n"/>
    </row>
    <row r="668">
      <c r="A668" s="122" t="n"/>
      <c r="B668" s="122" t="n"/>
      <c r="C668" s="122" t="n"/>
      <c r="D668" s="122" t="n"/>
    </row>
    <row r="669">
      <c r="A669" s="122" t="n"/>
      <c r="B669" s="122" t="n"/>
      <c r="C669" s="122" t="n"/>
      <c r="D669" s="122" t="n"/>
    </row>
    <row r="670">
      <c r="A670" s="122" t="n"/>
      <c r="B670" s="122" t="n"/>
      <c r="C670" s="122" t="n"/>
      <c r="D670" s="122" t="n"/>
    </row>
    <row r="671">
      <c r="A671" s="122" t="n"/>
      <c r="B671" s="122" t="n"/>
      <c r="C671" s="122" t="n"/>
      <c r="D671" s="122" t="n"/>
    </row>
    <row r="672">
      <c r="A672" s="122" t="n"/>
      <c r="B672" s="122" t="n"/>
      <c r="C672" s="122" t="n"/>
      <c r="D672" s="122" t="n"/>
    </row>
    <row r="673">
      <c r="A673" s="122" t="n"/>
      <c r="B673" s="122" t="n"/>
      <c r="C673" s="122" t="n"/>
      <c r="D673" s="122"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8"/>
  <sheetViews>
    <sheetView zoomScale="160" zoomScaleNormal="160" workbookViewId="0">
      <pane ySplit="6" topLeftCell="A368" activePane="bottomLeft" state="frozen"/>
      <selection pane="bottomLeft" activeCell="A371" sqref="A371:D376"/>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11" t="n">
        <v>44621</v>
      </c>
      <c r="B369" s="15">
        <f>VLOOKUP(A369,Database!A:K,MATCH('Retail Sales'!$A$1,Database!$A$1:$K$1,),)</f>
        <v/>
      </c>
      <c r="C369" s="12">
        <f>(B369-B368)/B368</f>
        <v/>
      </c>
      <c r="D369" s="13">
        <f>(B369-B357)/B357</f>
        <v/>
      </c>
    </row>
    <row r="370" customFormat="1" s="122">
      <c r="A370" s="11" t="n">
        <v>44652</v>
      </c>
      <c r="B370" s="15">
        <f>VLOOKUP(A370,Database!A:K,MATCH('Retail Sales'!$A$1,Database!$A$1:$K$1,),)</f>
        <v/>
      </c>
      <c r="C370" s="12">
        <f>(B370-B369)/B369</f>
        <v/>
      </c>
      <c r="D370" s="13">
        <f>(B370-B358)/B358</f>
        <v/>
      </c>
    </row>
    <row r="371" customFormat="1" s="122">
      <c r="A371" s="10" t="n">
        <v>44682</v>
      </c>
      <c r="B371" s="15">
        <f>VLOOKUP(A371,Database!A:K,MATCH('Retail Sales'!$A$1,Database!$A$1:$K$1,),)</f>
        <v/>
      </c>
      <c r="C371" s="12">
        <f>(B371-B370)/B370</f>
        <v/>
      </c>
      <c r="D371" s="13">
        <f>(B371-B359)/B359</f>
        <v/>
      </c>
    </row>
    <row r="372" customFormat="1" s="122">
      <c r="A372" s="11" t="n">
        <v>44713</v>
      </c>
      <c r="B372" s="15">
        <f>VLOOKUP(A372,Database!A:K,MATCH('Retail Sales'!$A$1,Database!$A$1:$K$1,),)</f>
        <v/>
      </c>
      <c r="C372" s="12">
        <f>(B372-B371)/B371</f>
        <v/>
      </c>
      <c r="D372" s="13">
        <f>(B372-B360)/B360</f>
        <v/>
      </c>
    </row>
    <row r="373" customFormat="1" s="122">
      <c r="A373" s="11" t="n">
        <v>44743</v>
      </c>
      <c r="B373" s="15">
        <f>VLOOKUP(A373,Database!A:K,MATCH('Retail Sales'!$A$1,Database!$A$1:$K$1,),)</f>
        <v/>
      </c>
      <c r="C373" s="12">
        <f>(B373-B372)/B372</f>
        <v/>
      </c>
      <c r="D373" s="13">
        <f>(B373-B361)/B361</f>
        <v/>
      </c>
    </row>
    <row r="374" customFormat="1" s="122">
      <c r="A374" s="10" t="n">
        <v>44774</v>
      </c>
      <c r="B374" s="15">
        <f>VLOOKUP(A374,Database!A:K,MATCH('Retail Sales'!$A$1,Database!$A$1:$K$1,),)</f>
        <v/>
      </c>
      <c r="C374" s="12">
        <f>(B374-B373)/B373</f>
        <v/>
      </c>
      <c r="D374" s="13">
        <f>(B374-B362)/B362</f>
        <v/>
      </c>
    </row>
    <row r="375" customFormat="1" s="122">
      <c r="A375" s="10" t="n">
        <v>44805</v>
      </c>
      <c r="B375" s="15">
        <f>VLOOKUP(A375,Database!A:K,MATCH('Retail Sales'!$A$1,Database!$A$1:$K$1,),)</f>
        <v/>
      </c>
      <c r="C375" s="12">
        <f>(B375-B374)/B374</f>
        <v/>
      </c>
      <c r="D375" s="13">
        <f>(B375-B363)/B363</f>
        <v/>
      </c>
    </row>
    <row r="376" customFormat="1" s="122">
      <c r="A376" s="10" t="n">
        <v>44835</v>
      </c>
      <c r="B376" s="15">
        <f>VLOOKUP(A376,Database!A:K,MATCH('Retail Sales'!$A$1,Database!$A$1:$K$1,),)</f>
        <v/>
      </c>
      <c r="C376" s="12">
        <f>(B376-B375)/B375</f>
        <v/>
      </c>
      <c r="D376" s="13">
        <f>(B376-B364)/B364</f>
        <v/>
      </c>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sheetData>
  <conditionalFormatting sqref="C8:C376">
    <cfRule type="colorScale" priority="42">
      <colorScale>
        <cfvo type="min"/>
        <cfvo type="percentile" val="50"/>
        <cfvo type="max"/>
        <color rgb="FFF8696B"/>
        <color rgb="FFFFEB84"/>
        <color rgb="FF63BE7B"/>
      </colorScale>
    </cfRule>
  </conditionalFormatting>
  <conditionalFormatting sqref="D19:D37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4"/>
  <sheetViews>
    <sheetView zoomScale="160" zoomScaleNormal="160" workbookViewId="0">
      <pane ySplit="6" topLeftCell="A366" activePane="bottomLeft" state="frozen"/>
      <selection pane="bottomLeft" activeCell="A369" sqref="A369:D376"/>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1"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c r="A376" s="11" t="n">
        <v>44835</v>
      </c>
      <c r="B376" s="15">
        <f>VLOOKUP(A376,Database!A:M,MATCH($A$1,Database!$A$1:$M$1,),)</f>
        <v/>
      </c>
      <c r="C376" s="12">
        <f>(B376-B375)/B375</f>
        <v/>
      </c>
      <c r="D376" s="13">
        <f>(B376-B364)/B364</f>
        <v/>
      </c>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row r="807">
      <c r="A807" s="122" t="n"/>
      <c r="B807" s="22" t="n"/>
      <c r="C807" s="122" t="n"/>
      <c r="D807" s="122" t="n"/>
    </row>
    <row r="808">
      <c r="A808" s="122" t="n"/>
      <c r="B808" s="22" t="n"/>
      <c r="C808" s="122" t="n"/>
      <c r="D808" s="122" t="n"/>
    </row>
    <row r="809">
      <c r="A809" s="122" t="n"/>
      <c r="B809" s="22" t="n"/>
      <c r="C809" s="122" t="n"/>
      <c r="D809" s="122" t="n"/>
    </row>
    <row r="810">
      <c r="A810" s="122" t="n"/>
      <c r="B810" s="22" t="n"/>
      <c r="C810" s="122" t="n"/>
      <c r="D810" s="122" t="n"/>
    </row>
    <row r="811">
      <c r="A811" s="122" t="n"/>
      <c r="B811" s="22" t="n"/>
      <c r="C811" s="122" t="n"/>
      <c r="D811" s="122" t="n"/>
    </row>
    <row r="812">
      <c r="A812" s="122" t="n"/>
      <c r="B812" s="22" t="n"/>
      <c r="C812" s="122" t="n"/>
      <c r="D812" s="122" t="n"/>
    </row>
    <row r="813">
      <c r="A813" s="122" t="n"/>
      <c r="B813" s="22" t="n"/>
      <c r="C813" s="122" t="n"/>
      <c r="D813" s="122" t="n"/>
    </row>
    <row r="814">
      <c r="A814" s="122" t="n"/>
      <c r="B814" s="22" t="n"/>
      <c r="C814" s="122" t="n"/>
      <c r="D814" s="122"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6"/>
  <sheetViews>
    <sheetView zoomScale="130" zoomScaleNormal="130" workbookViewId="0">
      <pane ySplit="6" topLeftCell="A360" activePane="bottomLeft" state="frozen"/>
      <selection pane="bottomLeft" activeCell="G379" sqref="G379"/>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6"/>
  <sheetViews>
    <sheetView zoomScale="160" zoomScaleNormal="160" workbookViewId="0">
      <pane ySplit="6" topLeftCell="A366" activePane="bottomLeft" state="frozen"/>
      <selection activeCell="P14" sqref="P14"/>
      <selection pane="bottomLeft" activeCell="A370" sqref="A370:D376"/>
    </sheetView>
  </sheetViews>
  <sheetFormatPr baseColWidth="10" defaultColWidth="9.1640625" defaultRowHeight="15"/>
  <cols>
    <col width="14" customWidth="1" style="54" min="1" max="1"/>
    <col width="14.1640625" customWidth="1" style="54" min="2" max="4"/>
    <col width="9.1640625" customWidth="1" style="122" min="5" max="19"/>
    <col width="9.1640625" customWidth="1" style="122" min="20"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6"/>
  <sheetViews>
    <sheetView zoomScale="120" zoomScaleNormal="120" workbookViewId="0">
      <pane ySplit="6" topLeftCell="A355" activePane="bottomLeft" state="frozen"/>
      <selection pane="bottomLeft" activeCell="A361" sqref="A361: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6"/>
  <sheetViews>
    <sheetView zoomScale="130" zoomScaleNormal="130" workbookViewId="0">
      <pane ySplit="6" topLeftCell="A364" activePane="bottomLeft" state="frozen"/>
      <selection pane="bottomLeft" activeCell="A362" sqref="A362: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6"/>
  <sheetViews>
    <sheetView topLeftCell="B1" zoomScale="150" zoomScaleNormal="150" workbookViewId="0">
      <pane ySplit="6" topLeftCell="A370" activePane="bottomLeft" state="frozen"/>
      <selection pane="bottomLeft" activeCell="A363" sqref="A363: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6"/>
  <sheetViews>
    <sheetView zoomScale="150" zoomScaleNormal="150" workbookViewId="0">
      <pane ySplit="6" topLeftCell="A367" activePane="bottomLeft" state="frozen"/>
      <selection pane="bottomLeft" activeCell="A369" sqref="A369: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6"/>
  <sheetViews>
    <sheetView zoomScale="140" zoomScaleNormal="140" workbookViewId="0">
      <pane ySplit="6" topLeftCell="A360" activePane="bottomLeft" state="frozen"/>
      <selection pane="bottomLeft" activeCell="A365" sqref="A365: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6"/>
  <sheetViews>
    <sheetView zoomScale="140" zoomScaleNormal="140" workbookViewId="0">
      <pane ySplit="6" topLeftCell="A362" activePane="bottomLeft" state="frozen"/>
      <selection pane="bottomLeft" activeCell="A364" sqref="A364: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D19:D376">
    <cfRule type="colorScale" priority="50">
      <colorScale>
        <cfvo type="min"/>
        <cfvo type="percentile" val="50"/>
        <cfvo type="max"/>
        <color rgb="FFF8696B"/>
        <color rgb="FFFFEB84"/>
        <color rgb="FF63BE7B"/>
      </colorScale>
    </cfRule>
  </conditionalFormatting>
  <conditionalFormatting sqref="C8:C37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6"/>
  <sheetViews>
    <sheetView zoomScale="150" zoomScaleNormal="150" workbookViewId="0">
      <pane ySplit="6" topLeftCell="A363" activePane="bottomLeft" state="frozen"/>
      <selection pane="bottomLeft" activeCell="A362" sqref="A362:D376"/>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9"/>
    <col width="9.1640625" customWidth="1" style="122" min="20"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sheetData>
  <conditionalFormatting sqref="D19:D376">
    <cfRule type="colorScale" priority="48">
      <colorScale>
        <cfvo type="min"/>
        <cfvo type="percentile" val="50"/>
        <cfvo type="max"/>
        <color rgb="FFF8696B"/>
        <color rgb="FFFFEB84"/>
        <color rgb="FF63BE7B"/>
      </colorScale>
    </cfRule>
  </conditionalFormatting>
  <conditionalFormatting sqref="C8:C37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6"/>
  <sheetViews>
    <sheetView zoomScale="140" zoomScaleNormal="140" workbookViewId="0">
      <pane ySplit="6" topLeftCell="A366" activePane="bottomLeft" state="frozen"/>
      <selection pane="bottomLeft" activeCell="A365" sqref="A365: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sheetData>
  <conditionalFormatting sqref="D19:D376">
    <cfRule type="colorScale" priority="46">
      <colorScale>
        <cfvo type="min"/>
        <cfvo type="percentile" val="50"/>
        <cfvo type="max"/>
        <color rgb="FFF8696B"/>
        <color rgb="FFFFEB84"/>
        <color rgb="FF63BE7B"/>
      </colorScale>
    </cfRule>
  </conditionalFormatting>
  <conditionalFormatting sqref="C8:C37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6"/>
  <sheetViews>
    <sheetView zoomScale="170" zoomScaleNormal="170" workbookViewId="0">
      <pane ySplit="6" topLeftCell="A366" activePane="bottomLeft" state="frozen"/>
      <selection pane="bottomLeft" activeCell="A370" sqref="A370: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sheetData>
  <conditionalFormatting sqref="D19:D376">
    <cfRule type="colorScale" priority="44">
      <colorScale>
        <cfvo type="min"/>
        <cfvo type="percentile" val="50"/>
        <cfvo type="max"/>
        <color rgb="FFF8696B"/>
        <color rgb="FFFFEB84"/>
        <color rgb="FF63BE7B"/>
      </colorScale>
    </cfRule>
  </conditionalFormatting>
  <conditionalFormatting sqref="C8:C37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6"/>
  <sheetViews>
    <sheetView zoomScale="150" zoomScaleNormal="150" workbookViewId="0">
      <pane ySplit="6" topLeftCell="A367" activePane="bottomLeft" state="frozen"/>
      <selection activeCell="P14" sqref="P14"/>
      <selection pane="bottomLeft" activeCell="A369" sqref="A369: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2022-11-23T15:20:54Z</dcterms:modified>
  <cp:lastModifiedBy>Mark Mukherjee</cp:lastModifiedBy>
</cp:coreProperties>
</file>