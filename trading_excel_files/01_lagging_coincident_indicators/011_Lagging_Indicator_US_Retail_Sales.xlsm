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520" yWindow="500" windowWidth="46620" windowHeight="256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Gas'!$A$8:$A$378</f>
              <numCache>
                <formatCode>[$-409]mmm\-yy;@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'Retail Sales ex Auto and Gas'!$C$8:$C$378</f>
              <numCache>
                <formatCode>0.00%</formatCode>
                <ptCount val="371"/>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0.0164822956713775</v>
                </pt>
                <pt idx="353">
                  <v>-0.003353844998929154</v>
                </pt>
                <pt idx="354">
                  <v>0.01025711462713284</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-0.001110210815078038</v>
                </pt>
                <pt idx="364">
                  <v>0.006762505317418612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Gas'!$A$8:$A$375</f>
              <numCache>
                <formatCode>[$-409]mmm\-yy;@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'Retail Sales ex Auto and Gas'!$C$8:$C$375</f>
              <numCache>
                <formatCode>0.00%</formatCode>
                <ptCount val="368"/>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0.0164822956713775</v>
                </pt>
                <pt idx="353">
                  <v>-0.003353844998929154</v>
                </pt>
                <pt idx="354">
                  <v>0.01025711462713284</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-0.001110210815078038</v>
                </pt>
                <pt idx="364">
                  <v>0.006762505317418612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Gas'!$A$19:$A$375</f>
              <numCache>
                <formatCode>[$-409]mmm\-yy;@</formatCode>
                <ptCount val="35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'Retail Sales ex Auto and Gas'!$D$19:$D$375</f>
              <numCache>
                <formatCode>0.00%</formatCode>
                <ptCount val="357"/>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0.178065053127154</v>
                </pt>
                <pt idx="342">
                  <v>0.1433282591240783</v>
                </pt>
                <pt idx="343">
                  <v>0.1496915408837536</v>
                </pt>
                <pt idx="344">
                  <v>0.135595317336791</v>
                </pt>
                <pt idx="345">
                  <v>0.1529624175174651</v>
                </pt>
                <pt idx="346">
                  <v>0.1684089347251413</v>
                </pt>
                <pt idx="347">
                  <v>0.1658663704933985</v>
                </pt>
                <pt idx="348">
                  <v>0.1206808004108609</v>
                </pt>
                <pt idx="349">
                  <v>0.1576111855628428</v>
                </pt>
                <pt idx="350">
                  <v>0.06310203353549768</v>
                </pt>
                <pt idx="351">
                  <v>0.07545132580806305</v>
                </pt>
                <pt idx="352">
                  <v>0.07627774822754725</v>
                </pt>
                <pt idx="353">
                  <v>0.06598618277682469</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 and Gas'!$B$7:$B$375</f>
              <numCache>
                <formatCode>#,##0</formatCode>
                <ptCount val="369"/>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452913</v>
                </pt>
                <pt idx="354">
                  <v>451394</v>
                </pt>
                <pt idx="355">
                  <v>456024</v>
                </pt>
                <pt idx="356">
                  <v>458927</v>
                </pt>
                <pt idx="357">
                  <v>464253</v>
                </pt>
                <pt idx="358">
                  <v>465861</v>
                </pt>
                <pt idx="359">
                  <v>457676</v>
                </pt>
                <pt idx="360">
                  <v>466972</v>
                </pt>
                <pt idx="361">
                  <v>472501</v>
                </pt>
                <pt idx="362">
                  <v>476780</v>
                </pt>
                <pt idx="363">
                  <v>480089</v>
                </pt>
                <pt idx="364">
                  <v>479556</v>
                </pt>
                <pt idx="365">
                  <v>482799</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Sales'!$D$7:$D$377</f>
              <numCache>
                <formatCode>General</formatCode>
                <ptCount val="371"/>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0.1955139375310659</v>
                </pt>
                <pt idx="354">
                  <formatCode>0.00%</formatCode>
                  <v>0.1577374567933936</v>
                </pt>
                <pt idx="355">
                  <formatCode>0.00%</formatCode>
                  <v>0.1567551353693356</v>
                </pt>
                <pt idx="356">
                  <formatCode>0.00%</formatCode>
                  <v>0.1432110040208672</v>
                </pt>
                <pt idx="357">
                  <formatCode>0.00%</formatCode>
                  <v>0.1651671032944338</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0.08176157169207653</v>
                </pt>
                <pt idx="365">
                  <formatCode>0.00%</formatCode>
                  <v>0.08416486660422202</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Sales'!$B$7:$B$372</f>
              <numCache>
                <formatCode>#,##0</formatCode>
                <ptCount val="366"/>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627756</v>
                </pt>
                <pt idx="354">
                  <v>620648</v>
                </pt>
                <pt idx="355">
                  <v>624738</v>
                </pt>
                <pt idx="356">
                  <v>630905</v>
                </pt>
                <pt idx="357">
                  <v>640899</v>
                </pt>
                <pt idx="358">
                  <v>644741</v>
                </pt>
                <pt idx="359">
                  <v>634393</v>
                </pt>
                <pt idx="360">
                  <v>651557</v>
                </pt>
                <pt idx="361">
                  <v>662321</v>
                </pt>
                <pt idx="362">
                  <v>669958</v>
                </pt>
                <pt idx="363">
                  <v>674719</v>
                </pt>
                <pt idx="364">
                  <v>673852</v>
                </pt>
                <pt idx="365">
                  <v>680591</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Auto'!$A$19:$A$377</f>
              <numCache>
                <formatCode>[$-409]mmm\-yy;@</formatCode>
                <ptCount val="359"/>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'Retail Sales ex Auto'!$C$19:$C$377</f>
              <numCache>
                <formatCode>0.00%</formatCode>
                <ptCount val="359"/>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0.01626140250275531</v>
                </pt>
                <pt idx="342">
                  <v>8.003601620729329e-06</v>
                </pt>
                <pt idx="343">
                  <v>0.01154110116671569</v>
                </pt>
                <pt idx="344">
                  <v>0.009915991984919305</v>
                </pt>
                <pt idx="345">
                  <v>0.01502467878408023</v>
                </pt>
                <pt idx="346">
                  <v>0.005478251976435219</v>
                </pt>
                <pt idx="347">
                  <v>-0.01436275356478016</v>
                </pt>
                <pt idx="348">
                  <v>0.01617061212727761</v>
                </pt>
                <pt idx="349">
                  <v>0.01724881249149727</v>
                </pt>
                <pt idx="350">
                  <v>0.01985899230165024</v>
                </pt>
                <pt idx="351">
                  <v>0.004565636566463996</v>
                </pt>
                <pt idx="352">
                  <v>0.005627789993896026</v>
                </pt>
                <pt idx="353">
                  <v>0.0104210659104995</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Auto'!$B$7:$B$372</f>
              <numCache>
                <formatCode>#,##0</formatCode>
                <ptCount val="366"/>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499775</v>
                </pt>
                <pt idx="354">
                  <v>499779</v>
                </pt>
                <pt idx="355">
                  <v>505547</v>
                </pt>
                <pt idx="356">
                  <v>510560</v>
                </pt>
                <pt idx="357">
                  <v>518231</v>
                </pt>
                <pt idx="358">
                  <v>521070</v>
                </pt>
                <pt idx="359">
                  <v>513586</v>
                </pt>
                <pt idx="360">
                  <v>521891</v>
                </pt>
                <pt idx="361">
                  <v>530893</v>
                </pt>
                <pt idx="362">
                  <v>541436</v>
                </pt>
                <pt idx="363">
                  <v>543908</v>
                </pt>
                <pt idx="364">
                  <v>546969</v>
                </pt>
                <pt idx="365">
                  <v>552669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Auto'!$D$7:$D$372</f>
              <numCache>
                <formatCode>General</formatCode>
                <ptCount val="366"/>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0.195256521863909</v>
                </pt>
                <pt idx="354">
                  <formatCode>0.00%</formatCode>
                  <v>0.1615878955503132</v>
                </pt>
                <pt idx="355">
                  <formatCode>0.00%</formatCode>
                  <v>0.16796852438413</v>
                </pt>
                <pt idx="356">
                  <formatCode>0.00%</formatCode>
                  <v>0.1581447363347042</v>
                </pt>
                <pt idx="357">
                  <formatCode>0.00%</formatCode>
                  <v>0.1789042897082944</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0.1122274684918805</v>
                </pt>
                <pt idx="365">
                  <formatCode>0.00%</formatCode>
                  <v>0.1058356260317143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0.02675261206605999</v>
                </pt>
                <pt idx="342">
                  <v>0.02120541962936006</v>
                </pt>
                <pt idx="343">
                  <v>0.05927511415525114</v>
                </pt>
                <pt idx="344">
                  <v>0.06754885586627268</v>
                </pt>
                <pt idx="345">
                  <v>0.08394919997129942</v>
                </pt>
                <pt idx="346">
                  <v>0.07548535422343325</v>
                </pt>
                <pt idx="347">
                  <v>0.08865010073875083</v>
                </pt>
                <pt idx="348">
                  <v>0.08011731363065946</v>
                </pt>
                <pt idx="349">
                  <v>0.07840042835604277</v>
                </pt>
                <pt idx="350">
                  <v>0.083565889298686</v>
                </pt>
                <pt idx="351">
                  <v>0.07343298510780173</v>
                </pt>
                <pt idx="352">
                  <v>0.07600992692678891</v>
                </pt>
                <pt idx="353">
                  <v>0.07139633170571581</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73113</v>
                </pt>
                <pt idx="354">
                  <v>72959</v>
                </pt>
                <pt idx="355">
                  <v>74234</v>
                </pt>
                <pt idx="356">
                  <v>74785</v>
                </pt>
                <pt idx="357">
                  <v>75535</v>
                </pt>
                <pt idx="358">
                  <v>75783</v>
                </pt>
                <pt idx="359">
                  <v>76187</v>
                </pt>
                <pt idx="360">
                  <v>76603</v>
                </pt>
                <pt idx="361">
                  <v>76533</v>
                </pt>
                <pt idx="362">
                  <v>77268</v>
                </pt>
                <pt idx="363">
                  <v>77270</v>
                </pt>
                <pt idx="364">
                  <v>78043</v>
                </pt>
                <pt idx="365">
                  <v>78333</v>
                </pt>
              </numCache>
            </numRef>
          </val>
          <smooth val="0"/>
        </ser>
        <dLbls>
          <showLegendKey val="0"/>
          <showVal val="0"/>
          <showCatName val="0"/>
          <showSerName val="0"/>
          <showPercent val="0"/>
          <showBubbleSize val="0"/>
        </dLbls>
        <smooth val="0"/>
        <axId val="644217568"/>
        <axId val="644219216"/>
      </lineChart>
      <dateAx>
        <axId val="644217568"/>
        <scaling>
          <orientation val="minMax"/>
          <max val="44713"/>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96048</v>
                </pt>
                <pt idx="354">
                  <v>94858</v>
                </pt>
                <pt idx="355">
                  <v>96886</v>
                </pt>
                <pt idx="356">
                  <v>97724</v>
                </pt>
                <pt idx="357">
                  <v>99837</v>
                </pt>
                <pt idx="358">
                  <v>100341</v>
                </pt>
                <pt idx="359">
                  <v>95958</v>
                </pt>
                <pt idx="360">
                  <v>102773</v>
                </pt>
                <pt idx="361">
                  <v>104095</v>
                </pt>
                <pt idx="362">
                  <v>102895</v>
                </pt>
                <pt idx="363">
                  <v>104003</v>
                </pt>
                <pt idx="364">
                  <v>103005</v>
                </pt>
                <pt idx="365">
                  <v>105226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0.1606588280787404</v>
                </pt>
                <pt idx="354">
                  <formatCode>0.00%</formatCode>
                  <v>0.08712294856514165</v>
                </pt>
                <pt idx="355">
                  <formatCode>0.00%</formatCode>
                  <v>0.1036108896229639</v>
                </pt>
                <pt idx="356">
                  <formatCode>0.00%</formatCode>
                  <v>0.1102224443889028</v>
                </pt>
                <pt idx="357">
                  <formatCode>0.00%</formatCode>
                  <v>0.1256468943434093</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0.06971503343995347</v>
                </pt>
                <pt idx="365">
                  <formatCode>0.00%</formatCode>
                  <v>0.09555638847243045</v>
                </pt>
              </numCache>
            </numRef>
          </val>
          <smooth val="0"/>
        </ser>
        <dLbls>
          <showLegendKey val="0"/>
          <showVal val="0"/>
          <showCatName val="0"/>
          <showSerName val="0"/>
          <showPercent val="0"/>
          <showBubbleSize val="0"/>
        </dLbls>
        <smooth val="0"/>
        <axId val="721545464"/>
        <axId val="721548088"/>
      </lineChart>
      <dateAx>
        <axId val="721545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32847</v>
                </pt>
                <pt idx="354">
                  <v>32678</v>
                </pt>
                <pt idx="355">
                  <v>32866</v>
                </pt>
                <pt idx="356">
                  <v>32710</v>
                </pt>
                <pt idx="357">
                  <v>32444</v>
                </pt>
                <pt idx="358">
                  <v>32793</v>
                </pt>
                <pt idx="359">
                  <v>32797</v>
                </pt>
                <pt idx="360">
                  <v>32815</v>
                </pt>
                <pt idx="361">
                  <v>32445</v>
                </pt>
                <pt idx="362">
                  <v>32763</v>
                </pt>
                <pt idx="363">
                  <v>32962</v>
                </pt>
                <pt idx="364">
                  <v>32695</v>
                </pt>
                <pt idx="365">
                  <v>32659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0.1493404247874313</v>
                </pt>
                <pt idx="354">
                  <formatCode>0.00%</formatCode>
                  <v>0.08302124415868492</v>
                </pt>
                <pt idx="355">
                  <formatCode>0.00%</formatCode>
                  <v>0.102811891819341</v>
                </pt>
                <pt idx="356">
                  <formatCode>0.00%</formatCode>
                  <v>0.08046508555195878</v>
                </pt>
                <pt idx="357">
                  <formatCode>0.00%</formatCode>
                  <v>0.07537288697381504</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0.03691605087057181</v>
                </pt>
                <pt idx="365">
                  <formatCode>0.00%</formatCode>
                  <v>-0.005723505951837306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8939</v>
                </pt>
                <pt idx="354">
                  <v>8974</v>
                </pt>
                <pt idx="355">
                  <v>8951</v>
                </pt>
                <pt idx="356">
                  <v>8951</v>
                </pt>
                <pt idx="357">
                  <v>9020</v>
                </pt>
                <pt idx="358">
                  <v>9194</v>
                </pt>
                <pt idx="359">
                  <v>8968</v>
                </pt>
                <pt idx="360">
                  <v>8877</v>
                </pt>
                <pt idx="361">
                  <v>8916</v>
                </pt>
                <pt idx="362">
                  <v>9009</v>
                </pt>
                <pt idx="363">
                  <v>9069</v>
                </pt>
                <pt idx="364">
                  <v>9106</v>
                </pt>
                <pt idx="365">
                  <v>9178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0.08430373605046095</v>
                </pt>
                <pt idx="354">
                  <formatCode>0.00%</formatCode>
                  <v>0.1375332741792369</v>
                </pt>
                <pt idx="355">
                  <formatCode>0.00%</formatCode>
                  <v>0.1987411276282309</v>
                </pt>
                <pt idx="356">
                  <formatCode>0.00%</formatCode>
                  <v>0.139528962444303</v>
                </pt>
                <pt idx="357">
                  <formatCode>0.00%</formatCode>
                  <v>0.1617722823286966</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0.001209455744914788</v>
                </pt>
                <pt idx="365">
                  <formatCode>0.00%</formatCode>
                  <v>0.02673677145094529</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67064</v>
                </pt>
                <pt idx="354">
                  <v>66518</v>
                </pt>
                <pt idx="355">
                  <v>67257</v>
                </pt>
                <pt idx="356">
                  <v>67760</v>
                </pt>
                <pt idx="357">
                  <v>68516</v>
                </pt>
                <pt idx="358">
                  <v>68402</v>
                </pt>
                <pt idx="359">
                  <v>67197</v>
                </pt>
                <pt idx="360">
                  <v>69233</v>
                </pt>
                <pt idx="361">
                  <v>67568</v>
                </pt>
                <pt idx="362">
                  <v>68468</v>
                </pt>
                <pt idx="363">
                  <v>68026</v>
                </pt>
                <pt idx="364">
                  <v>68175</v>
                </pt>
                <pt idx="365">
                  <v>68044</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0.09748473988250118</v>
                </pt>
                <pt idx="354">
                  <formatCode>0.00%</formatCode>
                  <v>0.08723296448243736</v>
                </pt>
                <pt idx="355">
                  <formatCode>0.00%</formatCode>
                  <v>0.1210994799306574</v>
                </pt>
                <pt idx="356">
                  <formatCode>0.00%</formatCode>
                  <v>0.08783252259628506</v>
                </pt>
                <pt idx="357">
                  <formatCode>0.00%</formatCode>
                  <v>0.1147156918571545</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0.02557352388115833</v>
                </pt>
                <pt idx="365">
                  <formatCode>0.00%</formatCode>
                  <v>0.01461290707383991</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75912</v>
                </pt>
                <pt idx="354">
                  <v>77293</v>
                </pt>
                <pt idx="355">
                  <v>77792</v>
                </pt>
                <pt idx="356">
                  <v>78288</v>
                </pt>
                <pt idx="357">
                  <v>78603</v>
                </pt>
                <pt idx="358">
                  <v>79051</v>
                </pt>
                <pt idx="359">
                  <v>77583</v>
                </pt>
                <pt idx="360">
                  <v>75557</v>
                </pt>
                <pt idx="361">
                  <v>80553</v>
                </pt>
                <pt idx="362">
                  <v>82388</v>
                </pt>
                <pt idx="363">
                  <v>84481</v>
                </pt>
                <pt idx="364">
                  <v>85217</v>
                </pt>
                <pt idx="365">
                  <v>86092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0.4365301642570585</v>
                </pt>
                <pt idx="354">
                  <formatCode>0.00%</formatCode>
                  <v>0.4074256163735023</v>
                </pt>
                <pt idx="355">
                  <formatCode>0.00%</formatCode>
                  <v>0.3485187303898625</v>
                </pt>
                <pt idx="356">
                  <formatCode>0.00%</formatCode>
                  <v>0.3230805631136874</v>
                </pt>
                <pt idx="357">
                  <formatCode>0.00%</formatCode>
                  <v>0.3272377285851781</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0.1757312362030905</v>
                </pt>
                <pt idx="365">
                  <formatCode>0.00%</formatCode>
                  <v>0.1341026451680894</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46862</v>
                </pt>
                <pt idx="354">
                  <v>48385</v>
                </pt>
                <pt idx="355">
                  <v>49523</v>
                </pt>
                <pt idx="356">
                  <v>51633</v>
                </pt>
                <pt idx="357">
                  <v>53978</v>
                </pt>
                <pt idx="358">
                  <v>55209</v>
                </pt>
                <pt idx="359">
                  <v>55910</v>
                </pt>
                <pt idx="360">
                  <v>54919</v>
                </pt>
                <pt idx="361">
                  <v>58392</v>
                </pt>
                <pt idx="362">
                  <v>64656</v>
                </pt>
                <pt idx="363">
                  <v>63819</v>
                </pt>
                <pt idx="364">
                  <v>67413</v>
                </pt>
                <pt idx="365">
                  <v>69870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0.3915134958577071</v>
                </pt>
                <pt idx="354">
                  <formatCode>0.00%</formatCode>
                  <v>0.3649571202888738</v>
                </pt>
                <pt idx="355">
                  <formatCode>0.00%</formatCode>
                  <v>0.3682654583632646</v>
                </pt>
                <pt idx="356">
                  <formatCode>0.00%</formatCode>
                  <v>0.4063572479163262</v>
                </pt>
                <pt idx="357">
                  <formatCode>0.00%</formatCode>
                  <v>0.4617884417483616</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0.4588716483801857</v>
                </pt>
                <pt idx="365">
                  <formatCode>0.00%</formatCode>
                  <v>0.4909734966497376</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127981</v>
                </pt>
                <pt idx="354">
                  <v>120869</v>
                </pt>
                <pt idx="355">
                  <v>119191</v>
                </pt>
                <pt idx="356">
                  <v>120345</v>
                </pt>
                <pt idx="357">
                  <v>122668</v>
                </pt>
                <pt idx="358">
                  <v>123671</v>
                </pt>
                <pt idx="359">
                  <v>120807</v>
                </pt>
                <pt idx="360">
                  <v>129666</v>
                </pt>
                <pt idx="361">
                  <v>131428</v>
                </pt>
                <pt idx="362">
                  <v>128522</v>
                </pt>
                <pt idx="363">
                  <v>130811</v>
                </pt>
                <pt idx="364">
                  <v>126883</v>
                </pt>
                <pt idx="365">
                  <v>127922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0.1965202269986257</v>
                </pt>
                <pt idx="354">
                  <formatCode>0.00%</formatCode>
                  <v>0.1420836797943911</v>
                </pt>
                <pt idx="355">
                  <formatCode>0.00%</formatCode>
                  <v>0.1114934489672215</v>
                </pt>
                <pt idx="356">
                  <formatCode>0.00%</formatCode>
                  <v>0.08391576899520842</v>
                </pt>
                <pt idx="357">
                  <formatCode>0.00%</formatCode>
                  <v>0.1104995383027648</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-0.03248362474550681</v>
                </pt>
                <pt idx="365">
                  <formatCode>0.00%</formatCode>
                  <v>-0.0004610059305678187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Housing!$B$7:$B$372</f>
              <numCache>
                <formatCode>#,##0</formatCode>
                <ptCount val="366"/>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39193</v>
                </pt>
                <pt idx="354">
                  <v>38717</v>
                </pt>
                <pt idx="355">
                  <v>39079</v>
                </pt>
                <pt idx="356">
                  <v>39167</v>
                </pt>
                <pt idx="357">
                  <v>40093</v>
                </pt>
                <pt idx="358">
                  <v>40880</v>
                </pt>
                <pt idx="359">
                  <v>41207</v>
                </pt>
                <pt idx="360">
                  <v>42170</v>
                </pt>
                <pt idx="361">
                  <v>42307</v>
                </pt>
                <pt idx="362">
                  <v>42572</v>
                </pt>
                <pt idx="363">
                  <v>42168</v>
                </pt>
                <pt idx="364">
                  <v>42074</v>
                </pt>
                <pt idx="365">
                  <v>41705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Housing!$D$7:$D$372</f>
              <numCache>
                <formatCode>General</formatCode>
                <ptCount val="366"/>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0.08154423533307578</v>
                </pt>
                <pt idx="354">
                  <formatCode>0.00%</formatCode>
                  <v>0.07445745684631182</v>
                </pt>
                <pt idx="355">
                  <formatCode>0.00%</formatCode>
                  <v>0.06363463161046243</v>
                </pt>
                <pt idx="356">
                  <formatCode>0.00%</formatCode>
                  <v>0.06114874017881333</v>
                </pt>
                <pt idx="357">
                  <formatCode>0.00%</formatCode>
                  <v>0.09849854786563647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0.05618033939150517</v>
                </pt>
                <pt idx="365">
                  <formatCode>0.00%</formatCode>
                  <v>0.06409307784553364</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Home'!$B$7:$B$372</f>
              <numCache>
                <formatCode>#,##0</formatCode>
                <ptCount val="36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20313</v>
                </pt>
                <pt idx="354">
                  <v>20266</v>
                </pt>
                <pt idx="355">
                  <v>19879</v>
                </pt>
                <pt idx="356">
                  <v>19842</v>
                </pt>
                <pt idx="357">
                  <v>20255</v>
                </pt>
                <pt idx="358">
                  <v>19252</v>
                </pt>
                <pt idx="359">
                  <v>18443</v>
                </pt>
                <pt idx="360">
                  <v>19257</v>
                </pt>
                <pt idx="361">
                  <v>19617</v>
                </pt>
                <pt idx="362">
                  <v>19770</v>
                </pt>
                <pt idx="363">
                  <v>20080</v>
                </pt>
                <pt idx="364">
                  <v>19878</v>
                </pt>
                <pt idx="365">
                  <v>20085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Home'!$D$7:$D$372</f>
              <numCache>
                <formatCode>General</formatCode>
                <ptCount val="366"/>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0.2831154064809551</v>
                </pt>
                <pt idx="354">
                  <formatCode>0.00%</formatCode>
                  <v>0.1919073104746221</v>
                </pt>
                <pt idx="355">
                  <formatCode>0.00%</formatCode>
                  <v>0.1349052295044531</v>
                </pt>
                <pt idx="356">
                  <formatCode>0.00%</formatCode>
                  <v>0.1318881916714204</v>
                </pt>
                <pt idx="357">
                  <formatCode>0.00%</formatCode>
                  <v>0.147722121486854</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-0.009023381025973378</v>
                </pt>
                <pt idx="365">
                  <formatCode>0.00%</formatCode>
                  <v>-0.01122433909319155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retailers'!$B$7:$B$372</f>
              <numCache>
                <formatCode>#,##0</formatCode>
                <ptCount val="366"/>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13656</v>
                </pt>
                <pt idx="354">
                  <v>13894</v>
                </pt>
                <pt idx="355">
                  <v>14060</v>
                </pt>
                <pt idx="356">
                  <v>14324</v>
                </pt>
                <pt idx="357">
                  <v>14463</v>
                </pt>
                <pt idx="358">
                  <v>14381</v>
                </pt>
                <pt idx="359">
                  <v>14285</v>
                </pt>
                <pt idx="360">
                  <v>14527</v>
                </pt>
                <pt idx="361">
                  <v>14986</v>
                </pt>
                <pt idx="362">
                  <v>15490</v>
                </pt>
                <pt idx="363">
                  <v>15864</v>
                </pt>
                <pt idx="364">
                  <v>15497</v>
                </pt>
                <pt idx="365">
                  <v>15713</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retailers'!$D$7:$D$372</f>
              <numCache>
                <formatCode>General</formatCode>
                <ptCount val="366"/>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0.2990867579908676</v>
                </pt>
                <pt idx="354">
                  <formatCode>0.00%</formatCode>
                  <v>0.2634354824042921</v>
                </pt>
                <pt idx="355">
                  <formatCode>0.00%</formatCode>
                  <v>0.2582781456953642</v>
                </pt>
                <pt idx="356">
                  <formatCode>0.00%</formatCode>
                  <v>0.2791569923200571</v>
                </pt>
                <pt idx="357">
                  <formatCode>0.00%</formatCode>
                  <v>0.2899571887263646</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0.241547828873578</v>
                </pt>
                <pt idx="365">
                  <formatCode>0.00%</formatCode>
                  <v>0.1506297598125366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'Clothing and clothing access'!$B$7:$B$372</f>
              <numCache>
                <formatCode>#,##0</formatCode>
                <ptCount val="36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25828</v>
                </pt>
                <pt idx="354">
                  <v>25237</v>
                </pt>
                <pt idx="355">
                  <v>25020</v>
                </pt>
                <pt idx="356">
                  <v>25376</v>
                </pt>
                <pt idx="357">
                  <v>25487</v>
                </pt>
                <pt idx="358">
                  <v>25784</v>
                </pt>
                <pt idx="359">
                  <v>25051</v>
                </pt>
                <pt idx="360">
                  <v>25160</v>
                </pt>
                <pt idx="361">
                  <v>25481</v>
                </pt>
                <pt idx="362">
                  <v>26157</v>
                </pt>
                <pt idx="363">
                  <v>26166</v>
                </pt>
                <pt idx="364">
                  <v>25866</v>
                </pt>
                <pt idx="365">
                  <v>25764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'Clothing and clothing access'!$D$19:$D$372</f>
              <numCache>
                <formatCode>0.00%</formatCode>
                <ptCount val="354"/>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0.5069724021238112</v>
                </pt>
                <pt idx="342">
                  <v>0.4089437248771773</v>
                </pt>
                <pt idx="343">
                  <v>0.3597826086956522</v>
                </pt>
                <pt idx="344">
                  <v>0.2184183991933548</v>
                </pt>
                <pt idx="345">
                  <v>0.255331724375708</v>
                </pt>
                <pt idx="346">
                  <v>0.355839512015565</v>
                </pt>
                <pt idx="347">
                  <v>0.2521117608836907</v>
                </pt>
                <pt idx="348">
                  <v>0.1928127814914901</v>
                </pt>
                <pt idx="349">
                  <v>0.2801949356913183</v>
                </pt>
                <pt idx="350">
                  <v>0.08901286481535452</v>
                </pt>
                <pt idx="351">
                  <v>0.0870793518903199</v>
                </pt>
                <pt idx="352">
                  <v>0.04344669006414136</v>
                </pt>
                <pt idx="353">
                  <v>-0.002477930927675391</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2" headerRowCount="1" totalsRowShown="0" headerRowDxfId="64" dataDxfId="62" headerRowBorderDxfId="63" tableBorderDxfId="61">
  <autoFilter ref="A6:D372"/>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2" headerRowCount="1" totalsRowShown="0" headerRowDxfId="56" dataDxfId="54" headerRowBorderDxfId="55" tableBorderDxfId="53">
  <autoFilter ref="A6:D372"/>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2" headerRowCount="1" totalsRowShown="0" headerRowDxfId="48" dataDxfId="46" headerRowBorderDxfId="47" tableBorderDxfId="45">
  <autoFilter ref="A6:D372"/>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2" headerRowCount="1" totalsRowShown="0" headerRowDxfId="40" headerRowBorderDxfId="39" tableBorderDxfId="38">
  <autoFilter ref="A6:D372"/>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2" headerRowCount="1" totalsRowShown="0" headerRowDxfId="33" tableBorderDxfId="32">
  <autoFilter ref="A6:D372"/>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2" headerRowCount="1" totalsRowShown="0" headerRowDxfId="27" headerRowBorderDxfId="26" tableBorderDxfId="25">
  <autoFilter ref="A6:D372"/>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2" headerRowCount="1" totalsRowShown="0" headerRowDxfId="20" headerRowBorderDxfId="19" tableBorderDxfId="18">
  <autoFilter ref="A6:D372"/>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T14" sqref="T14"/>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7"/>
    <col width="9.1640625" customWidth="1" style="114" min="28"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44713</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7"/>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452913</v>
      </c>
      <c r="C355" t="n">
        <v>627756</v>
      </c>
      <c r="D355" t="n">
        <v>39193</v>
      </c>
      <c r="E355" t="n">
        <v>25828</v>
      </c>
      <c r="F355" t="n">
        <v>73113</v>
      </c>
      <c r="G355" t="n">
        <v>8476</v>
      </c>
      <c r="H355" t="n">
        <v>11837</v>
      </c>
      <c r="I355" t="n">
        <v>75912</v>
      </c>
      <c r="J355" t="n">
        <v>499775</v>
      </c>
      <c r="K355" t="n">
        <v>46862</v>
      </c>
      <c r="L355" t="n">
        <v>67064</v>
      </c>
      <c r="M355" t="n">
        <v>32847</v>
      </c>
      <c r="N355" t="n">
        <v>13656</v>
      </c>
      <c r="O355" t="n">
        <v>127981</v>
      </c>
      <c r="P355" t="n">
        <v>96048</v>
      </c>
      <c r="Q355" t="n">
        <v>8939</v>
      </c>
    </row>
    <row r="356">
      <c r="A356" s="135" t="n">
        <v>44378</v>
      </c>
      <c r="B356" t="n">
        <v>451394</v>
      </c>
      <c r="C356" t="n">
        <v>620648</v>
      </c>
      <c r="D356" t="n">
        <v>38717</v>
      </c>
      <c r="E356" t="n">
        <v>25237</v>
      </c>
      <c r="F356" t="n">
        <v>72959</v>
      </c>
      <c r="G356" t="n">
        <v>8417</v>
      </c>
      <c r="H356" t="n">
        <v>11849</v>
      </c>
      <c r="I356" t="n">
        <v>77293</v>
      </c>
      <c r="J356" t="n">
        <v>499779</v>
      </c>
      <c r="K356" t="n">
        <v>48385</v>
      </c>
      <c r="L356" t="n">
        <v>66518</v>
      </c>
      <c r="M356" t="n">
        <v>32678</v>
      </c>
      <c r="N356" t="n">
        <v>13894</v>
      </c>
      <c r="O356" t="n">
        <v>120869</v>
      </c>
      <c r="P356" t="n">
        <v>94858</v>
      </c>
      <c r="Q356" t="n">
        <v>8974</v>
      </c>
    </row>
    <row r="357">
      <c r="A357" s="135" t="n">
        <v>44409</v>
      </c>
      <c r="B357" t="n">
        <v>456024</v>
      </c>
      <c r="C357" t="n">
        <v>624738</v>
      </c>
      <c r="D357" t="n">
        <v>39079</v>
      </c>
      <c r="E357" t="n">
        <v>25020</v>
      </c>
      <c r="F357" t="n">
        <v>74234</v>
      </c>
      <c r="G357" t="n">
        <v>7990</v>
      </c>
      <c r="H357" t="n">
        <v>11889</v>
      </c>
      <c r="I357" t="n">
        <v>77792</v>
      </c>
      <c r="J357" t="n">
        <v>505547</v>
      </c>
      <c r="K357" t="n">
        <v>49523</v>
      </c>
      <c r="L357" t="n">
        <v>67257</v>
      </c>
      <c r="M357" t="n">
        <v>32866</v>
      </c>
      <c r="N357" t="n">
        <v>14060</v>
      </c>
      <c r="O357" t="n">
        <v>119191</v>
      </c>
      <c r="P357" t="n">
        <v>96886</v>
      </c>
      <c r="Q357" t="n">
        <v>8951</v>
      </c>
    </row>
    <row r="358">
      <c r="A358" s="135" t="n">
        <v>44440</v>
      </c>
      <c r="B358" t="n">
        <v>458927</v>
      </c>
      <c r="C358" t="n">
        <v>630905</v>
      </c>
      <c r="D358" t="n">
        <v>39167</v>
      </c>
      <c r="E358" t="n">
        <v>25376</v>
      </c>
      <c r="F358" t="n">
        <v>74785</v>
      </c>
      <c r="G358" t="n">
        <v>7987</v>
      </c>
      <c r="H358" t="n">
        <v>11855</v>
      </c>
      <c r="I358" t="n">
        <v>78288</v>
      </c>
      <c r="J358" t="n">
        <v>510560</v>
      </c>
      <c r="K358" t="n">
        <v>51633</v>
      </c>
      <c r="L358" t="n">
        <v>67760</v>
      </c>
      <c r="M358" t="n">
        <v>32710</v>
      </c>
      <c r="N358" t="n">
        <v>14324</v>
      </c>
      <c r="O358" t="n">
        <v>120345</v>
      </c>
      <c r="P358" t="n">
        <v>97724</v>
      </c>
      <c r="Q358" t="n">
        <v>8951</v>
      </c>
    </row>
    <row r="359">
      <c r="A359" s="135"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5"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479556</v>
      </c>
      <c r="C366" t="n">
        <v>673852</v>
      </c>
      <c r="D366" t="n">
        <v>42074</v>
      </c>
      <c r="E366" t="n">
        <v>25866</v>
      </c>
      <c r="F366" t="n">
        <v>78043</v>
      </c>
      <c r="G366" t="n">
        <v>7669</v>
      </c>
      <c r="H366" t="n">
        <v>12209</v>
      </c>
      <c r="I366" t="n">
        <v>85217</v>
      </c>
      <c r="J366" t="n">
        <v>546969</v>
      </c>
      <c r="K366" t="n">
        <v>67413</v>
      </c>
      <c r="L366" t="n">
        <v>68175</v>
      </c>
      <c r="M366" t="n">
        <v>32695</v>
      </c>
      <c r="N366" t="n">
        <v>15497</v>
      </c>
      <c r="O366" t="n">
        <v>126883</v>
      </c>
      <c r="P366" t="n">
        <v>103005</v>
      </c>
      <c r="Q366" t="n">
        <v>9106</v>
      </c>
    </row>
    <row r="367">
      <c r="A367" s="135" t="n">
        <v>44713</v>
      </c>
      <c r="B367" t="n">
        <v>482799</v>
      </c>
      <c r="C367" t="n">
        <v>680591</v>
      </c>
      <c r="D367" t="n">
        <v>41705</v>
      </c>
      <c r="E367" t="n">
        <v>25764</v>
      </c>
      <c r="F367" t="n">
        <v>78333</v>
      </c>
      <c r="G367" t="n">
        <v>7703</v>
      </c>
      <c r="H367" t="n">
        <v>12382</v>
      </c>
      <c r="I367" t="n">
        <v>86092</v>
      </c>
      <c r="J367" t="n">
        <v>552669</v>
      </c>
      <c r="K367" t="n">
        <v>69870</v>
      </c>
      <c r="L367" t="n">
        <v>68044</v>
      </c>
      <c r="M367" t="n">
        <v>32659</v>
      </c>
      <c r="N367" t="n">
        <v>15713</v>
      </c>
      <c r="O367" t="n">
        <v>127922</v>
      </c>
      <c r="P367" t="n">
        <v>105226</v>
      </c>
      <c r="Q367" t="n">
        <v>9178</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C31" sqref="C31"/>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21"/>
    <col width="9.1640625" customWidth="1" style="114" min="22" max="16384"/>
  </cols>
  <sheetData>
    <row r="1" ht="16" customHeight="1" s="95" thickBot="1"/>
    <row r="2">
      <c r="D2" s="4" t="inlineStr">
        <is>
          <t>Previous</t>
        </is>
      </c>
      <c r="E2" s="6">
        <f>DATE(YEAR(E3),MONTH(E3)-1,DAY(E3))</f>
        <v/>
      </c>
    </row>
    <row r="3" ht="16" customHeight="1" s="95" thickBot="1">
      <c r="D3" s="5" t="inlineStr">
        <is>
          <t>Latest</t>
        </is>
      </c>
      <c r="E3" s="7" t="n">
        <v>44713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2"/>
  <sheetViews>
    <sheetView topLeftCell="C1" zoomScale="140" zoomScaleNormal="140" workbookViewId="0">
      <pane ySplit="3" topLeftCell="A35" activePane="bottomLeft" state="frozen"/>
      <selection activeCell="B1" sqref="B1"/>
      <selection pane="bottomLeft" activeCell="AG65" sqref="AG65"/>
    </sheetView>
  </sheetViews>
  <sheetFormatPr baseColWidth="10" defaultColWidth="9.1640625" defaultRowHeight="15"/>
  <cols>
    <col width="3" customWidth="1" style="114" min="1" max="1"/>
    <col width="7.6640625" customWidth="1" style="114" min="2" max="32"/>
    <col width="9.1640625" customWidth="1" style="114" min="33" max="40"/>
    <col width="9.1640625" customWidth="1" style="114" min="41"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2">
    <cfRule type="colorScale" priority="243">
      <colorScale>
        <cfvo type="min"/>
        <cfvo type="percentile" val="50"/>
        <cfvo type="max"/>
        <color rgb="FFF8696B"/>
        <color rgb="FFFFEB84"/>
        <color rgb="FF63BE7B"/>
      </colorScale>
    </cfRule>
  </conditionalFormatting>
  <conditionalFormatting sqref="D4:D62">
    <cfRule type="colorScale" priority="244">
      <colorScale>
        <cfvo type="min"/>
        <cfvo type="percentile" val="50"/>
        <cfvo type="max"/>
        <color rgb="FFF8696B"/>
        <color rgb="FFFFEB84"/>
        <color rgb="FF63BE7B"/>
      </colorScale>
    </cfRule>
  </conditionalFormatting>
  <conditionalFormatting sqref="E4:E62">
    <cfRule type="colorScale" priority="245">
      <colorScale>
        <cfvo type="min"/>
        <cfvo type="percentile" val="50"/>
        <cfvo type="max"/>
        <color rgb="FFF8696B"/>
        <color rgb="FFFFEB84"/>
        <color rgb="FF63BE7B"/>
      </colorScale>
    </cfRule>
  </conditionalFormatting>
  <conditionalFormatting sqref="F4:F62">
    <cfRule type="colorScale" priority="246">
      <colorScale>
        <cfvo type="min"/>
        <cfvo type="percentile" val="50"/>
        <cfvo type="max"/>
        <color rgb="FFF8696B"/>
        <color rgb="FFFFEB84"/>
        <color rgb="FF63BE7B"/>
      </colorScale>
    </cfRule>
  </conditionalFormatting>
  <conditionalFormatting sqref="G4:G62">
    <cfRule type="colorScale" priority="247">
      <colorScale>
        <cfvo type="min"/>
        <cfvo type="percentile" val="50"/>
        <cfvo type="max"/>
        <color rgb="FFF8696B"/>
        <color rgb="FFFFEB84"/>
        <color rgb="FF63BE7B"/>
      </colorScale>
    </cfRule>
  </conditionalFormatting>
  <conditionalFormatting sqref="H4:H62">
    <cfRule type="colorScale" priority="248">
      <colorScale>
        <cfvo type="min"/>
        <cfvo type="percentile" val="50"/>
        <cfvo type="max"/>
        <color rgb="FFF8696B"/>
        <color rgb="FFFFEB84"/>
        <color rgb="FF63BE7B"/>
      </colorScale>
    </cfRule>
  </conditionalFormatting>
  <conditionalFormatting sqref="I4:I62">
    <cfRule type="colorScale" priority="249">
      <colorScale>
        <cfvo type="min"/>
        <cfvo type="percentile" val="50"/>
        <cfvo type="max"/>
        <color rgb="FFF8696B"/>
        <color rgb="FFFFEB84"/>
        <color rgb="FF63BE7B"/>
      </colorScale>
    </cfRule>
  </conditionalFormatting>
  <conditionalFormatting sqref="J4:J62">
    <cfRule type="colorScale" priority="250">
      <colorScale>
        <cfvo type="min"/>
        <cfvo type="percentile" val="50"/>
        <cfvo type="max"/>
        <color rgb="FFF8696B"/>
        <color rgb="FFFFEB84"/>
        <color rgb="FF63BE7B"/>
      </colorScale>
    </cfRule>
  </conditionalFormatting>
  <conditionalFormatting sqref="K4:K62">
    <cfRule type="colorScale" priority="251">
      <colorScale>
        <cfvo type="min"/>
        <cfvo type="percentile" val="50"/>
        <cfvo type="max"/>
        <color rgb="FFF8696B"/>
        <color rgb="FFFFEB84"/>
        <color rgb="FF63BE7B"/>
      </colorScale>
    </cfRule>
  </conditionalFormatting>
  <conditionalFormatting sqref="L4:L62">
    <cfRule type="colorScale" priority="252">
      <colorScale>
        <cfvo type="min"/>
        <cfvo type="percentile" val="50"/>
        <cfvo type="max"/>
        <color rgb="FFF8696B"/>
        <color rgb="FFFFEB84"/>
        <color rgb="FF63BE7B"/>
      </colorScale>
    </cfRule>
  </conditionalFormatting>
  <conditionalFormatting sqref="M4:M62">
    <cfRule type="colorScale" priority="253">
      <colorScale>
        <cfvo type="min"/>
        <cfvo type="percentile" val="50"/>
        <cfvo type="max"/>
        <color rgb="FFF8696B"/>
        <color rgb="FFFFEB84"/>
        <color rgb="FF63BE7B"/>
      </colorScale>
    </cfRule>
  </conditionalFormatting>
  <conditionalFormatting sqref="O4:O62">
    <cfRule type="colorScale" priority="254">
      <colorScale>
        <cfvo type="min"/>
        <cfvo type="percentile" val="50"/>
        <cfvo type="max"/>
        <color rgb="FFF8696B"/>
        <color rgb="FFFFEB84"/>
        <color rgb="FF63BE7B"/>
      </colorScale>
    </cfRule>
  </conditionalFormatting>
  <conditionalFormatting sqref="P4:P62">
    <cfRule type="colorScale" priority="255">
      <colorScale>
        <cfvo type="min"/>
        <cfvo type="percentile" val="50"/>
        <cfvo type="max"/>
        <color rgb="FFF8696B"/>
        <color rgb="FFFFEB84"/>
        <color rgb="FF63BE7B"/>
      </colorScale>
    </cfRule>
  </conditionalFormatting>
  <conditionalFormatting sqref="Q4:Q62">
    <cfRule type="colorScale" priority="256">
      <colorScale>
        <cfvo type="min"/>
        <cfvo type="percentile" val="50"/>
        <cfvo type="max"/>
        <color rgb="FFF8696B"/>
        <color rgb="FFFFEB84"/>
        <color rgb="FF63BE7B"/>
      </colorScale>
    </cfRule>
  </conditionalFormatting>
  <conditionalFormatting sqref="R4:R62">
    <cfRule type="colorScale" priority="257">
      <colorScale>
        <cfvo type="min"/>
        <cfvo type="percentile" val="50"/>
        <cfvo type="max"/>
        <color rgb="FFF8696B"/>
        <color rgb="FFFFEB84"/>
        <color rgb="FF63BE7B"/>
      </colorScale>
    </cfRule>
  </conditionalFormatting>
  <conditionalFormatting sqref="S4:S62">
    <cfRule type="colorScale" priority="258">
      <colorScale>
        <cfvo type="min"/>
        <cfvo type="percentile" val="50"/>
        <cfvo type="max"/>
        <color rgb="FFF8696B"/>
        <color rgb="FFFFEB84"/>
        <color rgb="FF63BE7B"/>
      </colorScale>
    </cfRule>
  </conditionalFormatting>
  <conditionalFormatting sqref="T4:T62">
    <cfRule type="colorScale" priority="259">
      <colorScale>
        <cfvo type="min"/>
        <cfvo type="percentile" val="50"/>
        <cfvo type="max"/>
        <color rgb="FFF8696B"/>
        <color rgb="FFFFEB84"/>
        <color rgb="FF63BE7B"/>
      </colorScale>
    </cfRule>
  </conditionalFormatting>
  <conditionalFormatting sqref="U4:U62">
    <cfRule type="colorScale" priority="260">
      <colorScale>
        <cfvo type="min"/>
        <cfvo type="percentile" val="50"/>
        <cfvo type="max"/>
        <color rgb="FFF8696B"/>
        <color rgb="FFFFEB84"/>
        <color rgb="FF63BE7B"/>
      </colorScale>
    </cfRule>
  </conditionalFormatting>
  <conditionalFormatting sqref="V4:V62">
    <cfRule type="colorScale" priority="261">
      <colorScale>
        <cfvo type="min"/>
        <cfvo type="percentile" val="50"/>
        <cfvo type="max"/>
        <color rgb="FFF8696B"/>
        <color rgb="FFFFEB84"/>
        <color rgb="FF63BE7B"/>
      </colorScale>
    </cfRule>
  </conditionalFormatting>
  <conditionalFormatting sqref="W4:W62">
    <cfRule type="colorScale" priority="262">
      <colorScale>
        <cfvo type="min"/>
        <cfvo type="percentile" val="50"/>
        <cfvo type="max"/>
        <color rgb="FFF8696B"/>
        <color rgb="FFFFEB84"/>
        <color rgb="FF63BE7B"/>
      </colorScale>
    </cfRule>
  </conditionalFormatting>
  <conditionalFormatting sqref="X4:X62">
    <cfRule type="colorScale" priority="265">
      <colorScale>
        <cfvo type="min"/>
        <cfvo type="percentile" val="50"/>
        <cfvo type="max"/>
        <color rgb="FFF8696B"/>
        <color rgb="FFFFEB84"/>
        <color rgb="FF63BE7B"/>
      </colorScale>
    </cfRule>
  </conditionalFormatting>
  <conditionalFormatting sqref="Y4:Y62">
    <cfRule type="colorScale" priority="268">
      <colorScale>
        <cfvo type="min"/>
        <cfvo type="percentile" val="50"/>
        <cfvo type="max"/>
        <color rgb="FFF8696B"/>
        <color rgb="FFFFEB84"/>
        <color rgb="FF63BE7B"/>
      </colorScale>
    </cfRule>
  </conditionalFormatting>
  <conditionalFormatting sqref="Z4:Z62">
    <cfRule type="colorScale" priority="269">
      <colorScale>
        <cfvo type="min"/>
        <cfvo type="percentile" val="50"/>
        <cfvo type="max"/>
        <color rgb="FFF8696B"/>
        <color rgb="FFFFEB84"/>
        <color rgb="FF63BE7B"/>
      </colorScale>
    </cfRule>
  </conditionalFormatting>
  <conditionalFormatting sqref="AA4:AA62">
    <cfRule type="colorScale" priority="270">
      <colorScale>
        <cfvo type="min"/>
        <cfvo type="percentile" val="50"/>
        <cfvo type="max"/>
        <color rgb="FFF8696B"/>
        <color rgb="FFFFEB84"/>
        <color rgb="FF63BE7B"/>
      </colorScale>
    </cfRule>
  </conditionalFormatting>
  <conditionalFormatting sqref="AB4:AB62">
    <cfRule type="colorScale" priority="271">
      <colorScale>
        <cfvo type="min"/>
        <cfvo type="percentile" val="50"/>
        <cfvo type="max"/>
        <color rgb="FFF8696B"/>
        <color rgb="FFFFEB84"/>
        <color rgb="FF63BE7B"/>
      </colorScale>
    </cfRule>
  </conditionalFormatting>
  <conditionalFormatting sqref="AC4:AC62">
    <cfRule type="colorScale" priority="272">
      <colorScale>
        <cfvo type="min"/>
        <cfvo type="percentile" val="50"/>
        <cfvo type="max"/>
        <color rgb="FFF8696B"/>
        <color rgb="FFFFEB84"/>
        <color rgb="FF63BE7B"/>
      </colorScale>
    </cfRule>
  </conditionalFormatting>
  <conditionalFormatting sqref="AD4:AD62">
    <cfRule type="colorScale" priority="273">
      <colorScale>
        <cfvo type="min"/>
        <cfvo type="percentile" val="50"/>
        <cfvo type="max"/>
        <color rgb="FFF8696B"/>
        <color rgb="FFFFEB84"/>
        <color rgb="FF63BE7B"/>
      </colorScale>
    </cfRule>
  </conditionalFormatting>
  <conditionalFormatting sqref="AE4:AE62">
    <cfRule type="colorScale" priority="274">
      <colorScale>
        <cfvo type="min"/>
        <cfvo type="percentile" val="50"/>
        <cfvo type="max"/>
        <color rgb="FFF8696B"/>
        <color rgb="FFFFEB84"/>
        <color rgb="FF63BE7B"/>
      </colorScale>
    </cfRule>
  </conditionalFormatting>
  <conditionalFormatting sqref="AF4:AF62">
    <cfRule type="colorScale" priority="275">
      <colorScale>
        <cfvo type="min"/>
        <cfvo type="percentile" val="50"/>
        <cfvo type="max"/>
        <color rgb="FFF8696B"/>
        <color rgb="FFFFEB84"/>
        <color rgb="FF63BE7B"/>
      </colorScale>
    </cfRule>
  </conditionalFormatting>
  <conditionalFormatting sqref="N4:N62">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9"/>
  <sheetViews>
    <sheetView zoomScale="170" zoomScaleNormal="170" workbookViewId="0">
      <pane ySplit="6" topLeftCell="A338" activePane="bottomLeft" state="frozen"/>
      <selection pane="bottomLeft" activeCell="R334" sqref="R334"/>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0"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row r="665">
      <c r="A665" s="114" t="n"/>
      <c r="B665" s="114" t="n"/>
      <c r="C665" s="114" t="n"/>
      <c r="D665" s="114" t="n"/>
    </row>
    <row r="666">
      <c r="A666" s="114" t="n"/>
      <c r="B666" s="114" t="n"/>
      <c r="C666" s="114" t="n"/>
      <c r="D666" s="114" t="n"/>
    </row>
    <row r="667">
      <c r="A667" s="114" t="n"/>
      <c r="B667" s="114" t="n"/>
      <c r="C667" s="114" t="n"/>
      <c r="D667" s="114" t="n"/>
    </row>
    <row r="668">
      <c r="A668" s="114" t="n"/>
      <c r="B668" s="114" t="n"/>
      <c r="C668" s="114" t="n"/>
      <c r="D668" s="114" t="n"/>
    </row>
    <row r="669">
      <c r="A669" s="114" t="n"/>
      <c r="B669" s="114" t="n"/>
      <c r="C669" s="114" t="n"/>
      <c r="D669" s="114" t="n"/>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4"/>
  <sheetViews>
    <sheetView zoomScale="160" zoomScaleNormal="160" workbookViewId="0">
      <pane ySplit="6" topLeftCell="A366" activePane="bottomLeft" state="frozen"/>
      <selection pane="bottomLeft" activeCell="S346" sqref="S346:T346"/>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10" t="n">
        <v>44593</v>
      </c>
      <c r="B368" s="15">
        <f>VLOOKUP(A368,Database!A:K,MATCH('Retail Sales'!$A$1,Database!$A$1:$K$1,),)</f>
        <v/>
      </c>
      <c r="C368" s="12">
        <f>(B368-B367)/B367</f>
        <v/>
      </c>
      <c r="D368" s="13">
        <f>(B368-B356)/B356</f>
        <v/>
      </c>
    </row>
    <row r="369" customFormat="1" s="114">
      <c r="A369" s="11" t="n">
        <v>44621</v>
      </c>
      <c r="B369" s="15">
        <f>VLOOKUP(A369,Database!A:K,MATCH('Retail Sales'!$A$1,Database!$A$1:$K$1,),)</f>
        <v/>
      </c>
      <c r="C369" s="12">
        <f>(B369-B368)/B368</f>
        <v/>
      </c>
      <c r="D369" s="13">
        <f>(B369-B357)/B357</f>
        <v/>
      </c>
    </row>
    <row r="370" customFormat="1" s="114">
      <c r="A370" s="11" t="n">
        <v>44652</v>
      </c>
      <c r="B370" s="15">
        <f>VLOOKUP(A370,Database!A:K,MATCH('Retail Sales'!$A$1,Database!$A$1:$K$1,),)</f>
        <v/>
      </c>
      <c r="C370" s="12">
        <f>(B370-B369)/B369</f>
        <v/>
      </c>
      <c r="D370" s="13">
        <f>(B370-B358)/B358</f>
        <v/>
      </c>
    </row>
    <row r="371" customFormat="1" s="114">
      <c r="A371" s="10" t="n">
        <v>44682</v>
      </c>
      <c r="B371" s="15">
        <f>VLOOKUP(A371,Database!A:K,MATCH('Retail Sales'!$A$1,Database!$A$1:$K$1,),)</f>
        <v/>
      </c>
      <c r="C371" s="12">
        <f>(B371-B370)/B370</f>
        <v/>
      </c>
      <c r="D371" s="13">
        <f>(B371-B359)/B359</f>
        <v/>
      </c>
    </row>
    <row r="372" customFormat="1" s="114">
      <c r="A372" s="11" t="n">
        <v>44713</v>
      </c>
      <c r="B372" s="15">
        <f>VLOOKUP(A372,Database!A:K,MATCH('Retail Sales'!$A$1,Database!$A$1:$K$1,),)</f>
        <v/>
      </c>
      <c r="C372" s="12">
        <f>(B372-B371)/B371</f>
        <v/>
      </c>
      <c r="D372" s="13">
        <f>(B372-B360)/B360</f>
        <v/>
      </c>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sheetData>
  <conditionalFormatting sqref="C8:C372">
    <cfRule type="colorScale" priority="42">
      <colorScale>
        <cfvo type="min"/>
        <cfvo type="percentile" val="50"/>
        <cfvo type="max"/>
        <color rgb="FFF8696B"/>
        <color rgb="FFFFEB84"/>
        <color rgb="FF63BE7B"/>
      </colorScale>
    </cfRule>
  </conditionalFormatting>
  <conditionalFormatting sqref="D19:D372">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0"/>
  <sheetViews>
    <sheetView zoomScale="160" zoomScaleNormal="160" workbookViewId="0">
      <pane ySplit="6" topLeftCell="A361" activePane="bottomLeft" state="frozen"/>
      <selection pane="bottomLeft" activeCell="V371" sqref="V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1"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row r="806">
      <c r="A806" s="114" t="n"/>
      <c r="B806" s="22" t="n"/>
      <c r="C806" s="114" t="n"/>
      <c r="D806" s="114" t="n"/>
    </row>
    <row r="807">
      <c r="A807" s="114" t="n"/>
      <c r="B807" s="22" t="n"/>
      <c r="C807" s="114" t="n"/>
      <c r="D807" s="114" t="n"/>
    </row>
    <row r="808">
      <c r="A808" s="114" t="n"/>
      <c r="B808" s="22" t="n"/>
      <c r="C808" s="114" t="n"/>
      <c r="D808" s="114" t="n"/>
    </row>
    <row r="809">
      <c r="A809" s="114" t="n"/>
      <c r="B809" s="22" t="n"/>
      <c r="C809" s="114" t="n"/>
      <c r="D809" s="114" t="n"/>
    </row>
    <row r="810">
      <c r="A810" s="114" t="n"/>
      <c r="B810" s="22" t="n"/>
      <c r="C810" s="114" t="n"/>
      <c r="D810" s="114" t="n"/>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2"/>
  <sheetViews>
    <sheetView zoomScale="160" zoomScaleNormal="160" workbookViewId="0">
      <pane ySplit="6" topLeftCell="A329" activePane="bottomLeft" state="frozen"/>
      <selection pane="bottomLeft" activeCell="Q366" sqref="Q36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2"/>
  <sheetViews>
    <sheetView zoomScale="200" zoomScaleNormal="200" workbookViewId="0">
      <pane ySplit="6" topLeftCell="A346" activePane="bottomLeft" state="frozen"/>
      <selection pane="bottomLeft" activeCell="E334" sqref="E334"/>
    </sheetView>
  </sheetViews>
  <sheetFormatPr baseColWidth="10" defaultColWidth="9.1640625" defaultRowHeight="15"/>
  <cols>
    <col width="14" customWidth="1" style="54" min="1" max="1"/>
    <col width="14.1640625" customWidth="1" style="54" min="2" max="4"/>
    <col width="9.1640625" customWidth="1" style="114" min="5" max="12"/>
    <col width="9.1640625" customWidth="1" style="114" min="13"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2"/>
  <sheetViews>
    <sheetView zoomScale="90" zoomScaleNormal="90" workbookViewId="0">
      <pane ySplit="6" topLeftCell="A337" activePane="bottomLeft" state="frozen"/>
      <selection pane="bottomLeft" activeCell="S373" sqref="S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2"/>
  <sheetViews>
    <sheetView zoomScale="130" zoomScaleNormal="130" workbookViewId="0">
      <pane ySplit="6" topLeftCell="A332" activePane="bottomLeft" state="frozen"/>
      <selection pane="bottomLeft" activeCell="P373" sqref="P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2"/>
  <sheetViews>
    <sheetView zoomScale="150" zoomScaleNormal="150" workbookViewId="0">
      <pane ySplit="6" topLeftCell="A351" activePane="bottomLeft" state="frozen"/>
      <selection pane="bottomLeft" activeCell="D2" sqref="D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2"/>
  <sheetViews>
    <sheetView zoomScale="150" zoomScaleNormal="150" workbookViewId="0">
      <pane ySplit="6" topLeftCell="A369" activePane="bottomLeft" state="frozen"/>
      <selection pane="bottomLeft" activeCell="N365" sqref="N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2"/>
  <sheetViews>
    <sheetView zoomScale="140" zoomScaleNormal="140" workbookViewId="0">
      <pane ySplit="6" topLeftCell="A322" activePane="bottomLeft" state="frozen"/>
      <selection pane="bottomLeft" activeCell="P365" sqref="P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2"/>
  <sheetViews>
    <sheetView topLeftCell="B1" zoomScale="140" zoomScaleNormal="140" workbookViewId="0">
      <pane ySplit="6" topLeftCell="A343" activePane="bottomLeft" state="frozen"/>
      <selection pane="bottomLeft" activeCell="R372" sqref="R37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50">
      <colorScale>
        <cfvo type="min"/>
        <cfvo type="percentile" val="50"/>
        <cfvo type="max"/>
        <color rgb="FFF8696B"/>
        <color rgb="FFFFEB84"/>
        <color rgb="FF63BE7B"/>
      </colorScale>
    </cfRule>
  </conditionalFormatting>
  <conditionalFormatting sqref="C8:C372">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2"/>
  <sheetViews>
    <sheetView zoomScale="150" zoomScaleNormal="150" workbookViewId="0">
      <pane ySplit="6" topLeftCell="A350" activePane="bottomLeft" state="frozen"/>
      <selection pane="bottomLeft" activeCell="O337" sqref="O337"/>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12"/>
    <col width="9.1640625" customWidth="1" style="114" min="13"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sheetData>
  <conditionalFormatting sqref="D19:D372">
    <cfRule type="colorScale" priority="48">
      <colorScale>
        <cfvo type="min"/>
        <cfvo type="percentile" val="50"/>
        <cfvo type="max"/>
        <color rgb="FFF8696B"/>
        <color rgb="FFFFEB84"/>
        <color rgb="FF63BE7B"/>
      </colorScale>
    </cfRule>
  </conditionalFormatting>
  <conditionalFormatting sqref="C8:C372">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2"/>
  <sheetViews>
    <sheetView zoomScale="140" zoomScaleNormal="140" workbookViewId="0">
      <pane ySplit="6" topLeftCell="A324" activePane="bottomLeft" state="frozen"/>
      <selection pane="bottomLeft" activeCell="O338" sqref="O33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sheetData>
  <conditionalFormatting sqref="D19:D372">
    <cfRule type="colorScale" priority="46">
      <colorScale>
        <cfvo type="min"/>
        <cfvo type="percentile" val="50"/>
        <cfvo type="max"/>
        <color rgb="FFF8696B"/>
        <color rgb="FFFFEB84"/>
        <color rgb="FF63BE7B"/>
      </colorScale>
    </cfRule>
  </conditionalFormatting>
  <conditionalFormatting sqref="C8:C372">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2"/>
  <sheetViews>
    <sheetView topLeftCell="B1" zoomScale="170" zoomScaleNormal="170" workbookViewId="0">
      <pane ySplit="6" topLeftCell="A335" activePane="bottomLeft" state="frozen"/>
      <selection pane="bottomLeft" activeCell="P355" sqref="P35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44">
      <colorScale>
        <cfvo type="min"/>
        <cfvo type="percentile" val="50"/>
        <cfvo type="max"/>
        <color rgb="FFF8696B"/>
        <color rgb="FFFFEB84"/>
        <color rgb="FF63BE7B"/>
      </colorScale>
    </cfRule>
  </conditionalFormatting>
  <conditionalFormatting sqref="C8:C372">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2"/>
  <sheetViews>
    <sheetView zoomScale="190" zoomScaleNormal="190" workbookViewId="0">
      <pane ySplit="6" topLeftCell="A353" activePane="bottomLeft" state="frozen"/>
      <selection activeCell="P14" sqref="P14"/>
      <selection pane="bottomLeft" activeCell="P14" sqref="P1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2022-08-02T08:44:46Z</dcterms:modified>
  <cp:lastModifiedBy>Mark Mukherjee</cp:lastModifiedBy>
</cp:coreProperties>
</file>