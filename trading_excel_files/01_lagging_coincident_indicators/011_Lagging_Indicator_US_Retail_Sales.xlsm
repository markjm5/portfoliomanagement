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86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yyyy-mm-dd h:mm:ss"/>
    <numFmt numFmtId="169" formatCode="dd-mm-YYYY"/>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5">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0" fillId="2" borderId="0" applyAlignment="1" pivotButton="0" quotePrefix="0" xfId="0">
      <alignment wrapText="1"/>
    </xf>
    <xf numFmtId="0" fontId="0" fillId="2" borderId="0" pivotButton="0" quotePrefix="0" xfId="0"/>
    <xf numFmtId="0" fontId="5" fillId="2" borderId="0" applyAlignment="1" pivotButton="0" quotePrefix="0" xfId="1">
      <alignment wrapText="1"/>
    </xf>
    <xf numFmtId="166" fontId="0" fillId="2" borderId="0" applyAlignment="1" pivotButton="0" quotePrefix="0" xfId="0">
      <alignment horizontal="left" vertical="center" wrapText="1"/>
    </xf>
    <xf numFmtId="0" fontId="1" fillId="6" borderId="1" applyAlignment="1" pivotButton="0" quotePrefix="0" xfId="0">
      <alignment horizontal="center"/>
    </xf>
    <xf numFmtId="0" fontId="0" fillId="0" borderId="29" pivotButton="0" quotePrefix="0" xfId="0"/>
    <xf numFmtId="0" fontId="0" fillId="0" borderId="30" pivotButton="0" quotePrefix="0" xfId="0"/>
    <xf numFmtId="0" fontId="22" fillId="2" borderId="14" applyAlignment="1" pivotButton="0" quotePrefix="0" xfId="0">
      <alignment horizontal="center"/>
    </xf>
    <xf numFmtId="0" fontId="0" fillId="0" borderId="34" pivotButton="0" quotePrefix="0" xfId="0"/>
    <xf numFmtId="0" fontId="22" fillId="2" borderId="16" applyAlignment="1" pivotButton="0" quotePrefix="0" xfId="0">
      <alignment horizontal="center"/>
    </xf>
    <xf numFmtId="0" fontId="1" fillId="2" borderId="28" applyAlignment="1" pivotButton="0" quotePrefix="0" xfId="0">
      <alignment horizontal="center" vertical="center"/>
    </xf>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22" fillId="2" borderId="18" applyAlignment="1" pivotButton="0" quotePrefix="0" xfId="0">
      <alignment horizontal="center"/>
    </xf>
    <xf numFmtId="0" fontId="0" fillId="0" borderId="35" pivotButton="0" quotePrefix="0" xfId="0"/>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9"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cent" xfId="8" builtinId="5"/>
  </cellStyles>
  <dxfs count="65">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Gas'!$A$8:$A$382</f>
              <numCache>
                <formatCode>[$-409]mmm\-yy;@</formatCode>
                <ptCount val="37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'Retail Sales ex Auto and Gas'!$C$8:$C$382</f>
              <numCache>
                <formatCode>0.00%</formatCode>
                <ptCount val="375"/>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0.01168342475429708</v>
                </pt>
                <pt idx="357">
                  <v>0.003917740381818064</v>
                </pt>
                <pt idx="358">
                  <v>-0.01756961840549005</v>
                </pt>
                <pt idx="359">
                  <v>0.02031131193245877</v>
                </pt>
                <pt idx="360">
                  <v>0.01184011032781409</v>
                </pt>
                <pt idx="361">
                  <v>0.009056065489808487</v>
                </pt>
                <pt idx="362">
                  <v>0.006940307898821259</v>
                </pt>
                <pt idx="363">
                  <v>0.007598591094567882</v>
                </pt>
                <pt idx="364">
                  <v>0.009174406754083314</v>
                </pt>
                <pt idx="365">
                  <v>0.002247144978747376</v>
                </pt>
                <pt idx="366">
                  <v>0.008821269150901747</v>
                </pt>
                <pt idx="367">
                  <v>0.005824695900224479</v>
                </pt>
                <pt idx="368">
                  <v>0.00906411958192252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Gas'!$A$8:$A$379</f>
              <numCache>
                <formatCode>[$-409]mmm\-yy;@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'Retail Sales ex Auto and Gas'!$C$8:$C$379</f>
              <numCache>
                <formatCode>0.00%</formatCode>
                <ptCount val="372"/>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0.01168342475429708</v>
                </pt>
                <pt idx="357">
                  <v>0.003917740381818064</v>
                </pt>
                <pt idx="358">
                  <v>-0.01756961840549005</v>
                </pt>
                <pt idx="359">
                  <v>0.02031131193245877</v>
                </pt>
                <pt idx="360">
                  <v>0.01184011032781409</v>
                </pt>
                <pt idx="361">
                  <v>0.009056065489808487</v>
                </pt>
                <pt idx="362">
                  <v>0.006940307898821259</v>
                </pt>
                <pt idx="363">
                  <v>0.007598591094567882</v>
                </pt>
                <pt idx="364">
                  <v>0.009174406754083314</v>
                </pt>
                <pt idx="365">
                  <v>0.002247144978747376</v>
                </pt>
                <pt idx="366">
                  <v>0.008821269150901747</v>
                </pt>
                <pt idx="367">
                  <v>0.005824695900224479</v>
                </pt>
                <pt idx="368">
                  <v>0.00906411958192252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Gas'!$A$19:$A$379</f>
              <numCache>
                <formatCode>[$-409]mmm\-yy;@</formatCode>
                <ptCount val="361"/>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'Retail Sales ex Auto and Gas'!$D$19:$D$379</f>
              <numCache>
                <formatCode>0.00%</formatCode>
                <ptCount val="361"/>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0.1368212822974263</v>
                </pt>
                <pt idx="343">
                  <v>0.1483629102808781</v>
                </pt>
                <pt idx="344">
                  <v>0.1349940241853468</v>
                </pt>
                <pt idx="345">
                  <v>0.1524408869992376</v>
                </pt>
                <pt idx="346">
                  <v>0.1684089347251413</v>
                </pt>
                <pt idx="347">
                  <v>0.1658663704933985</v>
                </pt>
                <pt idx="348">
                  <v>0.1206808004108609</v>
                </pt>
                <pt idx="349">
                  <v>0.1576111855628428</v>
                </pt>
                <pt idx="350">
                  <v>0.06310203353549768</v>
                </pt>
                <pt idx="351">
                  <v>0.07545132580806305</v>
                </pt>
                <pt idx="352">
                  <v>0.08566125560799787</v>
                </pt>
                <pt idx="353">
                  <v>0.07264333771318834</v>
                </pt>
                <pt idx="354">
                  <v>0.09011752910377095</v>
                </pt>
                <pt idx="355">
                  <v>0.08362513913373744</v>
                </pt>
                <pt idx="356">
                  <v>0.08236389322496533</v>
                </pt>
                <pt idx="357">
                  <v>0.07956159235243286</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 ex Auto and Gas'!$B$7:$B$379</f>
              <numCache>
                <formatCode>#,##0</formatCode>
                <ptCount val="373"/>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448825</v>
                </pt>
                <pt idx="355">
                  <v>455497</v>
                </pt>
                <pt idx="356">
                  <v>458684</v>
                </pt>
                <pt idx="357">
                  <v>464043</v>
                </pt>
                <pt idx="358">
                  <v>465861</v>
                </pt>
                <pt idx="359">
                  <v>457676</v>
                </pt>
                <pt idx="360">
                  <v>466972</v>
                </pt>
                <pt idx="361">
                  <v>472501</v>
                </pt>
                <pt idx="362">
                  <v>476780</v>
                </pt>
                <pt idx="363">
                  <v>480089</v>
                </pt>
                <pt idx="364">
                  <v>483737</v>
                </pt>
                <pt idx="365">
                  <v>488175</v>
                </pt>
                <pt idx="366">
                  <v>489272</v>
                </pt>
                <pt idx="367">
                  <v>493588</v>
                </pt>
                <pt idx="368">
                  <v>496463</v>
                </pt>
                <pt idx="369">
                  <v>500963</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Sales'!$D$7:$D$381</f>
              <numCache>
                <formatCode>General</formatCode>
                <ptCount val="375"/>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0.1546894440641165</v>
                </pt>
                <pt idx="355">
                  <formatCode>0.00%</formatCode>
                  <v>0.1571717418595092</v>
                </pt>
                <pt idx="356">
                  <formatCode>0.00%</formatCode>
                  <v>0.1444033116434819</v>
                </pt>
                <pt idx="357">
                  <formatCode>0.00%</formatCode>
                  <v>0.1661851944099526</v>
                </pt>
                <pt idx="358">
                  <formatCode>0.00%</formatCode>
                  <v>0.1855474280754789</v>
                </pt>
                <pt idx="359">
                  <formatCode>0.00%</formatCode>
                  <v>0.1684360392086079</v>
                </pt>
                <pt idx="360">
                  <formatCode>0.00%</formatCode>
                  <v>0.1374510755522658</v>
                </pt>
                <pt idx="361">
                  <formatCode>0.00%</formatCode>
                  <v>0.1770703376305791</v>
                </pt>
                <pt idx="362">
                  <formatCode>0.00%</formatCode>
                  <v>0.07068053204971465</v>
                </pt>
                <pt idx="363">
                  <formatCode>0.00%</formatCode>
                  <v>0.07823236875243703</v>
                </pt>
                <pt idx="364">
                  <formatCode>0.00%</formatCode>
                  <v>0.08699979612181961</v>
                </pt>
                <pt idx="365">
                  <formatCode>0.00%</formatCode>
                  <v>0.08777972303186135</v>
                </pt>
                <pt idx="366">
                  <formatCode>0.00%</formatCode>
                  <v>0.1003111399742171</v>
                </pt>
                <pt idx="367">
                  <formatCode>0.00%</formatCode>
                  <v>0.09716095192835415</v>
                </pt>
                <pt idx="368">
                  <formatCode>0.00%</formatCode>
                  <v>0.08586791816493367</v>
                </pt>
                <pt idx="369">
                  <formatCode>0.00%</formatCode>
                  <v>0.08271612059383375</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Sales'!$B$7:$B$384</f>
              <numCache>
                <formatCode>#,##0</formatCode>
                <ptCount val="378"/>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619014</v>
                </pt>
                <pt idx="355">
                  <v>624963</v>
                </pt>
                <pt idx="356">
                  <v>631563</v>
                </pt>
                <pt idx="357">
                  <v>641459</v>
                </pt>
                <pt idx="358">
                  <v>644741</v>
                </pt>
                <pt idx="359">
                  <v>634393</v>
                </pt>
                <pt idx="360">
                  <v>651557</v>
                </pt>
                <pt idx="361">
                  <v>662321</v>
                </pt>
                <pt idx="362">
                  <v>669958</v>
                </pt>
                <pt idx="363">
                  <v>674719</v>
                </pt>
                <pt idx="364">
                  <v>677115</v>
                </pt>
                <pt idx="365">
                  <v>684084</v>
                </pt>
                <pt idx="366">
                  <v>681108</v>
                </pt>
                <pt idx="367">
                  <v>685685</v>
                </pt>
                <pt idx="368">
                  <v>685794</v>
                </pt>
                <pt idx="369">
                  <v>694518</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Auto'!$A$19:$A$381</f>
              <numCache>
                <formatCode>[$-409]mmm\-yy;@</formatCode>
                <ptCount val="363"/>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'Retail Sales ex Auto'!$C$19:$C$381</f>
              <numCache>
                <formatCode>0.00%</formatCode>
                <ptCount val="363"/>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-0.01019920128177535</v>
                </pt>
                <pt idx="343">
                  <v>0.01743757625542093</v>
                </pt>
                <pt idx="344">
                  <v>0.01013956746552369</v>
                </pt>
                <pt idx="345">
                  <v>0.01563262163766404</v>
                </pt>
                <pt idx="346">
                  <v>0.005051586360138181</v>
                </pt>
                <pt idx="347">
                  <v>-0.01436275356478016</v>
                </pt>
                <pt idx="348">
                  <v>0.01617061212727761</v>
                </pt>
                <pt idx="349">
                  <v>0.01724881249149727</v>
                </pt>
                <pt idx="350">
                  <v>0.01985899230165024</v>
                </pt>
                <pt idx="351">
                  <v>0.004565636566463996</v>
                </pt>
                <pt idx="352">
                  <v>0.01253336961397883</v>
                </pt>
                <pt idx="353">
                  <v>0.01135775568568705</v>
                </pt>
                <pt idx="354">
                  <v>-0.0007630435563215915</v>
                </pt>
                <pt idx="355">
                  <v>0.001762629030374357</v>
                </pt>
                <pt idx="356">
                  <v>0.000886041439476554</v>
                </pt>
                <pt idx="357">
                  <v>0.01259251294733258</v>
                </pt>
              </numCache>
            </numRef>
          </val>
        </ser>
        <dLbls>
          <showLegendKey val="0"/>
          <showVal val="0"/>
          <showCatName val="0"/>
          <showSerName val="0"/>
          <showPercent val="0"/>
          <showBubbleSize val="0"/>
        </dLbls>
        <gapWidth val="219"/>
        <overlap val="-27"/>
        <axId val="986129336"/>
        <axId val="986131632"/>
      </barChart>
      <dateAx>
        <axId val="98612933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 ex Auto'!$B$7:$B$383</f>
              <numCache>
                <formatCode>#,##0</formatCode>
                <ptCount val="377"/>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496686</v>
                </pt>
                <pt idx="355">
                  <v>505347</v>
                </pt>
                <pt idx="356">
                  <v>510471</v>
                </pt>
                <pt idx="357">
                  <v>518451</v>
                </pt>
                <pt idx="358">
                  <v>521070</v>
                </pt>
                <pt idx="359">
                  <v>513586</v>
                </pt>
                <pt idx="360">
                  <v>521891</v>
                </pt>
                <pt idx="361">
                  <v>530893</v>
                </pt>
                <pt idx="362">
                  <v>541436</v>
                </pt>
                <pt idx="363">
                  <v>543908</v>
                </pt>
                <pt idx="364">
                  <v>550725</v>
                </pt>
                <pt idx="365">
                  <v>556980</v>
                </pt>
                <pt idx="366">
                  <v>556555</v>
                </pt>
                <pt idx="367">
                  <v>557536</v>
                </pt>
                <pt idx="368">
                  <v>558030</v>
                </pt>
                <pt idx="369">
                  <v>565057</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 ex Auto'!$D$7:$D$384</f>
              <numCache>
                <formatCode>General</formatCode>
                <ptCount val="378"/>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0.1543991353964509</v>
                </pt>
                <pt idx="355">
                  <formatCode>0.00%</formatCode>
                  <v>0.1675064630824571</v>
                </pt>
                <pt idx="356">
                  <formatCode>0.00%</formatCode>
                  <v>0.1579428504025243</v>
                </pt>
                <pt idx="357">
                  <formatCode>0.00%</formatCode>
                  <v>0.1794047594674092</v>
                </pt>
                <pt idx="358">
                  <formatCode>0.00%</formatCode>
                  <v>0.1981182183777221</v>
                </pt>
                <pt idx="359">
                  <formatCode>0.00%</formatCode>
                  <v>0.1892528991145196</v>
                </pt>
                <pt idx="360">
                  <formatCode>0.00%</formatCode>
                  <v>0.1400227178400577</v>
                </pt>
                <pt idx="361">
                  <formatCode>0.00%</formatCode>
                  <v>0.1773812956022266</v>
                </pt>
                <pt idx="362">
                  <formatCode>0.00%</formatCode>
                  <v>0.09463716019780602</v>
                </pt>
                <pt idx="363">
                  <formatCode>0.00%</formatCode>
                  <v>0.1048146786456418</v>
                </pt>
                <pt idx="364">
                  <formatCode>0.00%</formatCode>
                  <v>0.1198650610641387</v>
                </pt>
                <pt idx="365">
                  <formatCode>0.00%</formatCode>
                  <v>0.1099552813449076</v>
                </pt>
                <pt idx="366">
                  <formatCode>0.00%</formatCode>
                  <v>0.1205369186971245</v>
                </pt>
                <pt idx="367">
                  <formatCode>0.00%</formatCode>
                  <v>0.1032735922049602</v>
                </pt>
                <pt idx="368">
                  <formatCode>0.00%</formatCode>
                  <v>0.09316689880522105</v>
                </pt>
                <pt idx="369">
                  <formatCode>0.00%</formatCode>
                  <v>0.08989470557487593</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0.02051956777336095</v>
                </pt>
                <pt idx="343">
                  <v>0.05714897260273973</v>
                </pt>
                <pt idx="344">
                  <v>0.06626411431344839</v>
                </pt>
                <pt idx="345">
                  <v>0.08056253139126067</v>
                </pt>
                <pt idx="346">
                  <v>0.07548535422343325</v>
                </pt>
                <pt idx="347">
                  <v>0.08865010073875083</v>
                </pt>
                <pt idx="348">
                  <v>0.08011731363065946</v>
                </pt>
                <pt idx="349">
                  <v>0.07840042835604277</v>
                </pt>
                <pt idx="350">
                  <v>0.083565889298686</v>
                </pt>
                <pt idx="351">
                  <v>0.07343298510780173</v>
                </pt>
                <pt idx="352">
                  <v>0.07694747001240866</v>
                </pt>
                <pt idx="353">
                  <v>0.08047486186334045</v>
                </pt>
                <pt idx="354">
                  <v>0.08308873954190098</v>
                </pt>
                <pt idx="355">
                  <v>0.07062158331646082</v>
                </pt>
                <pt idx="356">
                  <v>0.06952272575138899</v>
                </pt>
                <pt idx="357">
                  <v>0.07621615160891911</v>
                </pt>
              </numCache>
            </numRef>
          </val>
          <smooth val="0"/>
        </ser>
        <dLbls>
          <showLegendKey val="0"/>
          <showVal val="0"/>
          <showCatName val="0"/>
          <showSerName val="0"/>
          <showPercent val="0"/>
          <showBubbleSize val="0"/>
        </dLbls>
        <smooth val="0"/>
        <axId val="1033339464"/>
        <axId val="1033342744"/>
      </lineChart>
      <dateAx>
        <axId val="1033339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'Food and Beverage'!$B$7:$B$376</f>
              <numCache>
                <formatCode>#,##0</formatCode>
                <ptCount val="37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72910</v>
                </pt>
                <pt idx="355">
                  <v>74085</v>
                </pt>
                <pt idx="356">
                  <v>74695</v>
                </pt>
                <pt idx="357">
                  <v>75299</v>
                </pt>
                <pt idx="358">
                  <v>75783</v>
                </pt>
                <pt idx="359">
                  <v>76187</v>
                </pt>
                <pt idx="360">
                  <v>76603</v>
                </pt>
                <pt idx="361">
                  <v>76533</v>
                </pt>
                <pt idx="362">
                  <v>77268</v>
                </pt>
                <pt idx="363">
                  <v>77270</v>
                </pt>
                <pt idx="364">
                  <v>78111</v>
                </pt>
                <pt idx="365">
                  <v>79000</v>
                </pt>
                <pt idx="366">
                  <v>78968</v>
                </pt>
                <pt idx="367">
                  <v>79317</v>
                </pt>
                <pt idx="368">
                  <v>79888</v>
                </pt>
                <pt idx="369">
                  <v>81038</v>
                </pt>
              </numCache>
            </numRef>
          </val>
          <smooth val="0"/>
        </ser>
        <dLbls>
          <showLegendKey val="0"/>
          <showVal val="0"/>
          <showCatName val="0"/>
          <showSerName val="0"/>
          <showPercent val="0"/>
          <showBubbleSize val="0"/>
        </dLbls>
        <smooth val="0"/>
        <axId val="644217568"/>
        <axId val="644219216"/>
      </lineChart>
      <dateAx>
        <axId val="644217568"/>
        <scaling>
          <orientation val="minMax"/>
          <max val="44774"/>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'Non Store Retail'!$B$7:$B$376</f>
              <numCache>
                <formatCode>#,##0</formatCode>
                <ptCount val="37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92162</v>
                </pt>
                <pt idx="355">
                  <v>97186</v>
                </pt>
                <pt idx="356">
                  <v>97674</v>
                </pt>
                <pt idx="357">
                  <v>99967</v>
                </pt>
                <pt idx="358">
                  <v>100341</v>
                </pt>
                <pt idx="359">
                  <v>95958</v>
                </pt>
                <pt idx="360">
                  <v>102773</v>
                </pt>
                <pt idx="361">
                  <v>104095</v>
                </pt>
                <pt idx="362">
                  <v>102895</v>
                </pt>
                <pt idx="363">
                  <v>104003</v>
                </pt>
                <pt idx="364">
                  <v>106789</v>
                </pt>
                <pt idx="365">
                  <v>107157</v>
                </pt>
                <pt idx="366">
                  <v>108939</v>
                </pt>
                <pt idx="367">
                  <v>109557</v>
                </pt>
                <pt idx="368">
                  <v>110224</v>
                </pt>
                <pt idx="369">
                  <v>111505</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'Non Store Retail'!$D$7:$D$376</f>
              <numCache>
                <formatCode>General</formatCode>
                <ptCount val="37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0.05622535986063996</v>
                </pt>
                <pt idx="355">
                  <formatCode>0.00%</formatCode>
                  <v>0.1070281353229297</v>
                </pt>
                <pt idx="356">
                  <formatCode>0.00%</formatCode>
                  <v>0.109654404580673</v>
                </pt>
                <pt idx="357">
                  <formatCode>0.00%</formatCode>
                  <v>0.1271126244461231</v>
                </pt>
                <pt idx="358">
                  <formatCode>0.00%</formatCode>
                  <v>0.1342451817102809</v>
                </pt>
                <pt idx="359">
                  <formatCode>0.00%</formatCode>
                  <v>0.1275778192970705</v>
                </pt>
                <pt idx="360">
                  <formatCode>0.00%</formatCode>
                  <v>0.1283692537411754</v>
                </pt>
                <pt idx="361">
                  <formatCode>0.00%</formatCode>
                  <v>0.143938811169599</v>
                </pt>
                <pt idx="362">
                  <formatCode>0.00%</formatCode>
                  <v>0.03567150808748779</v>
                </pt>
                <pt idx="363">
                  <formatCode>0.00%</formatCode>
                  <v>0.09337580555292732</v>
                </pt>
                <pt idx="364">
                  <formatCode>0.00%</formatCode>
                  <v>0.1090121713122585</v>
                </pt>
                <pt idx="365">
                  <formatCode>0.00%</formatCode>
                  <v>0.08770059989646457</v>
                </pt>
                <pt idx="366">
                  <formatCode>0.00%</formatCode>
                  <v>0.1820381502137541</v>
                </pt>
                <pt idx="367">
                  <formatCode>0.00%</formatCode>
                  <v>0.127291996789661</v>
                </pt>
                <pt idx="368">
                  <formatCode>0.00%</formatCode>
                  <v>0.1284886459037205</v>
                </pt>
                <pt idx="369">
                  <formatCode>0.00%</formatCode>
                  <v>0.1154180879690298</v>
                </pt>
              </numCache>
            </numRef>
          </val>
          <smooth val="0"/>
        </ser>
        <dLbls>
          <showLegendKey val="0"/>
          <showVal val="0"/>
          <showCatName val="0"/>
          <showSerName val="0"/>
          <showPercent val="0"/>
          <showBubbleSize val="0"/>
        </dLbls>
        <smooth val="0"/>
        <axId val="721545464"/>
        <axId val="721548088"/>
      </lineChart>
      <dateAx>
        <axId val="721545464"/>
        <scaling>
          <orientation val="minMax"/>
          <max val="4480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Health!$B$7:$B$376</f>
              <numCache>
                <formatCode>#,##0</formatCode>
                <ptCount val="37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32799</v>
                </pt>
                <pt idx="356">
                  <v>32611</v>
                </pt>
                <pt idx="357">
                  <v>32315</v>
                </pt>
                <pt idx="358">
                  <v>32793</v>
                </pt>
                <pt idx="359">
                  <v>32797</v>
                </pt>
                <pt idx="360">
                  <v>32815</v>
                </pt>
                <pt idx="361">
                  <v>32445</v>
                </pt>
                <pt idx="362">
                  <v>32763</v>
                </pt>
                <pt idx="363">
                  <v>32962</v>
                </pt>
                <pt idx="364">
                  <v>32985</v>
                </pt>
                <pt idx="365">
                  <v>33426</v>
                </pt>
                <pt idx="366">
                  <v>33641</v>
                </pt>
                <pt idx="367">
                  <v>33649</v>
                </pt>
                <pt idx="368">
                  <v>33906</v>
                </pt>
                <pt idx="369">
                  <v>34063</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0.1005637205556674</v>
                </pt>
                <pt idx="356">
                  <formatCode>0.00%</formatCode>
                  <v>0.07719495276474862</v>
                </pt>
                <pt idx="357">
                  <formatCode>0.00%</formatCode>
                  <v>0.07109711634073583</v>
                </pt>
                <pt idx="358">
                  <formatCode>0.00%</formatCode>
                  <v>0.1042157721058657</v>
                </pt>
                <pt idx="359">
                  <formatCode>0.00%</formatCode>
                  <v>0.09513156137304661</v>
                </pt>
                <pt idx="360">
                  <formatCode>0.00%</formatCode>
                  <v>0.09467258231310671</v>
                </pt>
                <pt idx="361">
                  <formatCode>0.00%</formatCode>
                  <v>0.09095494283792871</v>
                </pt>
                <pt idx="362">
                  <formatCode>0.00%</formatCode>
                  <v>0.01173455207979495</v>
                </pt>
                <pt idx="363">
                  <formatCode>0.00%</formatCode>
                  <v>0.02002166176698128</v>
                </pt>
                <pt idx="364">
                  <formatCode>0.00%</formatCode>
                  <v>0.04611334876787923</v>
                </pt>
                <pt idx="365">
                  <formatCode>0.00%</formatCode>
                  <v>0.02173314993122421</v>
                </pt>
                <pt idx="366">
                  <formatCode>0.00%</formatCode>
                  <v>0.03472563976377953</v>
                </pt>
                <pt idx="367">
                  <formatCode>0.00%</formatCode>
                  <v>0.02591542425073935</v>
                </pt>
                <pt idx="368">
                  <formatCode>0.00%</formatCode>
                  <v>0.03971052712274999</v>
                </pt>
                <pt idx="369">
                  <formatCode>0.00%</formatCode>
                  <v>0.05409252669039146</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'Sporting Goods'!$B$7:$B$375</f>
              <numCache>
                <formatCode>#,##0</formatCode>
                <ptCount val="369"/>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8912</v>
                </pt>
                <pt idx="355">
                  <v>8801</v>
                </pt>
                <pt idx="356">
                  <v>8904</v>
                </pt>
                <pt idx="357">
                  <v>9001</v>
                </pt>
                <pt idx="358">
                  <v>9194</v>
                </pt>
                <pt idx="359">
                  <v>8968</v>
                </pt>
                <pt idx="360">
                  <v>8877</v>
                </pt>
                <pt idx="361">
                  <v>8916</v>
                </pt>
                <pt idx="362">
                  <v>9009</v>
                </pt>
                <pt idx="363">
                  <v>9069</v>
                </pt>
                <pt idx="364">
                  <v>9153</v>
                </pt>
                <pt idx="365">
                  <v>9233</v>
                </pt>
                <pt idx="366">
                  <v>9236</v>
                </pt>
                <pt idx="367">
                  <v>9335</v>
                </pt>
                <pt idx="368">
                  <v>9258</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'Sporting Goods'!$D$7:$D$375</f>
              <numCache>
                <formatCode>General</formatCode>
                <ptCount val="369"/>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0.1296742299404234</v>
                </pt>
                <pt idx="355">
                  <formatCode>0.00%</formatCode>
                  <v>0.1786527387170216</v>
                </pt>
                <pt idx="356">
                  <formatCode>0.00%</formatCode>
                  <v>0.1335455124124761</v>
                </pt>
                <pt idx="357">
                  <formatCode>0.00%</formatCode>
                  <v>0.1593250901597115</v>
                </pt>
                <pt idx="358">
                  <formatCode>0.00%</formatCode>
                  <v>0.1996346555323591</v>
                </pt>
                <pt idx="359">
                  <formatCode>0.00%</formatCode>
                  <v>0.163013876280638</v>
                </pt>
                <pt idx="360">
                  <formatCode>0.00%</formatCode>
                  <v>0.03885313048566413</v>
                </pt>
                <pt idx="361">
                  <formatCode>0.00%</formatCode>
                  <v>0.1386973180076628</v>
                </pt>
                <pt idx="362">
                  <formatCode>0.00%</formatCode>
                  <v>-0.05298013245033113</v>
                </pt>
                <pt idx="363">
                  <formatCode>0.00%</formatCode>
                  <v>-0.0318138144550016</v>
                </pt>
                <pt idx="364">
                  <formatCode>0.00%</formatCode>
                  <v>0.006377130291368884</v>
                </pt>
                <pt idx="365">
                  <formatCode>0.00%</formatCode>
                  <v>0.03081388857876521</v>
                </pt>
                <pt idx="366">
                  <formatCode>0.00%</formatCode>
                  <v>0.03635547576301616</v>
                </pt>
                <pt idx="367">
                  <formatCode>0.00%</formatCode>
                  <v>0.06067492330416998</v>
                </pt>
                <pt idx="368">
                  <formatCode>0.00%</formatCode>
                  <v>0.03975741239892183</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'General Merchandising'!$B$7:$B$379</f>
              <numCache>
                <formatCode>#,##0</formatCode>
                <ptCount val="373"/>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66654</v>
                </pt>
                <pt idx="355">
                  <v>67314</v>
                </pt>
                <pt idx="356">
                  <v>67541</v>
                </pt>
                <pt idx="357">
                  <v>68382</v>
                </pt>
                <pt idx="358">
                  <v>68402</v>
                </pt>
                <pt idx="359">
                  <v>67197</v>
                </pt>
                <pt idx="360">
                  <v>69233</v>
                </pt>
                <pt idx="361">
                  <v>67568</v>
                </pt>
                <pt idx="362">
                  <v>68468</v>
                </pt>
                <pt idx="363">
                  <v>68026</v>
                </pt>
                <pt idx="364">
                  <v>68053</v>
                </pt>
                <pt idx="365">
                  <v>69621</v>
                </pt>
                <pt idx="366">
                  <v>69346</v>
                </pt>
                <pt idx="367">
                  <v>69558</v>
                </pt>
                <pt idx="368">
                  <v>70107</v>
                </pt>
                <pt idx="369">
                  <v>69979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'General Merchandising'!$D$7:$D$377</f>
              <numCache>
                <formatCode>General</formatCode>
                <ptCount val="371"/>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0.08945587682450434</v>
                </pt>
                <pt idx="355">
                  <formatCode>0.00%</formatCode>
                  <v>0.1220496066142152</v>
                </pt>
                <pt idx="356">
                  <formatCode>0.00%</formatCode>
                  <v>0.08431665302059754</v>
                </pt>
                <pt idx="357">
                  <formatCode>0.00%</formatCode>
                  <v>0.1125355893597983</v>
                </pt>
                <pt idx="358">
                  <formatCode>0.00%</formatCode>
                  <v>0.1132775625793431</v>
                </pt>
                <pt idx="359">
                  <formatCode>0.00%</formatCode>
                  <v>0.1108227398211363</v>
                </pt>
                <pt idx="360">
                  <formatCode>0.00%</formatCode>
                  <v>0.05278124144642803</v>
                </pt>
                <pt idx="361">
                  <formatCode>0.00%</formatCode>
                  <v>0.07621489893761051</v>
                </pt>
                <pt idx="362">
                  <formatCode>0.00%</formatCode>
                  <v>-0.01554299846151634</v>
                </pt>
                <pt idx="363">
                  <formatCode>0.00%</formatCode>
                  <v>-0.006905210295040804</v>
                </pt>
                <pt idx="364">
                  <formatCode>0.00%</formatCode>
                  <v>0.02373824746145167</v>
                </pt>
                <pt idx="365">
                  <formatCode>0.00%</formatCode>
                  <v>0.04087490842764663</v>
                </pt>
                <pt idx="366">
                  <formatCode>0.00%</formatCode>
                  <v>0.04038767365799502</v>
                </pt>
                <pt idx="367">
                  <formatCode>0.00%</formatCode>
                  <v>0.03333630448346555</v>
                </pt>
                <pt idx="368">
                  <formatCode>0.00%</formatCode>
                  <v>0.03799173835151982</v>
                </pt>
                <pt idx="369">
                  <formatCode>0.00%</formatCode>
                  <v>0.02335409903190898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'Food Services'!$B$7:$B$382</f>
              <numCache>
                <formatCode>#,##0</formatCode>
                <ptCount val="376"/>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77293</v>
                </pt>
                <pt idx="355">
                  <v>77564</v>
                </pt>
                <pt idx="356">
                  <v>78288</v>
                </pt>
                <pt idx="357">
                  <v>78449</v>
                </pt>
                <pt idx="358">
                  <v>79051</v>
                </pt>
                <pt idx="359">
                  <v>77583</v>
                </pt>
                <pt idx="360">
                  <v>75557</v>
                </pt>
                <pt idx="361">
                  <v>80553</v>
                </pt>
                <pt idx="362">
                  <v>82388</v>
                </pt>
                <pt idx="363">
                  <v>84481</v>
                </pt>
                <pt idx="364">
                  <v>85322</v>
                </pt>
                <pt idx="365">
                  <v>85939</v>
                </pt>
                <pt idx="366">
                  <v>85214</v>
                </pt>
                <pt idx="367">
                  <v>87305</v>
                </pt>
                <pt idx="368">
                  <v>88074</v>
                </pt>
                <pt idx="369">
                  <v>89521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'Food Services'!$D$7:$D$378</f>
              <numCache>
                <formatCode>General</formatCode>
                <ptCount val="372"/>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0.4074256163735023</v>
                </pt>
                <pt idx="355">
                  <formatCode>0.00%</formatCode>
                  <v>0.3445663667724097</v>
                </pt>
                <pt idx="356">
                  <formatCode>0.00%</formatCode>
                  <v>0.3230805631136874</v>
                </pt>
                <pt idx="357">
                  <formatCode>0.00%</formatCode>
                  <v>0.3246373875014775</v>
                </pt>
                <pt idx="358">
                  <formatCode>0.00%</formatCode>
                  <v>0.3868353186786197</v>
                </pt>
                <pt idx="359">
                  <formatCode>0.00%</formatCode>
                  <v>0.4349683719897903</v>
                </pt>
                <pt idx="360">
                  <formatCode>0.00%</formatCode>
                  <v>0.2687354121538797</v>
                </pt>
                <pt idx="361">
                  <formatCode>0.00%</formatCode>
                  <v>0.3644725252388373</v>
                </pt>
                <pt idx="362">
                  <formatCode>0.00%</formatCode>
                  <v>0.2230634482349099</v>
                </pt>
                <pt idx="363">
                  <formatCode>0.00%</formatCode>
                  <v>0.2086152877723573</v>
                </pt>
                <pt idx="364">
                  <formatCode>0.00%</formatCode>
                  <v>0.1771799116997793</v>
                </pt>
                <pt idx="365">
                  <formatCode>0.00%</formatCode>
                  <v>0.1332067460474439</v>
                </pt>
                <pt idx="366">
                  <formatCode>0.00%</formatCode>
                  <v>0.1024801728487703</v>
                </pt>
                <pt idx="367">
                  <formatCode>0.00%</formatCode>
                  <v>0.1255866123459337</v>
                </pt>
                <pt idx="368">
                  <formatCode>0.00%</formatCode>
                  <v>0.125</v>
                </pt>
                <pt idx="369">
                  <formatCode>0.00%</formatCode>
                  <v>0.1411362796211552</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'Gas Station'!$B$7:$B$382</f>
              <numCache>
                <formatCode>#,##0</formatCode>
                <ptCount val="376"/>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47861</v>
                </pt>
                <pt idx="355">
                  <v>49850</v>
                </pt>
                <pt idx="356">
                  <v>51787</v>
                </pt>
                <pt idx="357">
                  <v>54408</v>
                </pt>
                <pt idx="358">
                  <v>55209</v>
                </pt>
                <pt idx="359">
                  <v>55910</v>
                </pt>
                <pt idx="360">
                  <v>54919</v>
                </pt>
                <pt idx="361">
                  <v>58392</v>
                </pt>
                <pt idx="362">
                  <v>64656</v>
                </pt>
                <pt idx="363">
                  <v>63819</v>
                </pt>
                <pt idx="364">
                  <v>66988</v>
                </pt>
                <pt idx="365">
                  <v>68805</v>
                </pt>
                <pt idx="366">
                  <v>67283</v>
                </pt>
                <pt idx="367">
                  <v>63948</v>
                </pt>
                <pt idx="368">
                  <v>61567</v>
                </pt>
                <pt idx="369">
                  <v>64094</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0.3501749040848567</v>
                </pt>
                <pt idx="355">
                  <formatCode>0.00%</formatCode>
                  <v>0.3773001049897773</v>
                </pt>
                <pt idx="356">
                  <formatCode>0.00%</formatCode>
                  <v>0.4105518330881953</v>
                </pt>
                <pt idx="357">
                  <formatCode>0.00%</formatCode>
                  <v>0.4734333531928722</v>
                </pt>
                <pt idx="358">
                  <formatCode>0.00%</formatCode>
                  <v>0.5254054651451938</v>
                </pt>
                <pt idx="359">
                  <formatCode>0.00%</formatCode>
                  <v>0.422899753136691</v>
                </pt>
                <pt idx="360">
                  <formatCode>0.00%</formatCode>
                  <v>0.3360986765278318</v>
                </pt>
                <pt idx="361">
                  <formatCode>0.00%</formatCode>
                  <v>0.3661823541798273</v>
                </pt>
                <pt idx="362">
                  <formatCode>0.00%</formatCode>
                  <v>0.4011181900923157</v>
                </pt>
                <pt idx="363">
                  <formatCode>0.00%</formatCode>
                  <v>0.3903921568627451</v>
                </pt>
                <pt idx="364">
                  <formatCode>0.00%</formatCode>
                  <v>0.4496743058711506</v>
                </pt>
                <pt idx="365">
                  <formatCode>0.00%</formatCode>
                  <v>0.473656029128293</v>
                </pt>
                <pt idx="366">
                  <formatCode>0.00%</formatCode>
                  <v>0.4058001295417981</v>
                </pt>
                <pt idx="367">
                  <formatCode>0.00%</formatCode>
                  <v>0.2828084252758275</v>
                </pt>
                <pt idx="368">
                  <formatCode>0.00%</formatCode>
                  <v>0.1888504837121285</v>
                </pt>
                <pt idx="369">
                  <formatCode>0.00%</formatCode>
                  <v>0.1780252903984708</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Motor!$B$7:$B$381</f>
              <numCache>
                <formatCode>#,##0</formatCode>
                <ptCount val="375"/>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122328</v>
                </pt>
                <pt idx="355">
                  <v>119616</v>
                </pt>
                <pt idx="356">
                  <v>121092</v>
                </pt>
                <pt idx="357">
                  <v>123008</v>
                </pt>
                <pt idx="358">
                  <v>123671</v>
                </pt>
                <pt idx="359">
                  <v>120807</v>
                </pt>
                <pt idx="360">
                  <v>129666</v>
                </pt>
                <pt idx="361">
                  <v>131428</v>
                </pt>
                <pt idx="362">
                  <v>128522</v>
                </pt>
                <pt idx="363">
                  <v>130811</v>
                </pt>
                <pt idx="364">
                  <v>126390</v>
                </pt>
                <pt idx="365">
                  <v>127104</v>
                </pt>
                <pt idx="366">
                  <v>124553</v>
                </pt>
                <pt idx="367">
                  <v>128149</v>
                </pt>
                <pt idx="368">
                  <v>127764</v>
                </pt>
                <pt idx="369">
                  <v>129461</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Motor!$D$7:$D$376</f>
              <numCache>
                <formatCode>General</formatCode>
                <ptCount val="37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0.1558696802479401</v>
                </pt>
                <pt idx="355">
                  <formatCode>0.00%</formatCode>
                  <v>0.1154567072317807</v>
                </pt>
                <pt idx="356">
                  <formatCode>0.00%</formatCode>
                  <v>0.09064380156356955</v>
                </pt>
                <pt idx="357">
                  <formatCode>0.00%</formatCode>
                  <v>0.1135775198710869</v>
                </pt>
                <pt idx="358">
                  <formatCode>0.00%</formatCode>
                  <v>0.1353567067852782</v>
                </pt>
                <pt idx="359">
                  <formatCode>0.00%</formatCode>
                  <v>0.0875087769835983</v>
                </pt>
                <pt idx="360">
                  <formatCode>0.00%</formatCode>
                  <v>0.1272167744627582</v>
                </pt>
                <pt idx="361">
                  <formatCode>0.00%</formatCode>
                  <v>0.1758159175493845</v>
                </pt>
                <pt idx="362">
                  <formatCode>0.00%</formatCode>
                  <v>-0.01970176576026849</v>
                </pt>
                <pt idx="363">
                  <formatCode>0.00%</formatCode>
                  <v>-0.01982661081846587</v>
                </pt>
                <pt idx="364">
                  <formatCode>0.00%</formatCode>
                  <v>-0.03624287990971688</v>
                </pt>
                <pt idx="365">
                  <formatCode>0.00%</formatCode>
                  <v>0.0002124696050426119</v>
                </pt>
                <pt idx="366">
                  <formatCode>0.00%</formatCode>
                  <v>0.01818880387155843</v>
                </pt>
                <pt idx="367">
                  <formatCode>0.00%</formatCode>
                  <v>0.07133661048689138</v>
                </pt>
                <pt idx="368">
                  <formatCode>0.00%</formatCode>
                  <v>0.05509860271529085</v>
                </pt>
                <pt idx="369">
                  <formatCode>0.00%</formatCode>
                  <v>0.05246000260145681</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Housing!$B$7:$B$384</f>
              <numCache>
                <formatCode>#,##0</formatCode>
                <ptCount val="378"/>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38848</v>
                </pt>
                <pt idx="355">
                  <v>38913</v>
                </pt>
                <pt idx="356">
                  <v>39261</v>
                </pt>
                <pt idx="357">
                  <v>40040</v>
                </pt>
                <pt idx="358">
                  <v>40880</v>
                </pt>
                <pt idx="359">
                  <v>41207</v>
                </pt>
                <pt idx="360">
                  <v>42170</v>
                </pt>
                <pt idx="361">
                  <v>42307</v>
                </pt>
                <pt idx="362">
                  <v>42572</v>
                </pt>
                <pt idx="363">
                  <v>42168</v>
                </pt>
                <pt idx="364">
                  <v>42257</v>
                </pt>
                <pt idx="365">
                  <v>42131</v>
                </pt>
                <pt idx="366">
                  <v>42597</v>
                </pt>
                <pt idx="367">
                  <v>43314</v>
                </pt>
                <pt idx="368">
                  <v>43246</v>
                </pt>
                <pt idx="369">
                  <v>43719</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Housing!$D$7:$D$383</f>
              <numCache>
                <formatCode>General</formatCode>
                <ptCount val="377"/>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0.0780929122495421</v>
                </pt>
                <pt idx="355">
                  <formatCode>0.00%</formatCode>
                  <v>0.05911651833101984</v>
                </pt>
                <pt idx="356">
                  <formatCode>0.00%</formatCode>
                  <v>0.06369547548089949</v>
                </pt>
                <pt idx="357">
                  <formatCode>0.00%</formatCode>
                  <v>0.0970464135021097</v>
                </pt>
                <pt idx="358">
                  <formatCode>0.00%</formatCode>
                  <v>0.1182536860245644</v>
                </pt>
                <pt idx="359">
                  <formatCode>0.00%</formatCode>
                  <v>0.1280935173017959</v>
                </pt>
                <pt idx="360">
                  <formatCode>0.00%</formatCode>
                  <v>0.09017113903107389</v>
                </pt>
                <pt idx="361">
                  <formatCode>0.00%</formatCode>
                  <v>0.1435251506878936</v>
                </pt>
                <pt idx="362">
                  <formatCode>0.00%</formatCode>
                  <v>0.01961535698033674</v>
                </pt>
                <pt idx="363">
                  <formatCode>0.00%</formatCode>
                  <v>0.01216965507308994</v>
                </pt>
                <pt idx="364">
                  <formatCode>0.00%</formatCode>
                  <v>0.06077417411386685</v>
                </pt>
                <pt idx="365">
                  <formatCode>0.00%</formatCode>
                  <v>0.07342862238528371</v>
                </pt>
                <pt idx="366">
                  <formatCode>0.00%</formatCode>
                  <v>0.09650432454695222</v>
                </pt>
                <pt idx="367">
                  <formatCode>0.00%</formatCode>
                  <v>0.11309845038933</v>
                </pt>
                <pt idx="368">
                  <formatCode>0.00%</formatCode>
                  <v>0.1015002164998344</v>
                </pt>
                <pt idx="369">
                  <formatCode>0.00%</formatCode>
                  <v>0.09188311688311689</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'Furniture Home'!$B$7:$B$382</f>
              <numCache>
                <formatCode>#,##0</formatCode>
                <ptCount val="376"/>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20304</v>
                </pt>
                <pt idx="355">
                  <v>19888</v>
                </pt>
                <pt idx="356">
                  <v>20043</v>
                </pt>
                <pt idx="357">
                  <v>20446</v>
                </pt>
                <pt idx="358">
                  <v>19252</v>
                </pt>
                <pt idx="359">
                  <v>18443</v>
                </pt>
                <pt idx="360">
                  <v>19257</v>
                </pt>
                <pt idx="361">
                  <v>19617</v>
                </pt>
                <pt idx="362">
                  <v>19770</v>
                </pt>
                <pt idx="363">
                  <v>20080</v>
                </pt>
                <pt idx="364">
                  <v>19740</v>
                </pt>
                <pt idx="365">
                  <v>19554</v>
                </pt>
                <pt idx="366">
                  <v>19544</v>
                </pt>
                <pt idx="367">
                  <v>19474</v>
                </pt>
                <pt idx="368">
                  <v>19370</v>
                </pt>
                <pt idx="369">
                  <v>19480</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'Furniture Home'!$D$7:$D$383</f>
              <numCache>
                <formatCode>General</formatCode>
                <ptCount val="377"/>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0.1941422101982003</v>
                </pt>
                <pt idx="355">
                  <formatCode>0.00%</formatCode>
                  <v>0.1354190454441653</v>
                </pt>
                <pt idx="356">
                  <formatCode>0.00%</formatCode>
                  <v>0.1433542498573873</v>
                </pt>
                <pt idx="357">
                  <formatCode>0.00%</formatCode>
                  <v>0.1585448776065277</v>
                </pt>
                <pt idx="358">
                  <formatCode>0.00%</formatCode>
                  <v>0.1208010711998603</v>
                </pt>
                <pt idx="359">
                  <formatCode>0.00%</formatCode>
                  <v>0.08975419522571496</v>
                </pt>
                <pt idx="360">
                  <formatCode>0.00%</formatCode>
                  <v>0.001039663149139679</v>
                </pt>
                <pt idx="361">
                  <formatCode>0.00%</formatCode>
                  <v>0.07132324832068156</v>
                </pt>
                <pt idx="362">
                  <formatCode>0.00%</formatCode>
                  <v>-0.01499676149668676</v>
                </pt>
                <pt idx="363">
                  <formatCode>0.00%</formatCode>
                  <v>-0.005940594059405941</v>
                </pt>
                <pt idx="364">
                  <formatCode>0.00%</formatCode>
                  <v>-0.01590308589660502</v>
                </pt>
                <pt idx="365">
                  <formatCode>0.00%</formatCode>
                  <v>-0.04376742138979901</v>
                </pt>
                <pt idx="366">
                  <formatCode>0.00%</formatCode>
                  <v>-0.03743104806934594</v>
                </pt>
                <pt idx="367">
                  <formatCode>0.00%</formatCode>
                  <v>-0.02081657280772325</v>
                </pt>
                <pt idx="368">
                  <formatCode>0.00%</formatCode>
                  <v>-0.03357780771341615</v>
                </pt>
                <pt idx="369">
                  <formatCode>0.00%</formatCode>
                  <v>-0.04724640516482442</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'Miscellaneous stores retailers'!$B$7:$B$381</f>
              <numCache>
                <formatCode>#,##0</formatCode>
                <ptCount val="375"/>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13833</v>
                </pt>
                <pt idx="355">
                  <v>14073</v>
                </pt>
                <pt idx="356">
                  <v>14403</v>
                </pt>
                <pt idx="357">
                  <v>14535</v>
                </pt>
                <pt idx="358">
                  <v>14381</v>
                </pt>
                <pt idx="359">
                  <v>14285</v>
                </pt>
                <pt idx="360">
                  <v>14527</v>
                </pt>
                <pt idx="361">
                  <v>14986</v>
                </pt>
                <pt idx="362">
                  <v>15490</v>
                </pt>
                <pt idx="363">
                  <v>15864</v>
                </pt>
                <pt idx="364">
                  <v>15515</v>
                </pt>
                <pt idx="365">
                  <v>16110</v>
                </pt>
                <pt idx="366">
                  <v>15898</v>
                </pt>
                <pt idx="367">
                  <v>15934</v>
                </pt>
                <pt idx="368">
                  <v>15994</v>
                </pt>
                <pt idx="369">
                  <v>16040</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'Miscellaneous stores retailers'!$D$7:$D$381</f>
              <numCache>
                <formatCode>General</formatCode>
                <ptCount val="375"/>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0.257888515049559</v>
                </pt>
                <pt idx="355">
                  <formatCode>0.00%</formatCode>
                  <v>0.2594415607660641</v>
                </pt>
                <pt idx="356">
                  <formatCode>0.00%</formatCode>
                  <v>0.2862118235399179</v>
                </pt>
                <pt idx="357">
                  <formatCode>0.00%</formatCode>
                  <v>0.2963788797716732</v>
                </pt>
                <pt idx="358">
                  <formatCode>0.00%</formatCode>
                  <v>0.2807017543859649</v>
                </pt>
                <pt idx="359">
                  <formatCode>0.00%</formatCode>
                  <v>0.2103880698186748</v>
                </pt>
                <pt idx="360">
                  <formatCode>0.00%</formatCode>
                  <v>0.2274609209970427</v>
                </pt>
                <pt idx="361">
                  <formatCode>0.00%</formatCode>
                  <v>0.2916738493363213</v>
                </pt>
                <pt idx="362">
                  <formatCode>0.00%</formatCode>
                  <v>0.1761579347000759</v>
                </pt>
                <pt idx="363">
                  <formatCode>0.00%</formatCode>
                  <v>0.1935896471296366</v>
                </pt>
                <pt idx="364">
                  <formatCode>0.00%</formatCode>
                  <v>0.242989905463868</v>
                </pt>
                <pt idx="365">
                  <formatCode>0.00%</formatCode>
                  <v>0.1856049455401825</v>
                </pt>
                <pt idx="366">
                  <formatCode>0.00%</formatCode>
                  <v>0.1492807055591701</v>
                </pt>
                <pt idx="367">
                  <formatCode>0.00%</formatCode>
                  <v>0.1322390392951041</v>
                </pt>
                <pt idx="368">
                  <formatCode>0.00%</formatCode>
                  <v>0.1104630979657016</v>
                </pt>
                <pt idx="369">
                  <formatCode>0.00%</formatCode>
                  <v>0.1035431716546268</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'Clothing and clothing access'!$B$7:$B$382</f>
              <numCache>
                <formatCode>#,##0</formatCode>
                <ptCount val="376"/>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25397</v>
                </pt>
                <pt idx="355">
                  <v>24874</v>
                </pt>
                <pt idx="356">
                  <v>25264</v>
                </pt>
                <pt idx="357">
                  <v>25609</v>
                </pt>
                <pt idx="358">
                  <v>25784</v>
                </pt>
                <pt idx="359">
                  <v>25051</v>
                </pt>
                <pt idx="360">
                  <v>25160</v>
                </pt>
                <pt idx="361">
                  <v>25481</v>
                </pt>
                <pt idx="362">
                  <v>26157</v>
                </pt>
                <pt idx="363">
                  <v>26166</v>
                </pt>
                <pt idx="364">
                  <v>25812</v>
                </pt>
                <pt idx="365">
                  <v>26004</v>
                </pt>
                <pt idx="366">
                  <v>25889</v>
                </pt>
                <pt idx="367">
                  <v>26145</v>
                </pt>
                <pt idx="368">
                  <v>26396</v>
                </pt>
                <pt idx="369">
                  <v>26391</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access'!$A$19:$A$383</f>
              <numCache>
                <formatCode>[$-409]mmm\-yy;@</formatCode>
                <ptCount val="36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'Clothing and clothing access'!$D$19:$D$383</f>
              <numCache>
                <formatCode>0.00%</formatCode>
                <ptCount val="365"/>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0.4178762840553819</v>
                </pt>
                <pt idx="343">
                  <v>0.3518478260869565</v>
                </pt>
                <pt idx="344">
                  <v>0.2130407643923753</v>
                </pt>
                <pt idx="345">
                  <v>0.2613406885681919</v>
                </pt>
                <pt idx="346">
                  <v>0.355839512015565</v>
                </pt>
                <pt idx="347">
                  <v>0.2521117608836907</v>
                </pt>
                <pt idx="348">
                  <v>0.1928127814914901</v>
                </pt>
                <pt idx="349">
                  <v>0.2801949356913183</v>
                </pt>
                <pt idx="350">
                  <v>0.08901286481535452</v>
                </pt>
                <pt idx="351">
                  <v>0.0870793518903199</v>
                </pt>
                <pt idx="352">
                  <v>0.04126830448989471</v>
                </pt>
                <pt idx="353">
                  <v>0.007946044420326369</v>
                </pt>
                <pt idx="354">
                  <v>0.01937236681497815</v>
                </pt>
                <pt idx="355">
                  <v>0.05109753155905765</v>
                </pt>
                <pt idx="356">
                  <v>0.0448068397720076</v>
                </pt>
                <pt idx="357">
                  <v>0.03053613963840837</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264706</colOff>
      <row>346</row>
      <rowOff>48993</rowOff>
    </from>
    <to>
      <col>11</col>
      <colOff>521883</colOff>
      <row>363</row>
      <rowOff>29943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259943</colOff>
      <row>363</row>
      <rowOff>48993</rowOff>
    </from>
    <to>
      <col>11</col>
      <colOff>531407</colOff>
      <row>379</row>
      <rowOff>138453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26582</colOff>
      <row>363</row>
      <rowOff>11453</rowOff>
    </from>
    <to>
      <col>20</col>
      <colOff>148166</colOff>
      <row>379</row>
      <rowOff>190498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330200</colOff>
      <row>358</row>
      <rowOff>177800</rowOff>
    </from>
    <to>
      <col>16</col>
      <colOff>571499</colOff>
      <row>380</row>
      <rowOff>144461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346074</colOff>
      <row>335</row>
      <rowOff>63500</rowOff>
    </from>
    <to>
      <col>16</col>
      <colOff>558800</colOff>
      <row>358</row>
      <rowOff>23811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197907</colOff>
      <row>361</row>
      <rowOff>18520</rowOff>
    </from>
    <to>
      <col>14</col>
      <colOff>542396</colOff>
      <row>384</row>
      <rowOff>153458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223570</colOff>
      <row>360</row>
      <rowOff>181503</rowOff>
    </from>
    <to>
      <col>26</col>
      <colOff>71437</colOff>
      <row>384</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16</col>
      <colOff>614362</colOff>
      <row>354</row>
      <rowOff>34925</rowOff>
    </from>
    <to>
      <col>29</col>
      <colOff>301625</colOff>
      <row>380</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190499</colOff>
      <row>354</row>
      <rowOff>44449</rowOff>
    </from>
    <to>
      <col>16</col>
      <colOff>365124</colOff>
      <row>379</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16</col>
      <colOff>398462</colOff>
      <row>356</row>
      <rowOff>158750</rowOff>
    </from>
    <to>
      <col>28</col>
      <colOff>7938</colOff>
      <row>379</row>
      <rowOff>84138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196850</colOff>
      <row>356</row>
      <rowOff>123825</rowOff>
    </from>
    <to>
      <col>16</col>
      <colOff>31750</colOff>
      <row>379</row>
      <rowOff>79374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18</col>
      <colOff>96307</colOff>
      <row>351</row>
      <rowOff>42334</rowOff>
    </from>
    <to>
      <col>30</col>
      <colOff>554729</colOff>
      <row>379</row>
      <rowOff>118535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550333</colOff>
      <row>379</row>
      <rowOff>84667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14</col>
      <colOff>113769</colOff>
      <row>357</row>
      <rowOff>142725</rowOff>
    </from>
    <to>
      <col>24</col>
      <colOff>344714</colOff>
      <row>379</row>
      <rowOff>9072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150737</colOff>
      <row>357</row>
      <rowOff>145748</rowOff>
    </from>
    <to>
      <col>13</col>
      <colOff>625928</colOff>
      <row>379</row>
      <rowOff>9071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13</col>
      <colOff>462883</colOff>
      <row>359</row>
      <rowOff>131596</rowOff>
    </from>
    <to>
      <col>23</col>
      <colOff>78846</colOff>
      <row>380</row>
      <rowOff>24343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143990</colOff>
      <row>359</row>
      <rowOff>176490</rowOff>
    </from>
    <to>
      <col>13</col>
      <colOff>291042</colOff>
      <row>380</row>
      <rowOff>17464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16</col>
      <colOff>28572</colOff>
      <row>349</row>
      <rowOff>29482</rowOff>
    </from>
    <to>
      <col>27</col>
      <colOff>523875</colOff>
      <row>374</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88229</colOff>
      <row>349</row>
      <rowOff>55143</rowOff>
    </from>
    <to>
      <col>15</col>
      <colOff>390070</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16</col>
      <colOff>212724</colOff>
      <row>354</row>
      <rowOff>186872</rowOff>
    </from>
    <to>
      <col>28</col>
      <colOff>266700</colOff>
      <row>379</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120648</colOff>
      <row>355</row>
      <rowOff>34924</rowOff>
    </from>
    <to>
      <col>15</col>
      <colOff>556986</colOff>
      <row>379</row>
      <rowOff>157843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14</col>
      <colOff>450850</colOff>
      <row>355</row>
      <rowOff>69852</rowOff>
    </from>
    <to>
      <col>25</col>
      <colOff>74083</colOff>
      <row>377</row>
      <rowOff>105833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230715</colOff>
      <row>355</row>
      <rowOff>88900</rowOff>
    </from>
    <to>
      <col>14</col>
      <colOff>306917</colOff>
      <row>377</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15</col>
      <colOff>209474</colOff>
      <row>353</row>
      <rowOff>149678</rowOff>
    </from>
    <to>
      <col>26</col>
      <colOff>95250</colOff>
      <row>376</row>
      <rowOff>148166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181579</colOff>
      <row>353</row>
      <rowOff>159052</rowOff>
    </from>
    <to>
      <col>15</col>
      <colOff>74084</colOff>
      <row>376</row>
      <rowOff>158751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12</col>
      <colOff>345035</colOff>
      <row>360</row>
      <rowOff>1014</rowOff>
    </from>
    <to>
      <col>20</col>
      <colOff>371928</colOff>
      <row>377</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191195</colOff>
      <row>360</row>
      <rowOff>9071</rowOff>
    </from>
    <to>
      <col>12</col>
      <colOff>254000</colOff>
      <row>377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15</col>
      <colOff>414458</colOff>
      <row>366</row>
      <rowOff>105036</rowOff>
    </from>
    <to>
      <col>25</col>
      <colOff>625928</colOff>
      <row>388</row>
      <rowOff>27214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150393</colOff>
      <row>366</row>
      <rowOff>90714</rowOff>
    </from>
    <to>
      <col>15</col>
      <colOff>290284</colOff>
      <row>388</row>
      <rowOff>54428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6" headerRowCount="1" totalsRowShown="0" headerRowDxfId="50" dataDxfId="48" headerRowBorderDxfId="49" tableBorderDxfId="47">
  <autoFilter ref="A6:D376"/>
  <tableColumns count="4">
    <tableColumn id="1" name="Date" dataDxfId="46"/>
    <tableColumn id="2" name="Retail Sales mil$" dataDxfId="45" dataCellStyle="Normal 2">
      <calculatedColumnFormula>VLOOKUP(A7,Database!A:M,MATCH($A$1,Database!$A$1:$M$1,),)</calculatedColumnFormula>
    </tableColumn>
    <tableColumn id="3" name="mom" dataDxfId="44">
      <calculatedColumnFormula>(B7-B6)/B6</calculatedColumnFormula>
    </tableColumn>
    <tableColumn id="4" name="yoy" dataDxfId="43"/>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6" headerRowCount="1" totalsRowShown="0" headerRowDxfId="42" dataDxfId="40" headerRowBorderDxfId="41" tableBorderDxfId="39">
  <autoFilter ref="A6:D376"/>
  <tableColumns count="4">
    <tableColumn id="1" name="Date" dataDxfId="38"/>
    <tableColumn id="2" name="Retail Sales (RSAFS), Millions of Dollars" dataDxfId="37" dataCellStyle="Normal 2">
      <calculatedColumnFormula>VLOOKUP(A7,Database!A:K,MATCH('Retail Sales'!$A$1,Database!$A$1:$K$1,),)</calculatedColumnFormula>
    </tableColumn>
    <tableColumn id="3" name="mom %" dataDxfId="36">
      <calculatedColumnFormula>(B7-B6)/B6</calculatedColumnFormula>
    </tableColumn>
    <tableColumn id="4" name="yoy %" dataDxfId="35"/>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6" headerRowCount="1" totalsRowShown="0" headerRowDxfId="34" dataDxfId="32" headerRowBorderDxfId="33" tableBorderDxfId="31">
  <autoFilter ref="A6:D376"/>
  <tableColumns count="4">
    <tableColumn id="1" name="Date" dataDxfId="30"/>
    <tableColumn id="2" name="Retail and Food Services Excluding Motor Vehicles and Parts Dealers, Retail Sales mil$" dataDxfId="29" dataCellStyle="Normal 2">
      <calculatedColumnFormula>VLOOKUP(A7,Database!A:M,MATCH($A$1,Database!$A$1:$M$1,),)</calculatedColumnFormula>
    </tableColumn>
    <tableColumn id="3" name="mom %" dataDxfId="28">
      <calculatedColumnFormula>(B7-B6)/B6</calculatedColumnFormula>
    </tableColumn>
    <tableColumn id="4" name="yoy %" dataDxfId="27"/>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6" headerRowCount="1" totalsRowShown="0" headerRowDxfId="26" headerRowBorderDxfId="25" tableBorderDxfId="24">
  <autoFilter ref="A6:D376"/>
  <tableColumns count="4">
    <tableColumn id="1" name="Date" dataDxfId="23"/>
    <tableColumn id="2" name="Building Materials. mil$" dataDxfId="22" dataCellStyle="Normal 2">
      <calculatedColumnFormula>VLOOKUP(A7,Database!A:K,MATCH($A$1,Database!$A$1:$K$1,),)</calculatedColumnFormula>
    </tableColumn>
    <tableColumn id="3" name="Change m/m" dataDxfId="21">
      <calculatedColumnFormula>(B7-B6)/B6</calculatedColumnFormula>
    </tableColumn>
    <tableColumn id="4" name="Change y/y " dataDxfId="20"/>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6" headerRowCount="1" totalsRowShown="0" headerRowDxfId="19" tableBorderDxfId="18">
  <autoFilter ref="A6:D376"/>
  <tableColumns count="4">
    <tableColumn id="1" name="Date" dataDxfId="17"/>
    <tableColumn id="2" name="Retail Sales mil$" dataDxfId="16" dataCellStyle="Normal 2">
      <calculatedColumnFormula>VLOOKUP(A7,Database!A:K,MATCH($A$1,Database!$A$1:$K$1,),)+VLOOKUP(A7,Database!A:K,MATCH($B$1,Database!$A$1:$K$1,),)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6" headerRowCount="1" totalsRowShown="0" headerRowDxfId="13" headerRowBorderDxfId="12" tableBorderDxfId="11">
  <autoFilter ref="A6:D376"/>
  <tableColumns count="4">
    <tableColumn id="1" name="Date" dataDxfId="10"/>
    <tableColumn id="2" name=" Miscellaneous stores retailers, mil$" dataDxfId="9" dataCellStyle="Normal 2">
      <calculatedColumnFormula>VLOOKUP(A7,Database!A:Q,MATCH($A$1,Database!$A$1:$Q$1,),)</calculatedColumnFormula>
    </tableColumn>
    <tableColumn id="3" name="mom" dataDxfId="8">
      <calculatedColumnFormula>(B7-B6)/B6</calculatedColumnFormula>
    </tableColumn>
    <tableColumn id="4" name="yoy" dataDxfId="7"/>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6" headerRowCount="1" totalsRowShown="0" headerRowDxfId="6" headerRowBorderDxfId="5" tableBorderDxfId="4">
  <autoFilter ref="A6:D376"/>
  <tableColumns count="4">
    <tableColumn id="1" name="Date" dataDxfId="3"/>
    <tableColumn id="2" name="Clothing and clothing access. Stores, mil$" dataDxfId="2" dataCellStyle="Normal 2">
      <calculatedColumnFormula>VLOOKUP(A7,Database!A:Q,MATCH($A$1,Database!$A$1:$Q$1,),)</calculatedColumnFormula>
    </tableColumn>
    <tableColumn id="3" name="mom" dataDxfId="1">
      <calculatedColumnFormula>(B7-B6)/B6</calculatedColumnFormula>
    </tableColumn>
    <tableColumn id="4"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opLeftCell="D8" zoomScale="80" zoomScaleNormal="80" workbookViewId="0">
      <selection activeCell="P14" sqref="P14"/>
    </sheetView>
  </sheetViews>
  <sheetFormatPr baseColWidth="8" defaultColWidth="9.1796875" defaultRowHeight="14.5"/>
  <cols>
    <col width="9.1796875" customWidth="1" style="114" min="1" max="1"/>
    <col width="12.81640625" customWidth="1" style="114" min="2" max="10"/>
    <col width="3.36328125" customWidth="1" style="114" min="11" max="13"/>
    <col width="18.6328125" customWidth="1" style="114" min="14" max="14"/>
    <col width="30.36328125" customWidth="1" style="114" min="15" max="15"/>
    <col width="12.36328125" customWidth="1" style="114" min="16" max="19"/>
    <col width="9.1796875" customWidth="1" style="114" min="20" max="35"/>
    <col width="9.1796875" customWidth="1" style="114" min="36" max="16384"/>
  </cols>
  <sheetData>
    <row r="1">
      <c r="B1" s="123" t="n"/>
    </row>
    <row r="2" ht="16" customHeight="1" s="95" thickBot="1">
      <c r="B2" s="124" t="n"/>
      <c r="C2" s="124" t="n"/>
      <c r="D2" s="124" t="n"/>
      <c r="E2" s="124" t="n"/>
      <c r="F2" s="124" t="n"/>
      <c r="G2" s="124" t="n"/>
      <c r="H2" s="124" t="n"/>
      <c r="I2" s="124" t="n"/>
      <c r="J2" s="124" t="n"/>
    </row>
    <row r="3" ht="16" customHeight="1" s="95" thickBot="1">
      <c r="B3" s="125" t="inlineStr">
        <is>
          <t>Retail Sales</t>
        </is>
      </c>
      <c r="C3" s="126" t="n"/>
      <c r="D3" s="126" t="n"/>
      <c r="E3" s="126" t="n"/>
      <c r="F3" s="126" t="n"/>
      <c r="G3" s="126" t="n"/>
      <c r="H3" s="126" t="n"/>
      <c r="I3" s="126" t="n"/>
      <c r="J3" s="127" t="n"/>
    </row>
    <row r="5">
      <c r="B5" s="117" t="inlineStr">
        <is>
          <t>Definition</t>
        </is>
      </c>
      <c r="C5" s="118" t="n"/>
      <c r="D5" s="118" t="n"/>
      <c r="E5" s="118" t="n"/>
      <c r="F5" s="118" t="n"/>
      <c r="G5" s="118" t="n"/>
      <c r="H5" s="118" t="n"/>
      <c r="I5" s="118" t="n"/>
      <c r="J5" s="119" t="n"/>
    </row>
    <row r="7" ht="147.75" customHeight="1" s="95">
      <c r="B7" s="128"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9"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9" t="n"/>
      <c r="N10" s="117" t="inlineStr">
        <is>
          <t>Summary</t>
        </is>
      </c>
      <c r="O10" s="118" t="n"/>
      <c r="P10" s="118" t="n"/>
      <c r="Q10" s="119" t="n"/>
    </row>
    <row r="12">
      <c r="B12" s="117" t="inlineStr">
        <is>
          <t>TO DO LIST</t>
        </is>
      </c>
      <c r="C12" s="118" t="n"/>
      <c r="D12" s="118" t="n"/>
      <c r="E12" s="118" t="n"/>
      <c r="F12" s="119" t="n"/>
      <c r="G12" s="117" t="inlineStr">
        <is>
          <t>Comments</t>
        </is>
      </c>
      <c r="H12" s="118" t="n"/>
      <c r="I12" s="118" t="n"/>
      <c r="J12" s="119" t="n"/>
      <c r="N12" s="8" t="inlineStr">
        <is>
          <t>* To modify</t>
        </is>
      </c>
    </row>
    <row r="13" ht="16" customHeight="1" s="95" thickBot="1"/>
    <row r="14">
      <c r="B14" s="114" t="inlineStr">
        <is>
          <t>Database</t>
        </is>
      </c>
      <c r="G14" s="114" t="n"/>
      <c r="P14" s="68" t="n">
        <v>44835</v>
      </c>
      <c r="Q14" s="69" t="n"/>
    </row>
    <row r="15" ht="16" customHeight="1" s="95" thickBot="1">
      <c r="B15" s="114" t="inlineStr">
        <is>
          <t>Create data on Fred</t>
        </is>
      </c>
      <c r="G15" s="114" t="n"/>
      <c r="N15" s="129" t="inlineStr">
        <is>
          <t>www.duponttrading.com</t>
        </is>
      </c>
      <c r="P15" s="70" t="inlineStr">
        <is>
          <t>mom</t>
        </is>
      </c>
      <c r="Q15" s="70" t="inlineStr">
        <is>
          <t>yoy</t>
        </is>
      </c>
    </row>
    <row r="16" ht="15.75" customHeight="1" s="95">
      <c r="B16" s="114" t="inlineStr">
        <is>
          <t>https://research.stlouisfed.org/useraccount/datalists</t>
        </is>
      </c>
      <c r="G16" s="116" t="n"/>
      <c r="N16" s="120" t="inlineStr">
        <is>
          <t>Retail Sales</t>
        </is>
      </c>
      <c r="O16" s="121" t="n"/>
      <c r="P16" s="96">
        <f>Recap!F7</f>
        <v/>
      </c>
      <c r="Q16" s="97">
        <f>Recap!G7</f>
        <v/>
      </c>
      <c r="S16" s="71" t="n"/>
    </row>
    <row r="17" ht="15.75" customHeight="1" s="95">
      <c r="G17" s="116" t="n"/>
      <c r="N17" s="122" t="inlineStr">
        <is>
          <t>Retail Sales ex Auto</t>
        </is>
      </c>
      <c r="O17" s="119" t="n"/>
      <c r="P17" s="98">
        <f>Recap!F8</f>
        <v/>
      </c>
      <c r="Q17" s="99">
        <f>Recap!G8</f>
        <v/>
      </c>
      <c r="S17" s="71" t="n"/>
    </row>
    <row r="18" ht="15.75" customHeight="1" s="95">
      <c r="B18" s="114" t="inlineStr">
        <is>
          <t>https://fred.stlouisfed.org/series/RSAFs</t>
        </is>
      </c>
      <c r="G18" s="100" t="inlineStr">
        <is>
          <t>Retail Sales</t>
        </is>
      </c>
      <c r="H18" s="67" t="n"/>
      <c r="I18" s="67" t="n"/>
      <c r="J18" s="67" t="n"/>
      <c r="N18" s="122" t="inlineStr">
        <is>
          <t>Retail Sales ex Auto and Gas</t>
        </is>
      </c>
      <c r="O18" s="119" t="n"/>
      <c r="P18" s="98">
        <f>Recap!F9</f>
        <v/>
      </c>
      <c r="Q18" s="99">
        <f>Recap!G9</f>
        <v/>
      </c>
      <c r="S18" s="71" t="n"/>
    </row>
    <row r="19" ht="15.75" customHeight="1" s="95">
      <c r="B19" s="114" t="inlineStr">
        <is>
          <t>https://fred.stlouisfed.org/series/RSFSXMV</t>
        </is>
      </c>
      <c r="G19" s="100" t="inlineStr">
        <is>
          <t>Retail Sales ex Auto</t>
        </is>
      </c>
      <c r="H19" s="67" t="n"/>
      <c r="I19" s="67" t="n"/>
      <c r="J19" s="67" t="n"/>
      <c r="N19" s="122" t="inlineStr">
        <is>
          <t>Motor Vechicle</t>
        </is>
      </c>
      <c r="O19" s="119" t="n"/>
      <c r="P19" s="98">
        <f>Recap!F10</f>
        <v/>
      </c>
      <c r="Q19" s="99">
        <f>Recap!G10</f>
        <v/>
      </c>
      <c r="S19" s="71" t="n"/>
    </row>
    <row r="20" ht="15.75" customHeight="1" s="95">
      <c r="B20" s="114" t="inlineStr">
        <is>
          <t>https://fred.stlouisfed.org/series/MARTSSM44W72USS</t>
        </is>
      </c>
      <c r="G20" s="100" t="inlineStr">
        <is>
          <t>Retail Sales ex Auto and Gas</t>
        </is>
      </c>
      <c r="H20" s="67" t="n"/>
      <c r="I20" s="67" t="n"/>
      <c r="J20" s="67" t="n"/>
      <c r="N20" s="122" t="inlineStr">
        <is>
          <t>Non Store</t>
        </is>
      </c>
      <c r="O20" s="119" t="n"/>
      <c r="P20" s="98">
        <f>Recap!F11</f>
        <v/>
      </c>
      <c r="Q20" s="99">
        <f>Recap!G11</f>
        <v/>
      </c>
    </row>
    <row r="21" ht="15.75" customHeight="1" s="95">
      <c r="B21" s="114" t="inlineStr">
        <is>
          <t>https://fred.stlouisfed.org/series/RSDBs</t>
        </is>
      </c>
      <c r="G21" s="100" t="inlineStr">
        <is>
          <t>Food&amp;Beverage</t>
        </is>
      </c>
      <c r="H21" s="67" t="n"/>
      <c r="I21" s="67" t="n"/>
      <c r="J21" s="67" t="n"/>
      <c r="N21" s="122" t="inlineStr">
        <is>
          <t>Food &amp; Beverage</t>
        </is>
      </c>
      <c r="O21" s="119" t="n"/>
      <c r="P21" s="98">
        <f>Recap!F12</f>
        <v/>
      </c>
      <c r="Q21" s="99">
        <f>Recap!G12</f>
        <v/>
      </c>
    </row>
    <row r="22" ht="15.75" customHeight="1" s="95">
      <c r="B22" s="114" t="inlineStr">
        <is>
          <t>https://fred.stlouisfed.org/series/RSNSr</t>
        </is>
      </c>
      <c r="G22" s="100" t="inlineStr">
        <is>
          <t>NonStore</t>
        </is>
      </c>
      <c r="H22" s="67" t="n"/>
      <c r="I22" s="67" t="n"/>
      <c r="J22" s="67" t="n"/>
      <c r="N22" s="122" t="inlineStr">
        <is>
          <t>Food Services</t>
        </is>
      </c>
      <c r="O22" s="119" t="n"/>
      <c r="P22" s="98">
        <f>Recap!F13</f>
        <v/>
      </c>
      <c r="Q22" s="99">
        <f>Recap!G13</f>
        <v/>
      </c>
    </row>
    <row r="23" ht="15.75" customHeight="1" s="95">
      <c r="B23" s="114" t="inlineStr">
        <is>
          <t>https://fred.stlouisfed.org/series/RSHPCs</t>
        </is>
      </c>
      <c r="G23" s="100" t="inlineStr">
        <is>
          <t>HealthCare</t>
        </is>
      </c>
      <c r="H23" s="67" t="n"/>
      <c r="I23" s="67" t="n"/>
      <c r="J23" s="67" t="n"/>
      <c r="N23" s="122" t="inlineStr">
        <is>
          <t>General Merchandising</t>
        </is>
      </c>
      <c r="O23" s="119" t="n"/>
      <c r="P23" s="98">
        <f>Recap!F14</f>
        <v/>
      </c>
      <c r="Q23" s="99">
        <f>Recap!G14</f>
        <v/>
      </c>
    </row>
    <row r="24" ht="15.75" customHeight="1" s="95">
      <c r="B24" s="114" t="inlineStr">
        <is>
          <t>https://fred.stlouisfed.org/series/RSSGHBMs</t>
        </is>
      </c>
      <c r="G24" s="100" t="inlineStr">
        <is>
          <t>Clothing, Sport</t>
        </is>
      </c>
      <c r="H24" s="67" t="n"/>
      <c r="I24" s="67" t="n"/>
      <c r="J24" s="67" t="n"/>
      <c r="N24" s="122" t="inlineStr">
        <is>
          <t>Gasoline Stations</t>
        </is>
      </c>
      <c r="O24" s="119" t="n"/>
      <c r="P24" s="98">
        <f>Recap!F15</f>
        <v/>
      </c>
      <c r="Q24" s="99">
        <f>Recap!G15</f>
        <v/>
      </c>
    </row>
    <row r="25" ht="15.75" customHeight="1" s="95">
      <c r="B25" s="114" t="inlineStr">
        <is>
          <t>https://fred.stlouisfed.org/series/RSGMs</t>
        </is>
      </c>
      <c r="G25" s="100" t="inlineStr">
        <is>
          <t>General Merch</t>
        </is>
      </c>
      <c r="H25" s="67" t="n"/>
      <c r="I25" s="67" t="n"/>
      <c r="J25" s="67" t="n"/>
      <c r="N25" s="122" t="inlineStr">
        <is>
          <t>Housing Supplies</t>
        </is>
      </c>
      <c r="O25" s="119" t="n"/>
      <c r="P25" s="98">
        <f>Recap!F16</f>
        <v/>
      </c>
      <c r="Q25" s="99">
        <f>Recap!G16</f>
        <v/>
      </c>
    </row>
    <row r="26" ht="15.75" customHeight="1" s="95">
      <c r="B26" s="114" t="inlineStr">
        <is>
          <t>https://fred.stlouisfed.org/series/RSFSDp</t>
        </is>
      </c>
      <c r="G26" s="101" t="inlineStr">
        <is>
          <t>FoodServices</t>
        </is>
      </c>
      <c r="H26" s="67" t="n"/>
      <c r="I26" s="67" t="n"/>
      <c r="J26" s="67" t="n"/>
      <c r="N26" s="122" t="inlineStr">
        <is>
          <t>HealthCare</t>
        </is>
      </c>
      <c r="O26" s="119" t="n"/>
      <c r="P26" s="98">
        <f>Recap!F17</f>
        <v/>
      </c>
      <c r="Q26" s="99">
        <f>Recap!G17</f>
        <v/>
      </c>
    </row>
    <row r="27" ht="15.75" customHeight="1" s="95">
      <c r="B27" s="114" t="inlineStr">
        <is>
          <t>https://fred.stlouisfed.org/series/RSGASs</t>
        </is>
      </c>
      <c r="G27" s="100" t="inlineStr">
        <is>
          <t>Gasoline St</t>
        </is>
      </c>
      <c r="H27" s="67" t="n"/>
      <c r="I27" s="67" t="n"/>
      <c r="J27" s="67" t="n"/>
      <c r="N27" s="122" t="inlineStr">
        <is>
          <t>Clothing and clothing access. stores</t>
        </is>
      </c>
      <c r="O27" s="119" t="n"/>
      <c r="P27" s="98">
        <f>Recap!F18</f>
        <v/>
      </c>
      <c r="Q27" s="99">
        <f>Recap!G18</f>
        <v/>
      </c>
    </row>
    <row r="28" ht="15.75" customHeight="1" s="95">
      <c r="B28" s="114" t="inlineStr">
        <is>
          <t>https://fred.stlouisfed.org/series/RSMVPd</t>
        </is>
      </c>
      <c r="G28" s="100" t="inlineStr">
        <is>
          <t>Motor Vechicle</t>
        </is>
      </c>
      <c r="H28" s="67" t="n"/>
      <c r="I28" s="67" t="n"/>
      <c r="J28" s="67" t="n"/>
      <c r="N28" s="122" t="inlineStr">
        <is>
          <t>Furniture, home furn, electronics, and appliance stores</t>
        </is>
      </c>
      <c r="O28" s="119" t="n"/>
      <c r="P28" s="98">
        <f>Recap!F19</f>
        <v/>
      </c>
      <c r="Q28" s="99">
        <f>Recap!G19</f>
        <v/>
      </c>
    </row>
    <row r="29" ht="15.75" customHeight="1" s="95">
      <c r="B29" s="114" t="inlineStr">
        <is>
          <t>https://fred.stlouisfed.org/series/RSBMGESD</t>
        </is>
      </c>
      <c r="G29" s="100" t="inlineStr">
        <is>
          <t>Housing Supplies</t>
        </is>
      </c>
      <c r="H29" s="67" t="n"/>
      <c r="I29" s="67" t="n"/>
      <c r="J29" s="67" t="n"/>
      <c r="N29" s="122" t="inlineStr">
        <is>
          <t>Miscellaneous stores retailers</t>
        </is>
      </c>
      <c r="O29" s="119" t="n"/>
      <c r="P29" s="98">
        <f>Recap!F20</f>
        <v/>
      </c>
      <c r="Q29" s="99">
        <f>Recap!G20</f>
        <v/>
      </c>
    </row>
    <row r="30" ht="15.75" customHeight="1" s="95" thickBot="1">
      <c r="B30" s="114" t="inlineStr">
        <is>
          <t>https://fred.stlouisfed.org/series/RSFHFS</t>
        </is>
      </c>
      <c r="G30" s="100" t="inlineStr">
        <is>
          <t>Furniture, home furn, electronics, and appliance stores</t>
        </is>
      </c>
      <c r="H30" s="67" t="n"/>
      <c r="I30" s="67" t="n"/>
      <c r="J30" s="67" t="n"/>
      <c r="N30" s="130" t="inlineStr">
        <is>
          <t>Clothing, Sport</t>
        </is>
      </c>
      <c r="O30" s="131" t="n"/>
      <c r="P30" s="102">
        <f>Recap!F21</f>
        <v/>
      </c>
      <c r="Q30" s="103">
        <f>Recap!G21</f>
        <v/>
      </c>
    </row>
    <row r="31" ht="15.75" customHeight="1" s="95">
      <c r="B31" s="114" t="inlineStr">
        <is>
          <t>https://fred.stlouisfed.org/series/RSCCAS</t>
        </is>
      </c>
      <c r="G31" s="100" t="inlineStr">
        <is>
          <t>Clothing and clothing access. stores</t>
        </is>
      </c>
      <c r="H31" s="67" t="n"/>
      <c r="I31" s="67" t="n"/>
      <c r="J31" s="67" t="n"/>
    </row>
    <row r="32" ht="15.75" customHeight="1" s="95">
      <c r="B32" s="114" t="inlineStr">
        <is>
          <t>https://fred.stlouisfed.org/series/RSMSR</t>
        </is>
      </c>
      <c r="G32" s="100" t="inlineStr">
        <is>
          <t>Miscellaneous stores retailers</t>
        </is>
      </c>
      <c r="H32" s="67" t="n"/>
      <c r="I32" s="67" t="n"/>
      <c r="J32" s="67" t="n"/>
    </row>
    <row r="33" ht="14.25" customHeight="1" s="95" thickBot="1">
      <c r="B33" s="115" t="n"/>
      <c r="G33" s="116" t="n"/>
    </row>
    <row r="34" ht="16" customHeight="1" s="95" thickBot="1">
      <c r="B34" s="27" t="n"/>
      <c r="N34" s="69">
        <f>DATE(YEAR($P$14),MONTH($P$14)-1,DAY($P$14))</f>
        <v/>
      </c>
    </row>
    <row r="35" ht="33.75" customHeight="1" s="95" thickBot="1">
      <c r="B35" s="113" t="n"/>
      <c r="N35" s="72">
        <f>DATE(YEAR($P$14)-1,MONTH($P$14),DAY($P$14))</f>
        <v/>
      </c>
    </row>
    <row r="36">
      <c r="B36" s="66" t="n"/>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priority="1" operator="lessThan" dxfId="64">
      <formula>0</formula>
    </cfRule>
    <cfRule type="cellIs" priority="2" operator="greaterThan" dxfId="63">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71"/>
  <sheetViews>
    <sheetView topLeftCell="A348" zoomScale="80" zoomScaleNormal="80" workbookViewId="0">
      <selection activeCell="P14" sqref="P14"/>
    </sheetView>
  </sheetViews>
  <sheetFormatPr baseColWidth="8" defaultColWidth="8.81640625" defaultRowHeight="14.5"/>
  <cols>
    <col width="12.6328125" customWidth="1" style="95" min="1" max="1"/>
    <col width="15.6328125" customWidth="1" style="95" min="2" max="2"/>
    <col width="9.6328125" customWidth="1" style="95" min="3" max="3"/>
    <col width="8.6328125" customWidth="1" style="95" min="4" max="6"/>
    <col width="7.6328125" customWidth="1" style="95" min="7" max="7"/>
    <col width="8.6328125" customWidth="1" style="95" min="8" max="9"/>
    <col width="9.6328125" customWidth="1" style="95" min="10" max="10"/>
    <col width="8.6328125" customWidth="1" style="95" min="11" max="14"/>
    <col width="9.6328125" customWidth="1" style="95" min="15" max="15"/>
    <col width="8.6328125" customWidth="1" style="95" min="16" max="17"/>
    <col width="9.1796875" customWidth="1" style="95" min="18" max="256"/>
    <col width="12.6328125" customWidth="1" style="95" min="257" max="257"/>
    <col width="15.6328125" customWidth="1" style="95" min="258" max="258"/>
    <col width="9.6328125" customWidth="1" style="95" min="259" max="259"/>
    <col width="8.6328125" customWidth="1" style="95" min="260" max="262"/>
    <col width="7.6328125" customWidth="1" style="95" min="263" max="263"/>
    <col width="8.6328125" customWidth="1" style="95" min="264" max="265"/>
    <col width="9.6328125" customWidth="1" style="95" min="266" max="266"/>
    <col width="8.6328125" customWidth="1" style="95" min="267" max="270"/>
    <col width="9.6328125" customWidth="1" style="95" min="271" max="271"/>
    <col width="8.6328125" customWidth="1" style="95" min="272" max="273"/>
    <col width="9.1796875" customWidth="1" style="95" min="274" max="512"/>
    <col width="12.6328125" customWidth="1" style="95" min="513" max="513"/>
    <col width="15.6328125" customWidth="1" style="95" min="514" max="514"/>
    <col width="9.6328125" customWidth="1" style="95" min="515" max="515"/>
    <col width="8.6328125" customWidth="1" style="95" min="516" max="518"/>
    <col width="7.6328125" customWidth="1" style="95" min="519" max="519"/>
    <col width="8.6328125" customWidth="1" style="95" min="520" max="521"/>
    <col width="9.6328125" customWidth="1" style="95" min="522" max="522"/>
    <col width="8.6328125" customWidth="1" style="95" min="523" max="526"/>
    <col width="9.6328125" customWidth="1" style="95" min="527" max="527"/>
    <col width="8.6328125" customWidth="1" style="95" min="528" max="529"/>
    <col width="9.1796875" customWidth="1" style="95" min="530" max="768"/>
    <col width="12.6328125" customWidth="1" style="95" min="769" max="769"/>
    <col width="15.6328125" customWidth="1" style="95" min="770" max="770"/>
    <col width="9.6328125" customWidth="1" style="95" min="771" max="771"/>
    <col width="8.6328125" customWidth="1" style="95" min="772" max="774"/>
    <col width="7.6328125" customWidth="1" style="95" min="775" max="775"/>
    <col width="8.6328125" customWidth="1" style="95" min="776" max="777"/>
    <col width="9.6328125" customWidth="1" style="95" min="778" max="778"/>
    <col width="8.6328125" customWidth="1" style="95" min="779" max="782"/>
    <col width="9.6328125" customWidth="1" style="95" min="783" max="783"/>
    <col width="8.6328125" customWidth="1" style="95" min="784" max="785"/>
    <col width="9.1796875" customWidth="1" style="95" min="786" max="1024"/>
    <col width="12.6328125" customWidth="1" style="95" min="1025" max="1025"/>
    <col width="15.6328125" customWidth="1" style="95" min="1026" max="1026"/>
    <col width="9.6328125" customWidth="1" style="95" min="1027" max="1027"/>
    <col width="8.6328125" customWidth="1" style="95" min="1028" max="1030"/>
    <col width="7.6328125" customWidth="1" style="95" min="1031" max="1031"/>
    <col width="8.6328125" customWidth="1" style="95" min="1032" max="1033"/>
    <col width="9.6328125" customWidth="1" style="95" min="1034" max="1034"/>
    <col width="8.6328125" customWidth="1" style="95" min="1035" max="1038"/>
    <col width="9.6328125" customWidth="1" style="95" min="1039" max="1039"/>
    <col width="8.6328125" customWidth="1" style="95" min="1040" max="1041"/>
    <col width="9.1796875" customWidth="1" style="95" min="1042" max="1280"/>
    <col width="12.6328125" customWidth="1" style="95" min="1281" max="1281"/>
    <col width="15.6328125" customWidth="1" style="95" min="1282" max="1282"/>
    <col width="9.6328125" customWidth="1" style="95" min="1283" max="1283"/>
    <col width="8.6328125" customWidth="1" style="95" min="1284" max="1286"/>
    <col width="7.6328125" customWidth="1" style="95" min="1287" max="1287"/>
    <col width="8.6328125" customWidth="1" style="95" min="1288" max="1289"/>
    <col width="9.6328125" customWidth="1" style="95" min="1290" max="1290"/>
    <col width="8.6328125" customWidth="1" style="95" min="1291" max="1294"/>
    <col width="9.6328125" customWidth="1" style="95" min="1295" max="1295"/>
    <col width="8.6328125" customWidth="1" style="95" min="1296" max="1297"/>
    <col width="9.1796875" customWidth="1" style="95" min="1298" max="1536"/>
    <col width="12.6328125" customWidth="1" style="95" min="1537" max="1537"/>
    <col width="15.6328125" customWidth="1" style="95" min="1538" max="1538"/>
    <col width="9.6328125" customWidth="1" style="95" min="1539" max="1539"/>
    <col width="8.6328125" customWidth="1" style="95" min="1540" max="1542"/>
    <col width="7.6328125" customWidth="1" style="95" min="1543" max="1543"/>
    <col width="8.6328125" customWidth="1" style="95" min="1544" max="1545"/>
    <col width="9.6328125" customWidth="1" style="95" min="1546" max="1546"/>
    <col width="8.6328125" customWidth="1" style="95" min="1547" max="1550"/>
    <col width="9.6328125" customWidth="1" style="95" min="1551" max="1551"/>
    <col width="8.6328125" customWidth="1" style="95" min="1552" max="1553"/>
    <col width="9.1796875" customWidth="1" style="95" min="1554" max="1792"/>
    <col width="12.6328125" customWidth="1" style="95" min="1793" max="1793"/>
    <col width="15.6328125" customWidth="1" style="95" min="1794" max="1794"/>
    <col width="9.6328125" customWidth="1" style="95" min="1795" max="1795"/>
    <col width="8.6328125" customWidth="1" style="95" min="1796" max="1798"/>
    <col width="7.6328125" customWidth="1" style="95" min="1799" max="1799"/>
    <col width="8.6328125" customWidth="1" style="95" min="1800" max="1801"/>
    <col width="9.6328125" customWidth="1" style="95" min="1802" max="1802"/>
    <col width="8.6328125" customWidth="1" style="95" min="1803" max="1806"/>
    <col width="9.6328125" customWidth="1" style="95" min="1807" max="1807"/>
    <col width="8.6328125" customWidth="1" style="95" min="1808" max="1809"/>
    <col width="9.1796875" customWidth="1" style="95" min="1810" max="2048"/>
    <col width="12.6328125" customWidth="1" style="95" min="2049" max="2049"/>
    <col width="15.6328125" customWidth="1" style="95" min="2050" max="2050"/>
    <col width="9.6328125" customWidth="1" style="95" min="2051" max="2051"/>
    <col width="8.6328125" customWidth="1" style="95" min="2052" max="2054"/>
    <col width="7.6328125" customWidth="1" style="95" min="2055" max="2055"/>
    <col width="8.6328125" customWidth="1" style="95" min="2056" max="2057"/>
    <col width="9.6328125" customWidth="1" style="95" min="2058" max="2058"/>
    <col width="8.6328125" customWidth="1" style="95" min="2059" max="2062"/>
    <col width="9.6328125" customWidth="1" style="95" min="2063" max="2063"/>
    <col width="8.6328125" customWidth="1" style="95" min="2064" max="2065"/>
    <col width="9.1796875" customWidth="1" style="95" min="2066" max="2304"/>
    <col width="12.6328125" customWidth="1" style="95" min="2305" max="2305"/>
    <col width="15.6328125" customWidth="1" style="95" min="2306" max="2306"/>
    <col width="9.6328125" customWidth="1" style="95" min="2307" max="2307"/>
    <col width="8.6328125" customWidth="1" style="95" min="2308" max="2310"/>
    <col width="7.6328125" customWidth="1" style="95" min="2311" max="2311"/>
    <col width="8.6328125" customWidth="1" style="95" min="2312" max="2313"/>
    <col width="9.6328125" customWidth="1" style="95" min="2314" max="2314"/>
    <col width="8.6328125" customWidth="1" style="95" min="2315" max="2318"/>
    <col width="9.6328125" customWidth="1" style="95" min="2319" max="2319"/>
    <col width="8.6328125" customWidth="1" style="95" min="2320" max="2321"/>
    <col width="9.1796875" customWidth="1" style="95" min="2322" max="2560"/>
    <col width="12.6328125" customWidth="1" style="95" min="2561" max="2561"/>
    <col width="15.6328125" customWidth="1" style="95" min="2562" max="2562"/>
    <col width="9.6328125" customWidth="1" style="95" min="2563" max="2563"/>
    <col width="8.6328125" customWidth="1" style="95" min="2564" max="2566"/>
    <col width="7.6328125" customWidth="1" style="95" min="2567" max="2567"/>
    <col width="8.6328125" customWidth="1" style="95" min="2568" max="2569"/>
    <col width="9.6328125" customWidth="1" style="95" min="2570" max="2570"/>
    <col width="8.6328125" customWidth="1" style="95" min="2571" max="2574"/>
    <col width="9.6328125" customWidth="1" style="95" min="2575" max="2575"/>
    <col width="8.6328125" customWidth="1" style="95" min="2576" max="2577"/>
    <col width="9.1796875" customWidth="1" style="95" min="2578" max="2816"/>
    <col width="12.6328125" customWidth="1" style="95" min="2817" max="2817"/>
    <col width="15.6328125" customWidth="1" style="95" min="2818" max="2818"/>
    <col width="9.6328125" customWidth="1" style="95" min="2819" max="2819"/>
    <col width="8.6328125" customWidth="1" style="95" min="2820" max="2822"/>
    <col width="7.6328125" customWidth="1" style="95" min="2823" max="2823"/>
    <col width="8.6328125" customWidth="1" style="95" min="2824" max="2825"/>
    <col width="9.6328125" customWidth="1" style="95" min="2826" max="2826"/>
    <col width="8.6328125" customWidth="1" style="95" min="2827" max="2830"/>
    <col width="9.6328125" customWidth="1" style="95" min="2831" max="2831"/>
    <col width="8.6328125" customWidth="1" style="95" min="2832" max="2833"/>
    <col width="9.1796875" customWidth="1" style="95" min="2834" max="3072"/>
    <col width="12.6328125" customWidth="1" style="95" min="3073" max="3073"/>
    <col width="15.6328125" customWidth="1" style="95" min="3074" max="3074"/>
    <col width="9.6328125" customWidth="1" style="95" min="3075" max="3075"/>
    <col width="8.6328125" customWidth="1" style="95" min="3076" max="3078"/>
    <col width="7.6328125" customWidth="1" style="95" min="3079" max="3079"/>
    <col width="8.6328125" customWidth="1" style="95" min="3080" max="3081"/>
    <col width="9.6328125" customWidth="1" style="95" min="3082" max="3082"/>
    <col width="8.6328125" customWidth="1" style="95" min="3083" max="3086"/>
    <col width="9.6328125" customWidth="1" style="95" min="3087" max="3087"/>
    <col width="8.6328125" customWidth="1" style="95" min="3088" max="3089"/>
    <col width="9.1796875" customWidth="1" style="95" min="3090" max="3328"/>
    <col width="12.6328125" customWidth="1" style="95" min="3329" max="3329"/>
    <col width="15.6328125" customWidth="1" style="95" min="3330" max="3330"/>
    <col width="9.6328125" customWidth="1" style="95" min="3331" max="3331"/>
    <col width="8.6328125" customWidth="1" style="95" min="3332" max="3334"/>
    <col width="7.6328125" customWidth="1" style="95" min="3335" max="3335"/>
    <col width="8.6328125" customWidth="1" style="95" min="3336" max="3337"/>
    <col width="9.6328125" customWidth="1" style="95" min="3338" max="3338"/>
    <col width="8.6328125" customWidth="1" style="95" min="3339" max="3342"/>
    <col width="9.6328125" customWidth="1" style="95" min="3343" max="3343"/>
    <col width="8.6328125" customWidth="1" style="95" min="3344" max="3345"/>
    <col width="9.1796875" customWidth="1" style="95" min="3346" max="3584"/>
    <col width="12.6328125" customWidth="1" style="95" min="3585" max="3585"/>
    <col width="15.6328125" customWidth="1" style="95" min="3586" max="3586"/>
    <col width="9.6328125" customWidth="1" style="95" min="3587" max="3587"/>
    <col width="8.6328125" customWidth="1" style="95" min="3588" max="3590"/>
    <col width="7.6328125" customWidth="1" style="95" min="3591" max="3591"/>
    <col width="8.6328125" customWidth="1" style="95" min="3592" max="3593"/>
    <col width="9.6328125" customWidth="1" style="95" min="3594" max="3594"/>
    <col width="8.6328125" customWidth="1" style="95" min="3595" max="3598"/>
    <col width="9.6328125" customWidth="1" style="95" min="3599" max="3599"/>
    <col width="8.6328125" customWidth="1" style="95" min="3600" max="3601"/>
    <col width="9.1796875" customWidth="1" style="95" min="3602" max="3840"/>
    <col width="12.6328125" customWidth="1" style="95" min="3841" max="3841"/>
    <col width="15.6328125" customWidth="1" style="95" min="3842" max="3842"/>
    <col width="9.6328125" customWidth="1" style="95" min="3843" max="3843"/>
    <col width="8.6328125" customWidth="1" style="95" min="3844" max="3846"/>
    <col width="7.6328125" customWidth="1" style="95" min="3847" max="3847"/>
    <col width="8.6328125" customWidth="1" style="95" min="3848" max="3849"/>
    <col width="9.6328125" customWidth="1" style="95" min="3850" max="3850"/>
    <col width="8.6328125" customWidth="1" style="95" min="3851" max="3854"/>
    <col width="9.6328125" customWidth="1" style="95" min="3855" max="3855"/>
    <col width="8.6328125" customWidth="1" style="95" min="3856" max="3857"/>
    <col width="9.1796875" customWidth="1" style="95" min="3858" max="4096"/>
    <col width="12.6328125" customWidth="1" style="95" min="4097" max="4097"/>
    <col width="15.6328125" customWidth="1" style="95" min="4098" max="4098"/>
    <col width="9.6328125" customWidth="1" style="95" min="4099" max="4099"/>
    <col width="8.6328125" customWidth="1" style="95" min="4100" max="4102"/>
    <col width="7.6328125" customWidth="1" style="95" min="4103" max="4103"/>
    <col width="8.6328125" customWidth="1" style="95" min="4104" max="4105"/>
    <col width="9.6328125" customWidth="1" style="95" min="4106" max="4106"/>
    <col width="8.6328125" customWidth="1" style="95" min="4107" max="4110"/>
    <col width="9.6328125" customWidth="1" style="95" min="4111" max="4111"/>
    <col width="8.6328125" customWidth="1" style="95" min="4112" max="4113"/>
    <col width="9.1796875" customWidth="1" style="95" min="4114" max="4352"/>
    <col width="12.6328125" customWidth="1" style="95" min="4353" max="4353"/>
    <col width="15.6328125" customWidth="1" style="95" min="4354" max="4354"/>
    <col width="9.6328125" customWidth="1" style="95" min="4355" max="4355"/>
    <col width="8.6328125" customWidth="1" style="95" min="4356" max="4358"/>
    <col width="7.6328125" customWidth="1" style="95" min="4359" max="4359"/>
    <col width="8.6328125" customWidth="1" style="95" min="4360" max="4361"/>
    <col width="9.6328125" customWidth="1" style="95" min="4362" max="4362"/>
    <col width="8.6328125" customWidth="1" style="95" min="4363" max="4366"/>
    <col width="9.6328125" customWidth="1" style="95" min="4367" max="4367"/>
    <col width="8.6328125" customWidth="1" style="95" min="4368" max="4369"/>
    <col width="9.1796875" customWidth="1" style="95" min="4370" max="4608"/>
    <col width="12.6328125" customWidth="1" style="95" min="4609" max="4609"/>
    <col width="15.6328125" customWidth="1" style="95" min="4610" max="4610"/>
    <col width="9.6328125" customWidth="1" style="95" min="4611" max="4611"/>
    <col width="8.6328125" customWidth="1" style="95" min="4612" max="4614"/>
    <col width="7.6328125" customWidth="1" style="95" min="4615" max="4615"/>
    <col width="8.6328125" customWidth="1" style="95" min="4616" max="4617"/>
    <col width="9.6328125" customWidth="1" style="95" min="4618" max="4618"/>
    <col width="8.6328125" customWidth="1" style="95" min="4619" max="4622"/>
    <col width="9.6328125" customWidth="1" style="95" min="4623" max="4623"/>
    <col width="8.6328125" customWidth="1" style="95" min="4624" max="4625"/>
    <col width="9.1796875" customWidth="1" style="95" min="4626" max="4864"/>
    <col width="12.6328125" customWidth="1" style="95" min="4865" max="4865"/>
    <col width="15.6328125" customWidth="1" style="95" min="4866" max="4866"/>
    <col width="9.6328125" customWidth="1" style="95" min="4867" max="4867"/>
    <col width="8.6328125" customWidth="1" style="95" min="4868" max="4870"/>
    <col width="7.6328125" customWidth="1" style="95" min="4871" max="4871"/>
    <col width="8.6328125" customWidth="1" style="95" min="4872" max="4873"/>
    <col width="9.6328125" customWidth="1" style="95" min="4874" max="4874"/>
    <col width="8.6328125" customWidth="1" style="95" min="4875" max="4878"/>
    <col width="9.6328125" customWidth="1" style="95" min="4879" max="4879"/>
    <col width="8.6328125" customWidth="1" style="95" min="4880" max="4881"/>
    <col width="9.1796875" customWidth="1" style="95" min="4882" max="5120"/>
    <col width="12.6328125" customWidth="1" style="95" min="5121" max="5121"/>
    <col width="15.6328125" customWidth="1" style="95" min="5122" max="5122"/>
    <col width="9.6328125" customWidth="1" style="95" min="5123" max="5123"/>
    <col width="8.6328125" customWidth="1" style="95" min="5124" max="5126"/>
    <col width="7.6328125" customWidth="1" style="95" min="5127" max="5127"/>
    <col width="8.6328125" customWidth="1" style="95" min="5128" max="5129"/>
    <col width="9.6328125" customWidth="1" style="95" min="5130" max="5130"/>
    <col width="8.6328125" customWidth="1" style="95" min="5131" max="5134"/>
    <col width="9.6328125" customWidth="1" style="95" min="5135" max="5135"/>
    <col width="8.6328125" customWidth="1" style="95" min="5136" max="5137"/>
    <col width="9.1796875" customWidth="1" style="95" min="5138" max="5376"/>
    <col width="12.6328125" customWidth="1" style="95" min="5377" max="5377"/>
    <col width="15.6328125" customWidth="1" style="95" min="5378" max="5378"/>
    <col width="9.6328125" customWidth="1" style="95" min="5379" max="5379"/>
    <col width="8.6328125" customWidth="1" style="95" min="5380" max="5382"/>
    <col width="7.6328125" customWidth="1" style="95" min="5383" max="5383"/>
    <col width="8.6328125" customWidth="1" style="95" min="5384" max="5385"/>
    <col width="9.6328125" customWidth="1" style="95" min="5386" max="5386"/>
    <col width="8.6328125" customWidth="1" style="95" min="5387" max="5390"/>
    <col width="9.6328125" customWidth="1" style="95" min="5391" max="5391"/>
    <col width="8.6328125" customWidth="1" style="95" min="5392" max="5393"/>
    <col width="9.1796875" customWidth="1" style="95" min="5394" max="5632"/>
    <col width="12.6328125" customWidth="1" style="95" min="5633" max="5633"/>
    <col width="15.6328125" customWidth="1" style="95" min="5634" max="5634"/>
    <col width="9.6328125" customWidth="1" style="95" min="5635" max="5635"/>
    <col width="8.6328125" customWidth="1" style="95" min="5636" max="5638"/>
    <col width="7.6328125" customWidth="1" style="95" min="5639" max="5639"/>
    <col width="8.6328125" customWidth="1" style="95" min="5640" max="5641"/>
    <col width="9.6328125" customWidth="1" style="95" min="5642" max="5642"/>
    <col width="8.6328125" customWidth="1" style="95" min="5643" max="5646"/>
    <col width="9.6328125" customWidth="1" style="95" min="5647" max="5647"/>
    <col width="8.6328125" customWidth="1" style="95" min="5648" max="5649"/>
    <col width="9.1796875" customWidth="1" style="95" min="5650" max="5888"/>
    <col width="12.6328125" customWidth="1" style="95" min="5889" max="5889"/>
    <col width="15.6328125" customWidth="1" style="95" min="5890" max="5890"/>
    <col width="9.6328125" customWidth="1" style="95" min="5891" max="5891"/>
    <col width="8.6328125" customWidth="1" style="95" min="5892" max="5894"/>
    <col width="7.6328125" customWidth="1" style="95" min="5895" max="5895"/>
    <col width="8.6328125" customWidth="1" style="95" min="5896" max="5897"/>
    <col width="9.6328125" customWidth="1" style="95" min="5898" max="5898"/>
    <col width="8.6328125" customWidth="1" style="95" min="5899" max="5902"/>
    <col width="9.6328125" customWidth="1" style="95" min="5903" max="5903"/>
    <col width="8.6328125" customWidth="1" style="95" min="5904" max="5905"/>
    <col width="9.1796875" customWidth="1" style="95" min="5906" max="6144"/>
    <col width="12.6328125" customWidth="1" style="95" min="6145" max="6145"/>
    <col width="15.6328125" customWidth="1" style="95" min="6146" max="6146"/>
    <col width="9.6328125" customWidth="1" style="95" min="6147" max="6147"/>
    <col width="8.6328125" customWidth="1" style="95" min="6148" max="6150"/>
    <col width="7.6328125" customWidth="1" style="95" min="6151" max="6151"/>
    <col width="8.6328125" customWidth="1" style="95" min="6152" max="6153"/>
    <col width="9.6328125" customWidth="1" style="95" min="6154" max="6154"/>
    <col width="8.6328125" customWidth="1" style="95" min="6155" max="6158"/>
    <col width="9.6328125" customWidth="1" style="95" min="6159" max="6159"/>
    <col width="8.6328125" customWidth="1" style="95" min="6160" max="6161"/>
    <col width="9.1796875" customWidth="1" style="95" min="6162" max="6400"/>
    <col width="12.6328125" customWidth="1" style="95" min="6401" max="6401"/>
    <col width="15.6328125" customWidth="1" style="95" min="6402" max="6402"/>
    <col width="9.6328125" customWidth="1" style="95" min="6403" max="6403"/>
    <col width="8.6328125" customWidth="1" style="95" min="6404" max="6406"/>
    <col width="7.6328125" customWidth="1" style="95" min="6407" max="6407"/>
    <col width="8.6328125" customWidth="1" style="95" min="6408" max="6409"/>
    <col width="9.6328125" customWidth="1" style="95" min="6410" max="6410"/>
    <col width="8.6328125" customWidth="1" style="95" min="6411" max="6414"/>
    <col width="9.6328125" customWidth="1" style="95" min="6415" max="6415"/>
    <col width="8.6328125" customWidth="1" style="95" min="6416" max="6417"/>
    <col width="9.1796875" customWidth="1" style="95" min="6418" max="6656"/>
    <col width="12.6328125" customWidth="1" style="95" min="6657" max="6657"/>
    <col width="15.6328125" customWidth="1" style="95" min="6658" max="6658"/>
    <col width="9.6328125" customWidth="1" style="95" min="6659" max="6659"/>
    <col width="8.6328125" customWidth="1" style="95" min="6660" max="6662"/>
    <col width="7.6328125" customWidth="1" style="95" min="6663" max="6663"/>
    <col width="8.6328125" customWidth="1" style="95" min="6664" max="6665"/>
    <col width="9.6328125" customWidth="1" style="95" min="6666" max="6666"/>
    <col width="8.6328125" customWidth="1" style="95" min="6667" max="6670"/>
    <col width="9.6328125" customWidth="1" style="95" min="6671" max="6671"/>
    <col width="8.6328125" customWidth="1" style="95" min="6672" max="6673"/>
    <col width="9.1796875" customWidth="1" style="95" min="6674" max="6912"/>
    <col width="12.6328125" customWidth="1" style="95" min="6913" max="6913"/>
    <col width="15.6328125" customWidth="1" style="95" min="6914" max="6914"/>
    <col width="9.6328125" customWidth="1" style="95" min="6915" max="6915"/>
    <col width="8.6328125" customWidth="1" style="95" min="6916" max="6918"/>
    <col width="7.6328125" customWidth="1" style="95" min="6919" max="6919"/>
    <col width="8.6328125" customWidth="1" style="95" min="6920" max="6921"/>
    <col width="9.6328125" customWidth="1" style="95" min="6922" max="6922"/>
    <col width="8.6328125" customWidth="1" style="95" min="6923" max="6926"/>
    <col width="9.6328125" customWidth="1" style="95" min="6927" max="6927"/>
    <col width="8.6328125" customWidth="1" style="95" min="6928" max="6929"/>
    <col width="9.1796875" customWidth="1" style="95" min="6930" max="7168"/>
    <col width="12.6328125" customWidth="1" style="95" min="7169" max="7169"/>
    <col width="15.6328125" customWidth="1" style="95" min="7170" max="7170"/>
    <col width="9.6328125" customWidth="1" style="95" min="7171" max="7171"/>
    <col width="8.6328125" customWidth="1" style="95" min="7172" max="7174"/>
    <col width="7.6328125" customWidth="1" style="95" min="7175" max="7175"/>
    <col width="8.6328125" customWidth="1" style="95" min="7176" max="7177"/>
    <col width="9.6328125" customWidth="1" style="95" min="7178" max="7178"/>
    <col width="8.6328125" customWidth="1" style="95" min="7179" max="7182"/>
    <col width="9.6328125" customWidth="1" style="95" min="7183" max="7183"/>
    <col width="8.6328125" customWidth="1" style="95" min="7184" max="7185"/>
    <col width="9.1796875" customWidth="1" style="95" min="7186" max="7424"/>
    <col width="12.6328125" customWidth="1" style="95" min="7425" max="7425"/>
    <col width="15.6328125" customWidth="1" style="95" min="7426" max="7426"/>
    <col width="9.6328125" customWidth="1" style="95" min="7427" max="7427"/>
    <col width="8.6328125" customWidth="1" style="95" min="7428" max="7430"/>
    <col width="7.6328125" customWidth="1" style="95" min="7431" max="7431"/>
    <col width="8.6328125" customWidth="1" style="95" min="7432" max="7433"/>
    <col width="9.6328125" customWidth="1" style="95" min="7434" max="7434"/>
    <col width="8.6328125" customWidth="1" style="95" min="7435" max="7438"/>
    <col width="9.6328125" customWidth="1" style="95" min="7439" max="7439"/>
    <col width="8.6328125" customWidth="1" style="95" min="7440" max="7441"/>
    <col width="9.1796875" customWidth="1" style="95" min="7442" max="7680"/>
    <col width="12.6328125" customWidth="1" style="95" min="7681" max="7681"/>
    <col width="15.6328125" customWidth="1" style="95" min="7682" max="7682"/>
    <col width="9.6328125" customWidth="1" style="95" min="7683" max="7683"/>
    <col width="8.6328125" customWidth="1" style="95" min="7684" max="7686"/>
    <col width="7.6328125" customWidth="1" style="95" min="7687" max="7687"/>
    <col width="8.6328125" customWidth="1" style="95" min="7688" max="7689"/>
    <col width="9.6328125" customWidth="1" style="95" min="7690" max="7690"/>
    <col width="8.6328125" customWidth="1" style="95" min="7691" max="7694"/>
    <col width="9.6328125" customWidth="1" style="95" min="7695" max="7695"/>
    <col width="8.6328125" customWidth="1" style="95" min="7696" max="7697"/>
    <col width="9.1796875" customWidth="1" style="95" min="7698" max="7936"/>
    <col width="12.6328125" customWidth="1" style="95" min="7937" max="7937"/>
    <col width="15.6328125" customWidth="1" style="95" min="7938" max="7938"/>
    <col width="9.6328125" customWidth="1" style="95" min="7939" max="7939"/>
    <col width="8.6328125" customWidth="1" style="95" min="7940" max="7942"/>
    <col width="7.6328125" customWidth="1" style="95" min="7943" max="7943"/>
    <col width="8.6328125" customWidth="1" style="95" min="7944" max="7945"/>
    <col width="9.6328125" customWidth="1" style="95" min="7946" max="7946"/>
    <col width="8.6328125" customWidth="1" style="95" min="7947" max="7950"/>
    <col width="9.6328125" customWidth="1" style="95" min="7951" max="7951"/>
    <col width="8.6328125" customWidth="1" style="95" min="7952" max="7953"/>
    <col width="9.1796875" customWidth="1" style="95" min="7954" max="8192"/>
    <col width="12.6328125" customWidth="1" style="95" min="8193" max="8193"/>
    <col width="15.6328125" customWidth="1" style="95" min="8194" max="8194"/>
    <col width="9.6328125" customWidth="1" style="95" min="8195" max="8195"/>
    <col width="8.6328125" customWidth="1" style="95" min="8196" max="8198"/>
    <col width="7.6328125" customWidth="1" style="95" min="8199" max="8199"/>
    <col width="8.6328125" customWidth="1" style="95" min="8200" max="8201"/>
    <col width="9.6328125" customWidth="1" style="95" min="8202" max="8202"/>
    <col width="8.6328125" customWidth="1" style="95" min="8203" max="8206"/>
    <col width="9.6328125" customWidth="1" style="95" min="8207" max="8207"/>
    <col width="8.6328125" customWidth="1" style="95" min="8208" max="8209"/>
    <col width="9.1796875" customWidth="1" style="95" min="8210" max="8448"/>
    <col width="12.6328125" customWidth="1" style="95" min="8449" max="8449"/>
    <col width="15.6328125" customWidth="1" style="95" min="8450" max="8450"/>
    <col width="9.6328125" customWidth="1" style="95" min="8451" max="8451"/>
    <col width="8.6328125" customWidth="1" style="95" min="8452" max="8454"/>
    <col width="7.6328125" customWidth="1" style="95" min="8455" max="8455"/>
    <col width="8.6328125" customWidth="1" style="95" min="8456" max="8457"/>
    <col width="9.6328125" customWidth="1" style="95" min="8458" max="8458"/>
    <col width="8.6328125" customWidth="1" style="95" min="8459" max="8462"/>
    <col width="9.6328125" customWidth="1" style="95" min="8463" max="8463"/>
    <col width="8.6328125" customWidth="1" style="95" min="8464" max="8465"/>
    <col width="9.1796875" customWidth="1" style="95" min="8466" max="8704"/>
    <col width="12.6328125" customWidth="1" style="95" min="8705" max="8705"/>
    <col width="15.6328125" customWidth="1" style="95" min="8706" max="8706"/>
    <col width="9.6328125" customWidth="1" style="95" min="8707" max="8707"/>
    <col width="8.6328125" customWidth="1" style="95" min="8708" max="8710"/>
    <col width="7.6328125" customWidth="1" style="95" min="8711" max="8711"/>
    <col width="8.6328125" customWidth="1" style="95" min="8712" max="8713"/>
    <col width="9.6328125" customWidth="1" style="95" min="8714" max="8714"/>
    <col width="8.6328125" customWidth="1" style="95" min="8715" max="8718"/>
    <col width="9.6328125" customWidth="1" style="95" min="8719" max="8719"/>
    <col width="8.6328125" customWidth="1" style="95" min="8720" max="8721"/>
    <col width="9.1796875" customWidth="1" style="95" min="8722" max="8960"/>
    <col width="12.6328125" customWidth="1" style="95" min="8961" max="8961"/>
    <col width="15.6328125" customWidth="1" style="95" min="8962" max="8962"/>
    <col width="9.6328125" customWidth="1" style="95" min="8963" max="8963"/>
    <col width="8.6328125" customWidth="1" style="95" min="8964" max="8966"/>
    <col width="7.6328125" customWidth="1" style="95" min="8967" max="8967"/>
    <col width="8.6328125" customWidth="1" style="95" min="8968" max="8969"/>
    <col width="9.6328125" customWidth="1" style="95" min="8970" max="8970"/>
    <col width="8.6328125" customWidth="1" style="95" min="8971" max="8974"/>
    <col width="9.6328125" customWidth="1" style="95" min="8975" max="8975"/>
    <col width="8.6328125" customWidth="1" style="95" min="8976" max="8977"/>
    <col width="9.1796875" customWidth="1" style="95" min="8978" max="9216"/>
    <col width="12.6328125" customWidth="1" style="95" min="9217" max="9217"/>
    <col width="15.6328125" customWidth="1" style="95" min="9218" max="9218"/>
    <col width="9.6328125" customWidth="1" style="95" min="9219" max="9219"/>
    <col width="8.6328125" customWidth="1" style="95" min="9220" max="9222"/>
    <col width="7.6328125" customWidth="1" style="95" min="9223" max="9223"/>
    <col width="8.6328125" customWidth="1" style="95" min="9224" max="9225"/>
    <col width="9.6328125" customWidth="1" style="95" min="9226" max="9226"/>
    <col width="8.6328125" customWidth="1" style="95" min="9227" max="9230"/>
    <col width="9.6328125" customWidth="1" style="95" min="9231" max="9231"/>
    <col width="8.6328125" customWidth="1" style="95" min="9232" max="9233"/>
    <col width="9.1796875" customWidth="1" style="95" min="9234" max="9472"/>
    <col width="12.6328125" customWidth="1" style="95" min="9473" max="9473"/>
    <col width="15.6328125" customWidth="1" style="95" min="9474" max="9474"/>
    <col width="9.6328125" customWidth="1" style="95" min="9475" max="9475"/>
    <col width="8.6328125" customWidth="1" style="95" min="9476" max="9478"/>
    <col width="7.6328125" customWidth="1" style="95" min="9479" max="9479"/>
    <col width="8.6328125" customWidth="1" style="95" min="9480" max="9481"/>
    <col width="9.6328125" customWidth="1" style="95" min="9482" max="9482"/>
    <col width="8.6328125" customWidth="1" style="95" min="9483" max="9486"/>
    <col width="9.6328125" customWidth="1" style="95" min="9487" max="9487"/>
    <col width="8.6328125" customWidth="1" style="95" min="9488" max="9489"/>
    <col width="9.1796875" customWidth="1" style="95" min="9490" max="9728"/>
    <col width="12.6328125" customWidth="1" style="95" min="9729" max="9729"/>
    <col width="15.6328125" customWidth="1" style="95" min="9730" max="9730"/>
    <col width="9.6328125" customWidth="1" style="95" min="9731" max="9731"/>
    <col width="8.6328125" customWidth="1" style="95" min="9732" max="9734"/>
    <col width="7.6328125" customWidth="1" style="95" min="9735" max="9735"/>
    <col width="8.6328125" customWidth="1" style="95" min="9736" max="9737"/>
    <col width="9.6328125" customWidth="1" style="95" min="9738" max="9738"/>
    <col width="8.6328125" customWidth="1" style="95" min="9739" max="9742"/>
    <col width="9.6328125" customWidth="1" style="95" min="9743" max="9743"/>
    <col width="8.6328125" customWidth="1" style="95" min="9744" max="9745"/>
    <col width="9.1796875" customWidth="1" style="95" min="9746" max="9984"/>
    <col width="12.6328125" customWidth="1" style="95" min="9985" max="9985"/>
    <col width="15.6328125" customWidth="1" style="95" min="9986" max="9986"/>
    <col width="9.6328125" customWidth="1" style="95" min="9987" max="9987"/>
    <col width="8.6328125" customWidth="1" style="95" min="9988" max="9990"/>
    <col width="7.6328125" customWidth="1" style="95" min="9991" max="9991"/>
    <col width="8.6328125" customWidth="1" style="95" min="9992" max="9993"/>
    <col width="9.6328125" customWidth="1" style="95" min="9994" max="9994"/>
    <col width="8.6328125" customWidth="1" style="95" min="9995" max="9998"/>
    <col width="9.6328125" customWidth="1" style="95" min="9999" max="9999"/>
    <col width="8.6328125" customWidth="1" style="95" min="10000" max="10001"/>
    <col width="9.1796875" customWidth="1" style="95" min="10002" max="10240"/>
    <col width="12.6328125" customWidth="1" style="95" min="10241" max="10241"/>
    <col width="15.6328125" customWidth="1" style="95" min="10242" max="10242"/>
    <col width="9.6328125" customWidth="1" style="95" min="10243" max="10243"/>
    <col width="8.6328125" customWidth="1" style="95" min="10244" max="10246"/>
    <col width="7.6328125" customWidth="1" style="95" min="10247" max="10247"/>
    <col width="8.6328125" customWidth="1" style="95" min="10248" max="10249"/>
    <col width="9.6328125" customWidth="1" style="95" min="10250" max="10250"/>
    <col width="8.6328125" customWidth="1" style="95" min="10251" max="10254"/>
    <col width="9.6328125" customWidth="1" style="95" min="10255" max="10255"/>
    <col width="8.6328125" customWidth="1" style="95" min="10256" max="10257"/>
    <col width="9.1796875" customWidth="1" style="95" min="10258" max="10496"/>
    <col width="12.6328125" customWidth="1" style="95" min="10497" max="10497"/>
    <col width="15.6328125" customWidth="1" style="95" min="10498" max="10498"/>
    <col width="9.6328125" customWidth="1" style="95" min="10499" max="10499"/>
    <col width="8.6328125" customWidth="1" style="95" min="10500" max="10502"/>
    <col width="7.6328125" customWidth="1" style="95" min="10503" max="10503"/>
    <col width="8.6328125" customWidth="1" style="95" min="10504" max="10505"/>
    <col width="9.6328125" customWidth="1" style="95" min="10506" max="10506"/>
    <col width="8.6328125" customWidth="1" style="95" min="10507" max="10510"/>
    <col width="9.6328125" customWidth="1" style="95" min="10511" max="10511"/>
    <col width="8.6328125" customWidth="1" style="95" min="10512" max="10513"/>
    <col width="9.1796875" customWidth="1" style="95" min="10514" max="10752"/>
    <col width="12.6328125" customWidth="1" style="95" min="10753" max="10753"/>
    <col width="15.6328125" customWidth="1" style="95" min="10754" max="10754"/>
    <col width="9.6328125" customWidth="1" style="95" min="10755" max="10755"/>
    <col width="8.6328125" customWidth="1" style="95" min="10756" max="10758"/>
    <col width="7.6328125" customWidth="1" style="95" min="10759" max="10759"/>
    <col width="8.6328125" customWidth="1" style="95" min="10760" max="10761"/>
    <col width="9.6328125" customWidth="1" style="95" min="10762" max="10762"/>
    <col width="8.6328125" customWidth="1" style="95" min="10763" max="10766"/>
    <col width="9.6328125" customWidth="1" style="95" min="10767" max="10767"/>
    <col width="8.6328125" customWidth="1" style="95" min="10768" max="10769"/>
    <col width="9.1796875" customWidth="1" style="95" min="10770" max="11008"/>
    <col width="12.6328125" customWidth="1" style="95" min="11009" max="11009"/>
    <col width="15.6328125" customWidth="1" style="95" min="11010" max="11010"/>
    <col width="9.6328125" customWidth="1" style="95" min="11011" max="11011"/>
    <col width="8.6328125" customWidth="1" style="95" min="11012" max="11014"/>
    <col width="7.6328125" customWidth="1" style="95" min="11015" max="11015"/>
    <col width="8.6328125" customWidth="1" style="95" min="11016" max="11017"/>
    <col width="9.6328125" customWidth="1" style="95" min="11018" max="11018"/>
    <col width="8.6328125" customWidth="1" style="95" min="11019" max="11022"/>
    <col width="9.6328125" customWidth="1" style="95" min="11023" max="11023"/>
    <col width="8.6328125" customWidth="1" style="95" min="11024" max="11025"/>
    <col width="9.1796875" customWidth="1" style="95" min="11026" max="11264"/>
    <col width="12.6328125" customWidth="1" style="95" min="11265" max="11265"/>
    <col width="15.6328125" customWidth="1" style="95" min="11266" max="11266"/>
    <col width="9.6328125" customWidth="1" style="95" min="11267" max="11267"/>
    <col width="8.6328125" customWidth="1" style="95" min="11268" max="11270"/>
    <col width="7.6328125" customWidth="1" style="95" min="11271" max="11271"/>
    <col width="8.6328125" customWidth="1" style="95" min="11272" max="11273"/>
    <col width="9.6328125" customWidth="1" style="95" min="11274" max="11274"/>
    <col width="8.6328125" customWidth="1" style="95" min="11275" max="11278"/>
    <col width="9.6328125" customWidth="1" style="95" min="11279" max="11279"/>
    <col width="8.6328125" customWidth="1" style="95" min="11280" max="11281"/>
    <col width="9.1796875" customWidth="1" style="95" min="11282" max="11520"/>
    <col width="12.6328125" customWidth="1" style="95" min="11521" max="11521"/>
    <col width="15.6328125" customWidth="1" style="95" min="11522" max="11522"/>
    <col width="9.6328125" customWidth="1" style="95" min="11523" max="11523"/>
    <col width="8.6328125" customWidth="1" style="95" min="11524" max="11526"/>
    <col width="7.6328125" customWidth="1" style="95" min="11527" max="11527"/>
    <col width="8.6328125" customWidth="1" style="95" min="11528" max="11529"/>
    <col width="9.6328125" customWidth="1" style="95" min="11530" max="11530"/>
    <col width="8.6328125" customWidth="1" style="95" min="11531" max="11534"/>
    <col width="9.6328125" customWidth="1" style="95" min="11535" max="11535"/>
    <col width="8.6328125" customWidth="1" style="95" min="11536" max="11537"/>
    <col width="9.1796875" customWidth="1" style="95" min="11538" max="11776"/>
    <col width="12.6328125" customWidth="1" style="95" min="11777" max="11777"/>
    <col width="15.6328125" customWidth="1" style="95" min="11778" max="11778"/>
    <col width="9.6328125" customWidth="1" style="95" min="11779" max="11779"/>
    <col width="8.6328125" customWidth="1" style="95" min="11780" max="11782"/>
    <col width="7.6328125" customWidth="1" style="95" min="11783" max="11783"/>
    <col width="8.6328125" customWidth="1" style="95" min="11784" max="11785"/>
    <col width="9.6328125" customWidth="1" style="95" min="11786" max="11786"/>
    <col width="8.6328125" customWidth="1" style="95" min="11787" max="11790"/>
    <col width="9.6328125" customWidth="1" style="95" min="11791" max="11791"/>
    <col width="8.6328125" customWidth="1" style="95" min="11792" max="11793"/>
    <col width="9.1796875" customWidth="1" style="95" min="11794" max="12032"/>
    <col width="12.6328125" customWidth="1" style="95" min="12033" max="12033"/>
    <col width="15.6328125" customWidth="1" style="95" min="12034" max="12034"/>
    <col width="9.6328125" customWidth="1" style="95" min="12035" max="12035"/>
    <col width="8.6328125" customWidth="1" style="95" min="12036" max="12038"/>
    <col width="7.6328125" customWidth="1" style="95" min="12039" max="12039"/>
    <col width="8.6328125" customWidth="1" style="95" min="12040" max="12041"/>
    <col width="9.6328125" customWidth="1" style="95" min="12042" max="12042"/>
    <col width="8.6328125" customWidth="1" style="95" min="12043" max="12046"/>
    <col width="9.6328125" customWidth="1" style="95" min="12047" max="12047"/>
    <col width="8.6328125" customWidth="1" style="95" min="12048" max="12049"/>
    <col width="9.1796875" customWidth="1" style="95" min="12050" max="12288"/>
    <col width="12.6328125" customWidth="1" style="95" min="12289" max="12289"/>
    <col width="15.6328125" customWidth="1" style="95" min="12290" max="12290"/>
    <col width="9.6328125" customWidth="1" style="95" min="12291" max="12291"/>
    <col width="8.6328125" customWidth="1" style="95" min="12292" max="12294"/>
    <col width="7.6328125" customWidth="1" style="95" min="12295" max="12295"/>
    <col width="8.6328125" customWidth="1" style="95" min="12296" max="12297"/>
    <col width="9.6328125" customWidth="1" style="95" min="12298" max="12298"/>
    <col width="8.6328125" customWidth="1" style="95" min="12299" max="12302"/>
    <col width="9.6328125" customWidth="1" style="95" min="12303" max="12303"/>
    <col width="8.6328125" customWidth="1" style="95" min="12304" max="12305"/>
    <col width="9.1796875" customWidth="1" style="95" min="12306" max="12544"/>
    <col width="12.6328125" customWidth="1" style="95" min="12545" max="12545"/>
    <col width="15.6328125" customWidth="1" style="95" min="12546" max="12546"/>
    <col width="9.6328125" customWidth="1" style="95" min="12547" max="12547"/>
    <col width="8.6328125" customWidth="1" style="95" min="12548" max="12550"/>
    <col width="7.6328125" customWidth="1" style="95" min="12551" max="12551"/>
    <col width="8.6328125" customWidth="1" style="95" min="12552" max="12553"/>
    <col width="9.6328125" customWidth="1" style="95" min="12554" max="12554"/>
    <col width="8.6328125" customWidth="1" style="95" min="12555" max="12558"/>
    <col width="9.6328125" customWidth="1" style="95" min="12559" max="12559"/>
    <col width="8.6328125" customWidth="1" style="95" min="12560" max="12561"/>
    <col width="9.1796875" customWidth="1" style="95" min="12562" max="12800"/>
    <col width="12.6328125" customWidth="1" style="95" min="12801" max="12801"/>
    <col width="15.6328125" customWidth="1" style="95" min="12802" max="12802"/>
    <col width="9.6328125" customWidth="1" style="95" min="12803" max="12803"/>
    <col width="8.6328125" customWidth="1" style="95" min="12804" max="12806"/>
    <col width="7.6328125" customWidth="1" style="95" min="12807" max="12807"/>
    <col width="8.6328125" customWidth="1" style="95" min="12808" max="12809"/>
    <col width="9.6328125" customWidth="1" style="95" min="12810" max="12810"/>
    <col width="8.6328125" customWidth="1" style="95" min="12811" max="12814"/>
    <col width="9.6328125" customWidth="1" style="95" min="12815" max="12815"/>
    <col width="8.6328125" customWidth="1" style="95" min="12816" max="12817"/>
    <col width="9.1796875" customWidth="1" style="95" min="12818" max="13056"/>
    <col width="12.6328125" customWidth="1" style="95" min="13057" max="13057"/>
    <col width="15.6328125" customWidth="1" style="95" min="13058" max="13058"/>
    <col width="9.6328125" customWidth="1" style="95" min="13059" max="13059"/>
    <col width="8.6328125" customWidth="1" style="95" min="13060" max="13062"/>
    <col width="7.6328125" customWidth="1" style="95" min="13063" max="13063"/>
    <col width="8.6328125" customWidth="1" style="95" min="13064" max="13065"/>
    <col width="9.6328125" customWidth="1" style="95" min="13066" max="13066"/>
    <col width="8.6328125" customWidth="1" style="95" min="13067" max="13070"/>
    <col width="9.6328125" customWidth="1" style="95" min="13071" max="13071"/>
    <col width="8.6328125" customWidth="1" style="95" min="13072" max="13073"/>
    <col width="9.1796875" customWidth="1" style="95" min="13074" max="13312"/>
    <col width="12.6328125" customWidth="1" style="95" min="13313" max="13313"/>
    <col width="15.6328125" customWidth="1" style="95" min="13314" max="13314"/>
    <col width="9.6328125" customWidth="1" style="95" min="13315" max="13315"/>
    <col width="8.6328125" customWidth="1" style="95" min="13316" max="13318"/>
    <col width="7.6328125" customWidth="1" style="95" min="13319" max="13319"/>
    <col width="8.6328125" customWidth="1" style="95" min="13320" max="13321"/>
    <col width="9.6328125" customWidth="1" style="95" min="13322" max="13322"/>
    <col width="8.6328125" customWidth="1" style="95" min="13323" max="13326"/>
    <col width="9.6328125" customWidth="1" style="95" min="13327" max="13327"/>
    <col width="8.6328125" customWidth="1" style="95" min="13328" max="13329"/>
    <col width="9.1796875" customWidth="1" style="95" min="13330" max="13568"/>
    <col width="12.6328125" customWidth="1" style="95" min="13569" max="13569"/>
    <col width="15.6328125" customWidth="1" style="95" min="13570" max="13570"/>
    <col width="9.6328125" customWidth="1" style="95" min="13571" max="13571"/>
    <col width="8.6328125" customWidth="1" style="95" min="13572" max="13574"/>
    <col width="7.6328125" customWidth="1" style="95" min="13575" max="13575"/>
    <col width="8.6328125" customWidth="1" style="95" min="13576" max="13577"/>
    <col width="9.6328125" customWidth="1" style="95" min="13578" max="13578"/>
    <col width="8.6328125" customWidth="1" style="95" min="13579" max="13582"/>
    <col width="9.6328125" customWidth="1" style="95" min="13583" max="13583"/>
    <col width="8.6328125" customWidth="1" style="95" min="13584" max="13585"/>
    <col width="9.1796875" customWidth="1" style="95" min="13586" max="13824"/>
    <col width="12.6328125" customWidth="1" style="95" min="13825" max="13825"/>
    <col width="15.6328125" customWidth="1" style="95" min="13826" max="13826"/>
    <col width="9.6328125" customWidth="1" style="95" min="13827" max="13827"/>
    <col width="8.6328125" customWidth="1" style="95" min="13828" max="13830"/>
    <col width="7.6328125" customWidth="1" style="95" min="13831" max="13831"/>
    <col width="8.6328125" customWidth="1" style="95" min="13832" max="13833"/>
    <col width="9.6328125" customWidth="1" style="95" min="13834" max="13834"/>
    <col width="8.6328125" customWidth="1" style="95" min="13835" max="13838"/>
    <col width="9.6328125" customWidth="1" style="95" min="13839" max="13839"/>
    <col width="8.6328125" customWidth="1" style="95" min="13840" max="13841"/>
    <col width="9.1796875" customWidth="1" style="95" min="13842" max="14080"/>
    <col width="12.6328125" customWidth="1" style="95" min="14081" max="14081"/>
    <col width="15.6328125" customWidth="1" style="95" min="14082" max="14082"/>
    <col width="9.6328125" customWidth="1" style="95" min="14083" max="14083"/>
    <col width="8.6328125" customWidth="1" style="95" min="14084" max="14086"/>
    <col width="7.6328125" customWidth="1" style="95" min="14087" max="14087"/>
    <col width="8.6328125" customWidth="1" style="95" min="14088" max="14089"/>
    <col width="9.6328125" customWidth="1" style="95" min="14090" max="14090"/>
    <col width="8.6328125" customWidth="1" style="95" min="14091" max="14094"/>
    <col width="9.6328125" customWidth="1" style="95" min="14095" max="14095"/>
    <col width="8.6328125" customWidth="1" style="95" min="14096" max="14097"/>
    <col width="9.1796875" customWidth="1" style="95" min="14098" max="14336"/>
    <col width="12.6328125" customWidth="1" style="95" min="14337" max="14337"/>
    <col width="15.6328125" customWidth="1" style="95" min="14338" max="14338"/>
    <col width="9.6328125" customWidth="1" style="95" min="14339" max="14339"/>
    <col width="8.6328125" customWidth="1" style="95" min="14340" max="14342"/>
    <col width="7.6328125" customWidth="1" style="95" min="14343" max="14343"/>
    <col width="8.6328125" customWidth="1" style="95" min="14344" max="14345"/>
    <col width="9.6328125" customWidth="1" style="95" min="14346" max="14346"/>
    <col width="8.6328125" customWidth="1" style="95" min="14347" max="14350"/>
    <col width="9.6328125" customWidth="1" style="95" min="14351" max="14351"/>
    <col width="8.6328125" customWidth="1" style="95" min="14352" max="14353"/>
    <col width="9.1796875" customWidth="1" style="95" min="14354" max="14592"/>
    <col width="12.6328125" customWidth="1" style="95" min="14593" max="14593"/>
    <col width="15.6328125" customWidth="1" style="95" min="14594" max="14594"/>
    <col width="9.6328125" customWidth="1" style="95" min="14595" max="14595"/>
    <col width="8.6328125" customWidth="1" style="95" min="14596" max="14598"/>
    <col width="7.6328125" customWidth="1" style="95" min="14599" max="14599"/>
    <col width="8.6328125" customWidth="1" style="95" min="14600" max="14601"/>
    <col width="9.6328125" customWidth="1" style="95" min="14602" max="14602"/>
    <col width="8.6328125" customWidth="1" style="95" min="14603" max="14606"/>
    <col width="9.6328125" customWidth="1" style="95" min="14607" max="14607"/>
    <col width="8.6328125" customWidth="1" style="95" min="14608" max="14609"/>
    <col width="9.1796875" customWidth="1" style="95" min="14610" max="14848"/>
    <col width="12.6328125" customWidth="1" style="95" min="14849" max="14849"/>
    <col width="15.6328125" customWidth="1" style="95" min="14850" max="14850"/>
    <col width="9.6328125" customWidth="1" style="95" min="14851" max="14851"/>
    <col width="8.6328125" customWidth="1" style="95" min="14852" max="14854"/>
    <col width="7.6328125" customWidth="1" style="95" min="14855" max="14855"/>
    <col width="8.6328125" customWidth="1" style="95" min="14856" max="14857"/>
    <col width="9.6328125" customWidth="1" style="95" min="14858" max="14858"/>
    <col width="8.6328125" customWidth="1" style="95" min="14859" max="14862"/>
    <col width="9.6328125" customWidth="1" style="95" min="14863" max="14863"/>
    <col width="8.6328125" customWidth="1" style="95" min="14864" max="14865"/>
    <col width="9.1796875" customWidth="1" style="95" min="14866" max="15104"/>
    <col width="12.6328125" customWidth="1" style="95" min="15105" max="15105"/>
    <col width="15.6328125" customWidth="1" style="95" min="15106" max="15106"/>
    <col width="9.6328125" customWidth="1" style="95" min="15107" max="15107"/>
    <col width="8.6328125" customWidth="1" style="95" min="15108" max="15110"/>
    <col width="7.6328125" customWidth="1" style="95" min="15111" max="15111"/>
    <col width="8.6328125" customWidth="1" style="95" min="15112" max="15113"/>
    <col width="9.6328125" customWidth="1" style="95" min="15114" max="15114"/>
    <col width="8.6328125" customWidth="1" style="95" min="15115" max="15118"/>
    <col width="9.6328125" customWidth="1" style="95" min="15119" max="15119"/>
    <col width="8.6328125" customWidth="1" style="95" min="15120" max="15121"/>
    <col width="9.1796875" customWidth="1" style="95" min="15122" max="15360"/>
    <col width="12.6328125" customWidth="1" style="95" min="15361" max="15361"/>
    <col width="15.6328125" customWidth="1" style="95" min="15362" max="15362"/>
    <col width="9.6328125" customWidth="1" style="95" min="15363" max="15363"/>
    <col width="8.6328125" customWidth="1" style="95" min="15364" max="15366"/>
    <col width="7.6328125" customWidth="1" style="95" min="15367" max="15367"/>
    <col width="8.6328125" customWidth="1" style="95" min="15368" max="15369"/>
    <col width="9.6328125" customWidth="1" style="95" min="15370" max="15370"/>
    <col width="8.6328125" customWidth="1" style="95" min="15371" max="15374"/>
    <col width="9.6328125" customWidth="1" style="95" min="15375" max="15375"/>
    <col width="8.6328125" customWidth="1" style="95" min="15376" max="15377"/>
    <col width="9.1796875" customWidth="1" style="95" min="15378" max="15616"/>
    <col width="12.6328125" customWidth="1" style="95" min="15617" max="15617"/>
    <col width="15.6328125" customWidth="1" style="95" min="15618" max="15618"/>
    <col width="9.6328125" customWidth="1" style="95" min="15619" max="15619"/>
    <col width="8.6328125" customWidth="1" style="95" min="15620" max="15622"/>
    <col width="7.6328125" customWidth="1" style="95" min="15623" max="15623"/>
    <col width="8.6328125" customWidth="1" style="95" min="15624" max="15625"/>
    <col width="9.6328125" customWidth="1" style="95" min="15626" max="15626"/>
    <col width="8.6328125" customWidth="1" style="95" min="15627" max="15630"/>
    <col width="9.6328125" customWidth="1" style="95" min="15631" max="15631"/>
    <col width="8.6328125" customWidth="1" style="95" min="15632" max="15633"/>
    <col width="9.1796875" customWidth="1" style="95" min="15634" max="15872"/>
    <col width="12.6328125" customWidth="1" style="95" min="15873" max="15873"/>
    <col width="15.6328125" customWidth="1" style="95" min="15874" max="15874"/>
    <col width="9.6328125" customWidth="1" style="95" min="15875" max="15875"/>
    <col width="8.6328125" customWidth="1" style="95" min="15876" max="15878"/>
    <col width="7.6328125" customWidth="1" style="95" min="15879" max="15879"/>
    <col width="8.6328125" customWidth="1" style="95" min="15880" max="15881"/>
    <col width="9.6328125" customWidth="1" style="95" min="15882" max="15882"/>
    <col width="8.6328125" customWidth="1" style="95" min="15883" max="15886"/>
    <col width="9.6328125" customWidth="1" style="95" min="15887" max="15887"/>
    <col width="8.6328125" customWidth="1" style="95" min="15888" max="15889"/>
    <col width="9.1796875" customWidth="1" style="95" min="15890" max="16128"/>
    <col width="12.6328125" customWidth="1" style="95" min="16129" max="16129"/>
    <col width="15.6328125" customWidth="1" style="95" min="16130" max="16130"/>
    <col width="9.6328125" customWidth="1" style="95" min="16131" max="16131"/>
    <col width="8.6328125" customWidth="1" style="95" min="16132" max="16134"/>
    <col width="7.6328125" customWidth="1" style="95" min="16135" max="16135"/>
    <col width="8.6328125" customWidth="1" style="95" min="16136" max="16137"/>
    <col width="9.6328125" customWidth="1" style="95" min="16138" max="16138"/>
    <col width="8.6328125" customWidth="1" style="95" min="16139" max="16142"/>
    <col width="9.6328125" customWidth="1" style="95" min="16143" max="16143"/>
    <col width="8.6328125" customWidth="1" style="95" min="16144" max="16145"/>
    <col width="9.179687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4"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4"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4"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4"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4"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4"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4"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4"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4"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4"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4"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4"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4"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4"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4"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4"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4"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4"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4"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4"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4"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4"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4"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4"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4"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4"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4"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4"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4"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4"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4"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4"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4"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4"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4"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4"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4"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4"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4"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4"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4"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4"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4"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4"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4"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4"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4"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4"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4"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4"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4"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4"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4"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4"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4"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4"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4"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4"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4"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4"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4"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4"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4"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4"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4"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4"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4"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4"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4"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4"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4"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4"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4"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4"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4"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4"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4"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4"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4"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4"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4"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4"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4"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4"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4"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4"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4"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4"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4"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4"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4"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4"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4"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4"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4"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4"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4"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4"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4"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4"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4"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4"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4"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4"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4"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4"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4"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4"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4"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4"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4"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4"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4"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4"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4"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4"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4"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4"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4"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4"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4"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4"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4"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4"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4"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4"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4"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4"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4"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4"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4"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4"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4"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4"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4"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4"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4"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4"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4"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4"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4"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4"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4"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4"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4"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4"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4"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4"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4"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4"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4"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4"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4"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4"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4"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4"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4"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4"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4"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4"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4"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4"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4"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4"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4"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4"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4"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4"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4"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4"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4"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4"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4"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4"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4"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4"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4"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4"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4"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4"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4"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4"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4"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4"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4"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4"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4"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4"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4"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4"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4"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4"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4"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4"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4"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4"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4"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4"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4"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4"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4"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4"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4"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4"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4"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4"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4"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4"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4"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4"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4"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4"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4"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4"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4"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4"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4"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4"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4"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4"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4"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4"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4"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4"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4"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4"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4"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4"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4"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4"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4"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4"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4"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4"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4"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4"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4"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4"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4"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4"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4"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4"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4"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4"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4"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4"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4"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4"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4"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4"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4"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4"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4"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4"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4"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4"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4"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4"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4"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4"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4"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4"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4"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4"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4"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4"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4"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4"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4"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4"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4"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4"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4"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4"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4"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4"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4"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4"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4"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4"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4"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4"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4"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4"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4"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4"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4"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4"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4"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4"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4"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4"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4"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4"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4"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4"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4"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4"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4"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4"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4"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4"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4"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4"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4"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4"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4"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4"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4"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4"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4"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4"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4"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4"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4"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4"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4"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4"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4"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4"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4"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4"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4"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4"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4"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4"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4"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4"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4"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4"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4"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4"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4"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4"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4"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4"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4"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4"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4"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4"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4"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4"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4"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4"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4"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4"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4"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4"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4"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4"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4"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4"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4"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4"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4" t="n">
        <v>44378</v>
      </c>
      <c r="B356" t="n">
        <v>448825</v>
      </c>
      <c r="C356" t="n">
        <v>619014</v>
      </c>
      <c r="D356" t="n">
        <v>38848</v>
      </c>
      <c r="E356" t="n">
        <v>25397</v>
      </c>
      <c r="F356" t="n">
        <v>72910</v>
      </c>
      <c r="G356" t="n">
        <v>8443</v>
      </c>
      <c r="H356" t="n">
        <v>11861</v>
      </c>
      <c r="I356" t="n">
        <v>77293</v>
      </c>
      <c r="J356" t="n">
        <v>496686</v>
      </c>
      <c r="K356" t="n">
        <v>47861</v>
      </c>
      <c r="L356" t="n">
        <v>66654</v>
      </c>
      <c r="M356" t="n">
        <v>32512</v>
      </c>
      <c r="N356" t="n">
        <v>13833</v>
      </c>
      <c r="O356" t="n">
        <v>122328</v>
      </c>
      <c r="P356" t="n">
        <v>92162</v>
      </c>
      <c r="Q356" t="n">
        <v>8912</v>
      </c>
    </row>
    <row r="357">
      <c r="A357" s="134" t="n">
        <v>44409</v>
      </c>
      <c r="B357" t="n">
        <v>455497</v>
      </c>
      <c r="C357" t="n">
        <v>624963</v>
      </c>
      <c r="D357" t="n">
        <v>38913</v>
      </c>
      <c r="E357" t="n">
        <v>24874</v>
      </c>
      <c r="F357" t="n">
        <v>74085</v>
      </c>
      <c r="G357" t="n">
        <v>8022</v>
      </c>
      <c r="H357" t="n">
        <v>11866</v>
      </c>
      <c r="I357" t="n">
        <v>77564</v>
      </c>
      <c r="J357" t="n">
        <v>505347</v>
      </c>
      <c r="K357" t="n">
        <v>49850</v>
      </c>
      <c r="L357" t="n">
        <v>67314</v>
      </c>
      <c r="M357" t="n">
        <v>32799</v>
      </c>
      <c r="N357" t="n">
        <v>14073</v>
      </c>
      <c r="O357" t="n">
        <v>119616</v>
      </c>
      <c r="P357" t="n">
        <v>97186</v>
      </c>
      <c r="Q357" t="n">
        <v>8801</v>
      </c>
    </row>
    <row r="358">
      <c r="A358" s="134" t="n">
        <v>44440</v>
      </c>
      <c r="B358" t="n">
        <v>458684</v>
      </c>
      <c r="C358" t="n">
        <v>631563</v>
      </c>
      <c r="D358" t="n">
        <v>39261</v>
      </c>
      <c r="E358" t="n">
        <v>25264</v>
      </c>
      <c r="F358" t="n">
        <v>74695</v>
      </c>
      <c r="G358" t="n">
        <v>8081</v>
      </c>
      <c r="H358" t="n">
        <v>11962</v>
      </c>
      <c r="I358" t="n">
        <v>78288</v>
      </c>
      <c r="J358" t="n">
        <v>510471</v>
      </c>
      <c r="K358" t="n">
        <v>51787</v>
      </c>
      <c r="L358" t="n">
        <v>67541</v>
      </c>
      <c r="M358" t="n">
        <v>32611</v>
      </c>
      <c r="N358" t="n">
        <v>14403</v>
      </c>
      <c r="O358" t="n">
        <v>121092</v>
      </c>
      <c r="P358" t="n">
        <v>97674</v>
      </c>
      <c r="Q358" t="n">
        <v>8904</v>
      </c>
    </row>
    <row r="359">
      <c r="A359" s="134" t="n">
        <v>44470</v>
      </c>
      <c r="B359" t="n">
        <v>464043</v>
      </c>
      <c r="C359" t="n">
        <v>641459</v>
      </c>
      <c r="D359" t="n">
        <v>40040</v>
      </c>
      <c r="E359" t="n">
        <v>25609</v>
      </c>
      <c r="F359" t="n">
        <v>75299</v>
      </c>
      <c r="G359" t="n">
        <v>8382</v>
      </c>
      <c r="H359" t="n">
        <v>12064</v>
      </c>
      <c r="I359" t="n">
        <v>78449</v>
      </c>
      <c r="J359" t="n">
        <v>518451</v>
      </c>
      <c r="K359" t="n">
        <v>54408</v>
      </c>
      <c r="L359" t="n">
        <v>68382</v>
      </c>
      <c r="M359" t="n">
        <v>32315</v>
      </c>
      <c r="N359" t="n">
        <v>14535</v>
      </c>
      <c r="O359" t="n">
        <v>123008</v>
      </c>
      <c r="P359" t="n">
        <v>99967</v>
      </c>
      <c r="Q359" t="n">
        <v>9001</v>
      </c>
    </row>
    <row r="360">
      <c r="A360" s="134" t="n">
        <v>44501</v>
      </c>
      <c r="B360" t="n">
        <v>465861</v>
      </c>
      <c r="C360" t="n">
        <v>644741</v>
      </c>
      <c r="D360" t="n">
        <v>40880</v>
      </c>
      <c r="E360" t="n">
        <v>25784</v>
      </c>
      <c r="F360" t="n">
        <v>75783</v>
      </c>
      <c r="G360" t="n">
        <v>7227</v>
      </c>
      <c r="H360" t="n">
        <v>12025</v>
      </c>
      <c r="I360" t="n">
        <v>79051</v>
      </c>
      <c r="J360" t="n">
        <v>521070</v>
      </c>
      <c r="K360" t="n">
        <v>55209</v>
      </c>
      <c r="L360" t="n">
        <v>68402</v>
      </c>
      <c r="M360" t="n">
        <v>32793</v>
      </c>
      <c r="N360" t="n">
        <v>14381</v>
      </c>
      <c r="O360" t="n">
        <v>123671</v>
      </c>
      <c r="P360" t="n">
        <v>100341</v>
      </c>
      <c r="Q360" t="n">
        <v>9194</v>
      </c>
    </row>
    <row r="361">
      <c r="A361" s="134" t="n">
        <v>44531</v>
      </c>
      <c r="B361" t="n">
        <v>457676</v>
      </c>
      <c r="C361" t="n">
        <v>634393</v>
      </c>
      <c r="D361" t="n">
        <v>41207</v>
      </c>
      <c r="E361" t="n">
        <v>25051</v>
      </c>
      <c r="F361" t="n">
        <v>76187</v>
      </c>
      <c r="G361" t="n">
        <v>7224</v>
      </c>
      <c r="H361" t="n">
        <v>11219</v>
      </c>
      <c r="I361" t="n">
        <v>77583</v>
      </c>
      <c r="J361" t="n">
        <v>513586</v>
      </c>
      <c r="K361" t="n">
        <v>55910</v>
      </c>
      <c r="L361" t="n">
        <v>67197</v>
      </c>
      <c r="M361" t="n">
        <v>32797</v>
      </c>
      <c r="N361" t="n">
        <v>14285</v>
      </c>
      <c r="O361" t="n">
        <v>120807</v>
      </c>
      <c r="P361" t="n">
        <v>95958</v>
      </c>
      <c r="Q361" t="n">
        <v>8968</v>
      </c>
    </row>
    <row r="362">
      <c r="A362" s="134"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4"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4"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4"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4"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4" t="n">
        <v>44713</v>
      </c>
      <c r="B367" t="n">
        <v>488175</v>
      </c>
      <c r="C367" t="n">
        <v>684084</v>
      </c>
      <c r="D367" t="n">
        <v>42131</v>
      </c>
      <c r="E367" t="n">
        <v>26004</v>
      </c>
      <c r="F367" t="n">
        <v>79000</v>
      </c>
      <c r="G367" t="n">
        <v>7559</v>
      </c>
      <c r="H367" t="n">
        <v>11995</v>
      </c>
      <c r="I367" t="n">
        <v>85939</v>
      </c>
      <c r="J367" t="n">
        <v>556980</v>
      </c>
      <c r="K367" t="n">
        <v>68805</v>
      </c>
      <c r="L367" t="n">
        <v>69621</v>
      </c>
      <c r="M367" t="n">
        <v>33426</v>
      </c>
      <c r="N367" t="n">
        <v>16110</v>
      </c>
      <c r="O367" t="n">
        <v>127104</v>
      </c>
      <c r="P367" t="n">
        <v>107157</v>
      </c>
      <c r="Q367" t="n">
        <v>9233</v>
      </c>
    </row>
    <row r="368">
      <c r="A368" s="134" t="n">
        <v>44743</v>
      </c>
      <c r="B368" t="n">
        <v>489272</v>
      </c>
      <c r="C368" t="n">
        <v>681108</v>
      </c>
      <c r="D368" t="n">
        <v>42597</v>
      </c>
      <c r="E368" t="n">
        <v>25889</v>
      </c>
      <c r="F368" t="n">
        <v>78968</v>
      </c>
      <c r="G368" t="n">
        <v>7535</v>
      </c>
      <c r="H368" t="n">
        <v>12009</v>
      </c>
      <c r="I368" t="n">
        <v>85214</v>
      </c>
      <c r="J368" t="n">
        <v>556555</v>
      </c>
      <c r="K368" t="n">
        <v>67283</v>
      </c>
      <c r="L368" t="n">
        <v>69346</v>
      </c>
      <c r="M368" t="n">
        <v>33641</v>
      </c>
      <c r="N368" t="n">
        <v>15898</v>
      </c>
      <c r="O368" t="n">
        <v>124553</v>
      </c>
      <c r="P368" t="n">
        <v>108939</v>
      </c>
      <c r="Q368" t="n">
        <v>9236</v>
      </c>
    </row>
    <row r="369">
      <c r="A369" s="134" t="n">
        <v>44774</v>
      </c>
      <c r="B369" t="n">
        <v>493588</v>
      </c>
      <c r="C369" t="n">
        <v>685685</v>
      </c>
      <c r="D369" t="n">
        <v>43314</v>
      </c>
      <c r="E369" t="n">
        <v>26145</v>
      </c>
      <c r="F369" t="n">
        <v>79317</v>
      </c>
      <c r="G369" t="n">
        <v>7387</v>
      </c>
      <c r="H369" t="n">
        <v>12087</v>
      </c>
      <c r="I369" t="n">
        <v>87305</v>
      </c>
      <c r="J369" t="n">
        <v>557536</v>
      </c>
      <c r="K369" t="n">
        <v>63948</v>
      </c>
      <c r="L369" t="n">
        <v>69558</v>
      </c>
      <c r="M369" t="n">
        <v>33649</v>
      </c>
      <c r="N369" t="n">
        <v>15934</v>
      </c>
      <c r="O369" t="n">
        <v>128149</v>
      </c>
      <c r="P369" t="n">
        <v>109557</v>
      </c>
      <c r="Q369" t="n">
        <v>9335</v>
      </c>
    </row>
    <row r="370">
      <c r="A370" s="134" t="n">
        <v>44805</v>
      </c>
      <c r="B370" t="n">
        <v>496463</v>
      </c>
      <c r="C370" t="n">
        <v>685794</v>
      </c>
      <c r="D370" t="n">
        <v>43246</v>
      </c>
      <c r="E370" t="n">
        <v>26396</v>
      </c>
      <c r="F370" t="n">
        <v>79888</v>
      </c>
      <c r="G370" t="n">
        <v>7389</v>
      </c>
      <c r="H370" t="n">
        <v>11981</v>
      </c>
      <c r="I370" t="n">
        <v>88074</v>
      </c>
      <c r="J370" t="n">
        <v>558030</v>
      </c>
      <c r="K370" t="n">
        <v>61567</v>
      </c>
      <c r="L370" t="n">
        <v>70107</v>
      </c>
      <c r="M370" t="n">
        <v>33906</v>
      </c>
      <c r="N370" t="n">
        <v>15994</v>
      </c>
      <c r="O370" t="n">
        <v>127764</v>
      </c>
      <c r="P370" t="n">
        <v>110224</v>
      </c>
      <c r="Q370" t="n">
        <v>9258</v>
      </c>
    </row>
    <row r="371">
      <c r="A371" s="134" t="n">
        <v>44835</v>
      </c>
      <c r="B371" t="n">
        <v>500963</v>
      </c>
      <c r="C371" t="n">
        <v>694518</v>
      </c>
      <c r="D371" t="n">
        <v>43719</v>
      </c>
      <c r="E371" t="n">
        <v>26391</v>
      </c>
      <c r="F371" t="n">
        <v>81038</v>
      </c>
      <c r="G371" t="n">
        <v>7367</v>
      </c>
      <c r="H371" t="n">
        <v>12113</v>
      </c>
      <c r="I371" t="n">
        <v>89521</v>
      </c>
      <c r="J371" t="n">
        <v>565057</v>
      </c>
      <c r="K371" t="n">
        <v>64094</v>
      </c>
      <c r="L371" t="n">
        <v>69979</v>
      </c>
      <c r="M371" t="n">
        <v>34063</v>
      </c>
      <c r="N371" t="n">
        <v>16040</v>
      </c>
      <c r="O371" t="n">
        <v>129461</v>
      </c>
      <c r="P371" t="n">
        <v>111505</v>
      </c>
      <c r="Q371" t="n">
        <v>9227</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tabSelected="1" zoomScale="60" zoomScaleNormal="60" workbookViewId="0">
      <selection activeCell="E3" sqref="E3"/>
    </sheetView>
  </sheetViews>
  <sheetFormatPr baseColWidth="8" defaultColWidth="9.1796875" defaultRowHeight="14.5"/>
  <cols>
    <col width="5.81640625" customWidth="1" style="114" min="1" max="1"/>
    <col width="14.6328125" customWidth="1" style="114" min="2" max="2"/>
    <col width="63.1796875" customWidth="1" style="114" min="3" max="3"/>
    <col width="16.36328125" bestFit="1" customWidth="1" style="114" min="4" max="4"/>
    <col width="16.36328125" customWidth="1" style="114" min="5" max="8"/>
    <col width="21.81640625" customWidth="1" style="114" min="9" max="9"/>
    <col width="52.36328125" customWidth="1" style="114" min="10" max="10"/>
    <col width="9.1796875" customWidth="1" style="114" min="11" max="12"/>
    <col width="9.81640625" customWidth="1" style="114" min="13" max="13"/>
    <col width="9.1796875" customWidth="1" style="114" min="14" max="29"/>
    <col width="9.1796875" customWidth="1" style="114" min="30" max="16384"/>
  </cols>
  <sheetData>
    <row r="1" ht="16" customHeight="1" s="95" thickBot="1"/>
    <row r="2">
      <c r="D2" s="4" t="inlineStr">
        <is>
          <t>Previous</t>
        </is>
      </c>
      <c r="E2" s="6">
        <f>DATE(YEAR(E3),MONTH(E3)-1,DAY(E3))</f>
        <v/>
      </c>
    </row>
    <row r="3" ht="16" customHeight="1" s="95" thickBot="1">
      <c r="D3" s="5" t="inlineStr">
        <is>
          <t>Latest</t>
        </is>
      </c>
      <c r="E3" s="7" t="n">
        <v>44835</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53" stopIfTrue="1">
      <formula>0</formula>
    </cfRule>
    <cfRule type="cellIs" priority="16" operator="lessThan" dxfId="52" stopIfTrue="1">
      <formula>0</formula>
    </cfRule>
    <cfRule type="cellIs" priority="17" operator="greaterThan" dxfId="51" stopIfTrue="1">
      <formula>0</formula>
    </cfRule>
  </conditionalFormatting>
  <conditionalFormatting sqref="F19">
    <cfRule type="cellIs" priority="9" operator="equal" dxfId="53" stopIfTrue="1">
      <formula>0</formula>
    </cfRule>
    <cfRule type="cellIs" priority="10" operator="lessThan" dxfId="52" stopIfTrue="1">
      <formula>0</formula>
    </cfRule>
    <cfRule type="cellIs" priority="11" operator="greaterThan" dxfId="51" stopIfTrue="1">
      <formula>0</formula>
    </cfRule>
  </conditionalFormatting>
  <conditionalFormatting sqref="F20">
    <cfRule type="cellIs" priority="6" operator="equal" dxfId="53" stopIfTrue="1">
      <formula>0</formula>
    </cfRule>
    <cfRule type="cellIs" priority="7" operator="lessThan" dxfId="52" stopIfTrue="1">
      <formula>0</formula>
    </cfRule>
    <cfRule type="cellIs" priority="8" operator="greaterThan" dxfId="51" stopIfTrue="1">
      <formula>0</formula>
    </cfRule>
  </conditionalFormatting>
  <conditionalFormatting sqref="F21">
    <cfRule type="cellIs" priority="3" operator="equal" dxfId="53" stopIfTrue="1">
      <formula>0</formula>
    </cfRule>
    <cfRule type="cellIs" priority="4" operator="lessThan" dxfId="52" stopIfTrue="1">
      <formula>0</formula>
    </cfRule>
    <cfRule type="cellIs" priority="5" operator="greaterThan" dxfId="51"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6"/>
  <sheetViews>
    <sheetView topLeftCell="B1" zoomScale="70" zoomScaleNormal="70" workbookViewId="0">
      <pane ySplit="3" topLeftCell="A49" activePane="bottomLeft" state="frozen"/>
      <selection activeCell="P14" sqref="P14"/>
      <selection pane="bottomLeft" activeCell="M73" sqref="M73"/>
    </sheetView>
  </sheetViews>
  <sheetFormatPr baseColWidth="8" defaultColWidth="9.1796875" defaultRowHeight="14.5"/>
  <cols>
    <col width="3" customWidth="1" style="114" min="1" max="1"/>
    <col width="7.6328125" customWidth="1" style="114" min="2" max="32"/>
    <col width="9.1796875" customWidth="1" style="114" min="33" max="48"/>
    <col width="9.1796875" customWidth="1" style="114" min="49" max="16384"/>
  </cols>
  <sheetData>
    <row r="1" ht="16" customHeight="1" s="95" thickBot="1"/>
    <row r="2" ht="87" customHeight="1" s="95" thickBot="1">
      <c r="B2" s="54" t="n"/>
      <c r="C2" s="132" t="inlineStr">
        <is>
          <t>Retail Sales</t>
        </is>
      </c>
      <c r="D2" s="127" t="n"/>
      <c r="E2" s="133" t="inlineStr">
        <is>
          <t>Retail Sales ex Auto</t>
        </is>
      </c>
      <c r="F2" s="127" t="n"/>
      <c r="G2" s="132" t="inlineStr">
        <is>
          <t>Retail Sales ex Auto and Gas</t>
        </is>
      </c>
      <c r="H2" s="127" t="n"/>
      <c r="I2" s="132" t="inlineStr">
        <is>
          <t>Motor Vechicle</t>
        </is>
      </c>
      <c r="J2" s="127" t="n"/>
      <c r="K2" s="132" t="inlineStr">
        <is>
          <t>Non Store</t>
        </is>
      </c>
      <c r="L2" s="127" t="n"/>
      <c r="M2" s="132" t="inlineStr">
        <is>
          <t>Food &amp; Beverage</t>
        </is>
      </c>
      <c r="N2" s="127" t="n"/>
      <c r="O2" s="132" t="inlineStr">
        <is>
          <t>Food Services</t>
        </is>
      </c>
      <c r="P2" s="127" t="n"/>
      <c r="Q2" s="132" t="inlineStr">
        <is>
          <t>General Merchandis</t>
        </is>
      </c>
      <c r="R2" s="127" t="n"/>
      <c r="S2" s="132" t="inlineStr">
        <is>
          <t>Gasoline Stations</t>
        </is>
      </c>
      <c r="T2" s="127" t="n"/>
      <c r="U2" s="132" t="inlineStr">
        <is>
          <t>Housing Supplies</t>
        </is>
      </c>
      <c r="V2" s="127" t="n"/>
      <c r="W2" s="132" t="inlineStr">
        <is>
          <t>HealthCare</t>
        </is>
      </c>
      <c r="X2" s="127" t="n"/>
      <c r="Y2" s="132" t="inlineStr">
        <is>
          <t xml:space="preserve">Clothing </t>
        </is>
      </c>
      <c r="Z2" s="127" t="n"/>
      <c r="AA2" s="132" t="inlineStr">
        <is>
          <t>Furniture</t>
        </is>
      </c>
      <c r="AB2" s="127" t="n"/>
      <c r="AC2" s="132" t="inlineStr">
        <is>
          <t>Miscellan. stores</t>
        </is>
      </c>
      <c r="AD2" s="127" t="n"/>
      <c r="AE2" s="132" t="inlineStr">
        <is>
          <t>Clothing, Sport</t>
        </is>
      </c>
      <c r="AF2" s="127"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row r="64">
      <c r="B64" s="56" t="n">
        <v>44774</v>
      </c>
      <c r="C64" s="52">
        <f>VLOOKUP(B64,'Retail Sales'!A:D,3,)</f>
        <v/>
      </c>
      <c r="D64" s="53">
        <f>VLOOKUP(B64,'Retail Sales'!A:D,4,)</f>
        <v/>
      </c>
      <c r="E64" s="52">
        <f>VLOOKUP(B64,'Retail Sales ex Auto'!$A:$D,3,)</f>
        <v/>
      </c>
      <c r="F64" s="53">
        <f>VLOOKUP(B64,'Retail Sales ex Auto'!$A:$D,4,)</f>
        <v/>
      </c>
      <c r="G64" s="52">
        <f>VLOOKUP(B64,'Retail Sales ex Auto and Gas'!$A:$D,3,)</f>
        <v/>
      </c>
      <c r="H64" s="53">
        <f>VLOOKUP(B64,'Retail Sales ex Auto and Gas'!$A:$D,4,)</f>
        <v/>
      </c>
      <c r="I64" s="52">
        <f>VLOOKUP(B64,Motor!$A:$D,3,)</f>
        <v/>
      </c>
      <c r="J64" s="53">
        <f>VLOOKUP(B64,Motor!$A:$D,4,)</f>
        <v/>
      </c>
      <c r="K64" s="52">
        <f>VLOOKUP(B64,'Non Store Retail'!$A:$D,3,)</f>
        <v/>
      </c>
      <c r="L64" s="53">
        <f>VLOOKUP(B64,'Non Store Retail'!$A:$D,4,)</f>
        <v/>
      </c>
      <c r="M64" s="52">
        <f>VLOOKUP(B64,'Food and Beverage'!$A:$D,3,)</f>
        <v/>
      </c>
      <c r="N64" s="52">
        <f>VLOOKUP(B64,'Food and Beverage'!$A:$D,4,)</f>
        <v/>
      </c>
      <c r="O64" s="52">
        <f>VLOOKUP(B64,'Food Services'!$A:$D,3,)</f>
        <v/>
      </c>
      <c r="P64" s="53">
        <f>VLOOKUP(B64,'Food Services'!$A:$D,4,)</f>
        <v/>
      </c>
      <c r="Q64" s="52">
        <f>VLOOKUP(B64,'General Merchandising'!$A:$D,3,)</f>
        <v/>
      </c>
      <c r="R64" s="53">
        <f>VLOOKUP(B64,'General Merchandising'!$A:$D,4,)</f>
        <v/>
      </c>
      <c r="S64" s="52">
        <f>VLOOKUP(B64,'Gas Station'!$A:$D,3,)</f>
        <v/>
      </c>
      <c r="T64" s="53">
        <f>VLOOKUP(B64,'Gas Station'!$A:$D,4,)</f>
        <v/>
      </c>
      <c r="U64" s="52">
        <f>VLOOKUP(B64,Housing!$A:$D,3,)</f>
        <v/>
      </c>
      <c r="V64" s="53">
        <f>VLOOKUP(B64,Housing!$A:$D,4,)</f>
        <v/>
      </c>
      <c r="W64" s="52">
        <f>VLOOKUP(B64,Health!$A:$D,3,)</f>
        <v/>
      </c>
      <c r="X64" s="53">
        <f>VLOOKUP(B64,Health!$A:$D,4,)</f>
        <v/>
      </c>
      <c r="Y64" s="52">
        <f>VLOOKUP(B64,'Clothing and clothing access'!$A:$D,3,)</f>
        <v/>
      </c>
      <c r="Z64" s="53">
        <f>VLOOKUP(B64,'Clothing and clothing access'!$A:$D,4,)</f>
        <v/>
      </c>
      <c r="AA64" s="52">
        <f>VLOOKUP(B64,'Furniture Home'!$A:$D,3,)</f>
        <v/>
      </c>
      <c r="AB64" s="53">
        <f>VLOOKUP(B64,'Furniture Home'!$A:$D,4,)</f>
        <v/>
      </c>
      <c r="AC64" s="52">
        <f>VLOOKUP(B64,'Miscellaneous stores retailers'!$A:$D,3,)</f>
        <v/>
      </c>
      <c r="AD64" s="53">
        <f>VLOOKUP(B64,'Miscellaneous stores retailers'!$A:$D,4,)</f>
        <v/>
      </c>
      <c r="AE64" s="52">
        <f>VLOOKUP(B64,'Sporting Goods'!$A:$D,3,)</f>
        <v/>
      </c>
      <c r="AF64" s="53">
        <f>VLOOKUP(B64,'Sporting Goods'!$A:$D,4,)</f>
        <v/>
      </c>
    </row>
    <row r="65">
      <c r="B65" s="56" t="n">
        <v>44805</v>
      </c>
      <c r="C65" s="52">
        <f>VLOOKUP(B65,'Retail Sales'!A:D,3,)</f>
        <v/>
      </c>
      <c r="D65" s="53">
        <f>VLOOKUP(B65,'Retail Sales'!A:D,4,)</f>
        <v/>
      </c>
      <c r="E65" s="52">
        <f>VLOOKUP(B65,'Retail Sales ex Auto'!$A:$D,3,)</f>
        <v/>
      </c>
      <c r="F65" s="53">
        <f>VLOOKUP(B65,'Retail Sales ex Auto'!$A:$D,4,)</f>
        <v/>
      </c>
      <c r="G65" s="52">
        <f>VLOOKUP(B65,'Retail Sales ex Auto and Gas'!$A:$D,3,)</f>
        <v/>
      </c>
      <c r="H65" s="53">
        <f>VLOOKUP(B65,'Retail Sales ex Auto and Gas'!$A:$D,4,)</f>
        <v/>
      </c>
      <c r="I65" s="52">
        <f>VLOOKUP(B65,Motor!$A:$D,3,)</f>
        <v/>
      </c>
      <c r="J65" s="53">
        <f>VLOOKUP(B65,Motor!$A:$D,4,)</f>
        <v/>
      </c>
      <c r="K65" s="52">
        <f>VLOOKUP(B65,'Non Store Retail'!$A:$D,3,)</f>
        <v/>
      </c>
      <c r="L65" s="53">
        <f>VLOOKUP(B65,'Non Store Retail'!$A:$D,4,)</f>
        <v/>
      </c>
      <c r="M65" s="52">
        <f>VLOOKUP(B65,'Food and Beverage'!$A:$D,3,)</f>
        <v/>
      </c>
      <c r="N65" s="52">
        <f>VLOOKUP(B65,'Food and Beverage'!$A:$D,4,)</f>
        <v/>
      </c>
      <c r="O65" s="52">
        <f>VLOOKUP(B65,'Food Services'!$A:$D,3,)</f>
        <v/>
      </c>
      <c r="P65" s="53">
        <f>VLOOKUP(B65,'Food Services'!$A:$D,4,)</f>
        <v/>
      </c>
      <c r="Q65" s="52">
        <f>VLOOKUP(B65,'General Merchandising'!$A:$D,3,)</f>
        <v/>
      </c>
      <c r="R65" s="53">
        <f>VLOOKUP(B65,'General Merchandising'!$A:$D,4,)</f>
        <v/>
      </c>
      <c r="S65" s="52">
        <f>VLOOKUP(B65,'Gas Station'!$A:$D,3,)</f>
        <v/>
      </c>
      <c r="T65" s="53">
        <f>VLOOKUP(B65,'Gas Station'!$A:$D,4,)</f>
        <v/>
      </c>
      <c r="U65" s="52">
        <f>VLOOKUP(B65,Housing!$A:$D,3,)</f>
        <v/>
      </c>
      <c r="V65" s="53">
        <f>VLOOKUP(B65,Housing!$A:$D,4,)</f>
        <v/>
      </c>
      <c r="W65" s="52">
        <f>VLOOKUP(B65,Health!$A:$D,3,)</f>
        <v/>
      </c>
      <c r="X65" s="53">
        <f>VLOOKUP(B65,Health!$A:$D,4,)</f>
        <v/>
      </c>
      <c r="Y65" s="52">
        <f>VLOOKUP(B65,'Clothing and clothing access'!$A:$D,3,)</f>
        <v/>
      </c>
      <c r="Z65" s="53">
        <f>VLOOKUP(B65,'Clothing and clothing access'!$A:$D,4,)</f>
        <v/>
      </c>
      <c r="AA65" s="52">
        <f>VLOOKUP(B65,'Furniture Home'!$A:$D,3,)</f>
        <v/>
      </c>
      <c r="AB65" s="53">
        <f>VLOOKUP(B65,'Furniture Home'!$A:$D,4,)</f>
        <v/>
      </c>
      <c r="AC65" s="52">
        <f>VLOOKUP(B65,'Miscellaneous stores retailers'!$A:$D,3,)</f>
        <v/>
      </c>
      <c r="AD65" s="53">
        <f>VLOOKUP(B65,'Miscellaneous stores retailers'!$A:$D,4,)</f>
        <v/>
      </c>
      <c r="AE65" s="52">
        <f>VLOOKUP(B65,'Sporting Goods'!$A:$D,3,)</f>
        <v/>
      </c>
      <c r="AF65" s="53">
        <f>VLOOKUP(B65,'Sporting Goods'!$A:$D,4,)</f>
        <v/>
      </c>
    </row>
    <row r="66">
      <c r="B66" s="56" t="n">
        <v>44835</v>
      </c>
      <c r="C66" s="52">
        <f>VLOOKUP(B66,'Retail Sales'!A:D,3,)</f>
        <v/>
      </c>
      <c r="D66" s="53">
        <f>VLOOKUP(B66,'Retail Sales'!A:D,4,)</f>
        <v/>
      </c>
      <c r="E66" s="52">
        <f>VLOOKUP(B66,'Retail Sales ex Auto'!$A:$D,3,)</f>
        <v/>
      </c>
      <c r="F66" s="53">
        <f>VLOOKUP(B66,'Retail Sales ex Auto'!$A:$D,4,)</f>
        <v/>
      </c>
      <c r="G66" s="52">
        <f>VLOOKUP(B66,'Retail Sales ex Auto and Gas'!$A:$D,3,)</f>
        <v/>
      </c>
      <c r="H66" s="53">
        <f>VLOOKUP(B66,'Retail Sales ex Auto and Gas'!$A:$D,4,)</f>
        <v/>
      </c>
      <c r="I66" s="52">
        <f>VLOOKUP(B66,Motor!$A:$D,3,)</f>
        <v/>
      </c>
      <c r="J66" s="53">
        <f>VLOOKUP(B66,Motor!$A:$D,4,)</f>
        <v/>
      </c>
      <c r="K66" s="52">
        <f>VLOOKUP(B66,'Non Store Retail'!$A:$D,3,)</f>
        <v/>
      </c>
      <c r="L66" s="53">
        <f>VLOOKUP(B66,'Non Store Retail'!$A:$D,4,)</f>
        <v/>
      </c>
      <c r="M66" s="52">
        <f>VLOOKUP(B66,'Food and Beverage'!$A:$D,3,)</f>
        <v/>
      </c>
      <c r="N66" s="52">
        <f>VLOOKUP(B66,'Food and Beverage'!$A:$D,4,)</f>
        <v/>
      </c>
      <c r="O66" s="52">
        <f>VLOOKUP(B66,'Food Services'!$A:$D,3,)</f>
        <v/>
      </c>
      <c r="P66" s="53">
        <f>VLOOKUP(B66,'Food Services'!$A:$D,4,)</f>
        <v/>
      </c>
      <c r="Q66" s="52">
        <f>VLOOKUP(B66,'General Merchandising'!$A:$D,3,)</f>
        <v/>
      </c>
      <c r="R66" s="53">
        <f>VLOOKUP(B66,'General Merchandising'!$A:$D,4,)</f>
        <v/>
      </c>
      <c r="S66" s="52">
        <f>VLOOKUP(B66,'Gas Station'!$A:$D,3,)</f>
        <v/>
      </c>
      <c r="T66" s="53">
        <f>VLOOKUP(B66,'Gas Station'!$A:$D,4,)</f>
        <v/>
      </c>
      <c r="U66" s="52">
        <f>VLOOKUP(B66,Housing!$A:$D,3,)</f>
        <v/>
      </c>
      <c r="V66" s="53">
        <f>VLOOKUP(B66,Housing!$A:$D,4,)</f>
        <v/>
      </c>
      <c r="W66" s="52">
        <f>VLOOKUP(B66,Health!$A:$D,3,)</f>
        <v/>
      </c>
      <c r="X66" s="53">
        <f>VLOOKUP(B66,Health!$A:$D,4,)</f>
        <v/>
      </c>
      <c r="Y66" s="52">
        <f>VLOOKUP(B66,'Clothing and clothing access'!$A:$D,3,)</f>
        <v/>
      </c>
      <c r="Z66" s="53">
        <f>VLOOKUP(B66,'Clothing and clothing access'!$A:$D,4,)</f>
        <v/>
      </c>
      <c r="AA66" s="52">
        <f>VLOOKUP(B66,'Furniture Home'!$A:$D,3,)</f>
        <v/>
      </c>
      <c r="AB66" s="53">
        <f>VLOOKUP(B66,'Furniture Home'!$A:$D,4,)</f>
        <v/>
      </c>
      <c r="AC66" s="52">
        <f>VLOOKUP(B66,'Miscellaneous stores retailers'!$A:$D,3,)</f>
        <v/>
      </c>
      <c r="AD66" s="53">
        <f>VLOOKUP(B66,'Miscellaneous stores retailers'!$A:$D,4,)</f>
        <v/>
      </c>
      <c r="AE66" s="52">
        <f>VLOOKUP(B66,'Sporting Goods'!$A:$D,3,)</f>
        <v/>
      </c>
      <c r="AF66" s="53">
        <f>VLOOKUP(B66,'Sporting Goods'!$A:$D,4,)</f>
        <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6">
    <cfRule type="colorScale" priority="243">
      <colorScale>
        <cfvo type="min"/>
        <cfvo type="percentile" val="50"/>
        <cfvo type="max"/>
        <color rgb="FFF8696B"/>
        <color rgb="FFFFEB84"/>
        <color rgb="FF63BE7B"/>
      </colorScale>
    </cfRule>
  </conditionalFormatting>
  <conditionalFormatting sqref="D4:D66">
    <cfRule type="colorScale" priority="244">
      <colorScale>
        <cfvo type="min"/>
        <cfvo type="percentile" val="50"/>
        <cfvo type="max"/>
        <color rgb="FFF8696B"/>
        <color rgb="FFFFEB84"/>
        <color rgb="FF63BE7B"/>
      </colorScale>
    </cfRule>
  </conditionalFormatting>
  <conditionalFormatting sqref="E4:E66">
    <cfRule type="colorScale" priority="245">
      <colorScale>
        <cfvo type="min"/>
        <cfvo type="percentile" val="50"/>
        <cfvo type="max"/>
        <color rgb="FFF8696B"/>
        <color rgb="FFFFEB84"/>
        <color rgb="FF63BE7B"/>
      </colorScale>
    </cfRule>
  </conditionalFormatting>
  <conditionalFormatting sqref="F4:F66">
    <cfRule type="colorScale" priority="246">
      <colorScale>
        <cfvo type="min"/>
        <cfvo type="percentile" val="50"/>
        <cfvo type="max"/>
        <color rgb="FFF8696B"/>
        <color rgb="FFFFEB84"/>
        <color rgb="FF63BE7B"/>
      </colorScale>
    </cfRule>
  </conditionalFormatting>
  <conditionalFormatting sqref="G4:G66">
    <cfRule type="colorScale" priority="247">
      <colorScale>
        <cfvo type="min"/>
        <cfvo type="percentile" val="50"/>
        <cfvo type="max"/>
        <color rgb="FFF8696B"/>
        <color rgb="FFFFEB84"/>
        <color rgb="FF63BE7B"/>
      </colorScale>
    </cfRule>
  </conditionalFormatting>
  <conditionalFormatting sqref="H4:H66">
    <cfRule type="colorScale" priority="248">
      <colorScale>
        <cfvo type="min"/>
        <cfvo type="percentile" val="50"/>
        <cfvo type="max"/>
        <color rgb="FFF8696B"/>
        <color rgb="FFFFEB84"/>
        <color rgb="FF63BE7B"/>
      </colorScale>
    </cfRule>
  </conditionalFormatting>
  <conditionalFormatting sqref="I4:I66">
    <cfRule type="colorScale" priority="249">
      <colorScale>
        <cfvo type="min"/>
        <cfvo type="percentile" val="50"/>
        <cfvo type="max"/>
        <color rgb="FFF8696B"/>
        <color rgb="FFFFEB84"/>
        <color rgb="FF63BE7B"/>
      </colorScale>
    </cfRule>
  </conditionalFormatting>
  <conditionalFormatting sqref="J4:J66">
    <cfRule type="colorScale" priority="250">
      <colorScale>
        <cfvo type="min"/>
        <cfvo type="percentile" val="50"/>
        <cfvo type="max"/>
        <color rgb="FFF8696B"/>
        <color rgb="FFFFEB84"/>
        <color rgb="FF63BE7B"/>
      </colorScale>
    </cfRule>
  </conditionalFormatting>
  <conditionalFormatting sqref="K4:K66">
    <cfRule type="colorScale" priority="251">
      <colorScale>
        <cfvo type="min"/>
        <cfvo type="percentile" val="50"/>
        <cfvo type="max"/>
        <color rgb="FFF8696B"/>
        <color rgb="FFFFEB84"/>
        <color rgb="FF63BE7B"/>
      </colorScale>
    </cfRule>
  </conditionalFormatting>
  <conditionalFormatting sqref="L4:L66">
    <cfRule type="colorScale" priority="252">
      <colorScale>
        <cfvo type="min"/>
        <cfvo type="percentile" val="50"/>
        <cfvo type="max"/>
        <color rgb="FFF8696B"/>
        <color rgb="FFFFEB84"/>
        <color rgb="FF63BE7B"/>
      </colorScale>
    </cfRule>
  </conditionalFormatting>
  <conditionalFormatting sqref="M4:M66">
    <cfRule type="colorScale" priority="253">
      <colorScale>
        <cfvo type="min"/>
        <cfvo type="percentile" val="50"/>
        <cfvo type="max"/>
        <color rgb="FFF8696B"/>
        <color rgb="FFFFEB84"/>
        <color rgb="FF63BE7B"/>
      </colorScale>
    </cfRule>
  </conditionalFormatting>
  <conditionalFormatting sqref="O4:O66">
    <cfRule type="colorScale" priority="254">
      <colorScale>
        <cfvo type="min"/>
        <cfvo type="percentile" val="50"/>
        <cfvo type="max"/>
        <color rgb="FFF8696B"/>
        <color rgb="FFFFEB84"/>
        <color rgb="FF63BE7B"/>
      </colorScale>
    </cfRule>
  </conditionalFormatting>
  <conditionalFormatting sqref="P4:P66">
    <cfRule type="colorScale" priority="255">
      <colorScale>
        <cfvo type="min"/>
        <cfvo type="percentile" val="50"/>
        <cfvo type="max"/>
        <color rgb="FFF8696B"/>
        <color rgb="FFFFEB84"/>
        <color rgb="FF63BE7B"/>
      </colorScale>
    </cfRule>
  </conditionalFormatting>
  <conditionalFormatting sqref="Q4:Q66">
    <cfRule type="colorScale" priority="256">
      <colorScale>
        <cfvo type="min"/>
        <cfvo type="percentile" val="50"/>
        <cfvo type="max"/>
        <color rgb="FFF8696B"/>
        <color rgb="FFFFEB84"/>
        <color rgb="FF63BE7B"/>
      </colorScale>
    </cfRule>
  </conditionalFormatting>
  <conditionalFormatting sqref="R4:R66">
    <cfRule type="colorScale" priority="257">
      <colorScale>
        <cfvo type="min"/>
        <cfvo type="percentile" val="50"/>
        <cfvo type="max"/>
        <color rgb="FFF8696B"/>
        <color rgb="FFFFEB84"/>
        <color rgb="FF63BE7B"/>
      </colorScale>
    </cfRule>
  </conditionalFormatting>
  <conditionalFormatting sqref="S4:S66">
    <cfRule type="colorScale" priority="258">
      <colorScale>
        <cfvo type="min"/>
        <cfvo type="percentile" val="50"/>
        <cfvo type="max"/>
        <color rgb="FFF8696B"/>
        <color rgb="FFFFEB84"/>
        <color rgb="FF63BE7B"/>
      </colorScale>
    </cfRule>
  </conditionalFormatting>
  <conditionalFormatting sqref="T4:T66">
    <cfRule type="colorScale" priority="259">
      <colorScale>
        <cfvo type="min"/>
        <cfvo type="percentile" val="50"/>
        <cfvo type="max"/>
        <color rgb="FFF8696B"/>
        <color rgb="FFFFEB84"/>
        <color rgb="FF63BE7B"/>
      </colorScale>
    </cfRule>
  </conditionalFormatting>
  <conditionalFormatting sqref="U4:U66">
    <cfRule type="colorScale" priority="260">
      <colorScale>
        <cfvo type="min"/>
        <cfvo type="percentile" val="50"/>
        <cfvo type="max"/>
        <color rgb="FFF8696B"/>
        <color rgb="FFFFEB84"/>
        <color rgb="FF63BE7B"/>
      </colorScale>
    </cfRule>
  </conditionalFormatting>
  <conditionalFormatting sqref="V4:V66">
    <cfRule type="colorScale" priority="261">
      <colorScale>
        <cfvo type="min"/>
        <cfvo type="percentile" val="50"/>
        <cfvo type="max"/>
        <color rgb="FFF8696B"/>
        <color rgb="FFFFEB84"/>
        <color rgb="FF63BE7B"/>
      </colorScale>
    </cfRule>
  </conditionalFormatting>
  <conditionalFormatting sqref="W4:W66">
    <cfRule type="colorScale" priority="262">
      <colorScale>
        <cfvo type="min"/>
        <cfvo type="percentile" val="50"/>
        <cfvo type="max"/>
        <color rgb="FFF8696B"/>
        <color rgb="FFFFEB84"/>
        <color rgb="FF63BE7B"/>
      </colorScale>
    </cfRule>
  </conditionalFormatting>
  <conditionalFormatting sqref="X4:X66">
    <cfRule type="colorScale" priority="265">
      <colorScale>
        <cfvo type="min"/>
        <cfvo type="percentile" val="50"/>
        <cfvo type="max"/>
        <color rgb="FFF8696B"/>
        <color rgb="FFFFEB84"/>
        <color rgb="FF63BE7B"/>
      </colorScale>
    </cfRule>
  </conditionalFormatting>
  <conditionalFormatting sqref="Y4:Y66">
    <cfRule type="colorScale" priority="268">
      <colorScale>
        <cfvo type="min"/>
        <cfvo type="percentile" val="50"/>
        <cfvo type="max"/>
        <color rgb="FFF8696B"/>
        <color rgb="FFFFEB84"/>
        <color rgb="FF63BE7B"/>
      </colorScale>
    </cfRule>
  </conditionalFormatting>
  <conditionalFormatting sqref="Z4:Z66">
    <cfRule type="colorScale" priority="269">
      <colorScale>
        <cfvo type="min"/>
        <cfvo type="percentile" val="50"/>
        <cfvo type="max"/>
        <color rgb="FFF8696B"/>
        <color rgb="FFFFEB84"/>
        <color rgb="FF63BE7B"/>
      </colorScale>
    </cfRule>
  </conditionalFormatting>
  <conditionalFormatting sqref="AA4:AA66">
    <cfRule type="colorScale" priority="270">
      <colorScale>
        <cfvo type="min"/>
        <cfvo type="percentile" val="50"/>
        <cfvo type="max"/>
        <color rgb="FFF8696B"/>
        <color rgb="FFFFEB84"/>
        <color rgb="FF63BE7B"/>
      </colorScale>
    </cfRule>
  </conditionalFormatting>
  <conditionalFormatting sqref="AB4:AB66">
    <cfRule type="colorScale" priority="271">
      <colorScale>
        <cfvo type="min"/>
        <cfvo type="percentile" val="50"/>
        <cfvo type="max"/>
        <color rgb="FFF8696B"/>
        <color rgb="FFFFEB84"/>
        <color rgb="FF63BE7B"/>
      </colorScale>
    </cfRule>
  </conditionalFormatting>
  <conditionalFormatting sqref="AC4:AC66">
    <cfRule type="colorScale" priority="272">
      <colorScale>
        <cfvo type="min"/>
        <cfvo type="percentile" val="50"/>
        <cfvo type="max"/>
        <color rgb="FFF8696B"/>
        <color rgb="FFFFEB84"/>
        <color rgb="FF63BE7B"/>
      </colorScale>
    </cfRule>
  </conditionalFormatting>
  <conditionalFormatting sqref="AD4:AD66">
    <cfRule type="colorScale" priority="273">
      <colorScale>
        <cfvo type="min"/>
        <cfvo type="percentile" val="50"/>
        <cfvo type="max"/>
        <color rgb="FFF8696B"/>
        <color rgb="FFFFEB84"/>
        <color rgb="FF63BE7B"/>
      </colorScale>
    </cfRule>
  </conditionalFormatting>
  <conditionalFormatting sqref="AE4:AE66">
    <cfRule type="colorScale" priority="274">
      <colorScale>
        <cfvo type="min"/>
        <cfvo type="percentile" val="50"/>
        <cfvo type="max"/>
        <color rgb="FFF8696B"/>
        <color rgb="FFFFEB84"/>
        <color rgb="FF63BE7B"/>
      </colorScale>
    </cfRule>
  </conditionalFormatting>
  <conditionalFormatting sqref="AF4:AF66">
    <cfRule type="colorScale" priority="275">
      <colorScale>
        <cfvo type="min"/>
        <cfvo type="percentile" val="50"/>
        <cfvo type="max"/>
        <color rgb="FFF8696B"/>
        <color rgb="FFFFEB84"/>
        <color rgb="FF63BE7B"/>
      </colorScale>
    </cfRule>
  </conditionalFormatting>
  <conditionalFormatting sqref="N4:N66">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3"/>
  <sheetViews>
    <sheetView zoomScale="80" zoomScaleNormal="80" workbookViewId="0">
      <pane ySplit="6" topLeftCell="A362" activePane="bottomLeft" state="frozen"/>
      <selection pane="bottomLeft" activeCell="C381" sqref="C381"/>
    </sheetView>
  </sheetViews>
  <sheetFormatPr baseColWidth="8" defaultColWidth="8.81640625" defaultRowHeight="14.5"/>
  <cols>
    <col width="14" customWidth="1" style="95" min="1" max="1"/>
    <col width="17.6328125" customWidth="1" style="95" min="2" max="2"/>
    <col width="14.36328125" customWidth="1" style="95" min="3" max="3"/>
    <col width="14.1796875" customWidth="1" style="95" min="4" max="4"/>
    <col width="9.1796875" customWidth="1" style="114" min="5" max="53"/>
  </cols>
  <sheetData>
    <row r="1" customFormat="1" s="114">
      <c r="A1" s="26" t="inlineStr">
        <is>
          <t>MARTSSM44W72USS</t>
        </is>
      </c>
      <c r="B1" s="27" t="inlineStr">
        <is>
          <t>Advance Retail Sales: Retail Trade and Food Services, Excluding Motor Vehicle and Parts Dealers and Gasoline Stations (MARTSMPCSM44W72USS)</t>
        </is>
      </c>
      <c r="I1" s="21" t="n"/>
      <c r="J1" s="21" t="n"/>
      <c r="L1" s="114" t="inlineStr">
        <is>
          <t>mom</t>
        </is>
      </c>
      <c r="M1" s="114" t="inlineStr">
        <is>
          <t>yoy</t>
        </is>
      </c>
    </row>
    <row r="2" customFormat="1" s="114">
      <c r="A2" s="129" t="inlineStr">
        <is>
          <t>https://fred.stlouisfed.org/series/MARTSMPCSM44W72USS</t>
        </is>
      </c>
      <c r="I2" s="21" t="n"/>
      <c r="J2" s="21" t="n"/>
      <c r="L2" s="28">
        <f>MAX(C8:C335)</f>
        <v/>
      </c>
      <c r="M2" s="28">
        <f>MAX(D8:D335)</f>
        <v/>
      </c>
    </row>
    <row r="3" customFormat="1" s="114">
      <c r="A3" s="129" t="n"/>
      <c r="I3" s="21" t="n"/>
      <c r="J3" s="21" t="n"/>
      <c r="L3" s="28">
        <f>MIN(C8:C335)</f>
        <v/>
      </c>
      <c r="M3" s="28">
        <f>MIN(D8:D335)</f>
        <v/>
      </c>
    </row>
    <row r="4" customFormat="1" s="114">
      <c r="A4" s="129" t="n"/>
      <c r="I4" s="21" t="n"/>
      <c r="J4" s="21" t="n"/>
      <c r="L4" s="28" t="n"/>
      <c r="M4" s="28" t="n"/>
    </row>
    <row r="5" customFormat="1" s="114">
      <c r="C5" s="114" t="inlineStr">
        <is>
          <t>https://tradingeconomics.com/united-states/retail-sales</t>
        </is>
      </c>
      <c r="D5" s="114"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1" t="n">
        <v>44531</v>
      </c>
      <c r="B366" s="15">
        <f>VLOOKUP(A366,Database!A:M,MATCH($A$1,Database!$A$1:$M$1,),)</f>
        <v/>
      </c>
      <c r="C366" s="12">
        <f>(B366-B365)/B365</f>
        <v/>
      </c>
      <c r="D366" s="13">
        <f>(B366-B354)/B354</f>
        <v/>
      </c>
    </row>
    <row r="367" customFormat="1" s="114">
      <c r="A367" s="11" t="n">
        <v>44562</v>
      </c>
      <c r="B367" s="15">
        <f>VLOOKUP(A367,Database!A:M,MATCH($A$1,Database!$A$1:$M$1,),)</f>
        <v/>
      </c>
      <c r="C367" s="12">
        <f>(B367-B366)/B366</f>
        <v/>
      </c>
      <c r="D367" s="13">
        <f>(B367-B355)/B355</f>
        <v/>
      </c>
    </row>
    <row r="368" customFormat="1" s="114">
      <c r="A368" s="11" t="n">
        <v>44593</v>
      </c>
      <c r="B368" s="15">
        <f>VLOOKUP(A368,Database!A:M,MATCH($A$1,Database!$A$1:$M$1,),)</f>
        <v/>
      </c>
      <c r="C368" s="12">
        <f>(B368-B367)/B367</f>
        <v/>
      </c>
      <c r="D368" s="13">
        <f>(B368-B356)/B356</f>
        <v/>
      </c>
    </row>
    <row r="369" customFormat="1" s="114">
      <c r="A369" s="11" t="n">
        <v>44621</v>
      </c>
      <c r="B369" s="15">
        <f>VLOOKUP(A369,Database!A:M,MATCH($A$1,Database!$A$1:$M$1,),)</f>
        <v/>
      </c>
      <c r="C369" s="12">
        <f>(B369-B368)/B368</f>
        <v/>
      </c>
      <c r="D369" s="13">
        <f>(B369-B357)/B357</f>
        <v/>
      </c>
    </row>
    <row r="370" customFormat="1" s="114">
      <c r="A370" s="10" t="n">
        <v>44652</v>
      </c>
      <c r="B370" s="15">
        <f>VLOOKUP(A370,Database!A:M,MATCH($A$1,Database!$A$1:$M$1,),)</f>
        <v/>
      </c>
      <c r="C370" s="12">
        <f>(B370-B369)/B369</f>
        <v/>
      </c>
      <c r="D370" s="13">
        <f>(B370-B358)/B358</f>
        <v/>
      </c>
    </row>
    <row r="371" customFormat="1" s="114">
      <c r="A371" s="11" t="n">
        <v>44682</v>
      </c>
      <c r="B371" s="15">
        <f>VLOOKUP(A371,Database!A:M,MATCH($A$1,Database!$A$1:$M$1,),)</f>
        <v/>
      </c>
      <c r="C371" s="12">
        <f>(B371-B370)/B370</f>
        <v/>
      </c>
      <c r="D371" s="13">
        <f>(B371-B359)/B359</f>
        <v/>
      </c>
    </row>
    <row r="372" customFormat="1" s="114">
      <c r="A372" s="11" t="n">
        <v>44713</v>
      </c>
      <c r="B372" s="15">
        <f>VLOOKUP(A372,Database!A:M,MATCH($A$1,Database!$A$1:$M$1,),)</f>
        <v/>
      </c>
      <c r="C372" s="12">
        <f>(B372-B371)/B371</f>
        <v/>
      </c>
      <c r="D372" s="13">
        <f>(B372-B360)/B360</f>
        <v/>
      </c>
    </row>
    <row r="373" customFormat="1" s="114">
      <c r="A373" s="11" t="n">
        <v>44743</v>
      </c>
      <c r="B373" s="15">
        <f>VLOOKUP(A373,Database!A:M,MATCH($A$1,Database!$A$1:$M$1,),)</f>
        <v/>
      </c>
      <c r="C373" s="12">
        <f>(B373-B372)/B372</f>
        <v/>
      </c>
      <c r="D373" s="13">
        <f>(B373-B361)/B361</f>
        <v/>
      </c>
    </row>
    <row r="374" customFormat="1" s="114">
      <c r="A374" s="11" t="n">
        <v>44774</v>
      </c>
      <c r="B374" s="15">
        <f>VLOOKUP(A374,Database!A:M,MATCH($A$1,Database!$A$1:$M$1,),)</f>
        <v/>
      </c>
      <c r="C374" s="12">
        <f>(B374-B373)/B373</f>
        <v/>
      </c>
      <c r="D374" s="13">
        <f>(B374-B362)/B362</f>
        <v/>
      </c>
    </row>
    <row r="375" customFormat="1" s="114">
      <c r="A375" s="11" t="n">
        <v>44805</v>
      </c>
      <c r="B375" s="15">
        <f>VLOOKUP(A375,Database!A:M,MATCH($A$1,Database!$A$1:$M$1,),)</f>
        <v/>
      </c>
      <c r="C375" s="12">
        <f>(B375-B374)/B374</f>
        <v/>
      </c>
      <c r="D375" s="13">
        <f>(B375-B363)/B363</f>
        <v/>
      </c>
    </row>
    <row r="376" customFormat="1" s="114">
      <c r="A376" s="11" t="n">
        <v>44835</v>
      </c>
      <c r="B376" s="15">
        <f>VLOOKUP(A376,Database!A:M,MATCH($A$1,Database!$A$1:$M$1,),)</f>
        <v/>
      </c>
      <c r="C376" s="12">
        <f>(B376-B375)/B375</f>
        <v/>
      </c>
      <c r="D376" s="13">
        <f>(B376-B364)/B364</f>
        <v/>
      </c>
    </row>
    <row r="377" customFormat="1" s="114"/>
    <row r="378" customFormat="1" s="114"/>
    <row r="379" customFormat="1" s="114"/>
    <row r="380" customFormat="1" s="114"/>
    <row r="381" customFormat="1" s="114"/>
    <row r="382" customFormat="1" s="114"/>
    <row r="383" customFormat="1" s="114"/>
    <row r="384" customFormat="1" s="114"/>
    <row r="385" customFormat="1" s="114"/>
    <row r="386" customFormat="1" s="114"/>
    <row r="387" customFormat="1" s="114"/>
    <row r="388" customFormat="1" s="114"/>
    <row r="389" customFormat="1" s="114"/>
    <row r="390" customFormat="1" s="114"/>
    <row r="391" customFormat="1" s="114"/>
    <row r="392" customFormat="1" s="114"/>
    <row r="393" customFormat="1" s="114"/>
    <row r="394" customFormat="1" s="114"/>
    <row r="395" customFormat="1" s="114"/>
    <row r="396" customFormat="1" s="114"/>
    <row r="397" customFormat="1" s="114"/>
    <row r="398" customFormat="1" s="114"/>
    <row r="399" customFormat="1" s="114"/>
    <row r="400" customFormat="1" s="114"/>
    <row r="401" customFormat="1" s="114"/>
    <row r="402" customFormat="1" s="114"/>
    <row r="403" customFormat="1" s="114"/>
    <row r="404" customFormat="1" s="114"/>
    <row r="405" customFormat="1" s="114"/>
    <row r="406" customFormat="1" s="114"/>
    <row r="407" customFormat="1" s="114"/>
    <row r="408" customFormat="1" s="114"/>
    <row r="409" customFormat="1" s="114"/>
    <row r="410" customFormat="1" s="114"/>
    <row r="411" customFormat="1" s="114"/>
    <row r="412" customFormat="1" s="114"/>
    <row r="413" customFormat="1" s="114"/>
    <row r="414" customFormat="1" s="114"/>
    <row r="415" customFormat="1" s="114"/>
    <row r="416" customFormat="1" s="114"/>
    <row r="417" customFormat="1" s="114"/>
    <row r="418" customFormat="1" s="114"/>
    <row r="419" customFormat="1" s="114"/>
    <row r="420" customFormat="1" s="114"/>
    <row r="421" customFormat="1" s="114"/>
    <row r="422" customFormat="1" s="114"/>
    <row r="423" customFormat="1" s="114"/>
    <row r="424" customFormat="1" s="114"/>
    <row r="425" customFormat="1" s="114"/>
    <row r="426" customFormat="1" s="114"/>
    <row r="427" customFormat="1" s="114"/>
    <row r="428" customFormat="1" s="114"/>
    <row r="429" customFormat="1" s="114"/>
    <row r="430" customFormat="1" s="114"/>
    <row r="431" customFormat="1" s="114"/>
    <row r="432" customFormat="1" s="114"/>
    <row r="433" customFormat="1" s="114"/>
    <row r="434" customFormat="1" s="114"/>
    <row r="435" customFormat="1" s="114"/>
    <row r="436" customFormat="1" s="114"/>
    <row r="437" customFormat="1" s="114"/>
    <row r="438" customFormat="1" s="114"/>
    <row r="439" customFormat="1" s="114"/>
    <row r="440" customFormat="1" s="114"/>
    <row r="441" customFormat="1" s="114"/>
    <row r="442" customFormat="1" s="114"/>
    <row r="443" customFormat="1" s="114"/>
    <row r="444" customFormat="1" s="114"/>
    <row r="445" customFormat="1" s="114"/>
    <row r="446" customFormat="1" s="114"/>
    <row r="447" customFormat="1" s="114"/>
    <row r="448" customFormat="1" s="114"/>
    <row r="449" customFormat="1" s="114"/>
    <row r="450" customFormat="1" s="114"/>
    <row r="451" customFormat="1" s="114"/>
    <row r="452" customFormat="1" s="114"/>
    <row r="453" customFormat="1" s="114"/>
    <row r="454" customFormat="1" s="114"/>
    <row r="455" customFormat="1" s="114"/>
    <row r="456" customFormat="1" s="114"/>
    <row r="457" customFormat="1" s="114"/>
    <row r="458" customFormat="1" s="114"/>
    <row r="459" customFormat="1" s="114"/>
    <row r="460" customFormat="1" s="114"/>
    <row r="461" customFormat="1" s="114"/>
    <row r="462" customFormat="1" s="114"/>
    <row r="463" customFormat="1" s="114"/>
    <row r="464" customFormat="1" s="114"/>
    <row r="465" customFormat="1" s="114"/>
    <row r="466" customFormat="1" s="114"/>
    <row r="467" customFormat="1" s="114"/>
    <row r="468" customFormat="1" s="114"/>
    <row r="469" customFormat="1" s="114"/>
    <row r="470" customFormat="1" s="114"/>
    <row r="471" customFormat="1" s="114"/>
    <row r="472" customFormat="1" s="114"/>
    <row r="473" customFormat="1" s="114"/>
    <row r="474" customFormat="1" s="114"/>
    <row r="475" customFormat="1" s="114"/>
    <row r="476" customFormat="1" s="114"/>
    <row r="477" customFormat="1" s="114"/>
    <row r="478" customFormat="1" s="114"/>
    <row r="479" customFormat="1" s="114"/>
    <row r="480" customFormat="1" s="114"/>
    <row r="481" customFormat="1" s="114"/>
    <row r="482" customFormat="1" s="114"/>
    <row r="483" customFormat="1" s="114"/>
    <row r="484" customFormat="1" s="114"/>
    <row r="485" customFormat="1" s="114"/>
    <row r="486" customFormat="1" s="114"/>
    <row r="487" customFormat="1" s="114"/>
    <row r="488" customFormat="1" s="114"/>
    <row r="489" customFormat="1" s="114"/>
    <row r="490" customFormat="1" s="114"/>
    <row r="491" customFormat="1" s="114"/>
    <row r="492" customFormat="1" s="114"/>
    <row r="493" customFormat="1" s="114"/>
    <row r="494" customFormat="1" s="114"/>
    <row r="495" customFormat="1" s="114"/>
    <row r="496" customFormat="1" s="114"/>
    <row r="497" customFormat="1" s="114"/>
    <row r="498" customFormat="1" s="114"/>
    <row r="499" customFormat="1" s="114"/>
    <row r="500" customFormat="1" s="114"/>
    <row r="501" customFormat="1" s="114"/>
    <row r="502" customFormat="1" s="114"/>
    <row r="503" customFormat="1" s="114"/>
    <row r="504" customFormat="1" s="114"/>
    <row r="505" customFormat="1" s="114"/>
    <row r="506" customFormat="1" s="114"/>
    <row r="507" customFormat="1" s="114"/>
    <row r="508" customFormat="1" s="114"/>
    <row r="509" customFormat="1" s="114"/>
    <row r="510" customFormat="1" s="114"/>
    <row r="511" customFormat="1" s="114"/>
    <row r="512" customFormat="1" s="114"/>
    <row r="513" customFormat="1" s="114"/>
    <row r="514" customFormat="1" s="114"/>
    <row r="515" customFormat="1" s="114"/>
    <row r="516" customFormat="1" s="114"/>
    <row r="517" customFormat="1" s="114"/>
    <row r="518" customFormat="1" s="114"/>
    <row r="519" customFormat="1" s="114"/>
    <row r="520" customFormat="1" s="114"/>
    <row r="521" customFormat="1" s="114"/>
    <row r="522" customFormat="1" s="114"/>
    <row r="523" customFormat="1" s="114"/>
    <row r="524" customFormat="1" s="114"/>
    <row r="525" customFormat="1" s="114"/>
    <row r="526" customFormat="1" s="114"/>
    <row r="527" customFormat="1" s="114"/>
    <row r="528" customFormat="1" s="114"/>
    <row r="529" customFormat="1" s="114"/>
    <row r="530" customFormat="1" s="114"/>
    <row r="531" customFormat="1" s="114"/>
    <row r="532" customFormat="1" s="114"/>
    <row r="533" customFormat="1" s="114"/>
    <row r="534" customFormat="1" s="114"/>
    <row r="535" customFormat="1" s="114"/>
    <row r="536" customFormat="1" s="114"/>
    <row r="537" customFormat="1" s="114"/>
    <row r="538" customFormat="1" s="114"/>
    <row r="539" customFormat="1" s="114"/>
    <row r="540" customFormat="1" s="114"/>
    <row r="541" customFormat="1" s="114"/>
    <row r="542" customFormat="1" s="114"/>
    <row r="543" customFormat="1" s="114"/>
    <row r="544" customFormat="1" s="114"/>
    <row r="545" customFormat="1" s="114"/>
    <row r="546" customFormat="1" s="114"/>
    <row r="547" customFormat="1" s="114"/>
    <row r="548" customFormat="1" s="114"/>
    <row r="549" customFormat="1" s="114"/>
    <row r="550" customFormat="1" s="114"/>
    <row r="551" customFormat="1" s="114"/>
    <row r="552" customFormat="1" s="114"/>
    <row r="553" customFormat="1" s="114"/>
    <row r="554" customFormat="1" s="114"/>
    <row r="555" customFormat="1" s="114"/>
    <row r="556" customFormat="1" s="114"/>
    <row r="557" customFormat="1" s="114"/>
    <row r="558" customFormat="1" s="114"/>
    <row r="559" customFormat="1" s="114"/>
    <row r="560" customFormat="1" s="114"/>
    <row r="561" customFormat="1" s="114"/>
    <row r="562" customFormat="1" s="114"/>
    <row r="563" customFormat="1" s="114"/>
    <row r="564" customFormat="1" s="114"/>
    <row r="565" customFormat="1" s="114"/>
    <row r="566" customFormat="1" s="114"/>
    <row r="567" customFormat="1" s="114"/>
    <row r="568" customFormat="1" s="114"/>
    <row r="569" customFormat="1" s="114"/>
    <row r="570" customFormat="1" s="114"/>
    <row r="571" customFormat="1" s="114"/>
    <row r="572" customFormat="1" s="114"/>
    <row r="573" customFormat="1" s="114"/>
    <row r="574" customFormat="1" s="114"/>
    <row r="575" customFormat="1" s="114"/>
    <row r="576" customFormat="1" s="114"/>
    <row r="577" customFormat="1" s="114"/>
    <row r="578" customFormat="1" s="114"/>
    <row r="579" customFormat="1" s="114"/>
    <row r="580" customFormat="1" s="114"/>
    <row r="581" customFormat="1" s="114"/>
    <row r="582" customFormat="1" s="114"/>
    <row r="583" customFormat="1" s="114"/>
    <row r="584" customFormat="1" s="114"/>
    <row r="585" customFormat="1" s="114"/>
    <row r="586" customFormat="1" s="114"/>
    <row r="587" customFormat="1" s="114"/>
    <row r="588" customFormat="1" s="114"/>
    <row r="589" customFormat="1" s="114"/>
    <row r="590" customFormat="1" s="114"/>
    <row r="591" customFormat="1" s="114"/>
    <row r="592" customFormat="1" s="114"/>
    <row r="593" customFormat="1" s="114"/>
    <row r="594" customFormat="1" s="114"/>
    <row r="595" customFormat="1" s="114"/>
    <row r="596" customFormat="1" s="114"/>
    <row r="597" customFormat="1" s="114"/>
    <row r="598" customFormat="1" s="114"/>
    <row r="599" customFormat="1" s="114"/>
    <row r="600" customFormat="1" s="114"/>
    <row r="601" customFormat="1" s="114"/>
    <row r="602" customFormat="1" s="114"/>
    <row r="603" customFormat="1" s="114"/>
    <row r="604" customFormat="1" s="114"/>
    <row r="605" customFormat="1" s="114"/>
    <row r="606" customFormat="1" s="114"/>
    <row r="607" customFormat="1" s="114"/>
    <row r="608" customFormat="1" s="114"/>
    <row r="609" customFormat="1" s="114"/>
    <row r="610" customFormat="1" s="114"/>
    <row r="611" customFormat="1" s="114"/>
    <row r="612" customFormat="1" s="114"/>
    <row r="613" customFormat="1" s="114"/>
    <row r="614" customFormat="1" s="114"/>
    <row r="615" customFormat="1" s="114"/>
    <row r="616" customFormat="1" s="114"/>
    <row r="617" customFormat="1" s="114"/>
    <row r="618" customFormat="1" s="114"/>
    <row r="619" customFormat="1" s="114"/>
    <row r="620" customFormat="1" s="114"/>
    <row r="621" customFormat="1" s="114"/>
    <row r="622" customFormat="1" s="114"/>
    <row r="623" customFormat="1" s="114"/>
    <row r="624" customFormat="1" s="114"/>
    <row r="625" customFormat="1" s="114"/>
    <row r="626" customFormat="1" s="114"/>
    <row r="627" customFormat="1" s="114"/>
    <row r="628" customFormat="1" s="114"/>
    <row r="629" customFormat="1" s="114"/>
    <row r="630" customFormat="1" s="114"/>
    <row r="631" customFormat="1" s="114"/>
    <row r="632" customFormat="1" s="114"/>
    <row r="633">
      <c r="A633" s="114" t="n"/>
      <c r="B633" s="114" t="n"/>
      <c r="C633" s="114" t="n"/>
      <c r="D633" s="114" t="n"/>
    </row>
    <row r="634">
      <c r="A634" s="114" t="n"/>
      <c r="B634" s="114" t="n"/>
      <c r="C634" s="114" t="n"/>
      <c r="D634" s="114" t="n"/>
    </row>
    <row r="635">
      <c r="A635" s="114" t="n"/>
      <c r="B635" s="114" t="n"/>
      <c r="C635" s="114" t="n"/>
      <c r="D635" s="114" t="n"/>
    </row>
    <row r="636">
      <c r="A636" s="114" t="n"/>
      <c r="B636" s="114" t="n"/>
      <c r="C636" s="114" t="n"/>
      <c r="D636" s="114" t="n"/>
    </row>
    <row r="637">
      <c r="A637" s="114" t="n"/>
      <c r="B637" s="114" t="n"/>
      <c r="C637" s="114" t="n"/>
      <c r="D637" s="114" t="n"/>
    </row>
    <row r="638">
      <c r="A638" s="114" t="n"/>
      <c r="B638" s="114" t="n"/>
      <c r="C638" s="114" t="n"/>
      <c r="D638" s="114" t="n"/>
    </row>
    <row r="639">
      <c r="A639" s="114" t="n"/>
      <c r="B639" s="114" t="n"/>
      <c r="C639" s="114" t="n"/>
      <c r="D639" s="114" t="n"/>
    </row>
    <row r="640">
      <c r="A640" s="114" t="n"/>
      <c r="B640" s="114" t="n"/>
      <c r="C640" s="114" t="n"/>
      <c r="D640" s="114" t="n"/>
    </row>
    <row r="641">
      <c r="A641" s="114" t="n"/>
      <c r="B641" s="114" t="n"/>
      <c r="C641" s="114" t="n"/>
      <c r="D641" s="114" t="n"/>
    </row>
    <row r="642">
      <c r="A642" s="114" t="n"/>
      <c r="B642" s="114" t="n"/>
      <c r="C642" s="114" t="n"/>
      <c r="D642" s="114" t="n"/>
    </row>
    <row r="643">
      <c r="A643" s="114" t="n"/>
      <c r="B643" s="114" t="n"/>
      <c r="C643" s="114" t="n"/>
      <c r="D643" s="114" t="n"/>
    </row>
    <row r="644">
      <c r="A644" s="114" t="n"/>
      <c r="B644" s="114" t="n"/>
      <c r="C644" s="114" t="n"/>
      <c r="D644" s="114" t="n"/>
    </row>
    <row r="645">
      <c r="A645" s="114" t="n"/>
      <c r="B645" s="114" t="n"/>
      <c r="C645" s="114" t="n"/>
      <c r="D645" s="114" t="n"/>
    </row>
    <row r="646">
      <c r="A646" s="114" t="n"/>
      <c r="B646" s="114" t="n"/>
      <c r="C646" s="114" t="n"/>
      <c r="D646" s="114" t="n"/>
    </row>
    <row r="647">
      <c r="A647" s="114" t="n"/>
      <c r="B647" s="114" t="n"/>
      <c r="C647" s="114" t="n"/>
      <c r="D647" s="114" t="n"/>
    </row>
    <row r="648">
      <c r="A648" s="114" t="n"/>
      <c r="B648" s="114" t="n"/>
      <c r="C648" s="114" t="n"/>
      <c r="D648" s="114" t="n"/>
    </row>
    <row r="649">
      <c r="A649" s="114" t="n"/>
      <c r="B649" s="114" t="n"/>
      <c r="C649" s="114" t="n"/>
      <c r="D649" s="114" t="n"/>
    </row>
    <row r="650">
      <c r="A650" s="114" t="n"/>
      <c r="B650" s="114" t="n"/>
      <c r="C650" s="114" t="n"/>
      <c r="D650" s="114" t="n"/>
    </row>
    <row r="651">
      <c r="A651" s="114" t="n"/>
      <c r="B651" s="114" t="n"/>
      <c r="C651" s="114" t="n"/>
      <c r="D651" s="114" t="n"/>
    </row>
    <row r="652">
      <c r="A652" s="114" t="n"/>
      <c r="B652" s="114" t="n"/>
      <c r="C652" s="114" t="n"/>
      <c r="D652" s="114" t="n"/>
    </row>
    <row r="653">
      <c r="A653" s="114" t="n"/>
      <c r="B653" s="114" t="n"/>
      <c r="C653" s="114" t="n"/>
      <c r="D653" s="114" t="n"/>
    </row>
    <row r="654">
      <c r="A654" s="114" t="n"/>
      <c r="B654" s="114" t="n"/>
      <c r="C654" s="114" t="n"/>
      <c r="D654" s="114" t="n"/>
    </row>
    <row r="655">
      <c r="A655" s="114" t="n"/>
      <c r="B655" s="114" t="n"/>
      <c r="C655" s="114" t="n"/>
      <c r="D655" s="114" t="n"/>
    </row>
    <row r="656">
      <c r="A656" s="114" t="n"/>
      <c r="B656" s="114" t="n"/>
      <c r="C656" s="114" t="n"/>
      <c r="D656" s="114" t="n"/>
    </row>
    <row r="657">
      <c r="A657" s="114" t="n"/>
      <c r="B657" s="114" t="n"/>
      <c r="C657" s="114" t="n"/>
      <c r="D657" s="114" t="n"/>
    </row>
    <row r="658">
      <c r="A658" s="114" t="n"/>
      <c r="B658" s="114" t="n"/>
      <c r="C658" s="114" t="n"/>
      <c r="D658" s="114" t="n"/>
    </row>
    <row r="659">
      <c r="A659" s="114" t="n"/>
      <c r="B659" s="114" t="n"/>
      <c r="C659" s="114" t="n"/>
      <c r="D659" s="114" t="n"/>
    </row>
    <row r="660">
      <c r="A660" s="114" t="n"/>
      <c r="B660" s="114" t="n"/>
      <c r="C660" s="114" t="n"/>
      <c r="D660" s="114" t="n"/>
    </row>
    <row r="661">
      <c r="A661" s="114" t="n"/>
      <c r="B661" s="114" t="n"/>
      <c r="C661" s="114" t="n"/>
      <c r="D661" s="114" t="n"/>
    </row>
    <row r="662">
      <c r="A662" s="114" t="n"/>
      <c r="B662" s="114" t="n"/>
      <c r="C662" s="114" t="n"/>
      <c r="D662" s="114" t="n"/>
    </row>
    <row r="663">
      <c r="A663" s="114" t="n"/>
      <c r="B663" s="114" t="n"/>
      <c r="C663" s="114" t="n"/>
      <c r="D663" s="114" t="n"/>
    </row>
    <row r="664">
      <c r="A664" s="114" t="n"/>
      <c r="B664" s="114" t="n"/>
      <c r="C664" s="114" t="n"/>
      <c r="D664" s="114" t="n"/>
    </row>
    <row r="665">
      <c r="A665" s="114" t="n"/>
      <c r="B665" s="114" t="n"/>
      <c r="C665" s="114" t="n"/>
      <c r="D665" s="114" t="n"/>
    </row>
    <row r="666">
      <c r="A666" s="114" t="n"/>
      <c r="B666" s="114" t="n"/>
      <c r="C666" s="114" t="n"/>
      <c r="D666" s="114" t="n"/>
    </row>
    <row r="667">
      <c r="A667" s="114" t="n"/>
      <c r="B667" s="114" t="n"/>
      <c r="C667" s="114" t="n"/>
      <c r="D667" s="114" t="n"/>
    </row>
    <row r="668">
      <c r="A668" s="114" t="n"/>
      <c r="B668" s="114" t="n"/>
      <c r="C668" s="114" t="n"/>
      <c r="D668" s="114" t="n"/>
    </row>
    <row r="669">
      <c r="A669" s="114" t="n"/>
      <c r="B669" s="114" t="n"/>
      <c r="C669" s="114" t="n"/>
      <c r="D669" s="114" t="n"/>
    </row>
    <row r="670">
      <c r="A670" s="114" t="n"/>
      <c r="B670" s="114" t="n"/>
      <c r="C670" s="114" t="n"/>
      <c r="D670" s="114" t="n"/>
    </row>
    <row r="671">
      <c r="A671" s="114" t="n"/>
      <c r="B671" s="114" t="n"/>
      <c r="C671" s="114" t="n"/>
      <c r="D671" s="114" t="n"/>
    </row>
    <row r="672">
      <c r="A672" s="114" t="n"/>
      <c r="B672" s="114" t="n"/>
      <c r="C672" s="114" t="n"/>
      <c r="D672" s="114" t="n"/>
    </row>
    <row r="673">
      <c r="A673" s="114" t="n"/>
      <c r="B673" s="114" t="n"/>
      <c r="C673" s="114" t="n"/>
      <c r="D673" s="114" t="n"/>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8"/>
  <sheetViews>
    <sheetView zoomScale="80" zoomScaleNormal="80" workbookViewId="0">
      <pane ySplit="6" topLeftCell="A362" activePane="bottomLeft" state="frozen"/>
      <selection pane="bottomLeft" activeCell="R372" sqref="R372"/>
    </sheetView>
  </sheetViews>
  <sheetFormatPr baseColWidth="8" defaultColWidth="8.81640625" defaultRowHeight="14.5"/>
  <cols>
    <col width="14" customWidth="1" style="2" min="1" max="1"/>
    <col width="21.36328125" customWidth="1" style="16" min="2" max="2"/>
    <col width="21.36328125" customWidth="1" style="2" min="3" max="4"/>
    <col width="9.1796875" customWidth="1" style="114" min="5" max="140"/>
  </cols>
  <sheetData>
    <row r="1" customFormat="1" s="114">
      <c r="A1" s="27" t="inlineStr">
        <is>
          <t>RSAFS</t>
        </is>
      </c>
      <c r="B1" s="25" t="inlineStr">
        <is>
          <t>Retail and Food Services Sales (RSAFS), Millions of Dollars, Monthly, Seasonally Adjusted</t>
        </is>
      </c>
      <c r="C1" s="54" t="n"/>
      <c r="D1" s="54" t="n"/>
    </row>
    <row r="2" customFormat="1" s="114">
      <c r="A2" s="9" t="inlineStr">
        <is>
          <t>https://fred.stlouisfed.org/series/RSAFS</t>
        </is>
      </c>
      <c r="B2" s="14" t="n"/>
      <c r="C2" s="54" t="n"/>
      <c r="D2" s="54" t="n"/>
    </row>
    <row r="3" customFormat="1" s="114">
      <c r="A3" s="9" t="n"/>
      <c r="B3" s="14" t="n"/>
      <c r="C3" s="54" t="n"/>
      <c r="D3" s="54" t="n"/>
    </row>
    <row r="4" customFormat="1" s="114">
      <c r="A4" s="9" t="n"/>
      <c r="B4" s="14" t="n"/>
      <c r="C4" s="54" t="n"/>
      <c r="D4" s="54" t="n"/>
    </row>
    <row r="5" ht="16" customFormat="1" customHeight="1" s="114"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14">
      <c r="A338" s="11" t="n">
        <v>43678</v>
      </c>
      <c r="B338" s="15">
        <f>VLOOKUP(A338,Database!A:K,MATCH('Retail Sales'!$A$1,Database!$A$1:$K$1,),)</f>
        <v/>
      </c>
      <c r="C338" s="12">
        <f>(B338-B337)/B337</f>
        <v/>
      </c>
      <c r="D338" s="13">
        <f>(B338-B326)/B326</f>
        <v/>
      </c>
    </row>
    <row r="339" customFormat="1" s="114">
      <c r="A339" s="10" t="n">
        <v>43709</v>
      </c>
      <c r="B339" s="15">
        <f>VLOOKUP(A339,Database!A:K,MATCH('Retail Sales'!$A$1,Database!$A$1:$K$1,),)</f>
        <v/>
      </c>
      <c r="C339" s="12">
        <f>(B339-B338)/B338</f>
        <v/>
      </c>
      <c r="D339" s="13">
        <f>(B339-B327)/B327</f>
        <v/>
      </c>
    </row>
    <row r="340" customFormat="1" s="114">
      <c r="A340" s="11" t="n">
        <v>43739</v>
      </c>
      <c r="B340" s="15">
        <f>VLOOKUP(A340,Database!A:K,MATCH('Retail Sales'!$A$1,Database!$A$1:$K$1,),)</f>
        <v/>
      </c>
      <c r="C340" s="12">
        <f>(B340-B339)/B339</f>
        <v/>
      </c>
      <c r="D340" s="13">
        <f>(B340-B328)/B328</f>
        <v/>
      </c>
    </row>
    <row r="341" customFormat="1" s="114">
      <c r="A341" s="10" t="n">
        <v>43770</v>
      </c>
      <c r="B341" s="15">
        <f>VLOOKUP(A341,Database!A:K,MATCH('Retail Sales'!$A$1,Database!$A$1:$K$1,),)</f>
        <v/>
      </c>
      <c r="C341" s="12">
        <f>(B341-B340)/B340</f>
        <v/>
      </c>
      <c r="D341" s="13">
        <f>(B341-B329)/B329</f>
        <v/>
      </c>
    </row>
    <row r="342" customFormat="1" s="114">
      <c r="A342" s="11" t="n">
        <v>43800</v>
      </c>
      <c r="B342" s="15">
        <f>VLOOKUP(A342,Database!A:K,MATCH('Retail Sales'!$A$1,Database!$A$1:$K$1,),)</f>
        <v/>
      </c>
      <c r="C342" s="12">
        <f>(B342-B341)/B341</f>
        <v/>
      </c>
      <c r="D342" s="13">
        <f>(B342-B330)/B330</f>
        <v/>
      </c>
    </row>
    <row r="343" customFormat="1" s="114">
      <c r="A343" s="10" t="n">
        <v>43831</v>
      </c>
      <c r="B343" s="15">
        <f>VLOOKUP(A343,Database!A:K,MATCH('Retail Sales'!$A$1,Database!$A$1:$K$1,),)</f>
        <v/>
      </c>
      <c r="C343" s="12">
        <f>(B343-B342)/B342</f>
        <v/>
      </c>
      <c r="D343" s="13">
        <f>(B343-B331)/B331</f>
        <v/>
      </c>
    </row>
    <row r="344" customFormat="1" s="114">
      <c r="A344" s="11" t="n">
        <v>43862</v>
      </c>
      <c r="B344" s="15">
        <f>VLOOKUP(A344,Database!A:K,MATCH('Retail Sales'!$A$1,Database!$A$1:$K$1,),)</f>
        <v/>
      </c>
      <c r="C344" s="12">
        <f>(B344-B343)/B343</f>
        <v/>
      </c>
      <c r="D344" s="13">
        <f>(B344-B332)/B332</f>
        <v/>
      </c>
    </row>
    <row r="345" customFormat="1" s="114">
      <c r="A345" s="10" t="n">
        <v>43891</v>
      </c>
      <c r="B345" s="15">
        <f>VLOOKUP(A345,Database!A:K,MATCH('Retail Sales'!$A$1,Database!$A$1:$K$1,),)</f>
        <v/>
      </c>
      <c r="C345" s="12">
        <f>(B345-B344)/B344</f>
        <v/>
      </c>
      <c r="D345" s="13">
        <f>(B345-B333)/B333</f>
        <v/>
      </c>
    </row>
    <row r="346" customFormat="1" s="114">
      <c r="A346" s="11" t="n">
        <v>43922</v>
      </c>
      <c r="B346" s="15">
        <f>VLOOKUP(A346,Database!A:K,MATCH('Retail Sales'!$A$1,Database!$A$1:$K$1,),)</f>
        <v/>
      </c>
      <c r="C346" s="12">
        <f>(B346-B345)/B345</f>
        <v/>
      </c>
      <c r="D346" s="13">
        <f>(B346-B334)/B334</f>
        <v/>
      </c>
    </row>
    <row r="347" customFormat="1" s="114">
      <c r="A347" s="10" t="n">
        <v>43952</v>
      </c>
      <c r="B347" s="15">
        <f>VLOOKUP(A347,Database!A:K,MATCH('Retail Sales'!$A$1,Database!$A$1:$K$1,),)</f>
        <v/>
      </c>
      <c r="C347" s="12">
        <f>(B347-B346)/B346</f>
        <v/>
      </c>
      <c r="D347" s="13">
        <f>(B347-B335)/B335</f>
        <v/>
      </c>
    </row>
    <row r="348" customFormat="1" s="114">
      <c r="A348" s="11" t="n">
        <v>43983</v>
      </c>
      <c r="B348" s="15">
        <f>VLOOKUP(A348,Database!A:K,MATCH('Retail Sales'!$A$1,Database!$A$1:$K$1,),)</f>
        <v/>
      </c>
      <c r="C348" s="12">
        <f>(B348-B347)/B347</f>
        <v/>
      </c>
      <c r="D348" s="13">
        <f>(B348-B336)/B336</f>
        <v/>
      </c>
    </row>
    <row r="349" customFormat="1" s="114">
      <c r="A349" s="10" t="n">
        <v>44013</v>
      </c>
      <c r="B349" s="15">
        <f>VLOOKUP(A349,Database!A:K,MATCH('Retail Sales'!$A$1,Database!$A$1:$K$1,),)</f>
        <v/>
      </c>
      <c r="C349" s="12">
        <f>(B349-B348)/B348</f>
        <v/>
      </c>
      <c r="D349" s="13">
        <f>(B349-B337)/B337</f>
        <v/>
      </c>
    </row>
    <row r="350" customFormat="1" s="114">
      <c r="A350" s="11" t="n">
        <v>44044</v>
      </c>
      <c r="B350" s="15">
        <f>VLOOKUP(A350,Database!A:K,MATCH('Retail Sales'!$A$1,Database!$A$1:$K$1,),)</f>
        <v/>
      </c>
      <c r="C350" s="12">
        <f>(B350-B349)/B349</f>
        <v/>
      </c>
      <c r="D350" s="13">
        <f>(B350-B338)/B338</f>
        <v/>
      </c>
    </row>
    <row r="351" customFormat="1" s="114">
      <c r="A351" s="10" t="n">
        <v>44075</v>
      </c>
      <c r="B351" s="15">
        <f>VLOOKUP(A351,Database!A:K,MATCH('Retail Sales'!$A$1,Database!$A$1:$K$1,),)</f>
        <v/>
      </c>
      <c r="C351" s="12">
        <f>(B351-B350)/B350</f>
        <v/>
      </c>
      <c r="D351" s="13">
        <f>(B351-B339)/B339</f>
        <v/>
      </c>
    </row>
    <row r="352" customFormat="1" s="114">
      <c r="A352" s="11" t="n">
        <v>44105</v>
      </c>
      <c r="B352" s="15">
        <f>VLOOKUP(A352,Database!A:K,MATCH('Retail Sales'!$A$1,Database!$A$1:$K$1,),)</f>
        <v/>
      </c>
      <c r="C352" s="12">
        <f>(B352-B351)/B351</f>
        <v/>
      </c>
      <c r="D352" s="13">
        <f>(B352-B340)/B340</f>
        <v/>
      </c>
    </row>
    <row r="353" customFormat="1" s="114">
      <c r="A353" s="10" t="n">
        <v>44136</v>
      </c>
      <c r="B353" s="15">
        <f>VLOOKUP(A353,Database!A:K,MATCH('Retail Sales'!$A$1,Database!$A$1:$K$1,),)</f>
        <v/>
      </c>
      <c r="C353" s="12">
        <f>(B353-B352)/B352</f>
        <v/>
      </c>
      <c r="D353" s="13">
        <f>(B353-B341)/B341</f>
        <v/>
      </c>
    </row>
    <row r="354" customFormat="1" s="114">
      <c r="A354" s="11" t="n">
        <v>44166</v>
      </c>
      <c r="B354" s="15">
        <f>VLOOKUP(A354,Database!A:K,MATCH('Retail Sales'!$A$1,Database!$A$1:$K$1,),)</f>
        <v/>
      </c>
      <c r="C354" s="12">
        <f>(B354-B353)/B353</f>
        <v/>
      </c>
      <c r="D354" s="13">
        <f>(B354-B342)/B342</f>
        <v/>
      </c>
    </row>
    <row r="355" customFormat="1" s="114">
      <c r="A355" s="10" t="n">
        <v>44197</v>
      </c>
      <c r="B355" s="15">
        <f>VLOOKUP(A355,Database!A:K,MATCH('Retail Sales'!$A$1,Database!$A$1:$K$1,),)</f>
        <v/>
      </c>
      <c r="C355" s="12">
        <f>(B355-B354)/B354</f>
        <v/>
      </c>
      <c r="D355" s="13">
        <f>(B355-B343)/B343</f>
        <v/>
      </c>
    </row>
    <row r="356" customFormat="1" s="114">
      <c r="A356" s="11" t="n">
        <v>44228</v>
      </c>
      <c r="B356" s="15">
        <f>VLOOKUP(A356,Database!A:K,MATCH('Retail Sales'!$A$1,Database!$A$1:$K$1,),)</f>
        <v/>
      </c>
      <c r="C356" s="12">
        <f>(B356-B355)/B355</f>
        <v/>
      </c>
      <c r="D356" s="13">
        <f>(B356-B344)/B344</f>
        <v/>
      </c>
    </row>
    <row r="357" customFormat="1" s="114">
      <c r="A357" s="10" t="n">
        <v>44256</v>
      </c>
      <c r="B357" s="15">
        <f>VLOOKUP(A357,Database!A:K,MATCH('Retail Sales'!$A$1,Database!$A$1:$K$1,),)</f>
        <v/>
      </c>
      <c r="C357" s="12">
        <f>(B357-B356)/B356</f>
        <v/>
      </c>
      <c r="D357" s="13">
        <f>(B357-B345)/B345</f>
        <v/>
      </c>
    </row>
    <row r="358" customFormat="1" s="114">
      <c r="A358" s="11" t="n">
        <v>44287</v>
      </c>
      <c r="B358" s="15">
        <f>VLOOKUP(A358,Database!A:K,MATCH('Retail Sales'!$A$1,Database!$A$1:$K$1,),)</f>
        <v/>
      </c>
      <c r="C358" s="12">
        <f>(B358-B357)/B357</f>
        <v/>
      </c>
      <c r="D358" s="13">
        <f>(B358-B346)/B346</f>
        <v/>
      </c>
    </row>
    <row r="359" customFormat="1" s="114">
      <c r="A359" s="10" t="n">
        <v>44317</v>
      </c>
      <c r="B359" s="15">
        <f>VLOOKUP(A359,Database!A:K,MATCH('Retail Sales'!$A$1,Database!$A$1:$K$1,),)</f>
        <v/>
      </c>
      <c r="C359" s="12">
        <f>(B359-B358)/B358</f>
        <v/>
      </c>
      <c r="D359" s="13">
        <f>(B359-B347)/B347</f>
        <v/>
      </c>
    </row>
    <row r="360" customFormat="1" s="114">
      <c r="A360" s="11" t="n">
        <v>44348</v>
      </c>
      <c r="B360" s="15">
        <f>VLOOKUP(A360,Database!A:K,MATCH('Retail Sales'!$A$1,Database!$A$1:$K$1,),)</f>
        <v/>
      </c>
      <c r="C360" s="12">
        <f>(B360-B359)/B359</f>
        <v/>
      </c>
      <c r="D360" s="13">
        <f>(B360-B348)/B348</f>
        <v/>
      </c>
    </row>
    <row r="361" customFormat="1" s="114">
      <c r="A361" s="10" t="n">
        <v>44378</v>
      </c>
      <c r="B361" s="15">
        <f>VLOOKUP(A361,Database!A:K,MATCH('Retail Sales'!$A$1,Database!$A$1:$K$1,),)</f>
        <v/>
      </c>
      <c r="C361" s="12">
        <f>(B361-B360)/B360</f>
        <v/>
      </c>
      <c r="D361" s="13">
        <f>(B361-B349)/B349</f>
        <v/>
      </c>
    </row>
    <row r="362" customFormat="1" s="114">
      <c r="A362" s="11" t="n">
        <v>44409</v>
      </c>
      <c r="B362" s="15">
        <f>VLOOKUP(A362,Database!A:K,MATCH('Retail Sales'!$A$1,Database!$A$1:$K$1,),)</f>
        <v/>
      </c>
      <c r="C362" s="12">
        <f>(B362-B361)/B361</f>
        <v/>
      </c>
      <c r="D362" s="13">
        <f>(B362-B350)/B350</f>
        <v/>
      </c>
    </row>
    <row r="363" customFormat="1" s="114">
      <c r="A363" s="11" t="n">
        <v>44440</v>
      </c>
      <c r="B363" s="15">
        <f>VLOOKUP(A363,Database!A:K,MATCH('Retail Sales'!$A$1,Database!$A$1:$K$1,),)</f>
        <v/>
      </c>
      <c r="C363" s="12">
        <f>(B363-B362)/B362</f>
        <v/>
      </c>
      <c r="D363" s="13">
        <f>(B363-B351)/B351</f>
        <v/>
      </c>
    </row>
    <row r="364" customFormat="1" s="114">
      <c r="A364" s="10" t="n">
        <v>44470</v>
      </c>
      <c r="B364" s="15">
        <f>VLOOKUP(A364,Database!A:K,MATCH('Retail Sales'!$A$1,Database!$A$1:$K$1,),)</f>
        <v/>
      </c>
      <c r="C364" s="12">
        <f>(B364-B363)/B363</f>
        <v/>
      </c>
      <c r="D364" s="13">
        <f>(B364-B352)/B352</f>
        <v/>
      </c>
    </row>
    <row r="365" customFormat="1" s="114">
      <c r="A365" s="11" t="n">
        <v>44501</v>
      </c>
      <c r="B365" s="15">
        <f>VLOOKUP(A365,Database!A:K,MATCH('Retail Sales'!$A$1,Database!$A$1:$K$1,),)</f>
        <v/>
      </c>
      <c r="C365" s="12">
        <f>(B365-B364)/B364</f>
        <v/>
      </c>
      <c r="D365" s="13">
        <f>(B365-B353)/B353</f>
        <v/>
      </c>
    </row>
    <row r="366" customFormat="1" s="114">
      <c r="A366" s="11" t="n">
        <v>44531</v>
      </c>
      <c r="B366" s="15">
        <f>VLOOKUP(A366,Database!A:K,MATCH('Retail Sales'!$A$1,Database!$A$1:$K$1,),)</f>
        <v/>
      </c>
      <c r="C366" s="12">
        <f>(B366-B365)/B365</f>
        <v/>
      </c>
      <c r="D366" s="13">
        <f>(B366-B354)/B354</f>
        <v/>
      </c>
    </row>
    <row r="367" customFormat="1" s="114">
      <c r="A367" s="11" t="n">
        <v>44562</v>
      </c>
      <c r="B367" s="15">
        <f>VLOOKUP(A367,Database!A:K,MATCH('Retail Sales'!$A$1,Database!$A$1:$K$1,),)</f>
        <v/>
      </c>
      <c r="C367" s="12">
        <f>(B367-B366)/B366</f>
        <v/>
      </c>
      <c r="D367" s="13">
        <f>(B367-B355)/B355</f>
        <v/>
      </c>
    </row>
    <row r="368" customFormat="1" s="114">
      <c r="A368" s="10" t="n">
        <v>44593</v>
      </c>
      <c r="B368" s="15">
        <f>VLOOKUP(A368,Database!A:K,MATCH('Retail Sales'!$A$1,Database!$A$1:$K$1,),)</f>
        <v/>
      </c>
      <c r="C368" s="12">
        <f>(B368-B367)/B367</f>
        <v/>
      </c>
      <c r="D368" s="13">
        <f>(B368-B356)/B356</f>
        <v/>
      </c>
    </row>
    <row r="369" customFormat="1" s="114">
      <c r="A369" s="11" t="n">
        <v>44621</v>
      </c>
      <c r="B369" s="15">
        <f>VLOOKUP(A369,Database!A:K,MATCH('Retail Sales'!$A$1,Database!$A$1:$K$1,),)</f>
        <v/>
      </c>
      <c r="C369" s="12">
        <f>(B369-B368)/B368</f>
        <v/>
      </c>
      <c r="D369" s="13">
        <f>(B369-B357)/B357</f>
        <v/>
      </c>
    </row>
    <row r="370" customFormat="1" s="114">
      <c r="A370" s="11" t="n">
        <v>44652</v>
      </c>
      <c r="B370" s="15">
        <f>VLOOKUP(A370,Database!A:K,MATCH('Retail Sales'!$A$1,Database!$A$1:$K$1,),)</f>
        <v/>
      </c>
      <c r="C370" s="12">
        <f>(B370-B369)/B369</f>
        <v/>
      </c>
      <c r="D370" s="13">
        <f>(B370-B358)/B358</f>
        <v/>
      </c>
    </row>
    <row r="371" customFormat="1" s="114">
      <c r="A371" s="10" t="n">
        <v>44682</v>
      </c>
      <c r="B371" s="15">
        <f>VLOOKUP(A371,Database!A:K,MATCH('Retail Sales'!$A$1,Database!$A$1:$K$1,),)</f>
        <v/>
      </c>
      <c r="C371" s="12">
        <f>(B371-B370)/B370</f>
        <v/>
      </c>
      <c r="D371" s="13">
        <f>(B371-B359)/B359</f>
        <v/>
      </c>
    </row>
    <row r="372" customFormat="1" s="114">
      <c r="A372" s="11" t="n">
        <v>44713</v>
      </c>
      <c r="B372" s="15">
        <f>VLOOKUP(A372,Database!A:K,MATCH('Retail Sales'!$A$1,Database!$A$1:$K$1,),)</f>
        <v/>
      </c>
      <c r="C372" s="12">
        <f>(B372-B371)/B371</f>
        <v/>
      </c>
      <c r="D372" s="13">
        <f>(B372-B360)/B360</f>
        <v/>
      </c>
    </row>
    <row r="373" customFormat="1" s="114">
      <c r="A373" s="11" t="n">
        <v>44743</v>
      </c>
      <c r="B373" s="15">
        <f>VLOOKUP(A373,Database!A:K,MATCH('Retail Sales'!$A$1,Database!$A$1:$K$1,),)</f>
        <v/>
      </c>
      <c r="C373" s="12">
        <f>(B373-B372)/B372</f>
        <v/>
      </c>
      <c r="D373" s="13">
        <f>(B373-B361)/B361</f>
        <v/>
      </c>
    </row>
    <row r="374" customFormat="1" s="114">
      <c r="A374" s="10" t="n">
        <v>44774</v>
      </c>
      <c r="B374" s="15">
        <f>VLOOKUP(A374,Database!A:K,MATCH('Retail Sales'!$A$1,Database!$A$1:$K$1,),)</f>
        <v/>
      </c>
      <c r="C374" s="12">
        <f>(B374-B373)/B373</f>
        <v/>
      </c>
      <c r="D374" s="13">
        <f>(B374-B362)/B362</f>
        <v/>
      </c>
    </row>
    <row r="375" customFormat="1" s="114">
      <c r="A375" s="10" t="n">
        <v>44805</v>
      </c>
      <c r="B375" s="15">
        <f>VLOOKUP(A375,Database!A:K,MATCH('Retail Sales'!$A$1,Database!$A$1:$K$1,),)</f>
        <v/>
      </c>
      <c r="C375" s="12">
        <f>(B375-B374)/B374</f>
        <v/>
      </c>
      <c r="D375" s="13">
        <f>(B375-B363)/B363</f>
        <v/>
      </c>
    </row>
    <row r="376" customFormat="1" s="114">
      <c r="A376" s="10" t="n">
        <v>44835</v>
      </c>
      <c r="B376" s="15">
        <f>VLOOKUP(A376,Database!A:K,MATCH('Retail Sales'!$A$1,Database!$A$1:$K$1,),)</f>
        <v/>
      </c>
      <c r="C376" s="12">
        <f>(B376-B375)/B375</f>
        <v/>
      </c>
      <c r="D376" s="13">
        <f>(B376-B364)/B364</f>
        <v/>
      </c>
    </row>
    <row r="377" customFormat="1" s="114">
      <c r="A377" s="54" t="n"/>
      <c r="B377" s="14" t="n"/>
      <c r="C377" s="54" t="n"/>
      <c r="D377" s="54" t="n"/>
    </row>
    <row r="378" customFormat="1" s="114">
      <c r="A378" s="54" t="n"/>
      <c r="B378" s="14" t="n"/>
      <c r="C378" s="54" t="n"/>
      <c r="D378" s="54" t="n"/>
    </row>
    <row r="379" customFormat="1" s="114">
      <c r="A379" s="54" t="n"/>
      <c r="B379" s="14" t="n"/>
      <c r="C379" s="54" t="n"/>
      <c r="D379" s="54" t="n"/>
    </row>
    <row r="380" customFormat="1" s="114">
      <c r="A380" s="54" t="n"/>
      <c r="B380" s="14" t="n"/>
      <c r="C380" s="54" t="n"/>
      <c r="D380" s="54" t="n"/>
    </row>
    <row r="381" customFormat="1" s="114">
      <c r="A381" s="54" t="n"/>
      <c r="B381" s="14" t="n"/>
      <c r="C381" s="54" t="n"/>
      <c r="D381" s="54" t="n"/>
    </row>
    <row r="382" customFormat="1" s="114">
      <c r="A382" s="54" t="n"/>
      <c r="B382" s="14" t="n"/>
      <c r="C382" s="54" t="n"/>
      <c r="D382" s="54" t="n"/>
    </row>
    <row r="383" customFormat="1" s="114">
      <c r="A383" s="54" t="n"/>
      <c r="B383" s="14" t="n"/>
      <c r="C383" s="54" t="n"/>
      <c r="D383" s="54" t="n"/>
    </row>
    <row r="384" customFormat="1" s="114">
      <c r="A384" s="54" t="n"/>
      <c r="B384" s="14" t="n"/>
      <c r="C384" s="54" t="n"/>
      <c r="D384" s="54" t="n"/>
    </row>
    <row r="385" customFormat="1" s="114">
      <c r="A385" s="54" t="n"/>
      <c r="B385" s="14" t="n"/>
      <c r="C385" s="54" t="n"/>
      <c r="D385" s="54" t="n"/>
    </row>
    <row r="386" customFormat="1" s="114">
      <c r="A386" s="54" t="n"/>
      <c r="B386" s="14" t="n"/>
      <c r="C386" s="54" t="n"/>
      <c r="D386" s="54" t="n"/>
    </row>
    <row r="387" customFormat="1" s="114">
      <c r="A387" s="54" t="n"/>
      <c r="B387" s="14" t="n"/>
      <c r="C387" s="54" t="n"/>
      <c r="D387" s="54" t="n"/>
    </row>
    <row r="388" customFormat="1" s="114">
      <c r="A388" s="54" t="n"/>
      <c r="B388" s="14" t="n"/>
      <c r="C388" s="54" t="n"/>
      <c r="D388" s="54" t="n"/>
    </row>
    <row r="389" customFormat="1" s="114">
      <c r="A389" s="54" t="n"/>
      <c r="B389" s="14" t="n"/>
      <c r="C389" s="54" t="n"/>
      <c r="D389" s="54" t="n"/>
    </row>
    <row r="390" customFormat="1" s="114">
      <c r="A390" s="54" t="n"/>
      <c r="B390" s="14" t="n"/>
      <c r="C390" s="54" t="n"/>
      <c r="D390" s="54" t="n"/>
    </row>
    <row r="391" customFormat="1" s="114">
      <c r="A391" s="54" t="n"/>
      <c r="B391" s="14" t="n"/>
      <c r="C391" s="54" t="n"/>
      <c r="D391" s="54" t="n"/>
    </row>
    <row r="392" customFormat="1" s="114">
      <c r="A392" s="54" t="n"/>
      <c r="B392" s="14" t="n"/>
      <c r="C392" s="54" t="n"/>
      <c r="D392" s="54" t="n"/>
    </row>
    <row r="393" customFormat="1" s="114">
      <c r="A393" s="54" t="n"/>
      <c r="B393" s="14" t="n"/>
      <c r="C393" s="54" t="n"/>
      <c r="D393" s="54" t="n"/>
    </row>
    <row r="394" customFormat="1" s="114">
      <c r="A394" s="54" t="n"/>
      <c r="B394" s="14" t="n"/>
      <c r="C394" s="54" t="n"/>
      <c r="D394" s="54" t="n"/>
    </row>
    <row r="395" customFormat="1" s="114">
      <c r="A395" s="54" t="n"/>
      <c r="B395" s="14" t="n"/>
      <c r="C395" s="54" t="n"/>
      <c r="D395" s="54" t="n"/>
    </row>
    <row r="396" customFormat="1" s="114">
      <c r="A396" s="54" t="n"/>
      <c r="B396" s="14" t="n"/>
      <c r="C396" s="54" t="n"/>
      <c r="D396" s="54" t="n"/>
    </row>
    <row r="397" customFormat="1" s="114">
      <c r="A397" s="54" t="n"/>
      <c r="B397" s="14" t="n"/>
      <c r="C397" s="54" t="n"/>
      <c r="D397" s="54" t="n"/>
    </row>
    <row r="398" customFormat="1" s="114">
      <c r="A398" s="54" t="n"/>
      <c r="B398" s="14" t="n"/>
      <c r="C398" s="54" t="n"/>
      <c r="D398" s="54" t="n"/>
    </row>
    <row r="399" customFormat="1" s="114">
      <c r="A399" s="54" t="n"/>
      <c r="B399" s="14" t="n"/>
      <c r="C399" s="54" t="n"/>
      <c r="D399" s="54" t="n"/>
    </row>
    <row r="400" customFormat="1" s="114">
      <c r="A400" s="54" t="n"/>
      <c r="B400" s="14" t="n"/>
      <c r="C400" s="54" t="n"/>
      <c r="D400" s="54" t="n"/>
    </row>
    <row r="401" customFormat="1" s="114">
      <c r="A401" s="54" t="n"/>
      <c r="B401" s="14" t="n"/>
      <c r="C401" s="54" t="n"/>
      <c r="D401" s="54" t="n"/>
    </row>
    <row r="402" customFormat="1" s="114">
      <c r="A402" s="54" t="n"/>
      <c r="B402" s="14" t="n"/>
      <c r="C402" s="54" t="n"/>
      <c r="D402" s="54" t="n"/>
    </row>
    <row r="403" customFormat="1" s="114">
      <c r="A403" s="54" t="n"/>
      <c r="B403" s="14" t="n"/>
      <c r="C403" s="54" t="n"/>
      <c r="D403" s="54" t="n"/>
    </row>
    <row r="404" customFormat="1" s="114">
      <c r="A404" s="54" t="n"/>
      <c r="B404" s="14" t="n"/>
      <c r="C404" s="54" t="n"/>
      <c r="D404" s="54" t="n"/>
    </row>
    <row r="405" customFormat="1" s="114">
      <c r="A405" s="54" t="n"/>
      <c r="B405" s="14" t="n"/>
      <c r="C405" s="54" t="n"/>
      <c r="D405" s="54" t="n"/>
    </row>
    <row r="406" customFormat="1" s="114">
      <c r="A406" s="54" t="n"/>
      <c r="B406" s="14" t="n"/>
      <c r="C406" s="54" t="n"/>
      <c r="D406" s="54" t="n"/>
    </row>
    <row r="407" customFormat="1" s="114">
      <c r="A407" s="54" t="n"/>
      <c r="B407" s="14" t="n"/>
      <c r="C407" s="54" t="n"/>
      <c r="D407" s="54" t="n"/>
    </row>
    <row r="408" customFormat="1" s="114">
      <c r="A408" s="54" t="n"/>
      <c r="B408" s="14" t="n"/>
      <c r="C408" s="54" t="n"/>
      <c r="D408" s="54" t="n"/>
    </row>
    <row r="409" customFormat="1" s="114">
      <c r="A409" s="54" t="n"/>
      <c r="B409" s="14" t="n"/>
      <c r="C409" s="54" t="n"/>
      <c r="D409" s="54" t="n"/>
    </row>
    <row r="410" customFormat="1" s="114">
      <c r="A410" s="54" t="n"/>
      <c r="B410" s="14" t="n"/>
      <c r="C410" s="54" t="n"/>
      <c r="D410" s="54" t="n"/>
    </row>
    <row r="411" customFormat="1" s="114">
      <c r="A411" s="54" t="n"/>
      <c r="B411" s="14" t="n"/>
      <c r="C411" s="54" t="n"/>
      <c r="D411" s="54" t="n"/>
    </row>
    <row r="412" customFormat="1" s="114">
      <c r="A412" s="54" t="n"/>
      <c r="B412" s="14" t="n"/>
      <c r="C412" s="54" t="n"/>
      <c r="D412" s="54" t="n"/>
    </row>
    <row r="413" customFormat="1" s="114">
      <c r="A413" s="54" t="n"/>
      <c r="B413" s="14" t="n"/>
      <c r="C413" s="54" t="n"/>
      <c r="D413" s="54" t="n"/>
    </row>
    <row r="414" customFormat="1" s="114">
      <c r="A414" s="54" t="n"/>
      <c r="B414" s="14" t="n"/>
      <c r="C414" s="54" t="n"/>
      <c r="D414" s="54" t="n"/>
    </row>
    <row r="415" customFormat="1" s="114">
      <c r="A415" s="54" t="n"/>
      <c r="B415" s="14" t="n"/>
      <c r="C415" s="54" t="n"/>
      <c r="D415" s="54" t="n"/>
    </row>
    <row r="416" customFormat="1" s="114">
      <c r="A416" s="54" t="n"/>
      <c r="B416" s="14" t="n"/>
      <c r="C416" s="54" t="n"/>
      <c r="D416" s="54" t="n"/>
    </row>
    <row r="417" customFormat="1" s="114">
      <c r="A417" s="54" t="n"/>
      <c r="B417" s="14" t="n"/>
      <c r="C417" s="54" t="n"/>
      <c r="D417" s="54" t="n"/>
    </row>
    <row r="418" customFormat="1" s="114">
      <c r="A418" s="54" t="n"/>
      <c r="B418" s="14" t="n"/>
      <c r="C418" s="54" t="n"/>
      <c r="D418" s="54" t="n"/>
    </row>
    <row r="419" customFormat="1" s="114">
      <c r="A419" s="54" t="n"/>
      <c r="B419" s="14" t="n"/>
      <c r="C419" s="54" t="n"/>
      <c r="D419" s="54" t="n"/>
    </row>
    <row r="420" customFormat="1" s="114">
      <c r="A420" s="54" t="n"/>
      <c r="B420" s="14" t="n"/>
      <c r="C420" s="54" t="n"/>
      <c r="D420" s="54" t="n"/>
    </row>
    <row r="421" customFormat="1" s="114">
      <c r="A421" s="54" t="n"/>
      <c r="B421" s="14" t="n"/>
      <c r="C421" s="54" t="n"/>
      <c r="D421" s="54" t="n"/>
    </row>
    <row r="422" customFormat="1" s="114">
      <c r="A422" s="54" t="n"/>
      <c r="B422" s="14" t="n"/>
      <c r="C422" s="54" t="n"/>
      <c r="D422" s="54" t="n"/>
    </row>
    <row r="423" customFormat="1" s="114">
      <c r="A423" s="54" t="n"/>
      <c r="B423" s="14" t="n"/>
      <c r="C423" s="54" t="n"/>
      <c r="D423" s="54" t="n"/>
    </row>
    <row r="424" customFormat="1" s="114">
      <c r="A424" s="54" t="n"/>
      <c r="B424" s="14" t="n"/>
      <c r="C424" s="54" t="n"/>
      <c r="D424" s="54" t="n"/>
    </row>
    <row r="425" customFormat="1" s="114">
      <c r="A425" s="54" t="n"/>
      <c r="B425" s="14" t="n"/>
      <c r="C425" s="54" t="n"/>
      <c r="D425" s="54" t="n"/>
    </row>
    <row r="426" customFormat="1" s="114">
      <c r="A426" s="54" t="n"/>
      <c r="B426" s="14" t="n"/>
      <c r="C426" s="54" t="n"/>
      <c r="D426" s="54" t="n"/>
    </row>
    <row r="427" customFormat="1" s="114">
      <c r="A427" s="54" t="n"/>
      <c r="B427" s="14" t="n"/>
      <c r="C427" s="54" t="n"/>
      <c r="D427" s="54" t="n"/>
    </row>
    <row r="428" customFormat="1" s="114">
      <c r="A428" s="54" t="n"/>
      <c r="B428" s="14" t="n"/>
      <c r="C428" s="54" t="n"/>
      <c r="D428" s="54" t="n"/>
    </row>
    <row r="429" customFormat="1" s="114">
      <c r="A429" s="54" t="n"/>
      <c r="B429" s="14" t="n"/>
      <c r="C429" s="54" t="n"/>
      <c r="D429" s="54" t="n"/>
    </row>
    <row r="430" customFormat="1" s="114">
      <c r="A430" s="54" t="n"/>
      <c r="B430" s="14" t="n"/>
      <c r="C430" s="54" t="n"/>
      <c r="D430" s="54" t="n"/>
    </row>
    <row r="431" customFormat="1" s="114">
      <c r="A431" s="54" t="n"/>
      <c r="B431" s="14" t="n"/>
      <c r="C431" s="54" t="n"/>
      <c r="D431" s="54" t="n"/>
    </row>
    <row r="432" customFormat="1" s="114">
      <c r="A432" s="54" t="n"/>
      <c r="B432" s="14" t="n"/>
      <c r="C432" s="54" t="n"/>
      <c r="D432" s="54" t="n"/>
    </row>
    <row r="433" customFormat="1" s="114">
      <c r="A433" s="54" t="n"/>
      <c r="B433" s="14" t="n"/>
      <c r="C433" s="54" t="n"/>
      <c r="D433" s="54" t="n"/>
    </row>
    <row r="434" customFormat="1" s="114">
      <c r="A434" s="54" t="n"/>
      <c r="B434" s="14" t="n"/>
      <c r="C434" s="54" t="n"/>
      <c r="D434" s="54" t="n"/>
    </row>
    <row r="435" customFormat="1" s="114">
      <c r="A435" s="54" t="n"/>
      <c r="B435" s="14" t="n"/>
      <c r="C435" s="54" t="n"/>
      <c r="D435" s="54" t="n"/>
    </row>
    <row r="436" customFormat="1" s="114">
      <c r="A436" s="54" t="n"/>
      <c r="B436" s="14" t="n"/>
      <c r="C436" s="54" t="n"/>
      <c r="D436" s="54" t="n"/>
    </row>
    <row r="437" customFormat="1" s="114">
      <c r="A437" s="54" t="n"/>
      <c r="B437" s="14" t="n"/>
      <c r="C437" s="54" t="n"/>
      <c r="D437" s="54" t="n"/>
    </row>
    <row r="438" customFormat="1" s="114">
      <c r="A438" s="54" t="n"/>
      <c r="B438" s="14" t="n"/>
      <c r="C438" s="54" t="n"/>
      <c r="D438" s="54" t="n"/>
    </row>
    <row r="439" customFormat="1" s="114">
      <c r="A439" s="54" t="n"/>
      <c r="B439" s="14" t="n"/>
      <c r="C439" s="54" t="n"/>
      <c r="D439" s="54" t="n"/>
    </row>
    <row r="440" customFormat="1" s="114">
      <c r="A440" s="54" t="n"/>
      <c r="B440" s="14" t="n"/>
      <c r="C440" s="54" t="n"/>
      <c r="D440" s="54" t="n"/>
    </row>
    <row r="441" customFormat="1" s="114">
      <c r="A441" s="54" t="n"/>
      <c r="B441" s="14" t="n"/>
      <c r="C441" s="54" t="n"/>
      <c r="D441" s="54" t="n"/>
    </row>
    <row r="442" customFormat="1" s="114">
      <c r="A442" s="54" t="n"/>
      <c r="B442" s="14" t="n"/>
      <c r="C442" s="54" t="n"/>
      <c r="D442" s="54" t="n"/>
    </row>
    <row r="443" customFormat="1" s="114">
      <c r="A443" s="54" t="n"/>
      <c r="B443" s="14" t="n"/>
      <c r="C443" s="54" t="n"/>
      <c r="D443" s="54" t="n"/>
    </row>
    <row r="444" customFormat="1" s="114">
      <c r="A444" s="54" t="n"/>
      <c r="B444" s="14" t="n"/>
      <c r="C444" s="54" t="n"/>
      <c r="D444" s="54" t="n"/>
    </row>
    <row r="445" customFormat="1" s="114">
      <c r="A445" s="54" t="n"/>
      <c r="B445" s="14" t="n"/>
      <c r="C445" s="54" t="n"/>
      <c r="D445" s="54" t="n"/>
    </row>
    <row r="446" customFormat="1" s="114">
      <c r="A446" s="54" t="n"/>
      <c r="B446" s="14" t="n"/>
      <c r="C446" s="54" t="n"/>
      <c r="D446" s="54" t="n"/>
    </row>
    <row r="447" customFormat="1" s="114">
      <c r="A447" s="54" t="n"/>
      <c r="B447" s="14" t="n"/>
      <c r="C447" s="54" t="n"/>
      <c r="D447" s="54" t="n"/>
    </row>
    <row r="448" customFormat="1" s="114">
      <c r="A448" s="54" t="n"/>
      <c r="B448" s="14" t="n"/>
      <c r="C448" s="54" t="n"/>
      <c r="D448" s="54" t="n"/>
    </row>
    <row r="449" customFormat="1" s="114">
      <c r="A449" s="54" t="n"/>
      <c r="B449" s="14" t="n"/>
      <c r="C449" s="54" t="n"/>
      <c r="D449" s="54" t="n"/>
    </row>
    <row r="450" customFormat="1" s="114">
      <c r="A450" s="54" t="n"/>
      <c r="B450" s="14" t="n"/>
      <c r="C450" s="54" t="n"/>
      <c r="D450" s="54" t="n"/>
    </row>
    <row r="451" customFormat="1" s="114">
      <c r="A451" s="54" t="n"/>
      <c r="B451" s="14" t="n"/>
      <c r="C451" s="54" t="n"/>
      <c r="D451" s="54" t="n"/>
    </row>
    <row r="452" customFormat="1" s="114">
      <c r="A452" s="54" t="n"/>
      <c r="B452" s="14" t="n"/>
      <c r="C452" s="54" t="n"/>
      <c r="D452" s="54" t="n"/>
    </row>
    <row r="453" customFormat="1" s="114">
      <c r="A453" s="54" t="n"/>
      <c r="B453" s="14" t="n"/>
      <c r="C453" s="54" t="n"/>
      <c r="D453" s="54" t="n"/>
    </row>
    <row r="454" customFormat="1" s="114">
      <c r="A454" s="54" t="n"/>
      <c r="B454" s="14" t="n"/>
      <c r="C454" s="54" t="n"/>
      <c r="D454" s="54" t="n"/>
    </row>
    <row r="455" customFormat="1" s="114">
      <c r="A455" s="54" t="n"/>
      <c r="B455" s="14" t="n"/>
      <c r="C455" s="54" t="n"/>
      <c r="D455" s="54" t="n"/>
    </row>
    <row r="456" customFormat="1" s="114">
      <c r="A456" s="54" t="n"/>
      <c r="B456" s="14" t="n"/>
      <c r="C456" s="54" t="n"/>
      <c r="D456" s="54" t="n"/>
    </row>
    <row r="457" customFormat="1" s="114">
      <c r="A457" s="54" t="n"/>
      <c r="B457" s="14" t="n"/>
      <c r="C457" s="54" t="n"/>
      <c r="D457" s="54" t="n"/>
    </row>
    <row r="458" customFormat="1" s="114">
      <c r="A458" s="54" t="n"/>
      <c r="B458" s="14" t="n"/>
      <c r="C458" s="54" t="n"/>
      <c r="D458" s="54" t="n"/>
    </row>
    <row r="459" customFormat="1" s="114">
      <c r="A459" s="54" t="n"/>
      <c r="B459" s="14" t="n"/>
      <c r="C459" s="54" t="n"/>
      <c r="D459" s="54" t="n"/>
    </row>
    <row r="460" customFormat="1" s="114">
      <c r="A460" s="54" t="n"/>
      <c r="B460" s="14" t="n"/>
      <c r="C460" s="54" t="n"/>
      <c r="D460" s="54" t="n"/>
    </row>
    <row r="461" customFormat="1" s="114">
      <c r="A461" s="54" t="n"/>
      <c r="B461" s="14" t="n"/>
      <c r="C461" s="54" t="n"/>
      <c r="D461" s="54" t="n"/>
    </row>
    <row r="462" customFormat="1" s="114">
      <c r="A462" s="54" t="n"/>
      <c r="B462" s="14" t="n"/>
      <c r="C462" s="54" t="n"/>
      <c r="D462" s="54" t="n"/>
    </row>
    <row r="463" customFormat="1" s="114">
      <c r="A463" s="54" t="n"/>
      <c r="B463" s="14" t="n"/>
      <c r="C463" s="54" t="n"/>
      <c r="D463" s="54" t="n"/>
    </row>
    <row r="464" customFormat="1" s="114">
      <c r="A464" s="54" t="n"/>
      <c r="B464" s="14" t="n"/>
      <c r="C464" s="54" t="n"/>
      <c r="D464" s="54" t="n"/>
    </row>
    <row r="465" customFormat="1" s="114">
      <c r="A465" s="54" t="n"/>
      <c r="B465" s="14" t="n"/>
      <c r="C465" s="54" t="n"/>
      <c r="D465" s="54" t="n"/>
    </row>
    <row r="466" customFormat="1" s="114">
      <c r="A466" s="54" t="n"/>
      <c r="B466" s="14" t="n"/>
      <c r="C466" s="54" t="n"/>
      <c r="D466" s="54" t="n"/>
    </row>
    <row r="467" customFormat="1" s="114">
      <c r="A467" s="54" t="n"/>
      <c r="B467" s="14" t="n"/>
      <c r="C467" s="54" t="n"/>
      <c r="D467" s="54" t="n"/>
    </row>
    <row r="468" customFormat="1" s="114">
      <c r="A468" s="54" t="n"/>
      <c r="B468" s="14" t="n"/>
      <c r="C468" s="54" t="n"/>
      <c r="D468" s="54" t="n"/>
    </row>
    <row r="469" customFormat="1" s="114">
      <c r="A469" s="54" t="n"/>
      <c r="B469" s="14" t="n"/>
      <c r="C469" s="54" t="n"/>
      <c r="D469" s="54" t="n"/>
    </row>
    <row r="470" customFormat="1" s="114">
      <c r="A470" s="54" t="n"/>
      <c r="B470" s="14" t="n"/>
      <c r="C470" s="54" t="n"/>
      <c r="D470" s="54" t="n"/>
    </row>
    <row r="471" customFormat="1" s="114">
      <c r="A471" s="54" t="n"/>
      <c r="B471" s="14" t="n"/>
      <c r="C471" s="54" t="n"/>
      <c r="D471" s="54" t="n"/>
    </row>
    <row r="472" customFormat="1" s="114">
      <c r="A472" s="54" t="n"/>
      <c r="B472" s="14" t="n"/>
      <c r="C472" s="54" t="n"/>
      <c r="D472" s="54" t="n"/>
    </row>
    <row r="473" customFormat="1" s="114">
      <c r="A473" s="54" t="n"/>
      <c r="B473" s="14" t="n"/>
      <c r="C473" s="54" t="n"/>
      <c r="D473" s="54" t="n"/>
    </row>
    <row r="474" customFormat="1" s="114">
      <c r="A474" s="54" t="n"/>
      <c r="B474" s="14" t="n"/>
      <c r="C474" s="54" t="n"/>
      <c r="D474" s="54" t="n"/>
    </row>
    <row r="475" customFormat="1" s="114">
      <c r="A475" s="54" t="n"/>
      <c r="B475" s="14" t="n"/>
      <c r="C475" s="54" t="n"/>
      <c r="D475" s="54" t="n"/>
    </row>
    <row r="476" customFormat="1" s="114">
      <c r="A476" s="54" t="n"/>
      <c r="B476" s="14" t="n"/>
      <c r="C476" s="54" t="n"/>
      <c r="D476" s="54" t="n"/>
    </row>
    <row r="477" customFormat="1" s="114">
      <c r="A477" s="54" t="n"/>
      <c r="B477" s="14" t="n"/>
      <c r="C477" s="54" t="n"/>
      <c r="D477" s="54" t="n"/>
    </row>
    <row r="478" customFormat="1" s="114">
      <c r="A478" s="54" t="n"/>
      <c r="B478" s="14" t="n"/>
      <c r="C478" s="54" t="n"/>
      <c r="D478" s="54" t="n"/>
    </row>
    <row r="479" customFormat="1" s="114">
      <c r="A479" s="54" t="n"/>
      <c r="B479" s="14" t="n"/>
      <c r="C479" s="54" t="n"/>
      <c r="D479" s="54" t="n"/>
    </row>
    <row r="480" customFormat="1" s="114">
      <c r="A480" s="54" t="n"/>
      <c r="B480" s="14" t="n"/>
      <c r="C480" s="54" t="n"/>
      <c r="D480" s="54" t="n"/>
    </row>
    <row r="481" customFormat="1" s="114">
      <c r="A481" s="54" t="n"/>
      <c r="B481" s="14" t="n"/>
      <c r="C481" s="54" t="n"/>
      <c r="D481" s="54" t="n"/>
    </row>
    <row r="482" customFormat="1" s="114">
      <c r="A482" s="54" t="n"/>
      <c r="B482" s="14" t="n"/>
      <c r="C482" s="54" t="n"/>
      <c r="D482" s="54" t="n"/>
    </row>
    <row r="483" customFormat="1" s="114">
      <c r="A483" s="54" t="n"/>
      <c r="B483" s="14" t="n"/>
      <c r="C483" s="54" t="n"/>
      <c r="D483" s="54" t="n"/>
    </row>
    <row r="484" customFormat="1" s="114">
      <c r="A484" s="54" t="n"/>
      <c r="B484" s="14" t="n"/>
      <c r="C484" s="54" t="n"/>
      <c r="D484" s="54" t="n"/>
    </row>
    <row r="485" customFormat="1" s="114">
      <c r="A485" s="54" t="n"/>
      <c r="B485" s="14" t="n"/>
      <c r="C485" s="54" t="n"/>
      <c r="D485" s="54" t="n"/>
    </row>
    <row r="486" customFormat="1" s="114">
      <c r="A486" s="54" t="n"/>
      <c r="B486" s="14" t="n"/>
      <c r="C486" s="54" t="n"/>
      <c r="D486" s="54" t="n"/>
    </row>
    <row r="487" customFormat="1" s="114">
      <c r="A487" s="54" t="n"/>
      <c r="B487" s="14" t="n"/>
      <c r="C487" s="54" t="n"/>
      <c r="D487" s="54" t="n"/>
    </row>
    <row r="488" customFormat="1" s="114">
      <c r="A488" s="54" t="n"/>
      <c r="B488" s="14" t="n"/>
      <c r="C488" s="54" t="n"/>
      <c r="D488" s="54" t="n"/>
    </row>
    <row r="489" customFormat="1" s="114">
      <c r="A489" s="54" t="n"/>
      <c r="B489" s="14" t="n"/>
      <c r="C489" s="54" t="n"/>
      <c r="D489" s="54" t="n"/>
    </row>
    <row r="490" customFormat="1" s="114">
      <c r="A490" s="54" t="n"/>
      <c r="B490" s="14" t="n"/>
      <c r="C490" s="54" t="n"/>
      <c r="D490" s="54" t="n"/>
    </row>
    <row r="491" customFormat="1" s="114">
      <c r="A491" s="54" t="n"/>
      <c r="B491" s="14" t="n"/>
      <c r="C491" s="54" t="n"/>
      <c r="D491" s="54" t="n"/>
    </row>
    <row r="492" customFormat="1" s="114">
      <c r="A492" s="54" t="n"/>
      <c r="B492" s="14" t="n"/>
      <c r="C492" s="54" t="n"/>
      <c r="D492" s="54" t="n"/>
    </row>
    <row r="493" customFormat="1" s="114">
      <c r="A493" s="54" t="n"/>
      <c r="B493" s="14" t="n"/>
      <c r="C493" s="54" t="n"/>
      <c r="D493" s="54" t="n"/>
    </row>
    <row r="494" customFormat="1" s="114">
      <c r="A494" s="54" t="n"/>
      <c r="B494" s="14" t="n"/>
      <c r="C494" s="54" t="n"/>
      <c r="D494" s="54" t="n"/>
    </row>
    <row r="495" customFormat="1" s="114">
      <c r="A495" s="54" t="n"/>
      <c r="B495" s="14" t="n"/>
      <c r="C495" s="54" t="n"/>
      <c r="D495" s="54" t="n"/>
    </row>
    <row r="496" customFormat="1" s="114">
      <c r="A496" s="54" t="n"/>
      <c r="B496" s="14" t="n"/>
      <c r="C496" s="54" t="n"/>
      <c r="D496" s="54" t="n"/>
    </row>
    <row r="497" customFormat="1" s="114">
      <c r="A497" s="54" t="n"/>
      <c r="B497" s="14" t="n"/>
      <c r="C497" s="54" t="n"/>
      <c r="D497" s="54" t="n"/>
    </row>
    <row r="498" customFormat="1" s="114">
      <c r="A498" s="54" t="n"/>
      <c r="B498" s="14" t="n"/>
      <c r="C498" s="54" t="n"/>
      <c r="D498" s="54" t="n"/>
    </row>
    <row r="499" customFormat="1" s="114">
      <c r="A499" s="54" t="n"/>
      <c r="B499" s="14" t="n"/>
      <c r="C499" s="54" t="n"/>
      <c r="D499" s="54" t="n"/>
    </row>
    <row r="500" customFormat="1" s="114">
      <c r="A500" s="54" t="n"/>
      <c r="B500" s="14" t="n"/>
      <c r="C500" s="54" t="n"/>
      <c r="D500" s="54" t="n"/>
    </row>
    <row r="501" customFormat="1" s="114">
      <c r="A501" s="54" t="n"/>
      <c r="B501" s="14" t="n"/>
      <c r="C501" s="54" t="n"/>
      <c r="D501" s="54" t="n"/>
    </row>
    <row r="502" customFormat="1" s="114">
      <c r="A502" s="54" t="n"/>
      <c r="B502" s="14" t="n"/>
      <c r="C502" s="54" t="n"/>
      <c r="D502" s="54" t="n"/>
    </row>
    <row r="503" customFormat="1" s="114">
      <c r="A503" s="54" t="n"/>
      <c r="B503" s="14" t="n"/>
      <c r="C503" s="54" t="n"/>
      <c r="D503" s="54" t="n"/>
    </row>
    <row r="504" customFormat="1" s="114">
      <c r="A504" s="54" t="n"/>
      <c r="B504" s="14" t="n"/>
      <c r="C504" s="54" t="n"/>
      <c r="D504" s="54" t="n"/>
    </row>
    <row r="505" customFormat="1" s="114">
      <c r="A505" s="54" t="n"/>
      <c r="B505" s="14" t="n"/>
      <c r="C505" s="54" t="n"/>
      <c r="D505" s="54" t="n"/>
    </row>
    <row r="506" customFormat="1" s="114">
      <c r="A506" s="54" t="n"/>
      <c r="B506" s="14" t="n"/>
      <c r="C506" s="54" t="n"/>
      <c r="D506" s="54" t="n"/>
    </row>
    <row r="507" customFormat="1" s="114">
      <c r="A507" s="54" t="n"/>
      <c r="B507" s="14" t="n"/>
      <c r="C507" s="54" t="n"/>
      <c r="D507" s="54" t="n"/>
    </row>
    <row r="508" customFormat="1" s="114">
      <c r="A508" s="54" t="n"/>
      <c r="B508" s="14" t="n"/>
      <c r="C508" s="54" t="n"/>
      <c r="D508" s="54" t="n"/>
    </row>
    <row r="509" customFormat="1" s="114">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row r="546">
      <c r="A546" s="54" t="n"/>
      <c r="B546" s="14" t="n"/>
      <c r="C546" s="54" t="n"/>
      <c r="D546" s="54" t="n"/>
    </row>
    <row r="547">
      <c r="A547" s="54" t="n"/>
      <c r="B547" s="14" t="n"/>
      <c r="C547" s="54" t="n"/>
      <c r="D547" s="54" t="n"/>
    </row>
    <row r="548">
      <c r="A548" s="54" t="n"/>
      <c r="B548" s="14" t="n"/>
      <c r="C548" s="54" t="n"/>
      <c r="D548" s="54" t="n"/>
    </row>
  </sheetData>
  <conditionalFormatting sqref="C8:C376">
    <cfRule type="colorScale" priority="42">
      <colorScale>
        <cfvo type="min"/>
        <cfvo type="percentile" val="50"/>
        <cfvo type="max"/>
        <color rgb="FFF8696B"/>
        <color rgb="FFFFEB84"/>
        <color rgb="FF63BE7B"/>
      </colorScale>
    </cfRule>
  </conditionalFormatting>
  <conditionalFormatting sqref="D19:D376">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4"/>
  <sheetViews>
    <sheetView zoomScale="80" zoomScaleNormal="80" workbookViewId="0">
      <pane ySplit="6" topLeftCell="A359" activePane="bottomLeft" state="frozen"/>
      <selection pane="bottomLeft" activeCell="Q367" sqref="Q367"/>
    </sheetView>
  </sheetViews>
  <sheetFormatPr baseColWidth="8" defaultColWidth="8.81640625" defaultRowHeight="14.5"/>
  <cols>
    <col width="14" customWidth="1" style="95" min="1" max="1"/>
    <col width="23.6328125" customWidth="1" style="23" min="2" max="2"/>
    <col width="14.36328125" customWidth="1" style="95" min="3" max="3"/>
    <col width="14.1796875" customWidth="1" style="95" min="4" max="4"/>
    <col width="14.1796875" customWidth="1" style="114" min="5" max="5"/>
    <col width="9.1796875" customWidth="1" style="114" min="6" max="53"/>
  </cols>
  <sheetData>
    <row r="1" customFormat="1" s="114">
      <c r="A1" s="20" t="inlineStr">
        <is>
          <t>RSFSXMV</t>
        </is>
      </c>
      <c r="B1" s="24" t="inlineStr">
        <is>
          <t>Advance Retail Sales: Retail and Food Services Excluding Motor Vehicles and Parts Dealers</t>
        </is>
      </c>
      <c r="I1" s="21" t="n"/>
      <c r="J1" s="21" t="n"/>
    </row>
    <row r="2" customFormat="1" s="114">
      <c r="A2" s="129" t="inlineStr">
        <is>
          <t>https://fred.stlouisfed.org/series/RSFSXMV</t>
        </is>
      </c>
      <c r="B2" s="22" t="n"/>
    </row>
    <row r="3" customFormat="1" s="114">
      <c r="A3" s="129" t="n"/>
      <c r="B3" s="22" t="n"/>
    </row>
    <row r="4" customFormat="1" s="114">
      <c r="A4" s="129" t="n"/>
      <c r="B4" s="22" t="n"/>
    </row>
    <row r="5" ht="16" customFormat="1" customHeight="1" s="114"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0" t="n">
        <v>44531</v>
      </c>
      <c r="B366" s="15">
        <f>VLOOKUP(A366,Database!A:M,MATCH($A$1,Database!$A$1:$M$1,),)</f>
        <v/>
      </c>
      <c r="C366" s="12">
        <f>(B366-B365)/B365</f>
        <v/>
      </c>
      <c r="D366" s="13">
        <f>(B366-B354)/B354</f>
        <v/>
      </c>
    </row>
    <row r="367" customFormat="1" s="114">
      <c r="A367" s="11" t="n">
        <v>44562</v>
      </c>
      <c r="B367" s="15">
        <f>VLOOKUP(A367,Database!A:M,MATCH($A$1,Database!$A$1:$M$1,),)</f>
        <v/>
      </c>
      <c r="C367" s="12">
        <f>(B367-B366)/B366</f>
        <v/>
      </c>
      <c r="D367" s="13">
        <f>(B367-B355)/B355</f>
        <v/>
      </c>
    </row>
    <row r="368" customFormat="1" s="114">
      <c r="A368" s="11" t="n">
        <v>44593</v>
      </c>
      <c r="B368" s="15">
        <f>VLOOKUP(A368,Database!A:M,MATCH($A$1,Database!$A$1:$M$1,),)</f>
        <v/>
      </c>
      <c r="C368" s="12">
        <f>(B368-B367)/B367</f>
        <v/>
      </c>
      <c r="D368" s="13">
        <f>(B368-B356)/B356</f>
        <v/>
      </c>
    </row>
    <row r="369" customFormat="1" s="114">
      <c r="A369" s="11" t="n">
        <v>44621</v>
      </c>
      <c r="B369" s="15">
        <f>VLOOKUP(A369,Database!A:M,MATCH($A$1,Database!$A$1:$M$1,),)</f>
        <v/>
      </c>
      <c r="C369" s="12">
        <f>(B369-B368)/B368</f>
        <v/>
      </c>
      <c r="D369" s="13">
        <f>(B369-B357)/B357</f>
        <v/>
      </c>
    </row>
    <row r="370" customFormat="1" s="114">
      <c r="A370" s="11" t="n">
        <v>44652</v>
      </c>
      <c r="B370" s="15">
        <f>VLOOKUP(A370,Database!A:M,MATCH($A$1,Database!$A$1:$M$1,),)</f>
        <v/>
      </c>
      <c r="C370" s="12">
        <f>(B370-B369)/B369</f>
        <v/>
      </c>
      <c r="D370" s="13">
        <f>(B370-B358)/B358</f>
        <v/>
      </c>
    </row>
    <row r="371" customFormat="1" s="114">
      <c r="A371" s="11" t="n">
        <v>44682</v>
      </c>
      <c r="B371" s="15">
        <f>VLOOKUP(A371,Database!A:M,MATCH($A$1,Database!$A$1:$M$1,),)</f>
        <v/>
      </c>
      <c r="C371" s="12">
        <f>(B371-B370)/B370</f>
        <v/>
      </c>
      <c r="D371" s="13">
        <f>(B371-B359)/B359</f>
        <v/>
      </c>
    </row>
    <row r="372" customFormat="1" s="114">
      <c r="A372" s="11" t="n">
        <v>44713</v>
      </c>
      <c r="B372" s="15">
        <f>VLOOKUP(A372,Database!A:M,MATCH($A$1,Database!$A$1:$M$1,),)</f>
        <v/>
      </c>
      <c r="C372" s="12">
        <f>(B372-B371)/B371</f>
        <v/>
      </c>
      <c r="D372" s="13">
        <f>(B372-B360)/B360</f>
        <v/>
      </c>
    </row>
    <row r="373" customFormat="1" s="114">
      <c r="A373" s="11" t="n">
        <v>44743</v>
      </c>
      <c r="B373" s="15">
        <f>VLOOKUP(A373,Database!A:M,MATCH($A$1,Database!$A$1:$M$1,),)</f>
        <v/>
      </c>
      <c r="C373" s="12">
        <f>(B373-B372)/B372</f>
        <v/>
      </c>
      <c r="D373" s="13">
        <f>(B373-B361)/B361</f>
        <v/>
      </c>
    </row>
    <row r="374" customFormat="1" s="114">
      <c r="A374" s="11" t="n">
        <v>44774</v>
      </c>
      <c r="B374" s="15">
        <f>VLOOKUP(A374,Database!A:M,MATCH($A$1,Database!$A$1:$M$1,),)</f>
        <v/>
      </c>
      <c r="C374" s="12">
        <f>(B374-B373)/B373</f>
        <v/>
      </c>
      <c r="D374" s="13">
        <f>(B374-B362)/B362</f>
        <v/>
      </c>
    </row>
    <row r="375" customFormat="1" s="114">
      <c r="A375" s="11" t="n">
        <v>44805</v>
      </c>
      <c r="B375" s="15">
        <f>VLOOKUP(A375,Database!A:M,MATCH($A$1,Database!$A$1:$M$1,),)</f>
        <v/>
      </c>
      <c r="C375" s="12">
        <f>(B375-B374)/B374</f>
        <v/>
      </c>
      <c r="D375" s="13">
        <f>(B375-B363)/B363</f>
        <v/>
      </c>
    </row>
    <row r="376" customFormat="1" s="114">
      <c r="A376" s="11" t="n">
        <v>44835</v>
      </c>
      <c r="B376" s="15">
        <f>VLOOKUP(A376,Database!A:M,MATCH($A$1,Database!$A$1:$M$1,),)</f>
        <v/>
      </c>
      <c r="C376" s="12">
        <f>(B376-B375)/B375</f>
        <v/>
      </c>
      <c r="D376" s="13">
        <f>(B376-B364)/B364</f>
        <v/>
      </c>
    </row>
    <row r="377" customFormat="1" s="114">
      <c r="B377" s="22" t="n"/>
    </row>
    <row r="378" customFormat="1" s="114">
      <c r="B378" s="22" t="n"/>
    </row>
    <row r="379" customFormat="1" s="114">
      <c r="B379" s="22" t="n"/>
    </row>
    <row r="380" customFormat="1" s="114">
      <c r="B380" s="22" t="n"/>
    </row>
    <row r="381" customFormat="1" s="114">
      <c r="B381" s="22" t="n"/>
    </row>
    <row r="382" customFormat="1" s="114">
      <c r="B382" s="22" t="n"/>
    </row>
    <row r="383" customFormat="1" s="114">
      <c r="B383" s="22" t="n"/>
    </row>
    <row r="384" customFormat="1" s="114">
      <c r="B384" s="22" t="n"/>
    </row>
    <row r="385" customFormat="1" s="114">
      <c r="B385" s="22" t="n"/>
    </row>
    <row r="386" customFormat="1" s="114">
      <c r="B386" s="22" t="n"/>
    </row>
    <row r="387" customFormat="1" s="114">
      <c r="B387" s="22" t="n"/>
    </row>
    <row r="388" customFormat="1" s="114">
      <c r="B388" s="22" t="n"/>
    </row>
    <row r="389" customFormat="1" s="114">
      <c r="B389" s="22" t="n"/>
    </row>
    <row r="390" customFormat="1" s="114">
      <c r="B390" s="22" t="n"/>
    </row>
    <row r="391" customFormat="1" s="114">
      <c r="B391" s="22" t="n"/>
    </row>
    <row r="392" customFormat="1" s="114">
      <c r="B392" s="22" t="n"/>
    </row>
    <row r="393" customFormat="1" s="114">
      <c r="B393" s="22" t="n"/>
    </row>
    <row r="394" customFormat="1" s="114">
      <c r="B394" s="22" t="n"/>
    </row>
    <row r="395" customFormat="1" s="114">
      <c r="B395" s="22" t="n"/>
    </row>
    <row r="396" customFormat="1" s="114">
      <c r="B396" s="22" t="n"/>
    </row>
    <row r="397" customFormat="1" s="114">
      <c r="B397" s="22" t="n"/>
    </row>
    <row r="398" customFormat="1" s="114">
      <c r="B398" s="22" t="n"/>
    </row>
    <row r="399" customFormat="1" s="114">
      <c r="B399" s="22" t="n"/>
    </row>
    <row r="400" customFormat="1" s="114">
      <c r="B400" s="22" t="n"/>
    </row>
    <row r="401" customFormat="1" s="114">
      <c r="B401" s="22" t="n"/>
    </row>
    <row r="402" customFormat="1" s="114">
      <c r="B402" s="22" t="n"/>
    </row>
    <row r="403" customFormat="1" s="114">
      <c r="B403" s="22" t="n"/>
    </row>
    <row r="404" customFormat="1" s="114">
      <c r="B404" s="22" t="n"/>
    </row>
    <row r="405" customFormat="1" s="114">
      <c r="B405" s="22" t="n"/>
    </row>
    <row r="406" customFormat="1" s="114">
      <c r="B406" s="22" t="n"/>
    </row>
    <row r="407" customFormat="1" s="114">
      <c r="B407" s="22" t="n"/>
    </row>
    <row r="408" customFormat="1" s="114">
      <c r="B408" s="22" t="n"/>
    </row>
    <row r="409" customFormat="1" s="114">
      <c r="B409" s="22" t="n"/>
    </row>
    <row r="410" customFormat="1" s="114">
      <c r="B410" s="22" t="n"/>
    </row>
    <row r="411" customFormat="1" s="114">
      <c r="B411" s="22" t="n"/>
    </row>
    <row r="412" customFormat="1" s="114">
      <c r="B412" s="22" t="n"/>
    </row>
    <row r="413" customFormat="1" s="114">
      <c r="B413" s="22" t="n"/>
    </row>
    <row r="414" customFormat="1" s="114">
      <c r="B414" s="22" t="n"/>
    </row>
    <row r="415" customFormat="1" s="114">
      <c r="B415" s="22" t="n"/>
    </row>
    <row r="416" customFormat="1" s="114">
      <c r="B416" s="22" t="n"/>
    </row>
    <row r="417" customFormat="1" s="114">
      <c r="B417" s="22" t="n"/>
    </row>
    <row r="418" customFormat="1" s="114">
      <c r="B418" s="22" t="n"/>
    </row>
    <row r="419" customFormat="1" s="114">
      <c r="B419" s="22" t="n"/>
    </row>
    <row r="420" customFormat="1" s="114">
      <c r="B420" s="22" t="n"/>
    </row>
    <row r="421" customFormat="1" s="114">
      <c r="B421" s="22" t="n"/>
    </row>
    <row r="422" customFormat="1" s="114">
      <c r="B422" s="22" t="n"/>
    </row>
    <row r="423" customFormat="1" s="114">
      <c r="B423" s="22" t="n"/>
    </row>
    <row r="424" customFormat="1" s="114">
      <c r="B424" s="22" t="n"/>
    </row>
    <row r="425" customFormat="1" s="114">
      <c r="B425" s="22" t="n"/>
    </row>
    <row r="426" customFormat="1" s="114">
      <c r="B426" s="22" t="n"/>
    </row>
    <row r="427" customFormat="1" s="114">
      <c r="B427" s="22" t="n"/>
    </row>
    <row r="428" customFormat="1" s="114">
      <c r="B428" s="22" t="n"/>
    </row>
    <row r="429" customFormat="1" s="114">
      <c r="B429" s="22" t="n"/>
    </row>
    <row r="430" customFormat="1" s="114">
      <c r="B430" s="22" t="n"/>
    </row>
    <row r="431" customFormat="1" s="114">
      <c r="B431" s="22" t="n"/>
    </row>
    <row r="432" customFormat="1" s="114">
      <c r="B432" s="22" t="n"/>
    </row>
    <row r="433" customFormat="1" s="114">
      <c r="B433" s="22" t="n"/>
    </row>
    <row r="434" customFormat="1" s="114">
      <c r="B434" s="22" t="n"/>
    </row>
    <row r="435" customFormat="1" s="114">
      <c r="B435" s="22" t="n"/>
    </row>
    <row r="436" customFormat="1" s="114">
      <c r="B436" s="22" t="n"/>
    </row>
    <row r="437" customFormat="1" s="114">
      <c r="B437" s="22" t="n"/>
    </row>
    <row r="438" customFormat="1" s="114">
      <c r="B438" s="22" t="n"/>
    </row>
    <row r="439" customFormat="1" s="114">
      <c r="B439" s="22" t="n"/>
    </row>
    <row r="440" customFormat="1" s="114">
      <c r="B440" s="22" t="n"/>
    </row>
    <row r="441" customFormat="1" s="114">
      <c r="B441" s="22" t="n"/>
    </row>
    <row r="442" customFormat="1" s="114">
      <c r="B442" s="22" t="n"/>
    </row>
    <row r="443" customFormat="1" s="114">
      <c r="B443" s="22" t="n"/>
    </row>
    <row r="444" customFormat="1" s="114">
      <c r="B444" s="22" t="n"/>
    </row>
    <row r="445" customFormat="1" s="114">
      <c r="B445" s="22" t="n"/>
    </row>
    <row r="446" customFormat="1" s="114">
      <c r="B446" s="22" t="n"/>
    </row>
    <row r="447" customFormat="1" s="114">
      <c r="B447" s="22" t="n"/>
    </row>
    <row r="448" customFormat="1" s="114">
      <c r="B448" s="22" t="n"/>
    </row>
    <row r="449" customFormat="1" s="114">
      <c r="B449" s="22" t="n"/>
    </row>
    <row r="450" customFormat="1" s="114">
      <c r="B450" s="22" t="n"/>
    </row>
    <row r="451" customFormat="1" s="114">
      <c r="B451" s="22" t="n"/>
    </row>
    <row r="452" customFormat="1" s="114">
      <c r="B452" s="22" t="n"/>
    </row>
    <row r="453" customFormat="1" s="114">
      <c r="B453" s="22" t="n"/>
    </row>
    <row r="454" customFormat="1" s="114">
      <c r="B454" s="22" t="n"/>
    </row>
    <row r="455" customFormat="1" s="114">
      <c r="B455" s="22" t="n"/>
    </row>
    <row r="456" customFormat="1" s="114">
      <c r="B456" s="22" t="n"/>
    </row>
    <row r="457" customFormat="1" s="114">
      <c r="B457" s="22" t="n"/>
    </row>
    <row r="458" customFormat="1" s="114">
      <c r="B458" s="22" t="n"/>
    </row>
    <row r="459" customFormat="1" s="114">
      <c r="B459" s="22" t="n"/>
    </row>
    <row r="460" customFormat="1" s="114">
      <c r="B460" s="22" t="n"/>
    </row>
    <row r="461" customFormat="1" s="114">
      <c r="B461" s="22" t="n"/>
    </row>
    <row r="462" customFormat="1" s="114">
      <c r="B462" s="22" t="n"/>
    </row>
    <row r="463" customFormat="1" s="114">
      <c r="B463" s="22" t="n"/>
    </row>
    <row r="464" customFormat="1" s="114">
      <c r="B464" s="22" t="n"/>
    </row>
    <row r="465" customFormat="1" s="114">
      <c r="B465" s="22" t="n"/>
    </row>
    <row r="466" customFormat="1" s="114">
      <c r="B466" s="22" t="n"/>
    </row>
    <row r="467" customFormat="1" s="114">
      <c r="B467" s="22" t="n"/>
    </row>
    <row r="468" customFormat="1" s="114">
      <c r="B468" s="22" t="n"/>
    </row>
    <row r="469" customFormat="1" s="114">
      <c r="B469" s="22" t="n"/>
    </row>
    <row r="470" customFormat="1" s="114">
      <c r="B470" s="22" t="n"/>
    </row>
    <row r="471" customFormat="1" s="114">
      <c r="B471" s="22" t="n"/>
    </row>
    <row r="472" customFormat="1" s="114">
      <c r="B472" s="22" t="n"/>
    </row>
    <row r="473" customFormat="1" s="114">
      <c r="B473" s="22" t="n"/>
    </row>
    <row r="474" customFormat="1" s="114">
      <c r="B474" s="22" t="n"/>
    </row>
    <row r="475" customFormat="1" s="114">
      <c r="B475" s="22" t="n"/>
    </row>
    <row r="476" customFormat="1" s="114">
      <c r="B476" s="22" t="n"/>
    </row>
    <row r="477" customFormat="1" s="114">
      <c r="B477" s="22" t="n"/>
    </row>
    <row r="478" customFormat="1" s="114">
      <c r="B478" s="22" t="n"/>
    </row>
    <row r="479" customFormat="1" s="114">
      <c r="B479" s="22" t="n"/>
    </row>
    <row r="480" customFormat="1" s="114">
      <c r="B480" s="22" t="n"/>
    </row>
    <row r="481" customFormat="1" s="114">
      <c r="B481" s="22" t="n"/>
    </row>
    <row r="482" customFormat="1" s="114">
      <c r="B482" s="22" t="n"/>
    </row>
    <row r="483" customFormat="1" s="114">
      <c r="B483" s="22" t="n"/>
    </row>
    <row r="484" customFormat="1" s="114">
      <c r="B484" s="22" t="n"/>
    </row>
    <row r="485" customFormat="1" s="114">
      <c r="B485" s="22" t="n"/>
    </row>
    <row r="486" customFormat="1" s="114">
      <c r="B486" s="22" t="n"/>
    </row>
    <row r="487" customFormat="1" s="114">
      <c r="B487" s="22" t="n"/>
    </row>
    <row r="488" customFormat="1" s="114">
      <c r="B488" s="22" t="n"/>
    </row>
    <row r="489" customFormat="1" s="114">
      <c r="B489" s="22" t="n"/>
    </row>
    <row r="490" customFormat="1" s="114">
      <c r="B490" s="22" t="n"/>
    </row>
    <row r="491" customFormat="1" s="114">
      <c r="B491" s="22" t="n"/>
    </row>
    <row r="492" customFormat="1" s="114">
      <c r="B492" s="22" t="n"/>
    </row>
    <row r="493" customFormat="1" s="114">
      <c r="B493" s="22" t="n"/>
    </row>
    <row r="494" customFormat="1" s="114">
      <c r="B494" s="22" t="n"/>
    </row>
    <row r="495" customFormat="1" s="114">
      <c r="B495" s="22" t="n"/>
    </row>
    <row r="496" customFormat="1" s="114">
      <c r="B496" s="22" t="n"/>
    </row>
    <row r="497" customFormat="1" s="114">
      <c r="B497" s="22" t="n"/>
    </row>
    <row r="498" customFormat="1" s="114">
      <c r="B498" s="22" t="n"/>
    </row>
    <row r="499" customFormat="1" s="114">
      <c r="B499" s="22" t="n"/>
    </row>
    <row r="500" customFormat="1" s="114">
      <c r="B500" s="22" t="n"/>
    </row>
    <row r="501" customFormat="1" s="114">
      <c r="B501" s="22" t="n"/>
    </row>
    <row r="502" customFormat="1" s="114">
      <c r="B502" s="22" t="n"/>
    </row>
    <row r="503" customFormat="1" s="114">
      <c r="B503" s="22" t="n"/>
    </row>
    <row r="504" customFormat="1" s="114">
      <c r="B504" s="22" t="n"/>
    </row>
    <row r="505" customFormat="1" s="114">
      <c r="B505" s="22" t="n"/>
    </row>
    <row r="506" customFormat="1" s="114">
      <c r="B506" s="22" t="n"/>
    </row>
    <row r="507" customFormat="1" s="114">
      <c r="B507" s="22" t="n"/>
    </row>
    <row r="508" customFormat="1" s="114">
      <c r="B508" s="22" t="n"/>
    </row>
    <row r="509" customFormat="1" s="114">
      <c r="B509" s="22" t="n"/>
    </row>
    <row r="510" customFormat="1" s="114">
      <c r="B510" s="22" t="n"/>
    </row>
    <row r="511" customFormat="1" s="114">
      <c r="B511" s="22" t="n"/>
    </row>
    <row r="512" customFormat="1" s="114">
      <c r="B512" s="22" t="n"/>
    </row>
    <row r="513" customFormat="1" s="114">
      <c r="B513" s="22" t="n"/>
    </row>
    <row r="514" customFormat="1" s="114">
      <c r="B514" s="22" t="n"/>
    </row>
    <row r="515" customFormat="1" s="114">
      <c r="B515" s="22" t="n"/>
    </row>
    <row r="516" customFormat="1" s="114">
      <c r="B516" s="22" t="n"/>
    </row>
    <row r="517" customFormat="1" s="114">
      <c r="B517" s="22" t="n"/>
    </row>
    <row r="518" customFormat="1" s="114">
      <c r="B518" s="22" t="n"/>
    </row>
    <row r="519" customFormat="1" s="114">
      <c r="B519" s="22" t="n"/>
    </row>
    <row r="520" customFormat="1" s="114">
      <c r="B520" s="22" t="n"/>
    </row>
    <row r="521" customFormat="1" s="114">
      <c r="B521" s="22" t="n"/>
    </row>
    <row r="522" customFormat="1" s="114">
      <c r="B522" s="22" t="n"/>
    </row>
    <row r="523" customFormat="1" s="114">
      <c r="B523" s="22" t="n"/>
    </row>
    <row r="524" customFormat="1" s="114">
      <c r="B524" s="22" t="n"/>
    </row>
    <row r="525" customFormat="1" s="114">
      <c r="B525" s="22" t="n"/>
    </row>
    <row r="526" customFormat="1" s="114">
      <c r="B526" s="22" t="n"/>
    </row>
    <row r="527" customFormat="1" s="114">
      <c r="B527" s="22" t="n"/>
    </row>
    <row r="528" customFormat="1" s="114">
      <c r="B528" s="22" t="n"/>
    </row>
    <row r="529" customFormat="1" s="114">
      <c r="B529" s="22" t="n"/>
    </row>
    <row r="530" customFormat="1" s="114">
      <c r="B530" s="22" t="n"/>
    </row>
    <row r="531" customFormat="1" s="114">
      <c r="B531" s="22" t="n"/>
    </row>
    <row r="532" customFormat="1" s="114">
      <c r="B532" s="22" t="n"/>
    </row>
    <row r="533" customFormat="1" s="114">
      <c r="B533" s="22" t="n"/>
    </row>
    <row r="534" customFormat="1" s="114">
      <c r="B534" s="22" t="n"/>
    </row>
    <row r="535" customFormat="1" s="114">
      <c r="B535" s="22" t="n"/>
    </row>
    <row r="536" customFormat="1" s="114">
      <c r="B536" s="22" t="n"/>
    </row>
    <row r="537" customFormat="1" s="114">
      <c r="B537" s="22" t="n"/>
    </row>
    <row r="538" customFormat="1" s="114">
      <c r="B538" s="22" t="n"/>
    </row>
    <row r="539" customFormat="1" s="114">
      <c r="B539" s="22" t="n"/>
    </row>
    <row r="540" customFormat="1" s="114">
      <c r="B540" s="22" t="n"/>
    </row>
    <row r="541" customFormat="1" s="114">
      <c r="B541" s="22" t="n"/>
    </row>
    <row r="542" customFormat="1" s="114">
      <c r="B542" s="22" t="n"/>
    </row>
    <row r="543" customFormat="1" s="114">
      <c r="B543" s="22" t="n"/>
    </row>
    <row r="544" customFormat="1" s="114">
      <c r="B544" s="22" t="n"/>
    </row>
    <row r="545" customFormat="1" s="114">
      <c r="B545" s="22" t="n"/>
    </row>
    <row r="546" customFormat="1" s="114">
      <c r="B546" s="22" t="n"/>
    </row>
    <row r="547" customFormat="1" s="114">
      <c r="B547" s="22" t="n"/>
    </row>
    <row r="548" customFormat="1" s="114">
      <c r="B548" s="22" t="n"/>
    </row>
    <row r="549" customFormat="1" s="114">
      <c r="B549" s="22" t="n"/>
    </row>
    <row r="550" customFormat="1" s="114">
      <c r="B550" s="22" t="n"/>
    </row>
    <row r="551" customFormat="1" s="114">
      <c r="B551" s="22" t="n"/>
    </row>
    <row r="552" customFormat="1" s="114">
      <c r="B552" s="22" t="n"/>
    </row>
    <row r="553" customFormat="1" s="114">
      <c r="B553" s="22" t="n"/>
    </row>
    <row r="554" customFormat="1" s="114">
      <c r="B554" s="22" t="n"/>
    </row>
    <row r="555" customFormat="1" s="114">
      <c r="B555" s="22" t="n"/>
    </row>
    <row r="556" customFormat="1" s="114">
      <c r="B556" s="22" t="n"/>
    </row>
    <row r="557" customFormat="1" s="114">
      <c r="B557" s="22" t="n"/>
    </row>
    <row r="558" customFormat="1" s="114">
      <c r="B558" s="22" t="n"/>
    </row>
    <row r="559" customFormat="1" s="114">
      <c r="B559" s="22" t="n"/>
    </row>
    <row r="560" customFormat="1" s="114">
      <c r="B560" s="22" t="n"/>
    </row>
    <row r="561" customFormat="1" s="114">
      <c r="B561" s="22" t="n"/>
    </row>
    <row r="562" customFormat="1" s="114">
      <c r="B562" s="22" t="n"/>
    </row>
    <row r="563" customFormat="1" s="114">
      <c r="B563" s="22" t="n"/>
    </row>
    <row r="564" customFormat="1" s="114">
      <c r="B564" s="22" t="n"/>
    </row>
    <row r="565" customFormat="1" s="114">
      <c r="B565" s="22" t="n"/>
    </row>
    <row r="566" customFormat="1" s="114">
      <c r="B566" s="22" t="n"/>
    </row>
    <row r="567" customFormat="1" s="114">
      <c r="B567" s="22" t="n"/>
    </row>
    <row r="568" customFormat="1" s="114">
      <c r="B568" s="22" t="n"/>
    </row>
    <row r="569" customFormat="1" s="114">
      <c r="B569" s="22" t="n"/>
    </row>
    <row r="570" customFormat="1" s="114">
      <c r="B570" s="22" t="n"/>
    </row>
    <row r="571" customFormat="1" s="114">
      <c r="B571" s="22" t="n"/>
    </row>
    <row r="572" customFormat="1" s="114">
      <c r="B572" s="22" t="n"/>
    </row>
    <row r="573" customFormat="1" s="114">
      <c r="B573" s="22" t="n"/>
    </row>
    <row r="574" customFormat="1" s="114">
      <c r="B574" s="22" t="n"/>
    </row>
    <row r="575" customFormat="1" s="114">
      <c r="B575" s="22" t="n"/>
    </row>
    <row r="576" customFormat="1" s="114">
      <c r="B576" s="22" t="n"/>
    </row>
    <row r="577" customFormat="1" s="114">
      <c r="B577" s="22" t="n"/>
    </row>
    <row r="578" customFormat="1" s="114">
      <c r="B578" s="22" t="n"/>
    </row>
    <row r="579" customFormat="1" s="114">
      <c r="B579" s="22" t="n"/>
    </row>
    <row r="580" customFormat="1" s="114">
      <c r="B580" s="22" t="n"/>
    </row>
    <row r="581" customFormat="1" s="114">
      <c r="B581" s="22" t="n"/>
    </row>
    <row r="582" customFormat="1" s="114">
      <c r="B582" s="22" t="n"/>
    </row>
    <row r="583" customFormat="1" s="114">
      <c r="B583" s="22" t="n"/>
    </row>
    <row r="584" customFormat="1" s="114">
      <c r="B584" s="22" t="n"/>
    </row>
    <row r="585" customFormat="1" s="114">
      <c r="B585" s="22" t="n"/>
    </row>
    <row r="586" customFormat="1" s="114">
      <c r="B586" s="22" t="n"/>
    </row>
    <row r="587" customFormat="1" s="114">
      <c r="B587" s="22" t="n"/>
    </row>
    <row r="588" customFormat="1" s="114">
      <c r="B588" s="22" t="n"/>
    </row>
    <row r="589" customFormat="1" s="114">
      <c r="B589" s="22" t="n"/>
    </row>
    <row r="590" customFormat="1" s="114">
      <c r="B590" s="22" t="n"/>
    </row>
    <row r="591" customFormat="1" s="114">
      <c r="B591" s="22" t="n"/>
    </row>
    <row r="592" customFormat="1" s="114">
      <c r="B592" s="22" t="n"/>
    </row>
    <row r="593" customFormat="1" s="114">
      <c r="B593" s="22" t="n"/>
    </row>
    <row r="594" customFormat="1" s="114">
      <c r="B594" s="22" t="n"/>
    </row>
    <row r="595" customFormat="1" s="114">
      <c r="B595" s="22" t="n"/>
    </row>
    <row r="596" customFormat="1" s="114">
      <c r="B596" s="22" t="n"/>
    </row>
    <row r="597" customFormat="1" s="114">
      <c r="B597" s="22" t="n"/>
    </row>
    <row r="598" customFormat="1" s="114">
      <c r="B598" s="22" t="n"/>
    </row>
    <row r="599" customFormat="1" s="114">
      <c r="B599" s="22" t="n"/>
    </row>
    <row r="600" customFormat="1" s="114">
      <c r="B600" s="22" t="n"/>
    </row>
    <row r="601" customFormat="1" s="114">
      <c r="B601" s="22" t="n"/>
    </row>
    <row r="602" customFormat="1" s="114">
      <c r="B602" s="22" t="n"/>
    </row>
    <row r="603" customFormat="1" s="114">
      <c r="B603" s="22" t="n"/>
    </row>
    <row r="604" customFormat="1" s="114">
      <c r="B604" s="22" t="n"/>
    </row>
    <row r="605" customFormat="1" s="114">
      <c r="B605" s="22" t="n"/>
    </row>
    <row r="606" customFormat="1" s="114">
      <c r="B606" s="22" t="n"/>
    </row>
    <row r="607" customFormat="1" s="114">
      <c r="B607" s="22" t="n"/>
    </row>
    <row r="608" customFormat="1" s="114">
      <c r="B608" s="22" t="n"/>
    </row>
    <row r="609" customFormat="1" s="114">
      <c r="B609" s="22" t="n"/>
    </row>
    <row r="610" customFormat="1" s="114">
      <c r="B610" s="22" t="n"/>
    </row>
    <row r="611" customFormat="1" s="114">
      <c r="B611" s="22" t="n"/>
    </row>
    <row r="612" customFormat="1" s="114">
      <c r="B612" s="22" t="n"/>
    </row>
    <row r="613" customFormat="1" s="114">
      <c r="B613" s="22" t="n"/>
    </row>
    <row r="614" customFormat="1" s="114">
      <c r="B614" s="22" t="n"/>
    </row>
    <row r="615" customFormat="1" s="114">
      <c r="B615" s="22" t="n"/>
    </row>
    <row r="616" customFormat="1" s="114">
      <c r="B616" s="22" t="n"/>
    </row>
    <row r="617" customFormat="1" s="114">
      <c r="B617" s="22" t="n"/>
    </row>
    <row r="618" customFormat="1" s="114">
      <c r="B618" s="22" t="n"/>
    </row>
    <row r="619" customFormat="1" s="114">
      <c r="B619" s="22" t="n"/>
    </row>
    <row r="620" customFormat="1" s="114">
      <c r="B620" s="22" t="n"/>
    </row>
    <row r="621" customFormat="1" s="114">
      <c r="B621" s="22" t="n"/>
    </row>
    <row r="622" customFormat="1" s="114">
      <c r="B622" s="22" t="n"/>
    </row>
    <row r="623" customFormat="1" s="114">
      <c r="B623" s="22" t="n"/>
    </row>
    <row r="624" customFormat="1" s="114">
      <c r="B624" s="22" t="n"/>
    </row>
    <row r="625" customFormat="1" s="114">
      <c r="B625" s="22" t="n"/>
    </row>
    <row r="626" customFormat="1" s="114">
      <c r="B626" s="22" t="n"/>
    </row>
    <row r="627" customFormat="1" s="114">
      <c r="B627" s="22" t="n"/>
    </row>
    <row r="628" customFormat="1" s="114">
      <c r="B628" s="22" t="n"/>
    </row>
    <row r="629" customFormat="1" s="114">
      <c r="B629" s="22" t="n"/>
    </row>
    <row r="630" customFormat="1" s="114">
      <c r="B630" s="22" t="n"/>
    </row>
    <row r="631" customFormat="1" s="114">
      <c r="B631" s="22" t="n"/>
    </row>
    <row r="632" customFormat="1" s="114">
      <c r="B632" s="22" t="n"/>
    </row>
    <row r="633" customFormat="1" s="114">
      <c r="B633" s="22" t="n"/>
    </row>
    <row r="634" customFormat="1" s="114">
      <c r="B634" s="22" t="n"/>
    </row>
    <row r="635" customFormat="1" s="114">
      <c r="B635" s="22" t="n"/>
    </row>
    <row r="636" customFormat="1" s="114">
      <c r="B636" s="22" t="n"/>
    </row>
    <row r="637" customFormat="1" s="114">
      <c r="B637" s="22" t="n"/>
    </row>
    <row r="638" customFormat="1" s="114">
      <c r="B638" s="22" t="n"/>
    </row>
    <row r="639" customFormat="1" s="114">
      <c r="B639" s="22" t="n"/>
    </row>
    <row r="640" customFormat="1" s="114">
      <c r="B640" s="22" t="n"/>
    </row>
    <row r="641" customFormat="1" s="114">
      <c r="B641" s="22" t="n"/>
    </row>
    <row r="642" customFormat="1" s="114">
      <c r="B642" s="22" t="n"/>
    </row>
    <row r="643" customFormat="1" s="114">
      <c r="B643" s="22" t="n"/>
    </row>
    <row r="644" customFormat="1" s="114">
      <c r="B644" s="22" t="n"/>
    </row>
    <row r="645" customFormat="1" s="114">
      <c r="B645" s="22" t="n"/>
    </row>
    <row r="646" customFormat="1" s="114">
      <c r="B646" s="22" t="n"/>
    </row>
    <row r="647" customFormat="1" s="114">
      <c r="B647" s="22" t="n"/>
    </row>
    <row r="648" customFormat="1" s="114">
      <c r="B648" s="22" t="n"/>
    </row>
    <row r="649" customFormat="1" s="114">
      <c r="B649" s="22" t="n"/>
    </row>
    <row r="650" customFormat="1" s="114">
      <c r="B650" s="22" t="n"/>
    </row>
    <row r="651" customFormat="1" s="114">
      <c r="B651" s="22" t="n"/>
    </row>
    <row r="652" customFormat="1" s="114">
      <c r="B652" s="22" t="n"/>
    </row>
    <row r="653" customFormat="1" s="114">
      <c r="B653" s="22" t="n"/>
    </row>
    <row r="654" customFormat="1" s="114">
      <c r="B654" s="22" t="n"/>
    </row>
    <row r="655" customFormat="1" s="114">
      <c r="B655" s="22" t="n"/>
    </row>
    <row r="656" customFormat="1" s="114">
      <c r="B656" s="22" t="n"/>
    </row>
    <row r="657" customFormat="1" s="114">
      <c r="B657" s="22" t="n"/>
    </row>
    <row r="658" customFormat="1" s="114">
      <c r="B658" s="22" t="n"/>
    </row>
    <row r="659" customFormat="1" s="114">
      <c r="B659" s="22" t="n"/>
    </row>
    <row r="660" customFormat="1" s="114">
      <c r="B660" s="22" t="n"/>
    </row>
    <row r="661" customFormat="1" s="114">
      <c r="B661" s="22" t="n"/>
    </row>
    <row r="662" customFormat="1" s="114">
      <c r="B662" s="22" t="n"/>
    </row>
    <row r="663" customFormat="1" s="114">
      <c r="B663" s="22" t="n"/>
    </row>
    <row r="664" customFormat="1" s="114">
      <c r="B664" s="22" t="n"/>
    </row>
    <row r="665" customFormat="1" s="114">
      <c r="B665" s="22" t="n"/>
    </row>
    <row r="666" customFormat="1" s="114">
      <c r="B666" s="22" t="n"/>
    </row>
    <row r="667" customFormat="1" s="114">
      <c r="B667" s="22" t="n"/>
    </row>
    <row r="668" customFormat="1" s="114">
      <c r="B668" s="22" t="n"/>
    </row>
    <row r="669" customFormat="1" s="114">
      <c r="B669" s="22" t="n"/>
    </row>
    <row r="670" customFormat="1" s="114">
      <c r="B670" s="22" t="n"/>
    </row>
    <row r="671" customFormat="1" s="114">
      <c r="B671" s="22" t="n"/>
    </row>
    <row r="672" customFormat="1" s="114">
      <c r="B672" s="22" t="n"/>
    </row>
    <row r="673" customFormat="1" s="114">
      <c r="B673" s="22" t="n"/>
    </row>
    <row r="674" customFormat="1" s="114">
      <c r="B674" s="22" t="n"/>
    </row>
    <row r="675" customFormat="1" s="114">
      <c r="B675" s="22" t="n"/>
    </row>
    <row r="676" customFormat="1" s="114">
      <c r="B676" s="22" t="n"/>
    </row>
    <row r="677" customFormat="1" s="114">
      <c r="B677" s="22" t="n"/>
    </row>
    <row r="678" customFormat="1" s="114">
      <c r="B678" s="22" t="n"/>
    </row>
    <row r="679" customFormat="1" s="114">
      <c r="B679" s="22" t="n"/>
    </row>
    <row r="680" customFormat="1" s="114">
      <c r="B680" s="22" t="n"/>
    </row>
    <row r="681" customFormat="1" s="114">
      <c r="B681" s="22" t="n"/>
    </row>
    <row r="682" customFormat="1" s="114">
      <c r="B682" s="22" t="n"/>
    </row>
    <row r="683" customFormat="1" s="114">
      <c r="B683" s="22" t="n"/>
    </row>
    <row r="684" customFormat="1" s="114">
      <c r="B684" s="22" t="n"/>
    </row>
    <row r="685" customFormat="1" s="114">
      <c r="B685" s="22" t="n"/>
    </row>
    <row r="686" customFormat="1" s="114">
      <c r="B686" s="22" t="n"/>
    </row>
    <row r="687" customFormat="1" s="114">
      <c r="B687" s="22" t="n"/>
    </row>
    <row r="688" customFormat="1" s="114">
      <c r="B688" s="22" t="n"/>
    </row>
    <row r="689" customFormat="1" s="114">
      <c r="B689" s="22" t="n"/>
    </row>
    <row r="690" customFormat="1" s="114">
      <c r="B690" s="22" t="n"/>
    </row>
    <row r="691" customFormat="1" s="114">
      <c r="B691" s="22" t="n"/>
    </row>
    <row r="692" customFormat="1" s="114">
      <c r="B692" s="22" t="n"/>
    </row>
    <row r="693" customFormat="1" s="114">
      <c r="B693" s="22" t="n"/>
    </row>
    <row r="694" customFormat="1" s="114">
      <c r="B694" s="22" t="n"/>
    </row>
    <row r="695" customFormat="1" s="114">
      <c r="B695" s="22" t="n"/>
    </row>
    <row r="696" customFormat="1" s="114">
      <c r="B696" s="22" t="n"/>
    </row>
    <row r="697" customFormat="1" s="114">
      <c r="B697" s="22" t="n"/>
    </row>
    <row r="698" customFormat="1" s="114">
      <c r="B698" s="22" t="n"/>
    </row>
    <row r="699" customFormat="1" s="114">
      <c r="B699" s="22" t="n"/>
    </row>
    <row r="700" customFormat="1" s="114">
      <c r="B700" s="22" t="n"/>
    </row>
    <row r="701" customFormat="1" s="114">
      <c r="B701" s="22" t="n"/>
    </row>
    <row r="702" customFormat="1" s="114">
      <c r="B702" s="22" t="n"/>
    </row>
    <row r="703" customFormat="1" s="114">
      <c r="B703" s="22" t="n"/>
    </row>
    <row r="704" customFormat="1" s="114">
      <c r="B704" s="22" t="n"/>
    </row>
    <row r="705" customFormat="1" s="114">
      <c r="B705" s="22" t="n"/>
    </row>
    <row r="706" customFormat="1" s="114">
      <c r="B706" s="22" t="n"/>
    </row>
    <row r="707" customFormat="1" s="114">
      <c r="B707" s="22" t="n"/>
    </row>
    <row r="708" customFormat="1" s="114">
      <c r="B708" s="22" t="n"/>
    </row>
    <row r="709" customFormat="1" s="114">
      <c r="B709" s="22" t="n"/>
    </row>
    <row r="710" customFormat="1" s="114">
      <c r="B710" s="22" t="n"/>
    </row>
    <row r="711" customFormat="1" s="114">
      <c r="B711" s="22" t="n"/>
    </row>
    <row r="712" customFormat="1" s="114">
      <c r="B712" s="22" t="n"/>
    </row>
    <row r="713" customFormat="1" s="114">
      <c r="B713" s="22" t="n"/>
    </row>
    <row r="714" customFormat="1" s="114">
      <c r="B714" s="22" t="n"/>
    </row>
    <row r="715" customFormat="1" s="114">
      <c r="B715" s="22" t="n"/>
    </row>
    <row r="716" customFormat="1" s="114">
      <c r="B716" s="22" t="n"/>
    </row>
    <row r="717" customFormat="1" s="114">
      <c r="B717" s="22" t="n"/>
    </row>
    <row r="718" customFormat="1" s="114">
      <c r="B718" s="22" t="n"/>
    </row>
    <row r="719" customFormat="1" s="114">
      <c r="B719" s="22" t="n"/>
    </row>
    <row r="720" customFormat="1" s="114">
      <c r="B720" s="22" t="n"/>
    </row>
    <row r="721" customFormat="1" s="114">
      <c r="B721" s="22" t="n"/>
    </row>
    <row r="722" customFormat="1" s="114">
      <c r="B722" s="22" t="n"/>
    </row>
    <row r="723" customFormat="1" s="114">
      <c r="B723" s="22" t="n"/>
    </row>
    <row r="724" customFormat="1" s="114">
      <c r="B724" s="22" t="n"/>
    </row>
    <row r="725" customFormat="1" s="114">
      <c r="B725" s="22" t="n"/>
    </row>
    <row r="726" customFormat="1" s="114">
      <c r="B726" s="22" t="n"/>
    </row>
    <row r="727" customFormat="1" s="114">
      <c r="B727" s="22" t="n"/>
    </row>
    <row r="728" customFormat="1" s="114">
      <c r="B728" s="22" t="n"/>
    </row>
    <row r="729" customFormat="1" s="114">
      <c r="B729" s="22" t="n"/>
    </row>
    <row r="730" customFormat="1" s="114">
      <c r="B730" s="22" t="n"/>
    </row>
    <row r="731" customFormat="1" s="114">
      <c r="B731" s="22" t="n"/>
    </row>
    <row r="732" customFormat="1" s="114">
      <c r="B732" s="22" t="n"/>
    </row>
    <row r="733" customFormat="1" s="114">
      <c r="B733" s="22" t="n"/>
    </row>
    <row r="734" customFormat="1" s="114">
      <c r="B734" s="22" t="n"/>
    </row>
    <row r="735" customFormat="1" s="114">
      <c r="B735" s="22" t="n"/>
    </row>
    <row r="736" customFormat="1" s="114">
      <c r="B736" s="22" t="n"/>
    </row>
    <row r="737" customFormat="1" s="114">
      <c r="B737" s="22" t="n"/>
    </row>
    <row r="738" customFormat="1" s="114">
      <c r="B738" s="22" t="n"/>
    </row>
    <row r="739" customFormat="1" s="114">
      <c r="B739" s="22" t="n"/>
    </row>
    <row r="740" customFormat="1" s="114">
      <c r="B740" s="22" t="n"/>
    </row>
    <row r="741" customFormat="1" s="114">
      <c r="B741" s="22" t="n"/>
    </row>
    <row r="742" customFormat="1" s="114">
      <c r="B742" s="22" t="n"/>
    </row>
    <row r="743" customFormat="1" s="114">
      <c r="B743" s="22" t="n"/>
    </row>
    <row r="744" customFormat="1" s="114">
      <c r="B744" s="22" t="n"/>
    </row>
    <row r="745" customFormat="1" s="114">
      <c r="B745" s="22" t="n"/>
    </row>
    <row r="746" customFormat="1" s="114">
      <c r="B746" s="22" t="n"/>
    </row>
    <row r="747" customFormat="1" s="114">
      <c r="B747" s="22" t="n"/>
    </row>
    <row r="748" customFormat="1" s="114">
      <c r="B748" s="22" t="n"/>
    </row>
    <row r="749" customFormat="1" s="114">
      <c r="B749" s="22" t="n"/>
    </row>
    <row r="750" customFormat="1" s="114">
      <c r="B750" s="22" t="n"/>
    </row>
    <row r="751" customFormat="1" s="114">
      <c r="B751" s="22" t="n"/>
    </row>
    <row r="752" customFormat="1" s="114">
      <c r="B752" s="22" t="n"/>
    </row>
    <row r="753" customFormat="1" s="114">
      <c r="B753" s="22" t="n"/>
    </row>
    <row r="754" customFormat="1" s="114">
      <c r="B754" s="22" t="n"/>
    </row>
    <row r="755" customFormat="1" s="114">
      <c r="B755" s="22" t="n"/>
    </row>
    <row r="756" customFormat="1" s="114">
      <c r="B756" s="22" t="n"/>
    </row>
    <row r="757" customFormat="1" s="114">
      <c r="B757" s="22" t="n"/>
    </row>
    <row r="758" customFormat="1" s="114">
      <c r="B758" s="22" t="n"/>
    </row>
    <row r="759" customFormat="1" s="114">
      <c r="B759" s="22" t="n"/>
    </row>
    <row r="760" customFormat="1" s="114">
      <c r="B760" s="22" t="n"/>
    </row>
    <row r="761" customFormat="1" s="114">
      <c r="B761" s="22" t="n"/>
    </row>
    <row r="762" customFormat="1" s="114">
      <c r="B762" s="22" t="n"/>
    </row>
    <row r="763" customFormat="1" s="114">
      <c r="B763" s="22" t="n"/>
    </row>
    <row r="764" customFormat="1" s="114">
      <c r="B764" s="22" t="n"/>
    </row>
    <row r="765" customFormat="1" s="114">
      <c r="B765" s="22" t="n"/>
    </row>
    <row r="766" customFormat="1" s="114">
      <c r="B766" s="22" t="n"/>
    </row>
    <row r="767" customFormat="1" s="114">
      <c r="B767" s="22" t="n"/>
    </row>
    <row r="768" customFormat="1" s="114">
      <c r="B768" s="22" t="n"/>
    </row>
    <row r="769" customFormat="1" s="114">
      <c r="B769" s="22" t="n"/>
    </row>
    <row r="770" customFormat="1" s="114">
      <c r="B770" s="22" t="n"/>
    </row>
    <row r="771" customFormat="1" s="114">
      <c r="B771" s="22" t="n"/>
    </row>
    <row r="772" customFormat="1" s="114">
      <c r="B772" s="22" t="n"/>
    </row>
    <row r="773" customFormat="1" s="114">
      <c r="B773" s="22" t="n"/>
    </row>
    <row r="774">
      <c r="A774" s="114" t="n"/>
      <c r="B774" s="22" t="n"/>
      <c r="C774" s="114" t="n"/>
      <c r="D774" s="114" t="n"/>
    </row>
    <row r="775">
      <c r="A775" s="114" t="n"/>
      <c r="B775" s="22" t="n"/>
      <c r="C775" s="114" t="n"/>
      <c r="D775" s="114" t="n"/>
    </row>
    <row r="776">
      <c r="A776" s="114" t="n"/>
      <c r="B776" s="22" t="n"/>
      <c r="C776" s="114" t="n"/>
      <c r="D776" s="114" t="n"/>
    </row>
    <row r="777">
      <c r="A777" s="114" t="n"/>
      <c r="B777" s="22" t="n"/>
      <c r="C777" s="114" t="n"/>
      <c r="D777" s="114" t="n"/>
    </row>
    <row r="778">
      <c r="A778" s="114" t="n"/>
      <c r="B778" s="22" t="n"/>
      <c r="C778" s="114" t="n"/>
      <c r="D778" s="114" t="n"/>
    </row>
    <row r="779">
      <c r="A779" s="114" t="n"/>
      <c r="B779" s="22" t="n"/>
      <c r="C779" s="114" t="n"/>
      <c r="D779" s="114" t="n"/>
    </row>
    <row r="780">
      <c r="A780" s="114" t="n"/>
      <c r="B780" s="22" t="n"/>
      <c r="C780" s="114" t="n"/>
      <c r="D780" s="114" t="n"/>
    </row>
    <row r="781">
      <c r="A781" s="114" t="n"/>
      <c r="B781" s="22" t="n"/>
      <c r="C781" s="114" t="n"/>
      <c r="D781" s="114" t="n"/>
    </row>
    <row r="782">
      <c r="A782" s="114" t="n"/>
      <c r="B782" s="22" t="n"/>
      <c r="C782" s="114" t="n"/>
      <c r="D782" s="114" t="n"/>
    </row>
    <row r="783">
      <c r="A783" s="114" t="n"/>
      <c r="B783" s="22" t="n"/>
      <c r="C783" s="114" t="n"/>
      <c r="D783" s="114" t="n"/>
    </row>
    <row r="784">
      <c r="A784" s="114" t="n"/>
      <c r="B784" s="22" t="n"/>
      <c r="C784" s="114" t="n"/>
      <c r="D784" s="114" t="n"/>
    </row>
    <row r="785">
      <c r="A785" s="114" t="n"/>
      <c r="B785" s="22" t="n"/>
      <c r="C785" s="114" t="n"/>
      <c r="D785" s="114" t="n"/>
    </row>
    <row r="786">
      <c r="A786" s="114" t="n"/>
      <c r="B786" s="22" t="n"/>
      <c r="C786" s="114" t="n"/>
      <c r="D786" s="114" t="n"/>
    </row>
    <row r="787">
      <c r="A787" s="114" t="n"/>
      <c r="B787" s="22" t="n"/>
      <c r="C787" s="114" t="n"/>
      <c r="D787" s="114" t="n"/>
    </row>
    <row r="788">
      <c r="A788" s="114" t="n"/>
      <c r="B788" s="22" t="n"/>
      <c r="C788" s="114" t="n"/>
      <c r="D788" s="114" t="n"/>
    </row>
    <row r="789">
      <c r="A789" s="114" t="n"/>
      <c r="B789" s="22" t="n"/>
      <c r="C789" s="114" t="n"/>
      <c r="D789" s="114" t="n"/>
    </row>
    <row r="790">
      <c r="A790" s="114" t="n"/>
      <c r="B790" s="22" t="n"/>
      <c r="C790" s="114" t="n"/>
      <c r="D790" s="114" t="n"/>
    </row>
    <row r="791">
      <c r="A791" s="114" t="n"/>
      <c r="B791" s="22" t="n"/>
      <c r="C791" s="114" t="n"/>
      <c r="D791" s="114" t="n"/>
    </row>
    <row r="792">
      <c r="A792" s="114" t="n"/>
      <c r="B792" s="22" t="n"/>
      <c r="C792" s="114" t="n"/>
      <c r="D792" s="114" t="n"/>
    </row>
    <row r="793">
      <c r="A793" s="114" t="n"/>
      <c r="B793" s="22" t="n"/>
      <c r="C793" s="114" t="n"/>
      <c r="D793" s="114" t="n"/>
    </row>
    <row r="794">
      <c r="A794" s="114" t="n"/>
      <c r="B794" s="22" t="n"/>
      <c r="C794" s="114" t="n"/>
      <c r="D794" s="114" t="n"/>
    </row>
    <row r="795">
      <c r="A795" s="114" t="n"/>
      <c r="B795" s="22" t="n"/>
      <c r="C795" s="114" t="n"/>
      <c r="D795" s="114" t="n"/>
    </row>
    <row r="796">
      <c r="A796" s="114" t="n"/>
      <c r="B796" s="22" t="n"/>
      <c r="C796" s="114" t="n"/>
      <c r="D796" s="114" t="n"/>
    </row>
    <row r="797">
      <c r="A797" s="114" t="n"/>
      <c r="B797" s="22" t="n"/>
      <c r="C797" s="114" t="n"/>
      <c r="D797" s="114" t="n"/>
    </row>
    <row r="798">
      <c r="A798" s="114" t="n"/>
      <c r="B798" s="22" t="n"/>
      <c r="C798" s="114" t="n"/>
      <c r="D798" s="114" t="n"/>
    </row>
    <row r="799">
      <c r="A799" s="114" t="n"/>
      <c r="B799" s="22" t="n"/>
      <c r="C799" s="114" t="n"/>
      <c r="D799" s="114" t="n"/>
    </row>
    <row r="800">
      <c r="A800" s="114" t="n"/>
      <c r="B800" s="22" t="n"/>
      <c r="C800" s="114" t="n"/>
      <c r="D800" s="114" t="n"/>
    </row>
    <row r="801">
      <c r="A801" s="114" t="n"/>
      <c r="B801" s="22" t="n"/>
      <c r="C801" s="114" t="n"/>
      <c r="D801" s="114" t="n"/>
    </row>
    <row r="802">
      <c r="A802" s="114" t="n"/>
      <c r="B802" s="22" t="n"/>
      <c r="C802" s="114" t="n"/>
      <c r="D802" s="114" t="n"/>
    </row>
    <row r="803">
      <c r="A803" s="114" t="n"/>
      <c r="B803" s="22" t="n"/>
      <c r="C803" s="114" t="n"/>
      <c r="D803" s="114" t="n"/>
    </row>
    <row r="804">
      <c r="A804" s="114" t="n"/>
      <c r="B804" s="22" t="n"/>
      <c r="C804" s="114" t="n"/>
      <c r="D804" s="114" t="n"/>
    </row>
    <row r="805">
      <c r="A805" s="114" t="n"/>
      <c r="B805" s="22" t="n"/>
      <c r="C805" s="114" t="n"/>
      <c r="D805" s="114" t="n"/>
    </row>
    <row r="806">
      <c r="A806" s="114" t="n"/>
      <c r="B806" s="22" t="n"/>
      <c r="C806" s="114" t="n"/>
      <c r="D806" s="114" t="n"/>
    </row>
    <row r="807">
      <c r="A807" s="114" t="n"/>
      <c r="B807" s="22" t="n"/>
      <c r="C807" s="114" t="n"/>
      <c r="D807" s="114" t="n"/>
    </row>
    <row r="808">
      <c r="A808" s="114" t="n"/>
      <c r="B808" s="22" t="n"/>
      <c r="C808" s="114" t="n"/>
      <c r="D808" s="114" t="n"/>
    </row>
    <row r="809">
      <c r="A809" s="114" t="n"/>
      <c r="B809" s="22" t="n"/>
      <c r="C809" s="114" t="n"/>
      <c r="D809" s="114" t="n"/>
    </row>
    <row r="810">
      <c r="A810" s="114" t="n"/>
      <c r="B810" s="22" t="n"/>
      <c r="C810" s="114" t="n"/>
      <c r="D810" s="114" t="n"/>
    </row>
    <row r="811">
      <c r="A811" s="114" t="n"/>
      <c r="B811" s="22" t="n"/>
      <c r="C811" s="114" t="n"/>
      <c r="D811" s="114" t="n"/>
    </row>
    <row r="812">
      <c r="A812" s="114" t="n"/>
      <c r="B812" s="22" t="n"/>
      <c r="C812" s="114" t="n"/>
      <c r="D812" s="114" t="n"/>
    </row>
    <row r="813">
      <c r="A813" s="114" t="n"/>
      <c r="B813" s="22" t="n"/>
      <c r="C813" s="114" t="n"/>
      <c r="D813" s="114" t="n"/>
    </row>
    <row r="814">
      <c r="A814" s="114" t="n"/>
      <c r="B814" s="22" t="n"/>
      <c r="C814" s="114" t="n"/>
      <c r="D814" s="114" t="n"/>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6"/>
  <sheetViews>
    <sheetView topLeftCell="B1" zoomScale="80" zoomScaleNormal="80" workbookViewId="0">
      <pane ySplit="6" topLeftCell="A360" activePane="bottomLeft" state="frozen"/>
      <selection pane="bottomLeft" activeCell="AB384" sqref="AB384"/>
    </sheetView>
  </sheetViews>
  <sheetFormatPr baseColWidth="8" defaultColWidth="8.81640625" defaultRowHeight="14.5"/>
  <cols>
    <col width="14" customWidth="1" style="54" min="1" max="1"/>
    <col width="23.1796875" customWidth="1" style="54" min="2" max="2"/>
    <col width="14.1796875" customWidth="1" style="54" min="3" max="4"/>
    <col width="9.1796875" customWidth="1" style="114" min="5" max="69"/>
  </cols>
  <sheetData>
    <row r="1" customFormat="1" s="114">
      <c r="A1" s="114" t="inlineStr">
        <is>
          <t>RSDBS</t>
        </is>
      </c>
      <c r="B1" s="29" t="inlineStr">
        <is>
          <t>Food and Beverage Stores (RSDBS), Millions of Dollars, Monthly, Seasonally Adjusted</t>
        </is>
      </c>
      <c r="C1" s="54" t="n"/>
      <c r="D1" s="54" t="n"/>
    </row>
    <row r="2" customFormat="1" s="114">
      <c r="A2" s="129" t="inlineStr">
        <is>
          <t>https://fred.stlouisfed.org/series/RSDBS</t>
        </is>
      </c>
      <c r="C2" s="54" t="n"/>
      <c r="D2" s="54" t="n"/>
    </row>
    <row r="3" customFormat="1" s="114">
      <c r="A3" s="9" t="n"/>
      <c r="B3" s="54" t="n"/>
      <c r="C3" s="54" t="n"/>
      <c r="D3" s="54" t="n"/>
    </row>
    <row r="4" customFormat="1" s="114">
      <c r="A4" s="9" t="n"/>
      <c r="B4" s="54" t="n"/>
      <c r="C4" s="54" t="n"/>
      <c r="D4" s="54" t="n"/>
    </row>
    <row r="5" ht="16" customFormat="1" customHeight="1" s="114"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0"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6"/>
  <sheetViews>
    <sheetView zoomScale="80" zoomScaleNormal="80" workbookViewId="0">
      <pane ySplit="6" topLeftCell="A363" activePane="bottomLeft" state="frozen"/>
      <selection activeCell="P14" sqref="P14"/>
      <selection pane="bottomLeft" activeCell="AH372" sqref="AH372"/>
    </sheetView>
  </sheetViews>
  <sheetFormatPr baseColWidth="8" defaultColWidth="9.1796875" defaultRowHeight="14.5"/>
  <cols>
    <col width="14" customWidth="1" style="54" min="1" max="1"/>
    <col width="14.1796875" customWidth="1" style="54" min="2" max="4"/>
    <col width="9.1796875" customWidth="1" style="114" min="5" max="20"/>
    <col width="9.1796875" customWidth="1" style="114" min="21" max="16384"/>
  </cols>
  <sheetData>
    <row r="1">
      <c r="A1" s="114" t="inlineStr">
        <is>
          <t>RSNSR</t>
        </is>
      </c>
      <c r="B1" s="29" t="inlineStr">
        <is>
          <t>Retail Trade: Nonstore Retailers (RSNSR), Millions of Dollars, Monthly, Seasonally Adjusted</t>
        </is>
      </c>
    </row>
    <row r="2">
      <c r="A2" s="129" t="inlineStr">
        <is>
          <t>https://fred.stlouisfed.org/series/RSNSR</t>
        </is>
      </c>
      <c r="B2" s="114"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6"/>
  <sheetViews>
    <sheetView zoomScale="80" zoomScaleNormal="80" workbookViewId="0">
      <pane ySplit="6" topLeftCell="A363" activePane="bottomLeft" state="frozen"/>
      <selection pane="bottomLeft" activeCell="AF365" sqref="AF365"/>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RSHPCS</t>
        </is>
      </c>
      <c r="B1" s="29" t="inlineStr">
        <is>
          <t>Retail Trade: Health and Personal Care Stores (RSHPCS), Millions of Dollars, Monthly, Seasonally Adjusted</t>
        </is>
      </c>
    </row>
    <row r="2">
      <c r="A2" s="129" t="inlineStr">
        <is>
          <t>https://fred.stlouisfed.org/series/RSHPCS</t>
        </is>
      </c>
      <c r="B2" s="114"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6"/>
  <sheetViews>
    <sheetView zoomScale="80" zoomScaleNormal="80" workbookViewId="0">
      <pane ySplit="6" topLeftCell="A356" activePane="bottomLeft" state="frozen"/>
      <selection pane="bottomLeft" activeCell="AL348" sqref="AL34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RSSGHBMS</t>
        </is>
      </c>
      <c r="B1" s="29" t="inlineStr">
        <is>
          <t>Retail Trade: Sporting Goods, Hobby, Book, and Music Stores (RSSGHBMS), Millions of Dollars, Monthly, Seasonally Adjusted</t>
        </is>
      </c>
    </row>
    <row r="2">
      <c r="A2" s="129" t="inlineStr">
        <is>
          <t>https://fred.stlouisfed.org/series/RSSGHBMS</t>
        </is>
      </c>
      <c r="B2" s="114"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6"/>
  <sheetViews>
    <sheetView zoomScale="70" zoomScaleNormal="70" workbookViewId="0">
      <pane ySplit="6" topLeftCell="A354" activePane="bottomLeft" state="frozen"/>
      <selection pane="bottomLeft" activeCell="K381" sqref="K381"/>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RSGMS</t>
        </is>
      </c>
      <c r="B1" s="29" t="inlineStr">
        <is>
          <t>Retail Trade: General Merchandise Stores (RSGMS), Millions of Dollars, Monthly, Seasonally Adjusted</t>
        </is>
      </c>
    </row>
    <row r="2">
      <c r="A2" s="129" t="inlineStr">
        <is>
          <t>https://fred.stlouisfed.org/series/RSGMS</t>
        </is>
      </c>
      <c r="B2" s="114"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6"/>
  <sheetViews>
    <sheetView zoomScale="80" zoomScaleNormal="80" workbookViewId="0">
      <pane ySplit="6" topLeftCell="A358" activePane="bottomLeft" state="frozen"/>
      <selection pane="bottomLeft" activeCell="Y374" sqref="Y374"/>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RSFSDP</t>
        </is>
      </c>
      <c r="B1" s="29" t="inlineStr">
        <is>
          <t>Advance Retail Sales: Food Services and Drinking Places</t>
        </is>
      </c>
    </row>
    <row r="2">
      <c r="A2" s="129" t="n"/>
      <c r="B2" s="114"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6"/>
  <sheetViews>
    <sheetView zoomScale="60" zoomScaleNormal="60" workbookViewId="0">
      <pane ySplit="6" topLeftCell="A344" activePane="bottomLeft" state="frozen"/>
      <selection pane="bottomLeft" activeCell="AO373" sqref="AO373"/>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RSGASS</t>
        </is>
      </c>
      <c r="B1" s="29" t="inlineStr">
        <is>
          <t>Retail Trade: Gasoline Stations (RSGASS), Millions of Dollars, Monthly, Seasonally Adjusted</t>
        </is>
      </c>
    </row>
    <row r="2">
      <c r="A2" s="129" t="inlineStr">
        <is>
          <t>https://fred.stlouisfed.org/series/RSGASS</t>
        </is>
      </c>
      <c r="B2" s="114"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6"/>
  <sheetViews>
    <sheetView zoomScale="50" zoomScaleNormal="50" workbookViewId="0">
      <pane ySplit="6" topLeftCell="A349" activePane="bottomLeft" state="frozen"/>
      <selection pane="bottomLeft" activeCell="K386" sqref="K386"/>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RSMVPD</t>
        </is>
      </c>
      <c r="B1" s="29" t="inlineStr">
        <is>
          <t>Retail Trade: Motor Vehicle and Parts Dealers (RSMVPD), Millions of Dollars, Monthly, Seasonally Adjusted</t>
        </is>
      </c>
    </row>
    <row r="2">
      <c r="A2" s="129" t="inlineStr">
        <is>
          <t>https://fred.stlouisfed.org/series/RSMVPD</t>
        </is>
      </c>
      <c r="B2" s="114"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sheetData>
  <conditionalFormatting sqref="D19:D376">
    <cfRule type="colorScale" priority="50">
      <colorScale>
        <cfvo type="min"/>
        <cfvo type="percentile" val="50"/>
        <cfvo type="max"/>
        <color rgb="FFF8696B"/>
        <color rgb="FFFFEB84"/>
        <color rgb="FF63BE7B"/>
      </colorScale>
    </cfRule>
  </conditionalFormatting>
  <conditionalFormatting sqref="C8:C376">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6"/>
  <sheetViews>
    <sheetView zoomScale="60" zoomScaleNormal="60" workbookViewId="0">
      <pane ySplit="6" topLeftCell="A351" activePane="bottomLeft" state="frozen"/>
      <selection pane="bottomLeft" activeCell="B383" sqref="B383"/>
    </sheetView>
  </sheetViews>
  <sheetFormatPr baseColWidth="8" defaultColWidth="9.1796875" defaultRowHeight="14.5"/>
  <cols>
    <col width="14" customWidth="1" style="54" min="1" max="1"/>
    <col width="20.6328125" customWidth="1" style="54" min="2" max="2"/>
    <col width="14.36328125" customWidth="1" style="54" min="3" max="3"/>
    <col width="14.1796875" customWidth="1" style="54" min="4" max="4"/>
    <col width="9.1796875" customWidth="1" style="114" min="5" max="20"/>
    <col width="9.1796875" customWidth="1" style="114" min="21" max="16384"/>
  </cols>
  <sheetData>
    <row r="1">
      <c r="A1" s="114" t="inlineStr">
        <is>
          <t>RSBMGESD</t>
        </is>
      </c>
      <c r="B1" s="29" t="inlineStr">
        <is>
          <t>Retail Trade: Building Materials, Garden Equipment and Supplies Dealers (RSBMGESD), Millions of Dollars, Monthly, Seasonally Adjusted</t>
        </is>
      </c>
    </row>
    <row r="2">
      <c r="A2" s="129" t="inlineStr">
        <is>
          <t>https://fred.stlouisfed.org/series/RSBMGESD</t>
        </is>
      </c>
      <c r="B2" s="114"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row r="374">
      <c r="A374" s="11" t="n">
        <v>44774</v>
      </c>
      <c r="B374" s="31">
        <f>VLOOKUP(A374,Database!A:K,MATCH($A$1,Database!$A$1:$K$1,),)</f>
        <v/>
      </c>
      <c r="C374" s="32">
        <f>(B374-B373)/B373</f>
        <v/>
      </c>
      <c r="D374" s="33">
        <f>(B374-B362)/B362</f>
        <v/>
      </c>
    </row>
    <row r="375">
      <c r="A375" s="11" t="n">
        <v>44805</v>
      </c>
      <c r="B375" s="31">
        <f>VLOOKUP(A375,Database!A:K,MATCH($A$1,Database!$A$1:$K$1,),)</f>
        <v/>
      </c>
      <c r="C375" s="32">
        <f>(B375-B374)/B374</f>
        <v/>
      </c>
      <c r="D375" s="33">
        <f>(B375-B363)/B363</f>
        <v/>
      </c>
    </row>
    <row r="376">
      <c r="A376" s="11" t="n">
        <v>44835</v>
      </c>
      <c r="B376" s="31">
        <f>VLOOKUP(A376,Database!A:K,MATCH($A$1,Database!$A$1:$K$1,),)</f>
        <v/>
      </c>
      <c r="C376" s="32">
        <f>(B376-B375)/B375</f>
        <v/>
      </c>
      <c r="D376" s="33">
        <f>(B376-B364)/B364</f>
        <v/>
      </c>
    </row>
  </sheetData>
  <conditionalFormatting sqref="D19:D376">
    <cfRule type="colorScale" priority="48">
      <colorScale>
        <cfvo type="min"/>
        <cfvo type="percentile" val="50"/>
        <cfvo type="max"/>
        <color rgb="FFF8696B"/>
        <color rgb="FFFFEB84"/>
        <color rgb="FF63BE7B"/>
      </colorScale>
    </cfRule>
  </conditionalFormatting>
  <conditionalFormatting sqref="C8:C376">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6"/>
  <sheetViews>
    <sheetView zoomScale="60" zoomScaleNormal="60" workbookViewId="0">
      <pane ySplit="6" topLeftCell="A348" activePane="bottomLeft" state="frozen"/>
      <selection pane="bottomLeft" activeCell="N350" sqref="N35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RSFHFS</t>
        </is>
      </c>
      <c r="B1" s="29" t="inlineStr">
        <is>
          <t>RSEAS</t>
        </is>
      </c>
    </row>
    <row r="2">
      <c r="A2" s="129" t="n"/>
      <c r="B2" s="114"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row r="374">
      <c r="A374" s="30" t="n">
        <v>44774</v>
      </c>
      <c r="B374" s="31">
        <f>VLOOKUP(A374,Database!A:K,MATCH($A$1,Database!$A$1:$K$1,),)+VLOOKUP(A374,Database!A:K,MATCH($B$1,Database!$A$1:$K$1,),)</f>
        <v/>
      </c>
      <c r="C374" s="32">
        <f>(B374-B373)/B373</f>
        <v/>
      </c>
      <c r="D374" s="33">
        <f>(B374-B362)/B362</f>
        <v/>
      </c>
    </row>
    <row r="375">
      <c r="A375" s="11" t="n">
        <v>44805</v>
      </c>
      <c r="B375" s="15">
        <f>VLOOKUP(A375,Database!A:K,MATCH($A$1,Database!$A$1:$K$1,),)+VLOOKUP(A375,Database!A:K,MATCH($B$1,Database!$A$1:$K$1,),)</f>
        <v/>
      </c>
      <c r="C375" s="12">
        <f>(B375-B374)/B374</f>
        <v/>
      </c>
      <c r="D375" s="13">
        <f>(B375-B363)/B363</f>
        <v/>
      </c>
    </row>
    <row r="376">
      <c r="A376" s="11" t="n">
        <v>44835</v>
      </c>
      <c r="B376" s="15">
        <f>VLOOKUP(A376,Database!A:K,MATCH($A$1,Database!$A$1:$K$1,),)+VLOOKUP(A376,Database!A:K,MATCH($B$1,Database!$A$1:$K$1,),)</f>
        <v/>
      </c>
      <c r="C376" s="12">
        <f>(B376-B375)/B375</f>
        <v/>
      </c>
      <c r="D376" s="13">
        <f>(B376-B364)/B364</f>
        <v/>
      </c>
    </row>
  </sheetData>
  <conditionalFormatting sqref="D19:D376">
    <cfRule type="colorScale" priority="46">
      <colorScale>
        <cfvo type="min"/>
        <cfvo type="percentile" val="50"/>
        <cfvo type="max"/>
        <color rgb="FFF8696B"/>
        <color rgb="FFFFEB84"/>
        <color rgb="FF63BE7B"/>
      </colorScale>
    </cfRule>
  </conditionalFormatting>
  <conditionalFormatting sqref="C8:C376">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6"/>
  <sheetViews>
    <sheetView zoomScale="70" zoomScaleNormal="70" workbookViewId="0">
      <pane ySplit="6" topLeftCell="A355" activePane="bottomLeft" state="frozen"/>
      <selection pane="bottomLeft" activeCell="K357" sqref="K357"/>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RSMSR</t>
        </is>
      </c>
      <c r="B1" s="29" t="inlineStr">
        <is>
          <t>Miscellaneous stores retailers</t>
        </is>
      </c>
    </row>
    <row r="2">
      <c r="A2" s="129" t="n"/>
      <c r="B2" s="114"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30" t="n">
        <v>44805</v>
      </c>
      <c r="B375" s="31">
        <f>VLOOKUP(A375,Database!A:Q,MATCH($A$1,Database!$A$1:$Q$1,),)</f>
        <v/>
      </c>
      <c r="C375" s="32">
        <f>(B375-B374)/B374</f>
        <v/>
      </c>
      <c r="D375" s="33">
        <f>(B375-B363)/B363</f>
        <v/>
      </c>
    </row>
    <row r="376">
      <c r="A376" s="30" t="n">
        <v>44835</v>
      </c>
      <c r="B376" s="31">
        <f>VLOOKUP(A376,Database!A:Q,MATCH($A$1,Database!$A$1:$Q$1,),)</f>
        <v/>
      </c>
      <c r="C376" s="32">
        <f>(B376-B375)/B375</f>
        <v/>
      </c>
      <c r="D376" s="33">
        <f>(B376-B364)/B364</f>
        <v/>
      </c>
    </row>
  </sheetData>
  <conditionalFormatting sqref="D19:D376">
    <cfRule type="colorScale" priority="44">
      <colorScale>
        <cfvo type="min"/>
        <cfvo type="percentile" val="50"/>
        <cfvo type="max"/>
        <color rgb="FFF8696B"/>
        <color rgb="FFFFEB84"/>
        <color rgb="FF63BE7B"/>
      </colorScale>
    </cfRule>
  </conditionalFormatting>
  <conditionalFormatting sqref="C8:C376">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6"/>
  <sheetViews>
    <sheetView zoomScale="70" zoomScaleNormal="70" workbookViewId="0">
      <pane ySplit="6" topLeftCell="A366" activePane="bottomLeft" state="frozen"/>
      <selection activeCell="P14" sqref="P14"/>
      <selection pane="bottomLeft" activeCell="V390" sqref="V39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14" min="5" max="20"/>
    <col width="9.1796875" customWidth="1" style="114" min="21" max="16384"/>
  </cols>
  <sheetData>
    <row r="1">
      <c r="A1" s="114" t="inlineStr">
        <is>
          <t>RSCCAS</t>
        </is>
      </c>
      <c r="B1" s="29" t="inlineStr">
        <is>
          <t>Clothing and clothing access. stores</t>
        </is>
      </c>
    </row>
    <row r="2">
      <c r="A2" s="129" t="n"/>
      <c r="B2" s="114"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30" t="n">
        <v>44774</v>
      </c>
      <c r="B374" s="31">
        <f>VLOOKUP(A374,Database!A:Q,MATCH($A$1,Database!$A$1:$Q$1,),)</f>
        <v/>
      </c>
      <c r="C374" s="32">
        <f>(B374-B373)/B373</f>
        <v/>
      </c>
      <c r="D374" s="3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2022-12-03T13:21:37Z</dcterms:modified>
  <cp:lastModifiedBy>Mark Mukherjee</cp:lastModifiedBy>
</cp:coreProperties>
</file>