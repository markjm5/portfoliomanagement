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59C0A55A-F62E-40EB-B373-6A70B031641D}" xr6:coauthVersionLast="47" xr6:coauthVersionMax="47" xr10:uidLastSave="{00000000-0000-0000-0000-000000000000}"/>
  <bookViews>
    <workbookView xWindow="-210" yWindow="-14300" windowWidth="19270" windowHeight="1378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9" i="4" l="1"/>
  <c r="D69" i="4"/>
  <c r="E69" i="4"/>
  <c r="F69" i="4"/>
  <c r="G69" i="4"/>
  <c r="H69" i="4"/>
  <c r="I69" i="4"/>
  <c r="J69" i="4"/>
  <c r="K69" i="4"/>
  <c r="L69" i="4"/>
  <c r="M69" i="4"/>
  <c r="N69" i="4"/>
  <c r="O69" i="4"/>
  <c r="P69" i="4"/>
  <c r="Q69" i="4"/>
  <c r="R69" i="4"/>
  <c r="S69" i="4"/>
  <c r="T69" i="4"/>
  <c r="U69" i="4"/>
  <c r="V69" i="4"/>
  <c r="W69" i="4"/>
  <c r="X69" i="4"/>
  <c r="Y69" i="4"/>
  <c r="Z69" i="4"/>
  <c r="AA69" i="4"/>
  <c r="AB69" i="4"/>
  <c r="AC69" i="4"/>
  <c r="AD69" i="4"/>
  <c r="AE69" i="4"/>
  <c r="AF69" i="4"/>
  <c r="B379" i="18"/>
  <c r="C379" i="18" s="1"/>
  <c r="B379" i="17"/>
  <c r="C379" i="17" s="1"/>
  <c r="B379" i="16"/>
  <c r="C379" i="16" s="1"/>
  <c r="B379" i="15"/>
  <c r="C379" i="15" s="1"/>
  <c r="D379" i="15"/>
  <c r="B379" i="14"/>
  <c r="C379" i="14" s="1"/>
  <c r="B379" i="13"/>
  <c r="C379" i="13" s="1"/>
  <c r="B379" i="12"/>
  <c r="C379" i="12" s="1"/>
  <c r="B379" i="11"/>
  <c r="C379" i="11" s="1"/>
  <c r="B379" i="10"/>
  <c r="C379" i="10" s="1"/>
  <c r="B379" i="9"/>
  <c r="C379" i="9" s="1"/>
  <c r="B379" i="8"/>
  <c r="C379" i="8" s="1"/>
  <c r="B379" i="7"/>
  <c r="C379" i="7" s="1"/>
  <c r="B379" i="6"/>
  <c r="C379" i="6" s="1"/>
  <c r="B379" i="5"/>
  <c r="C379" i="5" s="1"/>
  <c r="B378" i="19"/>
  <c r="B377" i="19"/>
  <c r="B376" i="19"/>
  <c r="B375" i="19"/>
  <c r="C375" i="19" s="1"/>
  <c r="B374" i="19"/>
  <c r="B373" i="19"/>
  <c r="B372" i="19"/>
  <c r="B371" i="19"/>
  <c r="B370" i="19"/>
  <c r="B369" i="19"/>
  <c r="B368" i="19"/>
  <c r="B367" i="19"/>
  <c r="B366" i="19"/>
  <c r="B365" i="19"/>
  <c r="B364" i="19"/>
  <c r="B363" i="19"/>
  <c r="C363" i="19" s="1"/>
  <c r="B362" i="19"/>
  <c r="B361" i="19"/>
  <c r="B360" i="19"/>
  <c r="B359" i="19"/>
  <c r="D371" i="19" s="1"/>
  <c r="B358" i="19"/>
  <c r="B357" i="19"/>
  <c r="B356" i="19"/>
  <c r="B355" i="19"/>
  <c r="C355" i="19" s="1"/>
  <c r="B354" i="19"/>
  <c r="B353" i="19"/>
  <c r="B352" i="19"/>
  <c r="B351" i="19"/>
  <c r="B350" i="19"/>
  <c r="B349" i="19"/>
  <c r="B348" i="19"/>
  <c r="B347" i="19"/>
  <c r="B346" i="19"/>
  <c r="B345" i="19"/>
  <c r="B344" i="19"/>
  <c r="B343" i="19"/>
  <c r="B342" i="19"/>
  <c r="B341" i="19"/>
  <c r="B340" i="19"/>
  <c r="B339" i="19"/>
  <c r="C339" i="19" s="1"/>
  <c r="B338" i="19"/>
  <c r="B337" i="19"/>
  <c r="B336" i="19"/>
  <c r="B335" i="19"/>
  <c r="B334" i="19"/>
  <c r="B333" i="19"/>
  <c r="B332" i="19"/>
  <c r="B331" i="19"/>
  <c r="C331" i="19" s="1"/>
  <c r="B330" i="19"/>
  <c r="B329" i="19"/>
  <c r="B328" i="19"/>
  <c r="B327" i="19"/>
  <c r="B326" i="19"/>
  <c r="B325" i="19"/>
  <c r="B324" i="19"/>
  <c r="B323" i="19"/>
  <c r="B322" i="19"/>
  <c r="B321" i="19"/>
  <c r="B320" i="19"/>
  <c r="B319" i="19"/>
  <c r="B318" i="19"/>
  <c r="B317" i="19"/>
  <c r="B316" i="19"/>
  <c r="B315" i="19"/>
  <c r="C315" i="19" s="1"/>
  <c r="B314" i="19"/>
  <c r="B313" i="19"/>
  <c r="B312" i="19"/>
  <c r="B311" i="19"/>
  <c r="B310" i="19"/>
  <c r="B309" i="19"/>
  <c r="B308" i="19"/>
  <c r="B307" i="19"/>
  <c r="C307" i="19" s="1"/>
  <c r="B306" i="19"/>
  <c r="B305" i="19"/>
  <c r="B304" i="19"/>
  <c r="B303" i="19"/>
  <c r="B302" i="19"/>
  <c r="B301" i="19"/>
  <c r="B300" i="19"/>
  <c r="B299" i="19"/>
  <c r="B298" i="19"/>
  <c r="B297" i="19"/>
  <c r="B296" i="19"/>
  <c r="B295" i="19"/>
  <c r="B294" i="19"/>
  <c r="B293" i="19"/>
  <c r="B292" i="19"/>
  <c r="B291" i="19"/>
  <c r="C291" i="19" s="1"/>
  <c r="B290" i="19"/>
  <c r="B289" i="19"/>
  <c r="B288" i="19"/>
  <c r="B287" i="19"/>
  <c r="B286" i="19"/>
  <c r="B285" i="19"/>
  <c r="B284" i="19"/>
  <c r="B283" i="19"/>
  <c r="C283" i="19" s="1"/>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D218" i="19" s="1"/>
  <c r="C217" i="19"/>
  <c r="B217" i="19"/>
  <c r="B216" i="19"/>
  <c r="B215" i="19"/>
  <c r="D215" i="19" s="1"/>
  <c r="B214" i="19"/>
  <c r="B213" i="19"/>
  <c r="B212" i="19"/>
  <c r="B211" i="19"/>
  <c r="B210" i="19"/>
  <c r="B209" i="19"/>
  <c r="B208" i="19"/>
  <c r="B207" i="19"/>
  <c r="B206" i="19"/>
  <c r="D206" i="19" s="1"/>
  <c r="B205" i="19"/>
  <c r="D205" i="19" s="1"/>
  <c r="B204" i="19"/>
  <c r="B203" i="19"/>
  <c r="C203" i="19" s="1"/>
  <c r="B202" i="19"/>
  <c r="B201" i="19"/>
  <c r="D201" i="19" s="1"/>
  <c r="B200" i="19"/>
  <c r="B199" i="19"/>
  <c r="D211" i="19" s="1"/>
  <c r="B198" i="19"/>
  <c r="D198" i="19" s="1"/>
  <c r="B197" i="19"/>
  <c r="B196" i="19"/>
  <c r="B195" i="19"/>
  <c r="B194" i="19"/>
  <c r="D194" i="19" s="1"/>
  <c r="B193" i="19"/>
  <c r="C193" i="19" s="1"/>
  <c r="B192" i="19"/>
  <c r="B191" i="19"/>
  <c r="D191" i="19" s="1"/>
  <c r="B190" i="19"/>
  <c r="B189" i="19"/>
  <c r="B188" i="19"/>
  <c r="C189" i="19" s="1"/>
  <c r="D187" i="19"/>
  <c r="B187" i="19"/>
  <c r="B186" i="19"/>
  <c r="C186" i="19" s="1"/>
  <c r="B185" i="19"/>
  <c r="B184" i="19"/>
  <c r="B183" i="19"/>
  <c r="B182" i="19"/>
  <c r="D182" i="19" s="1"/>
  <c r="B181" i="19"/>
  <c r="B180" i="19"/>
  <c r="B179" i="19"/>
  <c r="B178" i="19"/>
  <c r="B177" i="19"/>
  <c r="B176" i="19"/>
  <c r="B175" i="19"/>
  <c r="D174" i="19"/>
  <c r="B174" i="19"/>
  <c r="B173" i="19"/>
  <c r="B172" i="19"/>
  <c r="B171" i="19"/>
  <c r="D170" i="19"/>
  <c r="B170" i="19"/>
  <c r="B169" i="19"/>
  <c r="C169" i="19" s="1"/>
  <c r="B168" i="19"/>
  <c r="B167" i="19"/>
  <c r="D167" i="19" s="1"/>
  <c r="B166" i="19"/>
  <c r="B165" i="19"/>
  <c r="C165" i="19" s="1"/>
  <c r="B164" i="19"/>
  <c r="B163" i="19"/>
  <c r="D175" i="19" s="1"/>
  <c r="B162" i="19"/>
  <c r="B161" i="19"/>
  <c r="B160" i="19"/>
  <c r="B159" i="19"/>
  <c r="B158" i="19"/>
  <c r="D158" i="19" s="1"/>
  <c r="B157" i="19"/>
  <c r="D157" i="19" s="1"/>
  <c r="B156" i="19"/>
  <c r="B155" i="19"/>
  <c r="B154" i="19"/>
  <c r="B153" i="19"/>
  <c r="D153" i="19" s="1"/>
  <c r="B152" i="19"/>
  <c r="B151" i="19"/>
  <c r="D151" i="19" s="1"/>
  <c r="D150" i="19"/>
  <c r="B150" i="19"/>
  <c r="B149" i="19"/>
  <c r="B148" i="19"/>
  <c r="B147" i="19"/>
  <c r="B146" i="19"/>
  <c r="D146" i="19" s="1"/>
  <c r="C145" i="19"/>
  <c r="B145" i="19"/>
  <c r="B144" i="19"/>
  <c r="B143" i="19"/>
  <c r="D143" i="19" s="1"/>
  <c r="B142" i="19"/>
  <c r="B141" i="19"/>
  <c r="C141" i="19" s="1"/>
  <c r="B140" i="19"/>
  <c r="B139" i="19"/>
  <c r="B138" i="19"/>
  <c r="B137" i="19"/>
  <c r="B136" i="19"/>
  <c r="B135" i="19"/>
  <c r="B134" i="19"/>
  <c r="D134" i="19" s="1"/>
  <c r="B133" i="19"/>
  <c r="D133" i="19" s="1"/>
  <c r="B132" i="19"/>
  <c r="B131" i="19"/>
  <c r="B130" i="19"/>
  <c r="B129" i="19"/>
  <c r="B128" i="19"/>
  <c r="B127" i="19"/>
  <c r="D139" i="19" s="1"/>
  <c r="B126" i="19"/>
  <c r="D126" i="19" s="1"/>
  <c r="B125" i="19"/>
  <c r="B124" i="19"/>
  <c r="B123" i="19"/>
  <c r="B122" i="19"/>
  <c r="D122" i="19" s="1"/>
  <c r="B121" i="19"/>
  <c r="C121" i="19" s="1"/>
  <c r="B120" i="19"/>
  <c r="B119" i="19"/>
  <c r="D119" i="19" s="1"/>
  <c r="B118" i="19"/>
  <c r="B117" i="19"/>
  <c r="B116" i="19"/>
  <c r="C117" i="19" s="1"/>
  <c r="B115" i="19"/>
  <c r="B114" i="19"/>
  <c r="B113" i="19"/>
  <c r="B112" i="19"/>
  <c r="B111" i="19"/>
  <c r="B110" i="19"/>
  <c r="D110" i="19" s="1"/>
  <c r="B109" i="19"/>
  <c r="B108" i="19"/>
  <c r="B107" i="19"/>
  <c r="C107" i="19" s="1"/>
  <c r="B106" i="19"/>
  <c r="B105" i="19"/>
  <c r="D105" i="19" s="1"/>
  <c r="B104" i="19"/>
  <c r="B103" i="19"/>
  <c r="D103" i="19" s="1"/>
  <c r="B102" i="19"/>
  <c r="C102" i="19" s="1"/>
  <c r="B101" i="19"/>
  <c r="B100" i="19"/>
  <c r="B99" i="19"/>
  <c r="B98" i="19"/>
  <c r="B97" i="19"/>
  <c r="C97" i="19" s="1"/>
  <c r="B96" i="19"/>
  <c r="B95" i="19"/>
  <c r="D95" i="19" s="1"/>
  <c r="D94" i="19"/>
  <c r="B94" i="19"/>
  <c r="C95" i="19" s="1"/>
  <c r="D93" i="19"/>
  <c r="B93" i="19"/>
  <c r="B92" i="19"/>
  <c r="B91" i="19"/>
  <c r="D91" i="19" s="1"/>
  <c r="D90" i="19"/>
  <c r="B90" i="19"/>
  <c r="B89" i="19"/>
  <c r="B88" i="19"/>
  <c r="B87" i="19"/>
  <c r="B86" i="19"/>
  <c r="B85" i="19"/>
  <c r="B84" i="19"/>
  <c r="B83" i="19"/>
  <c r="D83" i="19" s="1"/>
  <c r="D82" i="19"/>
  <c r="B82" i="19"/>
  <c r="C82" i="19" s="1"/>
  <c r="B81" i="19"/>
  <c r="D81" i="19" s="1"/>
  <c r="B80" i="19"/>
  <c r="B79" i="19"/>
  <c r="D79" i="19" s="1"/>
  <c r="D78" i="19"/>
  <c r="B78" i="19"/>
  <c r="B77" i="19"/>
  <c r="B76" i="19"/>
  <c r="B75" i="19"/>
  <c r="B74" i="19"/>
  <c r="B73" i="19"/>
  <c r="C73" i="19" s="1"/>
  <c r="B72" i="19"/>
  <c r="D71" i="19"/>
  <c r="C71" i="19"/>
  <c r="B71" i="19"/>
  <c r="B70" i="19"/>
  <c r="D70" i="19" s="1"/>
  <c r="B69" i="19"/>
  <c r="B68" i="19"/>
  <c r="D67" i="19"/>
  <c r="B67" i="19"/>
  <c r="B66" i="19"/>
  <c r="B65" i="19"/>
  <c r="C65" i="19" s="1"/>
  <c r="B64" i="19"/>
  <c r="B63" i="19"/>
  <c r="B62" i="19"/>
  <c r="C61" i="19"/>
  <c r="B61" i="19"/>
  <c r="C62" i="19" s="1"/>
  <c r="B60" i="19"/>
  <c r="C59" i="19"/>
  <c r="B59" i="19"/>
  <c r="D59" i="19" s="1"/>
  <c r="B58" i="19"/>
  <c r="B57" i="19"/>
  <c r="B56" i="19"/>
  <c r="B55" i="19"/>
  <c r="B54" i="19"/>
  <c r="B53" i="19"/>
  <c r="B52" i="19"/>
  <c r="B51" i="19"/>
  <c r="B50" i="19"/>
  <c r="B49" i="19"/>
  <c r="D49" i="19" s="1"/>
  <c r="B48" i="19"/>
  <c r="B47" i="19"/>
  <c r="B46" i="19"/>
  <c r="B45" i="19"/>
  <c r="D45" i="19" s="1"/>
  <c r="B44" i="19"/>
  <c r="C45" i="19" s="1"/>
  <c r="B43" i="19"/>
  <c r="C43" i="19" s="1"/>
  <c r="B42" i="19"/>
  <c r="B41" i="19"/>
  <c r="B40" i="19"/>
  <c r="B39" i="19"/>
  <c r="B38" i="19"/>
  <c r="D38" i="19" s="1"/>
  <c r="B37" i="19"/>
  <c r="B36" i="19"/>
  <c r="B35" i="19"/>
  <c r="B34" i="19"/>
  <c r="C33" i="19"/>
  <c r="B33" i="19"/>
  <c r="B32" i="19"/>
  <c r="B31" i="19"/>
  <c r="B30" i="19"/>
  <c r="B29" i="19"/>
  <c r="D29" i="19" s="1"/>
  <c r="C28" i="19"/>
  <c r="B28" i="19"/>
  <c r="B27" i="19"/>
  <c r="B26" i="19"/>
  <c r="D25" i="19"/>
  <c r="C25" i="19"/>
  <c r="B25" i="19"/>
  <c r="B24" i="19"/>
  <c r="D23" i="19"/>
  <c r="B23" i="19"/>
  <c r="B22" i="19"/>
  <c r="C21" i="19"/>
  <c r="B21" i="19"/>
  <c r="B20" i="19"/>
  <c r="B19" i="19"/>
  <c r="B18" i="19"/>
  <c r="B17" i="19"/>
  <c r="B16" i="19"/>
  <c r="B15" i="19"/>
  <c r="B14" i="19"/>
  <c r="C15" i="19" s="1"/>
  <c r="C13" i="19"/>
  <c r="B13" i="19"/>
  <c r="B12" i="19"/>
  <c r="B11" i="19"/>
  <c r="B10" i="19"/>
  <c r="C11" i="19" s="1"/>
  <c r="B9" i="19"/>
  <c r="C9" i="19" s="1"/>
  <c r="B8" i="19"/>
  <c r="B7" i="19"/>
  <c r="B378" i="18"/>
  <c r="B377" i="18"/>
  <c r="B376" i="18"/>
  <c r="B375" i="18"/>
  <c r="B374" i="18"/>
  <c r="B373" i="18"/>
  <c r="B372" i="18"/>
  <c r="D371" i="18"/>
  <c r="AD61" i="4" s="1"/>
  <c r="B371" i="18"/>
  <c r="C371" i="18" s="1"/>
  <c r="B370" i="18"/>
  <c r="B369" i="18"/>
  <c r="B368" i="18"/>
  <c r="B367" i="18"/>
  <c r="B366" i="18"/>
  <c r="B365" i="18"/>
  <c r="B364" i="18"/>
  <c r="B363" i="18"/>
  <c r="B362" i="18"/>
  <c r="B361" i="18"/>
  <c r="B360" i="18"/>
  <c r="B359" i="18"/>
  <c r="B358" i="18"/>
  <c r="B357" i="18"/>
  <c r="D369" i="18" s="1"/>
  <c r="B356" i="18"/>
  <c r="B355" i="18"/>
  <c r="B354" i="18"/>
  <c r="B353" i="18"/>
  <c r="B352" i="18"/>
  <c r="D364" i="18" s="1"/>
  <c r="B351" i="18"/>
  <c r="B350" i="18"/>
  <c r="B349" i="18"/>
  <c r="D349" i="18" s="1"/>
  <c r="AD39" i="4" s="1"/>
  <c r="B348" i="18"/>
  <c r="B347" i="18"/>
  <c r="B346" i="18"/>
  <c r="B345" i="18"/>
  <c r="B344" i="18"/>
  <c r="B343" i="18"/>
  <c r="C344" i="18" s="1"/>
  <c r="B342" i="18"/>
  <c r="B341" i="18"/>
  <c r="B340" i="18"/>
  <c r="B339" i="18"/>
  <c r="B338" i="18"/>
  <c r="B337" i="18"/>
  <c r="B336" i="18"/>
  <c r="B335" i="18"/>
  <c r="B334" i="18"/>
  <c r="B333" i="18"/>
  <c r="B332" i="18"/>
  <c r="B331" i="18"/>
  <c r="B330" i="18"/>
  <c r="B329" i="18"/>
  <c r="B328" i="18"/>
  <c r="B327" i="18"/>
  <c r="B326" i="18"/>
  <c r="B325" i="18"/>
  <c r="B324" i="18"/>
  <c r="B323" i="18"/>
  <c r="B322" i="18"/>
  <c r="B321" i="18"/>
  <c r="C321" i="18" s="1"/>
  <c r="B320" i="18"/>
  <c r="B319" i="18"/>
  <c r="B318" i="18"/>
  <c r="B317" i="18"/>
  <c r="D329" i="18" s="1"/>
  <c r="B316" i="18"/>
  <c r="B315" i="18"/>
  <c r="B314" i="18"/>
  <c r="B313" i="18"/>
  <c r="D313" i="18" s="1"/>
  <c r="B312" i="18"/>
  <c r="B311" i="18"/>
  <c r="B310" i="18"/>
  <c r="B309" i="18"/>
  <c r="B308" i="18"/>
  <c r="B307" i="18"/>
  <c r="B306" i="18"/>
  <c r="B305" i="18"/>
  <c r="B304" i="18"/>
  <c r="B303" i="18"/>
  <c r="B302" i="18"/>
  <c r="C301" i="18"/>
  <c r="B301" i="18"/>
  <c r="D301" i="18" s="1"/>
  <c r="B300" i="18"/>
  <c r="B299" i="18"/>
  <c r="B298" i="18"/>
  <c r="B297" i="18"/>
  <c r="B296" i="18"/>
  <c r="B295" i="18"/>
  <c r="C295" i="18" s="1"/>
  <c r="B294" i="18"/>
  <c r="B293" i="18"/>
  <c r="B292" i="18"/>
  <c r="B291" i="18"/>
  <c r="B290" i="18"/>
  <c r="B289" i="18"/>
  <c r="B288" i="18"/>
  <c r="B287" i="18"/>
  <c r="D299" i="18" s="1"/>
  <c r="B286" i="18"/>
  <c r="B285" i="18"/>
  <c r="B284" i="18"/>
  <c r="B283" i="18"/>
  <c r="D295" i="18" s="1"/>
  <c r="B282" i="18"/>
  <c r="B281" i="18"/>
  <c r="B280" i="18"/>
  <c r="B279" i="18"/>
  <c r="C279" i="18" s="1"/>
  <c r="B278" i="18"/>
  <c r="B277" i="18"/>
  <c r="B276" i="18"/>
  <c r="C277" i="18" s="1"/>
  <c r="B275" i="18"/>
  <c r="B274" i="18"/>
  <c r="B273" i="18"/>
  <c r="B272" i="18"/>
  <c r="B271" i="18"/>
  <c r="B270" i="18"/>
  <c r="D282" i="18" s="1"/>
  <c r="B269" i="18"/>
  <c r="B268" i="18"/>
  <c r="B267" i="18"/>
  <c r="B266" i="18"/>
  <c r="B265" i="18"/>
  <c r="D277" i="18" s="1"/>
  <c r="B264" i="18"/>
  <c r="C265" i="18" s="1"/>
  <c r="B263" i="18"/>
  <c r="B262" i="18"/>
  <c r="B261" i="18"/>
  <c r="B260" i="18"/>
  <c r="B259" i="18"/>
  <c r="B258" i="18"/>
  <c r="B257" i="18"/>
  <c r="C257" i="18" s="1"/>
  <c r="B256" i="18"/>
  <c r="B255" i="18"/>
  <c r="C255" i="18" s="1"/>
  <c r="B254" i="18"/>
  <c r="B253" i="18"/>
  <c r="B252" i="18"/>
  <c r="D252" i="18" s="1"/>
  <c r="B251" i="18"/>
  <c r="B250" i="18"/>
  <c r="B249" i="18"/>
  <c r="B248" i="18"/>
  <c r="D260" i="18" s="1"/>
  <c r="B247" i="18"/>
  <c r="B246" i="18"/>
  <c r="C247" i="18" s="1"/>
  <c r="B245" i="18"/>
  <c r="B244" i="18"/>
  <c r="D243" i="18"/>
  <c r="B243" i="18"/>
  <c r="B242" i="18"/>
  <c r="B241" i="18"/>
  <c r="B240" i="18"/>
  <c r="B239" i="18"/>
  <c r="B238" i="18"/>
  <c r="B237" i="18"/>
  <c r="B236" i="18"/>
  <c r="B235" i="18"/>
  <c r="B234" i="18"/>
  <c r="B233" i="18"/>
  <c r="B232" i="18"/>
  <c r="C232" i="18" s="1"/>
  <c r="B231" i="18"/>
  <c r="B230" i="18"/>
  <c r="C230" i="18" s="1"/>
  <c r="B229" i="18"/>
  <c r="B228" i="18"/>
  <c r="D240" i="18" s="1"/>
  <c r="B227" i="18"/>
  <c r="B226" i="18"/>
  <c r="D238" i="18" s="1"/>
  <c r="B225" i="18"/>
  <c r="B224" i="18"/>
  <c r="B223" i="18"/>
  <c r="B222" i="18"/>
  <c r="D234" i="18" s="1"/>
  <c r="B221" i="18"/>
  <c r="B220" i="18"/>
  <c r="C220" i="18" s="1"/>
  <c r="B219" i="18"/>
  <c r="B218" i="18"/>
  <c r="D230" i="18" s="1"/>
  <c r="B217" i="18"/>
  <c r="B216" i="18"/>
  <c r="B215" i="18"/>
  <c r="B214" i="18"/>
  <c r="B213" i="18"/>
  <c r="B212" i="18"/>
  <c r="B211" i="18"/>
  <c r="D211" i="18" s="1"/>
  <c r="B210" i="18"/>
  <c r="B209" i="18"/>
  <c r="B208" i="18"/>
  <c r="B207" i="18"/>
  <c r="B206" i="18"/>
  <c r="B205" i="18"/>
  <c r="B204" i="18"/>
  <c r="D204" i="18" s="1"/>
  <c r="B203" i="18"/>
  <c r="B202" i="18"/>
  <c r="B201" i="18"/>
  <c r="B200" i="18"/>
  <c r="C200" i="18" s="1"/>
  <c r="B199" i="18"/>
  <c r="B198" i="18"/>
  <c r="B197" i="18"/>
  <c r="B196" i="18"/>
  <c r="B195" i="18"/>
  <c r="B194" i="18"/>
  <c r="B193" i="18"/>
  <c r="B192" i="18"/>
  <c r="B191" i="18"/>
  <c r="B190" i="18"/>
  <c r="B189" i="18"/>
  <c r="B188" i="18"/>
  <c r="C188" i="18" s="1"/>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C116" i="18" s="1"/>
  <c r="B115" i="18"/>
  <c r="B114" i="18"/>
  <c r="B113" i="18"/>
  <c r="B112" i="18"/>
  <c r="B111" i="18"/>
  <c r="B110" i="18"/>
  <c r="B109" i="18"/>
  <c r="B108" i="18"/>
  <c r="B107" i="18"/>
  <c r="B106" i="18"/>
  <c r="B105" i="18"/>
  <c r="B104" i="18"/>
  <c r="C104" i="18" s="1"/>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D51" i="18" s="1"/>
  <c r="B50" i="18"/>
  <c r="B49" i="18"/>
  <c r="B48" i="18"/>
  <c r="B47" i="18"/>
  <c r="C48" i="18" s="1"/>
  <c r="B46" i="18"/>
  <c r="B45" i="18"/>
  <c r="C45" i="18" s="1"/>
  <c r="B44" i="18"/>
  <c r="B43" i="18"/>
  <c r="D42" i="18"/>
  <c r="B42" i="18"/>
  <c r="B41" i="18"/>
  <c r="B40" i="18"/>
  <c r="C40" i="18" s="1"/>
  <c r="B39" i="18"/>
  <c r="B38" i="18"/>
  <c r="B37" i="18"/>
  <c r="B36" i="18"/>
  <c r="B35" i="18"/>
  <c r="B34" i="18"/>
  <c r="B33" i="18"/>
  <c r="B32" i="18"/>
  <c r="B31" i="18"/>
  <c r="B30" i="18"/>
  <c r="B29" i="18"/>
  <c r="D29" i="18" s="1"/>
  <c r="B28" i="18"/>
  <c r="B27" i="18"/>
  <c r="D39" i="18" s="1"/>
  <c r="B26" i="18"/>
  <c r="B25" i="18"/>
  <c r="B24" i="18"/>
  <c r="D24" i="18" s="1"/>
  <c r="B23" i="18"/>
  <c r="B22" i="18"/>
  <c r="C21" i="18"/>
  <c r="B21" i="18"/>
  <c r="B20" i="18"/>
  <c r="B19" i="18"/>
  <c r="B18" i="18"/>
  <c r="C18" i="18" s="1"/>
  <c r="B17" i="18"/>
  <c r="B16" i="18"/>
  <c r="B15" i="18"/>
  <c r="B14" i="18"/>
  <c r="B13" i="18"/>
  <c r="B12" i="18"/>
  <c r="B11" i="18"/>
  <c r="B10" i="18"/>
  <c r="C11" i="18" s="1"/>
  <c r="B9" i="18"/>
  <c r="C9" i="18" s="1"/>
  <c r="B8" i="18"/>
  <c r="B7" i="18"/>
  <c r="B378" i="17"/>
  <c r="D378" i="17" s="1"/>
  <c r="B377" i="17"/>
  <c r="B376" i="17"/>
  <c r="C376" i="17" s="1"/>
  <c r="AA66" i="4" s="1"/>
  <c r="B375" i="17"/>
  <c r="B374" i="17"/>
  <c r="C374" i="17" s="1"/>
  <c r="AA64" i="4" s="1"/>
  <c r="B373" i="17"/>
  <c r="B372" i="17"/>
  <c r="D372" i="17" s="1"/>
  <c r="AB62" i="4" s="1"/>
  <c r="B371" i="17"/>
  <c r="B370" i="17"/>
  <c r="D370" i="17" s="1"/>
  <c r="AB60" i="4" s="1"/>
  <c r="B369" i="17"/>
  <c r="D369" i="17" s="1"/>
  <c r="AB59" i="4" s="1"/>
  <c r="B368" i="17"/>
  <c r="B367" i="17"/>
  <c r="D367" i="17" s="1"/>
  <c r="B366" i="17"/>
  <c r="B365" i="17"/>
  <c r="B364" i="17"/>
  <c r="B363" i="17"/>
  <c r="C363" i="17" s="1"/>
  <c r="AA53" i="4" s="1"/>
  <c r="D362" i="17"/>
  <c r="B362" i="17"/>
  <c r="B361" i="17"/>
  <c r="B360" i="17"/>
  <c r="C359" i="17"/>
  <c r="AA49" i="4" s="1"/>
  <c r="B359" i="17"/>
  <c r="D359" i="17" s="1"/>
  <c r="AB49" i="4" s="1"/>
  <c r="B358" i="17"/>
  <c r="D358" i="17" s="1"/>
  <c r="B357" i="17"/>
  <c r="B356" i="17"/>
  <c r="B355" i="17"/>
  <c r="C355" i="17" s="1"/>
  <c r="B354" i="17"/>
  <c r="B353" i="17"/>
  <c r="B352" i="17"/>
  <c r="B351" i="17"/>
  <c r="D363" i="17" s="1"/>
  <c r="AB53" i="4" s="1"/>
  <c r="C350" i="17"/>
  <c r="B350" i="17"/>
  <c r="B349" i="17"/>
  <c r="D349" i="17" s="1"/>
  <c r="AB39" i="4" s="1"/>
  <c r="B348" i="17"/>
  <c r="B347" i="17"/>
  <c r="B346" i="17"/>
  <c r="B345" i="17"/>
  <c r="C345" i="17" s="1"/>
  <c r="B344" i="17"/>
  <c r="D356" i="17" s="1"/>
  <c r="AB46" i="4" s="1"/>
  <c r="D343" i="17"/>
  <c r="C343" i="17"/>
  <c r="B343" i="17"/>
  <c r="C344" i="17" s="1"/>
  <c r="B342" i="17"/>
  <c r="B341" i="17"/>
  <c r="B340" i="17"/>
  <c r="D340" i="17" s="1"/>
  <c r="AB30" i="4" s="1"/>
  <c r="B339" i="17"/>
  <c r="B338" i="17"/>
  <c r="D350" i="17" s="1"/>
  <c r="B337" i="17"/>
  <c r="C337" i="17" s="1"/>
  <c r="B336" i="17"/>
  <c r="B335" i="17"/>
  <c r="D347" i="17" s="1"/>
  <c r="AB37" i="4" s="1"/>
  <c r="B334" i="17"/>
  <c r="D346" i="17" s="1"/>
  <c r="AB36" i="4" s="1"/>
  <c r="B333" i="17"/>
  <c r="C333" i="17" s="1"/>
  <c r="B332" i="17"/>
  <c r="B331" i="17"/>
  <c r="B330" i="17"/>
  <c r="B329" i="17"/>
  <c r="C329" i="17" s="1"/>
  <c r="B328" i="17"/>
  <c r="D328" i="17" s="1"/>
  <c r="AB18" i="4" s="1"/>
  <c r="D327" i="17"/>
  <c r="AB17" i="4" s="1"/>
  <c r="B327" i="17"/>
  <c r="C328" i="17" s="1"/>
  <c r="AA18" i="4" s="1"/>
  <c r="B326" i="17"/>
  <c r="B325" i="17"/>
  <c r="B324" i="17"/>
  <c r="D324" i="17" s="1"/>
  <c r="AB14" i="4" s="1"/>
  <c r="B323" i="17"/>
  <c r="B322" i="17"/>
  <c r="D334" i="17" s="1"/>
  <c r="B321" i="17"/>
  <c r="D321" i="17" s="1"/>
  <c r="AB11" i="4" s="1"/>
  <c r="B320" i="17"/>
  <c r="B319" i="17"/>
  <c r="B318" i="17"/>
  <c r="D318" i="17" s="1"/>
  <c r="B317" i="17"/>
  <c r="B316" i="17"/>
  <c r="B315" i="17"/>
  <c r="B314" i="17"/>
  <c r="C315" i="17" s="1"/>
  <c r="AA5" i="4" s="1"/>
  <c r="B313" i="17"/>
  <c r="B312" i="17"/>
  <c r="B311" i="17"/>
  <c r="C312" i="17" s="1"/>
  <c r="C310" i="17"/>
  <c r="B310" i="17"/>
  <c r="B309" i="17"/>
  <c r="B308" i="17"/>
  <c r="D308" i="17" s="1"/>
  <c r="B307" i="17"/>
  <c r="D307" i="17" s="1"/>
  <c r="B306" i="17"/>
  <c r="B305" i="17"/>
  <c r="B304" i="17"/>
  <c r="B303" i="17"/>
  <c r="B302" i="17"/>
  <c r="D302" i="17" s="1"/>
  <c r="B301" i="17"/>
  <c r="D301" i="17" s="1"/>
  <c r="B300" i="17"/>
  <c r="D312" i="17" s="1"/>
  <c r="B299" i="17"/>
  <c r="D298" i="17"/>
  <c r="B298" i="17"/>
  <c r="C299" i="17" s="1"/>
  <c r="B297" i="17"/>
  <c r="B296" i="17"/>
  <c r="D296" i="17" s="1"/>
  <c r="B295" i="17"/>
  <c r="B294" i="17"/>
  <c r="B293" i="17"/>
  <c r="B292" i="17"/>
  <c r="D292" i="17" s="1"/>
  <c r="B291" i="17"/>
  <c r="B290" i="17"/>
  <c r="B289" i="17"/>
  <c r="C289" i="17" s="1"/>
  <c r="B288" i="17"/>
  <c r="D288" i="17" s="1"/>
  <c r="B287" i="17"/>
  <c r="D299" i="17" s="1"/>
  <c r="B286" i="17"/>
  <c r="B285" i="17"/>
  <c r="B284" i="17"/>
  <c r="B283" i="17"/>
  <c r="B282" i="17"/>
  <c r="C283" i="17" s="1"/>
  <c r="B281" i="17"/>
  <c r="B280" i="17"/>
  <c r="C280" i="17" s="1"/>
  <c r="B279" i="17"/>
  <c r="C279" i="17" s="1"/>
  <c r="B278" i="17"/>
  <c r="B277" i="17"/>
  <c r="B276" i="17"/>
  <c r="D276" i="17" s="1"/>
  <c r="B275" i="17"/>
  <c r="D275" i="17" s="1"/>
  <c r="B274" i="17"/>
  <c r="D286" i="17" s="1"/>
  <c r="B273" i="17"/>
  <c r="D273" i="17" s="1"/>
  <c r="B272" i="17"/>
  <c r="B271" i="17"/>
  <c r="B270" i="17"/>
  <c r="B269" i="17"/>
  <c r="B268" i="17"/>
  <c r="B267" i="17"/>
  <c r="B266" i="17"/>
  <c r="B265" i="17"/>
  <c r="B264" i="17"/>
  <c r="D264" i="17" s="1"/>
  <c r="D263" i="17"/>
  <c r="C263" i="17"/>
  <c r="B263" i="17"/>
  <c r="B262" i="17"/>
  <c r="B261" i="17"/>
  <c r="B260" i="17"/>
  <c r="D260" i="17" s="1"/>
  <c r="B259" i="17"/>
  <c r="B258" i="17"/>
  <c r="B257" i="17"/>
  <c r="B256" i="17"/>
  <c r="B255" i="17"/>
  <c r="B254" i="17"/>
  <c r="C254" i="17" s="1"/>
  <c r="B253" i="17"/>
  <c r="B252" i="17"/>
  <c r="B251" i="17"/>
  <c r="B250" i="17"/>
  <c r="C251" i="17" s="1"/>
  <c r="B249" i="17"/>
  <c r="B248" i="17"/>
  <c r="B247" i="17"/>
  <c r="C248" i="17" s="1"/>
  <c r="B246" i="17"/>
  <c r="B245" i="17"/>
  <c r="B244" i="17"/>
  <c r="B243" i="17"/>
  <c r="B242" i="17"/>
  <c r="B241" i="17"/>
  <c r="B240" i="17"/>
  <c r="B239" i="17"/>
  <c r="D251" i="17" s="1"/>
  <c r="B238" i="17"/>
  <c r="D238" i="17" s="1"/>
  <c r="B237" i="17"/>
  <c r="B236" i="17"/>
  <c r="C236" i="17" s="1"/>
  <c r="B235" i="17"/>
  <c r="B234" i="17"/>
  <c r="C235" i="17" s="1"/>
  <c r="B233" i="17"/>
  <c r="D245" i="17" s="1"/>
  <c r="B232" i="17"/>
  <c r="D244" i="17" s="1"/>
  <c r="B231" i="17"/>
  <c r="D231" i="17" s="1"/>
  <c r="B230" i="17"/>
  <c r="D230" i="17" s="1"/>
  <c r="B229" i="17"/>
  <c r="B228" i="17"/>
  <c r="D228" i="17" s="1"/>
  <c r="B227" i="17"/>
  <c r="C227" i="17" s="1"/>
  <c r="B226" i="17"/>
  <c r="B225" i="17"/>
  <c r="B224" i="17"/>
  <c r="D224" i="17" s="1"/>
  <c r="B223" i="17"/>
  <c r="B222" i="17"/>
  <c r="D222" i="17" s="1"/>
  <c r="B221" i="17"/>
  <c r="B220" i="17"/>
  <c r="C220" i="17" s="1"/>
  <c r="C219" i="17"/>
  <c r="B219" i="17"/>
  <c r="B218" i="17"/>
  <c r="B217" i="17"/>
  <c r="C216" i="17"/>
  <c r="B216" i="17"/>
  <c r="D215" i="17"/>
  <c r="B215" i="17"/>
  <c r="C215" i="17" s="1"/>
  <c r="C214" i="17"/>
  <c r="B214" i="17"/>
  <c r="B213" i="17"/>
  <c r="B212" i="17"/>
  <c r="B211" i="17"/>
  <c r="D211" i="17" s="1"/>
  <c r="B210" i="17"/>
  <c r="B209" i="17"/>
  <c r="C209" i="17" s="1"/>
  <c r="B208" i="17"/>
  <c r="B207" i="17"/>
  <c r="C207" i="17" s="1"/>
  <c r="B206" i="17"/>
  <c r="D206" i="17" s="1"/>
  <c r="B205" i="17"/>
  <c r="B204" i="17"/>
  <c r="D216" i="17" s="1"/>
  <c r="B203" i="17"/>
  <c r="C202" i="17"/>
  <c r="B202" i="17"/>
  <c r="B201" i="17"/>
  <c r="B200" i="17"/>
  <c r="D212" i="17" s="1"/>
  <c r="B199" i="17"/>
  <c r="B198" i="17"/>
  <c r="D198" i="17" s="1"/>
  <c r="B197" i="17"/>
  <c r="B196" i="17"/>
  <c r="B195" i="17"/>
  <c r="B194" i="17"/>
  <c r="B193" i="17"/>
  <c r="C193" i="17" s="1"/>
  <c r="B192" i="17"/>
  <c r="B191" i="17"/>
  <c r="B190" i="17"/>
  <c r="D202" i="17" s="1"/>
  <c r="B189" i="17"/>
  <c r="D189" i="17" s="1"/>
  <c r="B188" i="17"/>
  <c r="B187" i="17"/>
  <c r="B186" i="17"/>
  <c r="B185" i="17"/>
  <c r="B184" i="17"/>
  <c r="B183" i="17"/>
  <c r="C183" i="17" s="1"/>
  <c r="B182" i="17"/>
  <c r="D194" i="17" s="1"/>
  <c r="B181" i="17"/>
  <c r="C181" i="17" s="1"/>
  <c r="B180" i="17"/>
  <c r="C180" i="17" s="1"/>
  <c r="B179" i="17"/>
  <c r="B178" i="17"/>
  <c r="B177" i="17"/>
  <c r="D177" i="17" s="1"/>
  <c r="C176" i="17"/>
  <c r="B176" i="17"/>
  <c r="D176" i="17" s="1"/>
  <c r="B175" i="17"/>
  <c r="B174" i="17"/>
  <c r="B173" i="17"/>
  <c r="D172" i="17"/>
  <c r="B172" i="17"/>
  <c r="D184" i="17" s="1"/>
  <c r="B171" i="17"/>
  <c r="B170" i="17"/>
  <c r="C170" i="17" s="1"/>
  <c r="D169" i="17"/>
  <c r="B169" i="17"/>
  <c r="B168" i="17"/>
  <c r="B167" i="17"/>
  <c r="C167" i="17" s="1"/>
  <c r="B166" i="17"/>
  <c r="C166" i="17" s="1"/>
  <c r="B165" i="17"/>
  <c r="C165" i="17" s="1"/>
  <c r="B164" i="17"/>
  <c r="B163" i="17"/>
  <c r="D175" i="17" s="1"/>
  <c r="B162" i="17"/>
  <c r="B161" i="17"/>
  <c r="B160" i="17"/>
  <c r="C160" i="17" s="1"/>
  <c r="B159" i="17"/>
  <c r="D171" i="17" s="1"/>
  <c r="B158" i="17"/>
  <c r="D158" i="17" s="1"/>
  <c r="B157" i="17"/>
  <c r="B156" i="17"/>
  <c r="B155" i="17"/>
  <c r="D155" i="17" s="1"/>
  <c r="B154" i="17"/>
  <c r="B153" i="17"/>
  <c r="B152" i="17"/>
  <c r="D152" i="17" s="1"/>
  <c r="B151" i="17"/>
  <c r="D150" i="17"/>
  <c r="B150" i="17"/>
  <c r="C150" i="17" s="1"/>
  <c r="B149" i="17"/>
  <c r="B148" i="17"/>
  <c r="C148" i="17" s="1"/>
  <c r="B147" i="17"/>
  <c r="B146" i="17"/>
  <c r="C146" i="17" s="1"/>
  <c r="B145" i="17"/>
  <c r="C145" i="17" s="1"/>
  <c r="B144" i="17"/>
  <c r="B143" i="17"/>
  <c r="C144" i="17" s="1"/>
  <c r="B142" i="17"/>
  <c r="D142" i="17" s="1"/>
  <c r="B141" i="17"/>
  <c r="B140" i="17"/>
  <c r="B139" i="17"/>
  <c r="D138" i="17"/>
  <c r="B138" i="17"/>
  <c r="C138" i="17" s="1"/>
  <c r="B137" i="17"/>
  <c r="C137" i="17" s="1"/>
  <c r="C136" i="17"/>
  <c r="B136" i="17"/>
  <c r="B135" i="17"/>
  <c r="B134" i="17"/>
  <c r="B133" i="17"/>
  <c r="B132" i="17"/>
  <c r="D144" i="17" s="1"/>
  <c r="C131" i="17"/>
  <c r="B131" i="17"/>
  <c r="B130" i="17"/>
  <c r="B129" i="17"/>
  <c r="D141" i="17" s="1"/>
  <c r="B128" i="17"/>
  <c r="B127" i="17"/>
  <c r="C127" i="17" s="1"/>
  <c r="C126" i="17"/>
  <c r="B126" i="17"/>
  <c r="B125" i="17"/>
  <c r="B124" i="17"/>
  <c r="D123" i="17"/>
  <c r="B123" i="17"/>
  <c r="B122" i="17"/>
  <c r="C122" i="17" s="1"/>
  <c r="B121" i="17"/>
  <c r="B120" i="17"/>
  <c r="B119" i="17"/>
  <c r="C119" i="17" s="1"/>
  <c r="B118" i="17"/>
  <c r="D130" i="17" s="1"/>
  <c r="B117" i="17"/>
  <c r="C117" i="17" s="1"/>
  <c r="B116" i="17"/>
  <c r="D116" i="17" s="1"/>
  <c r="B115" i="17"/>
  <c r="D127" i="17" s="1"/>
  <c r="B114" i="17"/>
  <c r="C114" i="17" s="1"/>
  <c r="B113" i="17"/>
  <c r="B112" i="17"/>
  <c r="B111" i="17"/>
  <c r="B110" i="17"/>
  <c r="B109" i="17"/>
  <c r="C109" i="17" s="1"/>
  <c r="B108" i="17"/>
  <c r="B107" i="17"/>
  <c r="B106" i="17"/>
  <c r="C107" i="17" s="1"/>
  <c r="B105" i="17"/>
  <c r="B104" i="17"/>
  <c r="D104" i="17" s="1"/>
  <c r="B103" i="17"/>
  <c r="D103" i="17" s="1"/>
  <c r="B102" i="17"/>
  <c r="B101" i="17"/>
  <c r="B100" i="17"/>
  <c r="B99" i="17"/>
  <c r="B98" i="17"/>
  <c r="C98" i="17" s="1"/>
  <c r="B97" i="17"/>
  <c r="B96" i="17"/>
  <c r="C97" i="17" s="1"/>
  <c r="B95" i="17"/>
  <c r="B94" i="17"/>
  <c r="B93" i="17"/>
  <c r="C93" i="17" s="1"/>
  <c r="D92" i="17"/>
  <c r="B92" i="17"/>
  <c r="B91" i="17"/>
  <c r="B90" i="17"/>
  <c r="C90" i="17" s="1"/>
  <c r="B89" i="17"/>
  <c r="B88" i="17"/>
  <c r="B87" i="17"/>
  <c r="B86" i="17"/>
  <c r="C85" i="17"/>
  <c r="B85" i="17"/>
  <c r="D85" i="17" s="1"/>
  <c r="B84" i="17"/>
  <c r="D96" i="17" s="1"/>
  <c r="C83" i="17"/>
  <c r="B83" i="17"/>
  <c r="B82" i="17"/>
  <c r="B81" i="17"/>
  <c r="D80" i="17"/>
  <c r="C80" i="17"/>
  <c r="B80" i="17"/>
  <c r="C79" i="17"/>
  <c r="B79" i="17"/>
  <c r="D79" i="17" s="1"/>
  <c r="D78" i="17"/>
  <c r="B78" i="17"/>
  <c r="B77" i="17"/>
  <c r="C76" i="17"/>
  <c r="B76" i="17"/>
  <c r="B75" i="17"/>
  <c r="B74" i="17"/>
  <c r="C74" i="17" s="1"/>
  <c r="B73" i="17"/>
  <c r="B72" i="17"/>
  <c r="C73" i="17" s="1"/>
  <c r="D71" i="17"/>
  <c r="C71" i="17"/>
  <c r="B71" i="17"/>
  <c r="B70" i="17"/>
  <c r="B69" i="17"/>
  <c r="D69" i="17" s="1"/>
  <c r="B68" i="17"/>
  <c r="B67" i="17"/>
  <c r="C66" i="17"/>
  <c r="B66" i="17"/>
  <c r="B65" i="17"/>
  <c r="B64" i="17"/>
  <c r="B63" i="17"/>
  <c r="C64" i="17" s="1"/>
  <c r="C62" i="17"/>
  <c r="B62" i="17"/>
  <c r="B61" i="17"/>
  <c r="B60" i="17"/>
  <c r="B59" i="17"/>
  <c r="B58" i="17"/>
  <c r="B57" i="17"/>
  <c r="B56" i="17"/>
  <c r="C56" i="17" s="1"/>
  <c r="B55" i="17"/>
  <c r="B54" i="17"/>
  <c r="D66" i="17" s="1"/>
  <c r="B53" i="17"/>
  <c r="B52" i="17"/>
  <c r="D64" i="17" s="1"/>
  <c r="D51" i="17"/>
  <c r="B51" i="17"/>
  <c r="B50" i="17"/>
  <c r="C51" i="17" s="1"/>
  <c r="C49" i="17"/>
  <c r="B49" i="17"/>
  <c r="B48" i="17"/>
  <c r="B47" i="17"/>
  <c r="B46" i="17"/>
  <c r="C47" i="17" s="1"/>
  <c r="B45" i="17"/>
  <c r="B44" i="17"/>
  <c r="B43" i="17"/>
  <c r="B42" i="17"/>
  <c r="D42" i="17" s="1"/>
  <c r="B41" i="17"/>
  <c r="B40" i="17"/>
  <c r="B39" i="17"/>
  <c r="B38" i="17"/>
  <c r="D50" i="17" s="1"/>
  <c r="B37" i="17"/>
  <c r="D37" i="17" s="1"/>
  <c r="B36" i="17"/>
  <c r="D48" i="17" s="1"/>
  <c r="D35" i="17"/>
  <c r="B35" i="17"/>
  <c r="C35" i="17" s="1"/>
  <c r="B34" i="17"/>
  <c r="B33" i="17"/>
  <c r="B32" i="17"/>
  <c r="B31" i="17"/>
  <c r="D31" i="17" s="1"/>
  <c r="B30" i="17"/>
  <c r="D30" i="17" s="1"/>
  <c r="B29" i="17"/>
  <c r="B28" i="17"/>
  <c r="D27" i="17"/>
  <c r="B27" i="17"/>
  <c r="B26" i="17"/>
  <c r="B25" i="17"/>
  <c r="D25" i="17" s="1"/>
  <c r="B24" i="17"/>
  <c r="B23" i="17"/>
  <c r="C23" i="17" s="1"/>
  <c r="B22" i="17"/>
  <c r="D34" i="17" s="1"/>
  <c r="D21" i="17"/>
  <c r="B21" i="17"/>
  <c r="B20" i="17"/>
  <c r="C19" i="17"/>
  <c r="B19" i="17"/>
  <c r="B18" i="17"/>
  <c r="C18" i="17" s="1"/>
  <c r="B17" i="17"/>
  <c r="C17" i="17" s="1"/>
  <c r="B16" i="17"/>
  <c r="B15" i="17"/>
  <c r="C16" i="17" s="1"/>
  <c r="B14" i="17"/>
  <c r="C13" i="17"/>
  <c r="B13" i="17"/>
  <c r="B12" i="17"/>
  <c r="C12" i="17" s="1"/>
  <c r="C11" i="17"/>
  <c r="B11" i="17"/>
  <c r="B10" i="17"/>
  <c r="C10" i="17" s="1"/>
  <c r="B9" i="17"/>
  <c r="B8" i="17"/>
  <c r="B7" i="17"/>
  <c r="B378" i="16"/>
  <c r="C378" i="16" s="1"/>
  <c r="U68" i="4" s="1"/>
  <c r="B377" i="16"/>
  <c r="D377" i="16" s="1"/>
  <c r="V67" i="4" s="1"/>
  <c r="B376" i="16"/>
  <c r="B375" i="16"/>
  <c r="B374" i="16"/>
  <c r="B373" i="16"/>
  <c r="D373" i="16" s="1"/>
  <c r="V63" i="4" s="1"/>
  <c r="B372" i="16"/>
  <c r="B371" i="16"/>
  <c r="B370" i="16"/>
  <c r="B369" i="16"/>
  <c r="B368" i="16"/>
  <c r="B367" i="16"/>
  <c r="B366" i="16"/>
  <c r="C366" i="16" s="1"/>
  <c r="U56" i="4" s="1"/>
  <c r="B365" i="16"/>
  <c r="B364" i="16"/>
  <c r="D376" i="16" s="1"/>
  <c r="B363" i="16"/>
  <c r="C363" i="16" s="1"/>
  <c r="U53" i="4" s="1"/>
  <c r="B362" i="16"/>
  <c r="C362" i="16" s="1"/>
  <c r="U52" i="4" s="1"/>
  <c r="C361" i="16"/>
  <c r="B361" i="16"/>
  <c r="B360" i="16"/>
  <c r="B359" i="16"/>
  <c r="C360" i="16" s="1"/>
  <c r="B358" i="16"/>
  <c r="B357" i="16"/>
  <c r="D357" i="16" s="1"/>
  <c r="V47" i="4" s="1"/>
  <c r="B356" i="16"/>
  <c r="B355" i="16"/>
  <c r="D355" i="16" s="1"/>
  <c r="V45" i="4" s="1"/>
  <c r="B354" i="16"/>
  <c r="B353" i="16"/>
  <c r="B352" i="16"/>
  <c r="D352" i="16" s="1"/>
  <c r="B351" i="16"/>
  <c r="D351" i="16" s="1"/>
  <c r="V41" i="4" s="1"/>
  <c r="B350" i="16"/>
  <c r="C351" i="16" s="1"/>
  <c r="U41" i="4" s="1"/>
  <c r="B349" i="16"/>
  <c r="B348" i="16"/>
  <c r="B347" i="16"/>
  <c r="B346" i="16"/>
  <c r="C346" i="16" s="1"/>
  <c r="U36" i="4" s="1"/>
  <c r="C345" i="16"/>
  <c r="U35" i="4" s="1"/>
  <c r="B345" i="16"/>
  <c r="B344" i="16"/>
  <c r="B343" i="16"/>
  <c r="B342" i="16"/>
  <c r="B341" i="16"/>
  <c r="D341" i="16" s="1"/>
  <c r="V31" i="4" s="1"/>
  <c r="B340" i="16"/>
  <c r="B339" i="16"/>
  <c r="D339" i="16" s="1"/>
  <c r="V29" i="4" s="1"/>
  <c r="B338" i="16"/>
  <c r="B337" i="16"/>
  <c r="B336" i="16"/>
  <c r="B335" i="16"/>
  <c r="D335" i="16" s="1"/>
  <c r="V25" i="4" s="1"/>
  <c r="B334" i="16"/>
  <c r="C334" i="16" s="1"/>
  <c r="U24" i="4" s="1"/>
  <c r="B333" i="16"/>
  <c r="B332" i="16"/>
  <c r="B331" i="16"/>
  <c r="B330" i="16"/>
  <c r="C330" i="16" s="1"/>
  <c r="U20" i="4" s="1"/>
  <c r="C329" i="16"/>
  <c r="U19" i="4" s="1"/>
  <c r="B329" i="16"/>
  <c r="B328" i="16"/>
  <c r="B327" i="16"/>
  <c r="D327" i="16" s="1"/>
  <c r="B326" i="16"/>
  <c r="B325" i="16"/>
  <c r="D325" i="16" s="1"/>
  <c r="V15" i="4" s="1"/>
  <c r="B324" i="16"/>
  <c r="B323" i="16"/>
  <c r="D323" i="16" s="1"/>
  <c r="V13" i="4" s="1"/>
  <c r="B322" i="16"/>
  <c r="B321" i="16"/>
  <c r="B320" i="16"/>
  <c r="B319" i="16"/>
  <c r="D319" i="16" s="1"/>
  <c r="V9" i="4" s="1"/>
  <c r="B318" i="16"/>
  <c r="C318" i="16" s="1"/>
  <c r="U8" i="4" s="1"/>
  <c r="B317" i="16"/>
  <c r="B316" i="16"/>
  <c r="B315" i="16"/>
  <c r="B314" i="16"/>
  <c r="C314" i="16" s="1"/>
  <c r="U4" i="4" s="1"/>
  <c r="C313" i="16"/>
  <c r="B313" i="16"/>
  <c r="B312" i="16"/>
  <c r="B311" i="16"/>
  <c r="B310" i="16"/>
  <c r="D309" i="16"/>
  <c r="C309" i="16"/>
  <c r="B309" i="16"/>
  <c r="B308" i="16"/>
  <c r="B307" i="16"/>
  <c r="D307" i="16" s="1"/>
  <c r="B306" i="16"/>
  <c r="B305" i="16"/>
  <c r="B304" i="16"/>
  <c r="B303" i="16"/>
  <c r="B302" i="16"/>
  <c r="C303" i="16" s="1"/>
  <c r="B301" i="16"/>
  <c r="D301" i="16" s="1"/>
  <c r="B300" i="16"/>
  <c r="B299" i="16"/>
  <c r="D299" i="16" s="1"/>
  <c r="C298" i="16"/>
  <c r="B298" i="16"/>
  <c r="B297" i="16"/>
  <c r="D297" i="16" s="1"/>
  <c r="B296" i="16"/>
  <c r="B295" i="16"/>
  <c r="B294" i="16"/>
  <c r="D293" i="16"/>
  <c r="C293" i="16"/>
  <c r="B293" i="16"/>
  <c r="B292" i="16"/>
  <c r="B291" i="16"/>
  <c r="D291" i="16" s="1"/>
  <c r="B290" i="16"/>
  <c r="B289" i="16"/>
  <c r="B288" i="16"/>
  <c r="B287" i="16"/>
  <c r="D287" i="16" s="1"/>
  <c r="C286" i="16"/>
  <c r="B286" i="16"/>
  <c r="B285" i="16"/>
  <c r="B284" i="16"/>
  <c r="B283" i="16"/>
  <c r="D283" i="16" s="1"/>
  <c r="C282" i="16"/>
  <c r="B282" i="16"/>
  <c r="B281" i="16"/>
  <c r="D281" i="16" s="1"/>
  <c r="B280" i="16"/>
  <c r="B279" i="16"/>
  <c r="B278" i="16"/>
  <c r="D277" i="16"/>
  <c r="B277" i="16"/>
  <c r="C277" i="16" s="1"/>
  <c r="B276" i="16"/>
  <c r="B275" i="16"/>
  <c r="D275" i="16" s="1"/>
  <c r="B274" i="16"/>
  <c r="B273" i="16"/>
  <c r="B272" i="16"/>
  <c r="B271" i="16"/>
  <c r="D271" i="16" s="1"/>
  <c r="C270" i="16"/>
  <c r="B270" i="16"/>
  <c r="B269" i="16"/>
  <c r="B268" i="16"/>
  <c r="B267" i="16"/>
  <c r="D267" i="16" s="1"/>
  <c r="C266" i="16"/>
  <c r="B266" i="16"/>
  <c r="B265" i="16"/>
  <c r="D265" i="16" s="1"/>
  <c r="B264" i="16"/>
  <c r="B263" i="16"/>
  <c r="B262" i="16"/>
  <c r="D261" i="16"/>
  <c r="B261" i="16"/>
  <c r="C261" i="16" s="1"/>
  <c r="B260" i="16"/>
  <c r="B259" i="16"/>
  <c r="D259" i="16" s="1"/>
  <c r="B258" i="16"/>
  <c r="B257" i="16"/>
  <c r="B256" i="16"/>
  <c r="B255" i="16"/>
  <c r="D255" i="16" s="1"/>
  <c r="B254" i="16"/>
  <c r="B253" i="16"/>
  <c r="B252" i="16"/>
  <c r="B251" i="16"/>
  <c r="B250" i="16"/>
  <c r="C250" i="16" s="1"/>
  <c r="C249" i="16"/>
  <c r="B249" i="16"/>
  <c r="B248" i="16"/>
  <c r="B247" i="16"/>
  <c r="B246" i="16"/>
  <c r="C245" i="16"/>
  <c r="B245" i="16"/>
  <c r="B244" i="16"/>
  <c r="B243" i="16"/>
  <c r="D243" i="16" s="1"/>
  <c r="B242" i="16"/>
  <c r="B241" i="16"/>
  <c r="B240" i="16"/>
  <c r="D239" i="16"/>
  <c r="B239" i="16"/>
  <c r="C239" i="16" s="1"/>
  <c r="B238" i="16"/>
  <c r="B237" i="16"/>
  <c r="B236" i="16"/>
  <c r="B235" i="16"/>
  <c r="B234" i="16"/>
  <c r="C234" i="16" s="1"/>
  <c r="B233" i="16"/>
  <c r="C233" i="16" s="1"/>
  <c r="B232" i="16"/>
  <c r="B231" i="16"/>
  <c r="B230" i="16"/>
  <c r="B229" i="16"/>
  <c r="D229" i="16" s="1"/>
  <c r="B228" i="16"/>
  <c r="B227" i="16"/>
  <c r="D227" i="16" s="1"/>
  <c r="B226" i="16"/>
  <c r="B225" i="16"/>
  <c r="B224" i="16"/>
  <c r="B223" i="16"/>
  <c r="C223" i="16" s="1"/>
  <c r="B222" i="16"/>
  <c r="B221" i="16"/>
  <c r="D221" i="16" s="1"/>
  <c r="B220" i="16"/>
  <c r="B219" i="16"/>
  <c r="B218" i="16"/>
  <c r="C218" i="16" s="1"/>
  <c r="B217" i="16"/>
  <c r="B216" i="16"/>
  <c r="B215" i="16"/>
  <c r="D215" i="16" s="1"/>
  <c r="B214" i="16"/>
  <c r="C213" i="16"/>
  <c r="B213" i="16"/>
  <c r="D213" i="16" s="1"/>
  <c r="B212" i="16"/>
  <c r="B211" i="16"/>
  <c r="D223" i="16" s="1"/>
  <c r="B210" i="16"/>
  <c r="B209" i="16"/>
  <c r="B208" i="16"/>
  <c r="D207" i="16"/>
  <c r="C207" i="16"/>
  <c r="B207" i="16"/>
  <c r="B206" i="16"/>
  <c r="B205" i="16"/>
  <c r="B204" i="16"/>
  <c r="B203" i="16"/>
  <c r="D203" i="16" s="1"/>
  <c r="C202" i="16"/>
  <c r="B202" i="16"/>
  <c r="B201" i="16"/>
  <c r="C201" i="16" s="1"/>
  <c r="B200" i="16"/>
  <c r="B199" i="16"/>
  <c r="D199" i="16" s="1"/>
  <c r="C198" i="16"/>
  <c r="B198" i="16"/>
  <c r="B197" i="16"/>
  <c r="C197" i="16" s="1"/>
  <c r="B196" i="16"/>
  <c r="B195" i="16"/>
  <c r="D195" i="16" s="1"/>
  <c r="B194" i="16"/>
  <c r="D194" i="16" s="1"/>
  <c r="B193" i="16"/>
  <c r="B192" i="16"/>
  <c r="D191" i="16"/>
  <c r="C191" i="16"/>
  <c r="B191" i="16"/>
  <c r="B190" i="16"/>
  <c r="D190" i="16" s="1"/>
  <c r="B189" i="16"/>
  <c r="B188" i="16"/>
  <c r="B187" i="16"/>
  <c r="B186" i="16"/>
  <c r="D186" i="16" s="1"/>
  <c r="B185" i="16"/>
  <c r="B184" i="16"/>
  <c r="C184" i="16" s="1"/>
  <c r="B183" i="16"/>
  <c r="D182" i="16"/>
  <c r="C182" i="16"/>
  <c r="B182" i="16"/>
  <c r="B181" i="16"/>
  <c r="D181" i="16" s="1"/>
  <c r="B180" i="16"/>
  <c r="B179" i="16"/>
  <c r="C179" i="16" s="1"/>
  <c r="B178" i="16"/>
  <c r="D178" i="16" s="1"/>
  <c r="B177" i="16"/>
  <c r="D177" i="16" s="1"/>
  <c r="B176" i="16"/>
  <c r="D188" i="16" s="1"/>
  <c r="C175" i="16"/>
  <c r="B175" i="16"/>
  <c r="B174" i="16"/>
  <c r="C174" i="16" s="1"/>
  <c r="B173" i="16"/>
  <c r="B172" i="16"/>
  <c r="D172" i="16" s="1"/>
  <c r="D171" i="16"/>
  <c r="B171" i="16"/>
  <c r="D183" i="16" s="1"/>
  <c r="B170" i="16"/>
  <c r="D169" i="16"/>
  <c r="C169" i="16"/>
  <c r="B169" i="16"/>
  <c r="B168" i="16"/>
  <c r="D168" i="16" s="1"/>
  <c r="B167" i="16"/>
  <c r="B166" i="16"/>
  <c r="C166" i="16" s="1"/>
  <c r="B165" i="16"/>
  <c r="B164" i="16"/>
  <c r="B163" i="16"/>
  <c r="B162" i="16"/>
  <c r="C162" i="16" s="1"/>
  <c r="B161" i="16"/>
  <c r="C161" i="16" s="1"/>
  <c r="B160" i="16"/>
  <c r="D159" i="16"/>
  <c r="B159" i="16"/>
  <c r="B158" i="16"/>
  <c r="D158" i="16" s="1"/>
  <c r="B157" i="16"/>
  <c r="B156" i="16"/>
  <c r="B155" i="16"/>
  <c r="D155" i="16" s="1"/>
  <c r="B154" i="16"/>
  <c r="B153" i="16"/>
  <c r="D165" i="16" s="1"/>
  <c r="B152" i="16"/>
  <c r="B151" i="16"/>
  <c r="B150" i="16"/>
  <c r="B149" i="16"/>
  <c r="C149" i="16" s="1"/>
  <c r="B148" i="16"/>
  <c r="C148" i="16" s="1"/>
  <c r="B147" i="16"/>
  <c r="D147" i="16" s="1"/>
  <c r="B146" i="16"/>
  <c r="D146" i="16" s="1"/>
  <c r="D145" i="16"/>
  <c r="B145" i="16"/>
  <c r="C145" i="16" s="1"/>
  <c r="B144" i="16"/>
  <c r="D156" i="16" s="1"/>
  <c r="B143" i="16"/>
  <c r="D143" i="16" s="1"/>
  <c r="B142" i="16"/>
  <c r="B141" i="16"/>
  <c r="B140" i="16"/>
  <c r="B139" i="16"/>
  <c r="B138" i="16"/>
  <c r="B137" i="16"/>
  <c r="B136" i="16"/>
  <c r="C136" i="16" s="1"/>
  <c r="B135" i="16"/>
  <c r="B134" i="16"/>
  <c r="D134" i="16" s="1"/>
  <c r="B133" i="16"/>
  <c r="D133" i="16" s="1"/>
  <c r="B132" i="16"/>
  <c r="D132" i="16" s="1"/>
  <c r="C131" i="16"/>
  <c r="B131" i="16"/>
  <c r="B130" i="16"/>
  <c r="D130" i="16" s="1"/>
  <c r="B129" i="16"/>
  <c r="B128" i="16"/>
  <c r="B127" i="16"/>
  <c r="C127" i="16" s="1"/>
  <c r="B126" i="16"/>
  <c r="B125" i="16"/>
  <c r="B124" i="16"/>
  <c r="C123" i="16"/>
  <c r="B123" i="16"/>
  <c r="D122" i="16"/>
  <c r="B122" i="16"/>
  <c r="B121" i="16"/>
  <c r="C121" i="16" s="1"/>
  <c r="B120" i="16"/>
  <c r="B119" i="16"/>
  <c r="B118" i="16"/>
  <c r="C118" i="16" s="1"/>
  <c r="C117" i="16"/>
  <c r="B117" i="16"/>
  <c r="B116" i="16"/>
  <c r="B115" i="16"/>
  <c r="B114" i="16"/>
  <c r="B113" i="16"/>
  <c r="C114" i="16" s="1"/>
  <c r="B112" i="16"/>
  <c r="B111" i="16"/>
  <c r="B110" i="16"/>
  <c r="B109" i="16"/>
  <c r="C110" i="16" s="1"/>
  <c r="B108" i="16"/>
  <c r="D120" i="16" s="1"/>
  <c r="B107" i="16"/>
  <c r="B106" i="16"/>
  <c r="B105" i="16"/>
  <c r="B104" i="16"/>
  <c r="B103" i="16"/>
  <c r="B102" i="16"/>
  <c r="B101" i="16"/>
  <c r="B100" i="16"/>
  <c r="B99" i="16"/>
  <c r="C98" i="16"/>
  <c r="B98" i="16"/>
  <c r="B97" i="16"/>
  <c r="B96" i="16"/>
  <c r="B95" i="16"/>
  <c r="B94" i="16"/>
  <c r="D106" i="16" s="1"/>
  <c r="B93" i="16"/>
  <c r="B92" i="16"/>
  <c r="B91" i="16"/>
  <c r="B90" i="16"/>
  <c r="D102" i="16" s="1"/>
  <c r="B89" i="16"/>
  <c r="B88" i="16"/>
  <c r="B87" i="16"/>
  <c r="B86" i="16"/>
  <c r="B85" i="16"/>
  <c r="B84" i="16"/>
  <c r="B83" i="16"/>
  <c r="B82" i="16"/>
  <c r="C82" i="16" s="1"/>
  <c r="B81" i="16"/>
  <c r="B80" i="16"/>
  <c r="B79" i="16"/>
  <c r="D78"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D66" i="16" s="1"/>
  <c r="B53" i="16"/>
  <c r="B52" i="16"/>
  <c r="B51" i="16"/>
  <c r="B50" i="16"/>
  <c r="D50" i="16" s="1"/>
  <c r="B49" i="16"/>
  <c r="B48" i="16"/>
  <c r="B47" i="16"/>
  <c r="B46" i="16"/>
  <c r="D46" i="16" s="1"/>
  <c r="B45" i="16"/>
  <c r="B44" i="16"/>
  <c r="B43" i="16"/>
  <c r="B42" i="16"/>
  <c r="B41" i="16"/>
  <c r="B40" i="16"/>
  <c r="B39" i="16"/>
  <c r="D38" i="16"/>
  <c r="B38" i="16"/>
  <c r="C38" i="16" s="1"/>
  <c r="B37" i="16"/>
  <c r="B36" i="16"/>
  <c r="B35" i="16"/>
  <c r="B34" i="16"/>
  <c r="B33" i="16"/>
  <c r="B32" i="16"/>
  <c r="B31" i="16"/>
  <c r="B30" i="16"/>
  <c r="B29" i="16"/>
  <c r="B28" i="16"/>
  <c r="B27" i="16"/>
  <c r="B26" i="16"/>
  <c r="B25" i="16"/>
  <c r="B24" i="16"/>
  <c r="B23" i="16"/>
  <c r="B22" i="16"/>
  <c r="D22" i="16" s="1"/>
  <c r="B21" i="16"/>
  <c r="B20" i="16"/>
  <c r="B19" i="16"/>
  <c r="B18" i="16"/>
  <c r="C18" i="16" s="1"/>
  <c r="B17" i="16"/>
  <c r="B16" i="16"/>
  <c r="C16" i="16" s="1"/>
  <c r="C15" i="16"/>
  <c r="B15" i="16"/>
  <c r="B14" i="16"/>
  <c r="C14" i="16" s="1"/>
  <c r="B13" i="16"/>
  <c r="C13" i="16" s="1"/>
  <c r="B12" i="16"/>
  <c r="B11" i="16"/>
  <c r="C10" i="16"/>
  <c r="B10" i="16"/>
  <c r="B9" i="16"/>
  <c r="C9" i="16" s="1"/>
  <c r="B8" i="16"/>
  <c r="C8" i="16" s="1"/>
  <c r="B7" i="16"/>
  <c r="B378" i="15"/>
  <c r="B377" i="15"/>
  <c r="C377" i="15" s="1"/>
  <c r="B376" i="15"/>
  <c r="D376" i="15" s="1"/>
  <c r="B375" i="15"/>
  <c r="C376" i="15" s="1"/>
  <c r="B374" i="15"/>
  <c r="C375" i="15" s="1"/>
  <c r="B373" i="15"/>
  <c r="C373" i="15" s="1"/>
  <c r="D372" i="15"/>
  <c r="B372" i="15"/>
  <c r="B371" i="15"/>
  <c r="D371" i="15" s="1"/>
  <c r="B370" i="15"/>
  <c r="C370" i="15" s="1"/>
  <c r="B369" i="15"/>
  <c r="B368" i="15"/>
  <c r="D368" i="15" s="1"/>
  <c r="D367" i="15"/>
  <c r="B367" i="15"/>
  <c r="B366" i="15"/>
  <c r="B365" i="15"/>
  <c r="C364" i="15"/>
  <c r="B364" i="15"/>
  <c r="B363" i="15"/>
  <c r="B362" i="15"/>
  <c r="C363" i="15" s="1"/>
  <c r="B361" i="15"/>
  <c r="C361" i="15" s="1"/>
  <c r="D360" i="15"/>
  <c r="B360" i="15"/>
  <c r="B359" i="15"/>
  <c r="C360" i="15" s="1"/>
  <c r="B358" i="15"/>
  <c r="C359" i="15" s="1"/>
  <c r="B357" i="15"/>
  <c r="B356" i="15"/>
  <c r="D356" i="15" s="1"/>
  <c r="B355" i="15"/>
  <c r="D355" i="15" s="1"/>
  <c r="B354" i="15"/>
  <c r="B353" i="15"/>
  <c r="B352" i="15"/>
  <c r="B351" i="15"/>
  <c r="D351" i="15" s="1"/>
  <c r="B350" i="15"/>
  <c r="C351" i="15" s="1"/>
  <c r="B349" i="15"/>
  <c r="C349" i="15" s="1"/>
  <c r="C348" i="15"/>
  <c r="B348" i="15"/>
  <c r="B347" i="15"/>
  <c r="B346" i="15"/>
  <c r="D345" i="15"/>
  <c r="B345" i="15"/>
  <c r="B344" i="15"/>
  <c r="D344" i="15" s="1"/>
  <c r="B343" i="15"/>
  <c r="D343" i="15" s="1"/>
  <c r="B342" i="15"/>
  <c r="C343" i="15" s="1"/>
  <c r="B341" i="15"/>
  <c r="B340" i="15"/>
  <c r="D340" i="15" s="1"/>
  <c r="D339" i="15"/>
  <c r="B339" i="15"/>
  <c r="B338" i="15"/>
  <c r="C339" i="15" s="1"/>
  <c r="B337" i="15"/>
  <c r="B336" i="15"/>
  <c r="D336" i="15" s="1"/>
  <c r="B335" i="15"/>
  <c r="D347" i="15" s="1"/>
  <c r="B334" i="15"/>
  <c r="B333" i="15"/>
  <c r="C333" i="15" s="1"/>
  <c r="B332" i="15"/>
  <c r="C332" i="15" s="1"/>
  <c r="B331" i="15"/>
  <c r="D331" i="15" s="1"/>
  <c r="B330" i="15"/>
  <c r="C331" i="15" s="1"/>
  <c r="B329" i="15"/>
  <c r="C329" i="15" s="1"/>
  <c r="B328" i="15"/>
  <c r="C328" i="15" s="1"/>
  <c r="B327" i="15"/>
  <c r="D327" i="15" s="1"/>
  <c r="B326" i="15"/>
  <c r="B325" i="15"/>
  <c r="C325" i="15" s="1"/>
  <c r="B324" i="15"/>
  <c r="D324" i="15" s="1"/>
  <c r="B323" i="15"/>
  <c r="C324" i="15" s="1"/>
  <c r="B322" i="15"/>
  <c r="B321" i="15"/>
  <c r="B320" i="15"/>
  <c r="B319" i="15"/>
  <c r="D319" i="15" s="1"/>
  <c r="B318" i="15"/>
  <c r="B317" i="15"/>
  <c r="C316" i="15"/>
  <c r="B316" i="15"/>
  <c r="D328" i="15" s="1"/>
  <c r="B315" i="15"/>
  <c r="D315" i="15" s="1"/>
  <c r="B314" i="15"/>
  <c r="C315" i="15" s="1"/>
  <c r="D313" i="15"/>
  <c r="B313" i="15"/>
  <c r="B312" i="15"/>
  <c r="D312" i="15" s="1"/>
  <c r="B311" i="15"/>
  <c r="D311" i="15" s="1"/>
  <c r="B310" i="15"/>
  <c r="C310" i="15" s="1"/>
  <c r="B309" i="15"/>
  <c r="B308" i="15"/>
  <c r="D308" i="15" s="1"/>
  <c r="D307" i="15"/>
  <c r="B307" i="15"/>
  <c r="B306" i="15"/>
  <c r="D318" i="15" s="1"/>
  <c r="B305" i="15"/>
  <c r="B304" i="15"/>
  <c r="D304" i="15" s="1"/>
  <c r="B303" i="15"/>
  <c r="B302" i="15"/>
  <c r="B301" i="15"/>
  <c r="C301" i="15" s="1"/>
  <c r="D300" i="15"/>
  <c r="B300" i="15"/>
  <c r="C300" i="15" s="1"/>
  <c r="B299" i="15"/>
  <c r="D299" i="15" s="1"/>
  <c r="B298" i="15"/>
  <c r="C298" i="15" s="1"/>
  <c r="D297" i="15"/>
  <c r="B297" i="15"/>
  <c r="B296" i="15"/>
  <c r="D296" i="15" s="1"/>
  <c r="D295" i="15"/>
  <c r="B295" i="15"/>
  <c r="B294" i="15"/>
  <c r="D306" i="15" s="1"/>
  <c r="B293" i="15"/>
  <c r="B292" i="15"/>
  <c r="D292" i="15" s="1"/>
  <c r="B291" i="15"/>
  <c r="D303" i="15" s="1"/>
  <c r="B290" i="15"/>
  <c r="B289" i="15"/>
  <c r="C289" i="15" s="1"/>
  <c r="D288" i="15"/>
  <c r="B288" i="15"/>
  <c r="C288" i="15" s="1"/>
  <c r="B287" i="15"/>
  <c r="D287" i="15" s="1"/>
  <c r="B286" i="15"/>
  <c r="B285" i="15"/>
  <c r="C285" i="15" s="1"/>
  <c r="D284" i="15"/>
  <c r="B284" i="15"/>
  <c r="B283" i="15"/>
  <c r="C283" i="15" s="1"/>
  <c r="D282" i="15"/>
  <c r="B282" i="15"/>
  <c r="B281" i="15"/>
  <c r="B280" i="15"/>
  <c r="C281" i="15" s="1"/>
  <c r="B279" i="15"/>
  <c r="C279" i="15" s="1"/>
  <c r="B278" i="15"/>
  <c r="B277" i="15"/>
  <c r="B276" i="15"/>
  <c r="D276" i="15" s="1"/>
  <c r="B275" i="15"/>
  <c r="B274" i="15"/>
  <c r="D286" i="15" s="1"/>
  <c r="B273" i="15"/>
  <c r="C273" i="15" s="1"/>
  <c r="B272" i="15"/>
  <c r="D272" i="15" s="1"/>
  <c r="B271" i="15"/>
  <c r="D271" i="15" s="1"/>
  <c r="B270" i="15"/>
  <c r="B269" i="15"/>
  <c r="B268" i="15"/>
  <c r="D268" i="15" s="1"/>
  <c r="B267" i="15"/>
  <c r="B266" i="15"/>
  <c r="B265" i="15"/>
  <c r="D265" i="15" s="1"/>
  <c r="B264" i="15"/>
  <c r="C264" i="15" s="1"/>
  <c r="B263" i="15"/>
  <c r="D275" i="15" s="1"/>
  <c r="B262" i="15"/>
  <c r="B261" i="15"/>
  <c r="D273" i="15" s="1"/>
  <c r="C260" i="15"/>
  <c r="B260" i="15"/>
  <c r="B259" i="15"/>
  <c r="B258" i="15"/>
  <c r="D258" i="15" s="1"/>
  <c r="B257" i="15"/>
  <c r="B256" i="15"/>
  <c r="C256" i="15" s="1"/>
  <c r="B255" i="15"/>
  <c r="B254" i="15"/>
  <c r="B253" i="15"/>
  <c r="B252" i="15"/>
  <c r="C252" i="15" s="1"/>
  <c r="B251" i="15"/>
  <c r="B250" i="15"/>
  <c r="D250" i="15" s="1"/>
  <c r="B249" i="15"/>
  <c r="D249" i="15" s="1"/>
  <c r="B248" i="15"/>
  <c r="B247" i="15"/>
  <c r="C247" i="15" s="1"/>
  <c r="C246" i="15"/>
  <c r="B246" i="15"/>
  <c r="B245" i="15"/>
  <c r="D245" i="15" s="1"/>
  <c r="D244" i="15"/>
  <c r="B244" i="15"/>
  <c r="B243" i="15"/>
  <c r="D242" i="15"/>
  <c r="B242" i="15"/>
  <c r="B241" i="15"/>
  <c r="B240" i="15"/>
  <c r="B239" i="15"/>
  <c r="B238" i="15"/>
  <c r="B237" i="15"/>
  <c r="D237" i="15" s="1"/>
  <c r="D236" i="15"/>
  <c r="B236" i="15"/>
  <c r="B235" i="15"/>
  <c r="B234" i="15"/>
  <c r="B233" i="15"/>
  <c r="D233" i="15" s="1"/>
  <c r="B232" i="15"/>
  <c r="B231" i="15"/>
  <c r="C231" i="15" s="1"/>
  <c r="C230" i="15"/>
  <c r="B230" i="15"/>
  <c r="B229" i="15"/>
  <c r="B228" i="15"/>
  <c r="B227" i="15"/>
  <c r="B226" i="15"/>
  <c r="D238" i="15" s="1"/>
  <c r="C225" i="15"/>
  <c r="B225" i="15"/>
  <c r="B224" i="15"/>
  <c r="B223" i="15"/>
  <c r="D235" i="15" s="1"/>
  <c r="D222" i="15"/>
  <c r="B222" i="15"/>
  <c r="B221" i="15"/>
  <c r="B220" i="15"/>
  <c r="D220" i="15" s="1"/>
  <c r="B219" i="15"/>
  <c r="B218" i="15"/>
  <c r="D230" i="15" s="1"/>
  <c r="C217" i="15"/>
  <c r="B217" i="15"/>
  <c r="D229" i="15" s="1"/>
  <c r="B216" i="15"/>
  <c r="B215" i="15"/>
  <c r="D214" i="15"/>
  <c r="B214" i="15"/>
  <c r="B213" i="15"/>
  <c r="B212" i="15"/>
  <c r="C213" i="15" s="1"/>
  <c r="B211" i="15"/>
  <c r="D210" i="15"/>
  <c r="B210" i="15"/>
  <c r="B209" i="15"/>
  <c r="B208" i="15"/>
  <c r="B207" i="15"/>
  <c r="B206" i="15"/>
  <c r="B205" i="15"/>
  <c r="B204" i="15"/>
  <c r="C204" i="15" s="1"/>
  <c r="B203" i="15"/>
  <c r="B202" i="15"/>
  <c r="D202" i="15" s="1"/>
  <c r="B201" i="15"/>
  <c r="B200" i="15"/>
  <c r="B199" i="15"/>
  <c r="B198" i="15"/>
  <c r="D198" i="15" s="1"/>
  <c r="B197" i="15"/>
  <c r="C198" i="15" s="1"/>
  <c r="D196" i="15"/>
  <c r="C196" i="15"/>
  <c r="B196" i="15"/>
  <c r="D208" i="15" s="1"/>
  <c r="B195" i="15"/>
  <c r="B194" i="15"/>
  <c r="D194" i="15" s="1"/>
  <c r="B193" i="15"/>
  <c r="B192" i="15"/>
  <c r="B191" i="15"/>
  <c r="B190" i="15"/>
  <c r="C190" i="15" s="1"/>
  <c r="B189" i="15"/>
  <c r="D201" i="15" s="1"/>
  <c r="B188" i="15"/>
  <c r="D188" i="15" s="1"/>
  <c r="B187" i="15"/>
  <c r="C187" i="15" s="1"/>
  <c r="B186" i="15"/>
  <c r="B185" i="15"/>
  <c r="C184" i="15"/>
  <c r="B184" i="15"/>
  <c r="D184" i="15" s="1"/>
  <c r="B183" i="15"/>
  <c r="B182" i="15"/>
  <c r="C182" i="15" s="1"/>
  <c r="B181" i="15"/>
  <c r="C181" i="15" s="1"/>
  <c r="B180" i="15"/>
  <c r="B179" i="15"/>
  <c r="B178" i="15"/>
  <c r="B177" i="15"/>
  <c r="C177" i="15" s="1"/>
  <c r="B176" i="15"/>
  <c r="D176" i="15" s="1"/>
  <c r="B175" i="15"/>
  <c r="D175" i="15" s="1"/>
  <c r="B174" i="15"/>
  <c r="D174" i="15" s="1"/>
  <c r="B173" i="15"/>
  <c r="C173" i="15" s="1"/>
  <c r="B172" i="15"/>
  <c r="B171" i="15"/>
  <c r="B170" i="15"/>
  <c r="B169" i="15"/>
  <c r="B168" i="15"/>
  <c r="C168" i="15" s="1"/>
  <c r="B167" i="15"/>
  <c r="B166" i="15"/>
  <c r="B165" i="15"/>
  <c r="D177" i="15" s="1"/>
  <c r="C164" i="15"/>
  <c r="B164" i="15"/>
  <c r="B163" i="15"/>
  <c r="D162" i="15"/>
  <c r="C162" i="15"/>
  <c r="B162" i="15"/>
  <c r="B161" i="15"/>
  <c r="B160" i="15"/>
  <c r="B159" i="15"/>
  <c r="B158" i="15"/>
  <c r="B157" i="15"/>
  <c r="B156" i="15"/>
  <c r="B155" i="15"/>
  <c r="B154" i="15"/>
  <c r="B153" i="15"/>
  <c r="B152" i="15"/>
  <c r="D164" i="15" s="1"/>
  <c r="B151" i="15"/>
  <c r="C150" i="15"/>
  <c r="B150" i="15"/>
  <c r="D150" i="15" s="1"/>
  <c r="B149" i="15"/>
  <c r="D161" i="15" s="1"/>
  <c r="D148" i="15"/>
  <c r="B148" i="15"/>
  <c r="C148" i="15" s="1"/>
  <c r="B147" i="15"/>
  <c r="B146" i="15"/>
  <c r="B145" i="15"/>
  <c r="B144" i="15"/>
  <c r="D143" i="15"/>
  <c r="B143" i="15"/>
  <c r="B142" i="15"/>
  <c r="C142" i="15" s="1"/>
  <c r="B141" i="15"/>
  <c r="B140" i="15"/>
  <c r="B139" i="15"/>
  <c r="B138" i="15"/>
  <c r="B137" i="15"/>
  <c r="D137" i="15" s="1"/>
  <c r="D136" i="15"/>
  <c r="C136" i="15"/>
  <c r="B136" i="15"/>
  <c r="B135" i="15"/>
  <c r="B134" i="15"/>
  <c r="B133" i="15"/>
  <c r="C133" i="15" s="1"/>
  <c r="B132" i="15"/>
  <c r="B131" i="15"/>
  <c r="B130" i="15"/>
  <c r="D142" i="15" s="1"/>
  <c r="C129" i="15"/>
  <c r="B129" i="15"/>
  <c r="B128" i="15"/>
  <c r="B127" i="15"/>
  <c r="D127" i="15" s="1"/>
  <c r="C126" i="15"/>
  <c r="B126" i="15"/>
  <c r="B125" i="15"/>
  <c r="B124" i="15"/>
  <c r="B123" i="15"/>
  <c r="D135" i="15" s="1"/>
  <c r="B122" i="15"/>
  <c r="C122" i="15" s="1"/>
  <c r="B121" i="15"/>
  <c r="B120" i="15"/>
  <c r="B119" i="15"/>
  <c r="B118" i="15"/>
  <c r="B117" i="15"/>
  <c r="D129" i="15" s="1"/>
  <c r="C116" i="15"/>
  <c r="B116" i="15"/>
  <c r="B115" i="15"/>
  <c r="B114" i="15"/>
  <c r="D114" i="15" s="1"/>
  <c r="D113" i="15"/>
  <c r="B113" i="15"/>
  <c r="B112" i="15"/>
  <c r="B111" i="15"/>
  <c r="B110" i="15"/>
  <c r="D110" i="15" s="1"/>
  <c r="B109" i="15"/>
  <c r="D121" i="15" s="1"/>
  <c r="B108" i="15"/>
  <c r="B107" i="15"/>
  <c r="C108" i="15" s="1"/>
  <c r="B106" i="15"/>
  <c r="B105" i="15"/>
  <c r="C105" i="15" s="1"/>
  <c r="B104" i="15"/>
  <c r="B103" i="15"/>
  <c r="B102" i="15"/>
  <c r="D102" i="15" s="1"/>
  <c r="B101" i="15"/>
  <c r="B100" i="15"/>
  <c r="B99" i="15"/>
  <c r="D99" i="15" s="1"/>
  <c r="B98" i="15"/>
  <c r="D98" i="15" s="1"/>
  <c r="B97" i="15"/>
  <c r="D97" i="15" s="1"/>
  <c r="C96" i="15"/>
  <c r="B96" i="15"/>
  <c r="B95" i="15"/>
  <c r="B94" i="15"/>
  <c r="C94" i="15" s="1"/>
  <c r="D93" i="15"/>
  <c r="B93" i="15"/>
  <c r="B92" i="15"/>
  <c r="B91" i="15"/>
  <c r="B90" i="15"/>
  <c r="B89" i="15"/>
  <c r="D89" i="15" s="1"/>
  <c r="B88" i="15"/>
  <c r="B87" i="15"/>
  <c r="C87" i="15" s="1"/>
  <c r="C86" i="15"/>
  <c r="B86" i="15"/>
  <c r="D85" i="15"/>
  <c r="B85" i="15"/>
  <c r="B84" i="15"/>
  <c r="B83" i="15"/>
  <c r="D82" i="15"/>
  <c r="C82" i="15"/>
  <c r="B82" i="15"/>
  <c r="B81" i="15"/>
  <c r="B80" i="15"/>
  <c r="B79" i="15"/>
  <c r="D79" i="15" s="1"/>
  <c r="C78" i="15"/>
  <c r="B78" i="15"/>
  <c r="D78" i="15" s="1"/>
  <c r="B77" i="15"/>
  <c r="B76" i="15"/>
  <c r="D88" i="15" s="1"/>
  <c r="B75" i="15"/>
  <c r="C74" i="15"/>
  <c r="B74" i="15"/>
  <c r="B73" i="15"/>
  <c r="B72" i="15"/>
  <c r="B71" i="15"/>
  <c r="B70" i="15"/>
  <c r="B69" i="15"/>
  <c r="C69" i="15" s="1"/>
  <c r="B68" i="15"/>
  <c r="C68" i="15" s="1"/>
  <c r="D67" i="15"/>
  <c r="B67" i="15"/>
  <c r="B66" i="15"/>
  <c r="D66" i="15" s="1"/>
  <c r="B65" i="15"/>
  <c r="D65" i="15" s="1"/>
  <c r="B64" i="15"/>
  <c r="B63" i="15"/>
  <c r="B62" i="15"/>
  <c r="B61" i="15"/>
  <c r="C60" i="15"/>
  <c r="B60" i="15"/>
  <c r="B59" i="15"/>
  <c r="B58" i="15"/>
  <c r="B57" i="15"/>
  <c r="D57" i="15" s="1"/>
  <c r="C56" i="15"/>
  <c r="B56" i="15"/>
  <c r="B55" i="15"/>
  <c r="B54" i="15"/>
  <c r="C54" i="15" s="1"/>
  <c r="D53" i="15"/>
  <c r="B53" i="15"/>
  <c r="B52" i="15"/>
  <c r="C53" i="15" s="1"/>
  <c r="D51" i="15"/>
  <c r="B51" i="15"/>
  <c r="B50" i="15"/>
  <c r="B49" i="15"/>
  <c r="C49" i="15" s="1"/>
  <c r="B48" i="15"/>
  <c r="D60" i="15" s="1"/>
  <c r="B47" i="15"/>
  <c r="D47" i="15" s="1"/>
  <c r="C46" i="15"/>
  <c r="B46" i="15"/>
  <c r="B45" i="15"/>
  <c r="B44" i="15"/>
  <c r="B43" i="15"/>
  <c r="D43" i="15" s="1"/>
  <c r="B42" i="15"/>
  <c r="B41" i="15"/>
  <c r="D41" i="15" s="1"/>
  <c r="B40" i="15"/>
  <c r="D40" i="15" s="1"/>
  <c r="B39" i="15"/>
  <c r="B38" i="15"/>
  <c r="B37" i="15"/>
  <c r="D37" i="15" s="1"/>
  <c r="B36" i="15"/>
  <c r="D36" i="15" s="1"/>
  <c r="B35" i="15"/>
  <c r="B34" i="15"/>
  <c r="D46" i="15" s="1"/>
  <c r="C33" i="15"/>
  <c r="B33" i="15"/>
  <c r="B32" i="15"/>
  <c r="B31" i="15"/>
  <c r="D31" i="15" s="1"/>
  <c r="B30" i="15"/>
  <c r="C30" i="15" s="1"/>
  <c r="B29" i="15"/>
  <c r="B28" i="15"/>
  <c r="C28" i="15" s="1"/>
  <c r="B27" i="15"/>
  <c r="D39" i="15" s="1"/>
  <c r="B26" i="15"/>
  <c r="D26" i="15" s="1"/>
  <c r="C25" i="15"/>
  <c r="B25" i="15"/>
  <c r="B24" i="15"/>
  <c r="B23" i="15"/>
  <c r="B22" i="15"/>
  <c r="C22" i="15" s="1"/>
  <c r="B21" i="15"/>
  <c r="B20" i="15"/>
  <c r="C20" i="15" s="1"/>
  <c r="B19" i="15"/>
  <c r="D19" i="15" s="1"/>
  <c r="C18" i="15"/>
  <c r="B18" i="15"/>
  <c r="B17" i="15"/>
  <c r="B16" i="15"/>
  <c r="C16" i="15" s="1"/>
  <c r="C15" i="15"/>
  <c r="B15" i="15"/>
  <c r="B14" i="15"/>
  <c r="B13" i="15"/>
  <c r="B12" i="15"/>
  <c r="B11" i="15"/>
  <c r="C11" i="15" s="1"/>
  <c r="B10" i="15"/>
  <c r="C9" i="15"/>
  <c r="B9" i="15"/>
  <c r="B8" i="15"/>
  <c r="B7" i="15"/>
  <c r="B378" i="14"/>
  <c r="B377" i="14"/>
  <c r="D376" i="14"/>
  <c r="C376" i="14"/>
  <c r="B376" i="14"/>
  <c r="D375" i="14"/>
  <c r="C375" i="14"/>
  <c r="B375" i="14"/>
  <c r="B374" i="14"/>
  <c r="C374" i="14" s="1"/>
  <c r="B373" i="14"/>
  <c r="C372" i="14"/>
  <c r="B372" i="14"/>
  <c r="D372" i="14" s="1"/>
  <c r="D371" i="14"/>
  <c r="B371" i="14"/>
  <c r="D370" i="14"/>
  <c r="B370" i="14"/>
  <c r="C371" i="14" s="1"/>
  <c r="B369" i="14"/>
  <c r="C369" i="14" s="1"/>
  <c r="C368" i="14"/>
  <c r="B368" i="14"/>
  <c r="C367" i="14"/>
  <c r="B367" i="14"/>
  <c r="D366" i="14"/>
  <c r="B366" i="14"/>
  <c r="B365" i="14"/>
  <c r="C365" i="14" s="1"/>
  <c r="B364" i="14"/>
  <c r="D364" i="14" s="1"/>
  <c r="B363" i="14"/>
  <c r="B362" i="14"/>
  <c r="B361" i="14"/>
  <c r="C361" i="14" s="1"/>
  <c r="B360" i="14"/>
  <c r="D360" i="14" s="1"/>
  <c r="C359" i="14"/>
  <c r="B359" i="14"/>
  <c r="B358" i="14"/>
  <c r="B357" i="14"/>
  <c r="B356" i="14"/>
  <c r="B355" i="14"/>
  <c r="D367" i="14" s="1"/>
  <c r="D354" i="14"/>
  <c r="B354" i="14"/>
  <c r="C355" i="14" s="1"/>
  <c r="B353" i="14"/>
  <c r="C353" i="14" s="1"/>
  <c r="C352" i="14"/>
  <c r="B352" i="14"/>
  <c r="C351" i="14"/>
  <c r="B351" i="14"/>
  <c r="D363" i="14" s="1"/>
  <c r="D350" i="14"/>
  <c r="B350" i="14"/>
  <c r="B349" i="14"/>
  <c r="C349" i="14" s="1"/>
  <c r="B348" i="14"/>
  <c r="D348" i="14" s="1"/>
  <c r="B347" i="14"/>
  <c r="B346" i="14"/>
  <c r="B345" i="14"/>
  <c r="B344" i="14"/>
  <c r="D344" i="14" s="1"/>
  <c r="C343" i="14"/>
  <c r="B343" i="14"/>
  <c r="D343" i="14" s="1"/>
  <c r="B342" i="14"/>
  <c r="B341" i="14"/>
  <c r="B340" i="14"/>
  <c r="B339" i="14"/>
  <c r="D339" i="14" s="1"/>
  <c r="D338" i="14"/>
  <c r="B338" i="14"/>
  <c r="B337" i="14"/>
  <c r="C337" i="14" s="1"/>
  <c r="B336" i="14"/>
  <c r="D336" i="14" s="1"/>
  <c r="B335" i="14"/>
  <c r="D335" i="14" s="1"/>
  <c r="D334" i="14"/>
  <c r="B334" i="14"/>
  <c r="B333" i="14"/>
  <c r="C333" i="14" s="1"/>
  <c r="B332" i="14"/>
  <c r="D332" i="14" s="1"/>
  <c r="B331" i="14"/>
  <c r="B330" i="14"/>
  <c r="D329" i="14"/>
  <c r="B329" i="14"/>
  <c r="B328" i="14"/>
  <c r="D328" i="14" s="1"/>
  <c r="C327" i="14"/>
  <c r="B327" i="14"/>
  <c r="D327" i="14" s="1"/>
  <c r="B326" i="14"/>
  <c r="B325" i="14"/>
  <c r="C324" i="14"/>
  <c r="B324" i="14"/>
  <c r="D324" i="14" s="1"/>
  <c r="B323" i="14"/>
  <c r="D323" i="14" s="1"/>
  <c r="D322" i="14"/>
  <c r="B322" i="14"/>
  <c r="B321" i="14"/>
  <c r="C321" i="14" s="1"/>
  <c r="B320" i="14"/>
  <c r="C319" i="14"/>
  <c r="B319" i="14"/>
  <c r="D319" i="14" s="1"/>
  <c r="D318" i="14"/>
  <c r="B318" i="14"/>
  <c r="B317" i="14"/>
  <c r="C317" i="14" s="1"/>
  <c r="B316" i="14"/>
  <c r="D316" i="14" s="1"/>
  <c r="B315" i="14"/>
  <c r="B314" i="14"/>
  <c r="D313" i="14"/>
  <c r="B313" i="14"/>
  <c r="C313" i="14" s="1"/>
  <c r="B312" i="14"/>
  <c r="D312" i="14" s="1"/>
  <c r="C311" i="14"/>
  <c r="B311" i="14"/>
  <c r="D311" i="14" s="1"/>
  <c r="B310" i="14"/>
  <c r="B309" i="14"/>
  <c r="B308" i="14"/>
  <c r="D308" i="14" s="1"/>
  <c r="B307" i="14"/>
  <c r="D307" i="14" s="1"/>
  <c r="D306" i="14"/>
  <c r="B306" i="14"/>
  <c r="B305" i="14"/>
  <c r="C305" i="14" s="1"/>
  <c r="B304" i="14"/>
  <c r="D304" i="14" s="1"/>
  <c r="B303" i="14"/>
  <c r="D303" i="14" s="1"/>
  <c r="D302" i="14"/>
  <c r="B302" i="14"/>
  <c r="B301" i="14"/>
  <c r="C301" i="14" s="1"/>
  <c r="B300" i="14"/>
  <c r="D300" i="14" s="1"/>
  <c r="B299" i="14"/>
  <c r="B298" i="14"/>
  <c r="D297" i="14"/>
  <c r="B297" i="14"/>
  <c r="C297" i="14" s="1"/>
  <c r="B296" i="14"/>
  <c r="D296" i="14" s="1"/>
  <c r="C295" i="14"/>
  <c r="B295" i="14"/>
  <c r="D295" i="14" s="1"/>
  <c r="B294" i="14"/>
  <c r="B293" i="14"/>
  <c r="B292" i="14"/>
  <c r="C292" i="14" s="1"/>
  <c r="B291" i="14"/>
  <c r="D291" i="14" s="1"/>
  <c r="D290" i="14"/>
  <c r="B290" i="14"/>
  <c r="B289" i="14"/>
  <c r="C289" i="14" s="1"/>
  <c r="B288" i="14"/>
  <c r="D288" i="14" s="1"/>
  <c r="B287" i="14"/>
  <c r="D287" i="14" s="1"/>
  <c r="D286" i="14"/>
  <c r="B286" i="14"/>
  <c r="B285" i="14"/>
  <c r="B284" i="14"/>
  <c r="D284" i="14" s="1"/>
  <c r="B283" i="14"/>
  <c r="B282" i="14"/>
  <c r="B281" i="14"/>
  <c r="B280" i="14"/>
  <c r="C279" i="14"/>
  <c r="B279" i="14"/>
  <c r="D278" i="14"/>
  <c r="B278" i="14"/>
  <c r="B277" i="14"/>
  <c r="B276" i="14"/>
  <c r="C276" i="14" s="1"/>
  <c r="B275" i="14"/>
  <c r="D275" i="14" s="1"/>
  <c r="D274" i="14"/>
  <c r="B274" i="14"/>
  <c r="B273" i="14"/>
  <c r="B272" i="14"/>
  <c r="D272" i="14" s="1"/>
  <c r="B271" i="14"/>
  <c r="D271" i="14" s="1"/>
  <c r="B270" i="14"/>
  <c r="C270" i="14" s="1"/>
  <c r="D269" i="14"/>
  <c r="B269" i="14"/>
  <c r="C269" i="14" s="1"/>
  <c r="B268" i="14"/>
  <c r="B267" i="14"/>
  <c r="D266" i="14"/>
  <c r="C266" i="14"/>
  <c r="B266" i="14"/>
  <c r="B265" i="14"/>
  <c r="B264" i="14"/>
  <c r="B263" i="14"/>
  <c r="D263" i="14" s="1"/>
  <c r="D262" i="14"/>
  <c r="C262" i="14"/>
  <c r="B262" i="14"/>
  <c r="B261" i="14"/>
  <c r="C261" i="14" s="1"/>
  <c r="D260" i="14"/>
  <c r="C260" i="14"/>
  <c r="B260" i="14"/>
  <c r="D259" i="14"/>
  <c r="B259" i="14"/>
  <c r="C259" i="14" s="1"/>
  <c r="B258" i="14"/>
  <c r="D258" i="14" s="1"/>
  <c r="B257" i="14"/>
  <c r="C256" i="14"/>
  <c r="B256" i="14"/>
  <c r="D268" i="14" s="1"/>
  <c r="B255" i="14"/>
  <c r="B254" i="14"/>
  <c r="B253" i="14"/>
  <c r="C253" i="14" s="1"/>
  <c r="B252" i="14"/>
  <c r="B251" i="14"/>
  <c r="B250" i="14"/>
  <c r="D250" i="14" s="1"/>
  <c r="D249" i="14"/>
  <c r="B249" i="14"/>
  <c r="C249" i="14" s="1"/>
  <c r="D248" i="14"/>
  <c r="B248" i="14"/>
  <c r="C248" i="14" s="1"/>
  <c r="D247" i="14"/>
  <c r="C247" i="14"/>
  <c r="B247" i="14"/>
  <c r="D246" i="14"/>
  <c r="B246" i="14"/>
  <c r="B245" i="14"/>
  <c r="C244" i="14"/>
  <c r="B244" i="14"/>
  <c r="C243" i="14"/>
  <c r="B243" i="14"/>
  <c r="D255" i="14" s="1"/>
  <c r="C242" i="14"/>
  <c r="B242" i="14"/>
  <c r="B241" i="14"/>
  <c r="C240" i="14"/>
  <c r="B240" i="14"/>
  <c r="D240" i="14" s="1"/>
  <c r="B239" i="14"/>
  <c r="B238" i="14"/>
  <c r="B237" i="14"/>
  <c r="C236" i="14"/>
  <c r="B236" i="14"/>
  <c r="D236" i="14" s="1"/>
  <c r="B235" i="14"/>
  <c r="C235" i="14" s="1"/>
  <c r="D234" i="14"/>
  <c r="C234" i="14"/>
  <c r="B234" i="14"/>
  <c r="D233" i="14"/>
  <c r="B233" i="14"/>
  <c r="B232" i="14"/>
  <c r="C231" i="14"/>
  <c r="B231" i="14"/>
  <c r="C230" i="14"/>
  <c r="B230" i="14"/>
  <c r="D242" i="14" s="1"/>
  <c r="B229" i="14"/>
  <c r="B228" i="14"/>
  <c r="B227" i="14"/>
  <c r="B226" i="14"/>
  <c r="D225" i="14"/>
  <c r="B225" i="14"/>
  <c r="C225" i="14" s="1"/>
  <c r="D224" i="14"/>
  <c r="B224" i="14"/>
  <c r="C224" i="14" s="1"/>
  <c r="B223" i="14"/>
  <c r="D223" i="14" s="1"/>
  <c r="B222" i="14"/>
  <c r="D221" i="14"/>
  <c r="B221" i="14"/>
  <c r="C221" i="14" s="1"/>
  <c r="B220" i="14"/>
  <c r="B219" i="14"/>
  <c r="C218" i="14"/>
  <c r="B218" i="14"/>
  <c r="B217" i="14"/>
  <c r="C217" i="14" s="1"/>
  <c r="B216" i="14"/>
  <c r="C216" i="14" s="1"/>
  <c r="B215" i="14"/>
  <c r="D215" i="14" s="1"/>
  <c r="B214" i="14"/>
  <c r="D214" i="14" s="1"/>
  <c r="B213" i="14"/>
  <c r="C212" i="14"/>
  <c r="B212" i="14"/>
  <c r="D211" i="14"/>
  <c r="B211" i="14"/>
  <c r="C211" i="14" s="1"/>
  <c r="B210" i="14"/>
  <c r="D210" i="14" s="1"/>
  <c r="B209" i="14"/>
  <c r="D208" i="14"/>
  <c r="C208" i="14"/>
  <c r="B208" i="14"/>
  <c r="D220" i="14" s="1"/>
  <c r="B207" i="14"/>
  <c r="B206" i="14"/>
  <c r="D218" i="14" s="1"/>
  <c r="B205" i="14"/>
  <c r="C205" i="14" s="1"/>
  <c r="B204" i="14"/>
  <c r="B203" i="14"/>
  <c r="C203" i="14" s="1"/>
  <c r="B202" i="14"/>
  <c r="D202" i="14" s="1"/>
  <c r="D201" i="14"/>
  <c r="B201" i="14"/>
  <c r="C201" i="14" s="1"/>
  <c r="B200" i="14"/>
  <c r="C200" i="14" s="1"/>
  <c r="D199" i="14"/>
  <c r="C199" i="14"/>
  <c r="B199" i="14"/>
  <c r="D198" i="14"/>
  <c r="B198" i="14"/>
  <c r="B197" i="14"/>
  <c r="C196" i="14"/>
  <c r="B196" i="14"/>
  <c r="D195" i="14"/>
  <c r="B195" i="14"/>
  <c r="D207" i="14" s="1"/>
  <c r="C194" i="14"/>
  <c r="B194" i="14"/>
  <c r="B193" i="14"/>
  <c r="B192" i="14"/>
  <c r="D192" i="14" s="1"/>
  <c r="B191" i="14"/>
  <c r="B190" i="14"/>
  <c r="C190" i="14" s="1"/>
  <c r="B189" i="14"/>
  <c r="C188" i="14"/>
  <c r="B188" i="14"/>
  <c r="D188" i="14" s="1"/>
  <c r="B187" i="14"/>
  <c r="C187" i="14" s="1"/>
  <c r="C186" i="14"/>
  <c r="B186" i="14"/>
  <c r="B185" i="14"/>
  <c r="B184" i="14"/>
  <c r="D183" i="14"/>
  <c r="B183" i="14"/>
  <c r="D182" i="14"/>
  <c r="B182" i="14"/>
  <c r="D194" i="14" s="1"/>
  <c r="B181" i="14"/>
  <c r="B180" i="14"/>
  <c r="B179" i="14"/>
  <c r="B178" i="14"/>
  <c r="B177" i="14"/>
  <c r="C177" i="14" s="1"/>
  <c r="D176" i="14"/>
  <c r="B176" i="14"/>
  <c r="C176" i="14" s="1"/>
  <c r="B175" i="14"/>
  <c r="D175" i="14" s="1"/>
  <c r="B174" i="14"/>
  <c r="B173" i="14"/>
  <c r="C172" i="14"/>
  <c r="B172" i="14"/>
  <c r="B171" i="14"/>
  <c r="D170" i="14"/>
  <c r="C170" i="14"/>
  <c r="B170" i="14"/>
  <c r="D169" i="14"/>
  <c r="B169" i="14"/>
  <c r="B168" i="14"/>
  <c r="C168" i="14" s="1"/>
  <c r="B167" i="14"/>
  <c r="B166" i="14"/>
  <c r="D166" i="14" s="1"/>
  <c r="B165" i="14"/>
  <c r="C164" i="14"/>
  <c r="B164" i="14"/>
  <c r="D163" i="14"/>
  <c r="B163" i="14"/>
  <c r="B162" i="14"/>
  <c r="D162" i="14" s="1"/>
  <c r="B161" i="14"/>
  <c r="D160" i="14"/>
  <c r="C160" i="14"/>
  <c r="B160" i="14"/>
  <c r="D172" i="14" s="1"/>
  <c r="C159" i="14"/>
  <c r="B159" i="14"/>
  <c r="B158" i="14"/>
  <c r="D157" i="14"/>
  <c r="B157" i="14"/>
  <c r="B156" i="14"/>
  <c r="D156" i="14" s="1"/>
  <c r="B155" i="14"/>
  <c r="B154" i="14"/>
  <c r="D154" i="14" s="1"/>
  <c r="D153" i="14"/>
  <c r="B153" i="14"/>
  <c r="B152" i="14"/>
  <c r="C152" i="14" s="1"/>
  <c r="D151" i="14"/>
  <c r="C151" i="14"/>
  <c r="B151" i="14"/>
  <c r="B150" i="14"/>
  <c r="C150" i="14" s="1"/>
  <c r="B149" i="14"/>
  <c r="D148" i="14"/>
  <c r="C148" i="14"/>
  <c r="B148" i="14"/>
  <c r="B147" i="14"/>
  <c r="D159" i="14" s="1"/>
  <c r="C146" i="14"/>
  <c r="B146" i="14"/>
  <c r="B145" i="14"/>
  <c r="B144" i="14"/>
  <c r="D144" i="14" s="1"/>
  <c r="B143" i="14"/>
  <c r="D142" i="14"/>
  <c r="B142" i="14"/>
  <c r="C142" i="14" s="1"/>
  <c r="B141" i="14"/>
  <c r="B140" i="14"/>
  <c r="D140" i="14" s="1"/>
  <c r="B139" i="14"/>
  <c r="B138" i="14"/>
  <c r="D137" i="14"/>
  <c r="B137" i="14"/>
  <c r="B136" i="14"/>
  <c r="D135" i="14"/>
  <c r="C135" i="14"/>
  <c r="B135" i="14"/>
  <c r="B134" i="14"/>
  <c r="D146" i="14" s="1"/>
  <c r="B133" i="14"/>
  <c r="C133" i="14" s="1"/>
  <c r="B132" i="14"/>
  <c r="D132" i="14" s="1"/>
  <c r="D131" i="14"/>
  <c r="C131" i="14"/>
  <c r="B131" i="14"/>
  <c r="D130" i="14"/>
  <c r="C130" i="14"/>
  <c r="B130" i="14"/>
  <c r="B129" i="14"/>
  <c r="B128" i="14"/>
  <c r="B127" i="14"/>
  <c r="D126" i="14"/>
  <c r="C126" i="14"/>
  <c r="B126" i="14"/>
  <c r="B125" i="14"/>
  <c r="C125" i="14" s="1"/>
  <c r="C124" i="14"/>
  <c r="B124" i="14"/>
  <c r="B123" i="14"/>
  <c r="B122" i="14"/>
  <c r="D121" i="14"/>
  <c r="B121" i="14"/>
  <c r="B120" i="14"/>
  <c r="D120" i="14" s="1"/>
  <c r="B119" i="14"/>
  <c r="D118" i="14"/>
  <c r="B118" i="14"/>
  <c r="C118" i="14" s="1"/>
  <c r="D117" i="14"/>
  <c r="B117" i="14"/>
  <c r="D116" i="14"/>
  <c r="B116" i="14"/>
  <c r="D115" i="14"/>
  <c r="B115" i="14"/>
  <c r="C114" i="14"/>
  <c r="B114" i="14"/>
  <c r="B113" i="14"/>
  <c r="C112" i="14"/>
  <c r="B112" i="14"/>
  <c r="D124" i="14" s="1"/>
  <c r="D111" i="14"/>
  <c r="C111" i="14"/>
  <c r="B111" i="14"/>
  <c r="B110" i="14"/>
  <c r="B109" i="14"/>
  <c r="C109" i="14" s="1"/>
  <c r="B108" i="14"/>
  <c r="C107" i="14"/>
  <c r="B107" i="14"/>
  <c r="C108" i="14" s="1"/>
  <c r="B106" i="14"/>
  <c r="D106" i="14" s="1"/>
  <c r="D105" i="14"/>
  <c r="C105" i="14"/>
  <c r="B105" i="14"/>
  <c r="C104" i="14"/>
  <c r="B104" i="14"/>
  <c r="B103" i="14"/>
  <c r="C103" i="14" s="1"/>
  <c r="B102" i="14"/>
  <c r="C101" i="14"/>
  <c r="B101" i="14"/>
  <c r="D100" i="14"/>
  <c r="B100" i="14"/>
  <c r="C100" i="14" s="1"/>
  <c r="B99" i="14"/>
  <c r="C99" i="14" s="1"/>
  <c r="B98" i="14"/>
  <c r="B97" i="14"/>
  <c r="D97" i="14" s="1"/>
  <c r="C96" i="14"/>
  <c r="B96" i="14"/>
  <c r="B95" i="14"/>
  <c r="D95" i="14" s="1"/>
  <c r="B94" i="14"/>
  <c r="B93" i="14"/>
  <c r="C93" i="14" s="1"/>
  <c r="B92" i="14"/>
  <c r="D91" i="14"/>
  <c r="C91" i="14"/>
  <c r="B91" i="14"/>
  <c r="D103" i="14" s="1"/>
  <c r="B90" i="14"/>
  <c r="B89" i="14"/>
  <c r="C89" i="14" s="1"/>
  <c r="B88" i="14"/>
  <c r="D88" i="14" s="1"/>
  <c r="B87" i="14"/>
  <c r="B86" i="14"/>
  <c r="B85" i="14"/>
  <c r="D85" i="14" s="1"/>
  <c r="B84" i="14"/>
  <c r="B83" i="14"/>
  <c r="C84" i="14" s="1"/>
  <c r="B82" i="14"/>
  <c r="D81" i="14"/>
  <c r="C81" i="14"/>
  <c r="B81" i="14"/>
  <c r="D93" i="14" s="1"/>
  <c r="C80" i="14"/>
  <c r="B80" i="14"/>
  <c r="B79" i="14"/>
  <c r="C79" i="14" s="1"/>
  <c r="B78" i="14"/>
  <c r="C77" i="14"/>
  <c r="B77" i="14"/>
  <c r="D76" i="14"/>
  <c r="B76" i="14"/>
  <c r="C76" i="14" s="1"/>
  <c r="B75" i="14"/>
  <c r="C75" i="14" s="1"/>
  <c r="B74" i="14"/>
  <c r="B73" i="14"/>
  <c r="D73" i="14" s="1"/>
  <c r="D72" i="14"/>
  <c r="C72" i="14"/>
  <c r="B72" i="14"/>
  <c r="B71" i="14"/>
  <c r="D71" i="14" s="1"/>
  <c r="B70" i="14"/>
  <c r="B69" i="14"/>
  <c r="C69" i="14" s="1"/>
  <c r="B68" i="14"/>
  <c r="D67" i="14"/>
  <c r="C67" i="14"/>
  <c r="B67" i="14"/>
  <c r="D79" i="14" s="1"/>
  <c r="B66" i="14"/>
  <c r="B65" i="14"/>
  <c r="C65" i="14" s="1"/>
  <c r="B64" i="14"/>
  <c r="D64" i="14" s="1"/>
  <c r="B63" i="14"/>
  <c r="B62" i="14"/>
  <c r="B61" i="14"/>
  <c r="D61" i="14" s="1"/>
  <c r="B60" i="14"/>
  <c r="B59" i="14"/>
  <c r="C60" i="14" s="1"/>
  <c r="B58" i="14"/>
  <c r="D57" i="14"/>
  <c r="C57" i="14"/>
  <c r="B57" i="14"/>
  <c r="D69" i="14" s="1"/>
  <c r="C56" i="14"/>
  <c r="B56" i="14"/>
  <c r="B55" i="14"/>
  <c r="C55" i="14" s="1"/>
  <c r="B54" i="14"/>
  <c r="C53" i="14"/>
  <c r="B53" i="14"/>
  <c r="D52" i="14"/>
  <c r="B52" i="14"/>
  <c r="C52" i="14" s="1"/>
  <c r="B51" i="14"/>
  <c r="C51" i="14" s="1"/>
  <c r="B50" i="14"/>
  <c r="B49" i="14"/>
  <c r="D49" i="14" s="1"/>
  <c r="B48" i="14"/>
  <c r="B47" i="14"/>
  <c r="D47" i="14" s="1"/>
  <c r="B46" i="14"/>
  <c r="B45" i="14"/>
  <c r="C45" i="14" s="1"/>
  <c r="B44" i="14"/>
  <c r="D43" i="14"/>
  <c r="C43" i="14"/>
  <c r="B43" i="14"/>
  <c r="D55" i="14" s="1"/>
  <c r="B42" i="14"/>
  <c r="B41" i="14"/>
  <c r="C41" i="14" s="1"/>
  <c r="B40" i="14"/>
  <c r="D40" i="14" s="1"/>
  <c r="B39" i="14"/>
  <c r="B38" i="14"/>
  <c r="B37" i="14"/>
  <c r="D37" i="14" s="1"/>
  <c r="B36" i="14"/>
  <c r="B35" i="14"/>
  <c r="C36" i="14" s="1"/>
  <c r="B34" i="14"/>
  <c r="D33" i="14"/>
  <c r="C33" i="14"/>
  <c r="B33" i="14"/>
  <c r="D45" i="14" s="1"/>
  <c r="C32" i="14"/>
  <c r="B32" i="14"/>
  <c r="B31" i="14"/>
  <c r="C31" i="14" s="1"/>
  <c r="B30" i="14"/>
  <c r="C29" i="14"/>
  <c r="B29" i="14"/>
  <c r="D28" i="14"/>
  <c r="B28" i="14"/>
  <c r="C28" i="14" s="1"/>
  <c r="B27" i="14"/>
  <c r="C27" i="14" s="1"/>
  <c r="B26" i="14"/>
  <c r="B25" i="14"/>
  <c r="D25" i="14" s="1"/>
  <c r="D24" i="14"/>
  <c r="C24" i="14"/>
  <c r="B24" i="14"/>
  <c r="B23" i="14"/>
  <c r="D23" i="14" s="1"/>
  <c r="B22" i="14"/>
  <c r="D21" i="14"/>
  <c r="B21" i="14"/>
  <c r="B20" i="14"/>
  <c r="D19" i="14"/>
  <c r="C19" i="14"/>
  <c r="B19" i="14"/>
  <c r="D31" i="14" s="1"/>
  <c r="B18" i="14"/>
  <c r="C17" i="14"/>
  <c r="B17" i="14"/>
  <c r="C18" i="14" s="1"/>
  <c r="B16" i="14"/>
  <c r="B15" i="14"/>
  <c r="D27" i="14" s="1"/>
  <c r="B14" i="14"/>
  <c r="C14" i="14" s="1"/>
  <c r="C13" i="14"/>
  <c r="B13" i="14"/>
  <c r="B12" i="14"/>
  <c r="B11" i="14"/>
  <c r="C11" i="14" s="1"/>
  <c r="B10" i="14"/>
  <c r="C10" i="14" s="1"/>
  <c r="B9" i="14"/>
  <c r="C9" i="14" s="1"/>
  <c r="B8" i="14"/>
  <c r="B7" i="14"/>
  <c r="C8" i="14" s="1"/>
  <c r="D378" i="13"/>
  <c r="B378" i="13"/>
  <c r="C378" i="13" s="1"/>
  <c r="B377" i="13"/>
  <c r="B376" i="13"/>
  <c r="C375" i="13"/>
  <c r="B375" i="13"/>
  <c r="C376" i="13" s="1"/>
  <c r="D374" i="13"/>
  <c r="B374" i="13"/>
  <c r="C374" i="13" s="1"/>
  <c r="D373" i="13"/>
  <c r="B373" i="13"/>
  <c r="C373" i="13" s="1"/>
  <c r="D372" i="13"/>
  <c r="B372" i="13"/>
  <c r="C372" i="13" s="1"/>
  <c r="B371" i="13"/>
  <c r="D371" i="13" s="1"/>
  <c r="D370" i="13"/>
  <c r="B370" i="13"/>
  <c r="C370" i="13" s="1"/>
  <c r="C369" i="13"/>
  <c r="B369" i="13"/>
  <c r="D368" i="13"/>
  <c r="C368" i="13"/>
  <c r="B368" i="13"/>
  <c r="B367" i="13"/>
  <c r="C367" i="13" s="1"/>
  <c r="D366" i="13"/>
  <c r="B366" i="13"/>
  <c r="D365" i="13"/>
  <c r="B365" i="13"/>
  <c r="C365" i="13" s="1"/>
  <c r="B364" i="13"/>
  <c r="D376" i="13" s="1"/>
  <c r="C363" i="13"/>
  <c r="B363" i="13"/>
  <c r="B362" i="13"/>
  <c r="B361" i="13"/>
  <c r="B360" i="13"/>
  <c r="C360" i="13" s="1"/>
  <c r="D359" i="13"/>
  <c r="B359" i="13"/>
  <c r="C359" i="13" s="1"/>
  <c r="B358" i="13"/>
  <c r="B357" i="13"/>
  <c r="D369" i="13" s="1"/>
  <c r="C356" i="13"/>
  <c r="B356" i="13"/>
  <c r="D355" i="13"/>
  <c r="C355" i="13"/>
  <c r="B355" i="13"/>
  <c r="D367" i="13" s="1"/>
  <c r="B354" i="13"/>
  <c r="B353" i="13"/>
  <c r="D353" i="13" s="1"/>
  <c r="D352" i="13"/>
  <c r="C352" i="13"/>
  <c r="B352" i="13"/>
  <c r="C353" i="13" s="1"/>
  <c r="B351" i="13"/>
  <c r="D363" i="13" s="1"/>
  <c r="B350" i="13"/>
  <c r="D362" i="13" s="1"/>
  <c r="B349" i="13"/>
  <c r="D349" i="13" s="1"/>
  <c r="B348" i="13"/>
  <c r="D347" i="13"/>
  <c r="B347" i="13"/>
  <c r="C347" i="13" s="1"/>
  <c r="D346" i="13"/>
  <c r="B346" i="13"/>
  <c r="C346" i="13" s="1"/>
  <c r="B345" i="13"/>
  <c r="C345" i="13" s="1"/>
  <c r="B344" i="13"/>
  <c r="D356" i="13" s="1"/>
  <c r="C343" i="13"/>
  <c r="B343" i="13"/>
  <c r="B342" i="13"/>
  <c r="C342" i="13" s="1"/>
  <c r="B341" i="13"/>
  <c r="B340" i="13"/>
  <c r="C341" i="13" s="1"/>
  <c r="D339" i="13"/>
  <c r="C339" i="13"/>
  <c r="B339" i="13"/>
  <c r="C340" i="13" s="1"/>
  <c r="B338" i="13"/>
  <c r="C338" i="13" s="1"/>
  <c r="D337" i="13"/>
  <c r="B337" i="13"/>
  <c r="C337" i="13" s="1"/>
  <c r="B336" i="13"/>
  <c r="D336" i="13" s="1"/>
  <c r="C335" i="13"/>
  <c r="B335" i="13"/>
  <c r="D335" i="13" s="1"/>
  <c r="B334" i="13"/>
  <c r="C334" i="13" s="1"/>
  <c r="D333" i="13"/>
  <c r="C333" i="13"/>
  <c r="B333" i="13"/>
  <c r="D345" i="13" s="1"/>
  <c r="B332" i="13"/>
  <c r="B331" i="13"/>
  <c r="D330" i="13"/>
  <c r="B330" i="13"/>
  <c r="C330" i="13" s="1"/>
  <c r="B329" i="13"/>
  <c r="D341" i="13" s="1"/>
  <c r="B328" i="13"/>
  <c r="B327" i="13"/>
  <c r="C328" i="13" s="1"/>
  <c r="D326" i="13"/>
  <c r="B326" i="13"/>
  <c r="D325" i="13"/>
  <c r="B325" i="13"/>
  <c r="C325" i="13" s="1"/>
  <c r="D324" i="13"/>
  <c r="B324" i="13"/>
  <c r="C324" i="13" s="1"/>
  <c r="B323" i="13"/>
  <c r="D323" i="13" s="1"/>
  <c r="B322" i="13"/>
  <c r="D334" i="13" s="1"/>
  <c r="C321" i="13"/>
  <c r="B321" i="13"/>
  <c r="D320" i="13"/>
  <c r="C320" i="13"/>
  <c r="B320" i="13"/>
  <c r="D332" i="13" s="1"/>
  <c r="B319" i="13"/>
  <c r="C319" i="13" s="1"/>
  <c r="D318" i="13"/>
  <c r="B318" i="13"/>
  <c r="C317" i="13"/>
  <c r="B317" i="13"/>
  <c r="D317" i="13" s="1"/>
  <c r="B316" i="13"/>
  <c r="D328" i="13" s="1"/>
  <c r="B315" i="13"/>
  <c r="B314" i="13"/>
  <c r="C313" i="13"/>
  <c r="B313" i="13"/>
  <c r="D313" i="13" s="1"/>
  <c r="B312" i="13"/>
  <c r="C312" i="13" s="1"/>
  <c r="D311" i="13"/>
  <c r="B311" i="13"/>
  <c r="C311" i="13" s="1"/>
  <c r="B310" i="13"/>
  <c r="B309" i="13"/>
  <c r="C308" i="13"/>
  <c r="B308" i="13"/>
  <c r="D307" i="13"/>
  <c r="C307" i="13"/>
  <c r="B307" i="13"/>
  <c r="D319" i="13" s="1"/>
  <c r="B306" i="13"/>
  <c r="B305" i="13"/>
  <c r="D305" i="13" s="1"/>
  <c r="D304" i="13"/>
  <c r="C304" i="13"/>
  <c r="B304" i="13"/>
  <c r="C305" i="13" s="1"/>
  <c r="B303" i="13"/>
  <c r="D315" i="13" s="1"/>
  <c r="B302" i="13"/>
  <c r="B301" i="13"/>
  <c r="D301" i="13" s="1"/>
  <c r="B300" i="13"/>
  <c r="D300" i="13" s="1"/>
  <c r="B299" i="13"/>
  <c r="C299" i="13" s="1"/>
  <c r="D298" i="13"/>
  <c r="B298" i="13"/>
  <c r="C298" i="13" s="1"/>
  <c r="B297" i="13"/>
  <c r="B296" i="13"/>
  <c r="C295" i="13"/>
  <c r="B295" i="13"/>
  <c r="B294" i="13"/>
  <c r="C294" i="13" s="1"/>
  <c r="B293" i="13"/>
  <c r="B292" i="13"/>
  <c r="C293" i="13" s="1"/>
  <c r="D291" i="13"/>
  <c r="C291" i="13"/>
  <c r="B291" i="13"/>
  <c r="C292" i="13" s="1"/>
  <c r="B290" i="13"/>
  <c r="C290" i="13" s="1"/>
  <c r="D289" i="13"/>
  <c r="B289" i="13"/>
  <c r="C289" i="13" s="1"/>
  <c r="B288" i="13"/>
  <c r="D288" i="13" s="1"/>
  <c r="C287" i="13"/>
  <c r="B287" i="13"/>
  <c r="D287" i="13" s="1"/>
  <c r="B286" i="13"/>
  <c r="C286" i="13" s="1"/>
  <c r="D285" i="13"/>
  <c r="C285" i="13"/>
  <c r="B285" i="13"/>
  <c r="D297" i="13" s="1"/>
  <c r="B284" i="13"/>
  <c r="B283" i="13"/>
  <c r="B282" i="13"/>
  <c r="B281" i="13"/>
  <c r="D293" i="13" s="1"/>
  <c r="B280" i="13"/>
  <c r="B279" i="13"/>
  <c r="C280" i="13" s="1"/>
  <c r="D278" i="13"/>
  <c r="B278" i="13"/>
  <c r="B277" i="13"/>
  <c r="C277" i="13" s="1"/>
  <c r="D276" i="13"/>
  <c r="B276" i="13"/>
  <c r="C276" i="13" s="1"/>
  <c r="B275" i="13"/>
  <c r="D275" i="13" s="1"/>
  <c r="B274" i="13"/>
  <c r="C273" i="13"/>
  <c r="B273" i="13"/>
  <c r="D272" i="13"/>
  <c r="C272" i="13"/>
  <c r="B272" i="13"/>
  <c r="D284" i="13" s="1"/>
  <c r="B271" i="13"/>
  <c r="C271" i="13" s="1"/>
  <c r="D270" i="13"/>
  <c r="B270" i="13"/>
  <c r="C269" i="13"/>
  <c r="B269" i="13"/>
  <c r="D269" i="13" s="1"/>
  <c r="B268" i="13"/>
  <c r="D280" i="13" s="1"/>
  <c r="B267" i="13"/>
  <c r="B266" i="13"/>
  <c r="C265" i="13"/>
  <c r="B265" i="13"/>
  <c r="D265" i="13" s="1"/>
  <c r="B264" i="13"/>
  <c r="C264" i="13" s="1"/>
  <c r="D263" i="13"/>
  <c r="B263" i="13"/>
  <c r="C263" i="13" s="1"/>
  <c r="B262" i="13"/>
  <c r="B261" i="13"/>
  <c r="D260" i="13"/>
  <c r="C260" i="13"/>
  <c r="B260" i="13"/>
  <c r="D259" i="13"/>
  <c r="C259" i="13"/>
  <c r="B259" i="13"/>
  <c r="D271" i="13" s="1"/>
  <c r="B258" i="13"/>
  <c r="B257" i="13"/>
  <c r="D257" i="13" s="1"/>
  <c r="D256" i="13"/>
  <c r="C256" i="13"/>
  <c r="B256" i="13"/>
  <c r="C257" i="13" s="1"/>
  <c r="B255" i="13"/>
  <c r="D267" i="13" s="1"/>
  <c r="B254" i="13"/>
  <c r="B253" i="13"/>
  <c r="D253" i="13" s="1"/>
  <c r="B252" i="13"/>
  <c r="B251" i="13"/>
  <c r="C251" i="13" s="1"/>
  <c r="D250" i="13"/>
  <c r="B250" i="13"/>
  <c r="C250" i="13" s="1"/>
  <c r="B249" i="13"/>
  <c r="B248" i="13"/>
  <c r="C247" i="13"/>
  <c r="B247" i="13"/>
  <c r="B246" i="13"/>
  <c r="C246" i="13" s="1"/>
  <c r="B245" i="13"/>
  <c r="B244" i="13"/>
  <c r="C245" i="13" s="1"/>
  <c r="D243" i="13"/>
  <c r="C243" i="13"/>
  <c r="B243" i="13"/>
  <c r="C244" i="13" s="1"/>
  <c r="B242" i="13"/>
  <c r="C242" i="13" s="1"/>
  <c r="D241" i="13"/>
  <c r="B241" i="13"/>
  <c r="C241" i="13" s="1"/>
  <c r="B240" i="13"/>
  <c r="D240" i="13" s="1"/>
  <c r="C239" i="13"/>
  <c r="B239" i="13"/>
  <c r="D239" i="13" s="1"/>
  <c r="D238" i="13"/>
  <c r="B238" i="13"/>
  <c r="C238" i="13" s="1"/>
  <c r="D237" i="13"/>
  <c r="C237" i="13"/>
  <c r="B237" i="13"/>
  <c r="D249" i="13" s="1"/>
  <c r="B236" i="13"/>
  <c r="B235" i="13"/>
  <c r="D247" i="13" s="1"/>
  <c r="B234" i="13"/>
  <c r="C234" i="13" s="1"/>
  <c r="B233" i="13"/>
  <c r="D245" i="13" s="1"/>
  <c r="B232" i="13"/>
  <c r="B231" i="13"/>
  <c r="C232" i="13" s="1"/>
  <c r="D230" i="13"/>
  <c r="B230" i="13"/>
  <c r="D229" i="13"/>
  <c r="B229" i="13"/>
  <c r="C229" i="13" s="1"/>
  <c r="D228" i="13"/>
  <c r="B228" i="13"/>
  <c r="C228" i="13" s="1"/>
  <c r="B227" i="13"/>
  <c r="D227" i="13" s="1"/>
  <c r="B226" i="13"/>
  <c r="C225" i="13"/>
  <c r="B225" i="13"/>
  <c r="D224" i="13"/>
  <c r="C224" i="13"/>
  <c r="B224" i="13"/>
  <c r="D236" i="13" s="1"/>
  <c r="B223" i="13"/>
  <c r="C223" i="13" s="1"/>
  <c r="D222" i="13"/>
  <c r="B222" i="13"/>
  <c r="C221" i="13"/>
  <c r="B221" i="13"/>
  <c r="D221" i="13" s="1"/>
  <c r="B220" i="13"/>
  <c r="D232" i="13" s="1"/>
  <c r="B219" i="13"/>
  <c r="B218" i="13"/>
  <c r="B217" i="13"/>
  <c r="B216" i="13"/>
  <c r="C216" i="13" s="1"/>
  <c r="D215" i="13"/>
  <c r="B215" i="13"/>
  <c r="C215" i="13" s="1"/>
  <c r="B214" i="13"/>
  <c r="B213" i="13"/>
  <c r="D225" i="13" s="1"/>
  <c r="C212" i="13"/>
  <c r="B212" i="13"/>
  <c r="D211" i="13"/>
  <c r="C211" i="13"/>
  <c r="B211" i="13"/>
  <c r="D223" i="13" s="1"/>
  <c r="B210" i="13"/>
  <c r="B209" i="13"/>
  <c r="D209" i="13" s="1"/>
  <c r="D208" i="13"/>
  <c r="C208" i="13"/>
  <c r="B208" i="13"/>
  <c r="C209" i="13" s="1"/>
  <c r="B207" i="13"/>
  <c r="D219" i="13" s="1"/>
  <c r="B206" i="13"/>
  <c r="B205" i="13"/>
  <c r="D205" i="13" s="1"/>
  <c r="B204" i="13"/>
  <c r="D203" i="13"/>
  <c r="B203" i="13"/>
  <c r="C203" i="13" s="1"/>
  <c r="D202" i="13"/>
  <c r="B202" i="13"/>
  <c r="C202" i="13" s="1"/>
  <c r="B201" i="13"/>
  <c r="C201" i="13" s="1"/>
  <c r="B200" i="13"/>
  <c r="D212" i="13" s="1"/>
  <c r="C199" i="13"/>
  <c r="B199" i="13"/>
  <c r="B198" i="13"/>
  <c r="C198" i="13" s="1"/>
  <c r="B197" i="13"/>
  <c r="B196" i="13"/>
  <c r="C197" i="13" s="1"/>
  <c r="D195" i="13"/>
  <c r="C195" i="13"/>
  <c r="B195" i="13"/>
  <c r="C196" i="13" s="1"/>
  <c r="B194" i="13"/>
  <c r="C194" i="13" s="1"/>
  <c r="D193" i="13"/>
  <c r="B193" i="13"/>
  <c r="C193" i="13" s="1"/>
  <c r="B192" i="13"/>
  <c r="D192" i="13" s="1"/>
  <c r="C191" i="13"/>
  <c r="B191" i="13"/>
  <c r="D191" i="13" s="1"/>
  <c r="B190" i="13"/>
  <c r="C190" i="13" s="1"/>
  <c r="D189" i="13"/>
  <c r="C189" i="13"/>
  <c r="B189" i="13"/>
  <c r="D201" i="13" s="1"/>
  <c r="B188" i="13"/>
  <c r="B187" i="13"/>
  <c r="D186" i="13"/>
  <c r="B186" i="13"/>
  <c r="C186" i="13" s="1"/>
  <c r="B185" i="13"/>
  <c r="D197" i="13" s="1"/>
  <c r="B184" i="13"/>
  <c r="B183" i="13"/>
  <c r="C184" i="13" s="1"/>
  <c r="D182" i="13"/>
  <c r="B182" i="13"/>
  <c r="D181" i="13"/>
  <c r="B181" i="13"/>
  <c r="C181" i="13" s="1"/>
  <c r="D180" i="13"/>
  <c r="B180" i="13"/>
  <c r="C180" i="13" s="1"/>
  <c r="B179" i="13"/>
  <c r="D179" i="13" s="1"/>
  <c r="B178" i="13"/>
  <c r="D190" i="13" s="1"/>
  <c r="C177" i="13"/>
  <c r="B177" i="13"/>
  <c r="D176" i="13"/>
  <c r="C176" i="13"/>
  <c r="B176" i="13"/>
  <c r="D188" i="13" s="1"/>
  <c r="B175" i="13"/>
  <c r="C175" i="13" s="1"/>
  <c r="D174" i="13"/>
  <c r="B174" i="13"/>
  <c r="C173" i="13"/>
  <c r="B173" i="13"/>
  <c r="D173" i="13" s="1"/>
  <c r="B172" i="13"/>
  <c r="D184" i="13" s="1"/>
  <c r="B171" i="13"/>
  <c r="B170" i="13"/>
  <c r="B169" i="13"/>
  <c r="D169" i="13" s="1"/>
  <c r="B168" i="13"/>
  <c r="C168" i="13" s="1"/>
  <c r="D167" i="13"/>
  <c r="B167" i="13"/>
  <c r="C167" i="13" s="1"/>
  <c r="B166" i="13"/>
  <c r="B165" i="13"/>
  <c r="C164" i="13"/>
  <c r="B164" i="13"/>
  <c r="D163" i="13"/>
  <c r="C163" i="13"/>
  <c r="B163" i="13"/>
  <c r="D175" i="13" s="1"/>
  <c r="B162" i="13"/>
  <c r="B161" i="13"/>
  <c r="D161" i="13" s="1"/>
  <c r="D160" i="13"/>
  <c r="C160" i="13"/>
  <c r="B160" i="13"/>
  <c r="C161" i="13" s="1"/>
  <c r="B159" i="13"/>
  <c r="D171" i="13" s="1"/>
  <c r="B158" i="13"/>
  <c r="B157" i="13"/>
  <c r="D157" i="13" s="1"/>
  <c r="B156" i="13"/>
  <c r="D156" i="13" s="1"/>
  <c r="B155" i="13"/>
  <c r="C155" i="13" s="1"/>
  <c r="D154" i="13"/>
  <c r="B154" i="13"/>
  <c r="C154" i="13" s="1"/>
  <c r="B153" i="13"/>
  <c r="B152" i="13"/>
  <c r="C151" i="13"/>
  <c r="B151" i="13"/>
  <c r="B150" i="13"/>
  <c r="C150" i="13" s="1"/>
  <c r="B149" i="13"/>
  <c r="B148" i="13"/>
  <c r="C149" i="13" s="1"/>
  <c r="D147" i="13"/>
  <c r="C147" i="13"/>
  <c r="B147" i="13"/>
  <c r="C148" i="13" s="1"/>
  <c r="B146" i="13"/>
  <c r="C146" i="13" s="1"/>
  <c r="D145" i="13"/>
  <c r="B145" i="13"/>
  <c r="C145" i="13" s="1"/>
  <c r="B144" i="13"/>
  <c r="D144" i="13" s="1"/>
  <c r="C143" i="13"/>
  <c r="B143" i="13"/>
  <c r="D143" i="13" s="1"/>
  <c r="B142" i="13"/>
  <c r="D141" i="13"/>
  <c r="C141" i="13"/>
  <c r="B141" i="13"/>
  <c r="D153" i="13" s="1"/>
  <c r="B140" i="13"/>
  <c r="B139" i="13"/>
  <c r="B138" i="13"/>
  <c r="B137" i="13"/>
  <c r="D149" i="13" s="1"/>
  <c r="B136" i="13"/>
  <c r="B135" i="13"/>
  <c r="C136" i="13" s="1"/>
  <c r="D134" i="13"/>
  <c r="B134" i="13"/>
  <c r="B133" i="13"/>
  <c r="C133" i="13" s="1"/>
  <c r="D132" i="13"/>
  <c r="B132" i="13"/>
  <c r="C132" i="13" s="1"/>
  <c r="B131" i="13"/>
  <c r="D131" i="13" s="1"/>
  <c r="B130" i="13"/>
  <c r="C129" i="13"/>
  <c r="B129" i="13"/>
  <c r="D128" i="13"/>
  <c r="C128" i="13"/>
  <c r="B128" i="13"/>
  <c r="D140" i="13" s="1"/>
  <c r="B127" i="13"/>
  <c r="C127" i="13" s="1"/>
  <c r="D126" i="13"/>
  <c r="B126" i="13"/>
  <c r="C125" i="13"/>
  <c r="B125" i="13"/>
  <c r="D125" i="13" s="1"/>
  <c r="B124" i="13"/>
  <c r="D136" i="13" s="1"/>
  <c r="B123" i="13"/>
  <c r="B122" i="13"/>
  <c r="C121" i="13"/>
  <c r="B121" i="13"/>
  <c r="D121" i="13" s="1"/>
  <c r="B120" i="13"/>
  <c r="C120" i="13" s="1"/>
  <c r="D119" i="13"/>
  <c r="B119" i="13"/>
  <c r="C119" i="13" s="1"/>
  <c r="B118" i="13"/>
  <c r="B117" i="13"/>
  <c r="D116" i="13"/>
  <c r="C116" i="13"/>
  <c r="B116" i="13"/>
  <c r="D115" i="13"/>
  <c r="C115" i="13"/>
  <c r="B115" i="13"/>
  <c r="D127" i="13" s="1"/>
  <c r="B114" i="13"/>
  <c r="B113" i="13"/>
  <c r="D113" i="13" s="1"/>
  <c r="C112" i="13"/>
  <c r="B112" i="13"/>
  <c r="C113" i="13" s="1"/>
  <c r="B111" i="13"/>
  <c r="D123" i="13" s="1"/>
  <c r="B110" i="13"/>
  <c r="B109" i="13"/>
  <c r="D109" i="13" s="1"/>
  <c r="B108" i="13"/>
  <c r="D107" i="13"/>
  <c r="B107" i="13"/>
  <c r="C107" i="13" s="1"/>
  <c r="D106" i="13"/>
  <c r="B106" i="13"/>
  <c r="C106" i="13" s="1"/>
  <c r="D105" i="13"/>
  <c r="B105" i="13"/>
  <c r="C105" i="13" s="1"/>
  <c r="B104" i="13"/>
  <c r="D103" i="13"/>
  <c r="C103" i="13"/>
  <c r="B103" i="13"/>
  <c r="D102" i="13"/>
  <c r="C102" i="13"/>
  <c r="B102" i="13"/>
  <c r="D114" i="13" s="1"/>
  <c r="D101" i="13"/>
  <c r="B101" i="13"/>
  <c r="B100" i="13"/>
  <c r="D112" i="13" s="1"/>
  <c r="D99" i="13"/>
  <c r="C99" i="13"/>
  <c r="B99" i="13"/>
  <c r="D98" i="13"/>
  <c r="C98" i="13"/>
  <c r="B98" i="13"/>
  <c r="D97" i="13"/>
  <c r="B97" i="13"/>
  <c r="C97" i="13" s="1"/>
  <c r="B96" i="13"/>
  <c r="D95" i="13"/>
  <c r="C95" i="13"/>
  <c r="B95" i="13"/>
  <c r="D94" i="13"/>
  <c r="C94" i="13"/>
  <c r="B94" i="13"/>
  <c r="D93" i="13"/>
  <c r="B93" i="13"/>
  <c r="B92" i="13"/>
  <c r="D91" i="13"/>
  <c r="C91" i="13"/>
  <c r="B91" i="13"/>
  <c r="D90" i="13"/>
  <c r="C90" i="13"/>
  <c r="B90" i="13"/>
  <c r="D89" i="13"/>
  <c r="B89" i="13"/>
  <c r="C89" i="13" s="1"/>
  <c r="B88" i="13"/>
  <c r="D87" i="13"/>
  <c r="C87" i="13"/>
  <c r="B87" i="13"/>
  <c r="D86" i="13"/>
  <c r="C86" i="13"/>
  <c r="B86" i="13"/>
  <c r="D85" i="13"/>
  <c r="B85" i="13"/>
  <c r="B84" i="13"/>
  <c r="D83" i="13"/>
  <c r="C83" i="13"/>
  <c r="B83" i="13"/>
  <c r="D82" i="13"/>
  <c r="C82" i="13"/>
  <c r="B82" i="13"/>
  <c r="D81" i="13"/>
  <c r="B81" i="13"/>
  <c r="C81" i="13" s="1"/>
  <c r="B80" i="13"/>
  <c r="D79" i="13"/>
  <c r="C79" i="13"/>
  <c r="B79" i="13"/>
  <c r="D78" i="13"/>
  <c r="C78" i="13"/>
  <c r="B78" i="13"/>
  <c r="D77" i="13"/>
  <c r="B77" i="13"/>
  <c r="B76" i="13"/>
  <c r="D75" i="13"/>
  <c r="C75" i="13"/>
  <c r="B75" i="13"/>
  <c r="D74" i="13"/>
  <c r="C74" i="13"/>
  <c r="B74" i="13"/>
  <c r="D73" i="13"/>
  <c r="B73" i="13"/>
  <c r="C73" i="13" s="1"/>
  <c r="B72" i="13"/>
  <c r="D71" i="13"/>
  <c r="C71" i="13"/>
  <c r="B71" i="13"/>
  <c r="D70" i="13"/>
  <c r="C70" i="13"/>
  <c r="B70" i="13"/>
  <c r="D69" i="13"/>
  <c r="B69" i="13"/>
  <c r="B68" i="13"/>
  <c r="D67" i="13"/>
  <c r="C67" i="13"/>
  <c r="B67" i="13"/>
  <c r="D66" i="13"/>
  <c r="C66" i="13"/>
  <c r="B66" i="13"/>
  <c r="D65" i="13"/>
  <c r="B65" i="13"/>
  <c r="C65" i="13" s="1"/>
  <c r="B64" i="13"/>
  <c r="D63" i="13"/>
  <c r="C63" i="13"/>
  <c r="B63" i="13"/>
  <c r="D62" i="13"/>
  <c r="C62" i="13"/>
  <c r="B62" i="13"/>
  <c r="D61" i="13"/>
  <c r="B61" i="13"/>
  <c r="B60" i="13"/>
  <c r="D59" i="13"/>
  <c r="C59" i="13"/>
  <c r="B59" i="13"/>
  <c r="D58" i="13"/>
  <c r="C58" i="13"/>
  <c r="B58" i="13"/>
  <c r="D57" i="13"/>
  <c r="B57" i="13"/>
  <c r="C57" i="13" s="1"/>
  <c r="B56" i="13"/>
  <c r="D55" i="13"/>
  <c r="C55" i="13"/>
  <c r="B55" i="13"/>
  <c r="D54" i="13"/>
  <c r="C54" i="13"/>
  <c r="B54" i="13"/>
  <c r="D53" i="13"/>
  <c r="B53" i="13"/>
  <c r="B52" i="13"/>
  <c r="D51" i="13"/>
  <c r="C51" i="13"/>
  <c r="B51" i="13"/>
  <c r="C50" i="13"/>
  <c r="B50" i="13"/>
  <c r="D49" i="13"/>
  <c r="B49" i="13"/>
  <c r="B48" i="13"/>
  <c r="D47" i="13"/>
  <c r="C47" i="13"/>
  <c r="B47" i="13"/>
  <c r="C46" i="13"/>
  <c r="B46" i="13"/>
  <c r="D45" i="13"/>
  <c r="B45" i="13"/>
  <c r="B44" i="13"/>
  <c r="D43" i="13"/>
  <c r="C43" i="13"/>
  <c r="B43" i="13"/>
  <c r="C42" i="13"/>
  <c r="B42" i="13"/>
  <c r="D41" i="13"/>
  <c r="B41" i="13"/>
  <c r="B40" i="13"/>
  <c r="D39" i="13"/>
  <c r="C39" i="13"/>
  <c r="B39" i="13"/>
  <c r="C38" i="13"/>
  <c r="B38" i="13"/>
  <c r="D50" i="13" s="1"/>
  <c r="D37" i="13"/>
  <c r="B37" i="13"/>
  <c r="B36" i="13"/>
  <c r="D35" i="13"/>
  <c r="C35" i="13"/>
  <c r="B35" i="13"/>
  <c r="C34" i="13"/>
  <c r="B34" i="13"/>
  <c r="D46" i="13" s="1"/>
  <c r="D33" i="13"/>
  <c r="B33" i="13"/>
  <c r="B32" i="13"/>
  <c r="D31" i="13"/>
  <c r="C31" i="13"/>
  <c r="B31" i="13"/>
  <c r="C30" i="13"/>
  <c r="B30" i="13"/>
  <c r="D42" i="13" s="1"/>
  <c r="B29" i="13"/>
  <c r="C29" i="13" s="1"/>
  <c r="B28" i="13"/>
  <c r="D27" i="13"/>
  <c r="C27" i="13"/>
  <c r="B27" i="13"/>
  <c r="C26" i="13"/>
  <c r="B26" i="13"/>
  <c r="D38" i="13" s="1"/>
  <c r="B25" i="13"/>
  <c r="B24" i="13"/>
  <c r="D23" i="13"/>
  <c r="C23" i="13"/>
  <c r="B23" i="13"/>
  <c r="C22" i="13"/>
  <c r="B22" i="13"/>
  <c r="D22" i="13" s="1"/>
  <c r="B21" i="13"/>
  <c r="C21" i="13" s="1"/>
  <c r="B20" i="13"/>
  <c r="C19" i="13"/>
  <c r="B19" i="13"/>
  <c r="B18" i="13"/>
  <c r="C18" i="13" s="1"/>
  <c r="C17" i="13"/>
  <c r="B17" i="13"/>
  <c r="D29" i="13" s="1"/>
  <c r="B16" i="13"/>
  <c r="C16" i="13" s="1"/>
  <c r="B15" i="13"/>
  <c r="C14" i="13"/>
  <c r="B14" i="13"/>
  <c r="C15" i="13" s="1"/>
  <c r="C13" i="13"/>
  <c r="B13" i="13"/>
  <c r="D25" i="13" s="1"/>
  <c r="B12" i="13"/>
  <c r="C12" i="13" s="1"/>
  <c r="C11" i="13"/>
  <c r="B11" i="13"/>
  <c r="B10" i="13"/>
  <c r="C10" i="13" s="1"/>
  <c r="B9" i="13"/>
  <c r="D21" i="13" s="1"/>
  <c r="B8" i="13"/>
  <c r="B7" i="13"/>
  <c r="D19" i="13" s="1"/>
  <c r="B378" i="12"/>
  <c r="D378" i="12" s="1"/>
  <c r="B377" i="12"/>
  <c r="D377" i="12" s="1"/>
  <c r="B376" i="12"/>
  <c r="B375" i="12"/>
  <c r="B374" i="12"/>
  <c r="B373" i="12"/>
  <c r="B372" i="12"/>
  <c r="B371" i="12"/>
  <c r="C372" i="12" s="1"/>
  <c r="B370" i="12"/>
  <c r="B369" i="12"/>
  <c r="D369" i="12" s="1"/>
  <c r="B368" i="12"/>
  <c r="D367" i="12"/>
  <c r="B367" i="12"/>
  <c r="B366" i="12"/>
  <c r="B365" i="12"/>
  <c r="B364" i="12"/>
  <c r="B363" i="12"/>
  <c r="C364" i="12" s="1"/>
  <c r="B362" i="12"/>
  <c r="B361" i="12"/>
  <c r="D361" i="12" s="1"/>
  <c r="B360" i="12"/>
  <c r="B359" i="12"/>
  <c r="B358" i="12"/>
  <c r="B357" i="12"/>
  <c r="D357" i="12" s="1"/>
  <c r="B356" i="12"/>
  <c r="B355" i="12"/>
  <c r="B354" i="12"/>
  <c r="B353" i="12"/>
  <c r="D353" i="12" s="1"/>
  <c r="B352" i="12"/>
  <c r="C353" i="12" s="1"/>
  <c r="C351" i="12"/>
  <c r="B351" i="12"/>
  <c r="B350" i="12"/>
  <c r="B349" i="12"/>
  <c r="D349" i="12" s="1"/>
  <c r="B348" i="12"/>
  <c r="B347" i="12"/>
  <c r="D359" i="12" s="1"/>
  <c r="B346" i="12"/>
  <c r="B345" i="12"/>
  <c r="D345" i="12" s="1"/>
  <c r="B344" i="12"/>
  <c r="B343" i="12"/>
  <c r="C343" i="12" s="1"/>
  <c r="B342" i="12"/>
  <c r="B341" i="12"/>
  <c r="B340" i="12"/>
  <c r="B339" i="12"/>
  <c r="D351" i="12" s="1"/>
  <c r="B338" i="12"/>
  <c r="B337" i="12"/>
  <c r="D337" i="12" s="1"/>
  <c r="B336" i="12"/>
  <c r="B335" i="12"/>
  <c r="C335" i="12" s="1"/>
  <c r="B334" i="12"/>
  <c r="B333" i="12"/>
  <c r="B332" i="12"/>
  <c r="C331" i="12"/>
  <c r="B331" i="12"/>
  <c r="B330" i="12"/>
  <c r="B329" i="12"/>
  <c r="B328" i="12"/>
  <c r="B327" i="12"/>
  <c r="B326" i="12"/>
  <c r="D325" i="12"/>
  <c r="B325" i="12"/>
  <c r="B324" i="12"/>
  <c r="B323" i="12"/>
  <c r="B322" i="12"/>
  <c r="B321" i="12"/>
  <c r="D321" i="12" s="1"/>
  <c r="B320" i="12"/>
  <c r="B319" i="12"/>
  <c r="B318" i="12"/>
  <c r="B317" i="12"/>
  <c r="D317" i="12" s="1"/>
  <c r="B316" i="12"/>
  <c r="B315" i="12"/>
  <c r="B314" i="12"/>
  <c r="B313" i="12"/>
  <c r="B312" i="12"/>
  <c r="B311" i="12"/>
  <c r="B310" i="12"/>
  <c r="B309" i="12"/>
  <c r="D309" i="12" s="1"/>
  <c r="B308" i="12"/>
  <c r="B307" i="12"/>
  <c r="B306" i="12"/>
  <c r="B305" i="12"/>
  <c r="B304" i="12"/>
  <c r="B303" i="12"/>
  <c r="C303" i="12" s="1"/>
  <c r="B302" i="12"/>
  <c r="B301" i="12"/>
  <c r="B300" i="12"/>
  <c r="B299" i="12"/>
  <c r="B298" i="12"/>
  <c r="B297" i="12"/>
  <c r="D297" i="12" s="1"/>
  <c r="B296" i="12"/>
  <c r="B295" i="12"/>
  <c r="C295" i="12" s="1"/>
  <c r="B294" i="12"/>
  <c r="B293" i="12"/>
  <c r="D305" i="12" s="1"/>
  <c r="B292" i="12"/>
  <c r="B291" i="12"/>
  <c r="B290" i="12"/>
  <c r="B289" i="12"/>
  <c r="D289" i="12" s="1"/>
  <c r="B288" i="12"/>
  <c r="D287" i="12"/>
  <c r="B287" i="12"/>
  <c r="B286" i="12"/>
  <c r="D285" i="12"/>
  <c r="B285" i="12"/>
  <c r="B284" i="12"/>
  <c r="C283" i="12"/>
  <c r="B283" i="12"/>
  <c r="B282" i="12"/>
  <c r="B281" i="12"/>
  <c r="D281" i="12" s="1"/>
  <c r="B280" i="12"/>
  <c r="B279" i="12"/>
  <c r="B278" i="12"/>
  <c r="D277" i="12"/>
  <c r="B277" i="12"/>
  <c r="B276" i="12"/>
  <c r="C275" i="12"/>
  <c r="B275" i="12"/>
  <c r="B274" i="12"/>
  <c r="B273" i="12"/>
  <c r="B272" i="12"/>
  <c r="B271" i="12"/>
  <c r="B270" i="12"/>
  <c r="D269" i="12"/>
  <c r="B269" i="12"/>
  <c r="B268" i="12"/>
  <c r="C267" i="12"/>
  <c r="B267" i="12"/>
  <c r="B266" i="12"/>
  <c r="B265" i="12"/>
  <c r="B264" i="12"/>
  <c r="B263" i="12"/>
  <c r="B262" i="12"/>
  <c r="D261" i="12"/>
  <c r="B261" i="12"/>
  <c r="B260" i="12"/>
  <c r="B259" i="12"/>
  <c r="B258" i="12"/>
  <c r="D257" i="12"/>
  <c r="B257" i="12"/>
  <c r="B256" i="12"/>
  <c r="B255" i="12"/>
  <c r="C255" i="12" s="1"/>
  <c r="B254" i="12"/>
  <c r="B253" i="12"/>
  <c r="D253" i="12" s="1"/>
  <c r="B252" i="12"/>
  <c r="B251" i="12"/>
  <c r="D251" i="12" s="1"/>
  <c r="B250" i="12"/>
  <c r="D249" i="12"/>
  <c r="B249" i="12"/>
  <c r="B248" i="12"/>
  <c r="B247" i="12"/>
  <c r="C247" i="12" s="1"/>
  <c r="B246" i="12"/>
  <c r="B245" i="12"/>
  <c r="B244" i="12"/>
  <c r="B243" i="12"/>
  <c r="B242" i="12"/>
  <c r="C243" i="12" s="1"/>
  <c r="B241" i="12"/>
  <c r="C241" i="12" s="1"/>
  <c r="B240" i="12"/>
  <c r="B239" i="12"/>
  <c r="C239" i="12" s="1"/>
  <c r="B238" i="12"/>
  <c r="B237" i="12"/>
  <c r="B236" i="12"/>
  <c r="B235" i="12"/>
  <c r="D247" i="12" s="1"/>
  <c r="B234" i="12"/>
  <c r="C235" i="12" s="1"/>
  <c r="B233" i="12"/>
  <c r="C233" i="12" s="1"/>
  <c r="B232" i="12"/>
  <c r="B231" i="12"/>
  <c r="B230" i="12"/>
  <c r="B229" i="12"/>
  <c r="B228" i="12"/>
  <c r="B227" i="12"/>
  <c r="C227" i="12" s="1"/>
  <c r="B226" i="12"/>
  <c r="B225" i="12"/>
  <c r="C225" i="12" s="1"/>
  <c r="B224" i="12"/>
  <c r="B223" i="12"/>
  <c r="B222" i="12"/>
  <c r="B221" i="12"/>
  <c r="C221" i="12" s="1"/>
  <c r="B220" i="12"/>
  <c r="C219" i="12"/>
  <c r="B219" i="12"/>
  <c r="B218" i="12"/>
  <c r="B217" i="12"/>
  <c r="B216" i="12"/>
  <c r="D215" i="12"/>
  <c r="B215" i="12"/>
  <c r="B214" i="12"/>
  <c r="B213" i="12"/>
  <c r="B212" i="12"/>
  <c r="B211" i="12"/>
  <c r="B210" i="12"/>
  <c r="B209" i="12"/>
  <c r="B208" i="12"/>
  <c r="B207" i="12"/>
  <c r="D207" i="12" s="1"/>
  <c r="B206" i="12"/>
  <c r="C207" i="12" s="1"/>
  <c r="B205" i="12"/>
  <c r="B204" i="12"/>
  <c r="C203" i="12"/>
  <c r="B203" i="12"/>
  <c r="B202" i="12"/>
  <c r="B201" i="12"/>
  <c r="B200" i="12"/>
  <c r="B199" i="12"/>
  <c r="C199" i="12" s="1"/>
  <c r="B198" i="12"/>
  <c r="B197" i="12"/>
  <c r="B196" i="12"/>
  <c r="B195" i="12"/>
  <c r="B194" i="12"/>
  <c r="D193" i="12"/>
  <c r="B193" i="12"/>
  <c r="C193" i="12" s="1"/>
  <c r="B192" i="12"/>
  <c r="B191" i="12"/>
  <c r="B190" i="12"/>
  <c r="B189" i="12"/>
  <c r="D189" i="12" s="1"/>
  <c r="B188" i="12"/>
  <c r="B187" i="12"/>
  <c r="D199" i="12" s="1"/>
  <c r="B186" i="12"/>
  <c r="B185" i="12"/>
  <c r="C185" i="12" s="1"/>
  <c r="B184" i="12"/>
  <c r="B183" i="12"/>
  <c r="B182" i="12"/>
  <c r="B181" i="12"/>
  <c r="D181" i="12" s="1"/>
  <c r="B180" i="12"/>
  <c r="B179" i="12"/>
  <c r="C179" i="12" s="1"/>
  <c r="B178" i="12"/>
  <c r="B177" i="12"/>
  <c r="C177" i="12" s="1"/>
  <c r="B176" i="12"/>
  <c r="B175" i="12"/>
  <c r="C175" i="12" s="1"/>
  <c r="B174" i="12"/>
  <c r="B173" i="12"/>
  <c r="C173" i="12" s="1"/>
  <c r="B172" i="12"/>
  <c r="C171" i="12"/>
  <c r="B171" i="12"/>
  <c r="B170" i="12"/>
  <c r="B169" i="12"/>
  <c r="B168" i="12"/>
  <c r="D167" i="12"/>
  <c r="B167" i="12"/>
  <c r="B166" i="12"/>
  <c r="B165" i="12"/>
  <c r="B164" i="12"/>
  <c r="B163" i="12"/>
  <c r="B162" i="12"/>
  <c r="B161" i="12"/>
  <c r="B160" i="12"/>
  <c r="B159" i="12"/>
  <c r="D159" i="12" s="1"/>
  <c r="B158" i="12"/>
  <c r="C159" i="12" s="1"/>
  <c r="B157" i="12"/>
  <c r="B156" i="12"/>
  <c r="C155" i="12"/>
  <c r="B155" i="12"/>
  <c r="B154" i="12"/>
  <c r="B153" i="12"/>
  <c r="B152" i="12"/>
  <c r="B151" i="12"/>
  <c r="C151" i="12" s="1"/>
  <c r="B150" i="12"/>
  <c r="B149" i="12"/>
  <c r="B148" i="12"/>
  <c r="B147" i="12"/>
  <c r="B146" i="12"/>
  <c r="C147" i="12" s="1"/>
  <c r="D145" i="12"/>
  <c r="B145" i="12"/>
  <c r="B144" i="12"/>
  <c r="B143" i="12"/>
  <c r="C143" i="12" s="1"/>
  <c r="B142" i="12"/>
  <c r="B141" i="12"/>
  <c r="D141" i="12" s="1"/>
  <c r="B140" i="12"/>
  <c r="B139" i="12"/>
  <c r="D151" i="12" s="1"/>
  <c r="B138" i="12"/>
  <c r="C139" i="12" s="1"/>
  <c r="B137" i="12"/>
  <c r="C137" i="12" s="1"/>
  <c r="B136" i="12"/>
  <c r="B135" i="12"/>
  <c r="B134" i="12"/>
  <c r="B133" i="12"/>
  <c r="B132" i="12"/>
  <c r="B131" i="12"/>
  <c r="C131" i="12" s="1"/>
  <c r="B130" i="12"/>
  <c r="B129" i="12"/>
  <c r="C129" i="12" s="1"/>
  <c r="B128" i="12"/>
  <c r="D127" i="12"/>
  <c r="B127" i="12"/>
  <c r="C127" i="12" s="1"/>
  <c r="B126" i="12"/>
  <c r="B125" i="12"/>
  <c r="C125" i="12" s="1"/>
  <c r="B124" i="12"/>
  <c r="C123" i="12"/>
  <c r="B123" i="12"/>
  <c r="B122" i="12"/>
  <c r="B121" i="12"/>
  <c r="B120" i="12"/>
  <c r="D119" i="12"/>
  <c r="B119" i="12"/>
  <c r="B118" i="12"/>
  <c r="B117" i="12"/>
  <c r="B116" i="12"/>
  <c r="B115" i="12"/>
  <c r="B114" i="12"/>
  <c r="B113" i="12"/>
  <c r="B112" i="12"/>
  <c r="B111" i="12"/>
  <c r="D111" i="12" s="1"/>
  <c r="B110" i="12"/>
  <c r="C111" i="12" s="1"/>
  <c r="B109" i="12"/>
  <c r="B108" i="12"/>
  <c r="C107" i="12"/>
  <c r="B107" i="12"/>
  <c r="B106" i="12"/>
  <c r="B105" i="12"/>
  <c r="B104" i="12"/>
  <c r="B103" i="12"/>
  <c r="C103" i="12" s="1"/>
  <c r="B102" i="12"/>
  <c r="B101" i="12"/>
  <c r="B100" i="12"/>
  <c r="B99" i="12"/>
  <c r="B98" i="12"/>
  <c r="C99" i="12" s="1"/>
  <c r="D97" i="12"/>
  <c r="B97" i="12"/>
  <c r="B96" i="12"/>
  <c r="B95" i="12"/>
  <c r="B94" i="12"/>
  <c r="B93" i="12"/>
  <c r="B92" i="12"/>
  <c r="B91" i="12"/>
  <c r="D103" i="12" s="1"/>
  <c r="B90" i="12"/>
  <c r="B89" i="12"/>
  <c r="C89" i="12" s="1"/>
  <c r="B88" i="12"/>
  <c r="B87" i="12"/>
  <c r="D87" i="12" s="1"/>
  <c r="B86" i="12"/>
  <c r="B85" i="12"/>
  <c r="C85" i="12" s="1"/>
  <c r="B84" i="12"/>
  <c r="B83" i="12"/>
  <c r="D95" i="12" s="1"/>
  <c r="B82" i="12"/>
  <c r="B81" i="12"/>
  <c r="B80" i="12"/>
  <c r="D79" i="12"/>
  <c r="C79" i="12"/>
  <c r="B79" i="12"/>
  <c r="B78" i="12"/>
  <c r="B77" i="12"/>
  <c r="B76" i="12"/>
  <c r="B75" i="12"/>
  <c r="B74" i="12"/>
  <c r="B73" i="12"/>
  <c r="D85" i="12" s="1"/>
  <c r="B72" i="12"/>
  <c r="B71" i="12"/>
  <c r="B70" i="12"/>
  <c r="B69" i="12"/>
  <c r="B68" i="12"/>
  <c r="B67" i="12"/>
  <c r="C67" i="12" s="1"/>
  <c r="B66" i="12"/>
  <c r="B65" i="12"/>
  <c r="B64" i="12"/>
  <c r="B63" i="12"/>
  <c r="B62" i="12"/>
  <c r="B61" i="12"/>
  <c r="C61" i="12" s="1"/>
  <c r="B60" i="12"/>
  <c r="B59" i="12"/>
  <c r="D59" i="12" s="1"/>
  <c r="B58" i="12"/>
  <c r="B57" i="12"/>
  <c r="B56" i="12"/>
  <c r="B55" i="12"/>
  <c r="D55" i="12" s="1"/>
  <c r="B54" i="12"/>
  <c r="C54" i="12" s="1"/>
  <c r="B53" i="12"/>
  <c r="B52" i="12"/>
  <c r="B51" i="12"/>
  <c r="C51" i="12" s="1"/>
  <c r="B50" i="12"/>
  <c r="B49" i="12"/>
  <c r="B48" i="12"/>
  <c r="B47" i="12"/>
  <c r="C46" i="12"/>
  <c r="B46" i="12"/>
  <c r="D45" i="12"/>
  <c r="B45" i="12"/>
  <c r="C44" i="12"/>
  <c r="B44" i="12"/>
  <c r="B43" i="12"/>
  <c r="B42" i="12"/>
  <c r="B41" i="12"/>
  <c r="B40" i="12"/>
  <c r="B39" i="12"/>
  <c r="D39" i="12" s="1"/>
  <c r="B38" i="12"/>
  <c r="C38" i="12" s="1"/>
  <c r="B37" i="12"/>
  <c r="C36" i="12"/>
  <c r="B36" i="12"/>
  <c r="B35" i="12"/>
  <c r="C35" i="12" s="1"/>
  <c r="B34" i="12"/>
  <c r="B33" i="12"/>
  <c r="B32" i="12"/>
  <c r="C31" i="12"/>
  <c r="B31" i="12"/>
  <c r="C30" i="12"/>
  <c r="B30" i="12"/>
  <c r="D29" i="12"/>
  <c r="B29" i="12"/>
  <c r="C29" i="12" s="1"/>
  <c r="B28" i="12"/>
  <c r="C28" i="12" s="1"/>
  <c r="B27" i="12"/>
  <c r="B26" i="12"/>
  <c r="B25" i="12"/>
  <c r="B24" i="12"/>
  <c r="C23" i="12"/>
  <c r="B23" i="12"/>
  <c r="B22" i="12"/>
  <c r="B21" i="12"/>
  <c r="C22" i="12" s="1"/>
  <c r="B20" i="12"/>
  <c r="D20" i="12" s="1"/>
  <c r="B19" i="12"/>
  <c r="B18" i="12"/>
  <c r="C18" i="12" s="1"/>
  <c r="B17" i="12"/>
  <c r="C17" i="12" s="1"/>
  <c r="B16" i="12"/>
  <c r="B15" i="12"/>
  <c r="B14" i="12"/>
  <c r="B13" i="12"/>
  <c r="B12" i="12"/>
  <c r="C12" i="12" s="1"/>
  <c r="B11" i="12"/>
  <c r="B10" i="12"/>
  <c r="C10" i="12" s="1"/>
  <c r="B9" i="12"/>
  <c r="C9" i="12" s="1"/>
  <c r="B8" i="12"/>
  <c r="B7" i="12"/>
  <c r="B378" i="11"/>
  <c r="C377" i="11"/>
  <c r="B377" i="11"/>
  <c r="B376" i="11"/>
  <c r="B375" i="11"/>
  <c r="B374" i="11"/>
  <c r="C374" i="11" s="1"/>
  <c r="B373" i="11"/>
  <c r="D373" i="11" s="1"/>
  <c r="AF63" i="4" s="1"/>
  <c r="B372" i="11"/>
  <c r="B371" i="11"/>
  <c r="C371" i="11" s="1"/>
  <c r="B370" i="11"/>
  <c r="B369" i="11"/>
  <c r="B368" i="11"/>
  <c r="C369" i="11" s="1"/>
  <c r="B367" i="11"/>
  <c r="D367" i="11" s="1"/>
  <c r="B366" i="11"/>
  <c r="D366" i="11" s="1"/>
  <c r="B365" i="11"/>
  <c r="B364" i="11"/>
  <c r="B363" i="11"/>
  <c r="B362" i="11"/>
  <c r="B361" i="11"/>
  <c r="B360" i="11"/>
  <c r="D360" i="11" s="1"/>
  <c r="D359" i="11"/>
  <c r="B359" i="11"/>
  <c r="B358" i="11"/>
  <c r="B357" i="11"/>
  <c r="D357" i="11" s="1"/>
  <c r="B356" i="11"/>
  <c r="B355" i="11"/>
  <c r="C355" i="11" s="1"/>
  <c r="B354" i="11"/>
  <c r="B353" i="11"/>
  <c r="D353" i="11" s="1"/>
  <c r="B352" i="11"/>
  <c r="B351" i="11"/>
  <c r="B350" i="11"/>
  <c r="D362" i="11" s="1"/>
  <c r="B349" i="11"/>
  <c r="C349" i="11" s="1"/>
  <c r="B348" i="11"/>
  <c r="C347" i="11"/>
  <c r="B347" i="11"/>
  <c r="B346" i="11"/>
  <c r="B345" i="11"/>
  <c r="C345" i="11" s="1"/>
  <c r="B344" i="11"/>
  <c r="B343" i="11"/>
  <c r="C342" i="11"/>
  <c r="B342" i="11"/>
  <c r="D354" i="11" s="1"/>
  <c r="D341" i="11"/>
  <c r="C341" i="11"/>
  <c r="B341" i="11"/>
  <c r="B340" i="11"/>
  <c r="C340" i="11" s="1"/>
  <c r="B339" i="11"/>
  <c r="B338" i="11"/>
  <c r="B337" i="11"/>
  <c r="B336" i="11"/>
  <c r="B335" i="11"/>
  <c r="D335" i="11" s="1"/>
  <c r="B334" i="11"/>
  <c r="B333" i="11"/>
  <c r="C334" i="11" s="1"/>
  <c r="D332" i="11"/>
  <c r="B332" i="11"/>
  <c r="B331" i="11"/>
  <c r="D331" i="11" s="1"/>
  <c r="B330" i="11"/>
  <c r="B329" i="11"/>
  <c r="B328" i="11"/>
  <c r="B327" i="11"/>
  <c r="B326" i="11"/>
  <c r="B325" i="11"/>
  <c r="C326" i="11" s="1"/>
  <c r="B324" i="11"/>
  <c r="D323" i="11"/>
  <c r="C323" i="11"/>
  <c r="B323" i="11"/>
  <c r="B322" i="11"/>
  <c r="B321" i="11"/>
  <c r="B320" i="11"/>
  <c r="D320" i="11" s="1"/>
  <c r="B319" i="11"/>
  <c r="D319" i="11" s="1"/>
  <c r="B318" i="11"/>
  <c r="C319" i="11" s="1"/>
  <c r="B317" i="11"/>
  <c r="D329" i="11" s="1"/>
  <c r="D316" i="11"/>
  <c r="B316" i="11"/>
  <c r="B315" i="11"/>
  <c r="B314" i="11"/>
  <c r="C314" i="11" s="1"/>
  <c r="B313" i="11"/>
  <c r="B312" i="11"/>
  <c r="B311" i="11"/>
  <c r="C311" i="11" s="1"/>
  <c r="B310" i="11"/>
  <c r="D310" i="11" s="1"/>
  <c r="B309" i="11"/>
  <c r="D309" i="11" s="1"/>
  <c r="B308" i="11"/>
  <c r="B307" i="11"/>
  <c r="C307" i="11" s="1"/>
  <c r="B306" i="11"/>
  <c r="D306" i="11" s="1"/>
  <c r="B305" i="11"/>
  <c r="C305" i="11" s="1"/>
  <c r="B304" i="11"/>
  <c r="B303" i="11"/>
  <c r="B302" i="11"/>
  <c r="D314" i="11" s="1"/>
  <c r="B301" i="11"/>
  <c r="C301" i="11" s="1"/>
  <c r="B300" i="11"/>
  <c r="D312" i="11" s="1"/>
  <c r="B299" i="11"/>
  <c r="B298" i="11"/>
  <c r="C298" i="11" s="1"/>
  <c r="B297" i="11"/>
  <c r="B296" i="11"/>
  <c r="C297" i="11" s="1"/>
  <c r="B295" i="11"/>
  <c r="B294" i="11"/>
  <c r="B293" i="11"/>
  <c r="D293" i="11" s="1"/>
  <c r="B292" i="11"/>
  <c r="B291" i="11"/>
  <c r="D290" i="11"/>
  <c r="B290" i="11"/>
  <c r="C289" i="11"/>
  <c r="B289" i="11"/>
  <c r="B288" i="11"/>
  <c r="B287" i="11"/>
  <c r="D287" i="11" s="1"/>
  <c r="B286" i="11"/>
  <c r="B285" i="11"/>
  <c r="B284" i="11"/>
  <c r="B283" i="11"/>
  <c r="D283" i="11" s="1"/>
  <c r="B282" i="11"/>
  <c r="C281" i="11"/>
  <c r="B281" i="11"/>
  <c r="B280" i="11"/>
  <c r="B279" i="11"/>
  <c r="C279" i="11" s="1"/>
  <c r="B278" i="11"/>
  <c r="B277" i="11"/>
  <c r="C278" i="11" s="1"/>
  <c r="B276" i="11"/>
  <c r="B275" i="11"/>
  <c r="B274" i="11"/>
  <c r="D274" i="11" s="1"/>
  <c r="B273" i="11"/>
  <c r="B272" i="11"/>
  <c r="B271" i="11"/>
  <c r="C271" i="11" s="1"/>
  <c r="B270" i="11"/>
  <c r="B269" i="11"/>
  <c r="D268" i="11"/>
  <c r="B268" i="11"/>
  <c r="B267" i="11"/>
  <c r="B266" i="11"/>
  <c r="C266" i="11" s="1"/>
  <c r="B265" i="11"/>
  <c r="B264" i="11"/>
  <c r="D263" i="11"/>
  <c r="B263" i="11"/>
  <c r="B262" i="11"/>
  <c r="B261" i="11"/>
  <c r="D261" i="11" s="1"/>
  <c r="B260" i="11"/>
  <c r="B259" i="11"/>
  <c r="D271" i="11" s="1"/>
  <c r="C258" i="11"/>
  <c r="B258" i="11"/>
  <c r="C257" i="11"/>
  <c r="B257" i="11"/>
  <c r="D257" i="11" s="1"/>
  <c r="B256" i="11"/>
  <c r="D256" i="11" s="1"/>
  <c r="B255" i="11"/>
  <c r="B254" i="11"/>
  <c r="C254" i="11" s="1"/>
  <c r="B253" i="11"/>
  <c r="C253" i="11" s="1"/>
  <c r="B252" i="11"/>
  <c r="C251" i="11"/>
  <c r="B251" i="11"/>
  <c r="D250" i="11"/>
  <c r="B250" i="11"/>
  <c r="C250" i="11" s="1"/>
  <c r="B249" i="11"/>
  <c r="D249" i="11" s="1"/>
  <c r="B248" i="11"/>
  <c r="B247" i="11"/>
  <c r="C246" i="11"/>
  <c r="B246" i="11"/>
  <c r="D246" i="11" s="1"/>
  <c r="D245" i="11"/>
  <c r="B245" i="11"/>
  <c r="B244" i="11"/>
  <c r="B243" i="11"/>
  <c r="B242" i="11"/>
  <c r="B241" i="11"/>
  <c r="B240" i="11"/>
  <c r="B239" i="11"/>
  <c r="B238" i="11"/>
  <c r="B237" i="11"/>
  <c r="B236" i="11"/>
  <c r="B235" i="11"/>
  <c r="D235" i="11" s="1"/>
  <c r="B234" i="11"/>
  <c r="C234" i="11" s="1"/>
  <c r="D233" i="11"/>
  <c r="B233" i="11"/>
  <c r="C233" i="11" s="1"/>
  <c r="B232" i="11"/>
  <c r="B231" i="11"/>
  <c r="C230" i="11"/>
  <c r="B230" i="11"/>
  <c r="D229" i="11"/>
  <c r="B229" i="11"/>
  <c r="B228" i="11"/>
  <c r="C228" i="11" s="1"/>
  <c r="B227" i="11"/>
  <c r="B226" i="11"/>
  <c r="B225" i="11"/>
  <c r="B224" i="11"/>
  <c r="C224" i="11" s="1"/>
  <c r="B223" i="11"/>
  <c r="C222" i="11"/>
  <c r="B222" i="11"/>
  <c r="D221" i="11"/>
  <c r="B221" i="11"/>
  <c r="B220" i="11"/>
  <c r="C219" i="11"/>
  <c r="B219" i="11"/>
  <c r="D219" i="11" s="1"/>
  <c r="B218" i="11"/>
  <c r="D218" i="11" s="1"/>
  <c r="B217" i="11"/>
  <c r="C217" i="11" s="1"/>
  <c r="B216" i="11"/>
  <c r="B215" i="11"/>
  <c r="C215" i="11" s="1"/>
  <c r="C214" i="11"/>
  <c r="B214" i="11"/>
  <c r="D214" i="11" s="1"/>
  <c r="D213" i="11"/>
  <c r="B213" i="11"/>
  <c r="B212" i="11"/>
  <c r="B211" i="11"/>
  <c r="D223" i="11" s="1"/>
  <c r="B210" i="11"/>
  <c r="C210" i="11" s="1"/>
  <c r="C209" i="11"/>
  <c r="B209" i="11"/>
  <c r="D208" i="11"/>
  <c r="B208" i="11"/>
  <c r="B207" i="11"/>
  <c r="D207" i="11" s="1"/>
  <c r="B206" i="11"/>
  <c r="B205" i="11"/>
  <c r="B204" i="11"/>
  <c r="B203" i="11"/>
  <c r="B202" i="11"/>
  <c r="B201" i="11"/>
  <c r="B200" i="11"/>
  <c r="C201" i="11" s="1"/>
  <c r="B199" i="11"/>
  <c r="D199" i="11" s="1"/>
  <c r="B198" i="11"/>
  <c r="C198" i="11" s="1"/>
  <c r="B197" i="11"/>
  <c r="D197" i="11" s="1"/>
  <c r="B196" i="11"/>
  <c r="B195" i="11"/>
  <c r="B194" i="11"/>
  <c r="B193" i="11"/>
  <c r="D193" i="11" s="1"/>
  <c r="B192" i="11"/>
  <c r="D192" i="11" s="1"/>
  <c r="B191" i="11"/>
  <c r="B190" i="11"/>
  <c r="C189" i="11"/>
  <c r="B189" i="11"/>
  <c r="D189" i="11" s="1"/>
  <c r="B188" i="11"/>
  <c r="C188" i="11" s="1"/>
  <c r="B187" i="11"/>
  <c r="B186" i="11"/>
  <c r="C186" i="11" s="1"/>
  <c r="B185" i="11"/>
  <c r="B184" i="11"/>
  <c r="B183" i="11"/>
  <c r="B182" i="11"/>
  <c r="B181" i="11"/>
  <c r="D181" i="11" s="1"/>
  <c r="B180" i="11"/>
  <c r="C180" i="11" s="1"/>
  <c r="B179" i="11"/>
  <c r="C179" i="11" s="1"/>
  <c r="B178" i="11"/>
  <c r="B177" i="11"/>
  <c r="B176" i="11"/>
  <c r="B175" i="11"/>
  <c r="C175" i="11" s="1"/>
  <c r="B174" i="11"/>
  <c r="D173" i="11"/>
  <c r="B173" i="11"/>
  <c r="D172" i="11"/>
  <c r="B172" i="11"/>
  <c r="C172" i="11" s="1"/>
  <c r="B171" i="11"/>
  <c r="C171" i="11" s="1"/>
  <c r="B170" i="11"/>
  <c r="B169" i="11"/>
  <c r="B168" i="11"/>
  <c r="C167" i="11"/>
  <c r="B167" i="11"/>
  <c r="D179" i="11" s="1"/>
  <c r="D166" i="11"/>
  <c r="B166" i="11"/>
  <c r="B165" i="11"/>
  <c r="C165" i="11" s="1"/>
  <c r="B164" i="11"/>
  <c r="B163" i="11"/>
  <c r="B162" i="11"/>
  <c r="C162" i="11" s="1"/>
  <c r="B161" i="11"/>
  <c r="D161" i="11" s="1"/>
  <c r="B160" i="11"/>
  <c r="C161" i="11" s="1"/>
  <c r="B159" i="11"/>
  <c r="D159" i="11" s="1"/>
  <c r="C158" i="11"/>
  <c r="B158" i="11"/>
  <c r="B157" i="11"/>
  <c r="D157" i="11" s="1"/>
  <c r="B156" i="11"/>
  <c r="B155" i="11"/>
  <c r="C154" i="11"/>
  <c r="B154" i="11"/>
  <c r="C153" i="11"/>
  <c r="B153" i="11"/>
  <c r="D152" i="11"/>
  <c r="B152" i="11"/>
  <c r="B151" i="11"/>
  <c r="C151" i="11" s="1"/>
  <c r="B150" i="11"/>
  <c r="D150" i="11" s="1"/>
  <c r="B149" i="11"/>
  <c r="B148" i="11"/>
  <c r="B147" i="11"/>
  <c r="C147" i="11" s="1"/>
  <c r="D146" i="11"/>
  <c r="B146" i="11"/>
  <c r="B145" i="11"/>
  <c r="D145" i="11" s="1"/>
  <c r="B144" i="11"/>
  <c r="B143" i="11"/>
  <c r="B142" i="11"/>
  <c r="C142" i="11" s="1"/>
  <c r="B141" i="11"/>
  <c r="B140" i="11"/>
  <c r="C140" i="11" s="1"/>
  <c r="B139" i="11"/>
  <c r="C139" i="11" s="1"/>
  <c r="D138" i="11"/>
  <c r="B138" i="11"/>
  <c r="D137" i="11"/>
  <c r="B137" i="11"/>
  <c r="D149" i="11" s="1"/>
  <c r="D136" i="11"/>
  <c r="B136" i="11"/>
  <c r="D135" i="11"/>
  <c r="B135" i="11"/>
  <c r="B134" i="11"/>
  <c r="C134" i="11" s="1"/>
  <c r="B133" i="11"/>
  <c r="B132" i="11"/>
  <c r="C131" i="11"/>
  <c r="B131" i="11"/>
  <c r="D131" i="11" s="1"/>
  <c r="D130" i="11"/>
  <c r="B130" i="11"/>
  <c r="B129" i="11"/>
  <c r="D141" i="11" s="1"/>
  <c r="B128" i="11"/>
  <c r="B127" i="11"/>
  <c r="C126" i="11"/>
  <c r="B126" i="11"/>
  <c r="B125" i="11"/>
  <c r="B124" i="11"/>
  <c r="C124" i="11" s="1"/>
  <c r="B123" i="11"/>
  <c r="B122" i="11"/>
  <c r="B121" i="11"/>
  <c r="D121" i="11" s="1"/>
  <c r="B120" i="11"/>
  <c r="C120" i="11" s="1"/>
  <c r="B119" i="11"/>
  <c r="D119" i="11" s="1"/>
  <c r="B118" i="11"/>
  <c r="B117" i="11"/>
  <c r="B116" i="11"/>
  <c r="D115" i="11"/>
  <c r="B115" i="11"/>
  <c r="B114" i="11"/>
  <c r="C115" i="11" s="1"/>
  <c r="B113" i="11"/>
  <c r="C113" i="11" s="1"/>
  <c r="B112" i="11"/>
  <c r="D112" i="11" s="1"/>
  <c r="D111" i="11"/>
  <c r="B111" i="11"/>
  <c r="D123" i="11" s="1"/>
  <c r="B110" i="11"/>
  <c r="B109" i="11"/>
  <c r="B108" i="11"/>
  <c r="B107" i="11"/>
  <c r="B106" i="11"/>
  <c r="D118" i="11" s="1"/>
  <c r="B105" i="11"/>
  <c r="C106" i="11" s="1"/>
  <c r="B104" i="11"/>
  <c r="C104" i="11" s="1"/>
  <c r="B103" i="11"/>
  <c r="D102" i="11"/>
  <c r="B102" i="11"/>
  <c r="B101" i="11"/>
  <c r="C101" i="11" s="1"/>
  <c r="B100" i="11"/>
  <c r="B99" i="11"/>
  <c r="B98" i="11"/>
  <c r="B97" i="11"/>
  <c r="D97" i="11" s="1"/>
  <c r="B96" i="11"/>
  <c r="D96" i="11" s="1"/>
  <c r="B95" i="11"/>
  <c r="D95" i="11" s="1"/>
  <c r="B94" i="11"/>
  <c r="C93" i="11"/>
  <c r="B93" i="11"/>
  <c r="B92" i="11"/>
  <c r="B91" i="11"/>
  <c r="B90" i="11"/>
  <c r="B89" i="11"/>
  <c r="B88" i="11"/>
  <c r="D87" i="11"/>
  <c r="B87" i="11"/>
  <c r="D86" i="11"/>
  <c r="C86" i="11"/>
  <c r="B86" i="11"/>
  <c r="B85" i="11"/>
  <c r="B84" i="11"/>
  <c r="B83" i="11"/>
  <c r="C83" i="11" s="1"/>
  <c r="C82" i="11"/>
  <c r="B82" i="11"/>
  <c r="D82" i="11" s="1"/>
  <c r="B81" i="11"/>
  <c r="B80" i="11"/>
  <c r="C80" i="11" s="1"/>
  <c r="B79" i="11"/>
  <c r="B78" i="11"/>
  <c r="C78" i="11" s="1"/>
  <c r="B77" i="11"/>
  <c r="B76" i="11"/>
  <c r="B75" i="11"/>
  <c r="D75" i="11" s="1"/>
  <c r="B74" i="11"/>
  <c r="C73" i="11"/>
  <c r="B73" i="11"/>
  <c r="D72" i="11"/>
  <c r="B72" i="11"/>
  <c r="D71" i="11"/>
  <c r="C71" i="11"/>
  <c r="B71" i="11"/>
  <c r="B70" i="11"/>
  <c r="B69" i="11"/>
  <c r="B68" i="11"/>
  <c r="B67" i="11"/>
  <c r="B66" i="11"/>
  <c r="B65" i="11"/>
  <c r="B64" i="11"/>
  <c r="D63" i="11"/>
  <c r="C63" i="11"/>
  <c r="B63" i="11"/>
  <c r="B62" i="11"/>
  <c r="B61" i="11"/>
  <c r="D73" i="11" s="1"/>
  <c r="B60" i="11"/>
  <c r="C60" i="11" s="1"/>
  <c r="B59" i="11"/>
  <c r="B58" i="11"/>
  <c r="B57" i="11"/>
  <c r="D57" i="11" s="1"/>
  <c r="B56" i="11"/>
  <c r="C57" i="11" s="1"/>
  <c r="B55" i="11"/>
  <c r="B54" i="11"/>
  <c r="B53" i="11"/>
  <c r="B52" i="11"/>
  <c r="C51" i="11"/>
  <c r="B51" i="11"/>
  <c r="D50" i="11"/>
  <c r="B50" i="11"/>
  <c r="D62" i="11" s="1"/>
  <c r="B49" i="11"/>
  <c r="D48" i="11"/>
  <c r="B48" i="11"/>
  <c r="C49" i="11" s="1"/>
  <c r="C47" i="11"/>
  <c r="B47" i="11"/>
  <c r="D47" i="11" s="1"/>
  <c r="B46" i="11"/>
  <c r="B45" i="11"/>
  <c r="B44" i="11"/>
  <c r="B43" i="11"/>
  <c r="D43" i="11" s="1"/>
  <c r="B42" i="11"/>
  <c r="C43" i="11" s="1"/>
  <c r="B41" i="11"/>
  <c r="B40" i="11"/>
  <c r="B39" i="11"/>
  <c r="D51" i="11" s="1"/>
  <c r="C38" i="11"/>
  <c r="B38" i="11"/>
  <c r="D38" i="11" s="1"/>
  <c r="B37" i="11"/>
  <c r="D37" i="11" s="1"/>
  <c r="B36" i="11"/>
  <c r="C36" i="11" s="1"/>
  <c r="B35" i="11"/>
  <c r="B34" i="11"/>
  <c r="C35" i="11" s="1"/>
  <c r="C33" i="11"/>
  <c r="B33" i="11"/>
  <c r="D33" i="11" s="1"/>
  <c r="B32" i="11"/>
  <c r="D32" i="11" s="1"/>
  <c r="B31" i="11"/>
  <c r="B30" i="11"/>
  <c r="B29" i="11"/>
  <c r="D29" i="11" s="1"/>
  <c r="B28" i="11"/>
  <c r="D28" i="11" s="1"/>
  <c r="B27" i="11"/>
  <c r="D27" i="11" s="1"/>
  <c r="B26" i="11"/>
  <c r="C26" i="11" s="1"/>
  <c r="B25" i="11"/>
  <c r="B24" i="11"/>
  <c r="B23" i="11"/>
  <c r="B22" i="11"/>
  <c r="D22" i="11" s="1"/>
  <c r="B21" i="11"/>
  <c r="D21" i="11" s="1"/>
  <c r="B20" i="11"/>
  <c r="C21" i="11" s="1"/>
  <c r="D19" i="11"/>
  <c r="B19" i="11"/>
  <c r="C19" i="11" s="1"/>
  <c r="B18" i="11"/>
  <c r="C18" i="11" s="1"/>
  <c r="B17" i="11"/>
  <c r="B16" i="11"/>
  <c r="C16" i="11" s="1"/>
  <c r="B15" i="11"/>
  <c r="B14" i="11"/>
  <c r="B13" i="11"/>
  <c r="C12" i="11"/>
  <c r="B12" i="11"/>
  <c r="B11" i="11"/>
  <c r="C11" i="11" s="1"/>
  <c r="B10" i="11"/>
  <c r="B9" i="11"/>
  <c r="B8" i="11"/>
  <c r="B7" i="11"/>
  <c r="C378" i="10"/>
  <c r="B378" i="10"/>
  <c r="D377" i="10"/>
  <c r="B377" i="10"/>
  <c r="B376" i="10"/>
  <c r="B375" i="10"/>
  <c r="B374" i="10"/>
  <c r="B373" i="10"/>
  <c r="B372" i="10"/>
  <c r="D372" i="10" s="1"/>
  <c r="X62" i="4" s="1"/>
  <c r="D371" i="10"/>
  <c r="B371" i="10"/>
  <c r="D370" i="10"/>
  <c r="B370" i="10"/>
  <c r="B369" i="10"/>
  <c r="C369" i="10" s="1"/>
  <c r="B368" i="10"/>
  <c r="C368" i="10" s="1"/>
  <c r="B367" i="10"/>
  <c r="D367" i="10" s="1"/>
  <c r="B366" i="10"/>
  <c r="D365" i="10"/>
  <c r="B365" i="10"/>
  <c r="B364" i="10"/>
  <c r="D364" i="10" s="1"/>
  <c r="B363" i="10"/>
  <c r="D363" i="10" s="1"/>
  <c r="B362" i="10"/>
  <c r="B361" i="10"/>
  <c r="B360" i="10"/>
  <c r="D360" i="10" s="1"/>
  <c r="B359" i="10"/>
  <c r="D358" i="10"/>
  <c r="B358" i="10"/>
  <c r="B357" i="10"/>
  <c r="C356" i="10"/>
  <c r="B356" i="10"/>
  <c r="D356" i="10" s="1"/>
  <c r="B355" i="10"/>
  <c r="C355" i="10" s="1"/>
  <c r="B354" i="10"/>
  <c r="D354" i="10" s="1"/>
  <c r="B353" i="10"/>
  <c r="B352" i="10"/>
  <c r="C352" i="10" s="1"/>
  <c r="B351" i="10"/>
  <c r="C351" i="10" s="1"/>
  <c r="B350" i="10"/>
  <c r="D350" i="10" s="1"/>
  <c r="B349" i="10"/>
  <c r="C349" i="10" s="1"/>
  <c r="D348" i="10"/>
  <c r="B348" i="10"/>
  <c r="C348" i="10" s="1"/>
  <c r="B347" i="10"/>
  <c r="B346" i="10"/>
  <c r="B345" i="10"/>
  <c r="C344" i="10"/>
  <c r="B344" i="10"/>
  <c r="B343" i="10"/>
  <c r="D342" i="10"/>
  <c r="B342" i="10"/>
  <c r="C342" i="10" s="1"/>
  <c r="B341" i="10"/>
  <c r="B340" i="10"/>
  <c r="B339" i="10"/>
  <c r="B338" i="10"/>
  <c r="C338" i="10" s="1"/>
  <c r="B337" i="10"/>
  <c r="B336" i="10"/>
  <c r="D336" i="10" s="1"/>
  <c r="B335" i="10"/>
  <c r="D335" i="10" s="1"/>
  <c r="B334" i="10"/>
  <c r="C334" i="10" s="1"/>
  <c r="B333" i="10"/>
  <c r="C333" i="10" s="1"/>
  <c r="B332" i="10"/>
  <c r="D344" i="10" s="1"/>
  <c r="B331" i="10"/>
  <c r="B330" i="10"/>
  <c r="C330" i="10" s="1"/>
  <c r="B329" i="10"/>
  <c r="D329" i="10" s="1"/>
  <c r="B328" i="10"/>
  <c r="D328" i="10" s="1"/>
  <c r="B327" i="10"/>
  <c r="B326" i="10"/>
  <c r="D338" i="10" s="1"/>
  <c r="B325" i="10"/>
  <c r="B324" i="10"/>
  <c r="D324" i="10" s="1"/>
  <c r="B323" i="10"/>
  <c r="D323" i="10" s="1"/>
  <c r="B322" i="10"/>
  <c r="B321" i="10"/>
  <c r="D321" i="10" s="1"/>
  <c r="B320" i="10"/>
  <c r="B319" i="10"/>
  <c r="D319" i="10" s="1"/>
  <c r="B318" i="10"/>
  <c r="B317" i="10"/>
  <c r="C316" i="10"/>
  <c r="B316" i="10"/>
  <c r="B315" i="10"/>
  <c r="D315" i="10" s="1"/>
  <c r="B314" i="10"/>
  <c r="B313" i="10"/>
  <c r="B312" i="10"/>
  <c r="B311" i="10"/>
  <c r="B310" i="10"/>
  <c r="D310" i="10" s="1"/>
  <c r="B309" i="10"/>
  <c r="C309" i="10" s="1"/>
  <c r="D308" i="10"/>
  <c r="C308" i="10"/>
  <c r="B308" i="10"/>
  <c r="B307" i="10"/>
  <c r="C307" i="10" s="1"/>
  <c r="B306" i="10"/>
  <c r="D306" i="10" s="1"/>
  <c r="B305" i="10"/>
  <c r="B304" i="10"/>
  <c r="B303" i="10"/>
  <c r="B302" i="10"/>
  <c r="D302" i="10" s="1"/>
  <c r="B301" i="10"/>
  <c r="D300" i="10"/>
  <c r="B300" i="10"/>
  <c r="B299" i="10"/>
  <c r="B298" i="10"/>
  <c r="B297" i="10"/>
  <c r="D297" i="10" s="1"/>
  <c r="B296" i="10"/>
  <c r="B295" i="10"/>
  <c r="B294" i="10"/>
  <c r="C294" i="10" s="1"/>
  <c r="B293" i="10"/>
  <c r="B292" i="10"/>
  <c r="D291" i="10"/>
  <c r="B291" i="10"/>
  <c r="B290" i="10"/>
  <c r="C290" i="10" s="1"/>
  <c r="B289" i="10"/>
  <c r="B288" i="10"/>
  <c r="D288" i="10" s="1"/>
  <c r="B287" i="10"/>
  <c r="B286" i="10"/>
  <c r="B285" i="10"/>
  <c r="D284" i="10"/>
  <c r="B284" i="10"/>
  <c r="B283" i="10"/>
  <c r="C282" i="10"/>
  <c r="B282" i="10"/>
  <c r="B281" i="10"/>
  <c r="B280" i="10"/>
  <c r="B279" i="10"/>
  <c r="B278" i="10"/>
  <c r="D290" i="10" s="1"/>
  <c r="B277" i="10"/>
  <c r="C277" i="10" s="1"/>
  <c r="B276" i="10"/>
  <c r="D275" i="10"/>
  <c r="B275" i="10"/>
  <c r="B274" i="10"/>
  <c r="B273" i="10"/>
  <c r="C273" i="10" s="1"/>
  <c r="B272" i="10"/>
  <c r="B271" i="10"/>
  <c r="D271" i="10" s="1"/>
  <c r="B270" i="10"/>
  <c r="B269" i="10"/>
  <c r="C269" i="10" s="1"/>
  <c r="B268" i="10"/>
  <c r="D268" i="10" s="1"/>
  <c r="B267" i="10"/>
  <c r="D267" i="10" s="1"/>
  <c r="B266" i="10"/>
  <c r="D278" i="10" s="1"/>
  <c r="B265" i="10"/>
  <c r="B264" i="10"/>
  <c r="C264" i="10" s="1"/>
  <c r="B263" i="10"/>
  <c r="B262" i="10"/>
  <c r="D262" i="10" s="1"/>
  <c r="B261" i="10"/>
  <c r="B260" i="10"/>
  <c r="D272" i="10" s="1"/>
  <c r="B259" i="10"/>
  <c r="C259" i="10" s="1"/>
  <c r="D258" i="10"/>
  <c r="B258" i="10"/>
  <c r="B257" i="10"/>
  <c r="B256" i="10"/>
  <c r="C256" i="10" s="1"/>
  <c r="B255" i="10"/>
  <c r="D255" i="10" s="1"/>
  <c r="B254" i="10"/>
  <c r="B253" i="10"/>
  <c r="B252" i="10"/>
  <c r="D264" i="10" s="1"/>
  <c r="B251" i="10"/>
  <c r="B250" i="10"/>
  <c r="B249" i="10"/>
  <c r="D249" i="10" s="1"/>
  <c r="B248" i="10"/>
  <c r="B247" i="10"/>
  <c r="C247" i="10" s="1"/>
  <c r="B246" i="10"/>
  <c r="C246" i="10" s="1"/>
  <c r="B245" i="10"/>
  <c r="B244" i="10"/>
  <c r="B243" i="10"/>
  <c r="C243" i="10" s="1"/>
  <c r="D242" i="10"/>
  <c r="B242" i="10"/>
  <c r="C242" i="10" s="1"/>
  <c r="B241" i="10"/>
  <c r="B240" i="10"/>
  <c r="D240" i="10" s="1"/>
  <c r="B239" i="10"/>
  <c r="D238" i="10"/>
  <c r="B238" i="10"/>
  <c r="B237" i="10"/>
  <c r="B236" i="10"/>
  <c r="D236" i="10" s="1"/>
  <c r="B235" i="10"/>
  <c r="B234" i="10"/>
  <c r="B233" i="10"/>
  <c r="B232" i="10"/>
  <c r="B231" i="10"/>
  <c r="B230" i="10"/>
  <c r="C230" i="10" s="1"/>
  <c r="B229" i="10"/>
  <c r="C229" i="10" s="1"/>
  <c r="B228" i="10"/>
  <c r="D228" i="10" s="1"/>
  <c r="D227" i="10"/>
  <c r="B227" i="10"/>
  <c r="D226" i="10"/>
  <c r="C226" i="10"/>
  <c r="B226" i="10"/>
  <c r="B225" i="10"/>
  <c r="B224" i="10"/>
  <c r="B223" i="10"/>
  <c r="D223" i="10" s="1"/>
  <c r="B222" i="10"/>
  <c r="B221" i="10"/>
  <c r="B220" i="10"/>
  <c r="B219" i="10"/>
  <c r="D219" i="10" s="1"/>
  <c r="B218" i="10"/>
  <c r="B217" i="10"/>
  <c r="C217" i="10" s="1"/>
  <c r="C216" i="10"/>
  <c r="B216" i="10"/>
  <c r="B215" i="10"/>
  <c r="B214" i="10"/>
  <c r="D213" i="10"/>
  <c r="B213" i="10"/>
  <c r="D225" i="10" s="1"/>
  <c r="B212" i="10"/>
  <c r="D224" i="10" s="1"/>
  <c r="D211" i="10"/>
  <c r="B211" i="10"/>
  <c r="C211" i="10" s="1"/>
  <c r="B210" i="10"/>
  <c r="D210" i="10" s="1"/>
  <c r="B209" i="10"/>
  <c r="B208" i="10"/>
  <c r="D208" i="10" s="1"/>
  <c r="B207" i="10"/>
  <c r="B206" i="10"/>
  <c r="C207" i="10" s="1"/>
  <c r="B205" i="10"/>
  <c r="B204" i="10"/>
  <c r="D216" i="10" s="1"/>
  <c r="B203" i="10"/>
  <c r="D203" i="10" s="1"/>
  <c r="B202" i="10"/>
  <c r="D202" i="10" s="1"/>
  <c r="D201" i="10"/>
  <c r="B201" i="10"/>
  <c r="B200" i="10"/>
  <c r="B199" i="10"/>
  <c r="C199" i="10" s="1"/>
  <c r="B198" i="10"/>
  <c r="B197" i="10"/>
  <c r="B196" i="10"/>
  <c r="B195" i="10"/>
  <c r="D207" i="10" s="1"/>
  <c r="B194" i="10"/>
  <c r="C194" i="10" s="1"/>
  <c r="B193" i="10"/>
  <c r="C193" i="10" s="1"/>
  <c r="B192" i="10"/>
  <c r="D192" i="10" s="1"/>
  <c r="B191" i="10"/>
  <c r="D191" i="10" s="1"/>
  <c r="B190" i="10"/>
  <c r="C190" i="10" s="1"/>
  <c r="B189" i="10"/>
  <c r="D188" i="10"/>
  <c r="B188" i="10"/>
  <c r="B187" i="10"/>
  <c r="D187" i="10" s="1"/>
  <c r="D186" i="10"/>
  <c r="B186" i="10"/>
  <c r="D198" i="10" s="1"/>
  <c r="B185" i="10"/>
  <c r="D185" i="10" s="1"/>
  <c r="B184" i="10"/>
  <c r="B183" i="10"/>
  <c r="D182" i="10"/>
  <c r="B182" i="10"/>
  <c r="B181" i="10"/>
  <c r="C181" i="10" s="1"/>
  <c r="B180" i="10"/>
  <c r="D180" i="10" s="1"/>
  <c r="D179" i="10"/>
  <c r="B179" i="10"/>
  <c r="C179" i="10" s="1"/>
  <c r="B178" i="10"/>
  <c r="C178" i="10" s="1"/>
  <c r="B177" i="10"/>
  <c r="B176" i="10"/>
  <c r="D176" i="10" s="1"/>
  <c r="B175" i="10"/>
  <c r="D175" i="10" s="1"/>
  <c r="B174" i="10"/>
  <c r="C174" i="10" s="1"/>
  <c r="B173" i="10"/>
  <c r="C173" i="10" s="1"/>
  <c r="C172" i="10"/>
  <c r="B172" i="10"/>
  <c r="B171" i="10"/>
  <c r="B170" i="10"/>
  <c r="B169" i="10"/>
  <c r="B168" i="10"/>
  <c r="B167" i="10"/>
  <c r="D166" i="10"/>
  <c r="B166" i="10"/>
  <c r="B165" i="10"/>
  <c r="B164" i="10"/>
  <c r="C164" i="10" s="1"/>
  <c r="B163" i="10"/>
  <c r="C163" i="10" s="1"/>
  <c r="C162" i="10"/>
  <c r="B162" i="10"/>
  <c r="B161" i="10"/>
  <c r="B160" i="10"/>
  <c r="B159" i="10"/>
  <c r="B158" i="10"/>
  <c r="B157" i="10"/>
  <c r="D156" i="10"/>
  <c r="B156" i="10"/>
  <c r="D168" i="10" s="1"/>
  <c r="C155" i="10"/>
  <c r="B155" i="10"/>
  <c r="B154" i="10"/>
  <c r="B153" i="10"/>
  <c r="B152" i="10"/>
  <c r="B151" i="10"/>
  <c r="B150" i="10"/>
  <c r="D150" i="10" s="1"/>
  <c r="B149" i="10"/>
  <c r="B148" i="10"/>
  <c r="B147" i="10"/>
  <c r="D159" i="10" s="1"/>
  <c r="C146" i="10"/>
  <c r="B146" i="10"/>
  <c r="B145" i="10"/>
  <c r="C145" i="10" s="1"/>
  <c r="B144" i="10"/>
  <c r="B143" i="10"/>
  <c r="C143" i="10" s="1"/>
  <c r="B142" i="10"/>
  <c r="B141" i="10"/>
  <c r="D153" i="10" s="1"/>
  <c r="B140" i="10"/>
  <c r="D140" i="10" s="1"/>
  <c r="B139" i="10"/>
  <c r="D139" i="10" s="1"/>
  <c r="C138" i="10"/>
  <c r="B138" i="10"/>
  <c r="B137" i="10"/>
  <c r="B136" i="10"/>
  <c r="B135" i="10"/>
  <c r="C134" i="10"/>
  <c r="B134" i="10"/>
  <c r="D133" i="10"/>
  <c r="B133" i="10"/>
  <c r="B132" i="10"/>
  <c r="D132" i="10" s="1"/>
  <c r="B131" i="10"/>
  <c r="B130" i="10"/>
  <c r="B129" i="10"/>
  <c r="C129" i="10" s="1"/>
  <c r="B128" i="10"/>
  <c r="C128" i="10" s="1"/>
  <c r="B127" i="10"/>
  <c r="B126" i="10"/>
  <c r="C126" i="10" s="1"/>
  <c r="B125" i="10"/>
  <c r="D137" i="10" s="1"/>
  <c r="C124" i="10"/>
  <c r="B124" i="10"/>
  <c r="B123" i="10"/>
  <c r="B122" i="10"/>
  <c r="B121" i="10"/>
  <c r="C121" i="10" s="1"/>
  <c r="B120" i="10"/>
  <c r="B119" i="10"/>
  <c r="B118" i="10"/>
  <c r="D117" i="10"/>
  <c r="B117" i="10"/>
  <c r="D129" i="10" s="1"/>
  <c r="B116" i="10"/>
  <c r="D116" i="10" s="1"/>
  <c r="B115" i="10"/>
  <c r="B114" i="10"/>
  <c r="B113" i="10"/>
  <c r="B112" i="10"/>
  <c r="C112" i="10" s="1"/>
  <c r="B111" i="10"/>
  <c r="B110" i="10"/>
  <c r="D122" i="10" s="1"/>
  <c r="B109" i="10"/>
  <c r="D121" i="10" s="1"/>
  <c r="B108" i="10"/>
  <c r="D108" i="10" s="1"/>
  <c r="B107" i="10"/>
  <c r="B106" i="10"/>
  <c r="C106" i="10" s="1"/>
  <c r="C105" i="10"/>
  <c r="B105" i="10"/>
  <c r="B104" i="10"/>
  <c r="B103" i="10"/>
  <c r="B102" i="10"/>
  <c r="C102" i="10" s="1"/>
  <c r="B101" i="10"/>
  <c r="B100" i="10"/>
  <c r="B99" i="10"/>
  <c r="B98" i="10"/>
  <c r="D110" i="10" s="1"/>
  <c r="C97" i="10"/>
  <c r="B97" i="10"/>
  <c r="C96" i="10"/>
  <c r="B96" i="10"/>
  <c r="B95" i="10"/>
  <c r="B94" i="10"/>
  <c r="B93" i="10"/>
  <c r="D105" i="10" s="1"/>
  <c r="D92" i="10"/>
  <c r="B92" i="10"/>
  <c r="B91" i="10"/>
  <c r="B90" i="10"/>
  <c r="C90" i="10" s="1"/>
  <c r="B89" i="10"/>
  <c r="C89" i="10" s="1"/>
  <c r="B88" i="10"/>
  <c r="B87" i="10"/>
  <c r="B86" i="10"/>
  <c r="D86" i="10" s="1"/>
  <c r="B85" i="10"/>
  <c r="B84" i="10"/>
  <c r="B83" i="10"/>
  <c r="B82" i="10"/>
  <c r="B81" i="10"/>
  <c r="C80" i="10"/>
  <c r="B80" i="10"/>
  <c r="B79" i="10"/>
  <c r="B78" i="10"/>
  <c r="B77" i="10"/>
  <c r="D77" i="10" s="1"/>
  <c r="B76" i="10"/>
  <c r="B75" i="10"/>
  <c r="C76" i="10" s="1"/>
  <c r="B74" i="10"/>
  <c r="B73" i="10"/>
  <c r="D72" i="10"/>
  <c r="B72" i="10"/>
  <c r="B71" i="10"/>
  <c r="B70" i="10"/>
  <c r="B69" i="10"/>
  <c r="C70" i="10" s="1"/>
  <c r="B68" i="10"/>
  <c r="B67" i="10"/>
  <c r="B66" i="10"/>
  <c r="C66" i="10" s="1"/>
  <c r="B65" i="10"/>
  <c r="B64" i="10"/>
  <c r="B63" i="10"/>
  <c r="C62" i="10"/>
  <c r="B62" i="10"/>
  <c r="B61" i="10"/>
  <c r="B60" i="10"/>
  <c r="B59" i="10"/>
  <c r="D58" i="10"/>
  <c r="B58" i="10"/>
  <c r="D70" i="10" s="1"/>
  <c r="D57" i="10"/>
  <c r="B57" i="10"/>
  <c r="C56" i="10"/>
  <c r="B56" i="10"/>
  <c r="B55" i="10"/>
  <c r="B54" i="10"/>
  <c r="B53" i="10"/>
  <c r="B52" i="10"/>
  <c r="C52" i="10" s="1"/>
  <c r="B51" i="10"/>
  <c r="B50" i="10"/>
  <c r="D62" i="10" s="1"/>
  <c r="B49" i="10"/>
  <c r="C49" i="10" s="1"/>
  <c r="C48" i="10"/>
  <c r="B48" i="10"/>
  <c r="D60" i="10" s="1"/>
  <c r="B47" i="10"/>
  <c r="B46" i="10"/>
  <c r="B45" i="10"/>
  <c r="B44" i="10"/>
  <c r="D44" i="10" s="1"/>
  <c r="B43" i="10"/>
  <c r="B42" i="10"/>
  <c r="B41" i="10"/>
  <c r="C42" i="10" s="1"/>
  <c r="B40" i="10"/>
  <c r="B39" i="10"/>
  <c r="D38" i="10"/>
  <c r="B38" i="10"/>
  <c r="B37" i="10"/>
  <c r="C37" i="10" s="1"/>
  <c r="B36" i="10"/>
  <c r="B35" i="10"/>
  <c r="C34" i="10"/>
  <c r="B34" i="10"/>
  <c r="D46" i="10" s="1"/>
  <c r="D33" i="10"/>
  <c r="B33" i="10"/>
  <c r="C32" i="10"/>
  <c r="B32" i="10"/>
  <c r="B31" i="10"/>
  <c r="B30" i="10"/>
  <c r="B29" i="10"/>
  <c r="B28" i="10"/>
  <c r="D28" i="10" s="1"/>
  <c r="B27" i="10"/>
  <c r="D26" i="10"/>
  <c r="B26" i="10"/>
  <c r="B25" i="10"/>
  <c r="D24" i="10"/>
  <c r="B24" i="10"/>
  <c r="D36" i="10" s="1"/>
  <c r="B23" i="10"/>
  <c r="B22" i="10"/>
  <c r="D22" i="10" s="1"/>
  <c r="B21" i="10"/>
  <c r="C22" i="10" s="1"/>
  <c r="D20" i="10"/>
  <c r="B20" i="10"/>
  <c r="B19" i="10"/>
  <c r="B18" i="10"/>
  <c r="B17" i="10"/>
  <c r="B16" i="10"/>
  <c r="C16" i="10" s="1"/>
  <c r="B15" i="10"/>
  <c r="C15" i="10" s="1"/>
  <c r="C14" i="10"/>
  <c r="B14" i="10"/>
  <c r="B13" i="10"/>
  <c r="B12" i="10"/>
  <c r="C12" i="10" s="1"/>
  <c r="C11" i="10"/>
  <c r="B11" i="10"/>
  <c r="B10" i="10"/>
  <c r="C9" i="10"/>
  <c r="B9" i="10"/>
  <c r="C10" i="10" s="1"/>
  <c r="B8" i="10"/>
  <c r="C8" i="10" s="1"/>
  <c r="B7" i="10"/>
  <c r="B378" i="9"/>
  <c r="C378" i="9" s="1"/>
  <c r="K68" i="4" s="1"/>
  <c r="D377" i="9"/>
  <c r="B377" i="9"/>
  <c r="B376" i="9"/>
  <c r="D375" i="9"/>
  <c r="L65" i="4" s="1"/>
  <c r="B375" i="9"/>
  <c r="C375" i="9" s="1"/>
  <c r="B374" i="9"/>
  <c r="C373" i="9"/>
  <c r="B373" i="9"/>
  <c r="B372" i="9"/>
  <c r="D372" i="9" s="1"/>
  <c r="B371" i="9"/>
  <c r="B370" i="9"/>
  <c r="D370" i="9" s="1"/>
  <c r="B369" i="9"/>
  <c r="B368" i="9"/>
  <c r="C368" i="9" s="1"/>
  <c r="B367" i="9"/>
  <c r="B366" i="9"/>
  <c r="B365" i="9"/>
  <c r="B364" i="9"/>
  <c r="C365" i="9" s="1"/>
  <c r="B363" i="9"/>
  <c r="B362" i="9"/>
  <c r="B361" i="9"/>
  <c r="D373" i="9" s="1"/>
  <c r="C360" i="9"/>
  <c r="B360" i="9"/>
  <c r="C361" i="9" s="1"/>
  <c r="B359" i="9"/>
  <c r="B358" i="9"/>
  <c r="B357" i="9"/>
  <c r="B356" i="9"/>
  <c r="D356" i="9" s="1"/>
  <c r="B355" i="9"/>
  <c r="B354" i="9"/>
  <c r="B353" i="9"/>
  <c r="B352" i="9"/>
  <c r="B351" i="9"/>
  <c r="C351" i="9" s="1"/>
  <c r="B350" i="9"/>
  <c r="D350" i="9" s="1"/>
  <c r="B349" i="9"/>
  <c r="B348" i="9"/>
  <c r="B347" i="9"/>
  <c r="B346" i="9"/>
  <c r="B345" i="9"/>
  <c r="C346" i="9" s="1"/>
  <c r="B344" i="9"/>
  <c r="D344" i="9" s="1"/>
  <c r="D343" i="9"/>
  <c r="B343" i="9"/>
  <c r="B342" i="9"/>
  <c r="C342" i="9" s="1"/>
  <c r="B341" i="9"/>
  <c r="C340" i="9"/>
  <c r="B340" i="9"/>
  <c r="B339" i="9"/>
  <c r="B338" i="9"/>
  <c r="C338" i="9" s="1"/>
  <c r="D337" i="9"/>
  <c r="B337" i="9"/>
  <c r="B336" i="9"/>
  <c r="B335" i="9"/>
  <c r="D334" i="9"/>
  <c r="L24" i="4" s="1"/>
  <c r="B334" i="9"/>
  <c r="B333" i="9"/>
  <c r="B332" i="9"/>
  <c r="B331" i="9"/>
  <c r="B330" i="9"/>
  <c r="C330" i="9" s="1"/>
  <c r="D329" i="9"/>
  <c r="B329" i="9"/>
  <c r="B328" i="9"/>
  <c r="B327" i="9"/>
  <c r="B326" i="9"/>
  <c r="D338" i="9" s="1"/>
  <c r="B325" i="9"/>
  <c r="C325" i="9" s="1"/>
  <c r="K15" i="4" s="1"/>
  <c r="B324" i="9"/>
  <c r="B323" i="9"/>
  <c r="D322" i="9"/>
  <c r="C322" i="9"/>
  <c r="B322" i="9"/>
  <c r="D321" i="9"/>
  <c r="B321" i="9"/>
  <c r="D333" i="9" s="1"/>
  <c r="C320" i="9"/>
  <c r="B320" i="9"/>
  <c r="B319" i="9"/>
  <c r="B318" i="9"/>
  <c r="B317" i="9"/>
  <c r="C317" i="9" s="1"/>
  <c r="K7" i="4" s="1"/>
  <c r="B316" i="9"/>
  <c r="B315" i="9"/>
  <c r="B314" i="9"/>
  <c r="B313" i="9"/>
  <c r="D325" i="9" s="1"/>
  <c r="C312" i="9"/>
  <c r="B312" i="9"/>
  <c r="D324" i="9" s="1"/>
  <c r="B311" i="9"/>
  <c r="B310" i="9"/>
  <c r="B309" i="9"/>
  <c r="C309" i="9" s="1"/>
  <c r="B308" i="9"/>
  <c r="B307" i="9"/>
  <c r="B306" i="9"/>
  <c r="B305" i="9"/>
  <c r="C304" i="9"/>
  <c r="B304" i="9"/>
  <c r="D316" i="9" s="1"/>
  <c r="B303" i="9"/>
  <c r="C303" i="9" s="1"/>
  <c r="B302" i="9"/>
  <c r="B301" i="9"/>
  <c r="B300" i="9"/>
  <c r="B299" i="9"/>
  <c r="B298" i="9"/>
  <c r="B297" i="9"/>
  <c r="B296" i="9"/>
  <c r="C296" i="9" s="1"/>
  <c r="D295" i="9"/>
  <c r="B295" i="9"/>
  <c r="B294" i="9"/>
  <c r="C294" i="9" s="1"/>
  <c r="B293" i="9"/>
  <c r="B292" i="9"/>
  <c r="B291" i="9"/>
  <c r="D291" i="9" s="1"/>
  <c r="B290" i="9"/>
  <c r="B289" i="9"/>
  <c r="C289" i="9" s="1"/>
  <c r="B288" i="9"/>
  <c r="B287" i="9"/>
  <c r="C287" i="9" s="1"/>
  <c r="B286" i="9"/>
  <c r="B285" i="9"/>
  <c r="B284" i="9"/>
  <c r="B283" i="9"/>
  <c r="B282" i="9"/>
  <c r="B281" i="9"/>
  <c r="C281" i="9" s="1"/>
  <c r="B280" i="9"/>
  <c r="D279" i="9"/>
  <c r="B279" i="9"/>
  <c r="B278" i="9"/>
  <c r="B277" i="9"/>
  <c r="B276" i="9"/>
  <c r="B275" i="9"/>
  <c r="B274" i="9"/>
  <c r="D286" i="9" s="1"/>
  <c r="B273" i="9"/>
  <c r="C274" i="9" s="1"/>
  <c r="C272" i="9"/>
  <c r="B272" i="9"/>
  <c r="B271" i="9"/>
  <c r="B270" i="9"/>
  <c r="B269" i="9"/>
  <c r="D281" i="9" s="1"/>
  <c r="B268" i="9"/>
  <c r="B267" i="9"/>
  <c r="B266" i="9"/>
  <c r="B265" i="9"/>
  <c r="D277" i="9" s="1"/>
  <c r="B264" i="9"/>
  <c r="C264" i="9" s="1"/>
  <c r="B263" i="9"/>
  <c r="D263" i="9" s="1"/>
  <c r="B262" i="9"/>
  <c r="D274" i="9" s="1"/>
  <c r="B261" i="9"/>
  <c r="B260" i="9"/>
  <c r="C259" i="9"/>
  <c r="B259" i="9"/>
  <c r="D271" i="9" s="1"/>
  <c r="B258" i="9"/>
  <c r="B257" i="9"/>
  <c r="B256" i="9"/>
  <c r="B255" i="9"/>
  <c r="D255" i="9" s="1"/>
  <c r="B254" i="9"/>
  <c r="D253" i="9"/>
  <c r="B253" i="9"/>
  <c r="C253" i="9" s="1"/>
  <c r="B252" i="9"/>
  <c r="B251" i="9"/>
  <c r="C251" i="9" s="1"/>
  <c r="B250" i="9"/>
  <c r="B249" i="9"/>
  <c r="B248" i="9"/>
  <c r="D247" i="9"/>
  <c r="B247" i="9"/>
  <c r="C247" i="9" s="1"/>
  <c r="B246" i="9"/>
  <c r="B245" i="9"/>
  <c r="D257" i="9" s="1"/>
  <c r="B244" i="9"/>
  <c r="C243" i="9"/>
  <c r="B243" i="9"/>
  <c r="B242" i="9"/>
  <c r="B241" i="9"/>
  <c r="D241" i="9" s="1"/>
  <c r="B240" i="9"/>
  <c r="C240" i="9" s="1"/>
  <c r="B239" i="9"/>
  <c r="D251" i="9" s="1"/>
  <c r="B238" i="9"/>
  <c r="B237" i="9"/>
  <c r="C237" i="9" s="1"/>
  <c r="B236" i="9"/>
  <c r="B235" i="9"/>
  <c r="B234" i="9"/>
  <c r="B233" i="9"/>
  <c r="B232" i="9"/>
  <c r="D231" i="9"/>
  <c r="B231" i="9"/>
  <c r="D243" i="9" s="1"/>
  <c r="B230" i="9"/>
  <c r="B229" i="9"/>
  <c r="B228" i="9"/>
  <c r="B227" i="9"/>
  <c r="B226" i="9"/>
  <c r="B225" i="9"/>
  <c r="D225" i="9" s="1"/>
  <c r="B224" i="9"/>
  <c r="B223" i="9"/>
  <c r="D223" i="9" s="1"/>
  <c r="B222" i="9"/>
  <c r="B221" i="9"/>
  <c r="C221" i="9" s="1"/>
  <c r="B220" i="9"/>
  <c r="C219" i="9"/>
  <c r="B219" i="9"/>
  <c r="D219" i="9" s="1"/>
  <c r="B218" i="9"/>
  <c r="C217" i="9"/>
  <c r="B217" i="9"/>
  <c r="D217" i="9" s="1"/>
  <c r="B216" i="9"/>
  <c r="C216" i="9" s="1"/>
  <c r="B215" i="9"/>
  <c r="B214" i="9"/>
  <c r="B213" i="9"/>
  <c r="B212" i="9"/>
  <c r="C212" i="9" s="1"/>
  <c r="B211" i="9"/>
  <c r="B210" i="9"/>
  <c r="C211" i="9" s="1"/>
  <c r="C209" i="9"/>
  <c r="B209" i="9"/>
  <c r="B208" i="9"/>
  <c r="C207" i="9"/>
  <c r="B207" i="9"/>
  <c r="D207" i="9" s="1"/>
  <c r="B206" i="9"/>
  <c r="B205" i="9"/>
  <c r="D205" i="9" s="1"/>
  <c r="B204" i="9"/>
  <c r="D216" i="9" s="1"/>
  <c r="C203" i="9"/>
  <c r="B203" i="9"/>
  <c r="D215" i="9" s="1"/>
  <c r="B202" i="9"/>
  <c r="B201" i="9"/>
  <c r="B200" i="9"/>
  <c r="B199" i="9"/>
  <c r="D199" i="9" s="1"/>
  <c r="B198" i="9"/>
  <c r="B197" i="9"/>
  <c r="B196" i="9"/>
  <c r="D208" i="9" s="1"/>
  <c r="B195" i="9"/>
  <c r="B194" i="9"/>
  <c r="B193" i="9"/>
  <c r="C193" i="9" s="1"/>
  <c r="B192" i="9"/>
  <c r="B191" i="9"/>
  <c r="D203" i="9" s="1"/>
  <c r="B190" i="9"/>
  <c r="D189" i="9"/>
  <c r="B189" i="9"/>
  <c r="C189" i="9" s="1"/>
  <c r="C188" i="9"/>
  <c r="B188" i="9"/>
  <c r="B187" i="9"/>
  <c r="B186" i="9"/>
  <c r="B185" i="9"/>
  <c r="B184" i="9"/>
  <c r="D183" i="9"/>
  <c r="B183" i="9"/>
  <c r="C183" i="9" s="1"/>
  <c r="B182" i="9"/>
  <c r="B181" i="9"/>
  <c r="D180" i="9"/>
  <c r="B180" i="9"/>
  <c r="B179" i="9"/>
  <c r="D179" i="9" s="1"/>
  <c r="B178" i="9"/>
  <c r="B177" i="9"/>
  <c r="B176" i="9"/>
  <c r="D175" i="9"/>
  <c r="B175" i="9"/>
  <c r="D187" i="9" s="1"/>
  <c r="B174" i="9"/>
  <c r="B173" i="9"/>
  <c r="B172" i="9"/>
  <c r="C172" i="9" s="1"/>
  <c r="C171" i="9"/>
  <c r="B171" i="9"/>
  <c r="D171" i="9" s="1"/>
  <c r="B170" i="9"/>
  <c r="B169" i="9"/>
  <c r="D169" i="9" s="1"/>
  <c r="B168" i="9"/>
  <c r="B167" i="9"/>
  <c r="B166" i="9"/>
  <c r="B165" i="9"/>
  <c r="C164" i="9"/>
  <c r="B164" i="9"/>
  <c r="B163" i="9"/>
  <c r="B162" i="9"/>
  <c r="B161" i="9"/>
  <c r="B160" i="9"/>
  <c r="C159" i="9"/>
  <c r="B159" i="9"/>
  <c r="B158" i="9"/>
  <c r="B157" i="9"/>
  <c r="B156" i="9"/>
  <c r="C155" i="9"/>
  <c r="B155" i="9"/>
  <c r="D167" i="9" s="1"/>
  <c r="B154" i="9"/>
  <c r="B153" i="9"/>
  <c r="D153" i="9" s="1"/>
  <c r="B152" i="9"/>
  <c r="B151" i="9"/>
  <c r="D151" i="9" s="1"/>
  <c r="B150" i="9"/>
  <c r="B149" i="9"/>
  <c r="C149" i="9" s="1"/>
  <c r="B148" i="9"/>
  <c r="B147" i="9"/>
  <c r="C147" i="9" s="1"/>
  <c r="B146" i="9"/>
  <c r="B145" i="9"/>
  <c r="D145" i="9" s="1"/>
  <c r="B144" i="9"/>
  <c r="C144" i="9" s="1"/>
  <c r="B143" i="9"/>
  <c r="B142" i="9"/>
  <c r="D141" i="9"/>
  <c r="B141" i="9"/>
  <c r="C140" i="9"/>
  <c r="B140" i="9"/>
  <c r="B139" i="9"/>
  <c r="D139" i="9" s="1"/>
  <c r="B138" i="9"/>
  <c r="B137" i="9"/>
  <c r="B136" i="9"/>
  <c r="D148" i="9" s="1"/>
  <c r="C135" i="9"/>
  <c r="B135" i="9"/>
  <c r="B134" i="9"/>
  <c r="B133" i="9"/>
  <c r="B132" i="9"/>
  <c r="B131" i="9"/>
  <c r="D131" i="9" s="1"/>
  <c r="B130" i="9"/>
  <c r="B129" i="9"/>
  <c r="D129" i="9" s="1"/>
  <c r="B128" i="9"/>
  <c r="B127" i="9"/>
  <c r="C127" i="9" s="1"/>
  <c r="B126" i="9"/>
  <c r="B125" i="9"/>
  <c r="C125" i="9" s="1"/>
  <c r="B124" i="9"/>
  <c r="B123" i="9"/>
  <c r="B122" i="9"/>
  <c r="B121" i="9"/>
  <c r="B120" i="9"/>
  <c r="C120" i="9" s="1"/>
  <c r="B119" i="9"/>
  <c r="B118" i="9"/>
  <c r="C117" i="9"/>
  <c r="B117" i="9"/>
  <c r="B116" i="9"/>
  <c r="C116" i="9" s="1"/>
  <c r="B115" i="9"/>
  <c r="D127" i="9" s="1"/>
  <c r="B114" i="9"/>
  <c r="B113" i="9"/>
  <c r="B112" i="9"/>
  <c r="D124" i="9" s="1"/>
  <c r="C111" i="9"/>
  <c r="B111" i="9"/>
  <c r="B110" i="9"/>
  <c r="B109" i="9"/>
  <c r="D109" i="9" s="1"/>
  <c r="B108" i="9"/>
  <c r="B107" i="9"/>
  <c r="B106" i="9"/>
  <c r="B105" i="9"/>
  <c r="D117" i="9" s="1"/>
  <c r="B104" i="9"/>
  <c r="C103" i="9"/>
  <c r="B103" i="9"/>
  <c r="D103" i="9" s="1"/>
  <c r="B102" i="9"/>
  <c r="B101" i="9"/>
  <c r="C101" i="9" s="1"/>
  <c r="B100" i="9"/>
  <c r="B99" i="9"/>
  <c r="C99" i="9" s="1"/>
  <c r="B98" i="9"/>
  <c r="C97" i="9"/>
  <c r="B97" i="9"/>
  <c r="D97" i="9" s="1"/>
  <c r="B96" i="9"/>
  <c r="B95" i="9"/>
  <c r="D95" i="9" s="1"/>
  <c r="B94" i="9"/>
  <c r="B93" i="9"/>
  <c r="D93" i="9" s="1"/>
  <c r="B92" i="9"/>
  <c r="C92" i="9" s="1"/>
  <c r="B91" i="9"/>
  <c r="D91" i="9" s="1"/>
  <c r="B90" i="9"/>
  <c r="B89" i="9"/>
  <c r="D88" i="9"/>
  <c r="B88" i="9"/>
  <c r="D100" i="9" s="1"/>
  <c r="C87" i="9"/>
  <c r="B87" i="9"/>
  <c r="B86" i="9"/>
  <c r="B85" i="9"/>
  <c r="D84" i="9"/>
  <c r="B84" i="9"/>
  <c r="D96" i="9" s="1"/>
  <c r="B83" i="9"/>
  <c r="B82" i="9"/>
  <c r="B81" i="9"/>
  <c r="D81" i="9" s="1"/>
  <c r="B80" i="9"/>
  <c r="D79" i="9"/>
  <c r="C79" i="9"/>
  <c r="B79" i="9"/>
  <c r="B78" i="9"/>
  <c r="C77" i="9"/>
  <c r="B77" i="9"/>
  <c r="B76" i="9"/>
  <c r="B75" i="9"/>
  <c r="C75" i="9" s="1"/>
  <c r="B74" i="9"/>
  <c r="B73" i="9"/>
  <c r="B72" i="9"/>
  <c r="C72" i="9" s="1"/>
  <c r="B71" i="9"/>
  <c r="B70" i="9"/>
  <c r="C69" i="9"/>
  <c r="B69" i="9"/>
  <c r="B68" i="9"/>
  <c r="C68" i="9" s="1"/>
  <c r="B67" i="9"/>
  <c r="D67" i="9" s="1"/>
  <c r="B66" i="9"/>
  <c r="B65" i="9"/>
  <c r="B64" i="9"/>
  <c r="D76" i="9" s="1"/>
  <c r="C63" i="9"/>
  <c r="B63" i="9"/>
  <c r="B62" i="9"/>
  <c r="B61" i="9"/>
  <c r="D61" i="9" s="1"/>
  <c r="B60" i="9"/>
  <c r="B59" i="9"/>
  <c r="D59" i="9" s="1"/>
  <c r="B58" i="9"/>
  <c r="B57" i="9"/>
  <c r="D57" i="9" s="1"/>
  <c r="B56" i="9"/>
  <c r="B55" i="9"/>
  <c r="C55" i="9" s="1"/>
  <c r="B54" i="9"/>
  <c r="B53" i="9"/>
  <c r="C53" i="9" s="1"/>
  <c r="B52" i="9"/>
  <c r="B51" i="9"/>
  <c r="B50" i="9"/>
  <c r="B49" i="9"/>
  <c r="B48" i="9"/>
  <c r="C48" i="9" s="1"/>
  <c r="B47" i="9"/>
  <c r="B46" i="9"/>
  <c r="C45" i="9"/>
  <c r="B45" i="9"/>
  <c r="B44" i="9"/>
  <c r="C44" i="9" s="1"/>
  <c r="B43" i="9"/>
  <c r="D43" i="9" s="1"/>
  <c r="B42" i="9"/>
  <c r="B41" i="9"/>
  <c r="B40" i="9"/>
  <c r="D52" i="9" s="1"/>
  <c r="C39" i="9"/>
  <c r="B39" i="9"/>
  <c r="B38" i="9"/>
  <c r="B37" i="9"/>
  <c r="D37" i="9" s="1"/>
  <c r="B36" i="9"/>
  <c r="B35" i="9"/>
  <c r="B34" i="9"/>
  <c r="B33" i="9"/>
  <c r="D45" i="9" s="1"/>
  <c r="B32" i="9"/>
  <c r="C31" i="9"/>
  <c r="B31" i="9"/>
  <c r="D31" i="9" s="1"/>
  <c r="B30" i="9"/>
  <c r="B29" i="9"/>
  <c r="C29" i="9" s="1"/>
  <c r="B28" i="9"/>
  <c r="B27" i="9"/>
  <c r="B26" i="9"/>
  <c r="B25" i="9"/>
  <c r="D24" i="9"/>
  <c r="B24" i="9"/>
  <c r="B23" i="9"/>
  <c r="D23" i="9" s="1"/>
  <c r="B22" i="9"/>
  <c r="B21" i="9"/>
  <c r="D21" i="9" s="1"/>
  <c r="B20" i="9"/>
  <c r="D20" i="9" s="1"/>
  <c r="B19" i="9"/>
  <c r="B18" i="9"/>
  <c r="B17" i="9"/>
  <c r="B16" i="9"/>
  <c r="D28" i="9" s="1"/>
  <c r="B15" i="9"/>
  <c r="C15" i="9" s="1"/>
  <c r="B14" i="9"/>
  <c r="C14" i="9" s="1"/>
  <c r="B13" i="9"/>
  <c r="C13" i="9" s="1"/>
  <c r="B12" i="9"/>
  <c r="B11" i="9"/>
  <c r="C12" i="9" s="1"/>
  <c r="B10" i="9"/>
  <c r="C10" i="9" s="1"/>
  <c r="B9" i="9"/>
  <c r="B8" i="9"/>
  <c r="C9" i="9" s="1"/>
  <c r="B7" i="9"/>
  <c r="D378" i="8"/>
  <c r="B378" i="8"/>
  <c r="B377" i="8"/>
  <c r="C378" i="8" s="1"/>
  <c r="D376" i="8"/>
  <c r="C376" i="8"/>
  <c r="B376" i="8"/>
  <c r="C375" i="8"/>
  <c r="B375" i="8"/>
  <c r="D374" i="8"/>
  <c r="B374" i="8"/>
  <c r="D373" i="8"/>
  <c r="B373" i="8"/>
  <c r="C374" i="8" s="1"/>
  <c r="B372" i="8"/>
  <c r="D371" i="8"/>
  <c r="B371" i="8"/>
  <c r="C371" i="8" s="1"/>
  <c r="D370" i="8"/>
  <c r="B370" i="8"/>
  <c r="B369" i="8"/>
  <c r="C370" i="8" s="1"/>
  <c r="B368" i="8"/>
  <c r="C367" i="8"/>
  <c r="B367" i="8"/>
  <c r="D366" i="8"/>
  <c r="B366" i="8"/>
  <c r="B365" i="8"/>
  <c r="C366" i="8" s="1"/>
  <c r="B364" i="8"/>
  <c r="D364" i="8" s="1"/>
  <c r="C363" i="8"/>
  <c r="B363" i="8"/>
  <c r="D363" i="8" s="1"/>
  <c r="D362" i="8"/>
  <c r="B362" i="8"/>
  <c r="C361" i="8"/>
  <c r="B361" i="8"/>
  <c r="C362" i="8" s="1"/>
  <c r="D360" i="8"/>
  <c r="B360" i="8"/>
  <c r="B359" i="8"/>
  <c r="D358" i="8"/>
  <c r="B358" i="8"/>
  <c r="D357" i="8"/>
  <c r="C357" i="8"/>
  <c r="B357" i="8"/>
  <c r="C358" i="8" s="1"/>
  <c r="B356" i="8"/>
  <c r="D356" i="8" s="1"/>
  <c r="B355" i="8"/>
  <c r="D354" i="8"/>
  <c r="B354" i="8"/>
  <c r="C353" i="8"/>
  <c r="B353" i="8"/>
  <c r="C354" i="8" s="1"/>
  <c r="B352" i="8"/>
  <c r="C352" i="8" s="1"/>
  <c r="B351" i="8"/>
  <c r="D351" i="8" s="1"/>
  <c r="D350" i="8"/>
  <c r="B350" i="8"/>
  <c r="D349" i="8"/>
  <c r="B349" i="8"/>
  <c r="C350" i="8" s="1"/>
  <c r="C348" i="8"/>
  <c r="B348" i="8"/>
  <c r="D347" i="8"/>
  <c r="C347" i="8"/>
  <c r="B347" i="8"/>
  <c r="D346" i="8"/>
  <c r="B346" i="8"/>
  <c r="C345" i="8"/>
  <c r="B345" i="8"/>
  <c r="C346" i="8" s="1"/>
  <c r="D344" i="8"/>
  <c r="C344" i="8"/>
  <c r="B344" i="8"/>
  <c r="B343" i="8"/>
  <c r="D343" i="8" s="1"/>
  <c r="D342" i="8"/>
  <c r="B342" i="8"/>
  <c r="D341" i="8"/>
  <c r="B341" i="8"/>
  <c r="C342" i="8" s="1"/>
  <c r="C340" i="8"/>
  <c r="B340" i="8"/>
  <c r="D352" i="8" s="1"/>
  <c r="B339" i="8"/>
  <c r="C339" i="8" s="1"/>
  <c r="D338" i="8"/>
  <c r="B338" i="8"/>
  <c r="B337" i="8"/>
  <c r="C337" i="8" s="1"/>
  <c r="D336" i="8"/>
  <c r="B336" i="8"/>
  <c r="D348" i="8" s="1"/>
  <c r="C335" i="8"/>
  <c r="B335" i="8"/>
  <c r="D334" i="8"/>
  <c r="B334" i="8"/>
  <c r="B333" i="8"/>
  <c r="C332" i="8"/>
  <c r="B332" i="8"/>
  <c r="D331" i="8"/>
  <c r="C331" i="8"/>
  <c r="B331" i="8"/>
  <c r="D330" i="8"/>
  <c r="B330" i="8"/>
  <c r="B329" i="8"/>
  <c r="D329" i="8" s="1"/>
  <c r="B328" i="8"/>
  <c r="C327" i="8"/>
  <c r="B327" i="8"/>
  <c r="D339" i="8" s="1"/>
  <c r="B326" i="8"/>
  <c r="D325" i="8"/>
  <c r="B325" i="8"/>
  <c r="C324" i="8"/>
  <c r="B324" i="8"/>
  <c r="B323" i="8"/>
  <c r="D335" i="8" s="1"/>
  <c r="D322" i="8"/>
  <c r="B322" i="8"/>
  <c r="C322" i="8" s="1"/>
  <c r="B321" i="8"/>
  <c r="D321" i="8" s="1"/>
  <c r="B320" i="8"/>
  <c r="D332" i="8" s="1"/>
  <c r="C319" i="8"/>
  <c r="B319" i="8"/>
  <c r="B318" i="8"/>
  <c r="C318" i="8" s="1"/>
  <c r="B317" i="8"/>
  <c r="C317" i="8" s="1"/>
  <c r="B316" i="8"/>
  <c r="D316" i="8" s="1"/>
  <c r="D315" i="8"/>
  <c r="B315" i="8"/>
  <c r="C315" i="8" s="1"/>
  <c r="B314" i="8"/>
  <c r="C314" i="8" s="1"/>
  <c r="C313" i="8"/>
  <c r="B313" i="8"/>
  <c r="D312" i="8"/>
  <c r="B312" i="8"/>
  <c r="B311" i="8"/>
  <c r="D323" i="8" s="1"/>
  <c r="D310" i="8"/>
  <c r="B310" i="8"/>
  <c r="D309" i="8"/>
  <c r="C309" i="8"/>
  <c r="B309" i="8"/>
  <c r="B308" i="8"/>
  <c r="D308" i="8" s="1"/>
  <c r="B307" i="8"/>
  <c r="D306" i="8"/>
  <c r="B306" i="8"/>
  <c r="C305" i="8"/>
  <c r="B305" i="8"/>
  <c r="D317" i="8" s="1"/>
  <c r="B304" i="8"/>
  <c r="C304" i="8" s="1"/>
  <c r="B303" i="8"/>
  <c r="D303" i="8" s="1"/>
  <c r="B302" i="8"/>
  <c r="C302" i="8" s="1"/>
  <c r="B301" i="8"/>
  <c r="D313" i="8" s="1"/>
  <c r="C300" i="8"/>
  <c r="B300" i="8"/>
  <c r="D299" i="8"/>
  <c r="B299" i="8"/>
  <c r="B298" i="8"/>
  <c r="C297" i="8"/>
  <c r="B297" i="8"/>
  <c r="D296" i="8"/>
  <c r="C296" i="8"/>
  <c r="B296" i="8"/>
  <c r="B295" i="8"/>
  <c r="D295" i="8" s="1"/>
  <c r="B294" i="8"/>
  <c r="C293" i="8"/>
  <c r="B293" i="8"/>
  <c r="D293" i="8" s="1"/>
  <c r="C292" i="8"/>
  <c r="B292" i="8"/>
  <c r="D304" i="8" s="1"/>
  <c r="B291" i="8"/>
  <c r="C291" i="8" s="1"/>
  <c r="D290" i="8"/>
  <c r="B290" i="8"/>
  <c r="C289" i="8"/>
  <c r="B289" i="8"/>
  <c r="D289" i="8" s="1"/>
  <c r="B288" i="8"/>
  <c r="D300" i="8" s="1"/>
  <c r="B287" i="8"/>
  <c r="B286" i="8"/>
  <c r="B285" i="8"/>
  <c r="C284" i="8"/>
  <c r="B284" i="8"/>
  <c r="D283" i="8"/>
  <c r="C283" i="8"/>
  <c r="B283" i="8"/>
  <c r="B282" i="8"/>
  <c r="B281" i="8"/>
  <c r="D281" i="8" s="1"/>
  <c r="B280" i="8"/>
  <c r="D280" i="8" s="1"/>
  <c r="C279" i="8"/>
  <c r="B279" i="8"/>
  <c r="D291" i="8" s="1"/>
  <c r="B278" i="8"/>
  <c r="D277" i="8"/>
  <c r="B277" i="8"/>
  <c r="B276" i="8"/>
  <c r="D288" i="8" s="1"/>
  <c r="B275" i="8"/>
  <c r="D287" i="8" s="1"/>
  <c r="D274" i="8"/>
  <c r="B274" i="8"/>
  <c r="C274" i="8" s="1"/>
  <c r="B273" i="8"/>
  <c r="D273" i="8" s="1"/>
  <c r="B272" i="8"/>
  <c r="C271" i="8"/>
  <c r="B271" i="8"/>
  <c r="B270" i="8"/>
  <c r="C270" i="8" s="1"/>
  <c r="B269" i="8"/>
  <c r="C269" i="8" s="1"/>
  <c r="B268" i="8"/>
  <c r="D268" i="8" s="1"/>
  <c r="B267" i="8"/>
  <c r="D267" i="8" s="1"/>
  <c r="B266" i="8"/>
  <c r="C266" i="8" s="1"/>
  <c r="C265" i="8"/>
  <c r="B265" i="8"/>
  <c r="D264" i="8"/>
  <c r="B264" i="8"/>
  <c r="B263" i="8"/>
  <c r="B262" i="8"/>
  <c r="D261" i="8"/>
  <c r="C261" i="8"/>
  <c r="B261" i="8"/>
  <c r="B260" i="8"/>
  <c r="D260" i="8" s="1"/>
  <c r="B259" i="8"/>
  <c r="D258" i="8"/>
  <c r="B258" i="8"/>
  <c r="C257" i="8"/>
  <c r="B257" i="8"/>
  <c r="D269" i="8" s="1"/>
  <c r="B256" i="8"/>
  <c r="C256" i="8" s="1"/>
  <c r="B255" i="8"/>
  <c r="D255" i="8" s="1"/>
  <c r="D254" i="8"/>
  <c r="B254" i="8"/>
  <c r="C254" i="8" s="1"/>
  <c r="B253" i="8"/>
  <c r="D265" i="8" s="1"/>
  <c r="C252" i="8"/>
  <c r="B252" i="8"/>
  <c r="D251" i="8"/>
  <c r="B251" i="8"/>
  <c r="B250" i="8"/>
  <c r="D249" i="8"/>
  <c r="C249" i="8"/>
  <c r="B249" i="8"/>
  <c r="D248" i="8"/>
  <c r="C248" i="8"/>
  <c r="B248" i="8"/>
  <c r="B247" i="8"/>
  <c r="D247" i="8" s="1"/>
  <c r="B246" i="8"/>
  <c r="D245" i="8"/>
  <c r="C245" i="8"/>
  <c r="B245" i="8"/>
  <c r="C244" i="8"/>
  <c r="B244" i="8"/>
  <c r="D256" i="8" s="1"/>
  <c r="B243" i="8"/>
  <c r="C243" i="8" s="1"/>
  <c r="D242" i="8"/>
  <c r="B242" i="8"/>
  <c r="B241" i="8"/>
  <c r="D241" i="8" s="1"/>
  <c r="D240" i="8"/>
  <c r="B240" i="8"/>
  <c r="D252" i="8" s="1"/>
  <c r="B239" i="8"/>
  <c r="B238" i="8"/>
  <c r="B237" i="8"/>
  <c r="D236" i="8"/>
  <c r="C236" i="8"/>
  <c r="B236" i="8"/>
  <c r="D235" i="8"/>
  <c r="C235" i="8"/>
  <c r="B235" i="8"/>
  <c r="B234" i="8"/>
  <c r="B233" i="8"/>
  <c r="D233" i="8" s="1"/>
  <c r="C232" i="8"/>
  <c r="B232" i="8"/>
  <c r="D232" i="8" s="1"/>
  <c r="C231" i="8"/>
  <c r="B231" i="8"/>
  <c r="D243" i="8" s="1"/>
  <c r="B230" i="8"/>
  <c r="D229" i="8"/>
  <c r="B229" i="8"/>
  <c r="C228" i="8"/>
  <c r="B228" i="8"/>
  <c r="B227" i="8"/>
  <c r="D239" i="8" s="1"/>
  <c r="D226" i="8"/>
  <c r="B226" i="8"/>
  <c r="C226" i="8" s="1"/>
  <c r="B225" i="8"/>
  <c r="D225" i="8" s="1"/>
  <c r="B224" i="8"/>
  <c r="C223" i="8"/>
  <c r="B223" i="8"/>
  <c r="B222" i="8"/>
  <c r="C222" i="8" s="1"/>
  <c r="B221" i="8"/>
  <c r="C221" i="8" s="1"/>
  <c r="B220" i="8"/>
  <c r="D220" i="8" s="1"/>
  <c r="B219" i="8"/>
  <c r="B218" i="8"/>
  <c r="C218" i="8" s="1"/>
  <c r="C217" i="8"/>
  <c r="B217" i="8"/>
  <c r="D216" i="8"/>
  <c r="B216" i="8"/>
  <c r="C215" i="8"/>
  <c r="B215" i="8"/>
  <c r="D227" i="8" s="1"/>
  <c r="B214" i="8"/>
  <c r="D213" i="8"/>
  <c r="C213" i="8"/>
  <c r="B213" i="8"/>
  <c r="B212" i="8"/>
  <c r="D212" i="8" s="1"/>
  <c r="B211" i="8"/>
  <c r="B210" i="8"/>
  <c r="C209" i="8"/>
  <c r="B209" i="8"/>
  <c r="D221" i="8" s="1"/>
  <c r="B208" i="8"/>
  <c r="C208" i="8" s="1"/>
  <c r="B207" i="8"/>
  <c r="D207" i="8" s="1"/>
  <c r="B206" i="8"/>
  <c r="C206" i="8" s="1"/>
  <c r="B205" i="8"/>
  <c r="D217" i="8" s="1"/>
  <c r="C204" i="8"/>
  <c r="B204" i="8"/>
  <c r="D203" i="8"/>
  <c r="B203" i="8"/>
  <c r="B202" i="8"/>
  <c r="D214" i="8" s="1"/>
  <c r="D201" i="8"/>
  <c r="C201" i="8"/>
  <c r="B201" i="8"/>
  <c r="D200" i="8"/>
  <c r="C200" i="8"/>
  <c r="B200" i="8"/>
  <c r="B199" i="8"/>
  <c r="D199" i="8" s="1"/>
  <c r="B198" i="8"/>
  <c r="D197" i="8"/>
  <c r="B197" i="8"/>
  <c r="C197" i="8" s="1"/>
  <c r="C196" i="8"/>
  <c r="B196" i="8"/>
  <c r="D208" i="8" s="1"/>
  <c r="B195" i="8"/>
  <c r="C195" i="8" s="1"/>
  <c r="D194" i="8"/>
  <c r="B194" i="8"/>
  <c r="B193" i="8"/>
  <c r="D193" i="8" s="1"/>
  <c r="D192" i="8"/>
  <c r="B192" i="8"/>
  <c r="D204" i="8" s="1"/>
  <c r="B191" i="8"/>
  <c r="B190" i="8"/>
  <c r="B189" i="8"/>
  <c r="D188" i="8"/>
  <c r="C188" i="8"/>
  <c r="B188" i="8"/>
  <c r="C187" i="8"/>
  <c r="B187" i="8"/>
  <c r="B186" i="8"/>
  <c r="B185" i="8"/>
  <c r="D185" i="8" s="1"/>
  <c r="D184" i="8"/>
  <c r="C184" i="8"/>
  <c r="B184" i="8"/>
  <c r="C183" i="8"/>
  <c r="B183" i="8"/>
  <c r="D195" i="8" s="1"/>
  <c r="D182" i="8"/>
  <c r="B182" i="8"/>
  <c r="D181" i="8"/>
  <c r="B181" i="8"/>
  <c r="B180" i="8"/>
  <c r="D179" i="8"/>
  <c r="B179" i="8"/>
  <c r="D191" i="8" s="1"/>
  <c r="D178" i="8"/>
  <c r="C178" i="8"/>
  <c r="B178" i="8"/>
  <c r="D177" i="8"/>
  <c r="B177" i="8"/>
  <c r="C176" i="8"/>
  <c r="B176" i="8"/>
  <c r="D175" i="8"/>
  <c r="B175" i="8"/>
  <c r="C175" i="8" s="1"/>
  <c r="D174" i="8"/>
  <c r="C174" i="8"/>
  <c r="B174" i="8"/>
  <c r="D173" i="8"/>
  <c r="B173" i="8"/>
  <c r="B172" i="8"/>
  <c r="D171" i="8"/>
  <c r="B171" i="8"/>
  <c r="C171" i="8" s="1"/>
  <c r="D170" i="8"/>
  <c r="C170" i="8"/>
  <c r="B170" i="8"/>
  <c r="D169" i="8"/>
  <c r="B169" i="8"/>
  <c r="B168" i="8"/>
  <c r="D167" i="8"/>
  <c r="B167" i="8"/>
  <c r="C167" i="8" s="1"/>
  <c r="D166" i="8"/>
  <c r="C166" i="8"/>
  <c r="B166" i="8"/>
  <c r="D165" i="8"/>
  <c r="B165" i="8"/>
  <c r="B164" i="8"/>
  <c r="D163" i="8"/>
  <c r="B163" i="8"/>
  <c r="C163" i="8" s="1"/>
  <c r="D162" i="8"/>
  <c r="C162" i="8"/>
  <c r="B162" i="8"/>
  <c r="D161" i="8"/>
  <c r="B161" i="8"/>
  <c r="C160" i="8"/>
  <c r="B160" i="8"/>
  <c r="D159" i="8"/>
  <c r="B159" i="8"/>
  <c r="C159" i="8" s="1"/>
  <c r="D158" i="8"/>
  <c r="C158" i="8"/>
  <c r="B158" i="8"/>
  <c r="D157" i="8"/>
  <c r="B157" i="8"/>
  <c r="B156" i="8"/>
  <c r="D155" i="8"/>
  <c r="B155" i="8"/>
  <c r="C155" i="8" s="1"/>
  <c r="D154" i="8"/>
  <c r="C154" i="8"/>
  <c r="B154" i="8"/>
  <c r="D153" i="8"/>
  <c r="B153" i="8"/>
  <c r="C152" i="8"/>
  <c r="B152" i="8"/>
  <c r="D151" i="8"/>
  <c r="B151" i="8"/>
  <c r="C151" i="8" s="1"/>
  <c r="D150" i="8"/>
  <c r="C150" i="8"/>
  <c r="B150" i="8"/>
  <c r="B149" i="8"/>
  <c r="C148" i="8"/>
  <c r="B148" i="8"/>
  <c r="D147" i="8"/>
  <c r="B147" i="8"/>
  <c r="C147" i="8" s="1"/>
  <c r="D146" i="8"/>
  <c r="C146" i="8"/>
  <c r="B146" i="8"/>
  <c r="B145" i="8"/>
  <c r="B144" i="8"/>
  <c r="C144" i="8" s="1"/>
  <c r="D143" i="8"/>
  <c r="B143" i="8"/>
  <c r="C143" i="8" s="1"/>
  <c r="D142" i="8"/>
  <c r="C142" i="8"/>
  <c r="B142" i="8"/>
  <c r="B141" i="8"/>
  <c r="C140" i="8"/>
  <c r="B140" i="8"/>
  <c r="D139" i="8"/>
  <c r="B139" i="8"/>
  <c r="C139" i="8" s="1"/>
  <c r="D138" i="8"/>
  <c r="C138" i="8"/>
  <c r="B138" i="8"/>
  <c r="B137" i="8"/>
  <c r="D149" i="8" s="1"/>
  <c r="C136" i="8"/>
  <c r="B136" i="8"/>
  <c r="D135" i="8"/>
  <c r="B135" i="8"/>
  <c r="C135" i="8" s="1"/>
  <c r="D134" i="8"/>
  <c r="C134" i="8"/>
  <c r="B134" i="8"/>
  <c r="B133" i="8"/>
  <c r="D145" i="8" s="1"/>
  <c r="B132" i="8"/>
  <c r="C132" i="8" s="1"/>
  <c r="D131" i="8"/>
  <c r="B131" i="8"/>
  <c r="C131" i="8" s="1"/>
  <c r="D130" i="8"/>
  <c r="C130" i="8"/>
  <c r="B130" i="8"/>
  <c r="B129" i="8"/>
  <c r="D141" i="8" s="1"/>
  <c r="B128" i="8"/>
  <c r="D127" i="8"/>
  <c r="B127" i="8"/>
  <c r="C127" i="8" s="1"/>
  <c r="D126" i="8"/>
  <c r="C126" i="8"/>
  <c r="B126" i="8"/>
  <c r="B125" i="8"/>
  <c r="D137" i="8" s="1"/>
  <c r="C124" i="8"/>
  <c r="B124" i="8"/>
  <c r="D123" i="8"/>
  <c r="B123" i="8"/>
  <c r="C123" i="8" s="1"/>
  <c r="D122" i="8"/>
  <c r="C122" i="8"/>
  <c r="B122" i="8"/>
  <c r="B121" i="8"/>
  <c r="D121" i="8" s="1"/>
  <c r="B120" i="8"/>
  <c r="C120" i="8" s="1"/>
  <c r="D119" i="8"/>
  <c r="B119" i="8"/>
  <c r="C119" i="8" s="1"/>
  <c r="D118" i="8"/>
  <c r="C118" i="8"/>
  <c r="B118" i="8"/>
  <c r="B117" i="8"/>
  <c r="D117" i="8" s="1"/>
  <c r="C116" i="8"/>
  <c r="B116" i="8"/>
  <c r="D115" i="8"/>
  <c r="B115" i="8"/>
  <c r="C115" i="8" s="1"/>
  <c r="D114" i="8"/>
  <c r="C114" i="8"/>
  <c r="B114" i="8"/>
  <c r="B113" i="8"/>
  <c r="D113" i="8" s="1"/>
  <c r="C112" i="8"/>
  <c r="B112" i="8"/>
  <c r="D111" i="8"/>
  <c r="B111" i="8"/>
  <c r="C111" i="8" s="1"/>
  <c r="D110" i="8"/>
  <c r="C110" i="8"/>
  <c r="B110" i="8"/>
  <c r="B109" i="8"/>
  <c r="D109" i="8" s="1"/>
  <c r="B108" i="8"/>
  <c r="C108" i="8" s="1"/>
  <c r="D107" i="8"/>
  <c r="B107" i="8"/>
  <c r="C107" i="8" s="1"/>
  <c r="D106" i="8"/>
  <c r="C106" i="8"/>
  <c r="B106" i="8"/>
  <c r="B105" i="8"/>
  <c r="D105" i="8" s="1"/>
  <c r="C104" i="8"/>
  <c r="B104" i="8"/>
  <c r="D103" i="8"/>
  <c r="B103" i="8"/>
  <c r="C103" i="8" s="1"/>
  <c r="D102" i="8"/>
  <c r="C102" i="8"/>
  <c r="B102" i="8"/>
  <c r="B101" i="8"/>
  <c r="D101" i="8" s="1"/>
  <c r="C100" i="8"/>
  <c r="B100" i="8"/>
  <c r="B99" i="8"/>
  <c r="C99" i="8" s="1"/>
  <c r="D98" i="8"/>
  <c r="C98" i="8"/>
  <c r="B98" i="8"/>
  <c r="B97" i="8"/>
  <c r="D97" i="8" s="1"/>
  <c r="B96" i="8"/>
  <c r="C96" i="8" s="1"/>
  <c r="D95" i="8"/>
  <c r="B95" i="8"/>
  <c r="C95" i="8" s="1"/>
  <c r="D94" i="8"/>
  <c r="C94" i="8"/>
  <c r="B94" i="8"/>
  <c r="B93" i="8"/>
  <c r="D93" i="8" s="1"/>
  <c r="C92" i="8"/>
  <c r="B92" i="8"/>
  <c r="D91" i="8"/>
  <c r="B91" i="8"/>
  <c r="C91" i="8" s="1"/>
  <c r="D90" i="8"/>
  <c r="C90" i="8"/>
  <c r="B90" i="8"/>
  <c r="B89" i="8"/>
  <c r="D89" i="8" s="1"/>
  <c r="C88" i="8"/>
  <c r="B88" i="8"/>
  <c r="B87" i="8"/>
  <c r="C87" i="8" s="1"/>
  <c r="D86" i="8"/>
  <c r="C86" i="8"/>
  <c r="B86" i="8"/>
  <c r="B85" i="8"/>
  <c r="D85" i="8" s="1"/>
  <c r="B84" i="8"/>
  <c r="C84" i="8" s="1"/>
  <c r="D83" i="8"/>
  <c r="B83" i="8"/>
  <c r="C83" i="8" s="1"/>
  <c r="D82" i="8"/>
  <c r="C82" i="8"/>
  <c r="B82" i="8"/>
  <c r="B81" i="8"/>
  <c r="D81" i="8" s="1"/>
  <c r="B80" i="8"/>
  <c r="D79" i="8"/>
  <c r="B79" i="8"/>
  <c r="C79" i="8" s="1"/>
  <c r="D78" i="8"/>
  <c r="C78" i="8"/>
  <c r="B78" i="8"/>
  <c r="B77" i="8"/>
  <c r="D77" i="8" s="1"/>
  <c r="C76" i="8"/>
  <c r="B76" i="8"/>
  <c r="B75" i="8"/>
  <c r="C75" i="8" s="1"/>
  <c r="D74" i="8"/>
  <c r="C74" i="8"/>
  <c r="B74" i="8"/>
  <c r="B73" i="8"/>
  <c r="D73" i="8" s="1"/>
  <c r="B72" i="8"/>
  <c r="C72" i="8" s="1"/>
  <c r="D71" i="8"/>
  <c r="B71" i="8"/>
  <c r="C71" i="8" s="1"/>
  <c r="D70" i="8"/>
  <c r="C70" i="8"/>
  <c r="B70" i="8"/>
  <c r="B69" i="8"/>
  <c r="D69" i="8" s="1"/>
  <c r="B68" i="8"/>
  <c r="D68" i="8" s="1"/>
  <c r="D67" i="8"/>
  <c r="B67" i="8"/>
  <c r="C67" i="8" s="1"/>
  <c r="D66" i="8"/>
  <c r="C66" i="8"/>
  <c r="B66" i="8"/>
  <c r="B65" i="8"/>
  <c r="D65" i="8" s="1"/>
  <c r="C64" i="8"/>
  <c r="B64" i="8"/>
  <c r="B63" i="8"/>
  <c r="C63" i="8" s="1"/>
  <c r="D62" i="8"/>
  <c r="C62" i="8"/>
  <c r="B62" i="8"/>
  <c r="B61" i="8"/>
  <c r="D61" i="8" s="1"/>
  <c r="B60" i="8"/>
  <c r="D60" i="8" s="1"/>
  <c r="B59" i="8"/>
  <c r="C59" i="8" s="1"/>
  <c r="D58" i="8"/>
  <c r="C58" i="8"/>
  <c r="B58" i="8"/>
  <c r="B57" i="8"/>
  <c r="D57" i="8" s="1"/>
  <c r="C56" i="8"/>
  <c r="B56" i="8"/>
  <c r="D56" i="8" s="1"/>
  <c r="B55" i="8"/>
  <c r="C55" i="8" s="1"/>
  <c r="D54" i="8"/>
  <c r="C54" i="8"/>
  <c r="B54" i="8"/>
  <c r="B53" i="8"/>
  <c r="D53" i="8" s="1"/>
  <c r="C52" i="8"/>
  <c r="B52" i="8"/>
  <c r="B51" i="8"/>
  <c r="C51" i="8" s="1"/>
  <c r="D50" i="8"/>
  <c r="B50" i="8"/>
  <c r="B49" i="8"/>
  <c r="C50" i="8" s="1"/>
  <c r="B48" i="8"/>
  <c r="B47" i="8"/>
  <c r="D46" i="8"/>
  <c r="B46" i="8"/>
  <c r="B45" i="8"/>
  <c r="C46" i="8" s="1"/>
  <c r="B44" i="8"/>
  <c r="D43" i="8"/>
  <c r="B43" i="8"/>
  <c r="C43" i="8" s="1"/>
  <c r="D42" i="8"/>
  <c r="B42" i="8"/>
  <c r="B41" i="8"/>
  <c r="C42" i="8" s="1"/>
  <c r="B40" i="8"/>
  <c r="B39" i="8"/>
  <c r="C39" i="8" s="1"/>
  <c r="D38" i="8"/>
  <c r="B38" i="8"/>
  <c r="B37" i="8"/>
  <c r="C38" i="8" s="1"/>
  <c r="C36" i="8"/>
  <c r="B36" i="8"/>
  <c r="D36" i="8" s="1"/>
  <c r="D35" i="8"/>
  <c r="B35" i="8"/>
  <c r="C35" i="8" s="1"/>
  <c r="D34" i="8"/>
  <c r="B34" i="8"/>
  <c r="B33" i="8"/>
  <c r="C34" i="8" s="1"/>
  <c r="B32" i="8"/>
  <c r="B31" i="8"/>
  <c r="C31" i="8" s="1"/>
  <c r="D30" i="8"/>
  <c r="B30" i="8"/>
  <c r="C30" i="8" s="1"/>
  <c r="B29" i="8"/>
  <c r="D29" i="8" s="1"/>
  <c r="C28" i="8"/>
  <c r="B28" i="8"/>
  <c r="D28" i="8" s="1"/>
  <c r="B27" i="8"/>
  <c r="C27" i="8" s="1"/>
  <c r="B26" i="8"/>
  <c r="C26" i="8" s="1"/>
  <c r="B25" i="8"/>
  <c r="C24" i="8"/>
  <c r="B24" i="8"/>
  <c r="D24" i="8" s="1"/>
  <c r="B23" i="8"/>
  <c r="C23" i="8" s="1"/>
  <c r="D22" i="8"/>
  <c r="B22" i="8"/>
  <c r="C22" i="8" s="1"/>
  <c r="B21" i="8"/>
  <c r="D21" i="8" s="1"/>
  <c r="B20" i="8"/>
  <c r="D20" i="8" s="1"/>
  <c r="B19" i="8"/>
  <c r="C18" i="8"/>
  <c r="B18" i="8"/>
  <c r="B17" i="8"/>
  <c r="B16" i="8"/>
  <c r="C17" i="8" s="1"/>
  <c r="B15" i="8"/>
  <c r="C14" i="8"/>
  <c r="B14" i="8"/>
  <c r="D26" i="8" s="1"/>
  <c r="B13" i="8"/>
  <c r="C13" i="8" s="1"/>
  <c r="C12" i="8"/>
  <c r="B12" i="8"/>
  <c r="B11" i="8"/>
  <c r="B10" i="8"/>
  <c r="C11" i="8" s="1"/>
  <c r="B9" i="8"/>
  <c r="C9" i="8" s="1"/>
  <c r="C8" i="8"/>
  <c r="B8" i="8"/>
  <c r="B7" i="8"/>
  <c r="B378" i="7"/>
  <c r="C378" i="7" s="1"/>
  <c r="E68" i="4" s="1"/>
  <c r="B377" i="7"/>
  <c r="C377" i="7" s="1"/>
  <c r="E67" i="4" s="1"/>
  <c r="B376" i="7"/>
  <c r="D375" i="7"/>
  <c r="F65" i="4" s="1"/>
  <c r="B375" i="7"/>
  <c r="C375" i="7" s="1"/>
  <c r="E65" i="4" s="1"/>
  <c r="B374" i="7"/>
  <c r="D374" i="7" s="1"/>
  <c r="F64" i="4" s="1"/>
  <c r="B373" i="7"/>
  <c r="B372" i="7"/>
  <c r="B371" i="7"/>
  <c r="D371" i="7" s="1"/>
  <c r="F61" i="4" s="1"/>
  <c r="D370" i="7"/>
  <c r="C370" i="7"/>
  <c r="E60" i="4" s="1"/>
  <c r="B370" i="7"/>
  <c r="B369" i="7"/>
  <c r="B368" i="7"/>
  <c r="B367" i="7"/>
  <c r="D367" i="7" s="1"/>
  <c r="F57" i="4" s="1"/>
  <c r="D366" i="7"/>
  <c r="B366" i="7"/>
  <c r="D378" i="7" s="1"/>
  <c r="B365" i="7"/>
  <c r="D377" i="7" s="1"/>
  <c r="B364" i="7"/>
  <c r="D363" i="7"/>
  <c r="F53" i="4" s="1"/>
  <c r="B363" i="7"/>
  <c r="C363" i="7" s="1"/>
  <c r="E53" i="4" s="1"/>
  <c r="B362" i="7"/>
  <c r="D362" i="7" s="1"/>
  <c r="F52" i="4" s="1"/>
  <c r="B361" i="7"/>
  <c r="D373" i="7" s="1"/>
  <c r="B360" i="7"/>
  <c r="B359" i="7"/>
  <c r="D359" i="7" s="1"/>
  <c r="F49" i="4" s="1"/>
  <c r="D358" i="7"/>
  <c r="C358" i="7"/>
  <c r="E48" i="4" s="1"/>
  <c r="B358" i="7"/>
  <c r="B357" i="7"/>
  <c r="B356" i="7"/>
  <c r="B355" i="7"/>
  <c r="D355" i="7" s="1"/>
  <c r="F45" i="4" s="1"/>
  <c r="D354" i="7"/>
  <c r="B354" i="7"/>
  <c r="C354" i="7" s="1"/>
  <c r="E44" i="4" s="1"/>
  <c r="B353" i="7"/>
  <c r="B352" i="7"/>
  <c r="D351" i="7"/>
  <c r="B351" i="7"/>
  <c r="C351" i="7" s="1"/>
  <c r="E41" i="4" s="1"/>
  <c r="B350" i="7"/>
  <c r="D350" i="7" s="1"/>
  <c r="F40" i="4" s="1"/>
  <c r="B349" i="7"/>
  <c r="B348" i="7"/>
  <c r="B347" i="7"/>
  <c r="D347" i="7" s="1"/>
  <c r="F37" i="4" s="1"/>
  <c r="D346" i="7"/>
  <c r="C346" i="7"/>
  <c r="E36" i="4" s="1"/>
  <c r="B346" i="7"/>
  <c r="B345" i="7"/>
  <c r="B344" i="7"/>
  <c r="B343" i="7"/>
  <c r="D343" i="7" s="1"/>
  <c r="F33" i="4" s="1"/>
  <c r="D342" i="7"/>
  <c r="B342" i="7"/>
  <c r="C342" i="7" s="1"/>
  <c r="E32" i="4" s="1"/>
  <c r="B341" i="7"/>
  <c r="B340" i="7"/>
  <c r="D339" i="7"/>
  <c r="F29" i="4" s="1"/>
  <c r="B339" i="7"/>
  <c r="C339" i="7" s="1"/>
  <c r="E29" i="4" s="1"/>
  <c r="B338" i="7"/>
  <c r="D338" i="7" s="1"/>
  <c r="F28" i="4" s="1"/>
  <c r="B337" i="7"/>
  <c r="B336" i="7"/>
  <c r="B335" i="7"/>
  <c r="D335" i="7" s="1"/>
  <c r="F25" i="4" s="1"/>
  <c r="C334" i="7"/>
  <c r="E24" i="4" s="1"/>
  <c r="B334" i="7"/>
  <c r="B333" i="7"/>
  <c r="D333" i="7" s="1"/>
  <c r="B332" i="7"/>
  <c r="B331" i="7"/>
  <c r="D331" i="7" s="1"/>
  <c r="F21" i="4" s="1"/>
  <c r="B330" i="7"/>
  <c r="C330" i="7" s="1"/>
  <c r="E20" i="4" s="1"/>
  <c r="B329" i="7"/>
  <c r="D329" i="7" s="1"/>
  <c r="B328" i="7"/>
  <c r="B327" i="7"/>
  <c r="C327" i="7" s="1"/>
  <c r="E17" i="4" s="1"/>
  <c r="B326" i="7"/>
  <c r="D326" i="7" s="1"/>
  <c r="F16" i="4" s="1"/>
  <c r="B325" i="7"/>
  <c r="D325" i="7" s="1"/>
  <c r="B324" i="7"/>
  <c r="B323" i="7"/>
  <c r="D323" i="7" s="1"/>
  <c r="F13" i="4" s="1"/>
  <c r="B322" i="7"/>
  <c r="C322" i="7" s="1"/>
  <c r="E12" i="4" s="1"/>
  <c r="B321" i="7"/>
  <c r="B320" i="7"/>
  <c r="B319" i="7"/>
  <c r="D319" i="7" s="1"/>
  <c r="F9" i="4" s="1"/>
  <c r="D318" i="7"/>
  <c r="B318" i="7"/>
  <c r="C318" i="7" s="1"/>
  <c r="B317" i="7"/>
  <c r="B316" i="7"/>
  <c r="B315" i="7"/>
  <c r="D315" i="7" s="1"/>
  <c r="F5" i="4" s="1"/>
  <c r="B314" i="7"/>
  <c r="C314" i="7" s="1"/>
  <c r="B313" i="7"/>
  <c r="B312" i="7"/>
  <c r="C311" i="7"/>
  <c r="B311" i="7"/>
  <c r="D311" i="7" s="1"/>
  <c r="B310" i="7"/>
  <c r="B309" i="7"/>
  <c r="D309" i="7" s="1"/>
  <c r="B308" i="7"/>
  <c r="D307" i="7"/>
  <c r="B307" i="7"/>
  <c r="C307" i="7" s="1"/>
  <c r="B306" i="7"/>
  <c r="C306" i="7" s="1"/>
  <c r="B305" i="7"/>
  <c r="B304" i="7"/>
  <c r="C303" i="7"/>
  <c r="B303" i="7"/>
  <c r="B302" i="7"/>
  <c r="B301" i="7"/>
  <c r="B300" i="7"/>
  <c r="D299" i="7"/>
  <c r="B299" i="7"/>
  <c r="C299" i="7" s="1"/>
  <c r="B298" i="7"/>
  <c r="C298" i="7" s="1"/>
  <c r="B297" i="7"/>
  <c r="B296" i="7"/>
  <c r="D295" i="7"/>
  <c r="C295" i="7"/>
  <c r="B295" i="7"/>
  <c r="B294" i="7"/>
  <c r="D306" i="7" s="1"/>
  <c r="B293" i="7"/>
  <c r="B292" i="7"/>
  <c r="B291" i="7"/>
  <c r="C291" i="7" s="1"/>
  <c r="B290" i="7"/>
  <c r="B289" i="7"/>
  <c r="B288" i="7"/>
  <c r="B287" i="7"/>
  <c r="B286" i="7"/>
  <c r="C286" i="7" s="1"/>
  <c r="B285" i="7"/>
  <c r="B284" i="7"/>
  <c r="B283" i="7"/>
  <c r="B282" i="7"/>
  <c r="B281" i="7"/>
  <c r="B280" i="7"/>
  <c r="D279" i="7"/>
  <c r="B279" i="7"/>
  <c r="B278" i="7"/>
  <c r="C279" i="7" s="1"/>
  <c r="B277" i="7"/>
  <c r="B276" i="7"/>
  <c r="B275" i="7"/>
  <c r="B274" i="7"/>
  <c r="B273" i="7"/>
  <c r="B272" i="7"/>
  <c r="C271" i="7"/>
  <c r="B271" i="7"/>
  <c r="B270" i="7"/>
  <c r="D282" i="7" s="1"/>
  <c r="B269" i="7"/>
  <c r="B268" i="7"/>
  <c r="B267" i="7"/>
  <c r="B266" i="7"/>
  <c r="B265" i="7"/>
  <c r="B264" i="7"/>
  <c r="B263" i="7"/>
  <c r="D263" i="7" s="1"/>
  <c r="B262" i="7"/>
  <c r="B261" i="7"/>
  <c r="B260" i="7"/>
  <c r="B259" i="7"/>
  <c r="B258" i="7"/>
  <c r="C258" i="7" s="1"/>
  <c r="B257" i="7"/>
  <c r="B256" i="7"/>
  <c r="B255" i="7"/>
  <c r="D255" i="7" s="1"/>
  <c r="D254" i="7"/>
  <c r="B254" i="7"/>
  <c r="B253" i="7"/>
  <c r="B252" i="7"/>
  <c r="C251" i="7"/>
  <c r="B251" i="7"/>
  <c r="B250" i="7"/>
  <c r="D262" i="7" s="1"/>
  <c r="B249" i="7"/>
  <c r="B248" i="7"/>
  <c r="B247" i="7"/>
  <c r="C247" i="7" s="1"/>
  <c r="B246" i="7"/>
  <c r="D258" i="7" s="1"/>
  <c r="B245" i="7"/>
  <c r="B244" i="7"/>
  <c r="B243" i="7"/>
  <c r="C243" i="7" s="1"/>
  <c r="B242" i="7"/>
  <c r="B241" i="7"/>
  <c r="B240" i="7"/>
  <c r="B239" i="7"/>
  <c r="D251" i="7" s="1"/>
  <c r="B238" i="7"/>
  <c r="B237" i="7"/>
  <c r="B236" i="7"/>
  <c r="B235" i="7"/>
  <c r="B234" i="7"/>
  <c r="B233" i="7"/>
  <c r="B232" i="7"/>
  <c r="D231" i="7"/>
  <c r="B231" i="7"/>
  <c r="D243" i="7" s="1"/>
  <c r="B230" i="7"/>
  <c r="C230" i="7" s="1"/>
  <c r="B229" i="7"/>
  <c r="B228" i="7"/>
  <c r="D227" i="7"/>
  <c r="C227" i="7"/>
  <c r="B227" i="7"/>
  <c r="B226" i="7"/>
  <c r="D238" i="7" s="1"/>
  <c r="B225" i="7"/>
  <c r="B224" i="7"/>
  <c r="C223" i="7"/>
  <c r="B223" i="7"/>
  <c r="B222" i="7"/>
  <c r="B221" i="7"/>
  <c r="B220" i="7"/>
  <c r="B219" i="7"/>
  <c r="D219" i="7" s="1"/>
  <c r="B218" i="7"/>
  <c r="B217" i="7"/>
  <c r="B216" i="7"/>
  <c r="B215" i="7"/>
  <c r="D215" i="7" s="1"/>
  <c r="B214" i="7"/>
  <c r="D214" i="7" s="1"/>
  <c r="B213" i="7"/>
  <c r="B212" i="7"/>
  <c r="B211" i="7"/>
  <c r="B210" i="7"/>
  <c r="B209" i="7"/>
  <c r="B208" i="7"/>
  <c r="B207" i="7"/>
  <c r="B206" i="7"/>
  <c r="C206" i="7" s="1"/>
  <c r="B205" i="7"/>
  <c r="B204" i="7"/>
  <c r="C203" i="7"/>
  <c r="B203" i="7"/>
  <c r="D203" i="7" s="1"/>
  <c r="B202" i="7"/>
  <c r="B201" i="7"/>
  <c r="B200" i="7"/>
  <c r="B199" i="7"/>
  <c r="B198" i="7"/>
  <c r="D210" i="7" s="1"/>
  <c r="B197" i="7"/>
  <c r="B196" i="7"/>
  <c r="B195" i="7"/>
  <c r="B194" i="7"/>
  <c r="B193" i="7"/>
  <c r="B192" i="7"/>
  <c r="B191" i="7"/>
  <c r="D191" i="7" s="1"/>
  <c r="B190" i="7"/>
  <c r="C190" i="7" s="1"/>
  <c r="B189" i="7"/>
  <c r="B188" i="7"/>
  <c r="B187" i="7"/>
  <c r="D199" i="7" s="1"/>
  <c r="B186" i="7"/>
  <c r="C186" i="7" s="1"/>
  <c r="B185" i="7"/>
  <c r="B184" i="7"/>
  <c r="B183" i="7"/>
  <c r="D195" i="7" s="1"/>
  <c r="B182" i="7"/>
  <c r="C182" i="7" s="1"/>
  <c r="B181" i="7"/>
  <c r="B180" i="7"/>
  <c r="B179" i="7"/>
  <c r="B178" i="7"/>
  <c r="D190" i="7" s="1"/>
  <c r="B177" i="7"/>
  <c r="B176" i="7"/>
  <c r="B175" i="7"/>
  <c r="C175" i="7" s="1"/>
  <c r="B174" i="7"/>
  <c r="B173" i="7"/>
  <c r="B172" i="7"/>
  <c r="D171" i="7"/>
  <c r="B171" i="7"/>
  <c r="B170" i="7"/>
  <c r="B169" i="7"/>
  <c r="B168" i="7"/>
  <c r="B167" i="7"/>
  <c r="D166" i="7"/>
  <c r="B166" i="7"/>
  <c r="B165" i="7"/>
  <c r="B164" i="7"/>
  <c r="B163" i="7"/>
  <c r="B162" i="7"/>
  <c r="B161" i="7"/>
  <c r="B160" i="7"/>
  <c r="B159" i="7"/>
  <c r="B158" i="7"/>
  <c r="B157" i="7"/>
  <c r="B156" i="7"/>
  <c r="D155" i="7"/>
  <c r="B155" i="7"/>
  <c r="C155" i="7" s="1"/>
  <c r="B154" i="7"/>
  <c r="B153" i="7"/>
  <c r="B152" i="7"/>
  <c r="C151" i="7"/>
  <c r="B151" i="7"/>
  <c r="B150" i="7"/>
  <c r="B149" i="7"/>
  <c r="B148" i="7"/>
  <c r="B147" i="7"/>
  <c r="B146" i="7"/>
  <c r="B145" i="7"/>
  <c r="B144" i="7"/>
  <c r="B143" i="7"/>
  <c r="D143" i="7" s="1"/>
  <c r="B142" i="7"/>
  <c r="B141" i="7"/>
  <c r="B140" i="7"/>
  <c r="B139" i="7"/>
  <c r="B138" i="7"/>
  <c r="C138" i="7" s="1"/>
  <c r="B137" i="7"/>
  <c r="B136" i="7"/>
  <c r="C135" i="7"/>
  <c r="B135" i="7"/>
  <c r="D147" i="7" s="1"/>
  <c r="B134" i="7"/>
  <c r="B133" i="7"/>
  <c r="B132" i="7"/>
  <c r="C131" i="7"/>
  <c r="B131" i="7"/>
  <c r="B130" i="7"/>
  <c r="B129" i="7"/>
  <c r="B128" i="7"/>
  <c r="C127" i="7"/>
  <c r="B127" i="7"/>
  <c r="B126" i="7"/>
  <c r="B125" i="7"/>
  <c r="B124" i="7"/>
  <c r="B123" i="7"/>
  <c r="D123" i="7" s="1"/>
  <c r="B122" i="7"/>
  <c r="B121" i="7"/>
  <c r="B120" i="7"/>
  <c r="B119" i="7"/>
  <c r="D119" i="7" s="1"/>
  <c r="B118" i="7"/>
  <c r="D118" i="7" s="1"/>
  <c r="B117" i="7"/>
  <c r="B116" i="7"/>
  <c r="B115" i="7"/>
  <c r="B114" i="7"/>
  <c r="B113" i="7"/>
  <c r="B112" i="7"/>
  <c r="B111" i="7"/>
  <c r="D110" i="7"/>
  <c r="B110" i="7"/>
  <c r="C111" i="7" s="1"/>
  <c r="B109" i="7"/>
  <c r="C110" i="7" s="1"/>
  <c r="B108" i="7"/>
  <c r="D107" i="7"/>
  <c r="B107" i="7"/>
  <c r="B106" i="7"/>
  <c r="B105" i="7"/>
  <c r="B104" i="7"/>
  <c r="B103" i="7"/>
  <c r="B102" i="7"/>
  <c r="D102" i="7" s="1"/>
  <c r="B101" i="7"/>
  <c r="B100" i="7"/>
  <c r="B99" i="7"/>
  <c r="D99" i="7" s="1"/>
  <c r="D98" i="7"/>
  <c r="B98" i="7"/>
  <c r="B97" i="7"/>
  <c r="C98" i="7" s="1"/>
  <c r="B96" i="7"/>
  <c r="B95" i="7"/>
  <c r="B94" i="7"/>
  <c r="B93" i="7"/>
  <c r="B92" i="7"/>
  <c r="B91" i="7"/>
  <c r="D91" i="7" s="1"/>
  <c r="C90" i="7"/>
  <c r="B90" i="7"/>
  <c r="D90" i="7" s="1"/>
  <c r="B89" i="7"/>
  <c r="B88" i="7"/>
  <c r="B87" i="7"/>
  <c r="D86" i="7"/>
  <c r="B86" i="7"/>
  <c r="B85" i="7"/>
  <c r="B84" i="7"/>
  <c r="B83" i="7"/>
  <c r="D95" i="7" s="1"/>
  <c r="B82" i="7"/>
  <c r="B81" i="7"/>
  <c r="B80" i="7"/>
  <c r="B79" i="7"/>
  <c r="D79" i="7" s="1"/>
  <c r="C78" i="7"/>
  <c r="B78" i="7"/>
  <c r="B77" i="7"/>
  <c r="B76" i="7"/>
  <c r="C75" i="7"/>
  <c r="B75" i="7"/>
  <c r="D75" i="7" s="1"/>
  <c r="D74" i="7"/>
  <c r="B74" i="7"/>
  <c r="B73" i="7"/>
  <c r="C74" i="7" s="1"/>
  <c r="B72" i="7"/>
  <c r="B71" i="7"/>
  <c r="D71" i="7" s="1"/>
  <c r="B70" i="7"/>
  <c r="B69" i="7"/>
  <c r="B68" i="7"/>
  <c r="B67" i="7"/>
  <c r="B66" i="7"/>
  <c r="D78" i="7" s="1"/>
  <c r="B65" i="7"/>
  <c r="B64" i="7"/>
  <c r="B63" i="7"/>
  <c r="D63" i="7" s="1"/>
  <c r="B62" i="7"/>
  <c r="C62" i="7" s="1"/>
  <c r="B61" i="7"/>
  <c r="B60" i="7"/>
  <c r="B59" i="7"/>
  <c r="D59" i="7" s="1"/>
  <c r="B58" i="7"/>
  <c r="B57" i="7"/>
  <c r="B56" i="7"/>
  <c r="B55" i="7"/>
  <c r="D55" i="7" s="1"/>
  <c r="B54" i="7"/>
  <c r="D54" i="7" s="1"/>
  <c r="B53" i="7"/>
  <c r="B52" i="7"/>
  <c r="B51" i="7"/>
  <c r="D50" i="7"/>
  <c r="B50" i="7"/>
  <c r="B49" i="7"/>
  <c r="B48" i="7"/>
  <c r="D47" i="7"/>
  <c r="B47" i="7"/>
  <c r="B46" i="7"/>
  <c r="B45" i="7"/>
  <c r="B44" i="7"/>
  <c r="B43" i="7"/>
  <c r="B42" i="7"/>
  <c r="D42" i="7" s="1"/>
  <c r="B41" i="7"/>
  <c r="B40" i="7"/>
  <c r="B39" i="7"/>
  <c r="D39" i="7" s="1"/>
  <c r="D38" i="7"/>
  <c r="B38" i="7"/>
  <c r="B37" i="7"/>
  <c r="B36" i="7"/>
  <c r="B35" i="7"/>
  <c r="B34" i="7"/>
  <c r="B33" i="7"/>
  <c r="B32" i="7"/>
  <c r="B31" i="7"/>
  <c r="D31" i="7" s="1"/>
  <c r="C30" i="7"/>
  <c r="B30" i="7"/>
  <c r="D30" i="7" s="1"/>
  <c r="B29" i="7"/>
  <c r="B28" i="7"/>
  <c r="C27" i="7"/>
  <c r="B27" i="7"/>
  <c r="B26" i="7"/>
  <c r="C26" i="7" s="1"/>
  <c r="B25" i="7"/>
  <c r="B24" i="7"/>
  <c r="B23" i="7"/>
  <c r="D35" i="7" s="1"/>
  <c r="B22" i="7"/>
  <c r="B21" i="7"/>
  <c r="B20" i="7"/>
  <c r="B19" i="7"/>
  <c r="B18" i="7"/>
  <c r="C18" i="7" s="1"/>
  <c r="C17" i="7"/>
  <c r="B17" i="7"/>
  <c r="B16" i="7"/>
  <c r="B15" i="7"/>
  <c r="B14" i="7"/>
  <c r="D26" i="7" s="1"/>
  <c r="B13" i="7"/>
  <c r="C13" i="7" s="1"/>
  <c r="B12" i="7"/>
  <c r="B11" i="7"/>
  <c r="C11" i="7" s="1"/>
  <c r="B10" i="7"/>
  <c r="C10" i="7" s="1"/>
  <c r="B9" i="7"/>
  <c r="B8" i="7"/>
  <c r="B7" i="7"/>
  <c r="B378" i="6"/>
  <c r="D378" i="6" s="1"/>
  <c r="B377" i="6"/>
  <c r="B376" i="6"/>
  <c r="C377" i="6" s="1"/>
  <c r="B375" i="6"/>
  <c r="B374" i="6"/>
  <c r="C374" i="6" s="1"/>
  <c r="C64" i="4" s="1"/>
  <c r="B373" i="6"/>
  <c r="D373" i="6" s="1"/>
  <c r="D63" i="4" s="1"/>
  <c r="B372" i="6"/>
  <c r="C373" i="6" s="1"/>
  <c r="C371" i="6"/>
  <c r="C61" i="4" s="1"/>
  <c r="B371" i="6"/>
  <c r="B370" i="6"/>
  <c r="B369" i="6"/>
  <c r="D369" i="6" s="1"/>
  <c r="D59" i="4" s="1"/>
  <c r="B368" i="6"/>
  <c r="B367" i="6"/>
  <c r="B366" i="6"/>
  <c r="D366" i="6" s="1"/>
  <c r="D56" i="4" s="1"/>
  <c r="B365" i="6"/>
  <c r="D365" i="6" s="1"/>
  <c r="D55" i="4" s="1"/>
  <c r="B364" i="6"/>
  <c r="B363" i="6"/>
  <c r="D375" i="6" s="1"/>
  <c r="B362" i="6"/>
  <c r="C362" i="6" s="1"/>
  <c r="C52" i="4" s="1"/>
  <c r="B361" i="6"/>
  <c r="D361" i="6" s="1"/>
  <c r="D51" i="4" s="1"/>
  <c r="B360" i="6"/>
  <c r="C361" i="6" s="1"/>
  <c r="B359" i="6"/>
  <c r="C359" i="6" s="1"/>
  <c r="C49" i="4" s="1"/>
  <c r="B358" i="6"/>
  <c r="B357" i="6"/>
  <c r="D357" i="6" s="1"/>
  <c r="D47" i="4" s="1"/>
  <c r="B356" i="6"/>
  <c r="B355" i="6"/>
  <c r="B354" i="6"/>
  <c r="B353" i="6"/>
  <c r="C354" i="6" s="1"/>
  <c r="C44" i="4" s="1"/>
  <c r="B352" i="6"/>
  <c r="B351" i="6"/>
  <c r="B350" i="6"/>
  <c r="C350" i="6" s="1"/>
  <c r="C40" i="4" s="1"/>
  <c r="B349" i="6"/>
  <c r="C349" i="6" s="1"/>
  <c r="B348" i="6"/>
  <c r="B347" i="6"/>
  <c r="D347" i="6" s="1"/>
  <c r="D37" i="4" s="1"/>
  <c r="B346" i="6"/>
  <c r="D346" i="6" s="1"/>
  <c r="B345" i="6"/>
  <c r="B344" i="6"/>
  <c r="D344" i="6" s="1"/>
  <c r="D34" i="4" s="1"/>
  <c r="B343" i="6"/>
  <c r="B342" i="6"/>
  <c r="D354" i="6" s="1"/>
  <c r="D44" i="4" s="1"/>
  <c r="B341" i="6"/>
  <c r="B340" i="6"/>
  <c r="C340" i="6" s="1"/>
  <c r="C30" i="4" s="1"/>
  <c r="B339" i="6"/>
  <c r="D351" i="6" s="1"/>
  <c r="B338" i="6"/>
  <c r="C338" i="6" s="1"/>
  <c r="C28" i="4" s="1"/>
  <c r="B337" i="6"/>
  <c r="C337" i="6" s="1"/>
  <c r="B336" i="6"/>
  <c r="B335" i="6"/>
  <c r="D335" i="6" s="1"/>
  <c r="D25" i="4" s="1"/>
  <c r="B334" i="6"/>
  <c r="D334" i="6" s="1"/>
  <c r="D24" i="4" s="1"/>
  <c r="D333" i="6"/>
  <c r="D23" i="4" s="1"/>
  <c r="B333" i="6"/>
  <c r="B332" i="6"/>
  <c r="B331" i="6"/>
  <c r="B330" i="6"/>
  <c r="D330" i="6" s="1"/>
  <c r="D20" i="4" s="1"/>
  <c r="B329" i="6"/>
  <c r="B328" i="6"/>
  <c r="B327" i="6"/>
  <c r="C326" i="6"/>
  <c r="B326" i="6"/>
  <c r="B325" i="6"/>
  <c r="B324" i="6"/>
  <c r="C324" i="6" s="1"/>
  <c r="C323" i="6"/>
  <c r="B323" i="6"/>
  <c r="D323" i="6" s="1"/>
  <c r="D13" i="4" s="1"/>
  <c r="B322" i="6"/>
  <c r="D322" i="6" s="1"/>
  <c r="B321" i="6"/>
  <c r="B320" i="6"/>
  <c r="D320" i="6" s="1"/>
  <c r="D10" i="4" s="1"/>
  <c r="B319" i="6"/>
  <c r="B318" i="6"/>
  <c r="D318" i="6" s="1"/>
  <c r="D8" i="4" s="1"/>
  <c r="B317" i="6"/>
  <c r="D317" i="6" s="1"/>
  <c r="D7" i="4" s="1"/>
  <c r="B316" i="6"/>
  <c r="B315" i="6"/>
  <c r="B314" i="6"/>
  <c r="C314" i="6" s="1"/>
  <c r="C4" i="4" s="1"/>
  <c r="B313" i="6"/>
  <c r="D313" i="6" s="1"/>
  <c r="B312" i="6"/>
  <c r="B311" i="6"/>
  <c r="D311" i="6" s="1"/>
  <c r="B310" i="6"/>
  <c r="B309" i="6"/>
  <c r="B308" i="6"/>
  <c r="B307" i="6"/>
  <c r="D306" i="6"/>
  <c r="B306" i="6"/>
  <c r="C306" i="6" s="1"/>
  <c r="B305" i="6"/>
  <c r="C305" i="6" s="1"/>
  <c r="B304" i="6"/>
  <c r="B303" i="6"/>
  <c r="B302" i="6"/>
  <c r="B301" i="6"/>
  <c r="B300" i="6"/>
  <c r="C300" i="6" s="1"/>
  <c r="C299" i="6"/>
  <c r="B299" i="6"/>
  <c r="B298" i="6"/>
  <c r="D298" i="6" s="1"/>
  <c r="B297" i="6"/>
  <c r="D309" i="6" s="1"/>
  <c r="B296" i="6"/>
  <c r="D296" i="6" s="1"/>
  <c r="B295" i="6"/>
  <c r="B294" i="6"/>
  <c r="D294" i="6" s="1"/>
  <c r="B293" i="6"/>
  <c r="D293" i="6" s="1"/>
  <c r="B292" i="6"/>
  <c r="B291" i="6"/>
  <c r="D303" i="6" s="1"/>
  <c r="B290" i="6"/>
  <c r="C291" i="6" s="1"/>
  <c r="B289" i="6"/>
  <c r="D289" i="6" s="1"/>
  <c r="B288" i="6"/>
  <c r="B287" i="6"/>
  <c r="D299" i="6" s="1"/>
  <c r="B286" i="6"/>
  <c r="D286" i="6" s="1"/>
  <c r="B285" i="6"/>
  <c r="B284" i="6"/>
  <c r="B283" i="6"/>
  <c r="B282" i="6"/>
  <c r="C282" i="6" s="1"/>
  <c r="B281" i="6"/>
  <c r="B280" i="6"/>
  <c r="B279" i="6"/>
  <c r="B278" i="6"/>
  <c r="C278" i="6" s="1"/>
  <c r="B277" i="6"/>
  <c r="D277" i="6" s="1"/>
  <c r="B276" i="6"/>
  <c r="D275" i="6"/>
  <c r="B275" i="6"/>
  <c r="C275" i="6" s="1"/>
  <c r="B274" i="6"/>
  <c r="B273" i="6"/>
  <c r="C273" i="6" s="1"/>
  <c r="D272" i="6"/>
  <c r="B272" i="6"/>
  <c r="B271" i="6"/>
  <c r="B270" i="6"/>
  <c r="C271" i="6" s="1"/>
  <c r="B269" i="6"/>
  <c r="B268" i="6"/>
  <c r="B267" i="6"/>
  <c r="B266" i="6"/>
  <c r="C267" i="6" s="1"/>
  <c r="B265" i="6"/>
  <c r="B264" i="6"/>
  <c r="D263" i="6"/>
  <c r="B263" i="6"/>
  <c r="B262" i="6"/>
  <c r="C263" i="6" s="1"/>
  <c r="B261" i="6"/>
  <c r="B260" i="6"/>
  <c r="B259" i="6"/>
  <c r="B258" i="6"/>
  <c r="D270" i="6" s="1"/>
  <c r="B257" i="6"/>
  <c r="B256" i="6"/>
  <c r="B255" i="6"/>
  <c r="B254" i="6"/>
  <c r="D253" i="6"/>
  <c r="B253" i="6"/>
  <c r="B252" i="6"/>
  <c r="D251" i="6"/>
  <c r="B251" i="6"/>
  <c r="B250" i="6"/>
  <c r="B249" i="6"/>
  <c r="D248" i="6"/>
  <c r="B248" i="6"/>
  <c r="B247" i="6"/>
  <c r="B246" i="6"/>
  <c r="C247" i="6" s="1"/>
  <c r="B245" i="6"/>
  <c r="B244" i="6"/>
  <c r="B243" i="6"/>
  <c r="B242" i="6"/>
  <c r="C243" i="6" s="1"/>
  <c r="B241" i="6"/>
  <c r="B240" i="6"/>
  <c r="B239" i="6"/>
  <c r="B238" i="6"/>
  <c r="C239" i="6" s="1"/>
  <c r="B237" i="6"/>
  <c r="C237" i="6" s="1"/>
  <c r="B236" i="6"/>
  <c r="B235" i="6"/>
  <c r="D234" i="6"/>
  <c r="C234" i="6"/>
  <c r="B234" i="6"/>
  <c r="B233" i="6"/>
  <c r="B232" i="6"/>
  <c r="C232" i="6" s="1"/>
  <c r="B231" i="6"/>
  <c r="B230" i="6"/>
  <c r="B229" i="6"/>
  <c r="D229" i="6" s="1"/>
  <c r="B228" i="6"/>
  <c r="B227" i="6"/>
  <c r="D239" i="6" s="1"/>
  <c r="B226" i="6"/>
  <c r="B225" i="6"/>
  <c r="C225" i="6" s="1"/>
  <c r="B224" i="6"/>
  <c r="D224" i="6" s="1"/>
  <c r="B223" i="6"/>
  <c r="D223" i="6" s="1"/>
  <c r="B222" i="6"/>
  <c r="B221" i="6"/>
  <c r="C222" i="6" s="1"/>
  <c r="B220" i="6"/>
  <c r="C220" i="6" s="1"/>
  <c r="B219" i="6"/>
  <c r="D231" i="6" s="1"/>
  <c r="B218" i="6"/>
  <c r="B217" i="6"/>
  <c r="C217" i="6" s="1"/>
  <c r="B216" i="6"/>
  <c r="B215" i="6"/>
  <c r="B214" i="6"/>
  <c r="B213" i="6"/>
  <c r="B212" i="6"/>
  <c r="B211" i="6"/>
  <c r="D210" i="6"/>
  <c r="B210" i="6"/>
  <c r="D222" i="6" s="1"/>
  <c r="B209" i="6"/>
  <c r="B208" i="6"/>
  <c r="B207" i="6"/>
  <c r="B206" i="6"/>
  <c r="C206" i="6" s="1"/>
  <c r="B205" i="6"/>
  <c r="D205" i="6" s="1"/>
  <c r="B204" i="6"/>
  <c r="C203" i="6"/>
  <c r="B203" i="6"/>
  <c r="D215" i="6" s="1"/>
  <c r="B202" i="6"/>
  <c r="C202" i="6" s="1"/>
  <c r="B201" i="6"/>
  <c r="B200" i="6"/>
  <c r="B199" i="6"/>
  <c r="B198" i="6"/>
  <c r="B197" i="6"/>
  <c r="C198" i="6" s="1"/>
  <c r="B196" i="6"/>
  <c r="D195" i="6"/>
  <c r="B195" i="6"/>
  <c r="C194" i="6"/>
  <c r="B194" i="6"/>
  <c r="B193" i="6"/>
  <c r="C193" i="6" s="1"/>
  <c r="B192" i="6"/>
  <c r="B191" i="6"/>
  <c r="B190" i="6"/>
  <c r="B189" i="6"/>
  <c r="B188" i="6"/>
  <c r="D200" i="6" s="1"/>
  <c r="B187" i="6"/>
  <c r="D186" i="6"/>
  <c r="B186" i="6"/>
  <c r="D198" i="6" s="1"/>
  <c r="B185" i="6"/>
  <c r="B184" i="6"/>
  <c r="B183" i="6"/>
  <c r="B182" i="6"/>
  <c r="D181" i="6"/>
  <c r="B181" i="6"/>
  <c r="B180" i="6"/>
  <c r="B179" i="6"/>
  <c r="D179" i="6" s="1"/>
  <c r="B178" i="6"/>
  <c r="C178" i="6" s="1"/>
  <c r="B177" i="6"/>
  <c r="C177" i="6" s="1"/>
  <c r="D176" i="6"/>
  <c r="B176" i="6"/>
  <c r="C175" i="6"/>
  <c r="B175" i="6"/>
  <c r="D174" i="6"/>
  <c r="B174" i="6"/>
  <c r="C174" i="6" s="1"/>
  <c r="B173" i="6"/>
  <c r="B172" i="6"/>
  <c r="B171" i="6"/>
  <c r="D183" i="6" s="1"/>
  <c r="B170" i="6"/>
  <c r="B169" i="6"/>
  <c r="C169" i="6" s="1"/>
  <c r="B168" i="6"/>
  <c r="D167" i="6"/>
  <c r="B167" i="6"/>
  <c r="B166" i="6"/>
  <c r="B165" i="6"/>
  <c r="C165" i="6" s="1"/>
  <c r="B164" i="6"/>
  <c r="B163" i="6"/>
  <c r="D162" i="6"/>
  <c r="C162" i="6"/>
  <c r="B162" i="6"/>
  <c r="B161" i="6"/>
  <c r="B160" i="6"/>
  <c r="B159" i="6"/>
  <c r="D159" i="6" s="1"/>
  <c r="B158" i="6"/>
  <c r="C158" i="6" s="1"/>
  <c r="B157" i="6"/>
  <c r="D157" i="6" s="1"/>
  <c r="B156" i="6"/>
  <c r="C155" i="6"/>
  <c r="B155" i="6"/>
  <c r="B154" i="6"/>
  <c r="C154" i="6" s="1"/>
  <c r="B153" i="6"/>
  <c r="D152" i="6"/>
  <c r="B152" i="6"/>
  <c r="C151" i="6"/>
  <c r="B151" i="6"/>
  <c r="D151" i="6" s="1"/>
  <c r="B150" i="6"/>
  <c r="B149" i="6"/>
  <c r="B148" i="6"/>
  <c r="C148" i="6" s="1"/>
  <c r="D147" i="6"/>
  <c r="B147" i="6"/>
  <c r="B146" i="6"/>
  <c r="C147" i="6" s="1"/>
  <c r="B145" i="6"/>
  <c r="B144" i="6"/>
  <c r="B143" i="6"/>
  <c r="B142" i="6"/>
  <c r="B141" i="6"/>
  <c r="B140" i="6"/>
  <c r="B139" i="6"/>
  <c r="B138" i="6"/>
  <c r="D150" i="6" s="1"/>
  <c r="B137" i="6"/>
  <c r="D136" i="6"/>
  <c r="B136" i="6"/>
  <c r="B135" i="6"/>
  <c r="B134" i="6"/>
  <c r="B133" i="6"/>
  <c r="D133" i="6" s="1"/>
  <c r="B132" i="6"/>
  <c r="B131" i="6"/>
  <c r="C131" i="6" s="1"/>
  <c r="B130" i="6"/>
  <c r="B129" i="6"/>
  <c r="D128" i="6"/>
  <c r="B128" i="6"/>
  <c r="C127" i="6"/>
  <c r="B127" i="6"/>
  <c r="B126" i="6"/>
  <c r="B125" i="6"/>
  <c r="B124" i="6"/>
  <c r="B123" i="6"/>
  <c r="D135" i="6" s="1"/>
  <c r="D122" i="6"/>
  <c r="B122" i="6"/>
  <c r="B121" i="6"/>
  <c r="B120" i="6"/>
  <c r="B119" i="6"/>
  <c r="D119" i="6" s="1"/>
  <c r="B118" i="6"/>
  <c r="B117" i="6"/>
  <c r="B116" i="6"/>
  <c r="B115" i="6"/>
  <c r="B114" i="6"/>
  <c r="D126" i="6" s="1"/>
  <c r="B113" i="6"/>
  <c r="B112" i="6"/>
  <c r="C112" i="6" s="1"/>
  <c r="D111" i="6"/>
  <c r="B111" i="6"/>
  <c r="B110" i="6"/>
  <c r="B109" i="6"/>
  <c r="D109" i="6" s="1"/>
  <c r="B108" i="6"/>
  <c r="B107" i="6"/>
  <c r="B106" i="6"/>
  <c r="C107" i="6" s="1"/>
  <c r="B105" i="6"/>
  <c r="C105" i="6" s="1"/>
  <c r="D104" i="6"/>
  <c r="B104" i="6"/>
  <c r="C103" i="6"/>
  <c r="B103" i="6"/>
  <c r="D103" i="6" s="1"/>
  <c r="B102" i="6"/>
  <c r="B101" i="6"/>
  <c r="B100" i="6"/>
  <c r="C100" i="6" s="1"/>
  <c r="B99" i="6"/>
  <c r="B98" i="6"/>
  <c r="C99" i="6" s="1"/>
  <c r="B97" i="6"/>
  <c r="B96" i="6"/>
  <c r="B95" i="6"/>
  <c r="D107" i="6" s="1"/>
  <c r="B94" i="6"/>
  <c r="C95" i="6" s="1"/>
  <c r="B93" i="6"/>
  <c r="B92" i="6"/>
  <c r="B91" i="6"/>
  <c r="B90" i="6"/>
  <c r="D102" i="6" s="1"/>
  <c r="B89" i="6"/>
  <c r="B88" i="6"/>
  <c r="C88" i="6" s="1"/>
  <c r="B87" i="6"/>
  <c r="D87" i="6" s="1"/>
  <c r="B86" i="6"/>
  <c r="C86" i="6" s="1"/>
  <c r="B85" i="6"/>
  <c r="D85" i="6" s="1"/>
  <c r="B84" i="6"/>
  <c r="B83" i="6"/>
  <c r="C83" i="6" s="1"/>
  <c r="B82" i="6"/>
  <c r="C82" i="6" s="1"/>
  <c r="B81" i="6"/>
  <c r="C81" i="6" s="1"/>
  <c r="B80" i="6"/>
  <c r="D80" i="6" s="1"/>
  <c r="B79" i="6"/>
  <c r="B78" i="6"/>
  <c r="C78" i="6" s="1"/>
  <c r="B77" i="6"/>
  <c r="B76" i="6"/>
  <c r="B75" i="6"/>
  <c r="D75" i="6" s="1"/>
  <c r="C74" i="6"/>
  <c r="B74" i="6"/>
  <c r="B73" i="6"/>
  <c r="C73" i="6" s="1"/>
  <c r="B72" i="6"/>
  <c r="B71" i="6"/>
  <c r="D71" i="6" s="1"/>
  <c r="B70" i="6"/>
  <c r="B69" i="6"/>
  <c r="C69" i="6" s="1"/>
  <c r="B68" i="6"/>
  <c r="B67" i="6"/>
  <c r="B66" i="6"/>
  <c r="B65" i="6"/>
  <c r="B64" i="6"/>
  <c r="C64" i="6" s="1"/>
  <c r="D63" i="6"/>
  <c r="B63" i="6"/>
  <c r="C62" i="6"/>
  <c r="B62" i="6"/>
  <c r="B61" i="6"/>
  <c r="C61" i="6" s="1"/>
  <c r="B60" i="6"/>
  <c r="C59" i="6"/>
  <c r="B59" i="6"/>
  <c r="B58" i="6"/>
  <c r="B57" i="6"/>
  <c r="B56" i="6"/>
  <c r="C56" i="6" s="1"/>
  <c r="B55" i="6"/>
  <c r="C55" i="6" s="1"/>
  <c r="B54" i="6"/>
  <c r="B53" i="6"/>
  <c r="B52" i="6"/>
  <c r="C52" i="6" s="1"/>
  <c r="D51" i="6"/>
  <c r="B51" i="6"/>
  <c r="C51" i="6" s="1"/>
  <c r="B50" i="6"/>
  <c r="D50" i="6" s="1"/>
  <c r="B49" i="6"/>
  <c r="C49" i="6" s="1"/>
  <c r="B48" i="6"/>
  <c r="B47" i="6"/>
  <c r="D47" i="6" s="1"/>
  <c r="B46" i="6"/>
  <c r="D46" i="6" s="1"/>
  <c r="B45" i="6"/>
  <c r="C45" i="6" s="1"/>
  <c r="B44" i="6"/>
  <c r="B43" i="6"/>
  <c r="B42" i="6"/>
  <c r="B41" i="6"/>
  <c r="B40" i="6"/>
  <c r="C40" i="6" s="1"/>
  <c r="B39" i="6"/>
  <c r="D39" i="6" s="1"/>
  <c r="B38" i="6"/>
  <c r="C38" i="6" s="1"/>
  <c r="B37" i="6"/>
  <c r="C37" i="6" s="1"/>
  <c r="B36" i="6"/>
  <c r="B35" i="6"/>
  <c r="B34" i="6"/>
  <c r="B33" i="6"/>
  <c r="D33" i="6" s="1"/>
  <c r="B32" i="6"/>
  <c r="B31" i="6"/>
  <c r="B30" i="6"/>
  <c r="B29" i="6"/>
  <c r="B28" i="6"/>
  <c r="C28" i="6" s="1"/>
  <c r="B27" i="6"/>
  <c r="B26" i="6"/>
  <c r="B25" i="6"/>
  <c r="B24" i="6"/>
  <c r="B23" i="6"/>
  <c r="D35" i="6" s="1"/>
  <c r="B22" i="6"/>
  <c r="D21" i="6"/>
  <c r="B21" i="6"/>
  <c r="B20" i="6"/>
  <c r="B19" i="6"/>
  <c r="B18" i="6"/>
  <c r="B17" i="6"/>
  <c r="C17" i="6" s="1"/>
  <c r="B16" i="6"/>
  <c r="B15" i="6"/>
  <c r="D27" i="6" s="1"/>
  <c r="B14" i="6"/>
  <c r="C14" i="6" s="1"/>
  <c r="B13" i="6"/>
  <c r="B12" i="6"/>
  <c r="B11" i="6"/>
  <c r="B10" i="6"/>
  <c r="C10" i="6" s="1"/>
  <c r="C9" i="6"/>
  <c r="B9" i="6"/>
  <c r="B8" i="6"/>
  <c r="B7" i="6"/>
  <c r="C8" i="6" s="1"/>
  <c r="B378" i="5"/>
  <c r="C377" i="5"/>
  <c r="G67" i="4" s="1"/>
  <c r="B377" i="5"/>
  <c r="D377" i="5" s="1"/>
  <c r="H67" i="4" s="1"/>
  <c r="B376" i="5"/>
  <c r="D376" i="5" s="1"/>
  <c r="H66" i="4" s="1"/>
  <c r="B375" i="5"/>
  <c r="D375" i="5" s="1"/>
  <c r="H65" i="4" s="1"/>
  <c r="B374" i="5"/>
  <c r="B373" i="5"/>
  <c r="D373" i="5" s="1"/>
  <c r="H63" i="4" s="1"/>
  <c r="C372" i="5"/>
  <c r="G62" i="4" s="1"/>
  <c r="B372" i="5"/>
  <c r="D372" i="5" s="1"/>
  <c r="H62" i="4" s="1"/>
  <c r="B371" i="5"/>
  <c r="D371" i="5" s="1"/>
  <c r="H61" i="4" s="1"/>
  <c r="B370" i="5"/>
  <c r="B369" i="5"/>
  <c r="D369" i="5" s="1"/>
  <c r="H59" i="4" s="1"/>
  <c r="B368" i="5"/>
  <c r="D368" i="5" s="1"/>
  <c r="H58" i="4" s="1"/>
  <c r="B367" i="5"/>
  <c r="B366" i="5"/>
  <c r="B365" i="5"/>
  <c r="D365" i="5" s="1"/>
  <c r="H55" i="4" s="1"/>
  <c r="B364" i="5"/>
  <c r="D364" i="5" s="1"/>
  <c r="H54" i="4" s="1"/>
  <c r="D363" i="5"/>
  <c r="B363" i="5"/>
  <c r="B362" i="5"/>
  <c r="B361" i="5"/>
  <c r="D361" i="5" s="1"/>
  <c r="H51" i="4" s="1"/>
  <c r="B360" i="5"/>
  <c r="D360" i="5" s="1"/>
  <c r="H50" i="4" s="1"/>
  <c r="B359" i="5"/>
  <c r="B358" i="5"/>
  <c r="B357" i="5"/>
  <c r="D356" i="5"/>
  <c r="B356" i="5"/>
  <c r="C357" i="5" s="1"/>
  <c r="G47" i="4" s="1"/>
  <c r="B355" i="5"/>
  <c r="B354" i="5"/>
  <c r="B353" i="5"/>
  <c r="D353" i="5" s="1"/>
  <c r="H43" i="4" s="1"/>
  <c r="B352" i="5"/>
  <c r="D352" i="5" s="1"/>
  <c r="H42" i="4" s="1"/>
  <c r="B351" i="5"/>
  <c r="C351" i="5" s="1"/>
  <c r="B350" i="5"/>
  <c r="B349" i="5"/>
  <c r="D349" i="5" s="1"/>
  <c r="H39" i="4" s="1"/>
  <c r="B348" i="5"/>
  <c r="D348" i="5" s="1"/>
  <c r="H38" i="4" s="1"/>
  <c r="B347" i="5"/>
  <c r="D359" i="5" s="1"/>
  <c r="H49" i="4" s="1"/>
  <c r="B346" i="5"/>
  <c r="C345" i="5"/>
  <c r="B345" i="5"/>
  <c r="D345" i="5" s="1"/>
  <c r="H35" i="4" s="1"/>
  <c r="B344" i="5"/>
  <c r="D344" i="5" s="1"/>
  <c r="H34" i="4" s="1"/>
  <c r="B343" i="5"/>
  <c r="C343" i="5" s="1"/>
  <c r="G33" i="4" s="1"/>
  <c r="B342" i="5"/>
  <c r="B341" i="5"/>
  <c r="D341" i="5" s="1"/>
  <c r="H31" i="4" s="1"/>
  <c r="B340" i="5"/>
  <c r="D340" i="5" s="1"/>
  <c r="H30" i="4" s="1"/>
  <c r="B339" i="5"/>
  <c r="D339" i="5" s="1"/>
  <c r="H29" i="4" s="1"/>
  <c r="B338" i="5"/>
  <c r="B337" i="5"/>
  <c r="C337" i="5" s="1"/>
  <c r="G27" i="4" s="1"/>
  <c r="B336" i="5"/>
  <c r="B335" i="5"/>
  <c r="C335" i="5" s="1"/>
  <c r="B334" i="5"/>
  <c r="B333" i="5"/>
  <c r="C333" i="5" s="1"/>
  <c r="G23" i="4" s="1"/>
  <c r="B332" i="5"/>
  <c r="C332" i="5" s="1"/>
  <c r="G22" i="4" s="1"/>
  <c r="B331" i="5"/>
  <c r="B330" i="5"/>
  <c r="B329" i="5"/>
  <c r="C329" i="5" s="1"/>
  <c r="G19" i="4" s="1"/>
  <c r="B328" i="5"/>
  <c r="D327" i="5"/>
  <c r="H17" i="4" s="1"/>
  <c r="B327" i="5"/>
  <c r="B326" i="5"/>
  <c r="B325" i="5"/>
  <c r="D337" i="5" s="1"/>
  <c r="B324" i="5"/>
  <c r="B323" i="5"/>
  <c r="B322" i="5"/>
  <c r="B321" i="5"/>
  <c r="D333" i="5" s="1"/>
  <c r="B320" i="5"/>
  <c r="C320" i="5" s="1"/>
  <c r="G10" i="4" s="1"/>
  <c r="B319" i="5"/>
  <c r="B318" i="5"/>
  <c r="B317" i="5"/>
  <c r="D329" i="5" s="1"/>
  <c r="B316" i="5"/>
  <c r="B315" i="5"/>
  <c r="D315" i="5" s="1"/>
  <c r="H5" i="4" s="1"/>
  <c r="B314" i="5"/>
  <c r="B313" i="5"/>
  <c r="B312" i="5"/>
  <c r="B311" i="5"/>
  <c r="C311" i="5" s="1"/>
  <c r="B310" i="5"/>
  <c r="B309" i="5"/>
  <c r="C308" i="5"/>
  <c r="B308" i="5"/>
  <c r="B307" i="5"/>
  <c r="C307" i="5" s="1"/>
  <c r="B306" i="5"/>
  <c r="B305" i="5"/>
  <c r="B304" i="5"/>
  <c r="B303" i="5"/>
  <c r="B302" i="5"/>
  <c r="B301" i="5"/>
  <c r="D301" i="5" s="1"/>
  <c r="B300" i="5"/>
  <c r="B299" i="5"/>
  <c r="B298" i="5"/>
  <c r="C297" i="5"/>
  <c r="B297" i="5"/>
  <c r="B296" i="5"/>
  <c r="C296" i="5" s="1"/>
  <c r="B295" i="5"/>
  <c r="C295" i="5" s="1"/>
  <c r="B294" i="5"/>
  <c r="B293" i="5"/>
  <c r="B292" i="5"/>
  <c r="B291" i="5"/>
  <c r="B290" i="5"/>
  <c r="B289" i="5"/>
  <c r="B288" i="5"/>
  <c r="B287" i="5"/>
  <c r="C287" i="5" s="1"/>
  <c r="B286" i="5"/>
  <c r="B285" i="5"/>
  <c r="B284" i="5"/>
  <c r="C284" i="5" s="1"/>
  <c r="B283" i="5"/>
  <c r="B282" i="5"/>
  <c r="B281" i="5"/>
  <c r="B280" i="5"/>
  <c r="B279" i="5"/>
  <c r="B278" i="5"/>
  <c r="B277" i="5"/>
  <c r="B276" i="5"/>
  <c r="B275" i="5"/>
  <c r="C275" i="5" s="1"/>
  <c r="B274" i="5"/>
  <c r="B273" i="5"/>
  <c r="B272" i="5"/>
  <c r="C272" i="5" s="1"/>
  <c r="B271" i="5"/>
  <c r="C271" i="5" s="1"/>
  <c r="B270" i="5"/>
  <c r="B269" i="5"/>
  <c r="D269" i="5" s="1"/>
  <c r="B268" i="5"/>
  <c r="B267" i="5"/>
  <c r="B266" i="5"/>
  <c r="B265" i="5"/>
  <c r="D265" i="5" s="1"/>
  <c r="B264" i="5"/>
  <c r="B263" i="5"/>
  <c r="C263" i="5" s="1"/>
  <c r="B262" i="5"/>
  <c r="B261" i="5"/>
  <c r="B260" i="5"/>
  <c r="C260" i="5" s="1"/>
  <c r="B259" i="5"/>
  <c r="B258" i="5"/>
  <c r="B257" i="5"/>
  <c r="B256" i="5"/>
  <c r="B255" i="5"/>
  <c r="B254" i="5"/>
  <c r="B253" i="5"/>
  <c r="B252" i="5"/>
  <c r="B251" i="5"/>
  <c r="B250" i="5"/>
  <c r="B249" i="5"/>
  <c r="B248" i="5"/>
  <c r="C248" i="5" s="1"/>
  <c r="B247" i="5"/>
  <c r="C247" i="5" s="1"/>
  <c r="B246" i="5"/>
  <c r="B245" i="5"/>
  <c r="B244" i="5"/>
  <c r="B243" i="5"/>
  <c r="B242" i="5"/>
  <c r="B241" i="5"/>
  <c r="B240" i="5"/>
  <c r="B239" i="5"/>
  <c r="C239" i="5" s="1"/>
  <c r="B238" i="5"/>
  <c r="B237" i="5"/>
  <c r="B236" i="5"/>
  <c r="C236" i="5" s="1"/>
  <c r="B235" i="5"/>
  <c r="B234" i="5"/>
  <c r="B233" i="5"/>
  <c r="B232" i="5"/>
  <c r="B231" i="5"/>
  <c r="B230" i="5"/>
  <c r="B229" i="5"/>
  <c r="B228" i="5"/>
  <c r="B227" i="5"/>
  <c r="B226" i="5"/>
  <c r="B225" i="5"/>
  <c r="C224" i="5"/>
  <c r="B224" i="5"/>
  <c r="B223" i="5"/>
  <c r="B222" i="5"/>
  <c r="B221" i="5"/>
  <c r="D221" i="5" s="1"/>
  <c r="B220" i="5"/>
  <c r="B219" i="5"/>
  <c r="B218" i="5"/>
  <c r="B217" i="5"/>
  <c r="B216" i="5"/>
  <c r="B215" i="5"/>
  <c r="C215" i="5" s="1"/>
  <c r="B214" i="5"/>
  <c r="B213" i="5"/>
  <c r="B212" i="5"/>
  <c r="C212" i="5" s="1"/>
  <c r="B211" i="5"/>
  <c r="B210" i="5"/>
  <c r="B209" i="5"/>
  <c r="B208" i="5"/>
  <c r="B207" i="5"/>
  <c r="B206" i="5"/>
  <c r="B205" i="5"/>
  <c r="B204" i="5"/>
  <c r="B203" i="5"/>
  <c r="B202" i="5"/>
  <c r="B201" i="5"/>
  <c r="B200" i="5"/>
  <c r="C200" i="5" s="1"/>
  <c r="B199" i="5"/>
  <c r="C199" i="5" s="1"/>
  <c r="B198" i="5"/>
  <c r="B197" i="5"/>
  <c r="B196" i="5"/>
  <c r="B195" i="5"/>
  <c r="B194" i="5"/>
  <c r="B193" i="5"/>
  <c r="B192" i="5"/>
  <c r="B191" i="5"/>
  <c r="C191" i="5" s="1"/>
  <c r="B190" i="5"/>
  <c r="B189" i="5"/>
  <c r="B188" i="5"/>
  <c r="B187" i="5"/>
  <c r="B186" i="5"/>
  <c r="B185" i="5"/>
  <c r="B184" i="5"/>
  <c r="B183" i="5"/>
  <c r="B182" i="5"/>
  <c r="B181" i="5"/>
  <c r="B180" i="5"/>
  <c r="B179" i="5"/>
  <c r="C179" i="5" s="1"/>
  <c r="B178" i="5"/>
  <c r="B177" i="5"/>
  <c r="B176" i="5"/>
  <c r="B175" i="5"/>
  <c r="B174" i="5"/>
  <c r="B173" i="5"/>
  <c r="B172" i="5"/>
  <c r="B171" i="5"/>
  <c r="B170" i="5"/>
  <c r="B169" i="5"/>
  <c r="B168" i="5"/>
  <c r="B167" i="5"/>
  <c r="B166" i="5"/>
  <c r="B165" i="5"/>
  <c r="B164" i="5"/>
  <c r="C164" i="5" s="1"/>
  <c r="B163" i="5"/>
  <c r="B162" i="5"/>
  <c r="B161" i="5"/>
  <c r="B160" i="5"/>
  <c r="B159" i="5"/>
  <c r="B158" i="5"/>
  <c r="B157" i="5"/>
  <c r="B156" i="5"/>
  <c r="B155" i="5"/>
  <c r="B154" i="5"/>
  <c r="B153" i="5"/>
  <c r="C152" i="5"/>
  <c r="B152" i="5"/>
  <c r="B151" i="5"/>
  <c r="B150" i="5"/>
  <c r="B149" i="5"/>
  <c r="B148" i="5"/>
  <c r="B147" i="5"/>
  <c r="B146" i="5"/>
  <c r="B145" i="5"/>
  <c r="B144" i="5"/>
  <c r="B143" i="5"/>
  <c r="B142" i="5"/>
  <c r="B141" i="5"/>
  <c r="B140" i="5"/>
  <c r="B139" i="5"/>
  <c r="B138" i="5"/>
  <c r="B137" i="5"/>
  <c r="B136" i="5"/>
  <c r="B135" i="5"/>
  <c r="B134" i="5"/>
  <c r="B133" i="5"/>
  <c r="B132" i="5"/>
  <c r="B131" i="5"/>
  <c r="B130" i="5"/>
  <c r="B129" i="5"/>
  <c r="C128" i="5"/>
  <c r="B128" i="5"/>
  <c r="B127" i="5"/>
  <c r="B126" i="5"/>
  <c r="B125" i="5"/>
  <c r="B124" i="5"/>
  <c r="B123" i="5"/>
  <c r="B122" i="5"/>
  <c r="B121" i="5"/>
  <c r="B120" i="5"/>
  <c r="B119" i="5"/>
  <c r="B118" i="5"/>
  <c r="B117" i="5"/>
  <c r="B116" i="5"/>
  <c r="B115" i="5"/>
  <c r="C116" i="5" s="1"/>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C80" i="5" s="1"/>
  <c r="B79" i="5"/>
  <c r="B78" i="5"/>
  <c r="B77" i="5"/>
  <c r="B76" i="5"/>
  <c r="D76" i="5" s="1"/>
  <c r="B75" i="5"/>
  <c r="C75" i="5" s="1"/>
  <c r="B74" i="5"/>
  <c r="C73" i="5"/>
  <c r="B73" i="5"/>
  <c r="B72" i="5"/>
  <c r="B71" i="5"/>
  <c r="D71" i="5" s="1"/>
  <c r="B70" i="5"/>
  <c r="C69" i="5"/>
  <c r="B69" i="5"/>
  <c r="C68" i="5"/>
  <c r="B68" i="5"/>
  <c r="B67" i="5"/>
  <c r="B66" i="5"/>
  <c r="B65" i="5"/>
  <c r="D64" i="5"/>
  <c r="B64" i="5"/>
  <c r="B63" i="5"/>
  <c r="C64" i="5" s="1"/>
  <c r="B62" i="5"/>
  <c r="B61" i="5"/>
  <c r="D61" i="5" s="1"/>
  <c r="B60" i="5"/>
  <c r="B59" i="5"/>
  <c r="B58" i="5"/>
  <c r="B57" i="5"/>
  <c r="D69" i="5" s="1"/>
  <c r="B56" i="5"/>
  <c r="B55" i="5"/>
  <c r="B54" i="5"/>
  <c r="C55" i="5" s="1"/>
  <c r="D53" i="5"/>
  <c r="C53" i="5"/>
  <c r="B53" i="5"/>
  <c r="C52" i="5"/>
  <c r="B52" i="5"/>
  <c r="B51" i="5"/>
  <c r="B50" i="5"/>
  <c r="B49" i="5"/>
  <c r="B48" i="5"/>
  <c r="C48" i="5" s="1"/>
  <c r="B47" i="5"/>
  <c r="B46" i="5"/>
  <c r="B45" i="5"/>
  <c r="C45" i="5" s="1"/>
  <c r="B44" i="5"/>
  <c r="B43" i="5"/>
  <c r="D55" i="5" s="1"/>
  <c r="B42" i="5"/>
  <c r="B41" i="5"/>
  <c r="C40" i="5"/>
  <c r="B40" i="5"/>
  <c r="D40" i="5" s="1"/>
  <c r="B39" i="5"/>
  <c r="C39" i="5" s="1"/>
  <c r="B38" i="5"/>
  <c r="B37" i="5"/>
  <c r="D37" i="5" s="1"/>
  <c r="C36" i="5"/>
  <c r="B36" i="5"/>
  <c r="B35" i="5"/>
  <c r="B34" i="5"/>
  <c r="B33" i="5"/>
  <c r="D45" i="5" s="1"/>
  <c r="B32" i="5"/>
  <c r="B31" i="5"/>
  <c r="D31" i="5" s="1"/>
  <c r="B30" i="5"/>
  <c r="B29" i="5"/>
  <c r="B28" i="5"/>
  <c r="C29" i="5" s="1"/>
  <c r="B27" i="5"/>
  <c r="B26" i="5"/>
  <c r="B25" i="5"/>
  <c r="D24" i="5"/>
  <c r="B24" i="5"/>
  <c r="C24" i="5" s="1"/>
  <c r="B23" i="5"/>
  <c r="D23" i="5" s="1"/>
  <c r="B22" i="5"/>
  <c r="B21" i="5"/>
  <c r="D21" i="5" s="1"/>
  <c r="B20" i="5"/>
  <c r="D20" i="5" s="1"/>
  <c r="B19" i="5"/>
  <c r="B18" i="5"/>
  <c r="B17" i="5"/>
  <c r="B16" i="5"/>
  <c r="B15" i="5"/>
  <c r="C14" i="5"/>
  <c r="B14" i="5"/>
  <c r="B13" i="5"/>
  <c r="B12" i="5"/>
  <c r="C12" i="5" s="1"/>
  <c r="B11" i="5"/>
  <c r="B10" i="5"/>
  <c r="B9" i="5"/>
  <c r="C10" i="5" s="1"/>
  <c r="B8" i="5"/>
  <c r="B7" i="5"/>
  <c r="W68" i="4"/>
  <c r="R68" i="4"/>
  <c r="P68" i="4"/>
  <c r="O68" i="4"/>
  <c r="N68" i="4"/>
  <c r="M68" i="4"/>
  <c r="AE67" i="4"/>
  <c r="X67" i="4"/>
  <c r="R67" i="4"/>
  <c r="L67" i="4"/>
  <c r="I67" i="4"/>
  <c r="F67" i="4"/>
  <c r="C67" i="4"/>
  <c r="V66" i="4"/>
  <c r="T66" i="4"/>
  <c r="S66" i="4"/>
  <c r="P66" i="4"/>
  <c r="O66" i="4"/>
  <c r="N66" i="4"/>
  <c r="M66" i="4"/>
  <c r="J66" i="4"/>
  <c r="I66" i="4"/>
  <c r="Y65" i="4"/>
  <c r="T65" i="4"/>
  <c r="S65" i="4"/>
  <c r="O65" i="4"/>
  <c r="M65" i="4"/>
  <c r="K65" i="4"/>
  <c r="I65" i="4"/>
  <c r="D65" i="4"/>
  <c r="AE64" i="4"/>
  <c r="S64" i="4"/>
  <c r="P64" i="4"/>
  <c r="O64" i="4"/>
  <c r="N64" i="4"/>
  <c r="M64" i="4"/>
  <c r="P63" i="4"/>
  <c r="O63" i="4"/>
  <c r="N63" i="4"/>
  <c r="L63" i="4"/>
  <c r="K63" i="4"/>
  <c r="I63" i="4"/>
  <c r="F63" i="4"/>
  <c r="C63" i="4"/>
  <c r="T62" i="4"/>
  <c r="S62" i="4"/>
  <c r="Q62" i="4"/>
  <c r="P62" i="4"/>
  <c r="O62" i="4"/>
  <c r="L62" i="4"/>
  <c r="J62" i="4"/>
  <c r="AE61" i="4"/>
  <c r="AC61" i="4"/>
  <c r="Z61" i="4"/>
  <c r="X61" i="4"/>
  <c r="T61" i="4"/>
  <c r="S61" i="4"/>
  <c r="P61" i="4"/>
  <c r="N61" i="4"/>
  <c r="M61" i="4"/>
  <c r="J61" i="4"/>
  <c r="X60" i="4"/>
  <c r="T60" i="4"/>
  <c r="P60" i="4"/>
  <c r="O60" i="4"/>
  <c r="N60" i="4"/>
  <c r="M60" i="4"/>
  <c r="L60" i="4"/>
  <c r="I60" i="4"/>
  <c r="F60" i="4"/>
  <c r="AE59" i="4"/>
  <c r="AD59" i="4"/>
  <c r="W59" i="4"/>
  <c r="S59" i="4"/>
  <c r="R59" i="4"/>
  <c r="P59" i="4"/>
  <c r="O59" i="4"/>
  <c r="W58" i="4"/>
  <c r="S58" i="4"/>
  <c r="P58" i="4"/>
  <c r="O58" i="4"/>
  <c r="K58" i="4"/>
  <c r="J58" i="4"/>
  <c r="AF57" i="4"/>
  <c r="AB57" i="4"/>
  <c r="X57" i="4"/>
  <c r="T57" i="4"/>
  <c r="S57" i="4"/>
  <c r="R57" i="4"/>
  <c r="P57" i="4"/>
  <c r="O57" i="4"/>
  <c r="M57" i="4"/>
  <c r="J57" i="4"/>
  <c r="AF56" i="4"/>
  <c r="T56" i="4"/>
  <c r="P56" i="4"/>
  <c r="N56" i="4"/>
  <c r="M56" i="4"/>
  <c r="F56" i="4"/>
  <c r="X55" i="4"/>
  <c r="S55" i="4"/>
  <c r="P55" i="4"/>
  <c r="O55" i="4"/>
  <c r="K55" i="4"/>
  <c r="AD54" i="4"/>
  <c r="X54" i="4"/>
  <c r="T54" i="4"/>
  <c r="Q54" i="4"/>
  <c r="N54" i="4"/>
  <c r="I54" i="4"/>
  <c r="Y53" i="4"/>
  <c r="X53" i="4"/>
  <c r="T53" i="4"/>
  <c r="P53" i="4"/>
  <c r="O53" i="4"/>
  <c r="N53" i="4"/>
  <c r="M53" i="4"/>
  <c r="I53" i="4"/>
  <c r="H53" i="4"/>
  <c r="AF52" i="4"/>
  <c r="AB52" i="4"/>
  <c r="P52" i="4"/>
  <c r="N52" i="4"/>
  <c r="M52" i="4"/>
  <c r="U51" i="4"/>
  <c r="S51" i="4"/>
  <c r="R51" i="4"/>
  <c r="M51" i="4"/>
  <c r="K51" i="4"/>
  <c r="I51" i="4"/>
  <c r="C51" i="4"/>
  <c r="AF50" i="4"/>
  <c r="X50" i="4"/>
  <c r="U50" i="4"/>
  <c r="T50" i="4"/>
  <c r="O50" i="4"/>
  <c r="N50" i="4"/>
  <c r="K50" i="4"/>
  <c r="J50" i="4"/>
  <c r="I50" i="4"/>
  <c r="AF49" i="4"/>
  <c r="S49" i="4"/>
  <c r="R49" i="4"/>
  <c r="P49" i="4"/>
  <c r="O49" i="4"/>
  <c r="I49" i="4"/>
  <c r="AB48" i="4"/>
  <c r="X48" i="4"/>
  <c r="N48" i="4"/>
  <c r="M48" i="4"/>
  <c r="F48" i="4"/>
  <c r="AF47" i="4"/>
  <c r="R47" i="4"/>
  <c r="N47" i="4"/>
  <c r="M47" i="4"/>
  <c r="X46" i="4"/>
  <c r="W46" i="4"/>
  <c r="P46" i="4"/>
  <c r="O46" i="4"/>
  <c r="N46" i="4"/>
  <c r="L46" i="4"/>
  <c r="J46" i="4"/>
  <c r="H46" i="4"/>
  <c r="AE45" i="4"/>
  <c r="AA45" i="4"/>
  <c r="Y45" i="4"/>
  <c r="W45" i="4"/>
  <c r="S45" i="4"/>
  <c r="P45" i="4"/>
  <c r="O45" i="4"/>
  <c r="J45" i="4"/>
  <c r="AF44" i="4"/>
  <c r="X44" i="4"/>
  <c r="T44" i="4"/>
  <c r="N44" i="4"/>
  <c r="M44" i="4"/>
  <c r="F44" i="4"/>
  <c r="AF43" i="4"/>
  <c r="S43" i="4"/>
  <c r="R43" i="4"/>
  <c r="Q43" i="4"/>
  <c r="P43" i="4"/>
  <c r="O43" i="4"/>
  <c r="M43" i="4"/>
  <c r="W42" i="4"/>
  <c r="V42" i="4"/>
  <c r="S42" i="4"/>
  <c r="P42" i="4"/>
  <c r="O42" i="4"/>
  <c r="N42" i="4"/>
  <c r="M42" i="4"/>
  <c r="W41" i="4"/>
  <c r="S41" i="4"/>
  <c r="R41" i="4"/>
  <c r="Q41" i="4"/>
  <c r="N41" i="4"/>
  <c r="K41" i="4"/>
  <c r="J41" i="4"/>
  <c r="I41" i="4"/>
  <c r="G41" i="4"/>
  <c r="F41" i="4"/>
  <c r="D41" i="4"/>
  <c r="AB40" i="4"/>
  <c r="AA40" i="4"/>
  <c r="X40" i="4"/>
  <c r="T40" i="4"/>
  <c r="N40" i="4"/>
  <c r="M40" i="4"/>
  <c r="L40" i="4"/>
  <c r="AE39" i="4"/>
  <c r="W39" i="4"/>
  <c r="S39" i="4"/>
  <c r="R39" i="4"/>
  <c r="P39" i="4"/>
  <c r="N39" i="4"/>
  <c r="I39" i="4"/>
  <c r="C39" i="4"/>
  <c r="X38" i="4"/>
  <c r="W38" i="4"/>
  <c r="T38" i="4"/>
  <c r="N38" i="4"/>
  <c r="M38" i="4"/>
  <c r="I38" i="4"/>
  <c r="AE37" i="4"/>
  <c r="P37" i="4"/>
  <c r="O37" i="4"/>
  <c r="N37" i="4"/>
  <c r="M37" i="4"/>
  <c r="J37" i="4"/>
  <c r="P36" i="4"/>
  <c r="O36" i="4"/>
  <c r="N36" i="4"/>
  <c r="M36" i="4"/>
  <c r="K36" i="4"/>
  <c r="F36" i="4"/>
  <c r="D36" i="4"/>
  <c r="AE35" i="4"/>
  <c r="AA35" i="4"/>
  <c r="R35" i="4"/>
  <c r="P35" i="4"/>
  <c r="O35" i="4"/>
  <c r="M35" i="4"/>
  <c r="J35" i="4"/>
  <c r="G35" i="4"/>
  <c r="AC34" i="4"/>
  <c r="AA34" i="4"/>
  <c r="X34" i="4"/>
  <c r="W34" i="4"/>
  <c r="T34" i="4"/>
  <c r="N34" i="4"/>
  <c r="M34" i="4"/>
  <c r="L34" i="4"/>
  <c r="J34" i="4"/>
  <c r="AB33" i="4"/>
  <c r="AA33" i="4"/>
  <c r="T33" i="4"/>
  <c r="S33" i="4"/>
  <c r="Q33" i="4"/>
  <c r="O33" i="4"/>
  <c r="N33" i="4"/>
  <c r="L33" i="4"/>
  <c r="J33" i="4"/>
  <c r="I33" i="4"/>
  <c r="AE32" i="4"/>
  <c r="X32" i="4"/>
  <c r="W32" i="4"/>
  <c r="O32" i="4"/>
  <c r="N32" i="4"/>
  <c r="M32" i="4"/>
  <c r="K32" i="4"/>
  <c r="F32" i="4"/>
  <c r="AF31" i="4"/>
  <c r="AE31" i="4"/>
  <c r="P31" i="4"/>
  <c r="O31" i="4"/>
  <c r="N31" i="4"/>
  <c r="AE30" i="4"/>
  <c r="O30" i="4"/>
  <c r="M30" i="4"/>
  <c r="K30" i="4"/>
  <c r="J30" i="4"/>
  <c r="Y29" i="4"/>
  <c r="T29" i="4"/>
  <c r="P29" i="4"/>
  <c r="O29" i="4"/>
  <c r="N29" i="4"/>
  <c r="M29" i="4"/>
  <c r="J29" i="4"/>
  <c r="I29" i="4"/>
  <c r="X28" i="4"/>
  <c r="W28" i="4"/>
  <c r="T28" i="4"/>
  <c r="O28" i="4"/>
  <c r="N28" i="4"/>
  <c r="L28" i="4"/>
  <c r="K28" i="4"/>
  <c r="AA27" i="4"/>
  <c r="S27" i="4"/>
  <c r="R27" i="4"/>
  <c r="P27" i="4"/>
  <c r="O27" i="4"/>
  <c r="M27" i="4"/>
  <c r="L27" i="4"/>
  <c r="H27" i="4"/>
  <c r="C27" i="4"/>
  <c r="X26" i="4"/>
  <c r="T26" i="4"/>
  <c r="P26" i="4"/>
  <c r="N26" i="4"/>
  <c r="J26" i="4"/>
  <c r="AF25" i="4"/>
  <c r="X25" i="4"/>
  <c r="T25" i="4"/>
  <c r="Q25" i="4"/>
  <c r="P25" i="4"/>
  <c r="O25" i="4"/>
  <c r="N25" i="4"/>
  <c r="M25" i="4"/>
  <c r="G25" i="4"/>
  <c r="AE24" i="4"/>
  <c r="AB24" i="4"/>
  <c r="W24" i="4"/>
  <c r="T24" i="4"/>
  <c r="P24" i="4"/>
  <c r="O24" i="4"/>
  <c r="N24" i="4"/>
  <c r="AA23" i="4"/>
  <c r="W23" i="4"/>
  <c r="S23" i="4"/>
  <c r="P23" i="4"/>
  <c r="O23" i="4"/>
  <c r="L23" i="4"/>
  <c r="I23" i="4"/>
  <c r="H23" i="4"/>
  <c r="F23" i="4"/>
  <c r="AF22" i="4"/>
  <c r="T22" i="4"/>
  <c r="P22" i="4"/>
  <c r="N22" i="4"/>
  <c r="M22" i="4"/>
  <c r="I22" i="4"/>
  <c r="AF21" i="4"/>
  <c r="Y21" i="4"/>
  <c r="Q21" i="4"/>
  <c r="N21" i="4"/>
  <c r="M21" i="4"/>
  <c r="J21" i="4"/>
  <c r="I21" i="4"/>
  <c r="W20" i="4"/>
  <c r="P20" i="4"/>
  <c r="O20" i="4"/>
  <c r="N20" i="4"/>
  <c r="K20" i="4"/>
  <c r="AF19" i="4"/>
  <c r="AD19" i="4"/>
  <c r="AA19" i="4"/>
  <c r="X19" i="4"/>
  <c r="T19" i="4"/>
  <c r="N19" i="4"/>
  <c r="L19" i="4"/>
  <c r="I19" i="4"/>
  <c r="H19" i="4"/>
  <c r="F19" i="4"/>
  <c r="X18" i="4"/>
  <c r="T18" i="4"/>
  <c r="P18" i="4"/>
  <c r="O18" i="4"/>
  <c r="J18" i="4"/>
  <c r="I18" i="4"/>
  <c r="V17" i="4"/>
  <c r="T17" i="4"/>
  <c r="S17" i="4"/>
  <c r="M17" i="4"/>
  <c r="J17" i="4"/>
  <c r="AE16" i="4"/>
  <c r="P16" i="4"/>
  <c r="C16" i="4"/>
  <c r="R15" i="4"/>
  <c r="P15" i="4"/>
  <c r="O15" i="4"/>
  <c r="N15" i="4"/>
  <c r="L15" i="4"/>
  <c r="I15" i="4"/>
  <c r="F15" i="4"/>
  <c r="X14" i="4"/>
  <c r="T14" i="4"/>
  <c r="S14" i="4"/>
  <c r="P14" i="4"/>
  <c r="O14" i="4"/>
  <c r="M14" i="4"/>
  <c r="L14" i="4"/>
  <c r="J14" i="4"/>
  <c r="I14" i="4"/>
  <c r="C14" i="4"/>
  <c r="AF13" i="4"/>
  <c r="AE13" i="4"/>
  <c r="X13" i="4"/>
  <c r="T13" i="4"/>
  <c r="P13" i="4"/>
  <c r="N13" i="4"/>
  <c r="C13" i="4"/>
  <c r="T12" i="4"/>
  <c r="N12" i="4"/>
  <c r="M12" i="4"/>
  <c r="L12" i="4"/>
  <c r="K12" i="4"/>
  <c r="D12" i="4"/>
  <c r="AC11" i="4"/>
  <c r="X11" i="4"/>
  <c r="S11" i="4"/>
  <c r="R11" i="4"/>
  <c r="O11" i="4"/>
  <c r="N11" i="4"/>
  <c r="L11" i="4"/>
  <c r="AF10" i="4"/>
  <c r="P10" i="4"/>
  <c r="O10" i="4"/>
  <c r="K10" i="4"/>
  <c r="AF9" i="4"/>
  <c r="AE9" i="4"/>
  <c r="X9" i="4"/>
  <c r="T9" i="4"/>
  <c r="S9" i="4"/>
  <c r="P9" i="4"/>
  <c r="O9" i="4"/>
  <c r="M9" i="4"/>
  <c r="J9" i="4"/>
  <c r="AB8" i="4"/>
  <c r="T8" i="4"/>
  <c r="P8" i="4"/>
  <c r="M8" i="4"/>
  <c r="J8" i="4"/>
  <c r="F8" i="4"/>
  <c r="E8" i="4"/>
  <c r="S7" i="4"/>
  <c r="R7" i="4"/>
  <c r="P7" i="4"/>
  <c r="O7" i="4"/>
  <c r="N7" i="4"/>
  <c r="M7" i="4"/>
  <c r="AF6" i="4"/>
  <c r="W6" i="4"/>
  <c r="T6" i="4"/>
  <c r="N6" i="4"/>
  <c r="L6" i="4"/>
  <c r="I6" i="4"/>
  <c r="Y5" i="4"/>
  <c r="X5" i="4"/>
  <c r="P5" i="4"/>
  <c r="N5" i="4"/>
  <c r="M5" i="4"/>
  <c r="J5" i="4"/>
  <c r="I5" i="4"/>
  <c r="AF4" i="4"/>
  <c r="AE4" i="4"/>
  <c r="M4" i="4"/>
  <c r="E4" i="4"/>
  <c r="E21" i="3"/>
  <c r="E20" i="3"/>
  <c r="E19" i="3"/>
  <c r="E18" i="3"/>
  <c r="E17" i="3"/>
  <c r="E16" i="3"/>
  <c r="E15" i="3"/>
  <c r="D15" i="3"/>
  <c r="G14" i="3"/>
  <c r="Q23" i="1" s="1"/>
  <c r="E14" i="3"/>
  <c r="G13" i="3"/>
  <c r="Q22" i="1" s="1"/>
  <c r="E13" i="3"/>
  <c r="G12" i="3"/>
  <c r="Q21" i="1" s="1"/>
  <c r="E12" i="3"/>
  <c r="E11" i="3"/>
  <c r="E10" i="3"/>
  <c r="D10" i="3"/>
  <c r="E9" i="3"/>
  <c r="F9" i="3" s="1"/>
  <c r="P18" i="1" s="1"/>
  <c r="D9" i="3"/>
  <c r="E8" i="3"/>
  <c r="D8" i="3"/>
  <c r="E7" i="3"/>
  <c r="E2" i="3"/>
  <c r="D21" i="3" s="1"/>
  <c r="N35" i="1"/>
  <c r="N34" i="1"/>
  <c r="D12" i="3" l="1"/>
  <c r="H12" i="3" s="1"/>
  <c r="D18" i="3"/>
  <c r="H18" i="3" s="1"/>
  <c r="D7" i="3"/>
  <c r="H10" i="3" s="1"/>
  <c r="D13" i="3"/>
  <c r="F13" i="3" s="1"/>
  <c r="P22" i="1" s="1"/>
  <c r="D19" i="3"/>
  <c r="F19" i="3" s="1"/>
  <c r="P28" i="1" s="1"/>
  <c r="F8" i="3"/>
  <c r="P17" i="1" s="1"/>
  <c r="D14" i="3"/>
  <c r="F14" i="3" s="1"/>
  <c r="P23" i="1" s="1"/>
  <c r="F21" i="3"/>
  <c r="P30" i="1" s="1"/>
  <c r="H15" i="3"/>
  <c r="D303" i="18"/>
  <c r="C12" i="18"/>
  <c r="D44" i="18"/>
  <c r="D127" i="18"/>
  <c r="C269" i="18"/>
  <c r="D314" i="18"/>
  <c r="AD4" i="4" s="1"/>
  <c r="C361" i="18"/>
  <c r="AC51" i="4" s="1"/>
  <c r="C373" i="18"/>
  <c r="AC63" i="4" s="1"/>
  <c r="D259" i="18"/>
  <c r="C375" i="18"/>
  <c r="AC65" i="4" s="1"/>
  <c r="D235" i="18"/>
  <c r="C37" i="18"/>
  <c r="D47" i="18"/>
  <c r="D272" i="18"/>
  <c r="D132" i="18"/>
  <c r="D307" i="18"/>
  <c r="D319" i="18"/>
  <c r="AD9" i="4" s="1"/>
  <c r="D216" i="18"/>
  <c r="C251" i="18"/>
  <c r="D308" i="18"/>
  <c r="D355" i="18"/>
  <c r="AD45" i="4" s="1"/>
  <c r="D247" i="18"/>
  <c r="C264" i="18"/>
  <c r="D275" i="18"/>
  <c r="C357" i="18"/>
  <c r="AC47" i="4" s="1"/>
  <c r="D368" i="18"/>
  <c r="AD58" i="4" s="1"/>
  <c r="C236" i="18"/>
  <c r="D111" i="18"/>
  <c r="D379" i="18"/>
  <c r="D362" i="18"/>
  <c r="AD52" i="4" s="1"/>
  <c r="C374" i="18"/>
  <c r="AC64" i="4" s="1"/>
  <c r="C8" i="18"/>
  <c r="D32" i="18"/>
  <c r="C100" i="18"/>
  <c r="C124" i="18"/>
  <c r="C184" i="18"/>
  <c r="C253" i="18"/>
  <c r="D312" i="18"/>
  <c r="C312" i="18"/>
  <c r="C335" i="18"/>
  <c r="AC25" i="4" s="1"/>
  <c r="C358" i="18"/>
  <c r="AC48" i="4" s="1"/>
  <c r="C224" i="18"/>
  <c r="D266" i="18"/>
  <c r="C325" i="18"/>
  <c r="AC15" i="4" s="1"/>
  <c r="D336" i="18"/>
  <c r="AD26" i="4" s="1"/>
  <c r="C360" i="18"/>
  <c r="AC50" i="4" s="1"/>
  <c r="AB68" i="4"/>
  <c r="G19" i="3"/>
  <c r="Q28" i="1" s="1"/>
  <c r="C15" i="17"/>
  <c r="C30" i="17"/>
  <c r="C103" i="17"/>
  <c r="C121" i="17"/>
  <c r="C143" i="17"/>
  <c r="C159" i="17"/>
  <c r="D167" i="17"/>
  <c r="C173" i="17"/>
  <c r="C190" i="17"/>
  <c r="C200" i="17"/>
  <c r="C223" i="17"/>
  <c r="C247" i="17"/>
  <c r="D272" i="17"/>
  <c r="D279" i="17"/>
  <c r="C297" i="17"/>
  <c r="D304" i="17"/>
  <c r="C311" i="17"/>
  <c r="D336" i="17"/>
  <c r="AB26" i="4" s="1"/>
  <c r="D352" i="17"/>
  <c r="AB42" i="4" s="1"/>
  <c r="C368" i="17"/>
  <c r="AA58" i="4" s="1"/>
  <c r="C38" i="17"/>
  <c r="D143" i="17"/>
  <c r="C182" i="17"/>
  <c r="D191" i="17"/>
  <c r="C240" i="17"/>
  <c r="D247" i="17"/>
  <c r="D311" i="17"/>
  <c r="C360" i="17"/>
  <c r="AA50" i="4" s="1"/>
  <c r="C375" i="17"/>
  <c r="AA65" i="4" s="1"/>
  <c r="D19" i="17"/>
  <c r="C31" i="17"/>
  <c r="D39" i="17"/>
  <c r="C48" i="17"/>
  <c r="C65" i="17"/>
  <c r="C104" i="17"/>
  <c r="D113" i="17"/>
  <c r="D165" i="17"/>
  <c r="C175" i="17"/>
  <c r="D182" i="17"/>
  <c r="D192" i="17"/>
  <c r="C210" i="17"/>
  <c r="C224" i="17"/>
  <c r="C232" i="17"/>
  <c r="C241" i="17"/>
  <c r="D289" i="17"/>
  <c r="C298" i="17"/>
  <c r="D337" i="17"/>
  <c r="AB27" i="4" s="1"/>
  <c r="C347" i="17"/>
  <c r="AA37" i="4" s="1"/>
  <c r="D354" i="17"/>
  <c r="AB44" i="4" s="1"/>
  <c r="D360" i="17"/>
  <c r="AB50" i="4" s="1"/>
  <c r="D375" i="17"/>
  <c r="AB65" i="4" s="1"/>
  <c r="C41" i="17"/>
  <c r="C57" i="17"/>
  <c r="D89" i="17"/>
  <c r="C192" i="17"/>
  <c r="D210" i="17"/>
  <c r="D259" i="17"/>
  <c r="C346" i="17"/>
  <c r="AA36" i="4" s="1"/>
  <c r="D139" i="17"/>
  <c r="D243" i="17"/>
  <c r="C266" i="17"/>
  <c r="D291" i="17"/>
  <c r="C307" i="17"/>
  <c r="D323" i="17"/>
  <c r="AB13" i="4" s="1"/>
  <c r="C331" i="17"/>
  <c r="AA21" i="4" s="1"/>
  <c r="D339" i="17"/>
  <c r="AB29" i="4" s="1"/>
  <c r="D87" i="17"/>
  <c r="D90" i="17"/>
  <c r="D111" i="17"/>
  <c r="C132" i="17"/>
  <c r="D170" i="17"/>
  <c r="D203" i="17"/>
  <c r="C211" i="17"/>
  <c r="C218" i="17"/>
  <c r="D234" i="17"/>
  <c r="C243" i="17"/>
  <c r="D250" i="17"/>
  <c r="C260" i="17"/>
  <c r="D266" i="17"/>
  <c r="C282" i="17"/>
  <c r="D314" i="17"/>
  <c r="AB4" i="4" s="1"/>
  <c r="C330" i="17"/>
  <c r="AA20" i="4" s="1"/>
  <c r="C356" i="17"/>
  <c r="AA46" i="4" s="1"/>
  <c r="D371" i="17"/>
  <c r="AB61" i="4" s="1"/>
  <c r="C377" i="17"/>
  <c r="AA67" i="4" s="1"/>
  <c r="D46" i="17"/>
  <c r="C42" i="17"/>
  <c r="D63" i="17"/>
  <c r="D75" i="17"/>
  <c r="D99" i="17"/>
  <c r="C141" i="17"/>
  <c r="D159" i="17"/>
  <c r="C163" i="17"/>
  <c r="D186" i="17"/>
  <c r="D195" i="17"/>
  <c r="D218" i="17"/>
  <c r="C276" i="17"/>
  <c r="D282" i="17"/>
  <c r="C308" i="17"/>
  <c r="C324" i="17"/>
  <c r="AA14" i="4" s="1"/>
  <c r="D330" i="17"/>
  <c r="AB20" i="4" s="1"/>
  <c r="C371" i="17"/>
  <c r="AA61" i="4" s="1"/>
  <c r="D23" i="17"/>
  <c r="D68" i="17"/>
  <c r="D76" i="17"/>
  <c r="C100" i="17"/>
  <c r="D133" i="17"/>
  <c r="C171" i="17"/>
  <c r="C212" i="17"/>
  <c r="C267" i="17"/>
  <c r="D283" i="17"/>
  <c r="D331" i="17"/>
  <c r="AB21" i="4" s="1"/>
  <c r="C378" i="17"/>
  <c r="AA68" i="4" s="1"/>
  <c r="C63" i="17"/>
  <c r="D120" i="17"/>
  <c r="D262" i="17"/>
  <c r="D294" i="17"/>
  <c r="D316" i="17"/>
  <c r="AB6" i="4" s="1"/>
  <c r="D332" i="17"/>
  <c r="AB22" i="4" s="1"/>
  <c r="C342" i="17"/>
  <c r="AA32" i="4" s="1"/>
  <c r="D376" i="17"/>
  <c r="AB66" i="4" s="1"/>
  <c r="C372" i="17"/>
  <c r="AA62" i="4" s="1"/>
  <c r="D379" i="17"/>
  <c r="C102" i="17"/>
  <c r="C128" i="17"/>
  <c r="C142" i="17"/>
  <c r="C158" i="17"/>
  <c r="C206" i="17"/>
  <c r="D246" i="17"/>
  <c r="C262" i="17"/>
  <c r="D278" i="17"/>
  <c r="C296" i="17"/>
  <c r="C302" i="17"/>
  <c r="D310" i="17"/>
  <c r="D326" i="17"/>
  <c r="AB16" i="4" s="1"/>
  <c r="C358" i="17"/>
  <c r="AA48" i="4" s="1"/>
  <c r="C36" i="17"/>
  <c r="D53" i="17"/>
  <c r="D62" i="17"/>
  <c r="C78" i="17"/>
  <c r="D102" i="17"/>
  <c r="D128" i="17"/>
  <c r="C172" i="17"/>
  <c r="C199" i="17"/>
  <c r="C230" i="17"/>
  <c r="C246" i="17"/>
  <c r="C264" i="17"/>
  <c r="C278" i="17"/>
  <c r="D295" i="17"/>
  <c r="C90" i="16"/>
  <c r="C377" i="16"/>
  <c r="U67" i="4" s="1"/>
  <c r="D26" i="16"/>
  <c r="C46" i="16"/>
  <c r="D58" i="16"/>
  <c r="D110" i="16"/>
  <c r="D141" i="16"/>
  <c r="C156" i="16"/>
  <c r="C170" i="16"/>
  <c r="C183" i="16"/>
  <c r="C217" i="16"/>
  <c r="D251" i="16"/>
  <c r="C299" i="16"/>
  <c r="D315" i="16"/>
  <c r="V5" i="4" s="1"/>
  <c r="D119" i="16"/>
  <c r="D142" i="16"/>
  <c r="C147" i="16"/>
  <c r="C178" i="16"/>
  <c r="D235" i="16"/>
  <c r="C315" i="16"/>
  <c r="U5" i="4" s="1"/>
  <c r="D331" i="16"/>
  <c r="V21" i="4" s="1"/>
  <c r="D347" i="16"/>
  <c r="V37" i="4" s="1"/>
  <c r="C372" i="16"/>
  <c r="U62" i="4" s="1"/>
  <c r="C11" i="16"/>
  <c r="D114" i="16"/>
  <c r="C142" i="16"/>
  <c r="C157" i="16"/>
  <c r="C171" i="16"/>
  <c r="D202" i="16"/>
  <c r="C254" i="16"/>
  <c r="D368" i="16"/>
  <c r="V58" i="4" s="1"/>
  <c r="D371" i="16"/>
  <c r="V61" i="4" s="1"/>
  <c r="D16" i="3"/>
  <c r="H16" i="3" s="1"/>
  <c r="D219" i="16"/>
  <c r="D333" i="16"/>
  <c r="V23" i="4" s="1"/>
  <c r="D349" i="16"/>
  <c r="V39" i="4" s="1"/>
  <c r="C30" i="16"/>
  <c r="C74" i="16"/>
  <c r="C94" i="16"/>
  <c r="D129" i="16"/>
  <c r="C134" i="16"/>
  <c r="C143" i="16"/>
  <c r="C158" i="16"/>
  <c r="C187" i="16"/>
  <c r="C195" i="16"/>
  <c r="D211" i="16"/>
  <c r="D245" i="16"/>
  <c r="C302" i="16"/>
  <c r="C325" i="16"/>
  <c r="U15" i="4" s="1"/>
  <c r="C341" i="16"/>
  <c r="U31" i="4" s="1"/>
  <c r="C357" i="16"/>
  <c r="U47" i="4" s="1"/>
  <c r="D365" i="16"/>
  <c r="V55" i="4" s="1"/>
  <c r="C12" i="16"/>
  <c r="D30" i="16"/>
  <c r="D94" i="16"/>
  <c r="C129" i="16"/>
  <c r="C188" i="16"/>
  <c r="C203" i="16"/>
  <c r="C229" i="16"/>
  <c r="C255" i="16"/>
  <c r="C271" i="16"/>
  <c r="D279" i="16"/>
  <c r="C287" i="16"/>
  <c r="D295" i="16"/>
  <c r="C350" i="16"/>
  <c r="U40" i="4" s="1"/>
  <c r="C373" i="16"/>
  <c r="U63" i="4" s="1"/>
  <c r="D98" i="16"/>
  <c r="C122" i="16"/>
  <c r="C135" i="16"/>
  <c r="D162" i="16"/>
  <c r="D167" i="16"/>
  <c r="D173" i="16"/>
  <c r="D180" i="16"/>
  <c r="D311" i="16"/>
  <c r="C22" i="16"/>
  <c r="D42" i="16"/>
  <c r="D118" i="16"/>
  <c r="C130" i="16"/>
  <c r="D303" i="16"/>
  <c r="C319" i="16"/>
  <c r="U9" i="4" s="1"/>
  <c r="C335" i="16"/>
  <c r="U25" i="4" s="1"/>
  <c r="C368" i="16"/>
  <c r="U58" i="4" s="1"/>
  <c r="D379" i="16"/>
  <c r="C66" i="16"/>
  <c r="D90" i="16"/>
  <c r="C106" i="16"/>
  <c r="C152" i="16"/>
  <c r="C160" i="16"/>
  <c r="D206" i="16"/>
  <c r="D231" i="16"/>
  <c r="D249" i="16"/>
  <c r="C265" i="16"/>
  <c r="C281" i="16"/>
  <c r="C297" i="16"/>
  <c r="D313" i="16"/>
  <c r="D372" i="16"/>
  <c r="V62" i="4" s="1"/>
  <c r="C367" i="16"/>
  <c r="U57" i="4" s="1"/>
  <c r="C376" i="16"/>
  <c r="U66" i="4" s="1"/>
  <c r="D329" i="16"/>
  <c r="V19" i="4" s="1"/>
  <c r="D345" i="16"/>
  <c r="V35" i="4" s="1"/>
  <c r="D361" i="16"/>
  <c r="V51" i="4" s="1"/>
  <c r="D367" i="16"/>
  <c r="V57" i="4" s="1"/>
  <c r="F10" i="3"/>
  <c r="P19" i="1" s="1"/>
  <c r="F15" i="3"/>
  <c r="P24" i="1" s="1"/>
  <c r="D379" i="14"/>
  <c r="D379" i="13"/>
  <c r="D379" i="12"/>
  <c r="D379" i="11"/>
  <c r="D379" i="10"/>
  <c r="D379" i="9"/>
  <c r="D379" i="8"/>
  <c r="F68" i="4"/>
  <c r="G8" i="3"/>
  <c r="Q17" i="1" s="1"/>
  <c r="D327" i="7"/>
  <c r="F17" i="4" s="1"/>
  <c r="C14" i="7"/>
  <c r="D23" i="7"/>
  <c r="C50" i="7"/>
  <c r="C66" i="7"/>
  <c r="D83" i="7"/>
  <c r="D167" i="7"/>
  <c r="D186" i="7"/>
  <c r="C282" i="7"/>
  <c r="C315" i="7"/>
  <c r="E5" i="4" s="1"/>
  <c r="D322" i="7"/>
  <c r="F12" i="4" s="1"/>
  <c r="D334" i="7"/>
  <c r="F24" i="4" s="1"/>
  <c r="D66" i="7"/>
  <c r="D341" i="7"/>
  <c r="F31" i="4" s="1"/>
  <c r="D353" i="7"/>
  <c r="F43" i="4" s="1"/>
  <c r="C16" i="7"/>
  <c r="C42" i="7"/>
  <c r="D67" i="7"/>
  <c r="C86" i="7"/>
  <c r="C102" i="7"/>
  <c r="D138" i="7"/>
  <c r="C158" i="7"/>
  <c r="D179" i="7"/>
  <c r="D206" i="7"/>
  <c r="C234" i="7"/>
  <c r="C302" i="7"/>
  <c r="C310" i="7"/>
  <c r="C323" i="7"/>
  <c r="E13" i="4" s="1"/>
  <c r="C335" i="7"/>
  <c r="E25" i="4" s="1"/>
  <c r="C347" i="7"/>
  <c r="E37" i="4" s="1"/>
  <c r="C359" i="7"/>
  <c r="E49" i="4" s="1"/>
  <c r="C371" i="7"/>
  <c r="E61" i="4" s="1"/>
  <c r="C51" i="7"/>
  <c r="D131" i="7"/>
  <c r="D162" i="7"/>
  <c r="D159" i="7"/>
  <c r="C199" i="7"/>
  <c r="D207" i="7"/>
  <c r="D234" i="7"/>
  <c r="C254" i="7"/>
  <c r="D275" i="7"/>
  <c r="D310" i="7"/>
  <c r="D317" i="7"/>
  <c r="F7" i="4" s="1"/>
  <c r="C366" i="7"/>
  <c r="E56" i="4" s="1"/>
  <c r="D27" i="7"/>
  <c r="D43" i="7"/>
  <c r="D103" i="7"/>
  <c r="C207" i="7"/>
  <c r="D330" i="7"/>
  <c r="F20" i="4" s="1"/>
  <c r="D303" i="7"/>
  <c r="D337" i="7"/>
  <c r="F27" i="4" s="1"/>
  <c r="D349" i="7"/>
  <c r="F39" i="4" s="1"/>
  <c r="D62" i="7"/>
  <c r="C114" i="7"/>
  <c r="C142" i="7"/>
  <c r="C162" i="7"/>
  <c r="D286" i="7"/>
  <c r="C331" i="7"/>
  <c r="E21" i="4" s="1"/>
  <c r="C343" i="7"/>
  <c r="E33" i="4" s="1"/>
  <c r="C355" i="7"/>
  <c r="E45" i="4" s="1"/>
  <c r="C367" i="7"/>
  <c r="E57" i="4" s="1"/>
  <c r="C38" i="7"/>
  <c r="C54" i="7"/>
  <c r="D114" i="7"/>
  <c r="C134" i="7"/>
  <c r="D142" i="7"/>
  <c r="C183" i="7"/>
  <c r="C210" i="7"/>
  <c r="C238" i="7"/>
  <c r="D291" i="7"/>
  <c r="C319" i="7"/>
  <c r="E9" i="4" s="1"/>
  <c r="C326" i="7"/>
  <c r="E16" i="4" s="1"/>
  <c r="C338" i="7"/>
  <c r="E28" i="4" s="1"/>
  <c r="C350" i="7"/>
  <c r="E40" i="4" s="1"/>
  <c r="C362" i="7"/>
  <c r="E52" i="4" s="1"/>
  <c r="C374" i="7"/>
  <c r="E64" i="4" s="1"/>
  <c r="C12" i="7"/>
  <c r="C63" i="7"/>
  <c r="D183" i="7"/>
  <c r="D313" i="7"/>
  <c r="D379" i="7"/>
  <c r="D345" i="7"/>
  <c r="F35" i="4" s="1"/>
  <c r="D357" i="7"/>
  <c r="F47" i="4" s="1"/>
  <c r="D369" i="7"/>
  <c r="F59" i="4" s="1"/>
  <c r="C39" i="7"/>
  <c r="C99" i="7"/>
  <c r="D135" i="7"/>
  <c r="C231" i="7"/>
  <c r="D302" i="7"/>
  <c r="D314" i="7"/>
  <c r="F4" i="4" s="1"/>
  <c r="D321" i="7"/>
  <c r="F11" i="4" s="1"/>
  <c r="G7" i="3"/>
  <c r="Q16" i="1" s="1"/>
  <c r="D68" i="4"/>
  <c r="C213" i="6"/>
  <c r="C15" i="6"/>
  <c r="C25" i="6"/>
  <c r="C34" i="6"/>
  <c r="C42" i="6"/>
  <c r="C50" i="6"/>
  <c r="C57" i="6"/>
  <c r="C75" i="6"/>
  <c r="D90" i="6"/>
  <c r="D98" i="6"/>
  <c r="D114" i="6"/>
  <c r="D123" i="6"/>
  <c r="D138" i="6"/>
  <c r="C172" i="6"/>
  <c r="C179" i="6"/>
  <c r="C227" i="6"/>
  <c r="D255" i="6"/>
  <c r="D250" i="6"/>
  <c r="D258" i="6"/>
  <c r="D279" i="6"/>
  <c r="D273" i="6"/>
  <c r="C281" i="6"/>
  <c r="D287" i="6"/>
  <c r="D327" i="6"/>
  <c r="D17" i="4" s="1"/>
  <c r="C321" i="6"/>
  <c r="C11" i="4" s="1"/>
  <c r="C328" i="6"/>
  <c r="C18" i="4" s="1"/>
  <c r="C341" i="6"/>
  <c r="C31" i="4" s="1"/>
  <c r="C347" i="6"/>
  <c r="C37" i="4" s="1"/>
  <c r="D353" i="6"/>
  <c r="D43" i="4" s="1"/>
  <c r="C378" i="6"/>
  <c r="C68" i="4" s="1"/>
  <c r="D352" i="6"/>
  <c r="D42" i="4" s="1"/>
  <c r="D56" i="6"/>
  <c r="C138" i="6"/>
  <c r="C242" i="6"/>
  <c r="C280" i="6"/>
  <c r="C16" i="6"/>
  <c r="C27" i="6"/>
  <c r="D42" i="6"/>
  <c r="D57" i="6"/>
  <c r="D66" i="6"/>
  <c r="C124" i="6"/>
  <c r="C150" i="6"/>
  <c r="C189" i="6"/>
  <c r="D227" i="6"/>
  <c r="D243" i="6"/>
  <c r="D267" i="6"/>
  <c r="D281" i="6"/>
  <c r="C294" i="6"/>
  <c r="C309" i="6"/>
  <c r="D315" i="6"/>
  <c r="D5" i="4" s="1"/>
  <c r="D321" i="6"/>
  <c r="D11" i="4" s="1"/>
  <c r="D328" i="6"/>
  <c r="D18" i="4" s="1"/>
  <c r="C335" i="6"/>
  <c r="C25" i="4" s="1"/>
  <c r="D341" i="6"/>
  <c r="D31" i="4" s="1"/>
  <c r="D360" i="6"/>
  <c r="D50" i="4" s="1"/>
  <c r="C366" i="6"/>
  <c r="C56" i="4" s="1"/>
  <c r="D372" i="6"/>
  <c r="D62" i="4" s="1"/>
  <c r="D377" i="6"/>
  <c r="D67" i="4" s="1"/>
  <c r="D171" i="6"/>
  <c r="D220" i="6"/>
  <c r="C266" i="6"/>
  <c r="D340" i="6"/>
  <c r="D30" i="4" s="1"/>
  <c r="D359" i="6"/>
  <c r="D49" i="4" s="1"/>
  <c r="D371" i="6"/>
  <c r="D61" i="4" s="1"/>
  <c r="C26" i="6"/>
  <c r="C35" i="6"/>
  <c r="C76" i="6"/>
  <c r="D99" i="6"/>
  <c r="D189" i="6"/>
  <c r="C244" i="6"/>
  <c r="C251" i="6"/>
  <c r="C268" i="6"/>
  <c r="D301" i="6"/>
  <c r="C316" i="6"/>
  <c r="C6" i="4" s="1"/>
  <c r="C329" i="6"/>
  <c r="C19" i="4" s="1"/>
  <c r="C348" i="6"/>
  <c r="C38" i="4" s="1"/>
  <c r="C287" i="6"/>
  <c r="H14" i="3"/>
  <c r="C93" i="6"/>
  <c r="C117" i="6"/>
  <c r="C126" i="6"/>
  <c r="C141" i="6"/>
  <c r="D165" i="6"/>
  <c r="D237" i="6"/>
  <c r="C261" i="6"/>
  <c r="D310" i="6"/>
  <c r="D316" i="6"/>
  <c r="D6" i="4" s="1"/>
  <c r="D329" i="6"/>
  <c r="D19" i="4" s="1"/>
  <c r="C342" i="6"/>
  <c r="C32" i="4" s="1"/>
  <c r="D348" i="6"/>
  <c r="D38" i="4" s="1"/>
  <c r="D191" i="6"/>
  <c r="D282" i="6"/>
  <c r="D342" i="6"/>
  <c r="D32" i="4" s="1"/>
  <c r="C369" i="6"/>
  <c r="C59" i="4" s="1"/>
  <c r="D37" i="6"/>
  <c r="D45" i="6"/>
  <c r="C102" i="6"/>
  <c r="C208" i="6"/>
  <c r="C219" i="6"/>
  <c r="C223" i="6"/>
  <c r="C246" i="6"/>
  <c r="C270" i="6"/>
  <c r="C290" i="6"/>
  <c r="C304" i="6"/>
  <c r="C311" i="6"/>
  <c r="C330" i="6"/>
  <c r="C20" i="4" s="1"/>
  <c r="D337" i="6"/>
  <c r="D27" i="4" s="1"/>
  <c r="D349" i="6"/>
  <c r="D39" i="4" s="1"/>
  <c r="C357" i="6"/>
  <c r="C47" i="4" s="1"/>
  <c r="D368" i="6"/>
  <c r="D58" i="4" s="1"/>
  <c r="D23" i="6"/>
  <c r="C160" i="6"/>
  <c r="C218" i="6"/>
  <c r="D246" i="6"/>
  <c r="C297" i="6"/>
  <c r="D356" i="6"/>
  <c r="D46" i="4" s="1"/>
  <c r="C11" i="6"/>
  <c r="C21" i="6"/>
  <c r="C30" i="6"/>
  <c r="C54" i="6"/>
  <c r="D74" i="6"/>
  <c r="D95" i="6"/>
  <c r="C121" i="6"/>
  <c r="C136" i="6"/>
  <c r="C145" i="6"/>
  <c r="C153" i="6"/>
  <c r="D160" i="6"/>
  <c r="C184" i="6"/>
  <c r="C195" i="6"/>
  <c r="C201" i="6"/>
  <c r="D218" i="6"/>
  <c r="D232" i="6"/>
  <c r="D266" i="6"/>
  <c r="C285" i="6"/>
  <c r="D291" i="6"/>
  <c r="D297" i="6"/>
  <c r="D305" i="6"/>
  <c r="C318" i="6"/>
  <c r="C8" i="4" s="1"/>
  <c r="D363" i="6"/>
  <c r="D53" i="4" s="1"/>
  <c r="D379" i="6"/>
  <c r="C123" i="6"/>
  <c r="D285" i="6"/>
  <c r="C292" i="6"/>
  <c r="D325" i="6"/>
  <c r="D15" i="4" s="1"/>
  <c r="C345" i="6"/>
  <c r="C35" i="4" s="1"/>
  <c r="C365" i="6"/>
  <c r="C55" i="4" s="1"/>
  <c r="D370" i="6"/>
  <c r="D60" i="4" s="1"/>
  <c r="D376" i="6"/>
  <c r="D66" i="4" s="1"/>
  <c r="C98" i="6"/>
  <c r="C13" i="6"/>
  <c r="D81" i="6"/>
  <c r="D88" i="6"/>
  <c r="C97" i="6"/>
  <c r="C122" i="6"/>
  <c r="D207" i="6"/>
  <c r="D219" i="6"/>
  <c r="D225" i="6"/>
  <c r="C256" i="6"/>
  <c r="D292" i="6"/>
  <c r="C333" i="6"/>
  <c r="C23" i="4" s="1"/>
  <c r="D339" i="6"/>
  <c r="D29" i="4" s="1"/>
  <c r="D345" i="6"/>
  <c r="D35" i="4" s="1"/>
  <c r="C353" i="6"/>
  <c r="C43" i="4" s="1"/>
  <c r="D358" i="6"/>
  <c r="D48" i="4" s="1"/>
  <c r="D364" i="6"/>
  <c r="D54" i="4" s="1"/>
  <c r="C16" i="5"/>
  <c r="C211" i="5"/>
  <c r="D233" i="5"/>
  <c r="D277" i="5"/>
  <c r="D309" i="5"/>
  <c r="C319" i="5"/>
  <c r="G9" i="4" s="1"/>
  <c r="C349" i="5"/>
  <c r="G39" i="4" s="1"/>
  <c r="C361" i="5"/>
  <c r="G51" i="4" s="1"/>
  <c r="C367" i="5"/>
  <c r="G57" i="4" s="1"/>
  <c r="D355" i="5"/>
  <c r="H45" i="4" s="1"/>
  <c r="C17" i="5"/>
  <c r="D41" i="5"/>
  <c r="D51" i="5"/>
  <c r="C223" i="5"/>
  <c r="D245" i="5"/>
  <c r="D289" i="5"/>
  <c r="C299" i="5"/>
  <c r="C309" i="5"/>
  <c r="C344" i="5"/>
  <c r="G34" i="4" s="1"/>
  <c r="C9" i="5"/>
  <c r="D27" i="5"/>
  <c r="C41" i="5"/>
  <c r="D52" i="5"/>
  <c r="D68" i="5"/>
  <c r="C235" i="5"/>
  <c r="D257" i="5"/>
  <c r="C279" i="5"/>
  <c r="C368" i="5"/>
  <c r="G58" i="4" s="1"/>
  <c r="C373" i="5"/>
  <c r="G63" i="4" s="1"/>
  <c r="C11" i="5"/>
  <c r="D36" i="5"/>
  <c r="C203" i="5"/>
  <c r="C259" i="5"/>
  <c r="D281" i="5"/>
  <c r="C321" i="5"/>
  <c r="G11" i="4" s="1"/>
  <c r="C331" i="5"/>
  <c r="G21" i="4" s="1"/>
  <c r="D357" i="5"/>
  <c r="H47" i="4" s="1"/>
  <c r="D44" i="5"/>
  <c r="D293" i="5"/>
  <c r="D313" i="5"/>
  <c r="C369" i="5"/>
  <c r="G59" i="4" s="1"/>
  <c r="D205" i="5"/>
  <c r="C227" i="5"/>
  <c r="C283" i="5"/>
  <c r="C323" i="5"/>
  <c r="G13" i="4" s="1"/>
  <c r="C364" i="5"/>
  <c r="G54" i="4" s="1"/>
  <c r="C63" i="5"/>
  <c r="D217" i="5"/>
  <c r="D305" i="5"/>
  <c r="C353" i="5"/>
  <c r="G43" i="4" s="1"/>
  <c r="C13" i="5"/>
  <c r="C31" i="5"/>
  <c r="D229" i="5"/>
  <c r="C251" i="5"/>
  <c r="C341" i="5"/>
  <c r="G31" i="4" s="1"/>
  <c r="C376" i="5"/>
  <c r="G66" i="4" s="1"/>
  <c r="D379" i="5"/>
  <c r="C15" i="5"/>
  <c r="D185" i="5"/>
  <c r="D197" i="5"/>
  <c r="D241" i="5"/>
  <c r="D285" i="5"/>
  <c r="C348" i="5"/>
  <c r="G38" i="4" s="1"/>
  <c r="C360" i="5"/>
  <c r="G50" i="4" s="1"/>
  <c r="C365" i="5"/>
  <c r="G55" i="4" s="1"/>
  <c r="D56" i="5"/>
  <c r="D73" i="5"/>
  <c r="D209" i="5"/>
  <c r="D253" i="5"/>
  <c r="D297" i="5"/>
  <c r="C81" i="10"/>
  <c r="D81" i="10"/>
  <c r="C21" i="9"/>
  <c r="D69" i="9"/>
  <c r="D85" i="9"/>
  <c r="C93" i="9"/>
  <c r="C151" i="9"/>
  <c r="D172" i="9"/>
  <c r="C169" i="9"/>
  <c r="D196" i="9"/>
  <c r="D191" i="9"/>
  <c r="C199" i="9"/>
  <c r="C223" i="9"/>
  <c r="C232" i="9"/>
  <c r="C269" i="9"/>
  <c r="C277" i="9"/>
  <c r="C335" i="9"/>
  <c r="K25" i="4" s="1"/>
  <c r="D335" i="9"/>
  <c r="L25" i="4" s="1"/>
  <c r="C276" i="9"/>
  <c r="D276" i="9"/>
  <c r="D143" i="9"/>
  <c r="D160" i="9"/>
  <c r="D177" i="9"/>
  <c r="D184" i="9"/>
  <c r="C192" i="9"/>
  <c r="D232" i="9"/>
  <c r="D259" i="9"/>
  <c r="D269" i="9"/>
  <c r="D320" i="9"/>
  <c r="L10" i="4" s="1"/>
  <c r="C326" i="9"/>
  <c r="K16" i="4" s="1"/>
  <c r="D47" i="9"/>
  <c r="D55" i="9"/>
  <c r="D71" i="9"/>
  <c r="D119" i="9"/>
  <c r="D270" i="9"/>
  <c r="C270" i="9"/>
  <c r="D252" i="9"/>
  <c r="C8" i="9"/>
  <c r="C16" i="9"/>
  <c r="C24" i="9"/>
  <c r="D40" i="9"/>
  <c r="D49" i="9"/>
  <c r="D64" i="9"/>
  <c r="D73" i="9"/>
  <c r="C96" i="9"/>
  <c r="D112" i="9"/>
  <c r="D121" i="9"/>
  <c r="D136" i="9"/>
  <c r="C145" i="9"/>
  <c r="D163" i="9"/>
  <c r="C179" i="9"/>
  <c r="C187" i="9"/>
  <c r="D235" i="9"/>
  <c r="D289" i="9"/>
  <c r="D312" i="9"/>
  <c r="D300" i="9"/>
  <c r="C300" i="9"/>
  <c r="C49" i="9"/>
  <c r="C73" i="9"/>
  <c r="C121" i="9"/>
  <c r="D195" i="9"/>
  <c r="C227" i="9"/>
  <c r="D227" i="9"/>
  <c r="C290" i="9"/>
  <c r="D302" i="9"/>
  <c r="C17" i="10"/>
  <c r="D29" i="10"/>
  <c r="D25" i="9"/>
  <c r="D33" i="9"/>
  <c r="D105" i="9"/>
  <c r="D211" i="9"/>
  <c r="F18" i="3"/>
  <c r="P27" i="1" s="1"/>
  <c r="D19" i="9"/>
  <c r="C25" i="9"/>
  <c r="C59" i="9"/>
  <c r="D83" i="9"/>
  <c r="D115" i="9"/>
  <c r="C123" i="9"/>
  <c r="C131" i="9"/>
  <c r="C165" i="9"/>
  <c r="D165" i="9"/>
  <c r="C173" i="9"/>
  <c r="D181" i="9"/>
  <c r="C196" i="9"/>
  <c r="D237" i="9"/>
  <c r="D282" i="9"/>
  <c r="D35" i="9"/>
  <c r="D72" i="9"/>
  <c r="C83" i="9"/>
  <c r="D107" i="9"/>
  <c r="D144" i="9"/>
  <c r="C220" i="9"/>
  <c r="C282" i="9"/>
  <c r="C20" i="9"/>
  <c r="C35" i="9"/>
  <c r="C60" i="9"/>
  <c r="C107" i="9"/>
  <c r="C132" i="9"/>
  <c r="C197" i="9"/>
  <c r="C213" i="9"/>
  <c r="D213" i="9"/>
  <c r="C352" i="9"/>
  <c r="K42" i="4" s="1"/>
  <c r="D48" i="9"/>
  <c r="D60" i="9"/>
  <c r="C84" i="9"/>
  <c r="D120" i="9"/>
  <c r="D132" i="9"/>
  <c r="C141" i="9"/>
  <c r="C168" i="9"/>
  <c r="C175" i="9"/>
  <c r="C231" i="9"/>
  <c r="D239" i="9"/>
  <c r="C248" i="9"/>
  <c r="D248" i="9"/>
  <c r="D342" i="9"/>
  <c r="L32" i="4" s="1"/>
  <c r="C353" i="9"/>
  <c r="K43" i="4" s="1"/>
  <c r="D133" i="9"/>
  <c r="D192" i="9"/>
  <c r="D220" i="9"/>
  <c r="C235" i="9"/>
  <c r="C285" i="9"/>
  <c r="D309" i="9"/>
  <c r="D317" i="9"/>
  <c r="L7" i="4" s="1"/>
  <c r="C324" i="9"/>
  <c r="K14" i="4" s="1"/>
  <c r="C331" i="9"/>
  <c r="K21" i="4" s="1"/>
  <c r="D360" i="9"/>
  <c r="L50" i="4" s="1"/>
  <c r="D378" i="9"/>
  <c r="C13" i="10"/>
  <c r="D41" i="10"/>
  <c r="C61" i="10"/>
  <c r="C86" i="10"/>
  <c r="D102" i="10"/>
  <c r="D152" i="10"/>
  <c r="C191" i="10"/>
  <c r="C224" i="10"/>
  <c r="D247" i="10"/>
  <c r="C313" i="10"/>
  <c r="D351" i="10"/>
  <c r="X41" i="4" s="1"/>
  <c r="C360" i="10"/>
  <c r="W50" i="4" s="1"/>
  <c r="D35" i="11"/>
  <c r="C76" i="11"/>
  <c r="C92" i="11"/>
  <c r="D101" i="11"/>
  <c r="C109" i="11"/>
  <c r="C125" i="11"/>
  <c r="C133" i="11"/>
  <c r="D177" i="11"/>
  <c r="D187" i="11"/>
  <c r="C202" i="11"/>
  <c r="C223" i="11"/>
  <c r="C306" i="11"/>
  <c r="C354" i="11"/>
  <c r="AE44" i="4" s="1"/>
  <c r="D34" i="12"/>
  <c r="D237" i="12"/>
  <c r="D245" i="12"/>
  <c r="D301" i="12"/>
  <c r="D373" i="12"/>
  <c r="R63" i="4" s="1"/>
  <c r="D50" i="15"/>
  <c r="D38" i="15"/>
  <c r="C38" i="15"/>
  <c r="C195" i="9"/>
  <c r="D201" i="9"/>
  <c r="D228" i="9"/>
  <c r="D290" i="9"/>
  <c r="D310" i="9"/>
  <c r="D318" i="9"/>
  <c r="L8" i="4" s="1"/>
  <c r="C333" i="9"/>
  <c r="K23" i="4" s="1"/>
  <c r="D352" i="9"/>
  <c r="L42" i="4" s="1"/>
  <c r="D357" i="9"/>
  <c r="L47" i="4" s="1"/>
  <c r="C46" i="10"/>
  <c r="D74" i="10"/>
  <c r="D96" i="10"/>
  <c r="C122" i="10"/>
  <c r="C144" i="10"/>
  <c r="C177" i="10"/>
  <c r="C225" i="10"/>
  <c r="D232" i="10"/>
  <c r="C241" i="10"/>
  <c r="D248" i="10"/>
  <c r="C272" i="10"/>
  <c r="D326" i="10"/>
  <c r="X16" i="4" s="1"/>
  <c r="C339" i="10"/>
  <c r="W29" i="4" s="1"/>
  <c r="C347" i="10"/>
  <c r="W37" i="4" s="1"/>
  <c r="C10" i="11"/>
  <c r="C23" i="11"/>
  <c r="D31" i="11"/>
  <c r="D74" i="11"/>
  <c r="C84" i="11"/>
  <c r="C102" i="11"/>
  <c r="C110" i="11"/>
  <c r="D126" i="11"/>
  <c r="D133" i="11"/>
  <c r="C178" i="11"/>
  <c r="C187" i="11"/>
  <c r="D194" i="11"/>
  <c r="D202" i="11"/>
  <c r="D240" i="11"/>
  <c r="D255" i="11"/>
  <c r="C262" i="11"/>
  <c r="D347" i="11"/>
  <c r="AF37" i="4" s="1"/>
  <c r="C362" i="11"/>
  <c r="AE52" i="4" s="1"/>
  <c r="D370" i="11"/>
  <c r="AF60" i="4" s="1"/>
  <c r="D27" i="12"/>
  <c r="C34" i="12"/>
  <c r="C77" i="12"/>
  <c r="D143" i="12"/>
  <c r="C191" i="12"/>
  <c r="D229" i="12"/>
  <c r="D255" i="12"/>
  <c r="C265" i="12"/>
  <c r="D265" i="12"/>
  <c r="D311" i="12"/>
  <c r="D181" i="15"/>
  <c r="C169" i="15"/>
  <c r="D229" i="9"/>
  <c r="C236" i="9"/>
  <c r="D265" i="9"/>
  <c r="C278" i="9"/>
  <c r="D298" i="9"/>
  <c r="D294" i="9"/>
  <c r="C318" i="9"/>
  <c r="K8" i="4" s="1"/>
  <c r="D358" i="9"/>
  <c r="L48" i="4" s="1"/>
  <c r="D365" i="9"/>
  <c r="L55" i="4" s="1"/>
  <c r="D50" i="10"/>
  <c r="D84" i="10"/>
  <c r="D144" i="10"/>
  <c r="D200" i="10"/>
  <c r="C361" i="10"/>
  <c r="W51" i="4" s="1"/>
  <c r="D23" i="11"/>
  <c r="D85" i="11"/>
  <c r="D162" i="11"/>
  <c r="D203" i="11"/>
  <c r="D241" i="11"/>
  <c r="C249" i="11"/>
  <c r="D262" i="11"/>
  <c r="D279" i="11"/>
  <c r="D322" i="11"/>
  <c r="AF12" i="4" s="1"/>
  <c r="D375" i="11"/>
  <c r="AF65" i="4" s="1"/>
  <c r="D50" i="12"/>
  <c r="D67" i="12"/>
  <c r="D191" i="12"/>
  <c r="C323" i="12"/>
  <c r="Q13" i="4" s="1"/>
  <c r="D365" i="12"/>
  <c r="R55" i="4" s="1"/>
  <c r="C120" i="15"/>
  <c r="C121" i="15"/>
  <c r="D120" i="15"/>
  <c r="C242" i="18"/>
  <c r="D242" i="18"/>
  <c r="D288" i="18"/>
  <c r="C322" i="18"/>
  <c r="AC12" i="4" s="1"/>
  <c r="C323" i="18"/>
  <c r="AC13" i="4" s="1"/>
  <c r="D322" i="18"/>
  <c r="AD12" i="4" s="1"/>
  <c r="C20" i="19"/>
  <c r="C19" i="19"/>
  <c r="D346" i="9"/>
  <c r="L36" i="4" s="1"/>
  <c r="D371" i="9"/>
  <c r="L61" i="4" s="1"/>
  <c r="D366" i="9"/>
  <c r="L56" i="4" s="1"/>
  <c r="D374" i="9"/>
  <c r="L64" i="4" s="1"/>
  <c r="C24" i="10"/>
  <c r="C38" i="10"/>
  <c r="C72" i="10"/>
  <c r="D97" i="10"/>
  <c r="D126" i="10"/>
  <c r="D142" i="10"/>
  <c r="D138" i="10"/>
  <c r="D154" i="10"/>
  <c r="D162" i="10"/>
  <c r="D178" i="10"/>
  <c r="C186" i="10"/>
  <c r="C235" i="10"/>
  <c r="D265" i="10"/>
  <c r="D274" i="10"/>
  <c r="D303" i="10"/>
  <c r="C300" i="10"/>
  <c r="D332" i="10"/>
  <c r="X22" i="4" s="1"/>
  <c r="D355" i="10"/>
  <c r="X45" i="4" s="1"/>
  <c r="D83" i="11"/>
  <c r="C111" i="11"/>
  <c r="D153" i="11"/>
  <c r="D171" i="11"/>
  <c r="D188" i="11"/>
  <c r="C203" i="11"/>
  <c r="D224" i="11"/>
  <c r="C280" i="11"/>
  <c r="C291" i="11"/>
  <c r="D299" i="11"/>
  <c r="C332" i="11"/>
  <c r="AE22" i="4" s="1"/>
  <c r="C363" i="11"/>
  <c r="AE53" i="4" s="1"/>
  <c r="C8" i="12"/>
  <c r="D35" i="12"/>
  <c r="D43" i="12"/>
  <c r="C50" i="12"/>
  <c r="C97" i="12"/>
  <c r="D107" i="12"/>
  <c r="C145" i="12"/>
  <c r="D155" i="12"/>
  <c r="D173" i="12"/>
  <c r="D203" i="12"/>
  <c r="D221" i="12"/>
  <c r="D239" i="12"/>
  <c r="D267" i="12"/>
  <c r="D293" i="12"/>
  <c r="D303" i="12"/>
  <c r="D313" i="12"/>
  <c r="D141" i="15"/>
  <c r="D153" i="15"/>
  <c r="D368" i="10"/>
  <c r="X58" i="4" s="1"/>
  <c r="C159" i="11"/>
  <c r="C73" i="15"/>
  <c r="D72" i="15"/>
  <c r="C101" i="15"/>
  <c r="D100" i="15"/>
  <c r="C100" i="15"/>
  <c r="C32" i="18"/>
  <c r="C31" i="18"/>
  <c r="D376" i="10"/>
  <c r="X66" i="4" s="1"/>
  <c r="D315" i="12"/>
  <c r="R5" i="4" s="1"/>
  <c r="C315" i="12"/>
  <c r="Q5" i="4" s="1"/>
  <c r="D335" i="12"/>
  <c r="R25" i="4" s="1"/>
  <c r="C298" i="9"/>
  <c r="C18" i="10"/>
  <c r="C33" i="10"/>
  <c r="D48" i="10"/>
  <c r="C57" i="10"/>
  <c r="C65" i="10"/>
  <c r="D106" i="10"/>
  <c r="C117" i="10"/>
  <c r="C139" i="10"/>
  <c r="D173" i="10"/>
  <c r="D259" i="10"/>
  <c r="C285" i="10"/>
  <c r="C364" i="10"/>
  <c r="W54" i="4" s="1"/>
  <c r="C370" i="10"/>
  <c r="W60" i="4" s="1"/>
  <c r="C377" i="10"/>
  <c r="W67" i="4" s="1"/>
  <c r="D25" i="11"/>
  <c r="C136" i="11"/>
  <c r="D158" i="11"/>
  <c r="D198" i="11"/>
  <c r="D251" i="11"/>
  <c r="C259" i="11"/>
  <c r="D273" i="11"/>
  <c r="C292" i="11"/>
  <c r="D334" i="11"/>
  <c r="AF24" i="4" s="1"/>
  <c r="C350" i="11"/>
  <c r="AE40" i="4" s="1"/>
  <c r="C45" i="12"/>
  <c r="D61" i="12"/>
  <c r="D83" i="12"/>
  <c r="D233" i="12"/>
  <c r="D241" i="12"/>
  <c r="C269" i="12"/>
  <c r="C287" i="12"/>
  <c r="C369" i="12"/>
  <c r="Q59" i="4" s="1"/>
  <c r="C44" i="15"/>
  <c r="D44" i="15"/>
  <c r="D134" i="15"/>
  <c r="C134" i="15"/>
  <c r="D185" i="15"/>
  <c r="C185" i="15"/>
  <c r="C372" i="15"/>
  <c r="I62" i="4" s="1"/>
  <c r="C369" i="9"/>
  <c r="K59" i="4" s="1"/>
  <c r="C376" i="9"/>
  <c r="K66" i="4" s="1"/>
  <c r="C165" i="10"/>
  <c r="C212" i="10"/>
  <c r="C220" i="10"/>
  <c r="C237" i="10"/>
  <c r="C268" i="10"/>
  <c r="C343" i="10"/>
  <c r="W33" i="4" s="1"/>
  <c r="C357" i="10"/>
  <c r="W47" i="4" s="1"/>
  <c r="C27" i="11"/>
  <c r="C34" i="11"/>
  <c r="C81" i="11"/>
  <c r="C121" i="11"/>
  <c r="C182" i="11"/>
  <c r="C235" i="11"/>
  <c r="D303" i="11"/>
  <c r="C310" i="11"/>
  <c r="C358" i="11"/>
  <c r="AE48" i="4" s="1"/>
  <c r="D320" i="15"/>
  <c r="J10" i="4" s="1"/>
  <c r="C320" i="15"/>
  <c r="I10" i="4" s="1"/>
  <c r="D352" i="15"/>
  <c r="J42" i="4" s="1"/>
  <c r="D364" i="15"/>
  <c r="J54" i="4" s="1"/>
  <c r="C352" i="15"/>
  <c r="I42" i="4" s="1"/>
  <c r="C24" i="18"/>
  <c r="D23" i="18"/>
  <c r="C23" i="18"/>
  <c r="D351" i="18"/>
  <c r="AD41" i="4" s="1"/>
  <c r="C339" i="18"/>
  <c r="AC29" i="4" s="1"/>
  <c r="C54" i="19"/>
  <c r="D66" i="19"/>
  <c r="C55" i="19"/>
  <c r="D54" i="19"/>
  <c r="C299" i="9"/>
  <c r="C307" i="9"/>
  <c r="C316" i="9"/>
  <c r="K6" i="4" s="1"/>
  <c r="C329" i="9"/>
  <c r="K19" i="4" s="1"/>
  <c r="C337" i="9"/>
  <c r="K27" i="4" s="1"/>
  <c r="D369" i="9"/>
  <c r="L59" i="4" s="1"/>
  <c r="C377" i="9"/>
  <c r="K67" i="4" s="1"/>
  <c r="D32" i="10"/>
  <c r="C101" i="10"/>
  <c r="D118" i="10"/>
  <c r="D146" i="10"/>
  <c r="D194" i="10"/>
  <c r="C189" i="10"/>
  <c r="D195" i="10"/>
  <c r="C213" i="10"/>
  <c r="D233" i="10"/>
  <c r="C238" i="10"/>
  <c r="D254" i="10"/>
  <c r="C260" i="10"/>
  <c r="D287" i="10"/>
  <c r="D294" i="10"/>
  <c r="C358" i="10"/>
  <c r="W48" i="4" s="1"/>
  <c r="C365" i="10"/>
  <c r="W55" i="4" s="1"/>
  <c r="C371" i="10"/>
  <c r="W61" i="4" s="1"/>
  <c r="C66" i="11"/>
  <c r="D106" i="11"/>
  <c r="D174" i="11"/>
  <c r="C191" i="11"/>
  <c r="C229" i="11"/>
  <c r="D236" i="11"/>
  <c r="D258" i="11"/>
  <c r="D266" i="11"/>
  <c r="D325" i="11"/>
  <c r="AF15" i="4" s="1"/>
  <c r="C367" i="11"/>
  <c r="AE57" i="4" s="1"/>
  <c r="C14" i="12"/>
  <c r="C73" i="12"/>
  <c r="C91" i="12"/>
  <c r="C187" i="12"/>
  <c r="D225" i="12"/>
  <c r="C361" i="12"/>
  <c r="Q51" i="4" s="1"/>
  <c r="C156" i="15"/>
  <c r="D155" i="15"/>
  <c r="D221" i="15"/>
  <c r="C210" i="15"/>
  <c r="D209" i="15"/>
  <c r="C209" i="15"/>
  <c r="D332" i="15"/>
  <c r="J22" i="4" s="1"/>
  <c r="D316" i="18"/>
  <c r="AD6" i="4" s="1"/>
  <c r="C304" i="18"/>
  <c r="D101" i="10"/>
  <c r="C141" i="10"/>
  <c r="D260" i="10"/>
  <c r="C295" i="10"/>
  <c r="C303" i="10"/>
  <c r="C320" i="10"/>
  <c r="W10" i="4" s="1"/>
  <c r="C337" i="10"/>
  <c r="W27" i="4" s="1"/>
  <c r="D79" i="11"/>
  <c r="D107" i="11"/>
  <c r="C275" i="11"/>
  <c r="C294" i="11"/>
  <c r="C375" i="11"/>
  <c r="AE65" i="4" s="1"/>
  <c r="D73" i="12"/>
  <c r="D91" i="12"/>
  <c r="C271" i="12"/>
  <c r="D271" i="12"/>
  <c r="D299" i="12"/>
  <c r="C299" i="12"/>
  <c r="D329" i="12"/>
  <c r="R19" i="4" s="1"/>
  <c r="C355" i="9"/>
  <c r="K45" i="4" s="1"/>
  <c r="C364" i="9"/>
  <c r="K54" i="4" s="1"/>
  <c r="C28" i="10"/>
  <c r="D34" i="10"/>
  <c r="D89" i="10"/>
  <c r="C85" i="10"/>
  <c r="D134" i="10"/>
  <c r="C142" i="10"/>
  <c r="D167" i="10"/>
  <c r="D190" i="10"/>
  <c r="C214" i="10"/>
  <c r="C255" i="10"/>
  <c r="D296" i="10"/>
  <c r="C312" i="10"/>
  <c r="D320" i="10"/>
  <c r="X10" i="4" s="1"/>
  <c r="C345" i="10"/>
  <c r="W35" i="4" s="1"/>
  <c r="C22" i="11"/>
  <c r="C67" i="11"/>
  <c r="C74" i="11"/>
  <c r="C90" i="11"/>
  <c r="C107" i="11"/>
  <c r="C146" i="11"/>
  <c r="D167" i="11"/>
  <c r="D209" i="11"/>
  <c r="D253" i="11"/>
  <c r="D272" i="11"/>
  <c r="D286" i="11"/>
  <c r="D307" i="11"/>
  <c r="C327" i="11"/>
  <c r="AE17" i="4" s="1"/>
  <c r="D349" i="11"/>
  <c r="AF39" i="4" s="1"/>
  <c r="C353" i="11"/>
  <c r="AE43" i="4" s="1"/>
  <c r="C376" i="11"/>
  <c r="AE66" i="4" s="1"/>
  <c r="C15" i="12"/>
  <c r="C39" i="12"/>
  <c r="D47" i="12"/>
  <c r="C55" i="12"/>
  <c r="C65" i="12"/>
  <c r="C319" i="12"/>
  <c r="Q9" i="4" s="1"/>
  <c r="D319" i="12"/>
  <c r="R9" i="4" s="1"/>
  <c r="C106" i="15"/>
  <c r="D118" i="15"/>
  <c r="D190" i="15"/>
  <c r="C178" i="15"/>
  <c r="C260" i="18"/>
  <c r="D157" i="9"/>
  <c r="D193" i="9"/>
  <c r="C256" i="9"/>
  <c r="C283" i="9"/>
  <c r="D304" i="9"/>
  <c r="C347" i="9"/>
  <c r="K37" i="4" s="1"/>
  <c r="D368" i="9"/>
  <c r="L58" i="4" s="1"/>
  <c r="D364" i="9"/>
  <c r="L54" i="4" s="1"/>
  <c r="C372" i="9"/>
  <c r="K62" i="4" s="1"/>
  <c r="D56" i="10"/>
  <c r="C77" i="10"/>
  <c r="D155" i="10"/>
  <c r="D163" i="10"/>
  <c r="C160" i="10"/>
  <c r="C168" i="10"/>
  <c r="C176" i="10"/>
  <c r="C198" i="10"/>
  <c r="D220" i="10"/>
  <c r="D214" i="10"/>
  <c r="D280" i="10"/>
  <c r="C289" i="10"/>
  <c r="C296" i="10"/>
  <c r="D312" i="10"/>
  <c r="C321" i="10"/>
  <c r="W11" i="4" s="1"/>
  <c r="D345" i="10"/>
  <c r="X35" i="4" s="1"/>
  <c r="C366" i="10"/>
  <c r="W56" i="4" s="1"/>
  <c r="C372" i="10"/>
  <c r="W62" i="4" s="1"/>
  <c r="C17" i="11"/>
  <c r="C37" i="11"/>
  <c r="D67" i="11"/>
  <c r="D91" i="11"/>
  <c r="C176" i="11"/>
  <c r="C193" i="11"/>
  <c r="C337" i="11"/>
  <c r="AE27" i="4" s="1"/>
  <c r="D369" i="11"/>
  <c r="AF59" i="4" s="1"/>
  <c r="C16" i="12"/>
  <c r="C47" i="12"/>
  <c r="D66" i="12"/>
  <c r="D123" i="12"/>
  <c r="D171" i="12"/>
  <c r="D219" i="12"/>
  <c r="D263" i="12"/>
  <c r="C273" i="12"/>
  <c r="D273" i="12"/>
  <c r="D343" i="12"/>
  <c r="R33" i="4" s="1"/>
  <c r="D341" i="12"/>
  <c r="R31" i="4" s="1"/>
  <c r="D212" i="15"/>
  <c r="D200" i="15"/>
  <c r="D26" i="18"/>
  <c r="D343" i="18"/>
  <c r="AD33" i="4" s="1"/>
  <c r="C331" i="18"/>
  <c r="AC21" i="4" s="1"/>
  <c r="C269" i="15"/>
  <c r="C277" i="15"/>
  <c r="C378" i="15"/>
  <c r="I68" i="4" s="1"/>
  <c r="C15" i="18"/>
  <c r="D60" i="18"/>
  <c r="D72" i="18"/>
  <c r="D84" i="18"/>
  <c r="D96" i="18"/>
  <c r="C212" i="18"/>
  <c r="C348" i="18"/>
  <c r="AC38" i="4" s="1"/>
  <c r="C364" i="18"/>
  <c r="AC54" i="4" s="1"/>
  <c r="D61" i="19"/>
  <c r="C77" i="19"/>
  <c r="C249" i="12"/>
  <c r="C257" i="12"/>
  <c r="D374" i="12"/>
  <c r="R64" i="4" s="1"/>
  <c r="C32" i="15"/>
  <c r="C45" i="15"/>
  <c r="C52" i="15"/>
  <c r="C58" i="15"/>
  <c r="C66" i="15"/>
  <c r="D80" i="15"/>
  <c r="D107" i="15"/>
  <c r="C149" i="15"/>
  <c r="D182" i="15"/>
  <c r="C186" i="15"/>
  <c r="C216" i="15"/>
  <c r="D223" i="15"/>
  <c r="C245" i="15"/>
  <c r="C261" i="15"/>
  <c r="D277" i="15"/>
  <c r="D283" i="15"/>
  <c r="D289" i="15"/>
  <c r="C296" i="15"/>
  <c r="D302" i="15"/>
  <c r="C308" i="15"/>
  <c r="C335" i="15"/>
  <c r="I25" i="4" s="1"/>
  <c r="C340" i="15"/>
  <c r="I30" i="4" s="1"/>
  <c r="D359" i="15"/>
  <c r="J49" i="4" s="1"/>
  <c r="D378" i="15"/>
  <c r="C17" i="18"/>
  <c r="D41" i="18"/>
  <c r="D49" i="18"/>
  <c r="D108" i="18"/>
  <c r="D120" i="18"/>
  <c r="D202" i="18"/>
  <c r="D223" i="18"/>
  <c r="D255" i="18"/>
  <c r="D281" i="18"/>
  <c r="C288" i="18"/>
  <c r="D332" i="18"/>
  <c r="AD22" i="4" s="1"/>
  <c r="D348" i="18"/>
  <c r="AD38" i="4" s="1"/>
  <c r="C356" i="18"/>
  <c r="AC46" i="4" s="1"/>
  <c r="D377" i="18"/>
  <c r="AD67" i="4" s="1"/>
  <c r="C12" i="19"/>
  <c r="D32" i="19"/>
  <c r="D55" i="19"/>
  <c r="C70" i="19"/>
  <c r="D77" i="19"/>
  <c r="C83" i="19"/>
  <c r="C162" i="19"/>
  <c r="C179" i="19"/>
  <c r="D285" i="19"/>
  <c r="D295" i="12"/>
  <c r="D21" i="15"/>
  <c r="C17" i="15"/>
  <c r="D32" i="15"/>
  <c r="C39" i="15"/>
  <c r="D52" i="15"/>
  <c r="C88" i="15"/>
  <c r="C95" i="15"/>
  <c r="C115" i="15"/>
  <c r="D128" i="15"/>
  <c r="C135" i="15"/>
  <c r="C143" i="15"/>
  <c r="D149" i="15"/>
  <c r="D216" i="15"/>
  <c r="D224" i="15"/>
  <c r="C232" i="15"/>
  <c r="C238" i="15"/>
  <c r="C262" i="15"/>
  <c r="C270" i="15"/>
  <c r="D290" i="15"/>
  <c r="C321" i="15"/>
  <c r="I11" i="4" s="1"/>
  <c r="C353" i="15"/>
  <c r="I43" i="4" s="1"/>
  <c r="C367" i="15"/>
  <c r="I57" i="4" s="1"/>
  <c r="C16" i="18"/>
  <c r="D144" i="18"/>
  <c r="D156" i="18"/>
  <c r="D168" i="18"/>
  <c r="D192" i="18"/>
  <c r="D226" i="18"/>
  <c r="C252" i="18"/>
  <c r="D278" i="18"/>
  <c r="D297" i="18"/>
  <c r="D333" i="18"/>
  <c r="AD23" i="4" s="1"/>
  <c r="C365" i="18"/>
  <c r="AC55" i="4" s="1"/>
  <c r="C37" i="19"/>
  <c r="C78" i="19"/>
  <c r="D333" i="12"/>
  <c r="R23" i="4" s="1"/>
  <c r="C377" i="12"/>
  <c r="Q67" i="4" s="1"/>
  <c r="C67" i="15"/>
  <c r="D94" i="15"/>
  <c r="D101" i="15"/>
  <c r="D157" i="15"/>
  <c r="D172" i="15"/>
  <c r="D187" i="15"/>
  <c r="D232" i="15"/>
  <c r="D246" i="15"/>
  <c r="D270" i="15"/>
  <c r="C278" i="15"/>
  <c r="C284" i="15"/>
  <c r="C297" i="15"/>
  <c r="C309" i="15"/>
  <c r="D335" i="15"/>
  <c r="J25" i="4" s="1"/>
  <c r="D341" i="15"/>
  <c r="J31" i="4" s="1"/>
  <c r="C355" i="15"/>
  <c r="I45" i="4" s="1"/>
  <c r="D63" i="18"/>
  <c r="D75" i="18"/>
  <c r="D87" i="18"/>
  <c r="D99" i="18"/>
  <c r="D289" i="18"/>
  <c r="D323" i="18"/>
  <c r="AD13" i="4" s="1"/>
  <c r="C349" i="18"/>
  <c r="AC39" i="4" s="1"/>
  <c r="D163" i="19"/>
  <c r="D181" i="19"/>
  <c r="C299" i="19"/>
  <c r="C323" i="19"/>
  <c r="Y13" i="4" s="1"/>
  <c r="C347" i="19"/>
  <c r="Y37" i="4" s="1"/>
  <c r="D22" i="15"/>
  <c r="D291" i="15"/>
  <c r="D354" i="15"/>
  <c r="J44" i="4" s="1"/>
  <c r="D123" i="18"/>
  <c r="D271" i="18"/>
  <c r="D367" i="18"/>
  <c r="AD57" i="4" s="1"/>
  <c r="C27" i="15"/>
  <c r="C89" i="15"/>
  <c r="C102" i="15"/>
  <c r="C165" i="15"/>
  <c r="C233" i="15"/>
  <c r="D257" i="15"/>
  <c r="D264" i="15"/>
  <c r="C304" i="15"/>
  <c r="D316" i="15"/>
  <c r="J6" i="4" s="1"/>
  <c r="D323" i="15"/>
  <c r="J13" i="4" s="1"/>
  <c r="C336" i="15"/>
  <c r="I26" i="4" s="1"/>
  <c r="D348" i="15"/>
  <c r="J38" i="4" s="1"/>
  <c r="D35" i="18"/>
  <c r="D112" i="18"/>
  <c r="D135" i="18"/>
  <c r="D147" i="18"/>
  <c r="D159" i="18"/>
  <c r="D171" i="18"/>
  <c r="D183" i="18"/>
  <c r="C281" i="18"/>
  <c r="C308" i="18"/>
  <c r="C317" i="18"/>
  <c r="AC7" i="4" s="1"/>
  <c r="D335" i="18"/>
  <c r="AD25" i="4" s="1"/>
  <c r="C343" i="18"/>
  <c r="AC33" i="4" s="1"/>
  <c r="C14" i="19"/>
  <c r="D65" i="19"/>
  <c r="C101" i="19"/>
  <c r="D127" i="19"/>
  <c r="C138" i="19"/>
  <c r="C155" i="19"/>
  <c r="D199" i="19"/>
  <c r="C210" i="19"/>
  <c r="D61" i="15"/>
  <c r="C90" i="15"/>
  <c r="C97" i="15"/>
  <c r="C117" i="15"/>
  <c r="C130" i="15"/>
  <c r="C146" i="15"/>
  <c r="C160" i="15"/>
  <c r="D165" i="15"/>
  <c r="D189" i="15"/>
  <c r="C234" i="15"/>
  <c r="C280" i="15"/>
  <c r="C286" i="15"/>
  <c r="C292" i="15"/>
  <c r="D330" i="15"/>
  <c r="J20" i="4" s="1"/>
  <c r="D361" i="15"/>
  <c r="J51" i="4" s="1"/>
  <c r="C368" i="15"/>
  <c r="I58" i="4" s="1"/>
  <c r="C10" i="18"/>
  <c r="C36" i="18"/>
  <c r="D136" i="18"/>
  <c r="C160" i="18"/>
  <c r="D195" i="18"/>
  <c r="C238" i="18"/>
  <c r="C282" i="18"/>
  <c r="C291" i="18"/>
  <c r="C326" i="18"/>
  <c r="AC16" i="4" s="1"/>
  <c r="D356" i="18"/>
  <c r="AD46" i="4" s="1"/>
  <c r="C378" i="18"/>
  <c r="AC68" i="4" s="1"/>
  <c r="C29" i="19"/>
  <c r="C50" i="19"/>
  <c r="C66" i="19"/>
  <c r="C94" i="19"/>
  <c r="D101" i="19"/>
  <c r="D374" i="19"/>
  <c r="Z64" i="4" s="1"/>
  <c r="C12" i="15"/>
  <c r="C41" i="15"/>
  <c r="C61" i="15"/>
  <c r="C77" i="15"/>
  <c r="D84" i="15"/>
  <c r="D90" i="15"/>
  <c r="D116" i="15"/>
  <c r="C112" i="15"/>
  <c r="D117" i="15"/>
  <c r="D124" i="15"/>
  <c r="C137" i="15"/>
  <c r="D146" i="15"/>
  <c r="C152" i="15"/>
  <c r="D160" i="15"/>
  <c r="C166" i="15"/>
  <c r="C183" i="15"/>
  <c r="D197" i="15"/>
  <c r="C212" i="15"/>
  <c r="D234" i="15"/>
  <c r="C258" i="15"/>
  <c r="C265" i="15"/>
  <c r="D280" i="15"/>
  <c r="C305" i="15"/>
  <c r="D317" i="15"/>
  <c r="J7" i="4" s="1"/>
  <c r="C337" i="15"/>
  <c r="I27" i="4" s="1"/>
  <c r="D375" i="15"/>
  <c r="J65" i="4" s="1"/>
  <c r="D20" i="18"/>
  <c r="D67" i="18"/>
  <c r="D79" i="18"/>
  <c r="D91" i="18"/>
  <c r="D196" i="18"/>
  <c r="D207" i="18"/>
  <c r="D228" i="18"/>
  <c r="C273" i="18"/>
  <c r="D283" i="18"/>
  <c r="C292" i="18"/>
  <c r="C336" i="18"/>
  <c r="AC26" i="4" s="1"/>
  <c r="C369" i="18"/>
  <c r="AC59" i="4" s="1"/>
  <c r="D19" i="19"/>
  <c r="D50" i="19"/>
  <c r="C29" i="15"/>
  <c r="C36" i="15"/>
  <c r="C42" i="15"/>
  <c r="C50" i="15"/>
  <c r="D68" i="15"/>
  <c r="D62" i="15"/>
  <c r="C91" i="15"/>
  <c r="D104" i="15"/>
  <c r="D112" i="15"/>
  <c r="C125" i="15"/>
  <c r="C153" i="15"/>
  <c r="D173" i="15"/>
  <c r="D225" i="15"/>
  <c r="C221" i="15"/>
  <c r="C235" i="15"/>
  <c r="D281" i="15"/>
  <c r="C312" i="15"/>
  <c r="C319" i="15"/>
  <c r="I9" i="4" s="1"/>
  <c r="D337" i="15"/>
  <c r="J27" i="4" s="1"/>
  <c r="C344" i="15"/>
  <c r="I34" i="4" s="1"/>
  <c r="C350" i="15"/>
  <c r="I40" i="4" s="1"/>
  <c r="C356" i="15"/>
  <c r="I46" i="4" s="1"/>
  <c r="C369" i="15"/>
  <c r="I59" i="4" s="1"/>
  <c r="C46" i="18"/>
  <c r="C56" i="18"/>
  <c r="C68" i="18"/>
  <c r="C80" i="18"/>
  <c r="C92" i="18"/>
  <c r="D103" i="18"/>
  <c r="D115" i="18"/>
  <c r="D219" i="18"/>
  <c r="D268" i="18"/>
  <c r="D265" i="18"/>
  <c r="D284" i="18"/>
  <c r="C310" i="18"/>
  <c r="D320" i="18"/>
  <c r="AD10" i="4" s="1"/>
  <c r="D345" i="18"/>
  <c r="AD35" i="4" s="1"/>
  <c r="C352" i="18"/>
  <c r="AC42" i="4" s="1"/>
  <c r="D361" i="18"/>
  <c r="AD51" i="4" s="1"/>
  <c r="C370" i="18"/>
  <c r="AC60" i="4" s="1"/>
  <c r="C8" i="19"/>
  <c r="C24" i="19"/>
  <c r="D31" i="19"/>
  <c r="C89" i="19"/>
  <c r="D102" i="19"/>
  <c r="D347" i="12"/>
  <c r="R37" i="4" s="1"/>
  <c r="C363" i="12"/>
  <c r="Q53" i="4" s="1"/>
  <c r="C371" i="12"/>
  <c r="Q61" i="4" s="1"/>
  <c r="D33" i="15"/>
  <c r="C114" i="15"/>
  <c r="D125" i="15"/>
  <c r="D256" i="15"/>
  <c r="D363" i="15"/>
  <c r="J53" i="4" s="1"/>
  <c r="D139" i="18"/>
  <c r="D151" i="18"/>
  <c r="D163" i="18"/>
  <c r="D175" i="18"/>
  <c r="D285" i="18"/>
  <c r="D337" i="18"/>
  <c r="AD27" i="4" s="1"/>
  <c r="C345" i="18"/>
  <c r="AC35" i="4" s="1"/>
  <c r="C17" i="19"/>
  <c r="D24" i="19"/>
  <c r="D89" i="19"/>
  <c r="C131" i="19"/>
  <c r="D213" i="19"/>
  <c r="C349" i="12"/>
  <c r="Q39" i="4" s="1"/>
  <c r="C357" i="12"/>
  <c r="Q47" i="4" s="1"/>
  <c r="C365" i="12"/>
  <c r="Q55" i="4" s="1"/>
  <c r="C373" i="12"/>
  <c r="Q63" i="4" s="1"/>
  <c r="C21" i="15"/>
  <c r="D56" i="15"/>
  <c r="D105" i="15"/>
  <c r="C113" i="15"/>
  <c r="C119" i="15"/>
  <c r="D126" i="15"/>
  <c r="D133" i="15"/>
  <c r="C140" i="15"/>
  <c r="D154" i="15"/>
  <c r="D168" i="15"/>
  <c r="C199" i="15"/>
  <c r="C208" i="15"/>
  <c r="C214" i="15"/>
  <c r="C222" i="15"/>
  <c r="C244" i="15"/>
  <c r="D279" i="15"/>
  <c r="C275" i="15"/>
  <c r="D294" i="15"/>
  <c r="C307" i="15"/>
  <c r="C313" i="15"/>
  <c r="C345" i="15"/>
  <c r="I35" i="4" s="1"/>
  <c r="C357" i="15"/>
  <c r="I47" i="4" s="1"/>
  <c r="C13" i="18"/>
  <c r="C22" i="18"/>
  <c r="C30" i="18"/>
  <c r="C47" i="18"/>
  <c r="C128" i="18"/>
  <c r="C140" i="18"/>
  <c r="C152" i="18"/>
  <c r="C164" i="18"/>
  <c r="C176" i="18"/>
  <c r="D187" i="18"/>
  <c r="D199" i="18"/>
  <c r="D210" i="18"/>
  <c r="D231" i="18"/>
  <c r="D253" i="18"/>
  <c r="D249" i="18"/>
  <c r="C286" i="18"/>
  <c r="C303" i="18"/>
  <c r="C330" i="18"/>
  <c r="AC20" i="4" s="1"/>
  <c r="D37" i="19"/>
  <c r="D43" i="19"/>
  <c r="C53" i="19"/>
  <c r="C90" i="19"/>
  <c r="C114" i="19"/>
  <c r="C213" i="19"/>
  <c r="D17" i="3"/>
  <c r="H17" i="3" s="1"/>
  <c r="F12" i="3"/>
  <c r="P21" i="1" s="1"/>
  <c r="E22" i="3"/>
  <c r="D20" i="3"/>
  <c r="H20" i="3" s="1"/>
  <c r="D11" i="3"/>
  <c r="C61" i="5"/>
  <c r="D60" i="5"/>
  <c r="C83" i="5"/>
  <c r="C84" i="5"/>
  <c r="D83" i="5"/>
  <c r="D105" i="5"/>
  <c r="C105" i="5"/>
  <c r="C139" i="5"/>
  <c r="D139" i="5"/>
  <c r="D161" i="5"/>
  <c r="C161" i="5"/>
  <c r="C183" i="5"/>
  <c r="C184" i="5"/>
  <c r="D183" i="5"/>
  <c r="D194" i="5"/>
  <c r="C194" i="5"/>
  <c r="D249" i="5"/>
  <c r="C249" i="5"/>
  <c r="D314" i="5"/>
  <c r="H4" i="4" s="1"/>
  <c r="C314" i="5"/>
  <c r="G4" i="4" s="1"/>
  <c r="D30" i="6"/>
  <c r="C18" i="6"/>
  <c r="C295" i="6"/>
  <c r="D295" i="6"/>
  <c r="D314" i="6"/>
  <c r="D4" i="4" s="1"/>
  <c r="C303" i="6"/>
  <c r="D302" i="6"/>
  <c r="C302" i="6"/>
  <c r="D259" i="8"/>
  <c r="C259" i="8"/>
  <c r="D271" i="8"/>
  <c r="D25" i="5"/>
  <c r="C25" i="5"/>
  <c r="C60" i="5"/>
  <c r="D67" i="5"/>
  <c r="C67" i="5"/>
  <c r="C95" i="5"/>
  <c r="C96" i="5"/>
  <c r="D95" i="5"/>
  <c r="D117" i="5"/>
  <c r="C117" i="5"/>
  <c r="C151" i="5"/>
  <c r="D151" i="5"/>
  <c r="D173" i="5"/>
  <c r="C195" i="5"/>
  <c r="C196" i="5"/>
  <c r="D195" i="5"/>
  <c r="D206" i="5"/>
  <c r="C206" i="5"/>
  <c r="D261" i="5"/>
  <c r="C261" i="5"/>
  <c r="D370" i="5"/>
  <c r="H60" i="4" s="1"/>
  <c r="C370" i="5"/>
  <c r="G60" i="4" s="1"/>
  <c r="D82" i="6"/>
  <c r="C70" i="6"/>
  <c r="D70" i="6"/>
  <c r="D143" i="6"/>
  <c r="C143" i="6"/>
  <c r="C218" i="7"/>
  <c r="D218" i="7"/>
  <c r="D230" i="7"/>
  <c r="C219" i="7"/>
  <c r="D235" i="7"/>
  <c r="C235" i="7"/>
  <c r="D247" i="7"/>
  <c r="D19" i="5"/>
  <c r="C19" i="5"/>
  <c r="D26" i="5"/>
  <c r="C26" i="5"/>
  <c r="D32" i="5"/>
  <c r="C32" i="5"/>
  <c r="D39" i="5"/>
  <c r="C76" i="5"/>
  <c r="D75" i="5"/>
  <c r="D85" i="5"/>
  <c r="C85" i="5"/>
  <c r="C107" i="5"/>
  <c r="C108" i="5"/>
  <c r="D107" i="5"/>
  <c r="D129" i="5"/>
  <c r="C129" i="5"/>
  <c r="C140" i="5"/>
  <c r="C163" i="5"/>
  <c r="D163" i="5"/>
  <c r="C207" i="5"/>
  <c r="C208" i="5"/>
  <c r="D207" i="5"/>
  <c r="D218" i="5"/>
  <c r="C218" i="5"/>
  <c r="D273" i="5"/>
  <c r="C273" i="5"/>
  <c r="C183" i="6"/>
  <c r="D182" i="6"/>
  <c r="D194" i="6"/>
  <c r="C182" i="6"/>
  <c r="D33" i="5"/>
  <c r="C33" i="5"/>
  <c r="D46" i="5"/>
  <c r="C46" i="5"/>
  <c r="C47" i="5"/>
  <c r="D86" i="5"/>
  <c r="C86" i="5"/>
  <c r="D97" i="5"/>
  <c r="C97" i="5"/>
  <c r="C119" i="5"/>
  <c r="C120" i="5"/>
  <c r="D119" i="5"/>
  <c r="D141" i="5"/>
  <c r="C141" i="5"/>
  <c r="C175" i="5"/>
  <c r="D175" i="5"/>
  <c r="C219" i="5"/>
  <c r="C220" i="5"/>
  <c r="D219" i="5"/>
  <c r="D230" i="5"/>
  <c r="C230" i="5"/>
  <c r="D326" i="5"/>
  <c r="H16" i="4" s="1"/>
  <c r="C326" i="5"/>
  <c r="G16" i="4" s="1"/>
  <c r="D354" i="5"/>
  <c r="H44" i="4" s="1"/>
  <c r="C354" i="5"/>
  <c r="G44" i="4" s="1"/>
  <c r="C209" i="6"/>
  <c r="D209" i="6"/>
  <c r="C210" i="6"/>
  <c r="D172" i="7"/>
  <c r="C172" i="7"/>
  <c r="C20" i="5"/>
  <c r="C27" i="5"/>
  <c r="C87" i="5"/>
  <c r="C88" i="5"/>
  <c r="D87" i="5"/>
  <c r="D98" i="5"/>
  <c r="C98" i="5"/>
  <c r="D109" i="5"/>
  <c r="C109" i="5"/>
  <c r="C131" i="5"/>
  <c r="C132" i="5"/>
  <c r="D131" i="5"/>
  <c r="D153" i="5"/>
  <c r="C153" i="5"/>
  <c r="C187" i="5"/>
  <c r="D187" i="5"/>
  <c r="C231" i="5"/>
  <c r="C232" i="5"/>
  <c r="D231" i="5"/>
  <c r="D242" i="5"/>
  <c r="C242" i="5"/>
  <c r="D31" i="6"/>
  <c r="C31" i="6"/>
  <c r="C81" i="8"/>
  <c r="D80" i="8"/>
  <c r="C80" i="8"/>
  <c r="D28" i="5"/>
  <c r="D35" i="5"/>
  <c r="C35" i="5"/>
  <c r="D47" i="5"/>
  <c r="D77" i="5"/>
  <c r="C77" i="5"/>
  <c r="C99" i="5"/>
  <c r="C100" i="5"/>
  <c r="D99" i="5"/>
  <c r="D110" i="5"/>
  <c r="C110" i="5"/>
  <c r="D121" i="5"/>
  <c r="C121" i="5"/>
  <c r="C143" i="5"/>
  <c r="C144" i="5"/>
  <c r="D143" i="5"/>
  <c r="D165" i="5"/>
  <c r="C165" i="5"/>
  <c r="C176" i="5"/>
  <c r="C243" i="5"/>
  <c r="C244" i="5"/>
  <c r="D243" i="5"/>
  <c r="D254" i="5"/>
  <c r="C254" i="5"/>
  <c r="C129" i="6"/>
  <c r="D129" i="6"/>
  <c r="C21" i="5"/>
  <c r="C28" i="5"/>
  <c r="D48" i="5"/>
  <c r="C37" i="5"/>
  <c r="D89" i="5"/>
  <c r="C89" i="5"/>
  <c r="C111" i="5"/>
  <c r="C112" i="5"/>
  <c r="D111" i="5"/>
  <c r="D122" i="5"/>
  <c r="C122" i="5"/>
  <c r="D133" i="5"/>
  <c r="C133" i="5"/>
  <c r="C155" i="5"/>
  <c r="C156" i="5"/>
  <c r="D155" i="5"/>
  <c r="D177" i="5"/>
  <c r="C177" i="5"/>
  <c r="C188" i="5"/>
  <c r="C255" i="5"/>
  <c r="C256" i="5"/>
  <c r="D255" i="5"/>
  <c r="D266" i="5"/>
  <c r="C266" i="5"/>
  <c r="C171" i="6"/>
  <c r="D170" i="6"/>
  <c r="C170" i="6"/>
  <c r="D144" i="7"/>
  <c r="C144" i="7"/>
  <c r="D49" i="5"/>
  <c r="C49" i="5"/>
  <c r="D63" i="5"/>
  <c r="C79" i="5"/>
  <c r="D79" i="5"/>
  <c r="D101" i="5"/>
  <c r="C101" i="5"/>
  <c r="C123" i="5"/>
  <c r="C124" i="5"/>
  <c r="D123" i="5"/>
  <c r="D134" i="5"/>
  <c r="C134" i="5"/>
  <c r="D145" i="5"/>
  <c r="C145" i="5"/>
  <c r="C167" i="5"/>
  <c r="C168" i="5"/>
  <c r="D167" i="5"/>
  <c r="D189" i="5"/>
  <c r="C189" i="5"/>
  <c r="C267" i="5"/>
  <c r="C268" i="5"/>
  <c r="D267" i="5"/>
  <c r="D278" i="5"/>
  <c r="C278" i="5"/>
  <c r="D155" i="6"/>
  <c r="D108" i="7"/>
  <c r="C108" i="7"/>
  <c r="D117" i="7"/>
  <c r="C117" i="7"/>
  <c r="D39" i="9"/>
  <c r="C28" i="9"/>
  <c r="D27" i="9"/>
  <c r="C27" i="9"/>
  <c r="D22" i="5"/>
  <c r="C22" i="5"/>
  <c r="C23" i="5"/>
  <c r="D50" i="5"/>
  <c r="C50" i="5"/>
  <c r="C91" i="5"/>
  <c r="D91" i="5"/>
  <c r="D113" i="5"/>
  <c r="C113" i="5"/>
  <c r="C135" i="5"/>
  <c r="C136" i="5"/>
  <c r="D135" i="5"/>
  <c r="D146" i="5"/>
  <c r="C146" i="5"/>
  <c r="D157" i="5"/>
  <c r="C157" i="5"/>
  <c r="D201" i="5"/>
  <c r="C201" i="5"/>
  <c r="D290" i="5"/>
  <c r="C290" i="5"/>
  <c r="D338" i="5"/>
  <c r="H28" i="4" s="1"/>
  <c r="C338" i="5"/>
  <c r="G28" i="4" s="1"/>
  <c r="C196" i="6"/>
  <c r="D208" i="6"/>
  <c r="D196" i="6"/>
  <c r="C249" i="6"/>
  <c r="D261" i="6"/>
  <c r="D249" i="6"/>
  <c r="D57" i="7"/>
  <c r="C57" i="7"/>
  <c r="D29" i="5"/>
  <c r="D43" i="5"/>
  <c r="C43" i="5"/>
  <c r="D57" i="5"/>
  <c r="C57" i="5"/>
  <c r="C103" i="5"/>
  <c r="D103" i="5"/>
  <c r="D125" i="5"/>
  <c r="C125" i="5"/>
  <c r="C147" i="5"/>
  <c r="C148" i="5"/>
  <c r="D147" i="5"/>
  <c r="D158" i="5"/>
  <c r="C158" i="5"/>
  <c r="D169" i="5"/>
  <c r="C169" i="5"/>
  <c r="D213" i="5"/>
  <c r="C213" i="5"/>
  <c r="D115" i="6"/>
  <c r="C115" i="6"/>
  <c r="C51" i="5"/>
  <c r="D81" i="5"/>
  <c r="C81" i="5"/>
  <c r="C92" i="5"/>
  <c r="C115" i="5"/>
  <c r="D115" i="5"/>
  <c r="D137" i="5"/>
  <c r="C137" i="5"/>
  <c r="C159" i="5"/>
  <c r="C160" i="5"/>
  <c r="D159" i="5"/>
  <c r="D170" i="5"/>
  <c r="C170" i="5"/>
  <c r="D181" i="5"/>
  <c r="C181" i="5"/>
  <c r="D225" i="5"/>
  <c r="C225" i="5"/>
  <c r="D302" i="5"/>
  <c r="C302" i="5"/>
  <c r="D307" i="8"/>
  <c r="C307" i="8"/>
  <c r="D319" i="8"/>
  <c r="N9" i="4" s="1"/>
  <c r="C8" i="5"/>
  <c r="C44" i="5"/>
  <c r="D59" i="5"/>
  <c r="C59" i="5"/>
  <c r="D65" i="5"/>
  <c r="C65" i="5"/>
  <c r="D93" i="5"/>
  <c r="C93" i="5"/>
  <c r="C104" i="5"/>
  <c r="C127" i="5"/>
  <c r="D127" i="5"/>
  <c r="D149" i="5"/>
  <c r="C149" i="5"/>
  <c r="C171" i="5"/>
  <c r="C172" i="5"/>
  <c r="D171" i="5"/>
  <c r="D182" i="5"/>
  <c r="C182" i="5"/>
  <c r="D193" i="5"/>
  <c r="D237" i="5"/>
  <c r="C237" i="5"/>
  <c r="C291" i="5"/>
  <c r="C303" i="5"/>
  <c r="C315" i="5"/>
  <c r="G5" i="4" s="1"/>
  <c r="C327" i="5"/>
  <c r="G17" i="4" s="1"/>
  <c r="C339" i="5"/>
  <c r="G29" i="4" s="1"/>
  <c r="C355" i="5"/>
  <c r="G45" i="4" s="1"/>
  <c r="C371" i="5"/>
  <c r="G61" i="4" s="1"/>
  <c r="C39" i="6"/>
  <c r="D38" i="6"/>
  <c r="C89" i="6"/>
  <c r="D89" i="6"/>
  <c r="C156" i="6"/>
  <c r="D156" i="6"/>
  <c r="D202" i="6"/>
  <c r="D190" i="6"/>
  <c r="C190" i="6"/>
  <c r="D256" i="6"/>
  <c r="C276" i="6"/>
  <c r="D276" i="6"/>
  <c r="D24" i="7"/>
  <c r="C24" i="7"/>
  <c r="D32" i="7"/>
  <c r="C32" i="7"/>
  <c r="C59" i="7"/>
  <c r="D58" i="7"/>
  <c r="C58" i="7"/>
  <c r="C118" i="7"/>
  <c r="D130" i="7"/>
  <c r="D145" i="7"/>
  <c r="C145" i="7"/>
  <c r="C163" i="7"/>
  <c r="D175" i="7"/>
  <c r="D163" i="7"/>
  <c r="D173" i="7"/>
  <c r="C173" i="7"/>
  <c r="D200" i="7"/>
  <c r="C200" i="7"/>
  <c r="C26" i="10"/>
  <c r="D25" i="10"/>
  <c r="D37" i="10"/>
  <c r="C25" i="10"/>
  <c r="D70" i="5"/>
  <c r="C70" i="5"/>
  <c r="D279" i="5"/>
  <c r="C285" i="5"/>
  <c r="D291" i="5"/>
  <c r="D303" i="5"/>
  <c r="D19" i="6"/>
  <c r="C19" i="6"/>
  <c r="C32" i="6"/>
  <c r="D76" i="6"/>
  <c r="C111" i="6"/>
  <c r="D110" i="6"/>
  <c r="C130" i="6"/>
  <c r="D163" i="6"/>
  <c r="C163" i="6"/>
  <c r="C231" i="6"/>
  <c r="D230" i="6"/>
  <c r="C257" i="6"/>
  <c r="D269" i="6"/>
  <c r="D257" i="6"/>
  <c r="D283" i="6"/>
  <c r="C283" i="6"/>
  <c r="D33" i="7"/>
  <c r="C33" i="7"/>
  <c r="D84" i="7"/>
  <c r="C84" i="7"/>
  <c r="D92" i="7"/>
  <c r="C92" i="7"/>
  <c r="D128" i="7"/>
  <c r="C128" i="7"/>
  <c r="C146" i="7"/>
  <c r="C147" i="7"/>
  <c r="D146" i="7"/>
  <c r="D293" i="7"/>
  <c r="C293" i="7"/>
  <c r="C47" i="8"/>
  <c r="D47" i="8"/>
  <c r="C169" i="8"/>
  <c r="D168" i="8"/>
  <c r="D285" i="8"/>
  <c r="C285" i="8"/>
  <c r="D297" i="8"/>
  <c r="D168" i="9"/>
  <c r="D156" i="9"/>
  <c r="D225" i="19"/>
  <c r="C225" i="19"/>
  <c r="D237" i="19"/>
  <c r="C237" i="19"/>
  <c r="D249" i="19"/>
  <c r="C249" i="19"/>
  <c r="D261" i="19"/>
  <c r="C261" i="19"/>
  <c r="D273" i="19"/>
  <c r="C56" i="5"/>
  <c r="D88" i="5"/>
  <c r="D100" i="5"/>
  <c r="D112" i="5"/>
  <c r="D124" i="5"/>
  <c r="D136" i="5"/>
  <c r="D148" i="5"/>
  <c r="D160" i="5"/>
  <c r="D172" i="5"/>
  <c r="D184" i="5"/>
  <c r="D196" i="5"/>
  <c r="D208" i="5"/>
  <c r="D220" i="5"/>
  <c r="D232" i="5"/>
  <c r="D244" i="5"/>
  <c r="D256" i="5"/>
  <c r="D268" i="5"/>
  <c r="D280" i="5"/>
  <c r="D292" i="5"/>
  <c r="D304" i="5"/>
  <c r="D328" i="5"/>
  <c r="H18" i="4" s="1"/>
  <c r="D316" i="5"/>
  <c r="H6" i="4" s="1"/>
  <c r="D321" i="5"/>
  <c r="H11" i="4" s="1"/>
  <c r="D350" i="5"/>
  <c r="H40" i="4" s="1"/>
  <c r="C350" i="5"/>
  <c r="G40" i="4" s="1"/>
  <c r="D366" i="5"/>
  <c r="H56" i="4" s="1"/>
  <c r="C366" i="5"/>
  <c r="G56" i="4" s="1"/>
  <c r="D26" i="6"/>
  <c r="D32" i="6"/>
  <c r="D58" i="6"/>
  <c r="C46" i="6"/>
  <c r="C58" i="6"/>
  <c r="D64" i="6"/>
  <c r="C71" i="6"/>
  <c r="D83" i="6"/>
  <c r="C90" i="6"/>
  <c r="C110" i="6"/>
  <c r="D117" i="6"/>
  <c r="C137" i="6"/>
  <c r="D137" i="6"/>
  <c r="C191" i="6"/>
  <c r="D203" i="6"/>
  <c r="C230" i="6"/>
  <c r="D238" i="6"/>
  <c r="C238" i="6"/>
  <c r="D244" i="6"/>
  <c r="D271" i="6"/>
  <c r="D355" i="6"/>
  <c r="D45" i="4" s="1"/>
  <c r="C355" i="6"/>
  <c r="C45" i="4" s="1"/>
  <c r="C367" i="6"/>
  <c r="C57" i="4" s="1"/>
  <c r="D367" i="6"/>
  <c r="D57" i="4" s="1"/>
  <c r="C8" i="7"/>
  <c r="C35" i="7"/>
  <c r="D34" i="7"/>
  <c r="C34" i="7"/>
  <c r="D51" i="7"/>
  <c r="D93" i="7"/>
  <c r="C93" i="7"/>
  <c r="D165" i="7"/>
  <c r="C165" i="7"/>
  <c r="D192" i="7"/>
  <c r="C192" i="7"/>
  <c r="D220" i="7"/>
  <c r="C220" i="7"/>
  <c r="C255" i="7"/>
  <c r="C266" i="7"/>
  <c r="D266" i="7"/>
  <c r="D278" i="7"/>
  <c r="C267" i="7"/>
  <c r="C275" i="7"/>
  <c r="D283" i="7"/>
  <c r="C283" i="7"/>
  <c r="D55" i="8"/>
  <c r="C68" i="8"/>
  <c r="C168" i="8"/>
  <c r="C156" i="9"/>
  <c r="D336" i="9"/>
  <c r="L26" i="4" s="1"/>
  <c r="C336" i="9"/>
  <c r="K26" i="4" s="1"/>
  <c r="D194" i="12"/>
  <c r="C194" i="12"/>
  <c r="C195" i="12"/>
  <c r="C281" i="14"/>
  <c r="D281" i="14"/>
  <c r="D356" i="14"/>
  <c r="T46" i="4" s="1"/>
  <c r="C356" i="14"/>
  <c r="S46" i="4" s="1"/>
  <c r="C18" i="5"/>
  <c r="D42" i="5"/>
  <c r="C42" i="5"/>
  <c r="D66" i="5"/>
  <c r="C66" i="5"/>
  <c r="C71" i="5"/>
  <c r="D82" i="5"/>
  <c r="C82" i="5"/>
  <c r="D94" i="5"/>
  <c r="C94" i="5"/>
  <c r="D106" i="5"/>
  <c r="C106" i="5"/>
  <c r="D118" i="5"/>
  <c r="C118" i="5"/>
  <c r="D130" i="5"/>
  <c r="C130" i="5"/>
  <c r="D142" i="5"/>
  <c r="C142" i="5"/>
  <c r="D154" i="5"/>
  <c r="C154" i="5"/>
  <c r="D166" i="5"/>
  <c r="C166" i="5"/>
  <c r="D178" i="5"/>
  <c r="C178" i="5"/>
  <c r="D190" i="5"/>
  <c r="C190" i="5"/>
  <c r="D202" i="5"/>
  <c r="C202" i="5"/>
  <c r="D214" i="5"/>
  <c r="C214" i="5"/>
  <c r="D226" i="5"/>
  <c r="C226" i="5"/>
  <c r="D238" i="5"/>
  <c r="C238" i="5"/>
  <c r="D250" i="5"/>
  <c r="C250" i="5"/>
  <c r="D262" i="5"/>
  <c r="C262" i="5"/>
  <c r="D274" i="5"/>
  <c r="C274" i="5"/>
  <c r="C280" i="5"/>
  <c r="D286" i="5"/>
  <c r="C286" i="5"/>
  <c r="C292" i="5"/>
  <c r="D298" i="5"/>
  <c r="C298" i="5"/>
  <c r="C304" i="5"/>
  <c r="D310" i="5"/>
  <c r="C310" i="5"/>
  <c r="C316" i="5"/>
  <c r="G6" i="4" s="1"/>
  <c r="D322" i="5"/>
  <c r="H12" i="4" s="1"/>
  <c r="C322" i="5"/>
  <c r="G12" i="4" s="1"/>
  <c r="C328" i="5"/>
  <c r="G18" i="4" s="1"/>
  <c r="D334" i="5"/>
  <c r="H24" i="4" s="1"/>
  <c r="C334" i="5"/>
  <c r="G24" i="4" s="1"/>
  <c r="C340" i="5"/>
  <c r="G30" i="4" s="1"/>
  <c r="C356" i="5"/>
  <c r="G46" i="4" s="1"/>
  <c r="C12" i="6"/>
  <c r="C33" i="6"/>
  <c r="C65" i="6"/>
  <c r="D65" i="6"/>
  <c r="C84" i="6"/>
  <c r="D84" i="6"/>
  <c r="D130" i="6"/>
  <c r="D118" i="6"/>
  <c r="C118" i="6"/>
  <c r="D124" i="6"/>
  <c r="C159" i="6"/>
  <c r="D158" i="6"/>
  <c r="D177" i="6"/>
  <c r="D184" i="6"/>
  <c r="C204" i="6"/>
  <c r="D204" i="6"/>
  <c r="D211" i="6"/>
  <c r="C211" i="6"/>
  <c r="C258" i="6"/>
  <c r="D290" i="6"/>
  <c r="C279" i="6"/>
  <c r="D278" i="6"/>
  <c r="D304" i="6"/>
  <c r="C343" i="6"/>
  <c r="C33" i="4" s="1"/>
  <c r="D343" i="6"/>
  <c r="D33" i="4" s="1"/>
  <c r="C375" i="6"/>
  <c r="C65" i="4" s="1"/>
  <c r="D374" i="6"/>
  <c r="D64" i="4" s="1"/>
  <c r="D60" i="7"/>
  <c r="C60" i="7"/>
  <c r="D68" i="7"/>
  <c r="C68" i="7"/>
  <c r="C95" i="7"/>
  <c r="D94" i="7"/>
  <c r="C94" i="7"/>
  <c r="D111" i="7"/>
  <c r="C166" i="7"/>
  <c r="D178" i="7"/>
  <c r="D193" i="7"/>
  <c r="C193" i="7"/>
  <c r="C211" i="7"/>
  <c r="D223" i="7"/>
  <c r="D211" i="7"/>
  <c r="D221" i="7"/>
  <c r="C221" i="7"/>
  <c r="D248" i="7"/>
  <c r="C248" i="7"/>
  <c r="D316" i="7"/>
  <c r="F6" i="4" s="1"/>
  <c r="C316" i="7"/>
  <c r="E6" i="4" s="1"/>
  <c r="D40" i="8"/>
  <c r="C40" i="8"/>
  <c r="C153" i="8"/>
  <c r="D152" i="8"/>
  <c r="D286" i="10"/>
  <c r="C286" i="10"/>
  <c r="C81" i="12"/>
  <c r="D81" i="12"/>
  <c r="D348" i="13"/>
  <c r="P38" i="4" s="1"/>
  <c r="C348" i="13"/>
  <c r="O38" i="4" s="1"/>
  <c r="D360" i="13"/>
  <c r="P50" i="4" s="1"/>
  <c r="D86" i="14"/>
  <c r="C86" i="14"/>
  <c r="C87" i="14"/>
  <c r="D224" i="16"/>
  <c r="C224" i="16"/>
  <c r="D351" i="5"/>
  <c r="H41" i="4" s="1"/>
  <c r="D367" i="5"/>
  <c r="H57" i="4" s="1"/>
  <c r="D52" i="6"/>
  <c r="D78" i="6"/>
  <c r="D91" i="6"/>
  <c r="C91" i="6"/>
  <c r="D131" i="6"/>
  <c r="C185" i="6"/>
  <c r="D185" i="6"/>
  <c r="D362" i="6"/>
  <c r="D52" i="4" s="1"/>
  <c r="C351" i="6"/>
  <c r="C41" i="4" s="1"/>
  <c r="D350" i="6"/>
  <c r="D40" i="4" s="1"/>
  <c r="D69" i="7"/>
  <c r="C69" i="7"/>
  <c r="D149" i="7"/>
  <c r="C149" i="7"/>
  <c r="D176" i="7"/>
  <c r="C176" i="7"/>
  <c r="C194" i="7"/>
  <c r="C195" i="7"/>
  <c r="D194" i="7"/>
  <c r="D239" i="7"/>
  <c r="D267" i="7"/>
  <c r="C141" i="8"/>
  <c r="D140" i="8"/>
  <c r="D343" i="11"/>
  <c r="AF33" i="4" s="1"/>
  <c r="C343" i="11"/>
  <c r="AE33" i="4" s="1"/>
  <c r="D355" i="11"/>
  <c r="AF45" i="4" s="1"/>
  <c r="C63" i="12"/>
  <c r="D75" i="12"/>
  <c r="D63" i="12"/>
  <c r="D38" i="5"/>
  <c r="C38" i="5"/>
  <c r="D62" i="5"/>
  <c r="C62" i="5"/>
  <c r="D72" i="5"/>
  <c r="C173" i="5"/>
  <c r="D179" i="5"/>
  <c r="C185" i="5"/>
  <c r="D191" i="5"/>
  <c r="C197" i="5"/>
  <c r="D203" i="5"/>
  <c r="C209" i="5"/>
  <c r="D215" i="5"/>
  <c r="C221" i="5"/>
  <c r="D227" i="5"/>
  <c r="C233" i="5"/>
  <c r="D239" i="5"/>
  <c r="C245" i="5"/>
  <c r="D251" i="5"/>
  <c r="C257" i="5"/>
  <c r="D263" i="5"/>
  <c r="C269" i="5"/>
  <c r="D275" i="5"/>
  <c r="C281" i="5"/>
  <c r="D287" i="5"/>
  <c r="C293" i="5"/>
  <c r="D299" i="5"/>
  <c r="C305" i="5"/>
  <c r="D311" i="5"/>
  <c r="C317" i="5"/>
  <c r="G7" i="4" s="1"/>
  <c r="D323" i="5"/>
  <c r="H13" i="4" s="1"/>
  <c r="D335" i="5"/>
  <c r="H25" i="4" s="1"/>
  <c r="D346" i="5"/>
  <c r="H36" i="4" s="1"/>
  <c r="C346" i="5"/>
  <c r="G36" i="4" s="1"/>
  <c r="D362" i="5"/>
  <c r="H52" i="4" s="1"/>
  <c r="C362" i="5"/>
  <c r="G52" i="4" s="1"/>
  <c r="D378" i="5"/>
  <c r="C378" i="5"/>
  <c r="G68" i="4" s="1"/>
  <c r="D34" i="6"/>
  <c r="C22" i="6"/>
  <c r="D40" i="6"/>
  <c r="C47" i="6"/>
  <c r="D59" i="6"/>
  <c r="C66" i="6"/>
  <c r="D79" i="6"/>
  <c r="D105" i="6"/>
  <c r="C119" i="6"/>
  <c r="C132" i="6"/>
  <c r="D132" i="6"/>
  <c r="C146" i="6"/>
  <c r="D178" i="6"/>
  <c r="D166" i="6"/>
  <c r="C166" i="6"/>
  <c r="D172" i="6"/>
  <c r="D199" i="6"/>
  <c r="C252" i="6"/>
  <c r="D252" i="6"/>
  <c r="D259" i="6"/>
  <c r="C259" i="6"/>
  <c r="D331" i="6"/>
  <c r="D21" i="4" s="1"/>
  <c r="C331" i="6"/>
  <c r="C21" i="4" s="1"/>
  <c r="D36" i="7"/>
  <c r="C36" i="7"/>
  <c r="D44" i="7"/>
  <c r="C44" i="7"/>
  <c r="C71" i="7"/>
  <c r="D70" i="7"/>
  <c r="C70" i="7"/>
  <c r="D87" i="7"/>
  <c r="C122" i="7"/>
  <c r="D122" i="7"/>
  <c r="D134" i="7"/>
  <c r="C123" i="7"/>
  <c r="D139" i="7"/>
  <c r="C139" i="7"/>
  <c r="D213" i="7"/>
  <c r="C213" i="7"/>
  <c r="D240" i="7"/>
  <c r="C240" i="7"/>
  <c r="D268" i="7"/>
  <c r="C268" i="7"/>
  <c r="C129" i="8"/>
  <c r="D128" i="8"/>
  <c r="D211" i="8"/>
  <c r="C211" i="8"/>
  <c r="D223" i="8"/>
  <c r="C264" i="8"/>
  <c r="D263" i="8"/>
  <c r="C263" i="8"/>
  <c r="D275" i="8"/>
  <c r="D272" i="8"/>
  <c r="C272" i="8"/>
  <c r="D284" i="8"/>
  <c r="C280" i="8"/>
  <c r="D214" i="9"/>
  <c r="C214" i="9"/>
  <c r="C215" i="9"/>
  <c r="D261" i="9"/>
  <c r="D249" i="9"/>
  <c r="C72" i="5"/>
  <c r="D84" i="5"/>
  <c r="D96" i="5"/>
  <c r="D108" i="5"/>
  <c r="D120" i="5"/>
  <c r="D132" i="5"/>
  <c r="D144" i="5"/>
  <c r="D156" i="5"/>
  <c r="D168" i="5"/>
  <c r="D180" i="5"/>
  <c r="D192" i="5"/>
  <c r="D204" i="5"/>
  <c r="D216" i="5"/>
  <c r="D228" i="5"/>
  <c r="D240" i="5"/>
  <c r="D252" i="5"/>
  <c r="D264" i="5"/>
  <c r="D276" i="5"/>
  <c r="D288" i="5"/>
  <c r="D300" i="5"/>
  <c r="D312" i="5"/>
  <c r="D317" i="5"/>
  <c r="H7" i="4" s="1"/>
  <c r="D336" i="5"/>
  <c r="H26" i="4" s="1"/>
  <c r="D324" i="5"/>
  <c r="H14" i="4" s="1"/>
  <c r="C347" i="5"/>
  <c r="G37" i="4" s="1"/>
  <c r="C352" i="5"/>
  <c r="G42" i="4" s="1"/>
  <c r="C363" i="5"/>
  <c r="G53" i="4" s="1"/>
  <c r="D22" i="6"/>
  <c r="C41" i="6"/>
  <c r="D41" i="6"/>
  <c r="C60" i="6"/>
  <c r="D60" i="6"/>
  <c r="C79" i="6"/>
  <c r="C87" i="6"/>
  <c r="D86" i="6"/>
  <c r="C106" i="6"/>
  <c r="D112" i="6"/>
  <c r="D139" i="6"/>
  <c r="C139" i="6"/>
  <c r="D146" i="6"/>
  <c r="C186" i="6"/>
  <c r="C199" i="6"/>
  <c r="C207" i="6"/>
  <c r="D206" i="6"/>
  <c r="D213" i="6"/>
  <c r="D226" i="6"/>
  <c r="C233" i="6"/>
  <c r="D233" i="6"/>
  <c r="D19" i="7"/>
  <c r="D45" i="7"/>
  <c r="C45" i="7"/>
  <c r="C87" i="7"/>
  <c r="D96" i="7"/>
  <c r="C96" i="7"/>
  <c r="D104" i="7"/>
  <c r="C104" i="7"/>
  <c r="D158" i="7"/>
  <c r="C214" i="7"/>
  <c r="D226" i="7"/>
  <c r="D241" i="7"/>
  <c r="C241" i="7"/>
  <c r="C259" i="7"/>
  <c r="D271" i="7"/>
  <c r="D259" i="7"/>
  <c r="D269" i="7"/>
  <c r="C269" i="7"/>
  <c r="D296" i="7"/>
  <c r="C296" i="7"/>
  <c r="C117" i="8"/>
  <c r="D116" i="8"/>
  <c r="C128" i="8"/>
  <c r="D219" i="8"/>
  <c r="C219" i="8"/>
  <c r="C334" i="8"/>
  <c r="M24" i="4" s="1"/>
  <c r="D333" i="8"/>
  <c r="N23" i="4" s="1"/>
  <c r="C333" i="8"/>
  <c r="M23" i="4" s="1"/>
  <c r="D345" i="8"/>
  <c r="N35" i="4" s="1"/>
  <c r="D94" i="9"/>
  <c r="C94" i="9"/>
  <c r="D221" i="9"/>
  <c r="D209" i="9"/>
  <c r="C228" i="9"/>
  <c r="C249" i="9"/>
  <c r="D34" i="5"/>
  <c r="C34" i="5"/>
  <c r="D58" i="5"/>
  <c r="C58" i="5"/>
  <c r="D78" i="5"/>
  <c r="C78" i="5"/>
  <c r="D90" i="5"/>
  <c r="C90" i="5"/>
  <c r="D102" i="5"/>
  <c r="C102" i="5"/>
  <c r="D114" i="5"/>
  <c r="C114" i="5"/>
  <c r="D126" i="5"/>
  <c r="C126" i="5"/>
  <c r="D138" i="5"/>
  <c r="C138" i="5"/>
  <c r="D150" i="5"/>
  <c r="C150" i="5"/>
  <c r="D162" i="5"/>
  <c r="C162" i="5"/>
  <c r="D174" i="5"/>
  <c r="C174" i="5"/>
  <c r="C180" i="5"/>
  <c r="D186" i="5"/>
  <c r="C186" i="5"/>
  <c r="C192" i="5"/>
  <c r="D198" i="5"/>
  <c r="C198" i="5"/>
  <c r="C204" i="5"/>
  <c r="D210" i="5"/>
  <c r="C210" i="5"/>
  <c r="C216" i="5"/>
  <c r="D222" i="5"/>
  <c r="C222" i="5"/>
  <c r="C228" i="5"/>
  <c r="D234" i="5"/>
  <c r="C234" i="5"/>
  <c r="C240" i="5"/>
  <c r="D246" i="5"/>
  <c r="C246" i="5"/>
  <c r="C252" i="5"/>
  <c r="D258" i="5"/>
  <c r="C258" i="5"/>
  <c r="C264" i="5"/>
  <c r="D270" i="5"/>
  <c r="C270" i="5"/>
  <c r="C276" i="5"/>
  <c r="D282" i="5"/>
  <c r="C282" i="5"/>
  <c r="C288" i="5"/>
  <c r="D294" i="5"/>
  <c r="C294" i="5"/>
  <c r="C300" i="5"/>
  <c r="D306" i="5"/>
  <c r="C306" i="5"/>
  <c r="C312" i="5"/>
  <c r="D318" i="5"/>
  <c r="H8" i="4" s="1"/>
  <c r="C318" i="5"/>
  <c r="G8" i="4" s="1"/>
  <c r="C324" i="5"/>
  <c r="G14" i="4" s="1"/>
  <c r="D330" i="5"/>
  <c r="H20" i="4" s="1"/>
  <c r="C330" i="5"/>
  <c r="G20" i="4" s="1"/>
  <c r="C336" i="5"/>
  <c r="G26" i="4" s="1"/>
  <c r="D347" i="5"/>
  <c r="H37" i="4" s="1"/>
  <c r="D28" i="6"/>
  <c r="D54" i="6"/>
  <c r="D67" i="6"/>
  <c r="C67" i="6"/>
  <c r="C80" i="6"/>
  <c r="D93" i="6"/>
  <c r="C113" i="6"/>
  <c r="D113" i="6"/>
  <c r="D127" i="6"/>
  <c r="D153" i="6"/>
  <c r="C167" i="6"/>
  <c r="D214" i="6"/>
  <c r="C214" i="6"/>
  <c r="D247" i="6"/>
  <c r="D280" i="6"/>
  <c r="C319" i="6"/>
  <c r="C9" i="4" s="1"/>
  <c r="D319" i="6"/>
  <c r="D9" i="4" s="1"/>
  <c r="D338" i="6"/>
  <c r="D28" i="4" s="1"/>
  <c r="C327" i="6"/>
  <c r="C17" i="4" s="1"/>
  <c r="D326" i="6"/>
  <c r="D16" i="4" s="1"/>
  <c r="D20" i="7"/>
  <c r="C20" i="7"/>
  <c r="C47" i="7"/>
  <c r="D46" i="7"/>
  <c r="C46" i="7"/>
  <c r="D105" i="7"/>
  <c r="C105" i="7"/>
  <c r="D197" i="7"/>
  <c r="C197" i="7"/>
  <c r="D224" i="7"/>
  <c r="C224" i="7"/>
  <c r="C242" i="7"/>
  <c r="D242" i="7"/>
  <c r="D287" i="7"/>
  <c r="C105" i="8"/>
  <c r="D104" i="8"/>
  <c r="D56" i="9"/>
  <c r="C56" i="9"/>
  <c r="D68" i="9"/>
  <c r="D342" i="5"/>
  <c r="H32" i="4" s="1"/>
  <c r="C342" i="5"/>
  <c r="G32" i="4" s="1"/>
  <c r="D358" i="5"/>
  <c r="H48" i="4" s="1"/>
  <c r="C358" i="5"/>
  <c r="G48" i="4" s="1"/>
  <c r="D374" i="5"/>
  <c r="H64" i="4" s="1"/>
  <c r="C374" i="5"/>
  <c r="G64" i="4" s="1"/>
  <c r="C23" i="6"/>
  <c r="D55" i="6"/>
  <c r="D61" i="6"/>
  <c r="D106" i="6"/>
  <c r="D94" i="6"/>
  <c r="C94" i="6"/>
  <c r="D100" i="6"/>
  <c r="C135" i="6"/>
  <c r="D134" i="6"/>
  <c r="C180" i="6"/>
  <c r="D180" i="6"/>
  <c r="D187" i="6"/>
  <c r="C187" i="6"/>
  <c r="C255" i="6"/>
  <c r="D254" i="6"/>
  <c r="D274" i="6"/>
  <c r="D21" i="7"/>
  <c r="C21" i="7"/>
  <c r="D72" i="7"/>
  <c r="C72" i="7"/>
  <c r="D80" i="7"/>
  <c r="C80" i="7"/>
  <c r="C107" i="7"/>
  <c r="D106" i="7"/>
  <c r="C106" i="7"/>
  <c r="D124" i="7"/>
  <c r="C124" i="7"/>
  <c r="D151" i="7"/>
  <c r="C159" i="7"/>
  <c r="C170" i="7"/>
  <c r="D170" i="7"/>
  <c r="D182" i="7"/>
  <c r="C171" i="7"/>
  <c r="C179" i="7"/>
  <c r="D187" i="7"/>
  <c r="C187" i="7"/>
  <c r="D261" i="7"/>
  <c r="C261" i="7"/>
  <c r="D288" i="7"/>
  <c r="C288" i="7"/>
  <c r="D320" i="8"/>
  <c r="N10" i="4" s="1"/>
  <c r="C320" i="8"/>
  <c r="M10" i="4" s="1"/>
  <c r="D328" i="8"/>
  <c r="N18" i="4" s="1"/>
  <c r="C328" i="8"/>
  <c r="M18" i="4" s="1"/>
  <c r="D53" i="9"/>
  <c r="D41" i="9"/>
  <c r="D80" i="9"/>
  <c r="C80" i="9"/>
  <c r="D92" i="9"/>
  <c r="D152" i="9"/>
  <c r="C152" i="9"/>
  <c r="D164" i="9"/>
  <c r="D65" i="10"/>
  <c r="D53" i="10"/>
  <c r="C53" i="10"/>
  <c r="D231" i="10"/>
  <c r="C231" i="10"/>
  <c r="D243" i="10"/>
  <c r="D30" i="5"/>
  <c r="C30" i="5"/>
  <c r="D54" i="5"/>
  <c r="C54" i="5"/>
  <c r="C193" i="5"/>
  <c r="D199" i="5"/>
  <c r="C205" i="5"/>
  <c r="D211" i="5"/>
  <c r="C217" i="5"/>
  <c r="D223" i="5"/>
  <c r="C229" i="5"/>
  <c r="D235" i="5"/>
  <c r="C241" i="5"/>
  <c r="D247" i="5"/>
  <c r="C253" i="5"/>
  <c r="D259" i="5"/>
  <c r="C265" i="5"/>
  <c r="D271" i="5"/>
  <c r="C277" i="5"/>
  <c r="D283" i="5"/>
  <c r="C289" i="5"/>
  <c r="D295" i="5"/>
  <c r="C301" i="5"/>
  <c r="D307" i="5"/>
  <c r="C313" i="5"/>
  <c r="D319" i="5"/>
  <c r="H9" i="4" s="1"/>
  <c r="C325" i="5"/>
  <c r="G15" i="4" s="1"/>
  <c r="D331" i="5"/>
  <c r="H21" i="4" s="1"/>
  <c r="C359" i="5"/>
  <c r="G49" i="4" s="1"/>
  <c r="C375" i="5"/>
  <c r="G65" i="4" s="1"/>
  <c r="C36" i="6"/>
  <c r="D36" i="6"/>
  <c r="C63" i="6"/>
  <c r="D62" i="6"/>
  <c r="C114" i="6"/>
  <c r="C134" i="6"/>
  <c r="D141" i="6"/>
  <c r="C161" i="6"/>
  <c r="D161" i="6"/>
  <c r="C215" i="6"/>
  <c r="C254" i="6"/>
  <c r="D262" i="6"/>
  <c r="C262" i="6"/>
  <c r="D268" i="6"/>
  <c r="D307" i="6"/>
  <c r="C307" i="6"/>
  <c r="C23" i="7"/>
  <c r="D22" i="7"/>
  <c r="C22" i="7"/>
  <c r="D81" i="7"/>
  <c r="C81" i="7"/>
  <c r="C115" i="7"/>
  <c r="D127" i="7"/>
  <c r="D115" i="7"/>
  <c r="D125" i="7"/>
  <c r="C125" i="7"/>
  <c r="D152" i="7"/>
  <c r="C152" i="7"/>
  <c r="C262" i="7"/>
  <c r="D274" i="7"/>
  <c r="D289" i="7"/>
  <c r="C289" i="7"/>
  <c r="C93" i="8"/>
  <c r="D92" i="8"/>
  <c r="C306" i="8"/>
  <c r="D318" i="8"/>
  <c r="N8" i="4" s="1"/>
  <c r="C41" i="9"/>
  <c r="D77" i="9"/>
  <c r="D65" i="9"/>
  <c r="C65" i="9"/>
  <c r="D149" i="9"/>
  <c r="D137" i="9"/>
  <c r="C137" i="9"/>
  <c r="D125" i="10"/>
  <c r="D113" i="10"/>
  <c r="C209" i="10"/>
  <c r="D209" i="10"/>
  <c r="C210" i="10"/>
  <c r="D74" i="5"/>
  <c r="C74" i="5"/>
  <c r="D80" i="5"/>
  <c r="D92" i="5"/>
  <c r="D104" i="5"/>
  <c r="D116" i="5"/>
  <c r="D128" i="5"/>
  <c r="D140" i="5"/>
  <c r="D152" i="5"/>
  <c r="D164" i="5"/>
  <c r="D176" i="5"/>
  <c r="D188" i="5"/>
  <c r="D200" i="5"/>
  <c r="D212" i="5"/>
  <c r="D224" i="5"/>
  <c r="D236" i="5"/>
  <c r="D248" i="5"/>
  <c r="D260" i="5"/>
  <c r="D272" i="5"/>
  <c r="D284" i="5"/>
  <c r="D296" i="5"/>
  <c r="D308" i="5"/>
  <c r="D332" i="5"/>
  <c r="H22" i="4" s="1"/>
  <c r="D320" i="5"/>
  <c r="H10" i="4" s="1"/>
  <c r="D325" i="5"/>
  <c r="H15" i="4" s="1"/>
  <c r="D343" i="5"/>
  <c r="H33" i="4" s="1"/>
  <c r="D43" i="6"/>
  <c r="C43" i="6"/>
  <c r="D69" i="6"/>
  <c r="C108" i="6"/>
  <c r="D108" i="6"/>
  <c r="D154" i="6"/>
  <c r="D142" i="6"/>
  <c r="C142" i="6"/>
  <c r="D148" i="6"/>
  <c r="D175" i="6"/>
  <c r="D201" i="6"/>
  <c r="C228" i="6"/>
  <c r="D228" i="6"/>
  <c r="D235" i="6"/>
  <c r="C235" i="6"/>
  <c r="D242" i="6"/>
  <c r="D48" i="7"/>
  <c r="C48" i="7"/>
  <c r="D56" i="7"/>
  <c r="C56" i="7"/>
  <c r="C83" i="7"/>
  <c r="D82" i="7"/>
  <c r="C82" i="7"/>
  <c r="D245" i="7"/>
  <c r="C245" i="7"/>
  <c r="D272" i="7"/>
  <c r="C272" i="7"/>
  <c r="C290" i="7"/>
  <c r="D290" i="7"/>
  <c r="D320" i="7"/>
  <c r="F10" i="4" s="1"/>
  <c r="C320" i="7"/>
  <c r="E10" i="4" s="1"/>
  <c r="C19" i="8"/>
  <c r="D19" i="8"/>
  <c r="D59" i="8"/>
  <c r="D26" i="9"/>
  <c r="C26" i="9"/>
  <c r="D50" i="9"/>
  <c r="C50" i="9"/>
  <c r="D122" i="9"/>
  <c r="C122" i="9"/>
  <c r="D170" i="9"/>
  <c r="C170" i="9"/>
  <c r="D176" i="9"/>
  <c r="C176" i="9"/>
  <c r="D188" i="9"/>
  <c r="C113" i="10"/>
  <c r="C286" i="6"/>
  <c r="D300" i="6"/>
  <c r="C310" i="6"/>
  <c r="D324" i="6"/>
  <c r="D14" i="4" s="1"/>
  <c r="C334" i="6"/>
  <c r="C24" i="4" s="1"/>
  <c r="C358" i="6"/>
  <c r="C48" i="4" s="1"/>
  <c r="C19" i="7"/>
  <c r="C31" i="7"/>
  <c r="C43" i="7"/>
  <c r="C55" i="7"/>
  <c r="C67" i="7"/>
  <c r="C79" i="7"/>
  <c r="C91" i="7"/>
  <c r="C103" i="7"/>
  <c r="C130" i="7"/>
  <c r="D136" i="7"/>
  <c r="C136" i="7"/>
  <c r="C143" i="7"/>
  <c r="D150" i="7"/>
  <c r="D157" i="7"/>
  <c r="C157" i="7"/>
  <c r="C178" i="7"/>
  <c r="D184" i="7"/>
  <c r="C184" i="7"/>
  <c r="C191" i="7"/>
  <c r="D198" i="7"/>
  <c r="D205" i="7"/>
  <c r="C205" i="7"/>
  <c r="C226" i="7"/>
  <c r="D232" i="7"/>
  <c r="C232" i="7"/>
  <c r="C239" i="7"/>
  <c r="D246" i="7"/>
  <c r="D253" i="7"/>
  <c r="C253" i="7"/>
  <c r="C274" i="7"/>
  <c r="D280" i="7"/>
  <c r="C280" i="7"/>
  <c r="C287" i="7"/>
  <c r="D294" i="7"/>
  <c r="D301" i="7"/>
  <c r="D27" i="8"/>
  <c r="D48" i="8"/>
  <c r="C60" i="8"/>
  <c r="C157" i="8"/>
  <c r="D156" i="8"/>
  <c r="C173" i="8"/>
  <c r="D172" i="8"/>
  <c r="D189" i="8"/>
  <c r="C189" i="8"/>
  <c r="C210" i="8"/>
  <c r="D222" i="8"/>
  <c r="C250" i="8"/>
  <c r="C251" i="8"/>
  <c r="D250" i="8"/>
  <c r="C311" i="8"/>
  <c r="D368" i="8"/>
  <c r="N58" i="4" s="1"/>
  <c r="C368" i="8"/>
  <c r="M58" i="4" s="1"/>
  <c r="D375" i="8"/>
  <c r="N65" i="4" s="1"/>
  <c r="D32" i="9"/>
  <c r="C32" i="9"/>
  <c r="D44" i="9"/>
  <c r="C108" i="9"/>
  <c r="D146" i="9"/>
  <c r="C146" i="9"/>
  <c r="D173" i="9"/>
  <c r="D161" i="9"/>
  <c r="D245" i="9"/>
  <c r="D233" i="9"/>
  <c r="C13" i="11"/>
  <c r="C85" i="6"/>
  <c r="C104" i="6"/>
  <c r="C109" i="6"/>
  <c r="C128" i="6"/>
  <c r="C133" i="6"/>
  <c r="C152" i="6"/>
  <c r="C157" i="6"/>
  <c r="C176" i="6"/>
  <c r="C181" i="6"/>
  <c r="C200" i="6"/>
  <c r="C205" i="6"/>
  <c r="C224" i="6"/>
  <c r="C229" i="6"/>
  <c r="C248" i="6"/>
  <c r="C253" i="6"/>
  <c r="C272" i="6"/>
  <c r="C277" i="6"/>
  <c r="C296" i="6"/>
  <c r="C301" i="6"/>
  <c r="C315" i="6"/>
  <c r="C5" i="4" s="1"/>
  <c r="C320" i="6"/>
  <c r="C10" i="4" s="1"/>
  <c r="C325" i="6"/>
  <c r="C15" i="4" s="1"/>
  <c r="C339" i="6"/>
  <c r="C29" i="4" s="1"/>
  <c r="C344" i="6"/>
  <c r="C34" i="4" s="1"/>
  <c r="C363" i="6"/>
  <c r="C53" i="4" s="1"/>
  <c r="D116" i="7"/>
  <c r="C116" i="7"/>
  <c r="D137" i="7"/>
  <c r="C137" i="7"/>
  <c r="D164" i="7"/>
  <c r="C164" i="7"/>
  <c r="D185" i="7"/>
  <c r="C185" i="7"/>
  <c r="D212" i="7"/>
  <c r="C212" i="7"/>
  <c r="D233" i="7"/>
  <c r="C233" i="7"/>
  <c r="D260" i="7"/>
  <c r="C260" i="7"/>
  <c r="D281" i="7"/>
  <c r="C281" i="7"/>
  <c r="D308" i="7"/>
  <c r="C308" i="7"/>
  <c r="D328" i="7"/>
  <c r="F18" i="4" s="1"/>
  <c r="C328" i="7"/>
  <c r="E18" i="4" s="1"/>
  <c r="D340" i="7"/>
  <c r="F30" i="4" s="1"/>
  <c r="C340" i="7"/>
  <c r="E30" i="4" s="1"/>
  <c r="D352" i="7"/>
  <c r="F42" i="4" s="1"/>
  <c r="C352" i="7"/>
  <c r="E42" i="4" s="1"/>
  <c r="D364" i="7"/>
  <c r="F54" i="4" s="1"/>
  <c r="C364" i="7"/>
  <c r="E54" i="4" s="1"/>
  <c r="D376" i="7"/>
  <c r="F66" i="4" s="1"/>
  <c r="C376" i="7"/>
  <c r="E66" i="4" s="1"/>
  <c r="C20" i="8"/>
  <c r="C48" i="8"/>
  <c r="C156" i="8"/>
  <c r="C172" i="8"/>
  <c r="D210" i="8"/>
  <c r="D224" i="8"/>
  <c r="C224" i="8"/>
  <c r="D237" i="8"/>
  <c r="C237" i="8"/>
  <c r="C258" i="8"/>
  <c r="D270" i="8"/>
  <c r="C298" i="8"/>
  <c r="C299" i="8"/>
  <c r="D298" i="8"/>
  <c r="D70" i="9"/>
  <c r="C70" i="9"/>
  <c r="D108" i="9"/>
  <c r="D159" i="9"/>
  <c r="C148" i="9"/>
  <c r="D147" i="9"/>
  <c r="C161" i="9"/>
  <c r="C233" i="9"/>
  <c r="D254" i="9"/>
  <c r="C254" i="9"/>
  <c r="C255" i="9"/>
  <c r="D239" i="10"/>
  <c r="C239" i="10"/>
  <c r="C261" i="10"/>
  <c r="D273" i="10"/>
  <c r="D261" i="10"/>
  <c r="C24" i="6"/>
  <c r="C29" i="6"/>
  <c r="C48" i="6"/>
  <c r="C53" i="6"/>
  <c r="C72" i="6"/>
  <c r="C77" i="6"/>
  <c r="C96" i="6"/>
  <c r="C101" i="6"/>
  <c r="C120" i="6"/>
  <c r="C125" i="6"/>
  <c r="C144" i="6"/>
  <c r="C149" i="6"/>
  <c r="C168" i="6"/>
  <c r="C173" i="6"/>
  <c r="C192" i="6"/>
  <c r="C197" i="6"/>
  <c r="C216" i="6"/>
  <c r="C221" i="6"/>
  <c r="C240" i="6"/>
  <c r="C245" i="6"/>
  <c r="C264" i="6"/>
  <c r="C269" i="6"/>
  <c r="C288" i="6"/>
  <c r="C293" i="6"/>
  <c r="C312" i="6"/>
  <c r="C317" i="6"/>
  <c r="C7" i="4" s="1"/>
  <c r="C336" i="6"/>
  <c r="C26" i="4" s="1"/>
  <c r="C15" i="7"/>
  <c r="C126" i="7"/>
  <c r="D132" i="7"/>
  <c r="C132" i="7"/>
  <c r="D153" i="7"/>
  <c r="C153" i="7"/>
  <c r="C174" i="7"/>
  <c r="D180" i="7"/>
  <c r="C180" i="7"/>
  <c r="D201" i="7"/>
  <c r="C201" i="7"/>
  <c r="C222" i="7"/>
  <c r="D228" i="7"/>
  <c r="C228" i="7"/>
  <c r="D249" i="7"/>
  <c r="C249" i="7"/>
  <c r="C270" i="7"/>
  <c r="D276" i="7"/>
  <c r="C276" i="7"/>
  <c r="D297" i="7"/>
  <c r="D324" i="7"/>
  <c r="F14" i="4" s="1"/>
  <c r="C324" i="7"/>
  <c r="E14" i="4" s="1"/>
  <c r="D336" i="7"/>
  <c r="F26" i="4" s="1"/>
  <c r="C336" i="7"/>
  <c r="E26" i="4" s="1"/>
  <c r="D348" i="7"/>
  <c r="F38" i="4" s="1"/>
  <c r="C348" i="7"/>
  <c r="E38" i="4" s="1"/>
  <c r="D360" i="7"/>
  <c r="F50" i="4" s="1"/>
  <c r="C360" i="7"/>
  <c r="E50" i="4" s="1"/>
  <c r="D372" i="7"/>
  <c r="F62" i="4" s="1"/>
  <c r="C372" i="7"/>
  <c r="E62" i="4" s="1"/>
  <c r="C15" i="8"/>
  <c r="D44" i="8"/>
  <c r="D205" i="8"/>
  <c r="D63" i="9"/>
  <c r="C52" i="9"/>
  <c r="D51" i="9"/>
  <c r="D118" i="9"/>
  <c r="C118" i="9"/>
  <c r="D190" i="9"/>
  <c r="C190" i="9"/>
  <c r="C191" i="9"/>
  <c r="D334" i="10"/>
  <c r="X24" i="4" s="1"/>
  <c r="D322" i="10"/>
  <c r="X12" i="4" s="1"/>
  <c r="D82" i="12"/>
  <c r="C82" i="12"/>
  <c r="D100" i="12"/>
  <c r="C100" i="12"/>
  <c r="D204" i="13"/>
  <c r="C204" i="13"/>
  <c r="D216" i="13"/>
  <c r="D309" i="13"/>
  <c r="C309" i="13"/>
  <c r="D321" i="13"/>
  <c r="P11" i="4" s="1"/>
  <c r="D24" i="6"/>
  <c r="D29" i="6"/>
  <c r="D48" i="6"/>
  <c r="D53" i="6"/>
  <c r="D72" i="6"/>
  <c r="D77" i="6"/>
  <c r="D96" i="6"/>
  <c r="D101" i="6"/>
  <c r="D120" i="6"/>
  <c r="D125" i="6"/>
  <c r="D144" i="6"/>
  <c r="D149" i="6"/>
  <c r="D168" i="6"/>
  <c r="D173" i="6"/>
  <c r="D192" i="6"/>
  <c r="D197" i="6"/>
  <c r="D216" i="6"/>
  <c r="D221" i="6"/>
  <c r="C226" i="6"/>
  <c r="D240" i="6"/>
  <c r="D245" i="6"/>
  <c r="C250" i="6"/>
  <c r="D264" i="6"/>
  <c r="C274" i="6"/>
  <c r="D288" i="6"/>
  <c r="C298" i="6"/>
  <c r="D312" i="6"/>
  <c r="C322" i="6"/>
  <c r="C12" i="4" s="1"/>
  <c r="D336" i="6"/>
  <c r="D26" i="4" s="1"/>
  <c r="C346" i="6"/>
  <c r="C36" i="4" s="1"/>
  <c r="C370" i="6"/>
  <c r="C60" i="4" s="1"/>
  <c r="D28" i="7"/>
  <c r="C28" i="7"/>
  <c r="D40" i="7"/>
  <c r="C40" i="7"/>
  <c r="D52" i="7"/>
  <c r="C52" i="7"/>
  <c r="D64" i="7"/>
  <c r="C64" i="7"/>
  <c r="D76" i="7"/>
  <c r="C76" i="7"/>
  <c r="D88" i="7"/>
  <c r="C88" i="7"/>
  <c r="D100" i="7"/>
  <c r="C100" i="7"/>
  <c r="D112" i="7"/>
  <c r="C112" i="7"/>
  <c r="C119" i="7"/>
  <c r="D126" i="7"/>
  <c r="D133" i="7"/>
  <c r="C133" i="7"/>
  <c r="C154" i="7"/>
  <c r="D160" i="7"/>
  <c r="C160" i="7"/>
  <c r="C167" i="7"/>
  <c r="D174" i="7"/>
  <c r="D181" i="7"/>
  <c r="C181" i="7"/>
  <c r="C202" i="7"/>
  <c r="D208" i="7"/>
  <c r="C208" i="7"/>
  <c r="C215" i="7"/>
  <c r="D222" i="7"/>
  <c r="D229" i="7"/>
  <c r="C229" i="7"/>
  <c r="C250" i="7"/>
  <c r="D256" i="7"/>
  <c r="C256" i="7"/>
  <c r="C263" i="7"/>
  <c r="D270" i="7"/>
  <c r="D277" i="7"/>
  <c r="C277" i="7"/>
  <c r="D304" i="7"/>
  <c r="C304" i="7"/>
  <c r="C373" i="7"/>
  <c r="E63" i="4" s="1"/>
  <c r="D23" i="8"/>
  <c r="C44" i="8"/>
  <c r="D51" i="8"/>
  <c r="D63" i="8"/>
  <c r="D75" i="8"/>
  <c r="D87" i="8"/>
  <c r="D99" i="8"/>
  <c r="C165" i="8"/>
  <c r="D164" i="8"/>
  <c r="C181" i="8"/>
  <c r="D180" i="8"/>
  <c r="C193" i="8"/>
  <c r="D253" i="8"/>
  <c r="C267" i="8"/>
  <c r="C360" i="8"/>
  <c r="M50" i="4" s="1"/>
  <c r="D359" i="8"/>
  <c r="N49" i="4" s="1"/>
  <c r="C373" i="8"/>
  <c r="M63" i="4" s="1"/>
  <c r="D372" i="8"/>
  <c r="N62" i="4" s="1"/>
  <c r="C36" i="9"/>
  <c r="C51" i="9"/>
  <c r="D74" i="9"/>
  <c r="C74" i="9"/>
  <c r="D101" i="9"/>
  <c r="D89" i="9"/>
  <c r="D104" i="9"/>
  <c r="C104" i="9"/>
  <c r="D116" i="9"/>
  <c r="D197" i="9"/>
  <c r="D185" i="9"/>
  <c r="C204" i="9"/>
  <c r="C370" i="9"/>
  <c r="K60" i="4" s="1"/>
  <c r="D94" i="10"/>
  <c r="D82" i="10"/>
  <c r="D298" i="10"/>
  <c r="C322" i="10"/>
  <c r="W12" i="4" s="1"/>
  <c r="C132" i="11"/>
  <c r="D144" i="11"/>
  <c r="C20" i="6"/>
  <c r="C44" i="6"/>
  <c r="C68" i="6"/>
  <c r="C92" i="6"/>
  <c r="C116" i="6"/>
  <c r="C140" i="6"/>
  <c r="C164" i="6"/>
  <c r="C188" i="6"/>
  <c r="C212" i="6"/>
  <c r="C236" i="6"/>
  <c r="C241" i="6"/>
  <c r="C260" i="6"/>
  <c r="C265" i="6"/>
  <c r="C284" i="6"/>
  <c r="C289" i="6"/>
  <c r="C308" i="6"/>
  <c r="C313" i="6"/>
  <c r="C332" i="6"/>
  <c r="C22" i="4" s="1"/>
  <c r="C9" i="7"/>
  <c r="D29" i="7"/>
  <c r="C29" i="7"/>
  <c r="D41" i="7"/>
  <c r="C41" i="7"/>
  <c r="D53" i="7"/>
  <c r="C53" i="7"/>
  <c r="D65" i="7"/>
  <c r="C65" i="7"/>
  <c r="D77" i="7"/>
  <c r="C77" i="7"/>
  <c r="D89" i="7"/>
  <c r="C89" i="7"/>
  <c r="D101" i="7"/>
  <c r="C101" i="7"/>
  <c r="D113" i="7"/>
  <c r="C113" i="7"/>
  <c r="D140" i="7"/>
  <c r="C140" i="7"/>
  <c r="D154" i="7"/>
  <c r="D161" i="7"/>
  <c r="C161" i="7"/>
  <c r="D188" i="7"/>
  <c r="C188" i="7"/>
  <c r="D202" i="7"/>
  <c r="D209" i="7"/>
  <c r="C209" i="7"/>
  <c r="D236" i="7"/>
  <c r="C236" i="7"/>
  <c r="D250" i="7"/>
  <c r="D257" i="7"/>
  <c r="C257" i="7"/>
  <c r="C278" i="7"/>
  <c r="D284" i="7"/>
  <c r="C284" i="7"/>
  <c r="D298" i="7"/>
  <c r="D305" i="7"/>
  <c r="D31" i="8"/>
  <c r="D52" i="8"/>
  <c r="D64" i="8"/>
  <c r="D76" i="8"/>
  <c r="C89" i="8"/>
  <c r="D88" i="8"/>
  <c r="C101" i="8"/>
  <c r="D100" i="8"/>
  <c r="C113" i="8"/>
  <c r="D112" i="8"/>
  <c r="C125" i="8"/>
  <c r="D124" i="8"/>
  <c r="C137" i="8"/>
  <c r="D136" i="8"/>
  <c r="C149" i="8"/>
  <c r="D148" i="8"/>
  <c r="C164" i="8"/>
  <c r="C180" i="8"/>
  <c r="D206" i="8"/>
  <c r="C229" i="8"/>
  <c r="D228" i="8"/>
  <c r="C241" i="8"/>
  <c r="D301" i="8"/>
  <c r="C341" i="8"/>
  <c r="M31" i="4" s="1"/>
  <c r="C359" i="8"/>
  <c r="M49" i="4" s="1"/>
  <c r="C372" i="8"/>
  <c r="M62" i="4" s="1"/>
  <c r="D36" i="9"/>
  <c r="D87" i="9"/>
  <c r="C76" i="9"/>
  <c r="D75" i="9"/>
  <c r="C89" i="9"/>
  <c r="D142" i="9"/>
  <c r="C142" i="9"/>
  <c r="C185" i="9"/>
  <c r="D204" i="9"/>
  <c r="C244" i="9"/>
  <c r="C245" i="9"/>
  <c r="D244" i="9"/>
  <c r="C265" i="9"/>
  <c r="D67" i="10"/>
  <c r="C67" i="10"/>
  <c r="C82" i="10"/>
  <c r="C291" i="10"/>
  <c r="D132" i="11"/>
  <c r="C168" i="11"/>
  <c r="D180" i="11"/>
  <c r="C169" i="11"/>
  <c r="D168" i="11"/>
  <c r="C247" i="11"/>
  <c r="D259" i="11"/>
  <c r="D247" i="11"/>
  <c r="D20" i="6"/>
  <c r="D25" i="6"/>
  <c r="D44" i="6"/>
  <c r="D49" i="6"/>
  <c r="D68" i="6"/>
  <c r="D73" i="6"/>
  <c r="D92" i="6"/>
  <c r="D97" i="6"/>
  <c r="D116" i="6"/>
  <c r="D121" i="6"/>
  <c r="D140" i="6"/>
  <c r="D145" i="6"/>
  <c r="D164" i="6"/>
  <c r="D169" i="6"/>
  <c r="D188" i="6"/>
  <c r="D193" i="6"/>
  <c r="D212" i="6"/>
  <c r="D217" i="6"/>
  <c r="D236" i="6"/>
  <c r="D241" i="6"/>
  <c r="D260" i="6"/>
  <c r="D265" i="6"/>
  <c r="D284" i="6"/>
  <c r="D308" i="6"/>
  <c r="D332" i="6"/>
  <c r="D22" i="4" s="1"/>
  <c r="D120" i="7"/>
  <c r="C120" i="7"/>
  <c r="D141" i="7"/>
  <c r="C141" i="7"/>
  <c r="D168" i="7"/>
  <c r="C168" i="7"/>
  <c r="D189" i="7"/>
  <c r="C189" i="7"/>
  <c r="D216" i="7"/>
  <c r="C216" i="7"/>
  <c r="D237" i="7"/>
  <c r="C237" i="7"/>
  <c r="D264" i="7"/>
  <c r="C264" i="7"/>
  <c r="D285" i="7"/>
  <c r="C285" i="7"/>
  <c r="D312" i="7"/>
  <c r="C312" i="7"/>
  <c r="D32" i="8"/>
  <c r="C277" i="8"/>
  <c r="D276" i="8"/>
  <c r="D22" i="9"/>
  <c r="C22" i="9"/>
  <c r="D98" i="9"/>
  <c r="C98" i="9"/>
  <c r="D125" i="9"/>
  <c r="D113" i="9"/>
  <c r="D128" i="9"/>
  <c r="C128" i="9"/>
  <c r="D140" i="9"/>
  <c r="D218" i="9"/>
  <c r="C218" i="9"/>
  <c r="D236" i="9"/>
  <c r="D224" i="9"/>
  <c r="C224" i="9"/>
  <c r="D349" i="9"/>
  <c r="L39" i="4" s="1"/>
  <c r="C349" i="9"/>
  <c r="K39" i="4" s="1"/>
  <c r="D361" i="9"/>
  <c r="L51" i="4" s="1"/>
  <c r="D80" i="10"/>
  <c r="D68" i="10"/>
  <c r="C118" i="11"/>
  <c r="D117" i="11"/>
  <c r="D121" i="7"/>
  <c r="C121" i="7"/>
  <c r="D148" i="7"/>
  <c r="C148" i="7"/>
  <c r="D169" i="7"/>
  <c r="C169" i="7"/>
  <c r="D196" i="7"/>
  <c r="C196" i="7"/>
  <c r="D217" i="7"/>
  <c r="C217" i="7"/>
  <c r="D244" i="7"/>
  <c r="C244" i="7"/>
  <c r="D265" i="7"/>
  <c r="C265" i="7"/>
  <c r="D292" i="7"/>
  <c r="C292" i="7"/>
  <c r="D332" i="7"/>
  <c r="F22" i="4" s="1"/>
  <c r="C332" i="7"/>
  <c r="E22" i="4" s="1"/>
  <c r="D344" i="7"/>
  <c r="F34" i="4" s="1"/>
  <c r="C344" i="7"/>
  <c r="E34" i="4" s="1"/>
  <c r="D356" i="7"/>
  <c r="F46" i="4" s="1"/>
  <c r="C356" i="7"/>
  <c r="E46" i="4" s="1"/>
  <c r="D368" i="7"/>
  <c r="F58" i="4" s="1"/>
  <c r="C368" i="7"/>
  <c r="E58" i="4" s="1"/>
  <c r="D25" i="8"/>
  <c r="C32" i="8"/>
  <c r="D39" i="8"/>
  <c r="C161" i="8"/>
  <c r="D160" i="8"/>
  <c r="C177" i="8"/>
  <c r="D176" i="8"/>
  <c r="C216" i="8"/>
  <c r="D215" i="8"/>
  <c r="D262" i="8"/>
  <c r="C276" i="8"/>
  <c r="D302" i="8"/>
  <c r="C325" i="8"/>
  <c r="M15" i="4" s="1"/>
  <c r="D324" i="8"/>
  <c r="N14" i="4" s="1"/>
  <c r="D111" i="9"/>
  <c r="C100" i="9"/>
  <c r="D99" i="9"/>
  <c r="C113" i="9"/>
  <c r="D166" i="9"/>
  <c r="C166" i="9"/>
  <c r="C167" i="9"/>
  <c r="C180" i="9"/>
  <c r="D238" i="9"/>
  <c r="C238" i="9"/>
  <c r="C239" i="9"/>
  <c r="C350" i="9"/>
  <c r="K40" i="4" s="1"/>
  <c r="C357" i="9"/>
  <c r="K47" i="4" s="1"/>
  <c r="C68" i="10"/>
  <c r="C156" i="10"/>
  <c r="C117" i="11"/>
  <c r="D25" i="7"/>
  <c r="C25" i="7"/>
  <c r="D37" i="7"/>
  <c r="C37" i="7"/>
  <c r="D49" i="7"/>
  <c r="C49" i="7"/>
  <c r="D61" i="7"/>
  <c r="C61" i="7"/>
  <c r="D73" i="7"/>
  <c r="C73" i="7"/>
  <c r="D85" i="7"/>
  <c r="C85" i="7"/>
  <c r="D97" i="7"/>
  <c r="C97" i="7"/>
  <c r="D109" i="7"/>
  <c r="C109" i="7"/>
  <c r="D129" i="7"/>
  <c r="C129" i="7"/>
  <c r="C150" i="7"/>
  <c r="D156" i="7"/>
  <c r="C156" i="7"/>
  <c r="D177" i="7"/>
  <c r="C177" i="7"/>
  <c r="C198" i="7"/>
  <c r="D204" i="7"/>
  <c r="C204" i="7"/>
  <c r="D225" i="7"/>
  <c r="C225" i="7"/>
  <c r="C246" i="7"/>
  <c r="D252" i="7"/>
  <c r="C252" i="7"/>
  <c r="D273" i="7"/>
  <c r="C273" i="7"/>
  <c r="C294" i="7"/>
  <c r="D300" i="7"/>
  <c r="C300" i="7"/>
  <c r="D72" i="8"/>
  <c r="C85" i="8"/>
  <c r="D84" i="8"/>
  <c r="C97" i="8"/>
  <c r="D96" i="8"/>
  <c r="C109" i="8"/>
  <c r="D108" i="8"/>
  <c r="C121" i="8"/>
  <c r="D120" i="8"/>
  <c r="C133" i="8"/>
  <c r="D132" i="8"/>
  <c r="C145" i="8"/>
  <c r="D144" i="8"/>
  <c r="C202" i="8"/>
  <c r="C203" i="8"/>
  <c r="D202" i="8"/>
  <c r="C312" i="8"/>
  <c r="D311" i="8"/>
  <c r="C338" i="8"/>
  <c r="M28" i="4" s="1"/>
  <c r="D337" i="8"/>
  <c r="N27" i="4" s="1"/>
  <c r="D355" i="8"/>
  <c r="N45" i="4" s="1"/>
  <c r="C355" i="8"/>
  <c r="M45" i="4" s="1"/>
  <c r="D367" i="8"/>
  <c r="N57" i="4" s="1"/>
  <c r="C18" i="9"/>
  <c r="D29" i="9"/>
  <c r="C17" i="9"/>
  <c r="D46" i="9"/>
  <c r="C46" i="9"/>
  <c r="D135" i="9"/>
  <c r="C124" i="9"/>
  <c r="D123" i="9"/>
  <c r="D194" i="9"/>
  <c r="C194" i="9"/>
  <c r="D200" i="9"/>
  <c r="C200" i="9"/>
  <c r="D212" i="9"/>
  <c r="D272" i="9"/>
  <c r="C260" i="9"/>
  <c r="C261" i="9"/>
  <c r="D260" i="9"/>
  <c r="D296" i="9"/>
  <c r="D308" i="9"/>
  <c r="D30" i="10"/>
  <c r="C30" i="10"/>
  <c r="D42" i="10"/>
  <c r="D187" i="8"/>
  <c r="D30" i="9"/>
  <c r="C30" i="9"/>
  <c r="D54" i="9"/>
  <c r="C54" i="9"/>
  <c r="D78" i="9"/>
  <c r="C78" i="9"/>
  <c r="D102" i="9"/>
  <c r="C102" i="9"/>
  <c r="D126" i="9"/>
  <c r="C126" i="9"/>
  <c r="D150" i="9"/>
  <c r="C150" i="9"/>
  <c r="D174" i="9"/>
  <c r="C174" i="9"/>
  <c r="D198" i="9"/>
  <c r="C198" i="9"/>
  <c r="D222" i="9"/>
  <c r="C222" i="9"/>
  <c r="D242" i="9"/>
  <c r="C242" i="9"/>
  <c r="D258" i="9"/>
  <c r="C258" i="9"/>
  <c r="D287" i="9"/>
  <c r="D301" i="9"/>
  <c r="C301" i="9"/>
  <c r="C327" i="9"/>
  <c r="K17" i="4" s="1"/>
  <c r="C328" i="9"/>
  <c r="K18" i="4" s="1"/>
  <c r="D327" i="9"/>
  <c r="L17" i="4" s="1"/>
  <c r="C348" i="9"/>
  <c r="K38" i="4" s="1"/>
  <c r="C374" i="9"/>
  <c r="K64" i="4" s="1"/>
  <c r="C74" i="10"/>
  <c r="D73" i="10"/>
  <c r="D85" i="10"/>
  <c r="D87" i="10"/>
  <c r="C87" i="10"/>
  <c r="C118" i="10"/>
  <c r="C274" i="10"/>
  <c r="C335" i="10"/>
  <c r="W25" i="4" s="1"/>
  <c r="C24" i="11"/>
  <c r="C25" i="11"/>
  <c r="D53" i="11"/>
  <c r="C53" i="11"/>
  <c r="C183" i="11"/>
  <c r="D195" i="11"/>
  <c r="C179" i="8"/>
  <c r="D183" i="8"/>
  <c r="C192" i="8"/>
  <c r="D196" i="8"/>
  <c r="C205" i="8"/>
  <c r="D209" i="8"/>
  <c r="C214" i="8"/>
  <c r="D218" i="8"/>
  <c r="C227" i="8"/>
  <c r="D231" i="8"/>
  <c r="C240" i="8"/>
  <c r="D244" i="8"/>
  <c r="C253" i="8"/>
  <c r="D257" i="8"/>
  <c r="C262" i="8"/>
  <c r="D266" i="8"/>
  <c r="C275" i="8"/>
  <c r="D279" i="8"/>
  <c r="C288" i="8"/>
  <c r="D292" i="8"/>
  <c r="C301" i="8"/>
  <c r="D305" i="8"/>
  <c r="C310" i="8"/>
  <c r="D314" i="8"/>
  <c r="N4" i="4" s="1"/>
  <c r="C323" i="8"/>
  <c r="M13" i="4" s="1"/>
  <c r="D327" i="8"/>
  <c r="N17" i="4" s="1"/>
  <c r="C336" i="8"/>
  <c r="M26" i="4" s="1"/>
  <c r="D340" i="8"/>
  <c r="N30" i="4" s="1"/>
  <c r="C349" i="8"/>
  <c r="M39" i="4" s="1"/>
  <c r="D353" i="8"/>
  <c r="N43" i="4" s="1"/>
  <c r="C40" i="9"/>
  <c r="C64" i="9"/>
  <c r="C88" i="9"/>
  <c r="C112" i="9"/>
  <c r="C136" i="9"/>
  <c r="D155" i="9"/>
  <c r="C160" i="9"/>
  <c r="C184" i="9"/>
  <c r="C208" i="9"/>
  <c r="C275" i="9"/>
  <c r="D275" i="9"/>
  <c r="D288" i="9"/>
  <c r="C288" i="9"/>
  <c r="C302" i="9"/>
  <c r="D348" i="9"/>
  <c r="L38" i="4" s="1"/>
  <c r="D362" i="9"/>
  <c r="L52" i="4" s="1"/>
  <c r="C362" i="9"/>
  <c r="K52" i="4" s="1"/>
  <c r="C29" i="10"/>
  <c r="C44" i="10"/>
  <c r="C58" i="10"/>
  <c r="C73" i="10"/>
  <c r="D88" i="10"/>
  <c r="C88" i="10"/>
  <c r="C140" i="10"/>
  <c r="C208" i="10"/>
  <c r="D244" i="10"/>
  <c r="C244" i="10"/>
  <c r="D24" i="11"/>
  <c r="D183" i="11"/>
  <c r="C252" i="11"/>
  <c r="D252" i="11"/>
  <c r="C198" i="8"/>
  <c r="C246" i="8"/>
  <c r="C294" i="8"/>
  <c r="D266" i="9"/>
  <c r="D19" i="10"/>
  <c r="C19" i="10"/>
  <c r="D91" i="10"/>
  <c r="C91" i="10"/>
  <c r="C231" i="11"/>
  <c r="D243" i="11"/>
  <c r="D231" i="11"/>
  <c r="C328" i="11"/>
  <c r="AE18" i="4" s="1"/>
  <c r="C329" i="11"/>
  <c r="AE19" i="4" s="1"/>
  <c r="D24" i="12"/>
  <c r="C24" i="12"/>
  <c r="C121" i="12"/>
  <c r="D121" i="12"/>
  <c r="D133" i="12"/>
  <c r="D144" i="15"/>
  <c r="D156" i="15"/>
  <c r="C144" i="15"/>
  <c r="C352" i="6"/>
  <c r="C42" i="4" s="1"/>
  <c r="C356" i="6"/>
  <c r="C46" i="4" s="1"/>
  <c r="C360" i="6"/>
  <c r="C50" i="4" s="1"/>
  <c r="C364" i="6"/>
  <c r="C54" i="4" s="1"/>
  <c r="C368" i="6"/>
  <c r="C58" i="4" s="1"/>
  <c r="C372" i="6"/>
  <c r="C62" i="4" s="1"/>
  <c r="C376" i="6"/>
  <c r="C66" i="4" s="1"/>
  <c r="C185" i="8"/>
  <c r="C194" i="8"/>
  <c r="D198" i="8"/>
  <c r="C207" i="8"/>
  <c r="C220" i="8"/>
  <c r="C233" i="8"/>
  <c r="C242" i="8"/>
  <c r="D246" i="8"/>
  <c r="C255" i="8"/>
  <c r="C268" i="8"/>
  <c r="C281" i="8"/>
  <c r="C290" i="8"/>
  <c r="D294" i="8"/>
  <c r="C303" i="8"/>
  <c r="C316" i="8"/>
  <c r="M6" i="4" s="1"/>
  <c r="C329" i="8"/>
  <c r="M19" i="4" s="1"/>
  <c r="C351" i="8"/>
  <c r="M41" i="4" s="1"/>
  <c r="C364" i="8"/>
  <c r="M54" i="4" s="1"/>
  <c r="C377" i="8"/>
  <c r="M67" i="4" s="1"/>
  <c r="C11" i="9"/>
  <c r="C23" i="9"/>
  <c r="C37" i="9"/>
  <c r="D42" i="9"/>
  <c r="C42" i="9"/>
  <c r="C47" i="9"/>
  <c r="C61" i="9"/>
  <c r="D66" i="9"/>
  <c r="C66" i="9"/>
  <c r="C71" i="9"/>
  <c r="C85" i="9"/>
  <c r="D90" i="9"/>
  <c r="C90" i="9"/>
  <c r="C95" i="9"/>
  <c r="C109" i="9"/>
  <c r="D114" i="9"/>
  <c r="C114" i="9"/>
  <c r="C119" i="9"/>
  <c r="C133" i="9"/>
  <c r="D138" i="9"/>
  <c r="C138" i="9"/>
  <c r="C143" i="9"/>
  <c r="C157" i="9"/>
  <c r="D162" i="9"/>
  <c r="C162" i="9"/>
  <c r="C181" i="9"/>
  <c r="D186" i="9"/>
  <c r="C186" i="9"/>
  <c r="C205" i="9"/>
  <c r="D210" i="9"/>
  <c r="C210" i="9"/>
  <c r="C229" i="9"/>
  <c r="D234" i="9"/>
  <c r="C234" i="9"/>
  <c r="D250" i="9"/>
  <c r="C250" i="9"/>
  <c r="C266" i="9"/>
  <c r="D283" i="9"/>
  <c r="C291" i="9"/>
  <c r="D303" i="9"/>
  <c r="D330" i="9"/>
  <c r="L20" i="4" s="1"/>
  <c r="C344" i="9"/>
  <c r="K34" i="4" s="1"/>
  <c r="D39" i="10"/>
  <c r="C39" i="10"/>
  <c r="D54" i="10"/>
  <c r="C54" i="10"/>
  <c r="D66" i="10"/>
  <c r="C151" i="10"/>
  <c r="D174" i="10"/>
  <c r="C175" i="10"/>
  <c r="C203" i="10"/>
  <c r="D256" i="10"/>
  <c r="C262" i="10"/>
  <c r="D359" i="10"/>
  <c r="X49" i="4" s="1"/>
  <c r="C367" i="10"/>
  <c r="W57" i="4" s="1"/>
  <c r="D366" i="10"/>
  <c r="X56" i="4" s="1"/>
  <c r="D378" i="10"/>
  <c r="C87" i="11"/>
  <c r="D99" i="11"/>
  <c r="D127" i="11"/>
  <c r="C127" i="11"/>
  <c r="D328" i="11"/>
  <c r="AF18" i="4" s="1"/>
  <c r="C25" i="12"/>
  <c r="D37" i="12"/>
  <c r="D25" i="12"/>
  <c r="D74" i="12"/>
  <c r="C74" i="12"/>
  <c r="C10" i="8"/>
  <c r="C16" i="8"/>
  <c r="C21" i="8"/>
  <c r="C25" i="8"/>
  <c r="C29" i="8"/>
  <c r="C33" i="8"/>
  <c r="C37" i="8"/>
  <c r="C41" i="8"/>
  <c r="C45" i="8"/>
  <c r="C49" i="8"/>
  <c r="C53" i="8"/>
  <c r="C57" i="8"/>
  <c r="C61" i="8"/>
  <c r="C65" i="8"/>
  <c r="C69" i="8"/>
  <c r="C73" i="8"/>
  <c r="C77" i="8"/>
  <c r="C190" i="8"/>
  <c r="C238" i="8"/>
  <c r="C286" i="8"/>
  <c r="D377" i="8"/>
  <c r="N67" i="4" s="1"/>
  <c r="C306" i="9"/>
  <c r="D305" i="9"/>
  <c r="C20" i="10"/>
  <c r="D40" i="10"/>
  <c r="C40" i="10"/>
  <c r="D52" i="10"/>
  <c r="C92" i="10"/>
  <c r="D107" i="10"/>
  <c r="C107" i="10"/>
  <c r="D151" i="10"/>
  <c r="D279" i="10"/>
  <c r="C279" i="10"/>
  <c r="C317" i="10"/>
  <c r="W7" i="4" s="1"/>
  <c r="C318" i="10"/>
  <c r="W8" i="4" s="1"/>
  <c r="D317" i="10"/>
  <c r="X7" i="4" s="1"/>
  <c r="C353" i="10"/>
  <c r="W43" i="4" s="1"/>
  <c r="C354" i="10"/>
  <c r="W44" i="4" s="1"/>
  <c r="D353" i="10"/>
  <c r="X43" i="4" s="1"/>
  <c r="D70" i="11"/>
  <c r="C59" i="11"/>
  <c r="D321" i="11"/>
  <c r="AF11" i="4" s="1"/>
  <c r="C321" i="11"/>
  <c r="AE11" i="4" s="1"/>
  <c r="C297" i="7"/>
  <c r="C301" i="7"/>
  <c r="C305" i="7"/>
  <c r="C309" i="7"/>
  <c r="C313" i="7"/>
  <c r="C317" i="7"/>
  <c r="E7" i="4" s="1"/>
  <c r="C321" i="7"/>
  <c r="E11" i="4" s="1"/>
  <c r="C325" i="7"/>
  <c r="E15" i="4" s="1"/>
  <c r="C329" i="7"/>
  <c r="E19" i="4" s="1"/>
  <c r="C333" i="7"/>
  <c r="E23" i="4" s="1"/>
  <c r="C337" i="7"/>
  <c r="E27" i="4" s="1"/>
  <c r="C341" i="7"/>
  <c r="E31" i="4" s="1"/>
  <c r="C345" i="7"/>
  <c r="E35" i="4" s="1"/>
  <c r="C349" i="7"/>
  <c r="E39" i="4" s="1"/>
  <c r="C353" i="7"/>
  <c r="E43" i="4" s="1"/>
  <c r="C357" i="7"/>
  <c r="E47" i="4" s="1"/>
  <c r="C361" i="7"/>
  <c r="E51" i="4" s="1"/>
  <c r="C365" i="7"/>
  <c r="E55" i="4" s="1"/>
  <c r="C369" i="7"/>
  <c r="E59" i="4" s="1"/>
  <c r="D33" i="8"/>
  <c r="D37" i="8"/>
  <c r="D41" i="8"/>
  <c r="D45" i="8"/>
  <c r="D49" i="8"/>
  <c r="D125" i="8"/>
  <c r="D129" i="8"/>
  <c r="D133" i="8"/>
  <c r="C186" i="8"/>
  <c r="D190" i="8"/>
  <c r="C199" i="8"/>
  <c r="C212" i="8"/>
  <c r="C225" i="8"/>
  <c r="C234" i="8"/>
  <c r="D238" i="8"/>
  <c r="C247" i="8"/>
  <c r="C260" i="8"/>
  <c r="C273" i="8"/>
  <c r="C282" i="8"/>
  <c r="D286" i="8"/>
  <c r="C295" i="8"/>
  <c r="C308" i="8"/>
  <c r="C321" i="8"/>
  <c r="M11" i="4" s="1"/>
  <c r="C330" i="8"/>
  <c r="M20" i="4" s="1"/>
  <c r="C343" i="8"/>
  <c r="M33" i="4" s="1"/>
  <c r="C356" i="8"/>
  <c r="M46" i="4" s="1"/>
  <c r="C369" i="8"/>
  <c r="M59" i="4" s="1"/>
  <c r="C19" i="9"/>
  <c r="C33" i="9"/>
  <c r="D38" i="9"/>
  <c r="C38" i="9"/>
  <c r="C43" i="9"/>
  <c r="C57" i="9"/>
  <c r="D62" i="9"/>
  <c r="C62" i="9"/>
  <c r="C67" i="9"/>
  <c r="C81" i="9"/>
  <c r="D86" i="9"/>
  <c r="C86" i="9"/>
  <c r="C91" i="9"/>
  <c r="C105" i="9"/>
  <c r="D110" i="9"/>
  <c r="C110" i="9"/>
  <c r="C115" i="9"/>
  <c r="C129" i="9"/>
  <c r="D134" i="9"/>
  <c r="C134" i="9"/>
  <c r="C139" i="9"/>
  <c r="C153" i="9"/>
  <c r="D158" i="9"/>
  <c r="C158" i="9"/>
  <c r="C163" i="9"/>
  <c r="C177" i="9"/>
  <c r="D182" i="9"/>
  <c r="C182" i="9"/>
  <c r="C201" i="9"/>
  <c r="D206" i="9"/>
  <c r="C206" i="9"/>
  <c r="C225" i="9"/>
  <c r="D230" i="9"/>
  <c r="C230" i="9"/>
  <c r="D240" i="9"/>
  <c r="D256" i="9"/>
  <c r="C268" i="9"/>
  <c r="D280" i="9"/>
  <c r="D285" i="9"/>
  <c r="C273" i="9"/>
  <c r="D278" i="9"/>
  <c r="C293" i="9"/>
  <c r="D292" i="9"/>
  <c r="C305" i="9"/>
  <c r="D331" i="9"/>
  <c r="L21" i="4" s="1"/>
  <c r="C339" i="9"/>
  <c r="K29" i="4" s="1"/>
  <c r="D351" i="9"/>
  <c r="L41" i="4" s="1"/>
  <c r="C41" i="10"/>
  <c r="D123" i="10"/>
  <c r="C123" i="10"/>
  <c r="D196" i="10"/>
  <c r="C196" i="10"/>
  <c r="D309" i="10"/>
  <c r="C58" i="11"/>
  <c r="C88" i="11"/>
  <c r="C89" i="11"/>
  <c r="D88" i="11"/>
  <c r="C97" i="11"/>
  <c r="D361" i="7"/>
  <c r="F51" i="4" s="1"/>
  <c r="D365" i="7"/>
  <c r="F55" i="4" s="1"/>
  <c r="C182" i="8"/>
  <c r="D186" i="8"/>
  <c r="C230" i="8"/>
  <c r="D234" i="8"/>
  <c r="C278" i="8"/>
  <c r="D282" i="8"/>
  <c r="C326" i="8"/>
  <c r="M16" i="4" s="1"/>
  <c r="C365" i="8"/>
  <c r="M55" i="4" s="1"/>
  <c r="D369" i="8"/>
  <c r="N59" i="4" s="1"/>
  <c r="D246" i="9"/>
  <c r="C246" i="9"/>
  <c r="D262" i="9"/>
  <c r="C262" i="9"/>
  <c r="D268" i="9"/>
  <c r="D273" i="9"/>
  <c r="C279" i="9"/>
  <c r="C280" i="9"/>
  <c r="C292" i="9"/>
  <c r="C313" i="9"/>
  <c r="D339" i="9"/>
  <c r="L29" i="4" s="1"/>
  <c r="C354" i="9"/>
  <c r="K44" i="4" s="1"/>
  <c r="D353" i="9"/>
  <c r="L43" i="4" s="1"/>
  <c r="C366" i="9"/>
  <c r="K56" i="4" s="1"/>
  <c r="C50" i="10"/>
  <c r="D49" i="10"/>
  <c r="D61" i="10"/>
  <c r="D63" i="10"/>
  <c r="C63" i="10"/>
  <c r="D78" i="10"/>
  <c r="C78" i="10"/>
  <c r="D90" i="10"/>
  <c r="C108" i="10"/>
  <c r="D124" i="10"/>
  <c r="C125" i="10"/>
  <c r="C197" i="10"/>
  <c r="D197" i="10"/>
  <c r="D340" i="10"/>
  <c r="X30" i="4" s="1"/>
  <c r="C340" i="10"/>
  <c r="W30" i="4" s="1"/>
  <c r="D352" i="10"/>
  <c r="X42" i="4" s="1"/>
  <c r="D347" i="10"/>
  <c r="X37" i="4" s="1"/>
  <c r="D58" i="11"/>
  <c r="D201" i="11"/>
  <c r="C190" i="11"/>
  <c r="C204" i="11"/>
  <c r="D204" i="11"/>
  <c r="D216" i="11"/>
  <c r="C290" i="11"/>
  <c r="C191" i="8"/>
  <c r="D230" i="8"/>
  <c r="C239" i="8"/>
  <c r="D278" i="8"/>
  <c r="C287" i="8"/>
  <c r="D326" i="8"/>
  <c r="N16" i="4" s="1"/>
  <c r="D365" i="8"/>
  <c r="N55" i="4" s="1"/>
  <c r="D34" i="9"/>
  <c r="C34" i="9"/>
  <c r="D58" i="9"/>
  <c r="C58" i="9"/>
  <c r="D82" i="9"/>
  <c r="C82" i="9"/>
  <c r="D106" i="9"/>
  <c r="C106" i="9"/>
  <c r="D130" i="9"/>
  <c r="C130" i="9"/>
  <c r="D154" i="9"/>
  <c r="C154" i="9"/>
  <c r="D178" i="9"/>
  <c r="C178" i="9"/>
  <c r="D202" i="9"/>
  <c r="C202" i="9"/>
  <c r="D226" i="9"/>
  <c r="C226" i="9"/>
  <c r="C241" i="9"/>
  <c r="D264" i="9"/>
  <c r="C252" i="9"/>
  <c r="C257" i="9"/>
  <c r="D313" i="9"/>
  <c r="C341" i="9"/>
  <c r="K31" i="4" s="1"/>
  <c r="D340" i="9"/>
  <c r="L30" i="4" s="1"/>
  <c r="D64" i="10"/>
  <c r="C64" i="10"/>
  <c r="D76" i="10"/>
  <c r="D250" i="10"/>
  <c r="C205" i="11"/>
  <c r="D217" i="11"/>
  <c r="C206" i="11"/>
  <c r="D205" i="11"/>
  <c r="D361" i="8"/>
  <c r="N51" i="4" s="1"/>
  <c r="D314" i="9"/>
  <c r="L4" i="4" s="1"/>
  <c r="C314" i="9"/>
  <c r="K4" i="4" s="1"/>
  <c r="D326" i="9"/>
  <c r="L16" i="4" s="1"/>
  <c r="D43" i="10"/>
  <c r="C43" i="10"/>
  <c r="C221" i="10"/>
  <c r="C222" i="10"/>
  <c r="D221" i="10"/>
  <c r="D251" i="10"/>
  <c r="C251" i="10"/>
  <c r="D316" i="10"/>
  <c r="X6" i="4" s="1"/>
  <c r="D304" i="10"/>
  <c r="C304" i="10"/>
  <c r="C283" i="11"/>
  <c r="D282" i="11"/>
  <c r="C282" i="11"/>
  <c r="D294" i="11"/>
  <c r="D23" i="10"/>
  <c r="C23" i="10"/>
  <c r="D47" i="10"/>
  <c r="C47" i="10"/>
  <c r="D71" i="10"/>
  <c r="C71" i="10"/>
  <c r="D95" i="10"/>
  <c r="C95" i="10"/>
  <c r="D111" i="10"/>
  <c r="C111" i="10"/>
  <c r="D127" i="10"/>
  <c r="C127" i="10"/>
  <c r="C149" i="10"/>
  <c r="D149" i="10"/>
  <c r="D160" i="10"/>
  <c r="C166" i="10"/>
  <c r="D172" i="10"/>
  <c r="D184" i="10"/>
  <c r="C184" i="10"/>
  <c r="D218" i="10"/>
  <c r="C218" i="10"/>
  <c r="D295" i="10"/>
  <c r="D307" i="10"/>
  <c r="D313" i="10"/>
  <c r="C376" i="10"/>
  <c r="W66" i="4" s="1"/>
  <c r="D375" i="10"/>
  <c r="X65" i="4" s="1"/>
  <c r="C375" i="10"/>
  <c r="W65" i="4" s="1"/>
  <c r="C44" i="11"/>
  <c r="C45" i="11"/>
  <c r="C143" i="11"/>
  <c r="D143" i="11"/>
  <c r="C194" i="11"/>
  <c r="C264" i="11"/>
  <c r="C265" i="11"/>
  <c r="D146" i="12"/>
  <c r="C146" i="12"/>
  <c r="D231" i="12"/>
  <c r="C231" i="12"/>
  <c r="D243" i="12"/>
  <c r="C286" i="9"/>
  <c r="C295" i="9"/>
  <c r="D299" i="9"/>
  <c r="C308" i="9"/>
  <c r="C321" i="9"/>
  <c r="K11" i="4" s="1"/>
  <c r="C334" i="9"/>
  <c r="K24" i="4" s="1"/>
  <c r="C343" i="9"/>
  <c r="K33" i="4" s="1"/>
  <c r="D347" i="9"/>
  <c r="L37" i="4" s="1"/>
  <c r="C356" i="9"/>
  <c r="K46" i="4" s="1"/>
  <c r="D112" i="10"/>
  <c r="D128" i="10"/>
  <c r="C133" i="10"/>
  <c r="D143" i="10"/>
  <c r="C150" i="10"/>
  <c r="C161" i="10"/>
  <c r="D161" i="10"/>
  <c r="C195" i="10"/>
  <c r="D212" i="10"/>
  <c r="D230" i="10"/>
  <c r="C248" i="10"/>
  <c r="D266" i="10"/>
  <c r="C266" i="10"/>
  <c r="C278" i="10"/>
  <c r="D314" i="10"/>
  <c r="X4" i="4" s="1"/>
  <c r="C314" i="10"/>
  <c r="W4" i="4" s="1"/>
  <c r="D327" i="10"/>
  <c r="X17" i="4" s="1"/>
  <c r="C327" i="10"/>
  <c r="W17" i="4" s="1"/>
  <c r="D339" i="10"/>
  <c r="X29" i="4" s="1"/>
  <c r="D346" i="10"/>
  <c r="X36" i="4" s="1"/>
  <c r="D44" i="11"/>
  <c r="C72" i="11"/>
  <c r="D84" i="11"/>
  <c r="C116" i="11"/>
  <c r="D116" i="11"/>
  <c r="D128" i="11"/>
  <c r="C137" i="11"/>
  <c r="C173" i="11"/>
  <c r="D185" i="11"/>
  <c r="C174" i="11"/>
  <c r="C211" i="11"/>
  <c r="D210" i="11"/>
  <c r="D264" i="11"/>
  <c r="C351" i="11"/>
  <c r="AE41" i="4" s="1"/>
  <c r="D351" i="11"/>
  <c r="AF41" i="4" s="1"/>
  <c r="D131" i="12"/>
  <c r="C119" i="12"/>
  <c r="D179" i="12"/>
  <c r="C167" i="12"/>
  <c r="D175" i="12"/>
  <c r="C223" i="12"/>
  <c r="D223" i="12"/>
  <c r="C323" i="9"/>
  <c r="K13" i="4" s="1"/>
  <c r="C371" i="9"/>
  <c r="K61" i="4" s="1"/>
  <c r="D35" i="10"/>
  <c r="C35" i="10"/>
  <c r="D59" i="10"/>
  <c r="C59" i="10"/>
  <c r="D83" i="10"/>
  <c r="C83" i="10"/>
  <c r="D103" i="10"/>
  <c r="C103" i="10"/>
  <c r="D119" i="10"/>
  <c r="C119" i="10"/>
  <c r="D135" i="10"/>
  <c r="C135" i="10"/>
  <c r="D158" i="10"/>
  <c r="C158" i="10"/>
  <c r="C169" i="10"/>
  <c r="C192" i="10"/>
  <c r="D215" i="10"/>
  <c r="C227" i="10"/>
  <c r="D281" i="10"/>
  <c r="D292" i="10"/>
  <c r="C292" i="10"/>
  <c r="C310" i="10"/>
  <c r="C323" i="10"/>
  <c r="W13" i="4" s="1"/>
  <c r="C336" i="10"/>
  <c r="W26" i="4" s="1"/>
  <c r="C15" i="11"/>
  <c r="C14" i="11"/>
  <c r="C39" i="11"/>
  <c r="D39" i="11"/>
  <c r="C184" i="11"/>
  <c r="D225" i="11"/>
  <c r="D237" i="11"/>
  <c r="C276" i="11"/>
  <c r="D276" i="11"/>
  <c r="D288" i="11"/>
  <c r="C284" i="11"/>
  <c r="D296" i="11"/>
  <c r="D302" i="11"/>
  <c r="D327" i="11"/>
  <c r="AF17" i="4" s="1"/>
  <c r="D315" i="11"/>
  <c r="AF5" i="4" s="1"/>
  <c r="D26" i="12"/>
  <c r="C26" i="12"/>
  <c r="D40" i="12"/>
  <c r="C40" i="12"/>
  <c r="D36" i="13"/>
  <c r="C36" i="13"/>
  <c r="D48" i="13"/>
  <c r="C48" i="13"/>
  <c r="D108" i="13"/>
  <c r="D120" i="13"/>
  <c r="C108" i="13"/>
  <c r="D165" i="13"/>
  <c r="C165" i="13"/>
  <c r="D177" i="13"/>
  <c r="D261" i="13"/>
  <c r="C261" i="13"/>
  <c r="D273" i="13"/>
  <c r="D62" i="14"/>
  <c r="C62" i="14"/>
  <c r="C63" i="14"/>
  <c r="C271" i="9"/>
  <c r="C284" i="9"/>
  <c r="C297" i="9"/>
  <c r="C310" i="9"/>
  <c r="C319" i="9"/>
  <c r="K9" i="4" s="1"/>
  <c r="D323" i="9"/>
  <c r="L13" i="4" s="1"/>
  <c r="C332" i="9"/>
  <c r="K22" i="4" s="1"/>
  <c r="C345" i="9"/>
  <c r="K35" i="4" s="1"/>
  <c r="C358" i="9"/>
  <c r="K48" i="4" s="1"/>
  <c r="C367" i="9"/>
  <c r="K57" i="4" s="1"/>
  <c r="C21" i="10"/>
  <c r="C45" i="10"/>
  <c r="C69" i="10"/>
  <c r="C93" i="10"/>
  <c r="C98" i="10"/>
  <c r="D104" i="10"/>
  <c r="C109" i="10"/>
  <c r="C114" i="10"/>
  <c r="D120" i="10"/>
  <c r="C130" i="10"/>
  <c r="D136" i="10"/>
  <c r="C152" i="10"/>
  <c r="D169" i="10"/>
  <c r="D181" i="10"/>
  <c r="C187" i="10"/>
  <c r="C204" i="10"/>
  <c r="C223" i="10"/>
  <c r="D222" i="10"/>
  <c r="C234" i="10"/>
  <c r="C257" i="10"/>
  <c r="C258" i="10"/>
  <c r="D257" i="10"/>
  <c r="D263" i="10"/>
  <c r="D269" i="10"/>
  <c r="C275" i="10"/>
  <c r="C287" i="10"/>
  <c r="C299" i="10"/>
  <c r="C319" i="10"/>
  <c r="W9" i="4" s="1"/>
  <c r="D318" i="10"/>
  <c r="X8" i="4" s="1"/>
  <c r="D330" i="10"/>
  <c r="X20" i="4" s="1"/>
  <c r="D361" i="10"/>
  <c r="X51" i="4" s="1"/>
  <c r="C68" i="11"/>
  <c r="D68" i="11"/>
  <c r="C99" i="11"/>
  <c r="D98" i="11"/>
  <c r="C98" i="11"/>
  <c r="D110" i="11"/>
  <c r="C148" i="11"/>
  <c r="D148" i="11"/>
  <c r="D160" i="11"/>
  <c r="C149" i="11"/>
  <c r="D184" i="11"/>
  <c r="C199" i="11"/>
  <c r="D211" i="11"/>
  <c r="C225" i="11"/>
  <c r="C241" i="11"/>
  <c r="D284" i="11"/>
  <c r="C302" i="11"/>
  <c r="C308" i="11"/>
  <c r="D308" i="11"/>
  <c r="C315" i="11"/>
  <c r="AE5" i="4" s="1"/>
  <c r="D378" i="11"/>
  <c r="C378" i="11"/>
  <c r="AE68" i="4" s="1"/>
  <c r="C41" i="12"/>
  <c r="D53" i="12"/>
  <c r="D41" i="12"/>
  <c r="C267" i="9"/>
  <c r="D284" i="9"/>
  <c r="D297" i="9"/>
  <c r="C315" i="9"/>
  <c r="K5" i="4" s="1"/>
  <c r="D319" i="9"/>
  <c r="L9" i="4" s="1"/>
  <c r="D332" i="9"/>
  <c r="L22" i="4" s="1"/>
  <c r="D345" i="9"/>
  <c r="L35" i="4" s="1"/>
  <c r="C363" i="9"/>
  <c r="K53" i="4" s="1"/>
  <c r="D367" i="9"/>
  <c r="L57" i="4" s="1"/>
  <c r="D21" i="10"/>
  <c r="D31" i="10"/>
  <c r="C31" i="10"/>
  <c r="C36" i="10"/>
  <c r="D45" i="10"/>
  <c r="D55" i="10"/>
  <c r="C55" i="10"/>
  <c r="C60" i="10"/>
  <c r="D69" i="10"/>
  <c r="D79" i="10"/>
  <c r="C79" i="10"/>
  <c r="C84" i="10"/>
  <c r="D93" i="10"/>
  <c r="D98" i="10"/>
  <c r="C104" i="10"/>
  <c r="D109" i="10"/>
  <c r="D114" i="10"/>
  <c r="C120" i="10"/>
  <c r="D130" i="10"/>
  <c r="C136" i="10"/>
  <c r="C159" i="10"/>
  <c r="D170" i="10"/>
  <c r="C170" i="10"/>
  <c r="D204" i="10"/>
  <c r="D234" i="10"/>
  <c r="C240" i="10"/>
  <c r="D246" i="10"/>
  <c r="C271" i="10"/>
  <c r="D270" i="10"/>
  <c r="D299" i="10"/>
  <c r="C305" i="10"/>
  <c r="C306" i="10"/>
  <c r="D305" i="10"/>
  <c r="D311" i="10"/>
  <c r="C332" i="10"/>
  <c r="W22" i="4" s="1"/>
  <c r="D331" i="10"/>
  <c r="X21" i="4" s="1"/>
  <c r="D343" i="10"/>
  <c r="X33" i="4" s="1"/>
  <c r="D362" i="10"/>
  <c r="X52" i="4" s="1"/>
  <c r="C362" i="10"/>
  <c r="W52" i="4" s="1"/>
  <c r="C373" i="10"/>
  <c r="W63" i="4" s="1"/>
  <c r="D373" i="10"/>
  <c r="X63" i="4" s="1"/>
  <c r="D41" i="11"/>
  <c r="D54" i="11"/>
  <c r="C54" i="11"/>
  <c r="D66" i="11"/>
  <c r="C70" i="11"/>
  <c r="D69" i="11"/>
  <c r="C69" i="11"/>
  <c r="C77" i="11"/>
  <c r="D89" i="11"/>
  <c r="D175" i="11"/>
  <c r="D163" i="11"/>
  <c r="C185" i="11"/>
  <c r="C220" i="11"/>
  <c r="D232" i="11"/>
  <c r="C226" i="11"/>
  <c r="C227" i="11"/>
  <c r="D226" i="11"/>
  <c r="C243" i="11"/>
  <c r="D242" i="11"/>
  <c r="C277" i="11"/>
  <c r="D346" i="12"/>
  <c r="R36" i="4" s="1"/>
  <c r="C346" i="12"/>
  <c r="Q36" i="4" s="1"/>
  <c r="C347" i="12"/>
  <c r="Q37" i="4" s="1"/>
  <c r="D354" i="12"/>
  <c r="R44" i="4" s="1"/>
  <c r="C354" i="12"/>
  <c r="Q44" i="4" s="1"/>
  <c r="C355" i="12"/>
  <c r="Q45" i="4" s="1"/>
  <c r="C9" i="13"/>
  <c r="C8" i="13"/>
  <c r="D24" i="13"/>
  <c r="C24" i="13"/>
  <c r="D60" i="13"/>
  <c r="C60" i="13"/>
  <c r="D76" i="13"/>
  <c r="C76" i="13"/>
  <c r="D92" i="13"/>
  <c r="C92" i="13"/>
  <c r="D117" i="13"/>
  <c r="C117" i="13"/>
  <c r="D129" i="13"/>
  <c r="C263" i="9"/>
  <c r="D267" i="9"/>
  <c r="D293" i="9"/>
  <c r="D306" i="9"/>
  <c r="C311" i="9"/>
  <c r="D315" i="9"/>
  <c r="L5" i="4" s="1"/>
  <c r="D328" i="9"/>
  <c r="L18" i="4" s="1"/>
  <c r="D341" i="9"/>
  <c r="L31" i="4" s="1"/>
  <c r="D354" i="9"/>
  <c r="L44" i="4" s="1"/>
  <c r="C359" i="9"/>
  <c r="K49" i="4" s="1"/>
  <c r="D363" i="9"/>
  <c r="L53" i="4" s="1"/>
  <c r="D376" i="9"/>
  <c r="L66" i="4" s="1"/>
  <c r="D99" i="10"/>
  <c r="C99" i="10"/>
  <c r="D115" i="10"/>
  <c r="C115" i="10"/>
  <c r="D131" i="10"/>
  <c r="C131" i="10"/>
  <c r="C147" i="10"/>
  <c r="D164" i="10"/>
  <c r="D171" i="10"/>
  <c r="C171" i="10"/>
  <c r="C182" i="10"/>
  <c r="C188" i="10"/>
  <c r="D199" i="10"/>
  <c r="C236" i="10"/>
  <c r="D235" i="10"/>
  <c r="C252" i="10"/>
  <c r="C270" i="10"/>
  <c r="D276" i="10"/>
  <c r="D282" i="10"/>
  <c r="C288" i="10"/>
  <c r="C325" i="10"/>
  <c r="W15" i="4" s="1"/>
  <c r="D325" i="10"/>
  <c r="X15" i="4" s="1"/>
  <c r="C331" i="10"/>
  <c r="W21" i="4" s="1"/>
  <c r="C9" i="11"/>
  <c r="C8" i="11"/>
  <c r="C28" i="11"/>
  <c r="D40" i="11"/>
  <c r="D34" i="11"/>
  <c r="C42" i="11"/>
  <c r="D42" i="11"/>
  <c r="C50" i="11"/>
  <c r="D49" i="11"/>
  <c r="D77" i="11"/>
  <c r="D92" i="11"/>
  <c r="D114" i="11"/>
  <c r="C163" i="11"/>
  <c r="D178" i="11"/>
  <c r="D220" i="11"/>
  <c r="C242" i="11"/>
  <c r="D270" i="11"/>
  <c r="D277" i="11"/>
  <c r="C303" i="11"/>
  <c r="C19" i="12"/>
  <c r="C20" i="12"/>
  <c r="D19" i="12"/>
  <c r="D275" i="12"/>
  <c r="C263" i="12"/>
  <c r="D279" i="12"/>
  <c r="C279" i="12"/>
  <c r="D291" i="12"/>
  <c r="D311" i="9"/>
  <c r="D359" i="9"/>
  <c r="L49" i="4" s="1"/>
  <c r="D27" i="10"/>
  <c r="C27" i="10"/>
  <c r="D51" i="10"/>
  <c r="C51" i="10"/>
  <c r="D75" i="10"/>
  <c r="C75" i="10"/>
  <c r="C94" i="10"/>
  <c r="D100" i="10"/>
  <c r="C110" i="10"/>
  <c r="D147" i="10"/>
  <c r="D206" i="10"/>
  <c r="C206" i="10"/>
  <c r="D229" i="10"/>
  <c r="D252" i="10"/>
  <c r="C284" i="10"/>
  <c r="D283" i="10"/>
  <c r="C374" i="10"/>
  <c r="W64" i="4" s="1"/>
  <c r="D78" i="11"/>
  <c r="C79" i="11"/>
  <c r="C94" i="11"/>
  <c r="D93" i="11"/>
  <c r="D105" i="11"/>
  <c r="D142" i="11"/>
  <c r="D154" i="11"/>
  <c r="D227" i="11"/>
  <c r="D215" i="11"/>
  <c r="C263" i="11"/>
  <c r="D275" i="11"/>
  <c r="D295" i="11"/>
  <c r="C295" i="11"/>
  <c r="C356" i="11"/>
  <c r="AE46" i="4" s="1"/>
  <c r="D356" i="11"/>
  <c r="AF46" i="4" s="1"/>
  <c r="D368" i="11"/>
  <c r="AF58" i="4" s="1"/>
  <c r="C364" i="11"/>
  <c r="AE54" i="4" s="1"/>
  <c r="D364" i="11"/>
  <c r="AF54" i="4" s="1"/>
  <c r="D376" i="11"/>
  <c r="AF66" i="4" s="1"/>
  <c r="C372" i="11"/>
  <c r="AE62" i="4" s="1"/>
  <c r="C373" i="11"/>
  <c r="AE63" i="4" s="1"/>
  <c r="D372" i="11"/>
  <c r="AF62" i="4" s="1"/>
  <c r="D202" i="12"/>
  <c r="C202" i="12"/>
  <c r="D338" i="12"/>
  <c r="R28" i="4" s="1"/>
  <c r="C338" i="12"/>
  <c r="Q28" i="4" s="1"/>
  <c r="C339" i="12"/>
  <c r="Q29" i="4" s="1"/>
  <c r="D307" i="9"/>
  <c r="D355" i="9"/>
  <c r="L45" i="4" s="1"/>
  <c r="C100" i="10"/>
  <c r="C116" i="10"/>
  <c r="C132" i="10"/>
  <c r="D148" i="10"/>
  <c r="C148" i="10"/>
  <c r="D165" i="10"/>
  <c r="D177" i="10"/>
  <c r="D183" i="10"/>
  <c r="C183" i="10"/>
  <c r="C200" i="10"/>
  <c r="D217" i="10"/>
  <c r="C265" i="10"/>
  <c r="D277" i="10"/>
  <c r="C283" i="10"/>
  <c r="C326" i="10"/>
  <c r="W16" i="4" s="1"/>
  <c r="D357" i="10"/>
  <c r="X47" i="4" s="1"/>
  <c r="D369" i="10"/>
  <c r="X59" i="4" s="1"/>
  <c r="D374" i="10"/>
  <c r="X64" i="4" s="1"/>
  <c r="C29" i="11"/>
  <c r="C30" i="11"/>
  <c r="C122" i="11"/>
  <c r="D134" i="11"/>
  <c r="C123" i="11"/>
  <c r="D122" i="11"/>
  <c r="D206" i="11"/>
  <c r="C195" i="11"/>
  <c r="C236" i="11"/>
  <c r="D248" i="11"/>
  <c r="C366" i="11"/>
  <c r="AE56" i="4" s="1"/>
  <c r="D365" i="11"/>
  <c r="AF55" i="4" s="1"/>
  <c r="C365" i="11"/>
  <c r="AE55" i="4" s="1"/>
  <c r="D377" i="11"/>
  <c r="AF67" i="4" s="1"/>
  <c r="D183" i="12"/>
  <c r="C183" i="12"/>
  <c r="D195" i="12"/>
  <c r="C156" i="11"/>
  <c r="D156" i="11"/>
  <c r="D345" i="11"/>
  <c r="AF35" i="4" s="1"/>
  <c r="C333" i="11"/>
  <c r="AE23" i="4" s="1"/>
  <c r="D31" i="12"/>
  <c r="D70" i="12"/>
  <c r="C70" i="12"/>
  <c r="D135" i="12"/>
  <c r="C135" i="12"/>
  <c r="D147" i="12"/>
  <c r="D154" i="12"/>
  <c r="C154" i="12"/>
  <c r="C209" i="12"/>
  <c r="D209" i="12"/>
  <c r="D236" i="12"/>
  <c r="C236" i="12"/>
  <c r="D244" i="12"/>
  <c r="C244" i="12"/>
  <c r="C138" i="13"/>
  <c r="D138" i="13"/>
  <c r="D187" i="13"/>
  <c r="C187" i="13"/>
  <c r="D199" i="13"/>
  <c r="D283" i="13"/>
  <c r="C283" i="13"/>
  <c r="D295" i="13"/>
  <c r="D331" i="13"/>
  <c r="P21" i="4" s="1"/>
  <c r="C331" i="13"/>
  <c r="O21" i="4" s="1"/>
  <c r="D343" i="13"/>
  <c r="P33" i="4" s="1"/>
  <c r="C52" i="11"/>
  <c r="D52" i="11"/>
  <c r="C62" i="11"/>
  <c r="D76" i="11"/>
  <c r="C91" i="11"/>
  <c r="D120" i="11"/>
  <c r="D125" i="11"/>
  <c r="C141" i="11"/>
  <c r="D151" i="11"/>
  <c r="C157" i="11"/>
  <c r="D169" i="11"/>
  <c r="C177" i="11"/>
  <c r="D234" i="11"/>
  <c r="C270" i="11"/>
  <c r="D269" i="11"/>
  <c r="C269" i="11"/>
  <c r="D281" i="11"/>
  <c r="D289" i="11"/>
  <c r="D301" i="11"/>
  <c r="D333" i="11"/>
  <c r="AF23" i="4" s="1"/>
  <c r="D62" i="12"/>
  <c r="C62" i="12"/>
  <c r="D98" i="12"/>
  <c r="C98" i="12"/>
  <c r="C201" i="12"/>
  <c r="D213" i="12"/>
  <c r="D201" i="12"/>
  <c r="D210" i="12"/>
  <c r="C210" i="12"/>
  <c r="C211" i="12"/>
  <c r="D228" i="12"/>
  <c r="C228" i="12"/>
  <c r="D323" i="12"/>
  <c r="R13" i="4" s="1"/>
  <c r="C311" i="12"/>
  <c r="D327" i="12"/>
  <c r="R17" i="4" s="1"/>
  <c r="C327" i="12"/>
  <c r="Q17" i="4" s="1"/>
  <c r="D339" i="12"/>
  <c r="R29" i="4" s="1"/>
  <c r="D139" i="13"/>
  <c r="C139" i="13"/>
  <c r="D151" i="13"/>
  <c r="D252" i="13"/>
  <c r="D264" i="13"/>
  <c r="C252" i="13"/>
  <c r="D58" i="14"/>
  <c r="C58" i="14"/>
  <c r="C59" i="14"/>
  <c r="C157" i="10"/>
  <c r="C205" i="10"/>
  <c r="C253" i="10"/>
  <c r="C301" i="10"/>
  <c r="C20" i="11"/>
  <c r="D20" i="11"/>
  <c r="D30" i="11"/>
  <c r="D59" i="11"/>
  <c r="C103" i="11"/>
  <c r="C108" i="11"/>
  <c r="D113" i="11"/>
  <c r="C138" i="11"/>
  <c r="D190" i="11"/>
  <c r="D200" i="11"/>
  <c r="C221" i="11"/>
  <c r="C237" i="11"/>
  <c r="D254" i="11"/>
  <c r="C285" i="11"/>
  <c r="D297" i="11"/>
  <c r="C316" i="11"/>
  <c r="AE6" i="4" s="1"/>
  <c r="D42" i="12"/>
  <c r="C42" i="12"/>
  <c r="D56" i="12"/>
  <c r="C56" i="12"/>
  <c r="C75" i="12"/>
  <c r="D140" i="12"/>
  <c r="C140" i="12"/>
  <c r="D148" i="12"/>
  <c r="C148" i="12"/>
  <c r="D227" i="12"/>
  <c r="C215" i="12"/>
  <c r="D298" i="12"/>
  <c r="C298" i="12"/>
  <c r="D34" i="14"/>
  <c r="C34" i="14"/>
  <c r="C35" i="14"/>
  <c r="D219" i="14"/>
  <c r="C219" i="14"/>
  <c r="D231" i="14"/>
  <c r="D227" i="14"/>
  <c r="C227" i="14"/>
  <c r="D82" i="16"/>
  <c r="D70" i="16"/>
  <c r="C70" i="16"/>
  <c r="C153" i="10"/>
  <c r="D157" i="10"/>
  <c r="C201" i="10"/>
  <c r="D205" i="10"/>
  <c r="C249" i="10"/>
  <c r="D253" i="10"/>
  <c r="C297" i="10"/>
  <c r="D301" i="10"/>
  <c r="D349" i="10"/>
  <c r="X39" i="4" s="1"/>
  <c r="C40" i="11"/>
  <c r="D64" i="11"/>
  <c r="D94" i="11"/>
  <c r="D103" i="11"/>
  <c r="D108" i="11"/>
  <c r="C128" i="11"/>
  <c r="C164" i="11"/>
  <c r="D164" i="11"/>
  <c r="C216" i="11"/>
  <c r="C232" i="11"/>
  <c r="D285" i="11"/>
  <c r="D371" i="11"/>
  <c r="AF61" i="4" s="1"/>
  <c r="C359" i="11"/>
  <c r="AE49" i="4" s="1"/>
  <c r="D23" i="12"/>
  <c r="C11" i="12"/>
  <c r="C57" i="12"/>
  <c r="D57" i="12"/>
  <c r="C93" i="12"/>
  <c r="D93" i="12"/>
  <c r="C169" i="12"/>
  <c r="D169" i="12"/>
  <c r="D290" i="12"/>
  <c r="C290" i="12"/>
  <c r="D306" i="12"/>
  <c r="C306" i="12"/>
  <c r="C307" i="12"/>
  <c r="D32" i="13"/>
  <c r="C32" i="13"/>
  <c r="D44" i="13"/>
  <c r="C44" i="13"/>
  <c r="C245" i="10"/>
  <c r="C293" i="10"/>
  <c r="C341" i="10"/>
  <c r="W31" i="4" s="1"/>
  <c r="D45" i="11"/>
  <c r="C55" i="11"/>
  <c r="D65" i="11"/>
  <c r="D139" i="11"/>
  <c r="C170" i="11"/>
  <c r="D182" i="11"/>
  <c r="C196" i="11"/>
  <c r="D196" i="11"/>
  <c r="D222" i="11"/>
  <c r="D238" i="11"/>
  <c r="D298" i="11"/>
  <c r="D305" i="11"/>
  <c r="C318" i="11"/>
  <c r="AE8" i="4" s="1"/>
  <c r="D317" i="11"/>
  <c r="AF7" i="4" s="1"/>
  <c r="C317" i="11"/>
  <c r="AE7" i="4" s="1"/>
  <c r="C331" i="11"/>
  <c r="AE21" i="4" s="1"/>
  <c r="D330" i="11"/>
  <c r="AF20" i="4" s="1"/>
  <c r="C330" i="11"/>
  <c r="AE20" i="4" s="1"/>
  <c r="D342" i="11"/>
  <c r="AF32" i="4" s="1"/>
  <c r="C339" i="11"/>
  <c r="AE29" i="4" s="1"/>
  <c r="C338" i="11"/>
  <c r="AE28" i="4" s="1"/>
  <c r="D58" i="12"/>
  <c r="C58" i="12"/>
  <c r="D94" i="12"/>
  <c r="C94" i="12"/>
  <c r="C113" i="12"/>
  <c r="D113" i="12"/>
  <c r="D132" i="12"/>
  <c r="C132" i="12"/>
  <c r="D188" i="12"/>
  <c r="C188" i="12"/>
  <c r="D196" i="12"/>
  <c r="C196" i="12"/>
  <c r="D250" i="12"/>
  <c r="C250" i="12"/>
  <c r="C333" i="12"/>
  <c r="Q23" i="4" s="1"/>
  <c r="D332" i="12"/>
  <c r="R22" i="4" s="1"/>
  <c r="C332" i="12"/>
  <c r="Q22" i="4" s="1"/>
  <c r="C341" i="12"/>
  <c r="Q31" i="4" s="1"/>
  <c r="D340" i="12"/>
  <c r="R30" i="4" s="1"/>
  <c r="C340" i="12"/>
  <c r="Q30" i="4" s="1"/>
  <c r="D296" i="13"/>
  <c r="C296" i="13"/>
  <c r="D308" i="13"/>
  <c r="D20" i="14"/>
  <c r="C20" i="14"/>
  <c r="D32" i="14"/>
  <c r="C220" i="14"/>
  <c r="C219" i="10"/>
  <c r="C232" i="10"/>
  <c r="D245" i="10"/>
  <c r="C254" i="10"/>
  <c r="C267" i="10"/>
  <c r="C280" i="10"/>
  <c r="D293" i="10"/>
  <c r="C302" i="10"/>
  <c r="C315" i="10"/>
  <c r="W5" i="4" s="1"/>
  <c r="C328" i="10"/>
  <c r="W18" i="4" s="1"/>
  <c r="D341" i="10"/>
  <c r="X31" i="4" s="1"/>
  <c r="C350" i="10"/>
  <c r="W40" i="4" s="1"/>
  <c r="C363" i="10"/>
  <c r="W53" i="4" s="1"/>
  <c r="C31" i="11"/>
  <c r="D46" i="11"/>
  <c r="D55" i="11"/>
  <c r="D60" i="11"/>
  <c r="C65" i="11"/>
  <c r="D104" i="11"/>
  <c r="D109" i="11"/>
  <c r="C114" i="11"/>
  <c r="D129" i="11"/>
  <c r="D165" i="11"/>
  <c r="D170" i="11"/>
  <c r="D191" i="11"/>
  <c r="C238" i="11"/>
  <c r="C244" i="11"/>
  <c r="D244" i="11"/>
  <c r="C255" i="11"/>
  <c r="C260" i="11"/>
  <c r="D260" i="11"/>
  <c r="D267" i="11"/>
  <c r="C273" i="11"/>
  <c r="C286" i="11"/>
  <c r="C293" i="11"/>
  <c r="D318" i="11"/>
  <c r="AF8" i="4" s="1"/>
  <c r="C324" i="11"/>
  <c r="AE14" i="4" s="1"/>
  <c r="D336" i="11"/>
  <c r="AF26" i="4" s="1"/>
  <c r="D324" i="11"/>
  <c r="AF14" i="4" s="1"/>
  <c r="D338" i="11"/>
  <c r="AF28" i="4" s="1"/>
  <c r="D358" i="11"/>
  <c r="AF48" i="4" s="1"/>
  <c r="C346" i="11"/>
  <c r="AE36" i="4" s="1"/>
  <c r="D51" i="12"/>
  <c r="D86" i="12"/>
  <c r="C86" i="12"/>
  <c r="C95" i="12"/>
  <c r="C105" i="12"/>
  <c r="D117" i="12"/>
  <c r="D105" i="12"/>
  <c r="D114" i="12"/>
  <c r="C114" i="12"/>
  <c r="C115" i="12"/>
  <c r="C217" i="12"/>
  <c r="D217" i="12"/>
  <c r="D242" i="12"/>
  <c r="C242" i="12"/>
  <c r="D258" i="12"/>
  <c r="C258" i="12"/>
  <c r="C259" i="12"/>
  <c r="C291" i="12"/>
  <c r="C325" i="12"/>
  <c r="Q15" i="4" s="1"/>
  <c r="D324" i="12"/>
  <c r="R14" i="4" s="1"/>
  <c r="C324" i="12"/>
  <c r="Q14" i="4" s="1"/>
  <c r="D152" i="13"/>
  <c r="C152" i="13"/>
  <c r="D164" i="13"/>
  <c r="D217" i="13"/>
  <c r="C217" i="13"/>
  <c r="D361" i="13"/>
  <c r="P51" i="4" s="1"/>
  <c r="C361" i="13"/>
  <c r="O51" i="4" s="1"/>
  <c r="D178" i="14"/>
  <c r="C178" i="14"/>
  <c r="D145" i="10"/>
  <c r="C154" i="10"/>
  <c r="C167" i="10"/>
  <c r="C180" i="10"/>
  <c r="D193" i="10"/>
  <c r="C202" i="10"/>
  <c r="C215" i="10"/>
  <c r="C228" i="10"/>
  <c r="D241" i="10"/>
  <c r="C250" i="10"/>
  <c r="C263" i="10"/>
  <c r="C276" i="10"/>
  <c r="D289" i="10"/>
  <c r="C298" i="10"/>
  <c r="C311" i="10"/>
  <c r="C324" i="10"/>
  <c r="W14" i="4" s="1"/>
  <c r="D337" i="10"/>
  <c r="X27" i="4" s="1"/>
  <c r="C346" i="10"/>
  <c r="W36" i="4" s="1"/>
  <c r="C359" i="10"/>
  <c r="W49" i="4" s="1"/>
  <c r="D26" i="11"/>
  <c r="D36" i="11"/>
  <c r="C41" i="11"/>
  <c r="C46" i="11"/>
  <c r="C56" i="11"/>
  <c r="C61" i="11"/>
  <c r="C75" i="11"/>
  <c r="D80" i="11"/>
  <c r="C85" i="11"/>
  <c r="C95" i="11"/>
  <c r="C119" i="11"/>
  <c r="C129" i="11"/>
  <c r="C145" i="11"/>
  <c r="C150" i="11"/>
  <c r="D155" i="11"/>
  <c r="C181" i="11"/>
  <c r="D186" i="11"/>
  <c r="C197" i="11"/>
  <c r="C207" i="11"/>
  <c r="C212" i="11"/>
  <c r="D212" i="11"/>
  <c r="C239" i="11"/>
  <c r="C267" i="11"/>
  <c r="D280" i="11"/>
  <c r="C299" i="11"/>
  <c r="D311" i="11"/>
  <c r="D346" i="11"/>
  <c r="AF36" i="4" s="1"/>
  <c r="C13" i="12"/>
  <c r="D99" i="12"/>
  <c r="C87" i="12"/>
  <c r="D106" i="12"/>
  <c r="C106" i="12"/>
  <c r="C161" i="12"/>
  <c r="D161" i="12"/>
  <c r="D180" i="12"/>
  <c r="C180" i="12"/>
  <c r="C251" i="12"/>
  <c r="C285" i="12"/>
  <c r="D284" i="12"/>
  <c r="C284" i="12"/>
  <c r="C293" i="12"/>
  <c r="D292" i="12"/>
  <c r="C292" i="12"/>
  <c r="D179" i="14"/>
  <c r="C179" i="14"/>
  <c r="C137" i="10"/>
  <c r="D141" i="10"/>
  <c r="C185" i="10"/>
  <c r="D189" i="10"/>
  <c r="C233" i="10"/>
  <c r="D237" i="10"/>
  <c r="C281" i="10"/>
  <c r="D285" i="10"/>
  <c r="C329" i="10"/>
  <c r="W19" i="4" s="1"/>
  <c r="D333" i="10"/>
  <c r="X23" i="4" s="1"/>
  <c r="C32" i="11"/>
  <c r="D56" i="11"/>
  <c r="D61" i="11"/>
  <c r="D81" i="11"/>
  <c r="D90" i="11"/>
  <c r="C100" i="11"/>
  <c r="D100" i="11"/>
  <c r="C105" i="11"/>
  <c r="D124" i="11"/>
  <c r="C130" i="11"/>
  <c r="C135" i="11"/>
  <c r="D147" i="11"/>
  <c r="D140" i="11"/>
  <c r="C155" i="11"/>
  <c r="C166" i="11"/>
  <c r="D176" i="11"/>
  <c r="C213" i="11"/>
  <c r="C218" i="11"/>
  <c r="D230" i="11"/>
  <c r="D228" i="11"/>
  <c r="D239" i="11"/>
  <c r="C245" i="11"/>
  <c r="C268" i="11"/>
  <c r="C312" i="11"/>
  <c r="C313" i="11"/>
  <c r="C325" i="11"/>
  <c r="AE15" i="4" s="1"/>
  <c r="C52" i="12"/>
  <c r="C69" i="12"/>
  <c r="D69" i="12"/>
  <c r="D125" i="12"/>
  <c r="C153" i="12"/>
  <c r="D165" i="12"/>
  <c r="D153" i="12"/>
  <c r="D162" i="12"/>
  <c r="C162" i="12"/>
  <c r="C163" i="12"/>
  <c r="C277" i="12"/>
  <c r="D276" i="12"/>
  <c r="C276" i="12"/>
  <c r="C360" i="12"/>
  <c r="Q50" i="4" s="1"/>
  <c r="D371" i="12"/>
  <c r="R61" i="4" s="1"/>
  <c r="C359" i="12"/>
  <c r="Q49" i="4" s="1"/>
  <c r="C368" i="12"/>
  <c r="Q58" i="4" s="1"/>
  <c r="C367" i="12"/>
  <c r="Q57" i="4" s="1"/>
  <c r="C376" i="12"/>
  <c r="Q66" i="4" s="1"/>
  <c r="D375" i="12"/>
  <c r="R65" i="4" s="1"/>
  <c r="C375" i="12"/>
  <c r="Q65" i="4" s="1"/>
  <c r="C282" i="13"/>
  <c r="D282" i="13"/>
  <c r="D128" i="14"/>
  <c r="C116" i="14"/>
  <c r="C155" i="14"/>
  <c r="D155" i="14"/>
  <c r="C272" i="11"/>
  <c r="C320" i="11"/>
  <c r="AE10" i="4" s="1"/>
  <c r="D337" i="11"/>
  <c r="AF27" i="4" s="1"/>
  <c r="D350" i="11"/>
  <c r="AF40" i="4" s="1"/>
  <c r="D363" i="11"/>
  <c r="AF53" i="4" s="1"/>
  <c r="C368" i="11"/>
  <c r="AE58" i="4" s="1"/>
  <c r="D30" i="12"/>
  <c r="D46" i="12"/>
  <c r="D68" i="12"/>
  <c r="C68" i="12"/>
  <c r="D80" i="12"/>
  <c r="C80" i="12"/>
  <c r="D92" i="12"/>
  <c r="C92" i="12"/>
  <c r="D112" i="12"/>
  <c r="C112" i="12"/>
  <c r="D126" i="12"/>
  <c r="C126" i="12"/>
  <c r="C133" i="12"/>
  <c r="D139" i="12"/>
  <c r="D160" i="12"/>
  <c r="C160" i="12"/>
  <c r="D174" i="12"/>
  <c r="C174" i="12"/>
  <c r="C181" i="12"/>
  <c r="D187" i="12"/>
  <c r="D208" i="12"/>
  <c r="C208" i="12"/>
  <c r="D222" i="12"/>
  <c r="C222" i="12"/>
  <c r="C229" i="12"/>
  <c r="D235" i="12"/>
  <c r="D256" i="12"/>
  <c r="C256" i="12"/>
  <c r="D270" i="12"/>
  <c r="C270" i="12"/>
  <c r="D283" i="12"/>
  <c r="C305" i="12"/>
  <c r="D304" i="12"/>
  <c r="C304" i="12"/>
  <c r="D318" i="12"/>
  <c r="R8" i="4" s="1"/>
  <c r="C318" i="12"/>
  <c r="Q8" i="4" s="1"/>
  <c r="D331" i="12"/>
  <c r="R21" i="4" s="1"/>
  <c r="D366" i="12"/>
  <c r="R56" i="4" s="1"/>
  <c r="C366" i="12"/>
  <c r="Q56" i="4" s="1"/>
  <c r="C37" i="13"/>
  <c r="C49" i="13"/>
  <c r="C188" i="13"/>
  <c r="C230" i="13"/>
  <c r="C231" i="13"/>
  <c r="C332" i="13"/>
  <c r="O22" i="4" s="1"/>
  <c r="D68" i="14"/>
  <c r="C68" i="14"/>
  <c r="D80" i="14"/>
  <c r="D89" i="14"/>
  <c r="D77" i="14"/>
  <c r="D150" i="14"/>
  <c r="D138" i="14"/>
  <c r="C138" i="14"/>
  <c r="D226" i="14"/>
  <c r="C226" i="14"/>
  <c r="C273" i="14"/>
  <c r="D273" i="14"/>
  <c r="C360" i="11"/>
  <c r="AE50" i="4" s="1"/>
  <c r="D36" i="12"/>
  <c r="D52" i="12"/>
  <c r="D120" i="12"/>
  <c r="C120" i="12"/>
  <c r="D134" i="12"/>
  <c r="C134" i="12"/>
  <c r="C141" i="12"/>
  <c r="D168" i="12"/>
  <c r="C168" i="12"/>
  <c r="D182" i="12"/>
  <c r="C182" i="12"/>
  <c r="C189" i="12"/>
  <c r="D216" i="12"/>
  <c r="C216" i="12"/>
  <c r="D230" i="12"/>
  <c r="C230" i="12"/>
  <c r="C237" i="12"/>
  <c r="D264" i="12"/>
  <c r="C264" i="12"/>
  <c r="D278" i="12"/>
  <c r="C278" i="12"/>
  <c r="C313" i="12"/>
  <c r="D312" i="12"/>
  <c r="C312" i="12"/>
  <c r="D326" i="12"/>
  <c r="R16" i="4" s="1"/>
  <c r="C326" i="12"/>
  <c r="Q16" i="4" s="1"/>
  <c r="C25" i="13"/>
  <c r="C61" i="13"/>
  <c r="C77" i="13"/>
  <c r="C93" i="13"/>
  <c r="C130" i="13"/>
  <c r="D130" i="13"/>
  <c r="C153" i="13"/>
  <c r="C274" i="13"/>
  <c r="D274" i="13"/>
  <c r="C297" i="13"/>
  <c r="D44" i="14"/>
  <c r="C44" i="14"/>
  <c r="D56" i="14"/>
  <c r="D65" i="14"/>
  <c r="D53" i="14"/>
  <c r="D99" i="14"/>
  <c r="D87" i="14"/>
  <c r="D108" i="14"/>
  <c r="C97" i="14"/>
  <c r="C330" i="14"/>
  <c r="S20" i="4" s="1"/>
  <c r="D342" i="14"/>
  <c r="T32" i="4" s="1"/>
  <c r="D330" i="14"/>
  <c r="T20" i="4" s="1"/>
  <c r="D340" i="14"/>
  <c r="T30" i="4" s="1"/>
  <c r="C340" i="14"/>
  <c r="S30" i="4" s="1"/>
  <c r="C75" i="15"/>
  <c r="C76" i="15"/>
  <c r="D75" i="15"/>
  <c r="D315" i="18"/>
  <c r="AD5" i="4" s="1"/>
  <c r="C315" i="18"/>
  <c r="AC5" i="4" s="1"/>
  <c r="D327" i="18"/>
  <c r="AD17" i="4" s="1"/>
  <c r="D58" i="19"/>
  <c r="C47" i="19"/>
  <c r="D46" i="19"/>
  <c r="C46" i="19"/>
  <c r="D92" i="19"/>
  <c r="C92" i="19"/>
  <c r="C93" i="19"/>
  <c r="C135" i="19"/>
  <c r="D135" i="19"/>
  <c r="D152" i="19"/>
  <c r="C152" i="19"/>
  <c r="C153" i="19"/>
  <c r="C207" i="19"/>
  <c r="D207" i="19"/>
  <c r="D226" i="19"/>
  <c r="C226" i="19"/>
  <c r="D238" i="19"/>
  <c r="C238" i="19"/>
  <c r="D250" i="19"/>
  <c r="C250" i="19"/>
  <c r="D262" i="19"/>
  <c r="C262" i="19"/>
  <c r="D286" i="19"/>
  <c r="C286" i="19"/>
  <c r="D310" i="19"/>
  <c r="C310" i="19"/>
  <c r="D334" i="19"/>
  <c r="Z24" i="4" s="1"/>
  <c r="C334" i="19"/>
  <c r="Y24" i="4" s="1"/>
  <c r="D358" i="19"/>
  <c r="Z48" i="4" s="1"/>
  <c r="C358" i="19"/>
  <c r="Y48" i="4" s="1"/>
  <c r="C64" i="11"/>
  <c r="C112" i="11"/>
  <c r="C160" i="11"/>
  <c r="C208" i="11"/>
  <c r="C256" i="11"/>
  <c r="C304" i="11"/>
  <c r="C352" i="11"/>
  <c r="AE42" i="4" s="1"/>
  <c r="C21" i="12"/>
  <c r="C37" i="12"/>
  <c r="C53" i="12"/>
  <c r="D64" i="12"/>
  <c r="C64" i="12"/>
  <c r="D76" i="12"/>
  <c r="C76" i="12"/>
  <c r="D88" i="12"/>
  <c r="C88" i="12"/>
  <c r="C101" i="12"/>
  <c r="D128" i="12"/>
  <c r="C128" i="12"/>
  <c r="D142" i="12"/>
  <c r="C142" i="12"/>
  <c r="C149" i="12"/>
  <c r="D176" i="12"/>
  <c r="C176" i="12"/>
  <c r="D190" i="12"/>
  <c r="C190" i="12"/>
  <c r="C197" i="12"/>
  <c r="D224" i="12"/>
  <c r="C224" i="12"/>
  <c r="D238" i="12"/>
  <c r="C238" i="12"/>
  <c r="C245" i="12"/>
  <c r="D272" i="12"/>
  <c r="C272" i="12"/>
  <c r="D286" i="12"/>
  <c r="C286" i="12"/>
  <c r="C321" i="12"/>
  <c r="Q11" i="4" s="1"/>
  <c r="D320" i="12"/>
  <c r="R10" i="4" s="1"/>
  <c r="C320" i="12"/>
  <c r="Q10" i="4" s="1"/>
  <c r="D334" i="12"/>
  <c r="R24" i="4" s="1"/>
  <c r="C334" i="12"/>
  <c r="Q24" i="4" s="1"/>
  <c r="C33" i="13"/>
  <c r="C45" i="13"/>
  <c r="D56" i="13"/>
  <c r="C56" i="13"/>
  <c r="D72" i="13"/>
  <c r="C72" i="13"/>
  <c r="D88" i="13"/>
  <c r="C88" i="13"/>
  <c r="D104" i="13"/>
  <c r="C104" i="13"/>
  <c r="C140" i="13"/>
  <c r="D168" i="13"/>
  <c r="C182" i="13"/>
  <c r="C183" i="13"/>
  <c r="C284" i="13"/>
  <c r="D312" i="13"/>
  <c r="C326" i="13"/>
  <c r="O16" i="4" s="1"/>
  <c r="C327" i="13"/>
  <c r="O17" i="4" s="1"/>
  <c r="C21" i="14"/>
  <c r="D41" i="14"/>
  <c r="D29" i="14"/>
  <c r="D75" i="14"/>
  <c r="D63" i="14"/>
  <c r="D84" i="14"/>
  <c r="C73" i="14"/>
  <c r="D96" i="14"/>
  <c r="C314" i="14"/>
  <c r="S4" i="4" s="1"/>
  <c r="D326" i="14"/>
  <c r="T16" i="4" s="1"/>
  <c r="D314" i="14"/>
  <c r="T4" i="4" s="1"/>
  <c r="C300" i="11"/>
  <c r="D304" i="11"/>
  <c r="C348" i="11"/>
  <c r="AE38" i="4" s="1"/>
  <c r="D352" i="11"/>
  <c r="AF42" i="4" s="1"/>
  <c r="C361" i="11"/>
  <c r="AE51" i="4" s="1"/>
  <c r="D21" i="12"/>
  <c r="D32" i="12"/>
  <c r="D48" i="12"/>
  <c r="D101" i="12"/>
  <c r="D108" i="12"/>
  <c r="C108" i="12"/>
  <c r="D122" i="12"/>
  <c r="C122" i="12"/>
  <c r="D149" i="12"/>
  <c r="D156" i="12"/>
  <c r="C156" i="12"/>
  <c r="D170" i="12"/>
  <c r="C170" i="12"/>
  <c r="D197" i="12"/>
  <c r="D204" i="12"/>
  <c r="C204" i="12"/>
  <c r="D218" i="12"/>
  <c r="C218" i="12"/>
  <c r="D252" i="12"/>
  <c r="C252" i="12"/>
  <c r="D266" i="12"/>
  <c r="C266" i="12"/>
  <c r="C301" i="12"/>
  <c r="D300" i="12"/>
  <c r="C300" i="12"/>
  <c r="D314" i="12"/>
  <c r="R4" i="4" s="1"/>
  <c r="C314" i="12"/>
  <c r="Q4" i="4" s="1"/>
  <c r="D362" i="12"/>
  <c r="R52" i="4" s="1"/>
  <c r="C362" i="12"/>
  <c r="Q52" i="4" s="1"/>
  <c r="D248" i="13"/>
  <c r="C248" i="13"/>
  <c r="D38" i="14"/>
  <c r="C38" i="14"/>
  <c r="C213" i="14"/>
  <c r="D213" i="14"/>
  <c r="C245" i="14"/>
  <c r="D245" i="14"/>
  <c r="D257" i="14"/>
  <c r="D252" i="14"/>
  <c r="C252" i="14"/>
  <c r="C194" i="16"/>
  <c r="D193" i="16"/>
  <c r="C193" i="16"/>
  <c r="C152" i="11"/>
  <c r="C200" i="11"/>
  <c r="C248" i="11"/>
  <c r="C261" i="11"/>
  <c r="D265" i="11"/>
  <c r="C274" i="11"/>
  <c r="D278" i="11"/>
  <c r="C287" i="11"/>
  <c r="D291" i="11"/>
  <c r="C296" i="11"/>
  <c r="D300" i="11"/>
  <c r="C309" i="11"/>
  <c r="D313" i="11"/>
  <c r="C322" i="11"/>
  <c r="AE12" i="4" s="1"/>
  <c r="D326" i="11"/>
  <c r="AF16" i="4" s="1"/>
  <c r="C335" i="11"/>
  <c r="AE25" i="4" s="1"/>
  <c r="D339" i="11"/>
  <c r="AF29" i="4" s="1"/>
  <c r="C344" i="11"/>
  <c r="AE34" i="4" s="1"/>
  <c r="D348" i="11"/>
  <c r="AF38" i="4" s="1"/>
  <c r="C357" i="11"/>
  <c r="AE47" i="4" s="1"/>
  <c r="D361" i="11"/>
  <c r="AF51" i="4" s="1"/>
  <c r="C370" i="11"/>
  <c r="AE60" i="4" s="1"/>
  <c r="D374" i="11"/>
  <c r="AF64" i="4" s="1"/>
  <c r="D22" i="12"/>
  <c r="C27" i="12"/>
  <c r="C32" i="12"/>
  <c r="D38" i="12"/>
  <c r="C43" i="12"/>
  <c r="C48" i="12"/>
  <c r="D54" i="12"/>
  <c r="C59" i="12"/>
  <c r="D65" i="12"/>
  <c r="C71" i="12"/>
  <c r="D77" i="12"/>
  <c r="C83" i="12"/>
  <c r="D89" i="12"/>
  <c r="D102" i="12"/>
  <c r="C102" i="12"/>
  <c r="C109" i="12"/>
  <c r="D115" i="12"/>
  <c r="D129" i="12"/>
  <c r="D136" i="12"/>
  <c r="C136" i="12"/>
  <c r="D150" i="12"/>
  <c r="C150" i="12"/>
  <c r="C157" i="12"/>
  <c r="D163" i="12"/>
  <c r="D177" i="12"/>
  <c r="D184" i="12"/>
  <c r="C184" i="12"/>
  <c r="D198" i="12"/>
  <c r="C198" i="12"/>
  <c r="C205" i="12"/>
  <c r="D211" i="12"/>
  <c r="D232" i="12"/>
  <c r="C232" i="12"/>
  <c r="D246" i="12"/>
  <c r="C246" i="12"/>
  <c r="C253" i="12"/>
  <c r="D259" i="12"/>
  <c r="C281" i="12"/>
  <c r="D280" i="12"/>
  <c r="C280" i="12"/>
  <c r="D294" i="12"/>
  <c r="C294" i="12"/>
  <c r="D307" i="12"/>
  <c r="C329" i="12"/>
  <c r="Q19" i="4" s="1"/>
  <c r="D328" i="12"/>
  <c r="R18" i="4" s="1"/>
  <c r="C328" i="12"/>
  <c r="Q18" i="4" s="1"/>
  <c r="D342" i="12"/>
  <c r="R32" i="4" s="1"/>
  <c r="C342" i="12"/>
  <c r="Q32" i="4" s="1"/>
  <c r="D355" i="12"/>
  <c r="R45" i="4" s="1"/>
  <c r="D20" i="13"/>
  <c r="C20" i="13"/>
  <c r="D155" i="13"/>
  <c r="C169" i="13"/>
  <c r="C226" i="13"/>
  <c r="D226" i="13"/>
  <c r="D234" i="13"/>
  <c r="C249" i="13"/>
  <c r="D299" i="13"/>
  <c r="D51" i="14"/>
  <c r="D39" i="14"/>
  <c r="D60" i="14"/>
  <c r="C49" i="14"/>
  <c r="C128" i="14"/>
  <c r="D127" i="14"/>
  <c r="C127" i="14"/>
  <c r="D143" i="14"/>
  <c r="C144" i="14"/>
  <c r="C246" i="14"/>
  <c r="C362" i="14"/>
  <c r="S52" i="4" s="1"/>
  <c r="C363" i="14"/>
  <c r="S53" i="4" s="1"/>
  <c r="D362" i="14"/>
  <c r="T52" i="4" s="1"/>
  <c r="D42" i="15"/>
  <c r="D30" i="15"/>
  <c r="D344" i="11"/>
  <c r="AF34" i="4" s="1"/>
  <c r="C33" i="12"/>
  <c r="C49" i="12"/>
  <c r="D71" i="12"/>
  <c r="D78" i="12"/>
  <c r="D90" i="12"/>
  <c r="D109" i="12"/>
  <c r="D116" i="12"/>
  <c r="C116" i="12"/>
  <c r="D130" i="12"/>
  <c r="C130" i="12"/>
  <c r="D157" i="12"/>
  <c r="D164" i="12"/>
  <c r="C164" i="12"/>
  <c r="D178" i="12"/>
  <c r="C178" i="12"/>
  <c r="D205" i="12"/>
  <c r="D212" i="12"/>
  <c r="C212" i="12"/>
  <c r="D226" i="12"/>
  <c r="C226" i="12"/>
  <c r="D260" i="12"/>
  <c r="C260" i="12"/>
  <c r="D274" i="12"/>
  <c r="C274" i="12"/>
  <c r="C309" i="12"/>
  <c r="D308" i="12"/>
  <c r="C308" i="12"/>
  <c r="D322" i="12"/>
  <c r="R12" i="4" s="1"/>
  <c r="C322" i="12"/>
  <c r="Q12" i="4" s="1"/>
  <c r="D370" i="12"/>
  <c r="R60" i="4" s="1"/>
  <c r="D40" i="13"/>
  <c r="C40" i="13"/>
  <c r="D52" i="13"/>
  <c r="C52" i="13"/>
  <c r="D68" i="13"/>
  <c r="C68" i="13"/>
  <c r="D84" i="13"/>
  <c r="C84" i="13"/>
  <c r="D100" i="13"/>
  <c r="C100" i="13"/>
  <c r="D133" i="13"/>
  <c r="D213" i="13"/>
  <c r="C213" i="13"/>
  <c r="D235" i="13"/>
  <c r="C235" i="13"/>
  <c r="D277" i="13"/>
  <c r="D357" i="13"/>
  <c r="P47" i="4" s="1"/>
  <c r="C357" i="13"/>
  <c r="O47" i="4" s="1"/>
  <c r="D377" i="13"/>
  <c r="P67" i="4" s="1"/>
  <c r="C39" i="14"/>
  <c r="C48" i="14"/>
  <c r="C143" i="14"/>
  <c r="C166" i="14"/>
  <c r="C173" i="14"/>
  <c r="D185" i="14"/>
  <c r="D173" i="14"/>
  <c r="D190" i="14"/>
  <c r="C214" i="14"/>
  <c r="D239" i="14"/>
  <c r="C239" i="14"/>
  <c r="D253" i="14"/>
  <c r="C377" i="14"/>
  <c r="S67" i="4" s="1"/>
  <c r="D377" i="14"/>
  <c r="T67" i="4" s="1"/>
  <c r="D192" i="15"/>
  <c r="D204" i="15"/>
  <c r="D266" i="15"/>
  <c r="C266" i="15"/>
  <c r="D278" i="15"/>
  <c r="C48" i="11"/>
  <c r="C96" i="11"/>
  <c r="C144" i="11"/>
  <c r="C192" i="11"/>
  <c r="C240" i="11"/>
  <c r="C288" i="11"/>
  <c r="D292" i="11"/>
  <c r="C336" i="11"/>
  <c r="AE26" i="4" s="1"/>
  <c r="D340" i="11"/>
  <c r="AF30" i="4" s="1"/>
  <c r="D28" i="12"/>
  <c r="D33" i="12"/>
  <c r="D44" i="12"/>
  <c r="D49" i="12"/>
  <c r="D60" i="12"/>
  <c r="C60" i="12"/>
  <c r="C66" i="12"/>
  <c r="D72" i="12"/>
  <c r="C72" i="12"/>
  <c r="C78" i="12"/>
  <c r="D84" i="12"/>
  <c r="C84" i="12"/>
  <c r="C90" i="12"/>
  <c r="D96" i="12"/>
  <c r="C96" i="12"/>
  <c r="D110" i="12"/>
  <c r="C110" i="12"/>
  <c r="C117" i="12"/>
  <c r="D137" i="12"/>
  <c r="D144" i="12"/>
  <c r="C144" i="12"/>
  <c r="D158" i="12"/>
  <c r="C158" i="12"/>
  <c r="C165" i="12"/>
  <c r="D185" i="12"/>
  <c r="D192" i="12"/>
  <c r="C192" i="12"/>
  <c r="D206" i="12"/>
  <c r="C206" i="12"/>
  <c r="C213" i="12"/>
  <c r="D240" i="12"/>
  <c r="C240" i="12"/>
  <c r="D254" i="12"/>
  <c r="C254" i="12"/>
  <c r="C261" i="12"/>
  <c r="C289" i="12"/>
  <c r="D288" i="12"/>
  <c r="C288" i="12"/>
  <c r="D302" i="12"/>
  <c r="C302" i="12"/>
  <c r="C337" i="12"/>
  <c r="Q27" i="4" s="1"/>
  <c r="D336" i="12"/>
  <c r="R26" i="4" s="1"/>
  <c r="C336" i="12"/>
  <c r="Q26" i="4" s="1"/>
  <c r="D350" i="12"/>
  <c r="R40" i="4" s="1"/>
  <c r="C350" i="12"/>
  <c r="Q40" i="4" s="1"/>
  <c r="D363" i="12"/>
  <c r="R53" i="4" s="1"/>
  <c r="D28" i="13"/>
  <c r="C28" i="13"/>
  <c r="C41" i="13"/>
  <c r="C53" i="13"/>
  <c r="C69" i="13"/>
  <c r="C85" i="13"/>
  <c r="C101" i="13"/>
  <c r="C134" i="13"/>
  <c r="C135" i="13"/>
  <c r="C156" i="13"/>
  <c r="C236" i="13"/>
  <c r="C278" i="13"/>
  <c r="C279" i="13"/>
  <c r="C300" i="13"/>
  <c r="D36" i="14"/>
  <c r="C25" i="14"/>
  <c r="D48" i="14"/>
  <c r="C121" i="14"/>
  <c r="D133" i="14"/>
  <c r="D191" i="14"/>
  <c r="D203" i="14"/>
  <c r="C191" i="14"/>
  <c r="D232" i="14"/>
  <c r="C232" i="14"/>
  <c r="D244" i="14"/>
  <c r="C192" i="15"/>
  <c r="D124" i="12"/>
  <c r="C124" i="12"/>
  <c r="D138" i="12"/>
  <c r="C138" i="12"/>
  <c r="D172" i="12"/>
  <c r="C172" i="12"/>
  <c r="D186" i="12"/>
  <c r="C186" i="12"/>
  <c r="D220" i="12"/>
  <c r="C220" i="12"/>
  <c r="D234" i="12"/>
  <c r="C234" i="12"/>
  <c r="D268" i="12"/>
  <c r="C268" i="12"/>
  <c r="D282" i="12"/>
  <c r="C282" i="12"/>
  <c r="C317" i="12"/>
  <c r="Q7" i="4" s="1"/>
  <c r="D316" i="12"/>
  <c r="R6" i="4" s="1"/>
  <c r="C316" i="12"/>
  <c r="Q6" i="4" s="1"/>
  <c r="D330" i="12"/>
  <c r="R20" i="4" s="1"/>
  <c r="C330" i="12"/>
  <c r="Q20" i="4" s="1"/>
  <c r="D142" i="13"/>
  <c r="D200" i="13"/>
  <c r="C200" i="13"/>
  <c r="D286" i="13"/>
  <c r="D344" i="13"/>
  <c r="P34" i="4" s="1"/>
  <c r="C344" i="13"/>
  <c r="O34" i="4" s="1"/>
  <c r="D82" i="14"/>
  <c r="C82" i="14"/>
  <c r="C83" i="14"/>
  <c r="C346" i="14"/>
  <c r="S36" i="4" s="1"/>
  <c r="D358" i="14"/>
  <c r="T48" i="4" s="1"/>
  <c r="D346" i="14"/>
  <c r="T36" i="4" s="1"/>
  <c r="D193" i="15"/>
  <c r="C193" i="15"/>
  <c r="D104" i="12"/>
  <c r="C104" i="12"/>
  <c r="D118" i="12"/>
  <c r="C118" i="12"/>
  <c r="D152" i="12"/>
  <c r="C152" i="12"/>
  <c r="D166" i="12"/>
  <c r="C166" i="12"/>
  <c r="D200" i="12"/>
  <c r="C200" i="12"/>
  <c r="D214" i="12"/>
  <c r="C214" i="12"/>
  <c r="D248" i="12"/>
  <c r="C248" i="12"/>
  <c r="D262" i="12"/>
  <c r="C262" i="12"/>
  <c r="C297" i="12"/>
  <c r="D296" i="12"/>
  <c r="C296" i="12"/>
  <c r="D310" i="12"/>
  <c r="C310" i="12"/>
  <c r="C345" i="12"/>
  <c r="Q35" i="4" s="1"/>
  <c r="D344" i="12"/>
  <c r="R34" i="4" s="1"/>
  <c r="C344" i="12"/>
  <c r="Q34" i="4" s="1"/>
  <c r="D358" i="12"/>
  <c r="R48" i="4" s="1"/>
  <c r="C358" i="12"/>
  <c r="Q48" i="4" s="1"/>
  <c r="D64" i="13"/>
  <c r="C64" i="13"/>
  <c r="D80" i="13"/>
  <c r="C80" i="13"/>
  <c r="D96" i="13"/>
  <c r="C96" i="13"/>
  <c r="C178" i="13"/>
  <c r="D178" i="13"/>
  <c r="D251" i="13"/>
  <c r="C322" i="13"/>
  <c r="O12" i="4" s="1"/>
  <c r="D322" i="13"/>
  <c r="P12" i="4" s="1"/>
  <c r="D92" i="14"/>
  <c r="C92" i="14"/>
  <c r="D104" i="14"/>
  <c r="D113" i="14"/>
  <c r="D101" i="14"/>
  <c r="D134" i="14"/>
  <c r="D122" i="14"/>
  <c r="C122" i="14"/>
  <c r="D184" i="14"/>
  <c r="C184" i="14"/>
  <c r="D196" i="14"/>
  <c r="D280" i="14"/>
  <c r="C280" i="14"/>
  <c r="D292" i="14"/>
  <c r="C370" i="12"/>
  <c r="Q60" i="4" s="1"/>
  <c r="C374" i="12"/>
  <c r="Q64" i="4" s="1"/>
  <c r="C378" i="12"/>
  <c r="Q68" i="4" s="1"/>
  <c r="D26" i="13"/>
  <c r="D30" i="13"/>
  <c r="D34" i="13"/>
  <c r="C111" i="13"/>
  <c r="C124" i="13"/>
  <c r="C137" i="13"/>
  <c r="D150" i="13"/>
  <c r="C159" i="13"/>
  <c r="C172" i="13"/>
  <c r="C185" i="13"/>
  <c r="D198" i="13"/>
  <c r="C207" i="13"/>
  <c r="C220" i="13"/>
  <c r="C233" i="13"/>
  <c r="D246" i="13"/>
  <c r="C255" i="13"/>
  <c r="C268" i="13"/>
  <c r="C281" i="13"/>
  <c r="D294" i="13"/>
  <c r="C303" i="13"/>
  <c r="C316" i="13"/>
  <c r="O6" i="4" s="1"/>
  <c r="C329" i="13"/>
  <c r="O19" i="4" s="1"/>
  <c r="D342" i="13"/>
  <c r="P32" i="4" s="1"/>
  <c r="C351" i="13"/>
  <c r="O41" i="4" s="1"/>
  <c r="C364" i="13"/>
  <c r="O54" i="4" s="1"/>
  <c r="C377" i="13"/>
  <c r="O67" i="4" s="1"/>
  <c r="C23" i="14"/>
  <c r="C37" i="14"/>
  <c r="D42" i="14"/>
  <c r="C42" i="14"/>
  <c r="C47" i="14"/>
  <c r="C61" i="14"/>
  <c r="D66" i="14"/>
  <c r="C66" i="14"/>
  <c r="C71" i="14"/>
  <c r="C85" i="14"/>
  <c r="D90" i="14"/>
  <c r="C90" i="14"/>
  <c r="C95" i="14"/>
  <c r="D109" i="14"/>
  <c r="C120" i="14"/>
  <c r="D125" i="14"/>
  <c r="C147" i="14"/>
  <c r="D152" i="14"/>
  <c r="D164" i="14"/>
  <c r="D264" i="14"/>
  <c r="C264" i="14"/>
  <c r="C303" i="14"/>
  <c r="D320" i="14"/>
  <c r="T10" i="4" s="1"/>
  <c r="C345" i="14"/>
  <c r="S35" i="4" s="1"/>
  <c r="D357" i="14"/>
  <c r="T47" i="4" s="1"/>
  <c r="C242" i="15"/>
  <c r="D260" i="15"/>
  <c r="D248" i="15"/>
  <c r="C248" i="15"/>
  <c r="D111" i="13"/>
  <c r="D124" i="13"/>
  <c r="D137" i="13"/>
  <c r="C142" i="13"/>
  <c r="D146" i="13"/>
  <c r="D159" i="13"/>
  <c r="D172" i="13"/>
  <c r="D185" i="13"/>
  <c r="D194" i="13"/>
  <c r="D207" i="13"/>
  <c r="D220" i="13"/>
  <c r="D233" i="13"/>
  <c r="D242" i="13"/>
  <c r="D255" i="13"/>
  <c r="D268" i="13"/>
  <c r="D281" i="13"/>
  <c r="D290" i="13"/>
  <c r="D303" i="13"/>
  <c r="D316" i="13"/>
  <c r="P6" i="4" s="1"/>
  <c r="D329" i="13"/>
  <c r="P19" i="4" s="1"/>
  <c r="D338" i="13"/>
  <c r="P28" i="4" s="1"/>
  <c r="D351" i="13"/>
  <c r="P41" i="4" s="1"/>
  <c r="D364" i="13"/>
  <c r="P54" i="4" s="1"/>
  <c r="C12" i="14"/>
  <c r="D110" i="14"/>
  <c r="C110" i="14"/>
  <c r="D136" i="14"/>
  <c r="C136" i="14"/>
  <c r="D147" i="14"/>
  <c r="C153" i="14"/>
  <c r="C165" i="14"/>
  <c r="D165" i="14"/>
  <c r="D171" i="14"/>
  <c r="C171" i="14"/>
  <c r="D177" i="14"/>
  <c r="C183" i="14"/>
  <c r="C195" i="14"/>
  <c r="D200" i="14"/>
  <c r="C207" i="14"/>
  <c r="D212" i="14"/>
  <c r="D238" i="14"/>
  <c r="C238" i="14"/>
  <c r="D251" i="14"/>
  <c r="C251" i="14"/>
  <c r="C258" i="14"/>
  <c r="C265" i="14"/>
  <c r="D265" i="14"/>
  <c r="C271" i="14"/>
  <c r="C287" i="14"/>
  <c r="C329" i="14"/>
  <c r="S19" i="4" s="1"/>
  <c r="D341" i="14"/>
  <c r="T31" i="4" s="1"/>
  <c r="D345" i="14"/>
  <c r="T35" i="4" s="1"/>
  <c r="D361" i="14"/>
  <c r="T51" i="4" s="1"/>
  <c r="C35" i="15"/>
  <c r="D35" i="15"/>
  <c r="D74" i="15"/>
  <c r="D86" i="15"/>
  <c r="D205" i="15"/>
  <c r="D217" i="15"/>
  <c r="C205" i="15"/>
  <c r="C126" i="13"/>
  <c r="C174" i="13"/>
  <c r="C222" i="13"/>
  <c r="C270" i="13"/>
  <c r="C318" i="13"/>
  <c r="O8" i="4" s="1"/>
  <c r="C366" i="13"/>
  <c r="O56" i="4" s="1"/>
  <c r="C117" i="14"/>
  <c r="C149" i="14"/>
  <c r="D149" i="14"/>
  <c r="D161" i="14"/>
  <c r="D167" i="14"/>
  <c r="D254" i="14"/>
  <c r="C254" i="14"/>
  <c r="D267" i="14"/>
  <c r="C267" i="14"/>
  <c r="C298" i="14"/>
  <c r="D310" i="14"/>
  <c r="D298" i="14"/>
  <c r="D81" i="15"/>
  <c r="D69" i="15"/>
  <c r="D180" i="15"/>
  <c r="C180" i="15"/>
  <c r="D186" i="15"/>
  <c r="C61" i="16"/>
  <c r="D61" i="16"/>
  <c r="D225" i="16"/>
  <c r="C225" i="16"/>
  <c r="C348" i="12"/>
  <c r="Q38" i="4" s="1"/>
  <c r="C352" i="12"/>
  <c r="Q42" i="4" s="1"/>
  <c r="C356" i="12"/>
  <c r="Q46" i="4" s="1"/>
  <c r="C122" i="13"/>
  <c r="C170" i="13"/>
  <c r="C218" i="13"/>
  <c r="C266" i="13"/>
  <c r="C314" i="13"/>
  <c r="O4" i="4" s="1"/>
  <c r="C362" i="13"/>
  <c r="O52" i="4" s="1"/>
  <c r="D30" i="14"/>
  <c r="C30" i="14"/>
  <c r="D54" i="14"/>
  <c r="C54" i="14"/>
  <c r="D78" i="14"/>
  <c r="C78" i="14"/>
  <c r="D102" i="14"/>
  <c r="C102" i="14"/>
  <c r="C174" i="14"/>
  <c r="C197" i="14"/>
  <c r="D197" i="14"/>
  <c r="D209" i="14"/>
  <c r="C282" i="14"/>
  <c r="D294" i="14"/>
  <c r="D282" i="14"/>
  <c r="C63" i="15"/>
  <c r="D63" i="15"/>
  <c r="D74" i="16"/>
  <c r="D62" i="16"/>
  <c r="C62" i="16"/>
  <c r="D185" i="16"/>
  <c r="C185" i="16"/>
  <c r="D197" i="16"/>
  <c r="D208" i="16"/>
  <c r="C208" i="16"/>
  <c r="C86" i="17"/>
  <c r="D98" i="17"/>
  <c r="D86" i="17"/>
  <c r="D107" i="17"/>
  <c r="C96" i="17"/>
  <c r="D95" i="17"/>
  <c r="C95" i="17"/>
  <c r="D348" i="12"/>
  <c r="R38" i="4" s="1"/>
  <c r="D352" i="12"/>
  <c r="R42" i="4" s="1"/>
  <c r="D356" i="12"/>
  <c r="R46" i="4" s="1"/>
  <c r="D360" i="12"/>
  <c r="R50" i="4" s="1"/>
  <c r="D364" i="12"/>
  <c r="R54" i="4" s="1"/>
  <c r="D368" i="12"/>
  <c r="R58" i="4" s="1"/>
  <c r="D372" i="12"/>
  <c r="R62" i="4" s="1"/>
  <c r="D376" i="12"/>
  <c r="R66" i="4" s="1"/>
  <c r="C109" i="13"/>
  <c r="C118" i="13"/>
  <c r="D122" i="13"/>
  <c r="C131" i="13"/>
  <c r="D135" i="13"/>
  <c r="C144" i="13"/>
  <c r="D148" i="13"/>
  <c r="C157" i="13"/>
  <c r="C166" i="13"/>
  <c r="D170" i="13"/>
  <c r="C179" i="13"/>
  <c r="D183" i="13"/>
  <c r="C192" i="13"/>
  <c r="D196" i="13"/>
  <c r="C205" i="13"/>
  <c r="C214" i="13"/>
  <c r="D218" i="13"/>
  <c r="C227" i="13"/>
  <c r="D231" i="13"/>
  <c r="C240" i="13"/>
  <c r="D244" i="13"/>
  <c r="C253" i="13"/>
  <c r="C262" i="13"/>
  <c r="D266" i="13"/>
  <c r="C275" i="13"/>
  <c r="D279" i="13"/>
  <c r="C288" i="13"/>
  <c r="D292" i="13"/>
  <c r="C301" i="13"/>
  <c r="C310" i="13"/>
  <c r="D314" i="13"/>
  <c r="P4" i="4" s="1"/>
  <c r="C323" i="13"/>
  <c r="O13" i="4" s="1"/>
  <c r="D327" i="13"/>
  <c r="P17" i="4" s="1"/>
  <c r="C336" i="13"/>
  <c r="O26" i="4" s="1"/>
  <c r="D340" i="13"/>
  <c r="P30" i="4" s="1"/>
  <c r="C349" i="13"/>
  <c r="O39" i="4" s="1"/>
  <c r="C358" i="13"/>
  <c r="O48" i="4" s="1"/>
  <c r="C371" i="13"/>
  <c r="O61" i="4" s="1"/>
  <c r="D375" i="13"/>
  <c r="P65" i="4" s="1"/>
  <c r="C15" i="14"/>
  <c r="D35" i="14"/>
  <c r="C40" i="14"/>
  <c r="D59" i="14"/>
  <c r="C64" i="14"/>
  <c r="D83" i="14"/>
  <c r="C88" i="14"/>
  <c r="D107" i="14"/>
  <c r="D112" i="14"/>
  <c r="D123" i="14"/>
  <c r="C123" i="14"/>
  <c r="C139" i="14"/>
  <c r="C156" i="14"/>
  <c r="C162" i="14"/>
  <c r="D168" i="14"/>
  <c r="D174" i="14"/>
  <c r="D180" i="14"/>
  <c r="C192" i="14"/>
  <c r="C198" i="14"/>
  <c r="D204" i="14"/>
  <c r="C222" i="14"/>
  <c r="D228" i="14"/>
  <c r="C255" i="14"/>
  <c r="C268" i="14"/>
  <c r="C308" i="14"/>
  <c r="D24" i="15"/>
  <c r="C64" i="15"/>
  <c r="C65" i="15"/>
  <c r="C131" i="15"/>
  <c r="D131" i="15"/>
  <c r="C174" i="15"/>
  <c r="D253" i="15"/>
  <c r="C327" i="15"/>
  <c r="I17" i="4" s="1"/>
  <c r="D326" i="15"/>
  <c r="J16" i="4" s="1"/>
  <c r="C326" i="15"/>
  <c r="I16" i="4" s="1"/>
  <c r="C114" i="13"/>
  <c r="D118" i="13"/>
  <c r="C162" i="13"/>
  <c r="D166" i="13"/>
  <c r="C210" i="13"/>
  <c r="D214" i="13"/>
  <c r="C258" i="13"/>
  <c r="D262" i="13"/>
  <c r="C306" i="13"/>
  <c r="D310" i="13"/>
  <c r="C354" i="13"/>
  <c r="O44" i="4" s="1"/>
  <c r="D358" i="13"/>
  <c r="P48" i="4" s="1"/>
  <c r="D26" i="14"/>
  <c r="C26" i="14"/>
  <c r="D50" i="14"/>
  <c r="C50" i="14"/>
  <c r="D74" i="14"/>
  <c r="C74" i="14"/>
  <c r="D98" i="14"/>
  <c r="C98" i="14"/>
  <c r="C113" i="14"/>
  <c r="C129" i="14"/>
  <c r="D141" i="14"/>
  <c r="C134" i="14"/>
  <c r="D139" i="14"/>
  <c r="C157" i="14"/>
  <c r="C163" i="14"/>
  <c r="C169" i="14"/>
  <c r="C181" i="14"/>
  <c r="D181" i="14"/>
  <c r="D186" i="14"/>
  <c r="C204" i="14"/>
  <c r="C210" i="14"/>
  <c r="D216" i="14"/>
  <c r="D222" i="14"/>
  <c r="C229" i="14"/>
  <c r="D229" i="14"/>
  <c r="D64" i="15"/>
  <c r="D91" i="15"/>
  <c r="D132" i="15"/>
  <c r="C132" i="15"/>
  <c r="C138" i="15"/>
  <c r="D138" i="15"/>
  <c r="C253" i="15"/>
  <c r="C110" i="13"/>
  <c r="C123" i="13"/>
  <c r="C158" i="13"/>
  <c r="D162" i="13"/>
  <c r="C171" i="13"/>
  <c r="C206" i="13"/>
  <c r="D210" i="13"/>
  <c r="C219" i="13"/>
  <c r="C254" i="13"/>
  <c r="D258" i="13"/>
  <c r="C267" i="13"/>
  <c r="C302" i="13"/>
  <c r="D306" i="13"/>
  <c r="C315" i="13"/>
  <c r="O5" i="4" s="1"/>
  <c r="C350" i="13"/>
  <c r="O40" i="4" s="1"/>
  <c r="D354" i="13"/>
  <c r="P44" i="4" s="1"/>
  <c r="C16" i="14"/>
  <c r="D129" i="14"/>
  <c r="C175" i="14"/>
  <c r="D235" i="14"/>
  <c r="D276" i="14"/>
  <c r="C285" i="14"/>
  <c r="D285" i="14"/>
  <c r="D254" i="15"/>
  <c r="C254" i="15"/>
  <c r="D110" i="13"/>
  <c r="D158" i="13"/>
  <c r="D206" i="13"/>
  <c r="D254" i="13"/>
  <c r="D302" i="13"/>
  <c r="D350" i="13"/>
  <c r="P40" i="4" s="1"/>
  <c r="D22" i="14"/>
  <c r="C22" i="14"/>
  <c r="D46" i="14"/>
  <c r="C46" i="14"/>
  <c r="D70" i="14"/>
  <c r="C70" i="14"/>
  <c r="D94" i="14"/>
  <c r="C94" i="14"/>
  <c r="C115" i="14"/>
  <c r="D114" i="14"/>
  <c r="D119" i="14"/>
  <c r="C140" i="14"/>
  <c r="D158" i="14"/>
  <c r="C158" i="14"/>
  <c r="C182" i="14"/>
  <c r="D187" i="14"/>
  <c r="D205" i="14"/>
  <c r="D217" i="14"/>
  <c r="C223" i="14"/>
  <c r="C335" i="14"/>
  <c r="S25" i="4" s="1"/>
  <c r="D352" i="14"/>
  <c r="T42" i="4" s="1"/>
  <c r="D368" i="14"/>
  <c r="T58" i="4" s="1"/>
  <c r="D58" i="15"/>
  <c r="C302" i="15"/>
  <c r="D206" i="14"/>
  <c r="C206" i="14"/>
  <c r="D270" i="14"/>
  <c r="C47" i="15"/>
  <c r="D59" i="15"/>
  <c r="C48" i="15"/>
  <c r="C80" i="15"/>
  <c r="D92" i="15"/>
  <c r="C81" i="15"/>
  <c r="D241" i="15"/>
  <c r="C241" i="15"/>
  <c r="D230" i="14"/>
  <c r="D243" i="14"/>
  <c r="D256" i="14"/>
  <c r="C296" i="14"/>
  <c r="D301" i="14"/>
  <c r="C312" i="14"/>
  <c r="D317" i="14"/>
  <c r="T7" i="4" s="1"/>
  <c r="C328" i="14"/>
  <c r="S18" i="4" s="1"/>
  <c r="D333" i="14"/>
  <c r="T23" i="4" s="1"/>
  <c r="C344" i="14"/>
  <c r="S34" i="4" s="1"/>
  <c r="D349" i="14"/>
  <c r="T39" i="4" s="1"/>
  <c r="C360" i="14"/>
  <c r="S50" i="4" s="1"/>
  <c r="D365" i="14"/>
  <c r="T55" i="4" s="1"/>
  <c r="C23" i="15"/>
  <c r="D23" i="15"/>
  <c r="C34" i="15"/>
  <c r="D45" i="15"/>
  <c r="C84" i="15"/>
  <c r="D95" i="15"/>
  <c r="D106" i="15"/>
  <c r="D178" i="15"/>
  <c r="C191" i="15"/>
  <c r="D203" i="15"/>
  <c r="D228" i="15"/>
  <c r="C228" i="15"/>
  <c r="D240" i="15"/>
  <c r="C365" i="15"/>
  <c r="I55" i="4" s="1"/>
  <c r="C366" i="15"/>
  <c r="I56" i="4" s="1"/>
  <c r="C86" i="16"/>
  <c r="D240" i="16"/>
  <c r="C240" i="16"/>
  <c r="D257" i="16"/>
  <c r="C257" i="16"/>
  <c r="D273" i="16"/>
  <c r="C273" i="16"/>
  <c r="C161" i="14"/>
  <c r="C209" i="14"/>
  <c r="C257" i="14"/>
  <c r="D261" i="14"/>
  <c r="C275" i="14"/>
  <c r="C286" i="14"/>
  <c r="C291" i="14"/>
  <c r="C302" i="14"/>
  <c r="C307" i="14"/>
  <c r="C318" i="14"/>
  <c r="S8" i="4" s="1"/>
  <c r="C323" i="14"/>
  <c r="S13" i="4" s="1"/>
  <c r="C334" i="14"/>
  <c r="S24" i="4" s="1"/>
  <c r="C339" i="14"/>
  <c r="S29" i="4" s="1"/>
  <c r="C350" i="14"/>
  <c r="S40" i="4" s="1"/>
  <c r="C366" i="14"/>
  <c r="S56" i="4" s="1"/>
  <c r="C10" i="15"/>
  <c r="C24" i="15"/>
  <c r="D29" i="15"/>
  <c r="D34" i="15"/>
  <c r="C40" i="15"/>
  <c r="C57" i="15"/>
  <c r="C62" i="15"/>
  <c r="D73" i="15"/>
  <c r="C85" i="15"/>
  <c r="D96" i="15"/>
  <c r="C118" i="15"/>
  <c r="D130" i="15"/>
  <c r="C161" i="15"/>
  <c r="D166" i="15"/>
  <c r="C179" i="15"/>
  <c r="D179" i="15"/>
  <c r="D191" i="15"/>
  <c r="C197" i="15"/>
  <c r="C229" i="15"/>
  <c r="C240" i="15"/>
  <c r="D252" i="15"/>
  <c r="D365" i="15"/>
  <c r="J55" i="4" s="1"/>
  <c r="C21" i="16"/>
  <c r="D21" i="16"/>
  <c r="C69" i="16"/>
  <c r="D69" i="16"/>
  <c r="C78" i="16"/>
  <c r="D86" i="16"/>
  <c r="C199" i="16"/>
  <c r="D198" i="16"/>
  <c r="D214" i="16"/>
  <c r="C215" i="16"/>
  <c r="C214" i="16"/>
  <c r="D241" i="16"/>
  <c r="C241" i="16"/>
  <c r="C145" i="14"/>
  <c r="C193" i="14"/>
  <c r="C241" i="14"/>
  <c r="C277" i="14"/>
  <c r="C293" i="14"/>
  <c r="C309" i="14"/>
  <c r="C325" i="14"/>
  <c r="S15" i="4" s="1"/>
  <c r="C341" i="14"/>
  <c r="S31" i="4" s="1"/>
  <c r="C357" i="14"/>
  <c r="S47" i="4" s="1"/>
  <c r="C13" i="15"/>
  <c r="D25" i="15"/>
  <c r="C37" i="15"/>
  <c r="D48" i="15"/>
  <c r="C92" i="15"/>
  <c r="C98" i="15"/>
  <c r="C103" i="15"/>
  <c r="D115" i="15"/>
  <c r="D103" i="15"/>
  <c r="D108" i="15"/>
  <c r="D145" i="15"/>
  <c r="C145" i="15"/>
  <c r="C194" i="15"/>
  <c r="C236" i="15"/>
  <c r="C53" i="16"/>
  <c r="D53" i="16"/>
  <c r="D135" i="16"/>
  <c r="D123" i="16"/>
  <c r="C87" i="17"/>
  <c r="C110" i="17"/>
  <c r="D122" i="17"/>
  <c r="D110" i="17"/>
  <c r="C44" i="18"/>
  <c r="D43" i="18"/>
  <c r="C43" i="18"/>
  <c r="D52" i="18"/>
  <c r="C52" i="18"/>
  <c r="C106" i="14"/>
  <c r="C119" i="14"/>
  <c r="C132" i="14"/>
  <c r="C141" i="14"/>
  <c r="D145" i="14"/>
  <c r="C154" i="14"/>
  <c r="C167" i="14"/>
  <c r="C180" i="14"/>
  <c r="C189" i="14"/>
  <c r="D193" i="14"/>
  <c r="C202" i="14"/>
  <c r="C215" i="14"/>
  <c r="C228" i="14"/>
  <c r="C237" i="14"/>
  <c r="D241" i="14"/>
  <c r="C250" i="14"/>
  <c r="C263" i="14"/>
  <c r="C272" i="14"/>
  <c r="D277" i="14"/>
  <c r="D283" i="14"/>
  <c r="C288" i="14"/>
  <c r="D293" i="14"/>
  <c r="D299" i="14"/>
  <c r="C304" i="14"/>
  <c r="D309" i="14"/>
  <c r="D315" i="14"/>
  <c r="T5" i="4" s="1"/>
  <c r="C320" i="14"/>
  <c r="S10" i="4" s="1"/>
  <c r="D325" i="14"/>
  <c r="T15" i="4" s="1"/>
  <c r="D331" i="14"/>
  <c r="T21" i="4" s="1"/>
  <c r="C336" i="14"/>
  <c r="S26" i="4" s="1"/>
  <c r="D359" i="14"/>
  <c r="T49" i="4" s="1"/>
  <c r="D347" i="14"/>
  <c r="T37" i="4" s="1"/>
  <c r="C373" i="14"/>
  <c r="S63" i="4" s="1"/>
  <c r="C378" i="14"/>
  <c r="S68" i="4" s="1"/>
  <c r="C70" i="15"/>
  <c r="D76" i="15"/>
  <c r="D109" i="15"/>
  <c r="C139" i="15"/>
  <c r="C151" i="15"/>
  <c r="D163" i="15"/>
  <c r="D151" i="15"/>
  <c r="D206" i="15"/>
  <c r="C206" i="15"/>
  <c r="D218" i="15"/>
  <c r="D243" i="15"/>
  <c r="C267" i="15"/>
  <c r="C268" i="15"/>
  <c r="D267" i="15"/>
  <c r="C303" i="15"/>
  <c r="D34" i="16"/>
  <c r="D179" i="16"/>
  <c r="D88" i="17"/>
  <c r="C88" i="17"/>
  <c r="C137" i="14"/>
  <c r="C185" i="14"/>
  <c r="D189" i="14"/>
  <c r="C233" i="14"/>
  <c r="D237" i="14"/>
  <c r="C278" i="14"/>
  <c r="C283" i="14"/>
  <c r="C294" i="14"/>
  <c r="C299" i="14"/>
  <c r="C310" i="14"/>
  <c r="C315" i="14"/>
  <c r="S5" i="4" s="1"/>
  <c r="C326" i="14"/>
  <c r="S16" i="4" s="1"/>
  <c r="C331" i="14"/>
  <c r="S21" i="4" s="1"/>
  <c r="C342" i="14"/>
  <c r="S32" i="4" s="1"/>
  <c r="C347" i="14"/>
  <c r="S37" i="4" s="1"/>
  <c r="C358" i="14"/>
  <c r="S48" i="4" s="1"/>
  <c r="D373" i="14"/>
  <c r="T63" i="4" s="1"/>
  <c r="D378" i="14"/>
  <c r="C14" i="15"/>
  <c r="C26" i="15"/>
  <c r="C43" i="15"/>
  <c r="D49" i="15"/>
  <c r="D54" i="15"/>
  <c r="D70" i="15"/>
  <c r="D87" i="15"/>
  <c r="C93" i="15"/>
  <c r="C104" i="15"/>
  <c r="C109" i="15"/>
  <c r="D139" i="15"/>
  <c r="C157" i="15"/>
  <c r="D169" i="15"/>
  <c r="C188" i="15"/>
  <c r="C200" i="15"/>
  <c r="C218" i="15"/>
  <c r="D231" i="15"/>
  <c r="C249" i="15"/>
  <c r="D261" i="15"/>
  <c r="C274" i="15"/>
  <c r="D298" i="15"/>
  <c r="D310" i="15"/>
  <c r="D321" i="15"/>
  <c r="J11" i="4" s="1"/>
  <c r="D350" i="15"/>
  <c r="J40" i="4" s="1"/>
  <c r="C374" i="15"/>
  <c r="I64" i="4" s="1"/>
  <c r="C45" i="16"/>
  <c r="D45" i="16"/>
  <c r="C54" i="16"/>
  <c r="C109" i="16"/>
  <c r="D109" i="16"/>
  <c r="D121" i="16"/>
  <c r="C167" i="16"/>
  <c r="C180" i="16"/>
  <c r="C181" i="16"/>
  <c r="D192" i="16"/>
  <c r="C9" i="17"/>
  <c r="C8" i="17"/>
  <c r="C71" i="15"/>
  <c r="D71" i="15"/>
  <c r="D158" i="15"/>
  <c r="C158" i="15"/>
  <c r="D170" i="15"/>
  <c r="D195" i="15"/>
  <c r="C219" i="15"/>
  <c r="C220" i="15"/>
  <c r="D219" i="15"/>
  <c r="D274" i="15"/>
  <c r="C323" i="15"/>
  <c r="I13" i="4" s="1"/>
  <c r="D322" i="15"/>
  <c r="J12" i="4" s="1"/>
  <c r="D334" i="15"/>
  <c r="J24" i="4" s="1"/>
  <c r="D374" i="15"/>
  <c r="J64" i="4" s="1"/>
  <c r="D54" i="16"/>
  <c r="C101" i="16"/>
  <c r="D101" i="16"/>
  <c r="D153" i="16"/>
  <c r="D294" i="16"/>
  <c r="C295" i="16"/>
  <c r="C294" i="16"/>
  <c r="D279" i="14"/>
  <c r="C284" i="14"/>
  <c r="D289" i="14"/>
  <c r="C300" i="14"/>
  <c r="D305" i="14"/>
  <c r="C316" i="14"/>
  <c r="S6" i="4" s="1"/>
  <c r="D321" i="14"/>
  <c r="T11" i="4" s="1"/>
  <c r="C332" i="14"/>
  <c r="S22" i="4" s="1"/>
  <c r="D337" i="14"/>
  <c r="T27" i="4" s="1"/>
  <c r="C348" i="14"/>
  <c r="S38" i="4" s="1"/>
  <c r="D353" i="14"/>
  <c r="T43" i="4" s="1"/>
  <c r="C364" i="14"/>
  <c r="S54" i="4" s="1"/>
  <c r="D369" i="14"/>
  <c r="T59" i="4" s="1"/>
  <c r="D374" i="14"/>
  <c r="T64" i="4" s="1"/>
  <c r="D20" i="15"/>
  <c r="C8" i="15"/>
  <c r="D27" i="15"/>
  <c r="C55" i="15"/>
  <c r="D55" i="15"/>
  <c r="C72" i="15"/>
  <c r="D77" i="15"/>
  <c r="C110" i="15"/>
  <c r="D122" i="15"/>
  <c r="D140" i="15"/>
  <c r="D147" i="15"/>
  <c r="D152" i="15"/>
  <c r="C170" i="15"/>
  <c r="D183" i="15"/>
  <c r="C201" i="15"/>
  <c r="D213" i="15"/>
  <c r="C226" i="15"/>
  <c r="C257" i="15"/>
  <c r="D262" i="15"/>
  <c r="D269" i="15"/>
  <c r="C293" i="15"/>
  <c r="C294" i="15"/>
  <c r="C322" i="15"/>
  <c r="I12" i="4" s="1"/>
  <c r="C347" i="15"/>
  <c r="I37" i="4" s="1"/>
  <c r="D346" i="15"/>
  <c r="J36" i="4" s="1"/>
  <c r="D358" i="15"/>
  <c r="J48" i="4" s="1"/>
  <c r="D369" i="15"/>
  <c r="J59" i="4" s="1"/>
  <c r="C37" i="16"/>
  <c r="D37" i="16"/>
  <c r="C93" i="16"/>
  <c r="D93" i="16"/>
  <c r="C155" i="16"/>
  <c r="D154" i="16"/>
  <c r="D166" i="16"/>
  <c r="D310" i="16"/>
  <c r="C311" i="16"/>
  <c r="C310" i="16"/>
  <c r="C274" i="14"/>
  <c r="C290" i="14"/>
  <c r="C306" i="14"/>
  <c r="C322" i="14"/>
  <c r="S12" i="4" s="1"/>
  <c r="C338" i="14"/>
  <c r="S28" i="4" s="1"/>
  <c r="C354" i="14"/>
  <c r="S44" i="4" s="1"/>
  <c r="C370" i="14"/>
  <c r="S60" i="4" s="1"/>
  <c r="D28" i="15"/>
  <c r="C83" i="15"/>
  <c r="D83" i="15"/>
  <c r="C111" i="15"/>
  <c r="C171" i="15"/>
  <c r="C172" i="15"/>
  <c r="D171" i="15"/>
  <c r="D226" i="15"/>
  <c r="C239" i="15"/>
  <c r="D251" i="15"/>
  <c r="D293" i="15"/>
  <c r="C317" i="15"/>
  <c r="I7" i="4" s="1"/>
  <c r="C318" i="15"/>
  <c r="I8" i="4" s="1"/>
  <c r="C346" i="15"/>
  <c r="I36" i="4" s="1"/>
  <c r="C371" i="15"/>
  <c r="I61" i="4" s="1"/>
  <c r="D370" i="15"/>
  <c r="J60" i="4" s="1"/>
  <c r="C85" i="16"/>
  <c r="D85" i="16"/>
  <c r="C102" i="16"/>
  <c r="C141" i="16"/>
  <c r="C154" i="16"/>
  <c r="D326" i="16"/>
  <c r="V16" i="4" s="1"/>
  <c r="C327" i="16"/>
  <c r="U17" i="4" s="1"/>
  <c r="C326" i="16"/>
  <c r="U16" i="4" s="1"/>
  <c r="C123" i="15"/>
  <c r="C124" i="15"/>
  <c r="D123" i="15"/>
  <c r="C227" i="15"/>
  <c r="D227" i="15"/>
  <c r="D239" i="15"/>
  <c r="C341" i="15"/>
  <c r="I31" i="4" s="1"/>
  <c r="C342" i="15"/>
  <c r="I32" i="4" s="1"/>
  <c r="C29" i="16"/>
  <c r="D29" i="16"/>
  <c r="C77" i="16"/>
  <c r="D77" i="16"/>
  <c r="D256" i="16"/>
  <c r="C256" i="16"/>
  <c r="D272" i="16"/>
  <c r="C272" i="16"/>
  <c r="D19" i="16"/>
  <c r="C19" i="16"/>
  <c r="D27" i="16"/>
  <c r="C27" i="16"/>
  <c r="D35" i="16"/>
  <c r="C35" i="16"/>
  <c r="D43" i="16"/>
  <c r="C43" i="16"/>
  <c r="D51" i="16"/>
  <c r="C51" i="16"/>
  <c r="D59" i="16"/>
  <c r="C59" i="16"/>
  <c r="D67" i="16"/>
  <c r="C67" i="16"/>
  <c r="D75" i="16"/>
  <c r="C75" i="16"/>
  <c r="D83" i="16"/>
  <c r="C83" i="16"/>
  <c r="D91" i="16"/>
  <c r="C91" i="16"/>
  <c r="D99" i="16"/>
  <c r="C99" i="16"/>
  <c r="D107" i="16"/>
  <c r="C107" i="16"/>
  <c r="D115" i="16"/>
  <c r="C115" i="16"/>
  <c r="D127" i="16"/>
  <c r="C140" i="16"/>
  <c r="D205" i="16"/>
  <c r="D246" i="16"/>
  <c r="C247" i="16"/>
  <c r="C246" i="16"/>
  <c r="D262" i="16"/>
  <c r="C263" i="16"/>
  <c r="C262" i="16"/>
  <c r="C331" i="16"/>
  <c r="U21" i="4" s="1"/>
  <c r="D134" i="17"/>
  <c r="C134" i="17"/>
  <c r="D148" i="17"/>
  <c r="D351" i="14"/>
  <c r="T41" i="4" s="1"/>
  <c r="D355" i="14"/>
  <c r="T45" i="4" s="1"/>
  <c r="C51" i="15"/>
  <c r="C99" i="15"/>
  <c r="C147" i="15"/>
  <c r="C195" i="15"/>
  <c r="D199" i="15"/>
  <c r="C243" i="15"/>
  <c r="D247" i="15"/>
  <c r="C282" i="15"/>
  <c r="C287" i="15"/>
  <c r="D301" i="15"/>
  <c r="C306" i="15"/>
  <c r="C311" i="15"/>
  <c r="D325" i="15"/>
  <c r="J15" i="4" s="1"/>
  <c r="C330" i="15"/>
  <c r="I20" i="4" s="1"/>
  <c r="D349" i="15"/>
  <c r="J39" i="4" s="1"/>
  <c r="C354" i="15"/>
  <c r="I44" i="4" s="1"/>
  <c r="D373" i="15"/>
  <c r="J63" i="4" s="1"/>
  <c r="D20" i="16"/>
  <c r="C20" i="16"/>
  <c r="D28" i="16"/>
  <c r="C28" i="16"/>
  <c r="D36" i="16"/>
  <c r="C36" i="16"/>
  <c r="D44" i="16"/>
  <c r="C44" i="16"/>
  <c r="D52" i="16"/>
  <c r="C52" i="16"/>
  <c r="D60" i="16"/>
  <c r="C60" i="16"/>
  <c r="D68" i="16"/>
  <c r="C68" i="16"/>
  <c r="D76" i="16"/>
  <c r="C76" i="16"/>
  <c r="D84" i="16"/>
  <c r="C84" i="16"/>
  <c r="D92" i="16"/>
  <c r="C92" i="16"/>
  <c r="D100" i="16"/>
  <c r="C100" i="16"/>
  <c r="D108" i="16"/>
  <c r="C108" i="16"/>
  <c r="C116" i="16"/>
  <c r="D116" i="16"/>
  <c r="C128" i="16"/>
  <c r="D128" i="16"/>
  <c r="D140" i="16"/>
  <c r="D184" i="16"/>
  <c r="D230" i="16"/>
  <c r="C231" i="16"/>
  <c r="C230" i="16"/>
  <c r="D247" i="16"/>
  <c r="D263" i="16"/>
  <c r="D278" i="16"/>
  <c r="C279" i="16"/>
  <c r="C278" i="16"/>
  <c r="D317" i="16"/>
  <c r="V7" i="4" s="1"/>
  <c r="C347" i="16"/>
  <c r="U37" i="4" s="1"/>
  <c r="C364" i="16"/>
  <c r="U54" i="4" s="1"/>
  <c r="D375" i="16"/>
  <c r="V65" i="4" s="1"/>
  <c r="D363" i="16"/>
  <c r="V53" i="4" s="1"/>
  <c r="C14" i="17"/>
  <c r="D109" i="17"/>
  <c r="D121" i="17"/>
  <c r="D131" i="17"/>
  <c r="C120" i="17"/>
  <c r="D119" i="17"/>
  <c r="D288" i="16"/>
  <c r="C288" i="16"/>
  <c r="D342" i="16"/>
  <c r="V32" i="4" s="1"/>
  <c r="C343" i="16"/>
  <c r="U33" i="4" s="1"/>
  <c r="C342" i="16"/>
  <c r="U32" i="4" s="1"/>
  <c r="D256" i="17"/>
  <c r="C256" i="17"/>
  <c r="D64" i="18"/>
  <c r="C64" i="18"/>
  <c r="C31" i="15"/>
  <c r="C79" i="15"/>
  <c r="C127" i="15"/>
  <c r="C175" i="15"/>
  <c r="C223" i="15"/>
  <c r="C271" i="15"/>
  <c r="D23" i="16"/>
  <c r="C23" i="16"/>
  <c r="D31" i="16"/>
  <c r="C31" i="16"/>
  <c r="D39" i="16"/>
  <c r="C39" i="16"/>
  <c r="D47" i="16"/>
  <c r="C47" i="16"/>
  <c r="D55" i="16"/>
  <c r="C55" i="16"/>
  <c r="D63" i="16"/>
  <c r="C63" i="16"/>
  <c r="D71" i="16"/>
  <c r="C71" i="16"/>
  <c r="D79" i="16"/>
  <c r="C79" i="16"/>
  <c r="D87" i="16"/>
  <c r="C87" i="16"/>
  <c r="D95" i="16"/>
  <c r="C95" i="16"/>
  <c r="D103" i="16"/>
  <c r="C103" i="16"/>
  <c r="D111" i="16"/>
  <c r="C111" i="16"/>
  <c r="D209" i="16"/>
  <c r="C209" i="16"/>
  <c r="D289" i="16"/>
  <c r="C289" i="16"/>
  <c r="D304" i="16"/>
  <c r="C304" i="16"/>
  <c r="D343" i="16"/>
  <c r="V33" i="4" s="1"/>
  <c r="D358" i="16"/>
  <c r="V48" i="4" s="1"/>
  <c r="C359" i="16"/>
  <c r="U49" i="4" s="1"/>
  <c r="C358" i="16"/>
  <c r="U48" i="4" s="1"/>
  <c r="D58" i="17"/>
  <c r="C58" i="17"/>
  <c r="C299" i="15"/>
  <c r="D24" i="16"/>
  <c r="C24" i="16"/>
  <c r="D32" i="16"/>
  <c r="C32" i="16"/>
  <c r="D40" i="16"/>
  <c r="C40" i="16"/>
  <c r="D48" i="16"/>
  <c r="C48" i="16"/>
  <c r="D56" i="16"/>
  <c r="C56" i="16"/>
  <c r="D64" i="16"/>
  <c r="C64" i="16"/>
  <c r="D72" i="16"/>
  <c r="C72" i="16"/>
  <c r="D80" i="16"/>
  <c r="C80" i="16"/>
  <c r="D88" i="16"/>
  <c r="C88" i="16"/>
  <c r="D96" i="16"/>
  <c r="C96" i="16"/>
  <c r="D104" i="16"/>
  <c r="C104" i="16"/>
  <c r="D112" i="16"/>
  <c r="C112" i="16"/>
  <c r="D124" i="16"/>
  <c r="D163" i="16"/>
  <c r="C163" i="16"/>
  <c r="D175" i="16"/>
  <c r="C190" i="16"/>
  <c r="D189" i="16"/>
  <c r="D305" i="16"/>
  <c r="C305" i="16"/>
  <c r="D320" i="16"/>
  <c r="V10" i="4" s="1"/>
  <c r="C320" i="16"/>
  <c r="U10" i="4" s="1"/>
  <c r="D374" i="16"/>
  <c r="V64" i="4" s="1"/>
  <c r="C375" i="16"/>
  <c r="U65" i="4" s="1"/>
  <c r="C374" i="16"/>
  <c r="U64" i="4" s="1"/>
  <c r="C167" i="15"/>
  <c r="C215" i="15"/>
  <c r="C263" i="15"/>
  <c r="C276" i="15"/>
  <c r="D342" i="15"/>
  <c r="J32" i="4" s="1"/>
  <c r="D366" i="15"/>
  <c r="J56" i="4" s="1"/>
  <c r="C25" i="16"/>
  <c r="D25" i="16"/>
  <c r="C33" i="16"/>
  <c r="D33" i="16"/>
  <c r="C41" i="16"/>
  <c r="D41" i="16"/>
  <c r="C49" i="16"/>
  <c r="D49" i="16"/>
  <c r="C57" i="16"/>
  <c r="D57" i="16"/>
  <c r="C65" i="16"/>
  <c r="D65" i="16"/>
  <c r="C73" i="16"/>
  <c r="D73" i="16"/>
  <c r="C81" i="16"/>
  <c r="D81" i="16"/>
  <c r="C89" i="16"/>
  <c r="D89" i="16"/>
  <c r="C97" i="16"/>
  <c r="D97" i="16"/>
  <c r="D117" i="16"/>
  <c r="C105" i="16"/>
  <c r="D105" i="16"/>
  <c r="C113" i="16"/>
  <c r="D113" i="16"/>
  <c r="C119" i="16"/>
  <c r="D125" i="16"/>
  <c r="C125" i="16"/>
  <c r="D136" i="16"/>
  <c r="C176" i="16"/>
  <c r="C177" i="16"/>
  <c r="D176" i="16"/>
  <c r="C189" i="16"/>
  <c r="C235" i="16"/>
  <c r="C251" i="16"/>
  <c r="C267" i="16"/>
  <c r="D321" i="16"/>
  <c r="V11" i="4" s="1"/>
  <c r="C321" i="16"/>
  <c r="U11" i="4" s="1"/>
  <c r="D336" i="16"/>
  <c r="V26" i="4" s="1"/>
  <c r="C336" i="16"/>
  <c r="U26" i="4" s="1"/>
  <c r="C27" i="17"/>
  <c r="D38" i="17"/>
  <c r="D26" i="17"/>
  <c r="C26" i="17"/>
  <c r="C19" i="15"/>
  <c r="D119" i="15"/>
  <c r="C128" i="15"/>
  <c r="C141" i="15"/>
  <c r="C154" i="15"/>
  <c r="C163" i="15"/>
  <c r="D167" i="15"/>
  <c r="C176" i="15"/>
  <c r="C189" i="15"/>
  <c r="C202" i="15"/>
  <c r="C211" i="15"/>
  <c r="D215" i="15"/>
  <c r="C224" i="15"/>
  <c r="C237" i="15"/>
  <c r="C250" i="15"/>
  <c r="C259" i="15"/>
  <c r="D263" i="15"/>
  <c r="C272" i="15"/>
  <c r="D285" i="15"/>
  <c r="C290" i="15"/>
  <c r="C295" i="15"/>
  <c r="D309" i="15"/>
  <c r="C314" i="15"/>
  <c r="I4" i="4" s="1"/>
  <c r="D333" i="15"/>
  <c r="J23" i="4" s="1"/>
  <c r="C338" i="15"/>
  <c r="I28" i="4" s="1"/>
  <c r="D357" i="15"/>
  <c r="J47" i="4" s="1"/>
  <c r="C362" i="15"/>
  <c r="I52" i="4" s="1"/>
  <c r="C17" i="16"/>
  <c r="C126" i="16"/>
  <c r="D126" i="16"/>
  <c r="D131" i="16"/>
  <c r="D137" i="16"/>
  <c r="C137" i="16"/>
  <c r="D149" i="16"/>
  <c r="C159" i="16"/>
  <c r="D170" i="16"/>
  <c r="C219" i="16"/>
  <c r="C283" i="16"/>
  <c r="D337" i="16"/>
  <c r="V27" i="4" s="1"/>
  <c r="C337" i="16"/>
  <c r="U27" i="4" s="1"/>
  <c r="C159" i="15"/>
  <c r="C207" i="15"/>
  <c r="D211" i="15"/>
  <c r="C255" i="15"/>
  <c r="D259" i="15"/>
  <c r="D314" i="15"/>
  <c r="J4" i="4" s="1"/>
  <c r="D338" i="15"/>
  <c r="J28" i="4" s="1"/>
  <c r="D362" i="15"/>
  <c r="J52" i="4" s="1"/>
  <c r="C26" i="16"/>
  <c r="C34" i="16"/>
  <c r="C42" i="16"/>
  <c r="C50" i="16"/>
  <c r="C58" i="16"/>
  <c r="C132" i="16"/>
  <c r="C133" i="16"/>
  <c r="D144" i="16"/>
  <c r="D138" i="16"/>
  <c r="C138" i="16"/>
  <c r="C146" i="16"/>
  <c r="D157" i="16"/>
  <c r="D150" i="16"/>
  <c r="C150" i="16"/>
  <c r="D237" i="16"/>
  <c r="D269" i="16"/>
  <c r="D353" i="16"/>
  <c r="V43" i="4" s="1"/>
  <c r="C353" i="16"/>
  <c r="U43" i="4" s="1"/>
  <c r="C43" i="17"/>
  <c r="D43" i="17"/>
  <c r="C44" i="17"/>
  <c r="D55" i="17"/>
  <c r="C185" i="17"/>
  <c r="D185" i="17"/>
  <c r="D197" i="17"/>
  <c r="C59" i="15"/>
  <c r="C107" i="15"/>
  <c r="D111" i="15"/>
  <c r="C155" i="15"/>
  <c r="D159" i="15"/>
  <c r="C203" i="15"/>
  <c r="D207" i="15"/>
  <c r="C251" i="15"/>
  <c r="D255" i="15"/>
  <c r="C291" i="15"/>
  <c r="D305" i="15"/>
  <c r="D329" i="15"/>
  <c r="J19" i="4" s="1"/>
  <c r="C334" i="15"/>
  <c r="I24" i="4" s="1"/>
  <c r="D353" i="15"/>
  <c r="J43" i="4" s="1"/>
  <c r="C358" i="15"/>
  <c r="I48" i="4" s="1"/>
  <c r="D377" i="15"/>
  <c r="J67" i="4" s="1"/>
  <c r="C139" i="16"/>
  <c r="D139" i="16"/>
  <c r="D151" i="16"/>
  <c r="D285" i="16"/>
  <c r="D369" i="16"/>
  <c r="V59" i="4" s="1"/>
  <c r="C369" i="16"/>
  <c r="U59" i="4" s="1"/>
  <c r="D20" i="17"/>
  <c r="C20" i="17"/>
  <c r="C21" i="17"/>
  <c r="D156" i="17"/>
  <c r="C156" i="17"/>
  <c r="C144" i="16"/>
  <c r="D148" i="16"/>
  <c r="D161" i="16"/>
  <c r="D174" i="16"/>
  <c r="D187" i="16"/>
  <c r="C192" i="16"/>
  <c r="D201" i="16"/>
  <c r="D212" i="16"/>
  <c r="C212" i="16"/>
  <c r="D217" i="16"/>
  <c r="D228" i="16"/>
  <c r="C228" i="16"/>
  <c r="D233" i="16"/>
  <c r="D244" i="16"/>
  <c r="C244" i="16"/>
  <c r="D260" i="16"/>
  <c r="C260" i="16"/>
  <c r="D276" i="16"/>
  <c r="C276" i="16"/>
  <c r="D292" i="16"/>
  <c r="C292" i="16"/>
  <c r="D308" i="16"/>
  <c r="C308" i="16"/>
  <c r="D324" i="16"/>
  <c r="V14" i="4" s="1"/>
  <c r="C324" i="16"/>
  <c r="U14" i="4" s="1"/>
  <c r="D340" i="16"/>
  <c r="V30" i="4" s="1"/>
  <c r="C340" i="16"/>
  <c r="U30" i="4" s="1"/>
  <c r="D29" i="17"/>
  <c r="D83" i="17"/>
  <c r="C72" i="17"/>
  <c r="C108" i="18"/>
  <c r="D107" i="18"/>
  <c r="C107" i="18"/>
  <c r="C120" i="18"/>
  <c r="D119" i="18"/>
  <c r="C119" i="18"/>
  <c r="D130" i="18"/>
  <c r="C130" i="18"/>
  <c r="C153" i="16"/>
  <c r="D218" i="16"/>
  <c r="D234" i="16"/>
  <c r="D250" i="16"/>
  <c r="D266" i="16"/>
  <c r="D282" i="16"/>
  <c r="D298" i="16"/>
  <c r="D314" i="16"/>
  <c r="V4" i="4" s="1"/>
  <c r="D330" i="16"/>
  <c r="V20" i="4" s="1"/>
  <c r="D346" i="16"/>
  <c r="V36" i="4" s="1"/>
  <c r="D362" i="16"/>
  <c r="V52" i="4" s="1"/>
  <c r="D378" i="16"/>
  <c r="C25" i="17"/>
  <c r="D24" i="17"/>
  <c r="C24" i="17"/>
  <c r="D36" i="17"/>
  <c r="D49" i="17"/>
  <c r="C50" i="17"/>
  <c r="C164" i="17"/>
  <c r="D163" i="17"/>
  <c r="D255" i="17"/>
  <c r="C255" i="17"/>
  <c r="D267" i="17"/>
  <c r="D303" i="17"/>
  <c r="C303" i="17"/>
  <c r="C124" i="16"/>
  <c r="C172" i="16"/>
  <c r="C111" i="17"/>
  <c r="D190" i="17"/>
  <c r="C179" i="17"/>
  <c r="D178" i="17"/>
  <c r="C178" i="17"/>
  <c r="D187" i="17"/>
  <c r="D199" i="17"/>
  <c r="C249" i="17"/>
  <c r="D249" i="17"/>
  <c r="D261" i="17"/>
  <c r="C250" i="17"/>
  <c r="D290" i="17"/>
  <c r="C290" i="17"/>
  <c r="D31" i="18"/>
  <c r="C20" i="18"/>
  <c r="D19" i="18"/>
  <c r="C19" i="18"/>
  <c r="C120" i="16"/>
  <c r="C168" i="16"/>
  <c r="D204" i="16"/>
  <c r="C204" i="16"/>
  <c r="D220" i="16"/>
  <c r="C220" i="16"/>
  <c r="D236" i="16"/>
  <c r="C236" i="16"/>
  <c r="D252" i="16"/>
  <c r="C252" i="16"/>
  <c r="D268" i="16"/>
  <c r="C268" i="16"/>
  <c r="D284" i="16"/>
  <c r="C284" i="16"/>
  <c r="D300" i="16"/>
  <c r="C300" i="16"/>
  <c r="D316" i="16"/>
  <c r="V6" i="4" s="1"/>
  <c r="C316" i="16"/>
  <c r="U6" i="4" s="1"/>
  <c r="D332" i="16"/>
  <c r="V22" i="4" s="1"/>
  <c r="C332" i="16"/>
  <c r="U22" i="4" s="1"/>
  <c r="D348" i="16"/>
  <c r="V38" i="4" s="1"/>
  <c r="C33" i="17"/>
  <c r="D32" i="17"/>
  <c r="C32" i="17"/>
  <c r="D44" i="17"/>
  <c r="C59" i="17"/>
  <c r="D112" i="17"/>
  <c r="C112" i="17"/>
  <c r="C129" i="17"/>
  <c r="C130" i="17"/>
  <c r="D129" i="17"/>
  <c r="C187" i="17"/>
  <c r="C228" i="18"/>
  <c r="D227" i="18"/>
  <c r="C227" i="18"/>
  <c r="C164" i="16"/>
  <c r="D210" i="16"/>
  <c r="D226" i="16"/>
  <c r="D242" i="16"/>
  <c r="D258" i="16"/>
  <c r="D274" i="16"/>
  <c r="D290" i="16"/>
  <c r="D306" i="16"/>
  <c r="D322" i="16"/>
  <c r="V12" i="4" s="1"/>
  <c r="D338" i="16"/>
  <c r="V28" i="4" s="1"/>
  <c r="D354" i="16"/>
  <c r="V44" i="4" s="1"/>
  <c r="D370" i="16"/>
  <c r="V60" i="4" s="1"/>
  <c r="D45" i="17"/>
  <c r="C45" i="17"/>
  <c r="D60" i="17"/>
  <c r="C60" i="17"/>
  <c r="D72" i="17"/>
  <c r="C68" i="17"/>
  <c r="D67" i="17"/>
  <c r="C67" i="17"/>
  <c r="D81" i="17"/>
  <c r="C81" i="17"/>
  <c r="C151" i="16"/>
  <c r="D164" i="16"/>
  <c r="C173" i="16"/>
  <c r="C186" i="16"/>
  <c r="C205" i="16"/>
  <c r="C210" i="16"/>
  <c r="C221" i="16"/>
  <c r="C226" i="16"/>
  <c r="C237" i="16"/>
  <c r="C242" i="16"/>
  <c r="C253" i="16"/>
  <c r="C258" i="16"/>
  <c r="C269" i="16"/>
  <c r="C274" i="16"/>
  <c r="C285" i="16"/>
  <c r="C290" i="16"/>
  <c r="C301" i="16"/>
  <c r="C306" i="16"/>
  <c r="C317" i="16"/>
  <c r="U7" i="4" s="1"/>
  <c r="C322" i="16"/>
  <c r="U12" i="4" s="1"/>
  <c r="C333" i="16"/>
  <c r="U23" i="4" s="1"/>
  <c r="C338" i="16"/>
  <c r="U28" i="4" s="1"/>
  <c r="C349" i="16"/>
  <c r="U39" i="4" s="1"/>
  <c r="C354" i="16"/>
  <c r="U44" i="4" s="1"/>
  <c r="D359" i="16"/>
  <c r="V49" i="4" s="1"/>
  <c r="C365" i="16"/>
  <c r="U55" i="4" s="1"/>
  <c r="C370" i="16"/>
  <c r="U60" i="4" s="1"/>
  <c r="C22" i="17"/>
  <c r="C46" i="17"/>
  <c r="C92" i="17"/>
  <c r="D91" i="17"/>
  <c r="C91" i="17"/>
  <c r="D151" i="17"/>
  <c r="C151" i="17"/>
  <c r="C339" i="17"/>
  <c r="AA29" i="4" s="1"/>
  <c r="C196" i="18"/>
  <c r="D160" i="16"/>
  <c r="D200" i="16"/>
  <c r="C200" i="16"/>
  <c r="D216" i="16"/>
  <c r="C216" i="16"/>
  <c r="D232" i="16"/>
  <c r="C232" i="16"/>
  <c r="D248" i="16"/>
  <c r="C248" i="16"/>
  <c r="D253" i="16"/>
  <c r="D264" i="16"/>
  <c r="C264" i="16"/>
  <c r="D280" i="16"/>
  <c r="C280" i="16"/>
  <c r="D296" i="16"/>
  <c r="C296" i="16"/>
  <c r="D312" i="16"/>
  <c r="C312" i="16"/>
  <c r="D328" i="16"/>
  <c r="V18" i="4" s="1"/>
  <c r="C328" i="16"/>
  <c r="U18" i="4" s="1"/>
  <c r="D344" i="16"/>
  <c r="V34" i="4" s="1"/>
  <c r="C344" i="16"/>
  <c r="U34" i="4" s="1"/>
  <c r="D22" i="17"/>
  <c r="C34" i="17"/>
  <c r="C40" i="17"/>
  <c r="D47" i="17"/>
  <c r="D59" i="17"/>
  <c r="C53" i="17"/>
  <c r="D105" i="17"/>
  <c r="D117" i="17"/>
  <c r="C105" i="17"/>
  <c r="D114" i="17"/>
  <c r="D160" i="17"/>
  <c r="D236" i="17"/>
  <c r="C165" i="16"/>
  <c r="C211" i="16"/>
  <c r="D222" i="16"/>
  <c r="C227" i="16"/>
  <c r="D238" i="16"/>
  <c r="C243" i="16"/>
  <c r="D254" i="16"/>
  <c r="C259" i="16"/>
  <c r="D270" i="16"/>
  <c r="C275" i="16"/>
  <c r="D286" i="16"/>
  <c r="C291" i="16"/>
  <c r="D302" i="16"/>
  <c r="C307" i="16"/>
  <c r="D318" i="16"/>
  <c r="V8" i="4" s="1"/>
  <c r="C323" i="16"/>
  <c r="U13" i="4" s="1"/>
  <c r="D334" i="16"/>
  <c r="V24" i="4" s="1"/>
  <c r="C339" i="16"/>
  <c r="U29" i="4" s="1"/>
  <c r="D350" i="16"/>
  <c r="V40" i="4" s="1"/>
  <c r="C355" i="16"/>
  <c r="U45" i="4" s="1"/>
  <c r="D366" i="16"/>
  <c r="V56" i="4" s="1"/>
  <c r="C371" i="16"/>
  <c r="U61" i="4" s="1"/>
  <c r="C29" i="17"/>
  <c r="D28" i="17"/>
  <c r="C28" i="17"/>
  <c r="D40" i="17"/>
  <c r="C55" i="17"/>
  <c r="D54" i="17"/>
  <c r="C54" i="17"/>
  <c r="C153" i="17"/>
  <c r="D153" i="17"/>
  <c r="D180" i="17"/>
  <c r="D168" i="17"/>
  <c r="C168" i="17"/>
  <c r="D268" i="17"/>
  <c r="C268" i="17"/>
  <c r="D280" i="17"/>
  <c r="D315" i="17"/>
  <c r="AB5" i="4" s="1"/>
  <c r="D152" i="16"/>
  <c r="D196" i="16"/>
  <c r="C196" i="16"/>
  <c r="C206" i="16"/>
  <c r="C222" i="16"/>
  <c r="C238" i="16"/>
  <c r="D100" i="17"/>
  <c r="D136" i="17"/>
  <c r="D124" i="17"/>
  <c r="C124" i="17"/>
  <c r="D146" i="17"/>
  <c r="C155" i="17"/>
  <c r="D154" i="17"/>
  <c r="C154" i="17"/>
  <c r="D219" i="17"/>
  <c r="D207" i="17"/>
  <c r="C269" i="17"/>
  <c r="C270" i="17"/>
  <c r="D269" i="17"/>
  <c r="D118" i="18"/>
  <c r="C118" i="18"/>
  <c r="C39" i="17"/>
  <c r="C52" i="17"/>
  <c r="D56" i="17"/>
  <c r="D61" i="17"/>
  <c r="C70" i="17"/>
  <c r="C84" i="17"/>
  <c r="C94" i="17"/>
  <c r="C108" i="17"/>
  <c r="D132" i="17"/>
  <c r="D137" i="17"/>
  <c r="C147" i="17"/>
  <c r="C162" i="17"/>
  <c r="D181" i="17"/>
  <c r="C186" i="17"/>
  <c r="C191" i="17"/>
  <c r="C196" i="17"/>
  <c r="C201" i="17"/>
  <c r="D201" i="17"/>
  <c r="D213" i="17"/>
  <c r="D241" i="17"/>
  <c r="C295" i="17"/>
  <c r="C84" i="18"/>
  <c r="D83" i="18"/>
  <c r="C83" i="18"/>
  <c r="D94" i="18"/>
  <c r="C94" i="18"/>
  <c r="D172" i="18"/>
  <c r="C216" i="18"/>
  <c r="D215" i="18"/>
  <c r="C215" i="18"/>
  <c r="D244" i="18"/>
  <c r="C244" i="18"/>
  <c r="D261" i="18"/>
  <c r="D273" i="18"/>
  <c r="D52" i="17"/>
  <c r="D57" i="17"/>
  <c r="C61" i="17"/>
  <c r="D70" i="17"/>
  <c r="C75" i="17"/>
  <c r="D84" i="17"/>
  <c r="C89" i="17"/>
  <c r="D94" i="17"/>
  <c r="C99" i="17"/>
  <c r="D108" i="17"/>
  <c r="C113" i="17"/>
  <c r="C118" i="17"/>
  <c r="C123" i="17"/>
  <c r="C133" i="17"/>
  <c r="D147" i="17"/>
  <c r="C152" i="17"/>
  <c r="D157" i="17"/>
  <c r="D162" i="17"/>
  <c r="C177" i="17"/>
  <c r="D196" i="17"/>
  <c r="C217" i="17"/>
  <c r="D217" i="17"/>
  <c r="D223" i="17"/>
  <c r="D229" i="17"/>
  <c r="D235" i="17"/>
  <c r="D242" i="17"/>
  <c r="C242" i="17"/>
  <c r="D248" i="17"/>
  <c r="D254" i="17"/>
  <c r="C275" i="17"/>
  <c r="C281" i="17"/>
  <c r="D293" i="17"/>
  <c r="D281" i="17"/>
  <c r="C352" i="17"/>
  <c r="AA42" i="4" s="1"/>
  <c r="D33" i="18"/>
  <c r="C33" i="18"/>
  <c r="C96" i="18"/>
  <c r="D95" i="18"/>
  <c r="C95" i="18"/>
  <c r="D106" i="18"/>
  <c r="C106" i="18"/>
  <c r="C172" i="18"/>
  <c r="D184" i="18"/>
  <c r="C261" i="18"/>
  <c r="C188" i="17"/>
  <c r="C225" i="17"/>
  <c r="C231" i="17"/>
  <c r="C237" i="17"/>
  <c r="C238" i="17"/>
  <c r="C244" i="17"/>
  <c r="C317" i="17"/>
  <c r="AA7" i="4" s="1"/>
  <c r="C318" i="17"/>
  <c r="AA8" i="4" s="1"/>
  <c r="C340" i="17"/>
  <c r="AA30" i="4" s="1"/>
  <c r="C361" i="17"/>
  <c r="AA51" i="4" s="1"/>
  <c r="D361" i="17"/>
  <c r="AB51" i="4" s="1"/>
  <c r="D76" i="18"/>
  <c r="C132" i="18"/>
  <c r="D131" i="18"/>
  <c r="C131" i="18"/>
  <c r="D142" i="18"/>
  <c r="C142" i="18"/>
  <c r="D208" i="18"/>
  <c r="D251" i="18"/>
  <c r="C240" i="18"/>
  <c r="D239" i="18"/>
  <c r="C239" i="18"/>
  <c r="D56" i="19"/>
  <c r="C56" i="19"/>
  <c r="D41" i="17"/>
  <c r="C115" i="17"/>
  <c r="C139" i="17"/>
  <c r="D149" i="17"/>
  <c r="D173" i="17"/>
  <c r="D183" i="17"/>
  <c r="D188" i="17"/>
  <c r="D193" i="17"/>
  <c r="C198" i="17"/>
  <c r="C203" i="17"/>
  <c r="D208" i="17"/>
  <c r="D214" i="17"/>
  <c r="D225" i="17"/>
  <c r="D237" i="17"/>
  <c r="D270" i="17"/>
  <c r="C291" i="17"/>
  <c r="C304" i="17"/>
  <c r="D317" i="17"/>
  <c r="AB7" i="4" s="1"/>
  <c r="C362" i="17"/>
  <c r="AA52" i="4" s="1"/>
  <c r="D40" i="18"/>
  <c r="D28" i="18"/>
  <c r="C76" i="18"/>
  <c r="D88" i="18"/>
  <c r="C144" i="18"/>
  <c r="D143" i="18"/>
  <c r="C143" i="18"/>
  <c r="D154" i="18"/>
  <c r="C154" i="18"/>
  <c r="C208" i="18"/>
  <c r="C377" i="18"/>
  <c r="AC67" i="4" s="1"/>
  <c r="D376" i="18"/>
  <c r="AD66" i="4" s="1"/>
  <c r="C376" i="18"/>
  <c r="AC66" i="4" s="1"/>
  <c r="C348" i="16"/>
  <c r="U38" i="4" s="1"/>
  <c r="C352" i="16"/>
  <c r="U42" i="4" s="1"/>
  <c r="C356" i="16"/>
  <c r="U46" i="4" s="1"/>
  <c r="D77" i="17"/>
  <c r="C82" i="17"/>
  <c r="D101" i="17"/>
  <c r="D118" i="17"/>
  <c r="C106" i="17"/>
  <c r="D115" i="17"/>
  <c r="C125" i="17"/>
  <c r="C135" i="17"/>
  <c r="C140" i="17"/>
  <c r="C169" i="17"/>
  <c r="D174" i="17"/>
  <c r="D179" i="17"/>
  <c r="C189" i="17"/>
  <c r="C208" i="17"/>
  <c r="D226" i="17"/>
  <c r="C226" i="17"/>
  <c r="D258" i="17"/>
  <c r="C258" i="17"/>
  <c r="D271" i="17"/>
  <c r="C271" i="17"/>
  <c r="D284" i="17"/>
  <c r="C292" i="17"/>
  <c r="C326" i="17"/>
  <c r="AA16" i="4" s="1"/>
  <c r="D348" i="17"/>
  <c r="AB38" i="4" s="1"/>
  <c r="C348" i="17"/>
  <c r="AA38" i="4" s="1"/>
  <c r="C28" i="18"/>
  <c r="D55" i="18"/>
  <c r="C88" i="18"/>
  <c r="D100" i="18"/>
  <c r="C156" i="18"/>
  <c r="D155" i="18"/>
  <c r="C155" i="18"/>
  <c r="D166" i="18"/>
  <c r="C166" i="18"/>
  <c r="D220" i="18"/>
  <c r="D356" i="16"/>
  <c r="V46" i="4" s="1"/>
  <c r="D360" i="16"/>
  <c r="V50" i="4" s="1"/>
  <c r="D364" i="16"/>
  <c r="V54" i="4" s="1"/>
  <c r="D33" i="17"/>
  <c r="C37" i="17"/>
  <c r="C77" i="17"/>
  <c r="D82" i="17"/>
  <c r="C101" i="17"/>
  <c r="D106" i="17"/>
  <c r="D125" i="17"/>
  <c r="D135" i="17"/>
  <c r="D140" i="17"/>
  <c r="D145" i="17"/>
  <c r="D164" i="17"/>
  <c r="C174" i="17"/>
  <c r="C184" i="17"/>
  <c r="C194" i="17"/>
  <c r="C204" i="17"/>
  <c r="D227" i="17"/>
  <c r="C285" i="17"/>
  <c r="C286" i="17"/>
  <c r="D306" i="17"/>
  <c r="D319" i="17"/>
  <c r="AB9" i="4" s="1"/>
  <c r="C327" i="17"/>
  <c r="AA17" i="4" s="1"/>
  <c r="C38" i="18"/>
  <c r="D50" i="18"/>
  <c r="D38" i="18"/>
  <c r="C168" i="18"/>
  <c r="D167" i="18"/>
  <c r="C167" i="18"/>
  <c r="D178" i="18"/>
  <c r="C178" i="18"/>
  <c r="C274" i="18"/>
  <c r="D286" i="18"/>
  <c r="C275" i="18"/>
  <c r="D73" i="17"/>
  <c r="D97" i="17"/>
  <c r="C116" i="17"/>
  <c r="D126" i="17"/>
  <c r="D204" i="17"/>
  <c r="D220" i="17"/>
  <c r="D232" i="17"/>
  <c r="D239" i="17"/>
  <c r="C239" i="17"/>
  <c r="D252" i="17"/>
  <c r="C252" i="17"/>
  <c r="C259" i="17"/>
  <c r="C265" i="17"/>
  <c r="D265" i="17"/>
  <c r="D277" i="17"/>
  <c r="C272" i="17"/>
  <c r="D285" i="17"/>
  <c r="C320" i="17"/>
  <c r="AA10" i="4" s="1"/>
  <c r="D320" i="17"/>
  <c r="AB10" i="4" s="1"/>
  <c r="C14" i="18"/>
  <c r="C39" i="18"/>
  <c r="C112" i="18"/>
  <c r="D124" i="18"/>
  <c r="C180" i="18"/>
  <c r="D179" i="18"/>
  <c r="C179" i="18"/>
  <c r="D190" i="18"/>
  <c r="C190" i="18"/>
  <c r="D232" i="18"/>
  <c r="C249" i="18"/>
  <c r="D274" i="18"/>
  <c r="C221" i="17"/>
  <c r="C222" i="17"/>
  <c r="C233" i="17"/>
  <c r="D233" i="17"/>
  <c r="D240" i="17"/>
  <c r="D300" i="17"/>
  <c r="C300" i="17"/>
  <c r="C313" i="17"/>
  <c r="D313" i="17"/>
  <c r="D325" i="17"/>
  <c r="AB15" i="4" s="1"/>
  <c r="C336" i="17"/>
  <c r="AA26" i="4" s="1"/>
  <c r="D335" i="17"/>
  <c r="AB25" i="4" s="1"/>
  <c r="C335" i="17"/>
  <c r="AA25" i="4" s="1"/>
  <c r="D58" i="18"/>
  <c r="C58" i="18"/>
  <c r="C192" i="18"/>
  <c r="D191" i="18"/>
  <c r="C191" i="18"/>
  <c r="D365" i="18"/>
  <c r="AD55" i="4" s="1"/>
  <c r="C353" i="18"/>
  <c r="AC43" i="4" s="1"/>
  <c r="D93" i="17"/>
  <c r="D166" i="17"/>
  <c r="C195" i="17"/>
  <c r="D200" i="17"/>
  <c r="D205" i="17"/>
  <c r="D221" i="17"/>
  <c r="C228" i="17"/>
  <c r="D253" i="17"/>
  <c r="C294" i="17"/>
  <c r="C314" i="17"/>
  <c r="AA4" i="4" s="1"/>
  <c r="C365" i="17"/>
  <c r="AA55" i="4" s="1"/>
  <c r="C366" i="17"/>
  <c r="AA56" i="4" s="1"/>
  <c r="C60" i="18"/>
  <c r="D59" i="18"/>
  <c r="C59" i="18"/>
  <c r="D70" i="18"/>
  <c r="C70" i="18"/>
  <c r="C136" i="18"/>
  <c r="D148" i="18"/>
  <c r="C204" i="18"/>
  <c r="D203" i="18"/>
  <c r="C203" i="18"/>
  <c r="D267" i="18"/>
  <c r="C267" i="18"/>
  <c r="D353" i="18"/>
  <c r="AD43" i="4" s="1"/>
  <c r="D65" i="17"/>
  <c r="C69" i="17"/>
  <c r="D74" i="17"/>
  <c r="C161" i="17"/>
  <c r="D161" i="17"/>
  <c r="C234" i="17"/>
  <c r="D274" i="17"/>
  <c r="C274" i="17"/>
  <c r="C288" i="17"/>
  <c r="D287" i="17"/>
  <c r="C287" i="17"/>
  <c r="C323" i="17"/>
  <c r="AA13" i="4" s="1"/>
  <c r="D322" i="17"/>
  <c r="AB12" i="4" s="1"/>
  <c r="C322" i="17"/>
  <c r="AA12" i="4" s="1"/>
  <c r="D365" i="17"/>
  <c r="AB55" i="4" s="1"/>
  <c r="C72" i="18"/>
  <c r="D71" i="18"/>
  <c r="C71" i="18"/>
  <c r="D82" i="18"/>
  <c r="C82" i="18"/>
  <c r="C148" i="18"/>
  <c r="D160" i="18"/>
  <c r="C268" i="18"/>
  <c r="C229" i="17"/>
  <c r="C277" i="17"/>
  <c r="C316" i="17"/>
  <c r="AA6" i="4" s="1"/>
  <c r="C325" i="17"/>
  <c r="AA15" i="4" s="1"/>
  <c r="D329" i="17"/>
  <c r="AB19" i="4" s="1"/>
  <c r="C338" i="17"/>
  <c r="AA28" i="4" s="1"/>
  <c r="D342" i="17"/>
  <c r="AB32" i="4" s="1"/>
  <c r="C351" i="17"/>
  <c r="AA41" i="4" s="1"/>
  <c r="D355" i="17"/>
  <c r="AB45" i="4" s="1"/>
  <c r="C364" i="17"/>
  <c r="AA54" i="4" s="1"/>
  <c r="D368" i="17"/>
  <c r="AB58" i="4" s="1"/>
  <c r="C373" i="17"/>
  <c r="AA63" i="4" s="1"/>
  <c r="D377" i="17"/>
  <c r="AB67" i="4" s="1"/>
  <c r="D22" i="18"/>
  <c r="C27" i="18"/>
  <c r="D36" i="18"/>
  <c r="C41" i="18"/>
  <c r="D46" i="18"/>
  <c r="C51" i="18"/>
  <c r="D56" i="18"/>
  <c r="C63" i="18"/>
  <c r="D68" i="18"/>
  <c r="C75" i="18"/>
  <c r="D80" i="18"/>
  <c r="C87" i="18"/>
  <c r="D92" i="18"/>
  <c r="C99" i="18"/>
  <c r="D104" i="18"/>
  <c r="C111" i="18"/>
  <c r="D116" i="18"/>
  <c r="C123" i="18"/>
  <c r="D128" i="18"/>
  <c r="C135" i="18"/>
  <c r="D140" i="18"/>
  <c r="C147" i="18"/>
  <c r="D152" i="18"/>
  <c r="C159" i="18"/>
  <c r="D164" i="18"/>
  <c r="C171" i="18"/>
  <c r="D176" i="18"/>
  <c r="C183" i="18"/>
  <c r="D188" i="18"/>
  <c r="C195" i="18"/>
  <c r="D200" i="18"/>
  <c r="C207" i="18"/>
  <c r="D212" i="18"/>
  <c r="C219" i="18"/>
  <c r="D224" i="18"/>
  <c r="C231" i="18"/>
  <c r="D236" i="18"/>
  <c r="C248" i="18"/>
  <c r="D279" i="18"/>
  <c r="C287" i="18"/>
  <c r="D293" i="18"/>
  <c r="C293" i="18"/>
  <c r="C300" i="18"/>
  <c r="C306" i="18"/>
  <c r="D306" i="18"/>
  <c r="C329" i="18"/>
  <c r="AC19" i="4" s="1"/>
  <c r="C367" i="18"/>
  <c r="AC57" i="4" s="1"/>
  <c r="D35" i="19"/>
  <c r="D47" i="19"/>
  <c r="C36" i="19"/>
  <c r="D104" i="19"/>
  <c r="C104" i="19"/>
  <c r="C105" i="19"/>
  <c r="C142" i="19"/>
  <c r="D142" i="19"/>
  <c r="D160" i="19"/>
  <c r="C160" i="19"/>
  <c r="C214" i="19"/>
  <c r="D214" i="19"/>
  <c r="C223" i="19"/>
  <c r="D223" i="19"/>
  <c r="C235" i="19"/>
  <c r="D235" i="19"/>
  <c r="C247" i="19"/>
  <c r="D247" i="19"/>
  <c r="C259" i="19"/>
  <c r="D259" i="19"/>
  <c r="C273" i="17"/>
  <c r="C321" i="17"/>
  <c r="AA11" i="4" s="1"/>
  <c r="C334" i="17"/>
  <c r="AA24" i="4" s="1"/>
  <c r="D338" i="17"/>
  <c r="AB28" i="4" s="1"/>
  <c r="D351" i="17"/>
  <c r="AB41" i="4" s="1"/>
  <c r="D364" i="17"/>
  <c r="AB54" i="4" s="1"/>
  <c r="C369" i="17"/>
  <c r="AA59" i="4" s="1"/>
  <c r="D373" i="17"/>
  <c r="AB63" i="4" s="1"/>
  <c r="D27" i="18"/>
  <c r="D37" i="18"/>
  <c r="C42" i="18"/>
  <c r="D57" i="18"/>
  <c r="C57" i="18"/>
  <c r="D69" i="18"/>
  <c r="C69" i="18"/>
  <c r="D81" i="18"/>
  <c r="C81" i="18"/>
  <c r="D93" i="18"/>
  <c r="C93" i="18"/>
  <c r="D105" i="18"/>
  <c r="C105" i="18"/>
  <c r="D117" i="18"/>
  <c r="C117" i="18"/>
  <c r="D129" i="18"/>
  <c r="C129" i="18"/>
  <c r="D141" i="18"/>
  <c r="C141" i="18"/>
  <c r="D153" i="18"/>
  <c r="C153" i="18"/>
  <c r="D165" i="18"/>
  <c r="C165" i="18"/>
  <c r="D177" i="18"/>
  <c r="C177" i="18"/>
  <c r="D189" i="18"/>
  <c r="C189" i="18"/>
  <c r="D201" i="18"/>
  <c r="C201" i="18"/>
  <c r="D213" i="18"/>
  <c r="C213" i="18"/>
  <c r="D225" i="18"/>
  <c r="C225" i="18"/>
  <c r="D237" i="18"/>
  <c r="C237" i="18"/>
  <c r="C243" i="18"/>
  <c r="D248" i="18"/>
  <c r="D280" i="18"/>
  <c r="C280" i="18"/>
  <c r="D287" i="18"/>
  <c r="D300" i="18"/>
  <c r="D375" i="18"/>
  <c r="AD65" i="4" s="1"/>
  <c r="D33" i="19"/>
  <c r="D21" i="19"/>
  <c r="C35" i="19"/>
  <c r="D97" i="19"/>
  <c r="C98" i="19"/>
  <c r="C213" i="17"/>
  <c r="C261" i="17"/>
  <c r="C309" i="17"/>
  <c r="C357" i="17"/>
  <c r="AA47" i="4" s="1"/>
  <c r="C370" i="17"/>
  <c r="AA60" i="4" s="1"/>
  <c r="D374" i="17"/>
  <c r="AB64" i="4" s="1"/>
  <c r="C262" i="18"/>
  <c r="C316" i="18"/>
  <c r="AC6" i="4" s="1"/>
  <c r="C354" i="18"/>
  <c r="AC44" i="4" s="1"/>
  <c r="D354" i="18"/>
  <c r="AD44" i="4" s="1"/>
  <c r="C58" i="19"/>
  <c r="D69" i="19"/>
  <c r="D57" i="19"/>
  <c r="C57" i="19"/>
  <c r="D85" i="19"/>
  <c r="C86" i="19"/>
  <c r="C118" i="19"/>
  <c r="D118" i="19"/>
  <c r="D136" i="19"/>
  <c r="C136" i="19"/>
  <c r="C190" i="19"/>
  <c r="D190" i="19"/>
  <c r="D208" i="19"/>
  <c r="C208" i="19"/>
  <c r="C257" i="17"/>
  <c r="C305" i="17"/>
  <c r="D309" i="17"/>
  <c r="C353" i="17"/>
  <c r="AA43" i="4" s="1"/>
  <c r="D357" i="17"/>
  <c r="AB47" i="4" s="1"/>
  <c r="C34" i="18"/>
  <c r="D53" i="18"/>
  <c r="C53" i="18"/>
  <c r="D65" i="18"/>
  <c r="C65" i="18"/>
  <c r="D77" i="18"/>
  <c r="C77" i="18"/>
  <c r="D89" i="18"/>
  <c r="C89" i="18"/>
  <c r="D101" i="18"/>
  <c r="C101" i="18"/>
  <c r="D113" i="18"/>
  <c r="C113" i="18"/>
  <c r="D125" i="18"/>
  <c r="C125" i="18"/>
  <c r="D137" i="18"/>
  <c r="C137" i="18"/>
  <c r="D149" i="18"/>
  <c r="C149" i="18"/>
  <c r="D161" i="18"/>
  <c r="C161" i="18"/>
  <c r="D173" i="18"/>
  <c r="C173" i="18"/>
  <c r="D185" i="18"/>
  <c r="C185" i="18"/>
  <c r="D197" i="18"/>
  <c r="C197" i="18"/>
  <c r="D209" i="18"/>
  <c r="C209" i="18"/>
  <c r="D221" i="18"/>
  <c r="C221" i="18"/>
  <c r="D233" i="18"/>
  <c r="C233" i="18"/>
  <c r="C256" i="18"/>
  <c r="D262" i="18"/>
  <c r="D296" i="18"/>
  <c r="D321" i="18"/>
  <c r="AD11" i="4" s="1"/>
  <c r="D309" i="18"/>
  <c r="C332" i="18"/>
  <c r="AC22" i="4" s="1"/>
  <c r="D352" i="18"/>
  <c r="AD42" i="4" s="1"/>
  <c r="C340" i="18"/>
  <c r="AC30" i="4" s="1"/>
  <c r="D370" i="18"/>
  <c r="AD60" i="4" s="1"/>
  <c r="D30" i="19"/>
  <c r="D42" i="19"/>
  <c r="D39" i="19"/>
  <c r="C39" i="19"/>
  <c r="C85" i="19"/>
  <c r="C157" i="17"/>
  <c r="C205" i="17"/>
  <c r="D209" i="17"/>
  <c r="C253" i="17"/>
  <c r="D257" i="17"/>
  <c r="C301" i="17"/>
  <c r="D305" i="17"/>
  <c r="D344" i="17"/>
  <c r="AB34" i="4" s="1"/>
  <c r="C349" i="17"/>
  <c r="AA39" i="4" s="1"/>
  <c r="D353" i="17"/>
  <c r="AB43" i="4" s="1"/>
  <c r="D366" i="17"/>
  <c r="AB56" i="4" s="1"/>
  <c r="C29" i="18"/>
  <c r="D34" i="18"/>
  <c r="D48" i="18"/>
  <c r="D54" i="18"/>
  <c r="C54" i="18"/>
  <c r="D66" i="18"/>
  <c r="C66" i="18"/>
  <c r="D78" i="18"/>
  <c r="C78" i="18"/>
  <c r="D90" i="18"/>
  <c r="C90" i="18"/>
  <c r="D102" i="18"/>
  <c r="C102" i="18"/>
  <c r="D114" i="18"/>
  <c r="C114" i="18"/>
  <c r="D126" i="18"/>
  <c r="C126" i="18"/>
  <c r="D138" i="18"/>
  <c r="C138" i="18"/>
  <c r="D150" i="18"/>
  <c r="C150" i="18"/>
  <c r="D162" i="18"/>
  <c r="C162" i="18"/>
  <c r="D174" i="18"/>
  <c r="C174" i="18"/>
  <c r="D186" i="18"/>
  <c r="C186" i="18"/>
  <c r="D198" i="18"/>
  <c r="C234" i="18"/>
  <c r="D245" i="18"/>
  <c r="C245" i="18"/>
  <c r="D256" i="18"/>
  <c r="D269" i="18"/>
  <c r="C283" i="18"/>
  <c r="C296" i="18"/>
  <c r="C309" i="18"/>
  <c r="D340" i="18"/>
  <c r="AD30" i="4" s="1"/>
  <c r="D363" i="18"/>
  <c r="AD53" i="4" s="1"/>
  <c r="C363" i="18"/>
  <c r="AC53" i="4" s="1"/>
  <c r="D28" i="19"/>
  <c r="C16" i="19"/>
  <c r="C30" i="19"/>
  <c r="D40" i="19"/>
  <c r="C40" i="19"/>
  <c r="D80" i="19"/>
  <c r="C80" i="19"/>
  <c r="C81" i="19"/>
  <c r="D25" i="18"/>
  <c r="C270" i="18"/>
  <c r="D270" i="18"/>
  <c r="C318" i="18"/>
  <c r="AC8" i="4" s="1"/>
  <c r="D330" i="18"/>
  <c r="AD20" i="4" s="1"/>
  <c r="D318" i="18"/>
  <c r="AD8" i="4" s="1"/>
  <c r="D341" i="18"/>
  <c r="AD31" i="4" s="1"/>
  <c r="C341" i="18"/>
  <c r="AC31" i="4" s="1"/>
  <c r="D53" i="19"/>
  <c r="C42" i="19"/>
  <c r="D41" i="19"/>
  <c r="C41" i="19"/>
  <c r="D73" i="19"/>
  <c r="C74" i="19"/>
  <c r="D128" i="19"/>
  <c r="C128" i="19"/>
  <c r="C129" i="19"/>
  <c r="C183" i="19"/>
  <c r="D183" i="19"/>
  <c r="D200" i="19"/>
  <c r="C200" i="19"/>
  <c r="C201" i="19"/>
  <c r="C149" i="17"/>
  <c r="C197" i="17"/>
  <c r="C245" i="17"/>
  <c r="C284" i="17"/>
  <c r="C293" i="17"/>
  <c r="D297" i="17"/>
  <c r="C306" i="17"/>
  <c r="C319" i="17"/>
  <c r="AA9" i="4" s="1"/>
  <c r="C332" i="17"/>
  <c r="AA22" i="4" s="1"/>
  <c r="C341" i="17"/>
  <c r="AA31" i="4" s="1"/>
  <c r="D345" i="17"/>
  <c r="AB35" i="4" s="1"/>
  <c r="C354" i="17"/>
  <c r="AA44" i="4" s="1"/>
  <c r="C367" i="17"/>
  <c r="AA57" i="4" s="1"/>
  <c r="C25" i="18"/>
  <c r="D30" i="18"/>
  <c r="C35" i="18"/>
  <c r="C49" i="18"/>
  <c r="C55" i="18"/>
  <c r="C67" i="18"/>
  <c r="C79" i="18"/>
  <c r="C91" i="18"/>
  <c r="C103" i="18"/>
  <c r="C115" i="18"/>
  <c r="C127" i="18"/>
  <c r="C139" i="18"/>
  <c r="C151" i="18"/>
  <c r="C163" i="18"/>
  <c r="C175" i="18"/>
  <c r="D180" i="18"/>
  <c r="C187" i="18"/>
  <c r="C199" i="18"/>
  <c r="C211" i="18"/>
  <c r="C223" i="18"/>
  <c r="C235" i="18"/>
  <c r="D257" i="18"/>
  <c r="D264" i="18"/>
  <c r="C284" i="18"/>
  <c r="C297" i="18"/>
  <c r="D310" i="18"/>
  <c r="D51" i="19"/>
  <c r="C51" i="19"/>
  <c r="C111" i="19"/>
  <c r="D111" i="19"/>
  <c r="C166" i="19"/>
  <c r="D166" i="19"/>
  <c r="D184" i="19"/>
  <c r="C184" i="19"/>
  <c r="D341" i="17"/>
  <c r="AB31" i="4" s="1"/>
  <c r="D21" i="18"/>
  <c r="C26" i="18"/>
  <c r="D45" i="18"/>
  <c r="C50" i="18"/>
  <c r="D61" i="18"/>
  <c r="C61" i="18"/>
  <c r="D73" i="18"/>
  <c r="C73" i="18"/>
  <c r="D85" i="18"/>
  <c r="C85" i="18"/>
  <c r="D97" i="18"/>
  <c r="C97" i="18"/>
  <c r="D109" i="18"/>
  <c r="C109" i="18"/>
  <c r="D121" i="18"/>
  <c r="C121" i="18"/>
  <c r="D133" i="18"/>
  <c r="C133" i="18"/>
  <c r="D145" i="18"/>
  <c r="C145" i="18"/>
  <c r="D157" i="18"/>
  <c r="C157" i="18"/>
  <c r="D169" i="18"/>
  <c r="C169" i="18"/>
  <c r="D181" i="18"/>
  <c r="C181" i="18"/>
  <c r="D193" i="18"/>
  <c r="C193" i="18"/>
  <c r="D205" i="18"/>
  <c r="C205" i="18"/>
  <c r="D217" i="18"/>
  <c r="C217" i="18"/>
  <c r="D229" i="18"/>
  <c r="C229" i="18"/>
  <c r="D241" i="18"/>
  <c r="C241" i="18"/>
  <c r="C258" i="18"/>
  <c r="D258" i="18"/>
  <c r="C271" i="18"/>
  <c r="C278" i="18"/>
  <c r="D290" i="18"/>
  <c r="D291" i="18"/>
  <c r="D304" i="18"/>
  <c r="C319" i="18"/>
  <c r="AC9" i="4" s="1"/>
  <c r="D339" i="18"/>
  <c r="AD29" i="4" s="1"/>
  <c r="C327" i="18"/>
  <c r="AC17" i="4" s="1"/>
  <c r="D112" i="19"/>
  <c r="C112" i="19"/>
  <c r="D62" i="18"/>
  <c r="C62" i="18"/>
  <c r="D74" i="18"/>
  <c r="C74" i="18"/>
  <c r="D86" i="18"/>
  <c r="C86" i="18"/>
  <c r="D98" i="18"/>
  <c r="C98" i="18"/>
  <c r="D110" i="18"/>
  <c r="C110" i="18"/>
  <c r="D122" i="18"/>
  <c r="C122" i="18"/>
  <c r="D134" i="18"/>
  <c r="C134" i="18"/>
  <c r="D146" i="18"/>
  <c r="C146" i="18"/>
  <c r="D158" i="18"/>
  <c r="C158" i="18"/>
  <c r="D170" i="18"/>
  <c r="C170" i="18"/>
  <c r="D182" i="18"/>
  <c r="C182" i="18"/>
  <c r="D194" i="18"/>
  <c r="C194" i="18"/>
  <c r="D206" i="18"/>
  <c r="D317" i="18"/>
  <c r="AD7" i="4" s="1"/>
  <c r="C305" i="18"/>
  <c r="C366" i="18"/>
  <c r="AC56" i="4" s="1"/>
  <c r="D378" i="18"/>
  <c r="D366" i="18"/>
  <c r="AD56" i="4" s="1"/>
  <c r="D68" i="19"/>
  <c r="C68" i="19"/>
  <c r="C69" i="19"/>
  <c r="D333" i="17"/>
  <c r="AB23" i="4" s="1"/>
  <c r="D292" i="18"/>
  <c r="D305" i="18"/>
  <c r="C313" i="18"/>
  <c r="D325" i="18"/>
  <c r="AD15" i="4" s="1"/>
  <c r="D328" i="18"/>
  <c r="AD18" i="4" s="1"/>
  <c r="C328" i="18"/>
  <c r="AC18" i="4" s="1"/>
  <c r="D358" i="18"/>
  <c r="AD48" i="4" s="1"/>
  <c r="D34" i="19"/>
  <c r="C34" i="19"/>
  <c r="C159" i="19"/>
  <c r="D159" i="19"/>
  <c r="D176" i="19"/>
  <c r="C176" i="19"/>
  <c r="C177" i="19"/>
  <c r="C266" i="18"/>
  <c r="C314" i="18"/>
  <c r="AC4" i="4" s="1"/>
  <c r="D331" i="18"/>
  <c r="AD21" i="4" s="1"/>
  <c r="D344" i="18"/>
  <c r="AD34" i="4" s="1"/>
  <c r="D357" i="18"/>
  <c r="AD47" i="4" s="1"/>
  <c r="C362" i="18"/>
  <c r="AC52" i="4" s="1"/>
  <c r="D20" i="19"/>
  <c r="C67" i="19"/>
  <c r="C79" i="19"/>
  <c r="C91" i="19"/>
  <c r="C103" i="19"/>
  <c r="C119" i="19"/>
  <c r="C143" i="19"/>
  <c r="C167" i="19"/>
  <c r="C191" i="19"/>
  <c r="C215" i="19"/>
  <c r="D224" i="19"/>
  <c r="C224" i="19"/>
  <c r="D236" i="19"/>
  <c r="C236" i="19"/>
  <c r="D248" i="19"/>
  <c r="C248" i="19"/>
  <c r="D260" i="19"/>
  <c r="C260" i="19"/>
  <c r="D272" i="19"/>
  <c r="C272" i="19"/>
  <c r="D284" i="19"/>
  <c r="C284" i="19"/>
  <c r="D296" i="19"/>
  <c r="C296" i="19"/>
  <c r="D308" i="19"/>
  <c r="C308" i="19"/>
  <c r="D320" i="19"/>
  <c r="Z10" i="4" s="1"/>
  <c r="C320" i="19"/>
  <c r="Y10" i="4" s="1"/>
  <c r="D332" i="19"/>
  <c r="Z22" i="4" s="1"/>
  <c r="C332" i="19"/>
  <c r="Y22" i="4" s="1"/>
  <c r="D356" i="19"/>
  <c r="Z46" i="4" s="1"/>
  <c r="C356" i="19"/>
  <c r="Y46" i="4" s="1"/>
  <c r="C254" i="18"/>
  <c r="C302" i="18"/>
  <c r="C350" i="18"/>
  <c r="AC40" i="4" s="1"/>
  <c r="D26" i="19"/>
  <c r="D62" i="19"/>
  <c r="D74" i="19"/>
  <c r="D86" i="19"/>
  <c r="D98" i="19"/>
  <c r="D113" i="19"/>
  <c r="C113" i="19"/>
  <c r="D121" i="19"/>
  <c r="D137" i="19"/>
  <c r="C137" i="19"/>
  <c r="D145" i="19"/>
  <c r="D161" i="19"/>
  <c r="C161" i="19"/>
  <c r="D169" i="19"/>
  <c r="D185" i="19"/>
  <c r="C185" i="19"/>
  <c r="D193" i="19"/>
  <c r="D209" i="19"/>
  <c r="C209" i="19"/>
  <c r="D217" i="19"/>
  <c r="C227" i="19"/>
  <c r="D227" i="19"/>
  <c r="C239" i="19"/>
  <c r="D239" i="19"/>
  <c r="C251" i="19"/>
  <c r="D251" i="19"/>
  <c r="C275" i="19"/>
  <c r="D275" i="19"/>
  <c r="C250" i="18"/>
  <c r="D254" i="18"/>
  <c r="C263" i="18"/>
  <c r="C276" i="18"/>
  <c r="C289" i="18"/>
  <c r="C298" i="18"/>
  <c r="D302" i="18"/>
  <c r="C311" i="18"/>
  <c r="C324" i="18"/>
  <c r="AC14" i="4" s="1"/>
  <c r="C337" i="18"/>
  <c r="AC27" i="4" s="1"/>
  <c r="C346" i="18"/>
  <c r="AC36" i="4" s="1"/>
  <c r="D350" i="18"/>
  <c r="AD40" i="4" s="1"/>
  <c r="C359" i="18"/>
  <c r="AC49" i="4" s="1"/>
  <c r="C372" i="18"/>
  <c r="AC62" i="4" s="1"/>
  <c r="C10" i="19"/>
  <c r="D22" i="19"/>
  <c r="C26" i="19"/>
  <c r="C31" i="19"/>
  <c r="D228" i="19"/>
  <c r="C228" i="19"/>
  <c r="D240" i="19"/>
  <c r="C240" i="19"/>
  <c r="D252" i="19"/>
  <c r="C252" i="19"/>
  <c r="D264" i="19"/>
  <c r="C264" i="19"/>
  <c r="D276" i="19"/>
  <c r="C276" i="19"/>
  <c r="D288" i="19"/>
  <c r="C288" i="19"/>
  <c r="D300" i="19"/>
  <c r="C300" i="19"/>
  <c r="D312" i="19"/>
  <c r="C312" i="19"/>
  <c r="D324" i="19"/>
  <c r="Z14" i="4" s="1"/>
  <c r="C324" i="19"/>
  <c r="Y14" i="4" s="1"/>
  <c r="D336" i="19"/>
  <c r="Z26" i="4" s="1"/>
  <c r="C336" i="19"/>
  <c r="Y26" i="4" s="1"/>
  <c r="D348" i="19"/>
  <c r="Z38" i="4" s="1"/>
  <c r="C348" i="19"/>
  <c r="Y38" i="4" s="1"/>
  <c r="D372" i="19"/>
  <c r="Z62" i="4" s="1"/>
  <c r="C372" i="19"/>
  <c r="Y62" i="4" s="1"/>
  <c r="C373" i="19"/>
  <c r="Y63" i="4" s="1"/>
  <c r="C246" i="18"/>
  <c r="D250" i="18"/>
  <c r="C259" i="18"/>
  <c r="D263" i="18"/>
  <c r="C272" i="18"/>
  <c r="D276" i="18"/>
  <c r="C285" i="18"/>
  <c r="C294" i="18"/>
  <c r="D298" i="18"/>
  <c r="C307" i="18"/>
  <c r="D311" i="18"/>
  <c r="C320" i="18"/>
  <c r="AC10" i="4" s="1"/>
  <c r="D324" i="18"/>
  <c r="AD14" i="4" s="1"/>
  <c r="C333" i="18"/>
  <c r="AC23" i="4" s="1"/>
  <c r="C342" i="18"/>
  <c r="AC32" i="4" s="1"/>
  <c r="D346" i="18"/>
  <c r="AD36" i="4" s="1"/>
  <c r="C355" i="18"/>
  <c r="AC45" i="4" s="1"/>
  <c r="D359" i="18"/>
  <c r="AD49" i="4" s="1"/>
  <c r="C368" i="18"/>
  <c r="AC58" i="4" s="1"/>
  <c r="D372" i="18"/>
  <c r="AD62" i="4" s="1"/>
  <c r="C22" i="19"/>
  <c r="D27" i="19"/>
  <c r="D36" i="19"/>
  <c r="D52" i="19"/>
  <c r="C52" i="19"/>
  <c r="D63" i="19"/>
  <c r="D75" i="19"/>
  <c r="D87" i="19"/>
  <c r="D99" i="19"/>
  <c r="C106" i="19"/>
  <c r="D106" i="19"/>
  <c r="D114" i="19"/>
  <c r="C130" i="19"/>
  <c r="D130" i="19"/>
  <c r="D138" i="19"/>
  <c r="C154" i="19"/>
  <c r="D154" i="19"/>
  <c r="D162" i="19"/>
  <c r="C178" i="19"/>
  <c r="D178" i="19"/>
  <c r="D186" i="19"/>
  <c r="C202" i="19"/>
  <c r="D202" i="19"/>
  <c r="D210" i="19"/>
  <c r="D229" i="19"/>
  <c r="C229" i="19"/>
  <c r="D241" i="19"/>
  <c r="C241" i="19"/>
  <c r="D253" i="19"/>
  <c r="C253" i="19"/>
  <c r="D265" i="19"/>
  <c r="C265" i="19"/>
  <c r="D277" i="19"/>
  <c r="C277" i="19"/>
  <c r="C198" i="18"/>
  <c r="C202" i="18"/>
  <c r="C206" i="18"/>
  <c r="C210" i="18"/>
  <c r="C214" i="18"/>
  <c r="C218" i="18"/>
  <c r="C222" i="18"/>
  <c r="C226" i="18"/>
  <c r="D246" i="18"/>
  <c r="C290" i="18"/>
  <c r="D294" i="18"/>
  <c r="C338" i="18"/>
  <c r="AC28" i="4" s="1"/>
  <c r="D342" i="18"/>
  <c r="AD32" i="4" s="1"/>
  <c r="C351" i="18"/>
  <c r="AC41" i="4" s="1"/>
  <c r="C18" i="19"/>
  <c r="C27" i="19"/>
  <c r="C32" i="19"/>
  <c r="C63" i="19"/>
  <c r="C75" i="19"/>
  <c r="C87" i="19"/>
  <c r="C99" i="19"/>
  <c r="D230" i="19"/>
  <c r="C230" i="19"/>
  <c r="D242" i="19"/>
  <c r="C242" i="19"/>
  <c r="D254" i="19"/>
  <c r="C254" i="19"/>
  <c r="D278" i="19"/>
  <c r="C278" i="19"/>
  <c r="D302" i="19"/>
  <c r="C302" i="19"/>
  <c r="D326" i="19"/>
  <c r="Z16" i="4" s="1"/>
  <c r="C326" i="19"/>
  <c r="Y16" i="4" s="1"/>
  <c r="D350" i="19"/>
  <c r="Z40" i="4" s="1"/>
  <c r="C350" i="19"/>
  <c r="Y40" i="4" s="1"/>
  <c r="D214" i="18"/>
  <c r="D218" i="18"/>
  <c r="D222" i="18"/>
  <c r="C299" i="18"/>
  <c r="C334" i="18"/>
  <c r="AC24" i="4" s="1"/>
  <c r="D338" i="18"/>
  <c r="AD28" i="4" s="1"/>
  <c r="C347" i="18"/>
  <c r="AC37" i="4" s="1"/>
  <c r="C23" i="19"/>
  <c r="D64" i="19"/>
  <c r="C64" i="19"/>
  <c r="D76" i="19"/>
  <c r="C76" i="19"/>
  <c r="D88" i="19"/>
  <c r="C88" i="19"/>
  <c r="D100" i="19"/>
  <c r="C100" i="19"/>
  <c r="D107" i="19"/>
  <c r="D115" i="19"/>
  <c r="C123" i="19"/>
  <c r="D123" i="19"/>
  <c r="D131" i="19"/>
  <c r="C147" i="19"/>
  <c r="D147" i="19"/>
  <c r="D155" i="19"/>
  <c r="C171" i="19"/>
  <c r="D171" i="19"/>
  <c r="D179" i="19"/>
  <c r="C195" i="19"/>
  <c r="D195" i="19"/>
  <c r="D203" i="19"/>
  <c r="C219" i="19"/>
  <c r="D219" i="19"/>
  <c r="C231" i="19"/>
  <c r="D231" i="19"/>
  <c r="C243" i="19"/>
  <c r="D243" i="19"/>
  <c r="C255" i="19"/>
  <c r="C267" i="19"/>
  <c r="D267" i="19"/>
  <c r="D334" i="18"/>
  <c r="AD24" i="4" s="1"/>
  <c r="D347" i="18"/>
  <c r="AD37" i="4" s="1"/>
  <c r="D360" i="18"/>
  <c r="AD50" i="4" s="1"/>
  <c r="D373" i="18"/>
  <c r="AD63" i="4" s="1"/>
  <c r="D116" i="19"/>
  <c r="C116" i="19"/>
  <c r="D124" i="19"/>
  <c r="C124" i="19"/>
  <c r="D140" i="19"/>
  <c r="C140" i="19"/>
  <c r="D148" i="19"/>
  <c r="C148" i="19"/>
  <c r="D164" i="19"/>
  <c r="C164" i="19"/>
  <c r="D172" i="19"/>
  <c r="C172" i="19"/>
  <c r="D188" i="19"/>
  <c r="C188" i="19"/>
  <c r="D196" i="19"/>
  <c r="C196" i="19"/>
  <c r="D212" i="19"/>
  <c r="C212" i="19"/>
  <c r="D220" i="19"/>
  <c r="C220" i="19"/>
  <c r="D232" i="19"/>
  <c r="C232" i="19"/>
  <c r="D244" i="19"/>
  <c r="C244" i="19"/>
  <c r="D256" i="19"/>
  <c r="C256" i="19"/>
  <c r="D268" i="19"/>
  <c r="C268" i="19"/>
  <c r="D280" i="19"/>
  <c r="C280" i="19"/>
  <c r="D292" i="19"/>
  <c r="C292" i="19"/>
  <c r="D304" i="19"/>
  <c r="C304" i="19"/>
  <c r="D316" i="19"/>
  <c r="Z6" i="4" s="1"/>
  <c r="C316" i="19"/>
  <c r="Y6" i="4" s="1"/>
  <c r="D328" i="19"/>
  <c r="Z18" i="4" s="1"/>
  <c r="C328" i="19"/>
  <c r="Y18" i="4" s="1"/>
  <c r="D340" i="19"/>
  <c r="Z30" i="4" s="1"/>
  <c r="C340" i="19"/>
  <c r="Y30" i="4" s="1"/>
  <c r="D364" i="19"/>
  <c r="Z54" i="4" s="1"/>
  <c r="C364" i="19"/>
  <c r="Y54" i="4" s="1"/>
  <c r="D109" i="19"/>
  <c r="D125" i="19"/>
  <c r="C125" i="19"/>
  <c r="D149" i="19"/>
  <c r="C149" i="19"/>
  <c r="D173" i="19"/>
  <c r="C173" i="19"/>
  <c r="D197" i="19"/>
  <c r="C197" i="19"/>
  <c r="D221" i="19"/>
  <c r="C221" i="19"/>
  <c r="D233" i="19"/>
  <c r="C233" i="19"/>
  <c r="D245" i="19"/>
  <c r="C245" i="19"/>
  <c r="D257" i="19"/>
  <c r="C257" i="19"/>
  <c r="D269" i="19"/>
  <c r="C269" i="19"/>
  <c r="D326" i="18"/>
  <c r="AD16" i="4" s="1"/>
  <c r="D374" i="18"/>
  <c r="AD64" i="4" s="1"/>
  <c r="C38" i="19"/>
  <c r="D44" i="19"/>
  <c r="C44" i="19"/>
  <c r="C49" i="19"/>
  <c r="C109" i="19"/>
  <c r="C126" i="19"/>
  <c r="C133" i="19"/>
  <c r="C150" i="19"/>
  <c r="C157" i="19"/>
  <c r="C174" i="19"/>
  <c r="C181" i="19"/>
  <c r="C198" i="19"/>
  <c r="C205" i="19"/>
  <c r="D222" i="19"/>
  <c r="C222" i="19"/>
  <c r="D234" i="19"/>
  <c r="C234" i="19"/>
  <c r="D246" i="19"/>
  <c r="C246" i="19"/>
  <c r="D258" i="19"/>
  <c r="C258" i="19"/>
  <c r="D270" i="19"/>
  <c r="C270" i="19"/>
  <c r="D294" i="19"/>
  <c r="C294" i="19"/>
  <c r="D318" i="19"/>
  <c r="Z8" i="4" s="1"/>
  <c r="C318" i="19"/>
  <c r="Y8" i="4" s="1"/>
  <c r="D342" i="19"/>
  <c r="Z32" i="4" s="1"/>
  <c r="C342" i="19"/>
  <c r="Y32" i="4" s="1"/>
  <c r="D366" i="19"/>
  <c r="Z56" i="4" s="1"/>
  <c r="C366" i="19"/>
  <c r="Y56" i="4" s="1"/>
  <c r="C371" i="19"/>
  <c r="Y61" i="4" s="1"/>
  <c r="D60" i="19"/>
  <c r="C60" i="19"/>
  <c r="D84" i="19"/>
  <c r="C84" i="19"/>
  <c r="C110" i="19"/>
  <c r="D117" i="19"/>
  <c r="D144" i="19"/>
  <c r="C144" i="19"/>
  <c r="C151" i="19"/>
  <c r="C158" i="19"/>
  <c r="D165" i="19"/>
  <c r="D192" i="19"/>
  <c r="C192" i="19"/>
  <c r="C199" i="19"/>
  <c r="C206" i="19"/>
  <c r="D283" i="19"/>
  <c r="D291" i="19"/>
  <c r="D299" i="19"/>
  <c r="D307" i="19"/>
  <c r="D315" i="19"/>
  <c r="Z5" i="4" s="1"/>
  <c r="D323" i="19"/>
  <c r="Z13" i="4" s="1"/>
  <c r="D331" i="19"/>
  <c r="Z21" i="4" s="1"/>
  <c r="D339" i="19"/>
  <c r="Z29" i="4" s="1"/>
  <c r="D347" i="19"/>
  <c r="Z37" i="4" s="1"/>
  <c r="D355" i="19"/>
  <c r="Z45" i="4" s="1"/>
  <c r="D363" i="19"/>
  <c r="Z53" i="4" s="1"/>
  <c r="D293" i="19"/>
  <c r="D301" i="19"/>
  <c r="D309" i="19"/>
  <c r="D317" i="19"/>
  <c r="Z7" i="4" s="1"/>
  <c r="D325" i="19"/>
  <c r="Z15" i="4" s="1"/>
  <c r="D333" i="19"/>
  <c r="Z23" i="4" s="1"/>
  <c r="D341" i="19"/>
  <c r="Z31" i="4" s="1"/>
  <c r="D349" i="19"/>
  <c r="Z39" i="4" s="1"/>
  <c r="D357" i="19"/>
  <c r="Z47" i="4" s="1"/>
  <c r="D365" i="19"/>
  <c r="Z55" i="4" s="1"/>
  <c r="D373" i="19"/>
  <c r="Z63" i="4" s="1"/>
  <c r="D132" i="19"/>
  <c r="C132" i="19"/>
  <c r="C139" i="19"/>
  <c r="C146" i="19"/>
  <c r="D180" i="19"/>
  <c r="C180" i="19"/>
  <c r="C187" i="19"/>
  <c r="C194" i="19"/>
  <c r="C285" i="19"/>
  <c r="C293" i="19"/>
  <c r="C301" i="19"/>
  <c r="C309" i="19"/>
  <c r="C317" i="19"/>
  <c r="Y7" i="4" s="1"/>
  <c r="C325" i="19"/>
  <c r="Y15" i="4" s="1"/>
  <c r="C333" i="19"/>
  <c r="Y23" i="4" s="1"/>
  <c r="C341" i="19"/>
  <c r="Y31" i="4" s="1"/>
  <c r="C349" i="19"/>
  <c r="Y39" i="4" s="1"/>
  <c r="C357" i="19"/>
  <c r="Y47" i="4" s="1"/>
  <c r="C365" i="19"/>
  <c r="Y55" i="4" s="1"/>
  <c r="C263" i="19"/>
  <c r="C271" i="19"/>
  <c r="C279" i="19"/>
  <c r="C287" i="19"/>
  <c r="C295" i="19"/>
  <c r="C303" i="19"/>
  <c r="C311" i="19"/>
  <c r="C319" i="19"/>
  <c r="Y9" i="4" s="1"/>
  <c r="C327" i="19"/>
  <c r="Y17" i="4" s="1"/>
  <c r="C335" i="19"/>
  <c r="Y25" i="4" s="1"/>
  <c r="C343" i="19"/>
  <c r="Y33" i="4" s="1"/>
  <c r="C351" i="19"/>
  <c r="Y41" i="4" s="1"/>
  <c r="C359" i="19"/>
  <c r="Y49" i="4" s="1"/>
  <c r="C367" i="19"/>
  <c r="Y57" i="4" s="1"/>
  <c r="D48" i="19"/>
  <c r="C48" i="19"/>
  <c r="D72" i="19"/>
  <c r="C72" i="19"/>
  <c r="D96" i="19"/>
  <c r="C96" i="19"/>
  <c r="D120" i="19"/>
  <c r="C120" i="19"/>
  <c r="C127" i="19"/>
  <c r="C134" i="19"/>
  <c r="D141" i="19"/>
  <c r="D168" i="19"/>
  <c r="C168" i="19"/>
  <c r="C175" i="19"/>
  <c r="C182" i="19"/>
  <c r="D189" i="19"/>
  <c r="D216" i="19"/>
  <c r="C216" i="19"/>
  <c r="D255" i="19"/>
  <c r="D263" i="19"/>
  <c r="D271" i="19"/>
  <c r="D279" i="19"/>
  <c r="D287" i="19"/>
  <c r="D295" i="19"/>
  <c r="D303" i="19"/>
  <c r="D311" i="19"/>
  <c r="D319" i="19"/>
  <c r="Z9" i="4" s="1"/>
  <c r="D327" i="19"/>
  <c r="Z17" i="4" s="1"/>
  <c r="D335" i="19"/>
  <c r="Z25" i="4" s="1"/>
  <c r="D343" i="19"/>
  <c r="Z33" i="4" s="1"/>
  <c r="D351" i="19"/>
  <c r="Z41" i="4" s="1"/>
  <c r="D359" i="19"/>
  <c r="Z49" i="4" s="1"/>
  <c r="D367" i="19"/>
  <c r="Z57" i="4" s="1"/>
  <c r="D375" i="19"/>
  <c r="Z65" i="4" s="1"/>
  <c r="D344" i="19"/>
  <c r="Z34" i="4" s="1"/>
  <c r="C344" i="19"/>
  <c r="Y34" i="4" s="1"/>
  <c r="D352" i="19"/>
  <c r="Z42" i="4" s="1"/>
  <c r="C352" i="19"/>
  <c r="Y42" i="4" s="1"/>
  <c r="D360" i="19"/>
  <c r="Z50" i="4" s="1"/>
  <c r="C360" i="19"/>
  <c r="Y50" i="4" s="1"/>
  <c r="D368" i="19"/>
  <c r="Z58" i="4" s="1"/>
  <c r="C368" i="19"/>
  <c r="Y58" i="4" s="1"/>
  <c r="D376" i="19"/>
  <c r="Z66" i="4" s="1"/>
  <c r="C376" i="19"/>
  <c r="Y66" i="4" s="1"/>
  <c r="D281" i="19"/>
  <c r="D289" i="19"/>
  <c r="D297" i="19"/>
  <c r="D305" i="19"/>
  <c r="D313" i="19"/>
  <c r="D321" i="19"/>
  <c r="Z11" i="4" s="1"/>
  <c r="D329" i="19"/>
  <c r="Z19" i="4" s="1"/>
  <c r="D337" i="19"/>
  <c r="Z27" i="4" s="1"/>
  <c r="D345" i="19"/>
  <c r="Z35" i="4" s="1"/>
  <c r="D353" i="19"/>
  <c r="Z43" i="4" s="1"/>
  <c r="D361" i="19"/>
  <c r="Z51" i="4" s="1"/>
  <c r="D369" i="19"/>
  <c r="Z59" i="4" s="1"/>
  <c r="D377" i="19"/>
  <c r="Z67" i="4" s="1"/>
  <c r="D108" i="19"/>
  <c r="C108" i="19"/>
  <c r="C115" i="19"/>
  <c r="C122" i="19"/>
  <c r="D129" i="19"/>
  <c r="D156" i="19"/>
  <c r="C156" i="19"/>
  <c r="C163" i="19"/>
  <c r="C170" i="19"/>
  <c r="D177" i="19"/>
  <c r="D204" i="19"/>
  <c r="C204" i="19"/>
  <c r="C211" i="19"/>
  <c r="C218" i="19"/>
  <c r="C273" i="19"/>
  <c r="C281" i="19"/>
  <c r="C289" i="19"/>
  <c r="C297" i="19"/>
  <c r="C305" i="19"/>
  <c r="C313" i="19"/>
  <c r="C321" i="19"/>
  <c r="Y11" i="4" s="1"/>
  <c r="C329" i="19"/>
  <c r="Y19" i="4" s="1"/>
  <c r="C337" i="19"/>
  <c r="Y27" i="4" s="1"/>
  <c r="C345" i="19"/>
  <c r="Y35" i="4" s="1"/>
  <c r="C353" i="19"/>
  <c r="Y43" i="4" s="1"/>
  <c r="C361" i="19"/>
  <c r="Y51" i="4" s="1"/>
  <c r="C369" i="19"/>
  <c r="Y59" i="4" s="1"/>
  <c r="C377" i="19"/>
  <c r="Y67" i="4" s="1"/>
  <c r="D266" i="19"/>
  <c r="C266" i="19"/>
  <c r="D274" i="19"/>
  <c r="C274" i="19"/>
  <c r="D282" i="19"/>
  <c r="C282" i="19"/>
  <c r="D290" i="19"/>
  <c r="C290" i="19"/>
  <c r="D298" i="19"/>
  <c r="C298" i="19"/>
  <c r="D306" i="19"/>
  <c r="C306" i="19"/>
  <c r="D314" i="19"/>
  <c r="Z4" i="4" s="1"/>
  <c r="C314" i="19"/>
  <c r="Y4" i="4" s="1"/>
  <c r="D322" i="19"/>
  <c r="Z12" i="4" s="1"/>
  <c r="C322" i="19"/>
  <c r="Y12" i="4" s="1"/>
  <c r="D330" i="19"/>
  <c r="Z20" i="4" s="1"/>
  <c r="C330" i="19"/>
  <c r="Y20" i="4" s="1"/>
  <c r="D338" i="19"/>
  <c r="Z28" i="4" s="1"/>
  <c r="C338" i="19"/>
  <c r="Y28" i="4" s="1"/>
  <c r="D346" i="19"/>
  <c r="Z36" i="4" s="1"/>
  <c r="C346" i="19"/>
  <c r="Y36" i="4" s="1"/>
  <c r="D354" i="19"/>
  <c r="Z44" i="4" s="1"/>
  <c r="C354" i="19"/>
  <c r="Y44" i="4" s="1"/>
  <c r="D362" i="19"/>
  <c r="Z52" i="4" s="1"/>
  <c r="C362" i="19"/>
  <c r="Y52" i="4" s="1"/>
  <c r="D370" i="19"/>
  <c r="Z60" i="4" s="1"/>
  <c r="C370" i="19"/>
  <c r="Y60" i="4" s="1"/>
  <c r="D378" i="19"/>
  <c r="C374" i="19"/>
  <c r="Y64" i="4" s="1"/>
  <c r="C378" i="19"/>
  <c r="Y68" i="4" s="1"/>
  <c r="H21" i="3" l="1"/>
  <c r="F7" i="3"/>
  <c r="P16" i="1" s="1"/>
  <c r="H19" i="3"/>
  <c r="H13" i="3"/>
  <c r="F16" i="3"/>
  <c r="P25" i="1" s="1"/>
  <c r="F17" i="3"/>
  <c r="P26" i="1" s="1"/>
  <c r="G11" i="3"/>
  <c r="Q20" i="1" s="1"/>
  <c r="L68" i="4"/>
  <c r="J68" i="4"/>
  <c r="G10" i="3"/>
  <c r="Q19" i="1" s="1"/>
  <c r="H11" i="3"/>
  <c r="H22" i="3" s="1"/>
  <c r="F11" i="3"/>
  <c r="P20" i="1" s="1"/>
  <c r="Z68" i="4"/>
  <c r="G18" i="3"/>
  <c r="Q27" i="1" s="1"/>
  <c r="L3" i="5"/>
  <c r="L2" i="5"/>
  <c r="V68" i="4"/>
  <c r="G16" i="3"/>
  <c r="Q25" i="1" s="1"/>
  <c r="T68" i="4"/>
  <c r="G15" i="3"/>
  <c r="Q24" i="1" s="1"/>
  <c r="AD68" i="4"/>
  <c r="G20" i="3"/>
  <c r="Q29" i="1" s="1"/>
  <c r="X68" i="4"/>
  <c r="G17" i="3"/>
  <c r="Q26" i="1" s="1"/>
  <c r="D22" i="3"/>
  <c r="M2" i="5"/>
  <c r="M3" i="5"/>
  <c r="F20" i="3"/>
  <c r="P29" i="1" s="1"/>
  <c r="AF68" i="4"/>
  <c r="G21" i="3"/>
  <c r="Q30" i="1" s="1"/>
  <c r="H68" i="4"/>
  <c r="G9" i="3"/>
  <c r="Q18" i="1" s="1"/>
</calcChain>
</file>

<file path=xl/sharedStrings.xml><?xml version="1.0" encoding="utf-8"?>
<sst xmlns="http://schemas.openxmlformats.org/spreadsheetml/2006/main" count="285" uniqueCount="123">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</sst>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Gas'!$A$8:$A$385</c:f>
              <c:numCache>
                <c:formatCode>[$-409]mmm\-yy;@</c:formatCode>
                <c:ptCount val="378"/>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'Retail Sales ex Auto and Gas'!$C$8:$C$385</c:f>
              <c:numCache>
                <c:formatCode>0.00%</c:formatCode>
                <c:ptCount val="378"/>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-1.5274898878283106E-2</c:v>
                </c:pt>
                <c:pt idx="359">
                  <c:v>2.4924301956285606E-2</c:v>
                </c:pt>
                <c:pt idx="360">
                  <c:v>3.5256063087114333E-3</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-7.3332090756228416E-3</c:v>
                </c:pt>
                <c:pt idx="370">
                  <c:v>-4.3851856637539778E-3</c:v>
                </c:pt>
                <c:pt idx="371">
                  <c:v>2.5838923452544148E-2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459F-4374-BD45-E224BDF5C772}"/>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Gas'!$A$8:$A$382</c:f>
              <c:numCache>
                <c:formatCode>[$-409]mmm\-yy;@</c:formatCode>
                <c:ptCount val="37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numCache>
            </c:numRef>
          </c:cat>
          <c:val>
            <c:numRef>
              <c:f>'Retail Sales ex Auto and Gas'!$C$8:$C$382</c:f>
              <c:numCache>
                <c:formatCode>0.00%</c:formatCode>
                <c:ptCount val="375"/>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-1.5274898878283106E-2</c:v>
                </c:pt>
                <c:pt idx="359">
                  <c:v>2.4924301956285606E-2</c:v>
                </c:pt>
                <c:pt idx="360">
                  <c:v>3.5256063087114333E-3</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-7.3332090756228416E-3</c:v>
                </c:pt>
                <c:pt idx="370">
                  <c:v>-4.3851856637539778E-3</c:v>
                </c:pt>
                <c:pt idx="371">
                  <c:v>2.5838923452544148E-2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E0F-46E6-892A-BEDF6C8F21E7}"/>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numCache>
            </c:numRef>
          </c:cat>
          <c:val>
            <c:numRef>
              <c:f>'Retail Sales ex Auto and Gas'!$D$19:$D$382</c:f>
              <c:numCache>
                <c:formatCode>0.00%</c:formatCode>
                <c:ptCount val="364"/>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0.17023509602280398</c:v>
                </c:pt>
                <c:pt idx="348">
                  <c:v>0.12996596957901155</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6.1706218637262951E-2</c:v>
                </c:pt>
                <c:pt idx="359">
                  <c:v>7.3447237756072717E-2</c:v>
                </c:pt>
                <c:pt idx="360">
                  <c:v>7.4405160128366052E-2</c:v>
                </c:pt>
              </c:numCache>
            </c:numRef>
          </c:val>
          <c:smooth val="0"/>
          <c:extLst>
            <c:ext xmlns:c16="http://schemas.microsoft.com/office/drawing/2014/chart" uri="{C3380CC4-5D6E-409C-BE32-E72D297353CC}">
              <c16:uniqueId val="{00000000-6E48-4D8F-AD07-61F7E49DCD4A}"/>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'Retail Sales ex Auto and Gas'!$B$7:$B$382</c:f>
              <c:numCache>
                <c:formatCode>#,##0</c:formatCode>
                <c:ptCount val="376"/>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459391</c:v>
                </c:pt>
                <c:pt idx="360">
                  <c:v>470841</c:v>
                </c:pt>
                <c:pt idx="361">
                  <c:v>472501</c:v>
                </c:pt>
                <c:pt idx="362">
                  <c:v>476780</c:v>
                </c:pt>
                <c:pt idx="363">
                  <c:v>480089</c:v>
                </c:pt>
                <c:pt idx="364">
                  <c:v>483737</c:v>
                </c:pt>
                <c:pt idx="365">
                  <c:v>488175</c:v>
                </c:pt>
                <c:pt idx="366">
                  <c:v>489272</c:v>
                </c:pt>
                <c:pt idx="367">
                  <c:v>493588</c:v>
                </c:pt>
                <c:pt idx="368">
                  <c:v>495671</c:v>
                </c:pt>
                <c:pt idx="369">
                  <c:v>498963</c:v>
                </c:pt>
                <c:pt idx="370">
                  <c:v>495304</c:v>
                </c:pt>
                <c:pt idx="371">
                  <c:v>493132</c:v>
                </c:pt>
                <c:pt idx="372">
                  <c:v>505874</c:v>
                </c:pt>
              </c:numCache>
            </c:numRef>
          </c:val>
          <c:smooth val="0"/>
          <c:extLst>
            <c:ext xmlns:c16="http://schemas.microsoft.com/office/drawing/2014/chart" uri="{C3380CC4-5D6E-409C-BE32-E72D297353CC}">
              <c16:uniqueId val="{00000000-94B4-4A89-A402-4B23FF172127}"/>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'Retail Sales'!$D$7:$D$384</c:f>
              <c:numCache>
                <c:formatCode>General</c:formatCode>
                <c:ptCount val="378"/>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0.17742410791576263</c:v>
                </c:pt>
                <c:pt idx="360" formatCode="0.00%">
                  <c:v>0.14373051314369908</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5.9243312511994453E-2</c:v>
                </c:pt>
                <c:pt idx="371" formatCode="0.00%">
                  <c:v>5.8898154622516512E-2</c:v>
                </c:pt>
                <c:pt idx="372" formatCode="0.00%">
                  <c:v>6.3844531209456101E-2</c:v>
                </c:pt>
              </c:numCache>
            </c:numRef>
          </c:val>
          <c:smooth val="0"/>
          <c:extLst>
            <c:ext xmlns:c16="http://schemas.microsoft.com/office/drawing/2014/chart" uri="{C3380CC4-5D6E-409C-BE32-E72D297353CC}">
              <c16:uniqueId val="{00000000-8922-47D2-B8B9-A21D236DA5F6}"/>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'Retail Sales'!$B$7:$B$387</c:f>
              <c:numCache>
                <c:formatCode>#,##0</c:formatCode>
                <c:ptCount val="381"/>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639273</c:v>
                </c:pt>
                <c:pt idx="360">
                  <c:v>655154</c:v>
                </c:pt>
                <c:pt idx="361">
                  <c:v>662321</c:v>
                </c:pt>
                <c:pt idx="362">
                  <c:v>669958</c:v>
                </c:pt>
                <c:pt idx="363">
                  <c:v>674719</c:v>
                </c:pt>
                <c:pt idx="364">
                  <c:v>677115</c:v>
                </c:pt>
                <c:pt idx="365">
                  <c:v>684084</c:v>
                </c:pt>
                <c:pt idx="366">
                  <c:v>681108</c:v>
                </c:pt>
                <c:pt idx="367">
                  <c:v>685685</c:v>
                </c:pt>
                <c:pt idx="368">
                  <c:v>684538</c:v>
                </c:pt>
                <c:pt idx="369">
                  <c:v>691844</c:v>
                </c:pt>
                <c:pt idx="370">
                  <c:v>684411</c:v>
                </c:pt>
                <c:pt idx="371">
                  <c:v>676925</c:v>
                </c:pt>
                <c:pt idx="372">
                  <c:v>696982</c:v>
                </c:pt>
              </c:numCache>
            </c:numRef>
          </c:val>
          <c:smooth val="0"/>
          <c:extLst>
            <c:ext xmlns:c16="http://schemas.microsoft.com/office/drawing/2014/chart" uri="{C3380CC4-5D6E-409C-BE32-E72D297353CC}">
              <c16:uniqueId val="{00000000-A703-4456-ADC5-B1DF420CA695}"/>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Auto'!$A$19:$A$384</c:f>
              <c:numCache>
                <c:formatCode>[$-409]mmm\-yy;@</c:formatCode>
                <c:ptCount val="366"/>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numCache>
            </c:numRef>
          </c:cat>
          <c:val>
            <c:numRef>
              <c:f>'Retail Sales ex Auto'!$C$19:$C$384</c:f>
              <c:numCache>
                <c:formatCode>0.00%</c:formatCode>
                <c:ptCount val="366"/>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-1.0001227379774316E-2</c:v>
                </c:pt>
                <c:pt idx="348">
                  <c:v>2.1289331507242052E-2</c:v>
                </c:pt>
                <c:pt idx="349">
                  <c:v>6.9839210486882857E-3</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-8.1307751528631959E-3</c:v>
                </c:pt>
                <c:pt idx="359">
                  <c:v>-9.2532508272714555E-3</c:v>
                </c:pt>
                <c:pt idx="360">
                  <c:v>2.3092260483158916E-2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89B-4019-AEF6-D0FC66759F06}"/>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'Retail Sales ex Auto'!$B$7:$B$386</c:f>
              <c:numCache>
                <c:formatCode>#,##0</c:formatCode>
                <c:ptCount val="380"/>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516221</c:v>
                </c:pt>
                <c:pt idx="360">
                  <c:v>527211</c:v>
                </c:pt>
                <c:pt idx="361">
                  <c:v>530893</c:v>
                </c:pt>
                <c:pt idx="362">
                  <c:v>541436</c:v>
                </c:pt>
                <c:pt idx="363">
                  <c:v>543908</c:v>
                </c:pt>
                <c:pt idx="364">
                  <c:v>550725</c:v>
                </c:pt>
                <c:pt idx="365">
                  <c:v>556980</c:v>
                </c:pt>
                <c:pt idx="366">
                  <c:v>556555</c:v>
                </c:pt>
                <c:pt idx="367">
                  <c:v>557536</c:v>
                </c:pt>
                <c:pt idx="368">
                  <c:v>557087</c:v>
                </c:pt>
                <c:pt idx="369">
                  <c:v>562431</c:v>
                </c:pt>
                <c:pt idx="370">
                  <c:v>557858</c:v>
                </c:pt>
                <c:pt idx="371">
                  <c:v>552696</c:v>
                </c:pt>
                <c:pt idx="372">
                  <c:v>565459</c:v>
                </c:pt>
              </c:numCache>
            </c:numRef>
          </c:val>
          <c:smooth val="0"/>
          <c:extLst>
            <c:ext xmlns:c16="http://schemas.microsoft.com/office/drawing/2014/chart" uri="{C3380CC4-5D6E-409C-BE32-E72D297353CC}">
              <c16:uniqueId val="{00000000-CD8F-422C-A117-BE4DE9584B43}"/>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'Retail Sales ex Auto'!$D$7:$D$387</c:f>
              <c:numCache>
                <c:formatCode>General</c:formatCode>
                <c:ptCount val="381"/>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0.19535447000852135</c:v>
                </c:pt>
                <c:pt idx="360" formatCode="0.00%">
                  <c:v>0.15164376679263417</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6.9849415843938667E-2</c:v>
                </c:pt>
                <c:pt idx="371" formatCode="0.00%">
                  <c:v>7.0657722177129567E-2</c:v>
                </c:pt>
                <c:pt idx="372" formatCode="0.00%">
                  <c:v>7.254780344112699E-2</c:v>
                </c:pt>
              </c:numCache>
            </c:numRef>
          </c:val>
          <c:smooth val="0"/>
          <c:extLst>
            <c:ext xmlns:c16="http://schemas.microsoft.com/office/drawing/2014/chart" uri="{C3380CC4-5D6E-409C-BE32-E72D297353CC}">
              <c16:uniqueId val="{00000000-0216-4424-BC0D-40C965DF9BB2}"/>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8.6792506751639686E-2</c:v>
                </c:pt>
                <c:pt idx="348">
                  <c:v>7.9863510102790428E-2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7.7086036596668697E-2</c:v>
                </c:pt>
                <c:pt idx="359">
                  <c:v>6.8251442996699843E-2</c:v>
                </c:pt>
                <c:pt idx="360">
                  <c:v>6.1709211986681466E-2</c:v>
                </c:pt>
              </c:numCache>
            </c:numRef>
          </c:val>
          <c:smooth val="0"/>
          <c:extLst>
            <c:ext xmlns:c16="http://schemas.microsoft.com/office/drawing/2014/chart" uri="{C3380CC4-5D6E-409C-BE32-E72D297353CC}">
              <c16:uniqueId val="{00000000-9050-4D10-9D2C-9C066E7CC646}"/>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76057</c:v>
                </c:pt>
                <c:pt idx="360">
                  <c:v>76585</c:v>
                </c:pt>
                <c:pt idx="361">
                  <c:v>76533</c:v>
                </c:pt>
                <c:pt idx="362">
                  <c:v>77268</c:v>
                </c:pt>
                <c:pt idx="363">
                  <c:v>77270</c:v>
                </c:pt>
                <c:pt idx="364">
                  <c:v>78111</c:v>
                </c:pt>
                <c:pt idx="365">
                  <c:v>79000</c:v>
                </c:pt>
                <c:pt idx="366">
                  <c:v>78968</c:v>
                </c:pt>
                <c:pt idx="367">
                  <c:v>79317</c:v>
                </c:pt>
                <c:pt idx="368">
                  <c:v>79984</c:v>
                </c:pt>
                <c:pt idx="369">
                  <c:v>80957</c:v>
                </c:pt>
                <c:pt idx="370">
                  <c:v>81348</c:v>
                </c:pt>
                <c:pt idx="371">
                  <c:v>81248</c:v>
                </c:pt>
                <c:pt idx="372">
                  <c:v>81311</c:v>
                </c:pt>
              </c:numCache>
            </c:numRef>
          </c:val>
          <c:smooth val="0"/>
          <c:extLst>
            <c:ext xmlns:c16="http://schemas.microsoft.com/office/drawing/2014/chart" uri="{C3380CC4-5D6E-409C-BE32-E72D297353CC}">
              <c16:uniqueId val="{00000000-3DB2-4456-98A5-340CB3DB778D}"/>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95635</c:v>
                </c:pt>
                <c:pt idx="360">
                  <c:v>106563</c:v>
                </c:pt>
                <c:pt idx="361">
                  <c:v>104095</c:v>
                </c:pt>
                <c:pt idx="362">
                  <c:v>102895</c:v>
                </c:pt>
                <c:pt idx="363">
                  <c:v>104003</c:v>
                </c:pt>
                <c:pt idx="364">
                  <c:v>106789</c:v>
                </c:pt>
                <c:pt idx="365">
                  <c:v>107157</c:v>
                </c:pt>
                <c:pt idx="366">
                  <c:v>108939</c:v>
                </c:pt>
                <c:pt idx="367">
                  <c:v>109557</c:v>
                </c:pt>
                <c:pt idx="368">
                  <c:v>109410</c:v>
                </c:pt>
                <c:pt idx="369">
                  <c:v>110472</c:v>
                </c:pt>
                <c:pt idx="370">
                  <c:v>109436</c:v>
                </c:pt>
                <c:pt idx="371">
                  <c:v>108338</c:v>
                </c:pt>
                <c:pt idx="372">
                  <c:v>109781</c:v>
                </c:pt>
              </c:numCache>
            </c:numRef>
          </c:val>
          <c:smooth val="0"/>
          <c:extLst>
            <c:ext xmlns:c16="http://schemas.microsoft.com/office/drawing/2014/chart" uri="{C3380CC4-5D6E-409C-BE32-E72D297353CC}">
              <c16:uniqueId val="{00000000-4728-491B-8DBE-456E48E9249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0.12378232923232395</c:v>
                </c:pt>
                <c:pt idx="360" formatCode="0.00%">
                  <c:v>0.16998056674827899</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8.5265475316844835E-2</c:v>
                </c:pt>
                <c:pt idx="371" formatCode="0.00%">
                  <c:v>0.13282793956187589</c:v>
                </c:pt>
                <c:pt idx="372" formatCode="0.00%">
                  <c:v>3.019809877724914E-2</c:v>
                </c:pt>
              </c:numCache>
            </c:numRef>
          </c:val>
          <c:smooth val="0"/>
          <c:extLst>
            <c:ext xmlns:c16="http://schemas.microsoft.com/office/drawing/2014/chart" uri="{C3380CC4-5D6E-409C-BE32-E72D297353CC}">
              <c16:uniqueId val="{00000000-9EDE-41D4-B699-87A947246ED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32445</c:v>
                </c:pt>
                <c:pt idx="362">
                  <c:v>32763</c:v>
                </c:pt>
                <c:pt idx="363">
                  <c:v>32962</c:v>
                </c:pt>
                <c:pt idx="364">
                  <c:v>32985</c:v>
                </c:pt>
                <c:pt idx="365">
                  <c:v>33426</c:v>
                </c:pt>
                <c:pt idx="366">
                  <c:v>33641</c:v>
                </c:pt>
                <c:pt idx="367">
                  <c:v>33649</c:v>
                </c:pt>
                <c:pt idx="368">
                  <c:v>33932</c:v>
                </c:pt>
                <c:pt idx="369">
                  <c:v>33869</c:v>
                </c:pt>
                <c:pt idx="370">
                  <c:v>33971</c:v>
                </c:pt>
                <c:pt idx="371">
                  <c:v>33354</c:v>
                </c:pt>
                <c:pt idx="372">
                  <c:v>33997</c:v>
                </c:pt>
              </c:numCache>
            </c:numRef>
          </c:val>
          <c:smooth val="0"/>
          <c:extLst>
            <c:ext xmlns:c16="http://schemas.microsoft.com/office/drawing/2014/chart" uri="{C3380CC4-5D6E-409C-BE32-E72D297353CC}">
              <c16:uniqueId val="{00000000-61FA-425C-AD37-14E0178A795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4.1160966041436806E-2</c:v>
                </c:pt>
                <c:pt idx="371" formatCode="0.00%">
                  <c:v>1.5187947040024349E-2</c:v>
                </c:pt>
                <c:pt idx="372" formatCode="0.00%">
                  <c:v>3.6020112753314036E-2</c:v>
                </c:pt>
              </c:numCache>
            </c:numRef>
          </c:val>
          <c:smooth val="0"/>
          <c:extLst>
            <c:ext xmlns:c16="http://schemas.microsoft.com/office/drawing/2014/chart" uri="{C3380CC4-5D6E-409C-BE32-E72D297353CC}">
              <c16:uniqueId val="{00000000-D392-42D7-8A4D-5ABBC2BB498F}"/>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8999</c:v>
                </c:pt>
                <c:pt idx="360">
                  <c:v>8801</c:v>
                </c:pt>
                <c:pt idx="361">
                  <c:v>8916</c:v>
                </c:pt>
                <c:pt idx="362">
                  <c:v>9009</c:v>
                </c:pt>
                <c:pt idx="363">
                  <c:v>9069</c:v>
                </c:pt>
                <c:pt idx="364">
                  <c:v>9153</c:v>
                </c:pt>
                <c:pt idx="365">
                  <c:v>9233</c:v>
                </c:pt>
                <c:pt idx="366">
                  <c:v>9236</c:v>
                </c:pt>
                <c:pt idx="367">
                  <c:v>9335</c:v>
                </c:pt>
                <c:pt idx="368">
                  <c:v>9295</c:v>
                </c:pt>
                <c:pt idx="369">
                  <c:v>9354</c:v>
                </c:pt>
                <c:pt idx="370">
                  <c:v>9368</c:v>
                </c:pt>
                <c:pt idx="371">
                  <c:v>9383</c:v>
                </c:pt>
                <c:pt idx="372">
                  <c:v>9406</c:v>
                </c:pt>
              </c:numCache>
            </c:numRef>
          </c:val>
          <c:smooth val="0"/>
          <c:extLst>
            <c:ext xmlns:c16="http://schemas.microsoft.com/office/drawing/2014/chart" uri="{C3380CC4-5D6E-409C-BE32-E72D297353CC}">
              <c16:uniqueId val="{00000000-4D64-425E-BD59-F6B8C1226044}"/>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0.16703410711969913</c:v>
                </c:pt>
                <c:pt idx="360" formatCode="0.00%">
                  <c:v>2.9959040374488006E-2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1.429190125595496E-2</c:v>
                </c:pt>
                <c:pt idx="371" formatCode="0.00%">
                  <c:v>4.2671407934214915E-2</c:v>
                </c:pt>
                <c:pt idx="372" formatCode="0.00%">
                  <c:v>6.8742188387683215E-2</c:v>
                </c:pt>
              </c:numCache>
            </c:numRef>
          </c:val>
          <c:smooth val="0"/>
          <c:extLst>
            <c:ext xmlns:c16="http://schemas.microsoft.com/office/drawing/2014/chart" uri="{C3380CC4-5D6E-409C-BE32-E72D297353CC}">
              <c16:uniqueId val="{00000000-B84D-4906-B248-7B4525CC7251}"/>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66890</c:v>
                </c:pt>
                <c:pt idx="360">
                  <c:v>68530</c:v>
                </c:pt>
                <c:pt idx="361">
                  <c:v>67568</c:v>
                </c:pt>
                <c:pt idx="362">
                  <c:v>68468</c:v>
                </c:pt>
                <c:pt idx="363">
                  <c:v>68026</c:v>
                </c:pt>
                <c:pt idx="364">
                  <c:v>68053</c:v>
                </c:pt>
                <c:pt idx="365">
                  <c:v>69621</c:v>
                </c:pt>
                <c:pt idx="366">
                  <c:v>69346</c:v>
                </c:pt>
                <c:pt idx="367">
                  <c:v>69558</c:v>
                </c:pt>
                <c:pt idx="368">
                  <c:v>70343</c:v>
                </c:pt>
                <c:pt idx="369">
                  <c:v>70128</c:v>
                </c:pt>
                <c:pt idx="370">
                  <c:v>70003</c:v>
                </c:pt>
                <c:pt idx="371">
                  <c:v>69410</c:v>
                </c:pt>
                <c:pt idx="372">
                  <c:v>71602</c:v>
                </c:pt>
              </c:numCache>
            </c:numRef>
          </c:val>
          <c:smooth val="0"/>
          <c:extLst>
            <c:ext xmlns:c16="http://schemas.microsoft.com/office/drawing/2014/chart" uri="{C3380CC4-5D6E-409C-BE32-E72D297353CC}">
              <c16:uniqueId val="{00000000-B9B2-4451-B1FB-38A9C7EE6EBF}"/>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0.10574777246954194</c:v>
                </c:pt>
                <c:pt idx="360" formatCode="0.00%">
                  <c:v>4.2091177275630304E-2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2.8155567958170549E-2</c:v>
                </c:pt>
                <c:pt idx="371" formatCode="0.00%">
                  <c:v>3.7673792794139634E-2</c:v>
                </c:pt>
                <c:pt idx="372" formatCode="0.00%">
                  <c:v>4.4827083029330222E-2</c:v>
                </c:pt>
              </c:numCache>
            </c:numRef>
          </c:val>
          <c:smooth val="0"/>
          <c:extLst>
            <c:ext xmlns:c16="http://schemas.microsoft.com/office/drawing/2014/chart" uri="{C3380CC4-5D6E-409C-BE32-E72D297353CC}">
              <c16:uniqueId val="{00000000-5E4D-499F-9F65-C618E71F4CC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78432</c:v>
                </c:pt>
                <c:pt idx="360">
                  <c:v>76217</c:v>
                </c:pt>
                <c:pt idx="361">
                  <c:v>80553</c:v>
                </c:pt>
                <c:pt idx="362">
                  <c:v>82388</c:v>
                </c:pt>
                <c:pt idx="363">
                  <c:v>84481</c:v>
                </c:pt>
                <c:pt idx="364">
                  <c:v>85322</c:v>
                </c:pt>
                <c:pt idx="365">
                  <c:v>85939</c:v>
                </c:pt>
                <c:pt idx="366">
                  <c:v>85214</c:v>
                </c:pt>
                <c:pt idx="367">
                  <c:v>87305</c:v>
                </c:pt>
                <c:pt idx="368">
                  <c:v>88196</c:v>
                </c:pt>
                <c:pt idx="369">
                  <c:v>89261</c:v>
                </c:pt>
                <c:pt idx="370">
                  <c:v>89083</c:v>
                </c:pt>
                <c:pt idx="371">
                  <c:v>89047</c:v>
                </c:pt>
                <c:pt idx="372">
                  <c:v>95453</c:v>
                </c:pt>
              </c:numCache>
            </c:numRef>
          </c:val>
          <c:smooth val="0"/>
          <c:extLst>
            <c:ext xmlns:c16="http://schemas.microsoft.com/office/drawing/2014/chart" uri="{C3380CC4-5D6E-409C-BE32-E72D297353CC}">
              <c16:uniqueId val="{00000000-C92E-4EF7-A5BA-A8C3DBF9C9E2}"/>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0.45067140162024194</c:v>
                </c:pt>
                <c:pt idx="360" formatCode="0.00%">
                  <c:v>0.27981797726394975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0.12810414476933402</c:v>
                </c:pt>
                <c:pt idx="371" formatCode="0.00%">
                  <c:v>0.13534016727866177</c:v>
                </c:pt>
                <c:pt idx="372" formatCode="0.00%">
                  <c:v>0.25238463859768817</c:v>
                </c:pt>
              </c:numCache>
            </c:numRef>
          </c:val>
          <c:smooth val="0"/>
          <c:extLst>
            <c:ext xmlns:c16="http://schemas.microsoft.com/office/drawing/2014/chart" uri="{C3380CC4-5D6E-409C-BE32-E72D297353CC}">
              <c16:uniqueId val="{00000000-B243-4918-8E3D-B937A2FF3810}"/>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56830</c:v>
                </c:pt>
                <c:pt idx="360">
                  <c:v>56370</c:v>
                </c:pt>
                <c:pt idx="361">
                  <c:v>58392</c:v>
                </c:pt>
                <c:pt idx="362">
                  <c:v>64656</c:v>
                </c:pt>
                <c:pt idx="363">
                  <c:v>63819</c:v>
                </c:pt>
                <c:pt idx="364">
                  <c:v>66988</c:v>
                </c:pt>
                <c:pt idx="365">
                  <c:v>68805</c:v>
                </c:pt>
                <c:pt idx="366">
                  <c:v>67283</c:v>
                </c:pt>
                <c:pt idx="367">
                  <c:v>63948</c:v>
                </c:pt>
                <c:pt idx="368">
                  <c:v>61416</c:v>
                </c:pt>
                <c:pt idx="369">
                  <c:v>63468</c:v>
                </c:pt>
                <c:pt idx="370">
                  <c:v>62554</c:v>
                </c:pt>
                <c:pt idx="371">
                  <c:v>59564</c:v>
                </c:pt>
                <c:pt idx="372">
                  <c:v>59585</c:v>
                </c:pt>
              </c:numCache>
            </c:numRef>
          </c:val>
          <c:smooth val="0"/>
          <c:extLst>
            <c:ext xmlns:c16="http://schemas.microsoft.com/office/drawing/2014/chart" uri="{C3380CC4-5D6E-409C-BE32-E72D297353CC}">
              <c16:uniqueId val="{00000000-1F96-45DF-9EA9-B59B4995957A}"/>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'Gas Station'!$D$7:$D$381</c:f>
              <c:numCache>
                <c:formatCode>General</c:formatCode>
                <c:ptCount val="375"/>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0.44631359275188964</c:v>
                </c:pt>
                <c:pt idx="360" formatCode="0.00%">
                  <c:v>0.37139937718956795</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0.13902292467087893</c:v>
                </c:pt>
                <c:pt idx="371" formatCode="0.00%">
                  <c:v>4.8108393454161534E-2</c:v>
                </c:pt>
                <c:pt idx="372" formatCode="0.00%">
                  <c:v>5.703388327124357E-2</c:v>
                </c:pt>
              </c:numCache>
            </c:numRef>
          </c:val>
          <c:smooth val="0"/>
          <c:extLst>
            <c:ext xmlns:c16="http://schemas.microsoft.com/office/drawing/2014/chart" uri="{C3380CC4-5D6E-409C-BE32-E72D297353CC}">
              <c16:uniqueId val="{00000000-C1CF-4235-A229-D9D33551A8D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123052</c:v>
                </c:pt>
                <c:pt idx="360">
                  <c:v>127943</c:v>
                </c:pt>
                <c:pt idx="361">
                  <c:v>131428</c:v>
                </c:pt>
                <c:pt idx="362">
                  <c:v>128522</c:v>
                </c:pt>
                <c:pt idx="363">
                  <c:v>130811</c:v>
                </c:pt>
                <c:pt idx="364">
                  <c:v>126390</c:v>
                </c:pt>
                <c:pt idx="365">
                  <c:v>127104</c:v>
                </c:pt>
                <c:pt idx="366">
                  <c:v>124553</c:v>
                </c:pt>
                <c:pt idx="367">
                  <c:v>128149</c:v>
                </c:pt>
                <c:pt idx="368">
                  <c:v>127451</c:v>
                </c:pt>
                <c:pt idx="369">
                  <c:v>129413</c:v>
                </c:pt>
                <c:pt idx="370">
                  <c:v>126553</c:v>
                </c:pt>
                <c:pt idx="371">
                  <c:v>124229</c:v>
                </c:pt>
                <c:pt idx="372">
                  <c:v>131523</c:v>
                </c:pt>
              </c:numCache>
            </c:numRef>
          </c:val>
          <c:smooth val="0"/>
          <c:extLst>
            <c:ext xmlns:c16="http://schemas.microsoft.com/office/drawing/2014/chart" uri="{C3380CC4-5D6E-409C-BE32-E72D297353CC}">
              <c16:uniqueId val="{00000000-22FC-404D-8C17-F4B0140FC93A}"/>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0.10771834434582216</c:v>
                </c:pt>
                <c:pt idx="360" formatCode="0.00%">
                  <c:v>0.11223833368106266</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1.4892217873869251E-2</c:v>
                </c:pt>
                <c:pt idx="371" formatCode="0.00%">
                  <c:v>9.5650619250398205E-3</c:v>
                </c:pt>
                <c:pt idx="372" formatCode="0.00%">
                  <c:v>2.7981210382748568E-2</c:v>
                </c:pt>
              </c:numCache>
            </c:numRef>
          </c:val>
          <c:smooth val="0"/>
          <c:extLst>
            <c:ext xmlns:c16="http://schemas.microsoft.com/office/drawing/2014/chart" uri="{C3380CC4-5D6E-409C-BE32-E72D297353CC}">
              <c16:uniqueId val="{00000000-41D6-4BB7-B53C-974C84BA320A}"/>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Housing!$B$7:$B$387</c:f>
              <c:numCache>
                <c:formatCode>#,##0</c:formatCode>
                <c:ptCount val="381"/>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41347</c:v>
                </c:pt>
                <c:pt idx="360">
                  <c:v>42229</c:v>
                </c:pt>
                <c:pt idx="361">
                  <c:v>42307</c:v>
                </c:pt>
                <c:pt idx="362">
                  <c:v>42572</c:v>
                </c:pt>
                <c:pt idx="363">
                  <c:v>42168</c:v>
                </c:pt>
                <c:pt idx="364">
                  <c:v>42257</c:v>
                </c:pt>
                <c:pt idx="365">
                  <c:v>42131</c:v>
                </c:pt>
                <c:pt idx="366">
                  <c:v>42597</c:v>
                </c:pt>
                <c:pt idx="367">
                  <c:v>43314</c:v>
                </c:pt>
                <c:pt idx="368">
                  <c:v>43000</c:v>
                </c:pt>
                <c:pt idx="369">
                  <c:v>43516</c:v>
                </c:pt>
                <c:pt idx="370">
                  <c:v>42074</c:v>
                </c:pt>
                <c:pt idx="371">
                  <c:v>42541</c:v>
                </c:pt>
                <c:pt idx="372">
                  <c:v>42675</c:v>
                </c:pt>
              </c:numCache>
            </c:numRef>
          </c:val>
          <c:smooth val="0"/>
          <c:extLst>
            <c:ext xmlns:c16="http://schemas.microsoft.com/office/drawing/2014/chart" uri="{C3380CC4-5D6E-409C-BE32-E72D297353CC}">
              <c16:uniqueId val="{00000000-E24B-4B87-89C9-DF28CF6EDD5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Housing!$D$7:$D$386</c:f>
              <c:numCache>
                <c:formatCode>General</c:formatCode>
                <c:ptCount val="380"/>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0.13192619360490582</c:v>
                </c:pt>
                <c:pt idx="360" formatCode="0.00%">
                  <c:v>9.1696396256656848E-2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2.3499075605721512E-2</c:v>
                </c:pt>
                <c:pt idx="371" formatCode="0.00%">
                  <c:v>2.887754855249474E-2</c:v>
                </c:pt>
                <c:pt idx="372" formatCode="0.00%">
                  <c:v>1.0561462502072036E-2</c:v>
                </c:pt>
              </c:numCache>
            </c:numRef>
          </c:val>
          <c:smooth val="0"/>
          <c:extLst>
            <c:ext xmlns:c16="http://schemas.microsoft.com/office/drawing/2014/chart" uri="{C3380CC4-5D6E-409C-BE32-E72D297353CC}">
              <c16:uniqueId val="{00000000-A03D-48CA-A2A7-9B763208FEDE}"/>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'Furniture Home'!$B$7:$B$385</c:f>
              <c:numCache>
                <c:formatCode>#,##0</c:formatCode>
                <c:ptCount val="379"/>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19249</c:v>
                </c:pt>
                <c:pt idx="360">
                  <c:v>19203</c:v>
                </c:pt>
                <c:pt idx="361">
                  <c:v>19617</c:v>
                </c:pt>
                <c:pt idx="362">
                  <c:v>19770</c:v>
                </c:pt>
                <c:pt idx="363">
                  <c:v>20080</c:v>
                </c:pt>
                <c:pt idx="364">
                  <c:v>19740</c:v>
                </c:pt>
                <c:pt idx="365">
                  <c:v>19554</c:v>
                </c:pt>
                <c:pt idx="366">
                  <c:v>19544</c:v>
                </c:pt>
                <c:pt idx="367">
                  <c:v>19474</c:v>
                </c:pt>
                <c:pt idx="368">
                  <c:v>19116</c:v>
                </c:pt>
                <c:pt idx="369">
                  <c:v>19259</c:v>
                </c:pt>
                <c:pt idx="370">
                  <c:v>18701</c:v>
                </c:pt>
                <c:pt idx="371">
                  <c:v>18434</c:v>
                </c:pt>
                <c:pt idx="372">
                  <c:v>19188</c:v>
                </c:pt>
              </c:numCache>
            </c:numRef>
          </c:val>
          <c:smooth val="0"/>
          <c:extLst>
            <c:ext xmlns:c16="http://schemas.microsoft.com/office/drawing/2014/chart" uri="{C3380CC4-5D6E-409C-BE32-E72D297353CC}">
              <c16:uniqueId val="{00000000-DA0E-4B74-856B-795CA5B1F967}"/>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'Furniture Home'!$D$7:$D$386</c:f>
              <c:numCache>
                <c:formatCode>General</c:formatCode>
                <c:ptCount val="380"/>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0.13737887024344125</c:v>
                </c:pt>
                <c:pt idx="360" formatCode="0.00%">
                  <c:v>-1.7674273535374539E-3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-3.5931539333951955E-2</c:v>
                </c:pt>
                <c:pt idx="371" formatCode="0.00%">
                  <c:v>-4.2339861811003167E-2</c:v>
                </c:pt>
                <c:pt idx="372" formatCode="0.00%">
                  <c:v>-7.8112794875800657E-4</c:v>
                </c:pt>
              </c:numCache>
            </c:numRef>
          </c:val>
          <c:smooth val="0"/>
          <c:extLst>
            <c:ext xmlns:c16="http://schemas.microsoft.com/office/drawing/2014/chart" uri="{C3380CC4-5D6E-409C-BE32-E72D297353CC}">
              <c16:uniqueId val="{00000000-E3D6-4AD3-891A-C236ADB74AF3}"/>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'Miscellaneous stores retailers'!$B$7:$B$384</c:f>
              <c:numCache>
                <c:formatCode>#,##0</c:formatCode>
                <c:ptCount val="378"/>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0</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14611</c:v>
                </c:pt>
                <c:pt idx="360">
                  <c:v>14740</c:v>
                </c:pt>
                <c:pt idx="361">
                  <c:v>14986</c:v>
                </c:pt>
                <c:pt idx="362">
                  <c:v>15490</c:v>
                </c:pt>
                <c:pt idx="363">
                  <c:v>15864</c:v>
                </c:pt>
                <c:pt idx="364">
                  <c:v>15515</c:v>
                </c:pt>
                <c:pt idx="365">
                  <c:v>16110</c:v>
                </c:pt>
                <c:pt idx="366">
                  <c:v>15898</c:v>
                </c:pt>
                <c:pt idx="367">
                  <c:v>15934</c:v>
                </c:pt>
                <c:pt idx="368">
                  <c:v>15992</c:v>
                </c:pt>
                <c:pt idx="369">
                  <c:v>15837</c:v>
                </c:pt>
                <c:pt idx="370">
                  <c:v>15072</c:v>
                </c:pt>
                <c:pt idx="371">
                  <c:v>15295</c:v>
                </c:pt>
                <c:pt idx="372">
                  <c:v>15722</c:v>
                </c:pt>
              </c:numCache>
            </c:numRef>
          </c:val>
          <c:smooth val="0"/>
          <c:extLst>
            <c:ext xmlns:c16="http://schemas.microsoft.com/office/drawing/2014/chart" uri="{C3380CC4-5D6E-409C-BE32-E72D297353CC}">
              <c16:uniqueId val="{00000000-7832-4B2F-A5A0-FF23BCA4A0F8}"/>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'Miscellaneous stores retailers'!$D$7:$D$384</c:f>
              <c:numCache>
                <c:formatCode>General</c:formatCode>
                <c:ptCount val="378"/>
                <c:pt idx="12" formatCode="0.00%">
                  <c:v>0.2394627142195461</c:v>
                </c:pt>
                <c:pt idx="13" formatCode="0.00%">
                  <c:v>-1</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0</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0.23801050669378071</c:v>
                </c:pt>
                <c:pt idx="360" formatCode="0.00%">
                  <c:v>0.2454583861427968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3.3532195021600493E-2</c:v>
                </c:pt>
                <c:pt idx="371" formatCode="0.00%">
                  <c:v>4.6814044213263982E-2</c:v>
                </c:pt>
                <c:pt idx="372" formatCode="0.00%">
                  <c:v>6.6621438263229305E-2</c:v>
                </c:pt>
              </c:numCache>
            </c:numRef>
          </c:val>
          <c:smooth val="0"/>
          <c:extLst>
            <c:ext xmlns:c16="http://schemas.microsoft.com/office/drawing/2014/chart" uri="{C3380CC4-5D6E-409C-BE32-E72D297353CC}">
              <c16:uniqueId val="{00000000-BEF4-418E-A223-A0F0CCBC50F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'Clothing and clothing access'!$B$7:$B$384</c:f>
              <c:numCache>
                <c:formatCode>#,##0</c:formatCode>
                <c:ptCount val="378"/>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25316</c:v>
                </c:pt>
                <c:pt idx="360">
                  <c:v>25158</c:v>
                </c:pt>
                <c:pt idx="361">
                  <c:v>25481</c:v>
                </c:pt>
                <c:pt idx="362">
                  <c:v>26157</c:v>
                </c:pt>
                <c:pt idx="363">
                  <c:v>26166</c:v>
                </c:pt>
                <c:pt idx="364">
                  <c:v>25812</c:v>
                </c:pt>
                <c:pt idx="365">
                  <c:v>26004</c:v>
                </c:pt>
                <c:pt idx="366">
                  <c:v>25889</c:v>
                </c:pt>
                <c:pt idx="367">
                  <c:v>26145</c:v>
                </c:pt>
                <c:pt idx="368">
                  <c:v>26403</c:v>
                </c:pt>
                <c:pt idx="369">
                  <c:v>26310</c:v>
                </c:pt>
                <c:pt idx="370">
                  <c:v>26248</c:v>
                </c:pt>
                <c:pt idx="371">
                  <c:v>26082</c:v>
                </c:pt>
              </c:numCache>
            </c:numRef>
          </c:val>
          <c:smooth val="0"/>
          <c:extLst>
            <c:ext xmlns:c16="http://schemas.microsoft.com/office/drawing/2014/chart" uri="{C3380CC4-5D6E-409C-BE32-E72D297353CC}">
              <c16:uniqueId val="{00000000-3553-4C94-81F2-805C210C279A}"/>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'Clothing and clothing access'!$D$19:$D$385</c:f>
              <c:numCache>
                <c:formatCode>0.00%</c:formatCode>
                <c:ptCount val="367"/>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0.26535712500624781</c:v>
                </c:pt>
                <c:pt idx="348">
                  <c:v>0.19271796330536198</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3.8627758442651163E-3</c:v>
                </c:pt>
                <c:pt idx="359">
                  <c:v>3.0257544635803445E-2</c:v>
                </c:pt>
              </c:numCache>
            </c:numRef>
          </c:val>
          <c:smooth val="0"/>
          <c:extLst>
            <c:ext xmlns:c16="http://schemas.microsoft.com/office/drawing/2014/chart" uri="{C3380CC4-5D6E-409C-BE32-E72D297353CC}">
              <c16:uniqueId val="{00000000-2C1A-4FA5-9AB1-09A99B0FAB83}"/>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571499</xdr:colOff>
      <xdr:row>354</xdr:row>
      <xdr:rowOff>3677</xdr:rowOff>
    </xdr:from>
    <xdr:to>
      <xdr:col>23</xdr:col>
      <xdr:colOff>526393</xdr:colOff>
      <xdr:row>377</xdr:row>
      <xdr:rowOff>136071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222250</xdr:colOff>
      <xdr:row>354</xdr:row>
      <xdr:rowOff>19049</xdr:rowOff>
    </xdr:from>
    <xdr:to>
      <xdr:col>13</xdr:col>
      <xdr:colOff>417286</xdr:colOff>
      <xdr:row>377</xdr:row>
      <xdr:rowOff>145143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489857</xdr:colOff>
      <xdr:row>356</xdr:row>
      <xdr:rowOff>117929</xdr:rowOff>
    </xdr:from>
    <xdr:to>
      <xdr:col>23</xdr:col>
      <xdr:colOff>116795</xdr:colOff>
      <xdr:row>378</xdr:row>
      <xdr:rowOff>172357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78922</xdr:colOff>
      <xdr:row>356</xdr:row>
      <xdr:rowOff>123825</xdr:rowOff>
    </xdr:from>
    <xdr:to>
      <xdr:col>13</xdr:col>
      <xdr:colOff>426357</xdr:colOff>
      <xdr:row>379</xdr:row>
      <xdr:rowOff>54429</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571500</xdr:colOff>
      <xdr:row>356</xdr:row>
      <xdr:rowOff>0</xdr:rowOff>
    </xdr:from>
    <xdr:to>
      <xdr:col>26</xdr:col>
      <xdr:colOff>563800</xdr:colOff>
      <xdr:row>379</xdr:row>
      <xdr:rowOff>73177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121783</xdr:colOff>
      <xdr:row>355</xdr:row>
      <xdr:rowOff>172357</xdr:rowOff>
    </xdr:from>
    <xdr:to>
      <xdr:col>14</xdr:col>
      <xdr:colOff>480786</xdr:colOff>
      <xdr:row>379</xdr:row>
      <xdr:rowOff>63500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12</xdr:col>
      <xdr:colOff>572381</xdr:colOff>
      <xdr:row>359</xdr:row>
      <xdr:rowOff>103187</xdr:rowOff>
    </xdr:from>
    <xdr:to>
      <xdr:col>21</xdr:col>
      <xdr:colOff>269875</xdr:colOff>
      <xdr:row>378</xdr:row>
      <xdr:rowOff>158750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73126</xdr:colOff>
      <xdr:row>359</xdr:row>
      <xdr:rowOff>77611</xdr:rowOff>
    </xdr:from>
    <xdr:to>
      <xdr:col>12</xdr:col>
      <xdr:colOff>465666</xdr:colOff>
      <xdr:row>378</xdr:row>
      <xdr:rowOff>176389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265326</xdr:colOff>
      <xdr:row>362</xdr:row>
      <xdr:rowOff>179916</xdr:rowOff>
    </xdr:from>
    <xdr:to>
      <xdr:col>20</xdr:col>
      <xdr:colOff>598713</xdr:colOff>
      <xdr:row>380</xdr:row>
      <xdr:rowOff>172357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362</xdr:row>
      <xdr:rowOff>155222</xdr:rowOff>
    </xdr:from>
    <xdr:to>
      <xdr:col>12</xdr:col>
      <xdr:colOff>174625</xdr:colOff>
      <xdr:row>380</xdr:row>
      <xdr:rowOff>127000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535214</xdr:colOff>
      <xdr:row>357</xdr:row>
      <xdr:rowOff>172357</xdr:rowOff>
    </xdr:from>
    <xdr:to>
      <xdr:col>22</xdr:col>
      <xdr:colOff>635000</xdr:colOff>
      <xdr:row>379</xdr:row>
      <xdr:rowOff>117929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79159</xdr:colOff>
      <xdr:row>357</xdr:row>
      <xdr:rowOff>172357</xdr:rowOff>
    </xdr:from>
    <xdr:to>
      <xdr:col>13</xdr:col>
      <xdr:colOff>444500</xdr:colOff>
      <xdr:row>379</xdr:row>
      <xdr:rowOff>90715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321582</xdr:colOff>
      <xdr:row>354</xdr:row>
      <xdr:rowOff>177800</xdr:rowOff>
    </xdr:from>
    <xdr:to>
      <xdr:col>23</xdr:col>
      <xdr:colOff>81644</xdr:colOff>
      <xdr:row>378</xdr:row>
      <xdr:rowOff>9071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13</xdr:col>
      <xdr:colOff>226785</xdr:colOff>
      <xdr:row>378</xdr:row>
      <xdr:rowOff>9071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497340</xdr:colOff>
      <xdr:row>357</xdr:row>
      <xdr:rowOff>168505</xdr:rowOff>
    </xdr:from>
    <xdr:to>
      <xdr:col>22</xdr:col>
      <xdr:colOff>598715</xdr:colOff>
      <xdr:row>380</xdr:row>
      <xdr:rowOff>45357</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108252</xdr:colOff>
      <xdr:row>357</xdr:row>
      <xdr:rowOff>162604</xdr:rowOff>
    </xdr:from>
    <xdr:to>
      <xdr:col>13</xdr:col>
      <xdr:colOff>417286</xdr:colOff>
      <xdr:row>380</xdr:row>
      <xdr:rowOff>81642</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606349</xdr:colOff>
      <xdr:row>357</xdr:row>
      <xdr:rowOff>102053</xdr:rowOff>
    </xdr:from>
    <xdr:to>
      <xdr:col>22</xdr:col>
      <xdr:colOff>199572</xdr:colOff>
      <xdr:row>379</xdr:row>
      <xdr:rowOff>163286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133954</xdr:colOff>
      <xdr:row>357</xdr:row>
      <xdr:rowOff>79677</xdr:rowOff>
    </xdr:from>
    <xdr:to>
      <xdr:col>12</xdr:col>
      <xdr:colOff>547687</xdr:colOff>
      <xdr:row>379</xdr:row>
      <xdr:rowOff>142875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230186</xdr:colOff>
      <xdr:row>362</xdr:row>
      <xdr:rowOff>80390</xdr:rowOff>
    </xdr:from>
    <xdr:to>
      <xdr:col>20</xdr:col>
      <xdr:colOff>-1</xdr:colOff>
      <xdr:row>380</xdr:row>
      <xdr:rowOff>47625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64195</xdr:colOff>
      <xdr:row>362</xdr:row>
      <xdr:rowOff>64633</xdr:rowOff>
    </xdr:from>
    <xdr:to>
      <xdr:col>12</xdr:col>
      <xdr:colOff>127000</xdr:colOff>
      <xdr:row>380</xdr:row>
      <xdr:rowOff>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471714</xdr:colOff>
      <xdr:row>363</xdr:row>
      <xdr:rowOff>108858</xdr:rowOff>
    </xdr:from>
    <xdr:to>
      <xdr:col>22</xdr:col>
      <xdr:colOff>449540</xdr:colOff>
      <xdr:row>384</xdr:row>
      <xdr:rowOff>69548</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98777</xdr:colOff>
      <xdr:row>363</xdr:row>
      <xdr:rowOff>154215</xdr:rowOff>
    </xdr:from>
    <xdr:to>
      <xdr:col>13</xdr:col>
      <xdr:colOff>317500</xdr:colOff>
      <xdr:row>384</xdr:row>
      <xdr:rowOff>42333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9" totalsRowShown="0" headerRowDxfId="64" dataDxfId="62" headerRowBorderDxfId="63" tableBorderDxfId="61">
  <autoFilter ref="A6:D379"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9" totalsRowShown="0" headerRowDxfId="56" dataDxfId="54" headerRowBorderDxfId="55" tableBorderDxfId="53">
  <autoFilter ref="A6:D379"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9" totalsRowShown="0" headerRowDxfId="48" dataDxfId="46" headerRowBorderDxfId="47" tableBorderDxfId="45">
  <autoFilter ref="A6:D379"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9" totalsRowShown="0" headerRowDxfId="40" headerRowBorderDxfId="39" tableBorderDxfId="38">
  <autoFilter ref="A6:D379"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9" totalsRowShown="0" headerRowDxfId="33" tableBorderDxfId="32">
  <autoFilter ref="A6:D379"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9" totalsRowShown="0" headerRowDxfId="27" headerRowBorderDxfId="26" tableBorderDxfId="25">
  <autoFilter ref="A6:D379"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8" totalsRowShown="0" headerRowDxfId="20" headerRowBorderDxfId="19" tableBorderDxfId="18">
  <autoFilter ref="A6:D378"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5" zoomScale="80" zoomScaleNormal="80" workbookViewId="0">
      <selection activeCell="P15" sqref="P15"/>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42" width="9.1796875" style="109" customWidth="1"/>
    <col min="43" max="16384" width="9.1796875" style="109"/>
  </cols>
  <sheetData>
    <row r="1" spans="2:19" x14ac:dyDescent="0.35">
      <c r="B1" s="120"/>
      <c r="C1" s="121"/>
      <c r="D1" s="121"/>
      <c r="E1" s="121"/>
      <c r="F1" s="121"/>
      <c r="G1" s="121"/>
      <c r="H1" s="121"/>
      <c r="I1" s="121"/>
      <c r="J1" s="121"/>
    </row>
    <row r="2" spans="2:19" ht="16" customHeight="1" thickBot="1" x14ac:dyDescent="0.4">
      <c r="B2" s="122"/>
      <c r="C2" s="122"/>
      <c r="D2" s="122"/>
      <c r="E2" s="122"/>
      <c r="F2" s="122"/>
      <c r="G2" s="122"/>
      <c r="H2" s="122"/>
      <c r="I2" s="122"/>
      <c r="J2" s="122"/>
    </row>
    <row r="3" spans="2:19" ht="16" customHeight="1" thickBot="1" x14ac:dyDescent="0.4">
      <c r="B3" s="123" t="s">
        <v>0</v>
      </c>
      <c r="C3" s="124"/>
      <c r="D3" s="124"/>
      <c r="E3" s="124"/>
      <c r="F3" s="124"/>
      <c r="G3" s="124"/>
      <c r="H3" s="124"/>
      <c r="I3" s="124"/>
      <c r="J3" s="125"/>
    </row>
    <row r="5" spans="2:19" x14ac:dyDescent="0.35">
      <c r="B5" s="116" t="s">
        <v>1</v>
      </c>
      <c r="C5" s="117"/>
      <c r="D5" s="117"/>
      <c r="E5" s="117"/>
      <c r="F5" s="117"/>
      <c r="G5" s="117"/>
      <c r="H5" s="117"/>
      <c r="I5" s="117"/>
      <c r="J5" s="113"/>
    </row>
    <row r="7" spans="2:19" ht="147.75" customHeight="1" x14ac:dyDescent="0.35">
      <c r="B7" s="126" t="s">
        <v>2</v>
      </c>
      <c r="C7" s="121"/>
      <c r="D7" s="121"/>
      <c r="E7" s="121"/>
      <c r="F7" s="121"/>
      <c r="G7" s="121"/>
      <c r="H7" s="121"/>
      <c r="I7" s="121"/>
      <c r="J7" s="121"/>
    </row>
    <row r="8" spans="2:19" ht="33.75" customHeight="1" x14ac:dyDescent="0.35">
      <c r="B8" s="127" t="s">
        <v>3</v>
      </c>
      <c r="C8" s="121"/>
      <c r="D8" s="121"/>
      <c r="E8" s="121"/>
      <c r="F8" s="121"/>
      <c r="G8" s="121"/>
      <c r="H8" s="121"/>
      <c r="I8" s="121"/>
      <c r="J8" s="121"/>
    </row>
    <row r="9" spans="2:19" x14ac:dyDescent="0.35">
      <c r="B9" s="65"/>
      <c r="C9" s="65"/>
      <c r="D9" s="65"/>
      <c r="E9" s="65"/>
    </row>
    <row r="10" spans="2:19" x14ac:dyDescent="0.35">
      <c r="B10" s="116" t="s">
        <v>4</v>
      </c>
      <c r="C10" s="117"/>
      <c r="D10" s="117"/>
      <c r="E10" s="117"/>
      <c r="F10" s="117"/>
      <c r="G10" s="117"/>
      <c r="H10" s="117"/>
      <c r="I10" s="117"/>
      <c r="J10" s="113"/>
      <c r="N10" s="116" t="s">
        <v>5</v>
      </c>
      <c r="O10" s="117"/>
      <c r="P10" s="117"/>
      <c r="Q10" s="113"/>
    </row>
    <row r="12" spans="2:19" x14ac:dyDescent="0.35">
      <c r="B12" s="116" t="s">
        <v>6</v>
      </c>
      <c r="C12" s="117"/>
      <c r="D12" s="117"/>
      <c r="E12" s="117"/>
      <c r="F12" s="113"/>
      <c r="G12" s="116" t="s">
        <v>7</v>
      </c>
      <c r="H12" s="117"/>
      <c r="I12" s="117"/>
      <c r="J12" s="113"/>
      <c r="N12" s="8" t="s">
        <v>8</v>
      </c>
    </row>
    <row r="13" spans="2:19" ht="16" customHeight="1" thickBot="1" x14ac:dyDescent="0.4"/>
    <row r="14" spans="2:19" x14ac:dyDescent="0.35">
      <c r="B14" s="109" t="s">
        <v>9</v>
      </c>
      <c r="G14" s="121"/>
      <c r="H14" s="121"/>
      <c r="I14" s="121"/>
      <c r="J14" s="121"/>
      <c r="P14" s="68">
        <v>44927</v>
      </c>
      <c r="Q14" s="69"/>
    </row>
    <row r="15" spans="2:19" ht="16" customHeight="1" thickBot="1" x14ac:dyDescent="0.4">
      <c r="B15" s="109" t="s">
        <v>10</v>
      </c>
      <c r="G15" s="121"/>
      <c r="H15" s="121"/>
      <c r="I15" s="121"/>
      <c r="J15" s="121"/>
      <c r="N15" s="110"/>
      <c r="P15" s="70" t="s">
        <v>11</v>
      </c>
      <c r="Q15" s="70" t="s">
        <v>12</v>
      </c>
    </row>
    <row r="16" spans="2:19" ht="15.75" customHeight="1" x14ac:dyDescent="0.35">
      <c r="B16" s="109" t="s">
        <v>13</v>
      </c>
      <c r="G16" s="130"/>
      <c r="H16" s="121"/>
      <c r="I16" s="121"/>
      <c r="J16" s="121"/>
      <c r="N16" s="118" t="s">
        <v>0</v>
      </c>
      <c r="O16" s="119"/>
      <c r="P16" s="95">
        <f>Recap!F7</f>
        <v>2.9629574915980353E-2</v>
      </c>
      <c r="Q16" s="96">
        <f>Recap!G7</f>
        <v>6.3844531209456101E-2</v>
      </c>
      <c r="S16" s="71"/>
    </row>
    <row r="17" spans="2:19" ht="15.75" customHeight="1" x14ac:dyDescent="0.35">
      <c r="G17" s="130"/>
      <c r="H17" s="121"/>
      <c r="I17" s="121"/>
      <c r="J17" s="121"/>
      <c r="N17" s="112" t="s">
        <v>14</v>
      </c>
      <c r="O17" s="113"/>
      <c r="P17" s="97">
        <f>Recap!F8</f>
        <v>2.3092260483158916E-2</v>
      </c>
      <c r="Q17" s="98">
        <f>Recap!G8</f>
        <v>7.254780344112699E-2</v>
      </c>
      <c r="S17" s="71"/>
    </row>
    <row r="18" spans="2:19" ht="15.75" customHeight="1" x14ac:dyDescent="0.35">
      <c r="B18" s="109" t="s">
        <v>15</v>
      </c>
      <c r="G18" s="99" t="s">
        <v>0</v>
      </c>
      <c r="H18" s="67"/>
      <c r="I18" s="67"/>
      <c r="J18" s="67"/>
      <c r="N18" s="112" t="s">
        <v>16</v>
      </c>
      <c r="O18" s="113"/>
      <c r="P18" s="97">
        <f>Recap!F9</f>
        <v>2.5838923452544148E-2</v>
      </c>
      <c r="Q18" s="98">
        <f>Recap!G9</f>
        <v>7.4405160128366052E-2</v>
      </c>
      <c r="S18" s="71"/>
    </row>
    <row r="19" spans="2:19" ht="15.75" customHeight="1" x14ac:dyDescent="0.35">
      <c r="B19" s="109" t="s">
        <v>17</v>
      </c>
      <c r="G19" s="99" t="s">
        <v>14</v>
      </c>
      <c r="H19" s="67"/>
      <c r="I19" s="67"/>
      <c r="J19" s="67"/>
      <c r="N19" s="112" t="s">
        <v>18</v>
      </c>
      <c r="O19" s="113"/>
      <c r="P19" s="97">
        <f>Recap!F10</f>
        <v>5.8714148870231589E-2</v>
      </c>
      <c r="Q19" s="98">
        <f>Recap!G10</f>
        <v>2.7981210382748568E-2</v>
      </c>
      <c r="S19" s="71"/>
    </row>
    <row r="20" spans="2:19" ht="15.75" customHeight="1" x14ac:dyDescent="0.35">
      <c r="B20" s="109" t="s">
        <v>19</v>
      </c>
      <c r="G20" s="99" t="s">
        <v>16</v>
      </c>
      <c r="H20" s="67"/>
      <c r="I20" s="67"/>
      <c r="J20" s="67"/>
      <c r="N20" s="112" t="s">
        <v>20</v>
      </c>
      <c r="O20" s="113"/>
      <c r="P20" s="97">
        <f>Recap!F11</f>
        <v>1.3319426240100426E-2</v>
      </c>
      <c r="Q20" s="98">
        <f>Recap!G11</f>
        <v>3.019809877724914E-2</v>
      </c>
    </row>
    <row r="21" spans="2:19" ht="15.75" customHeight="1" x14ac:dyDescent="0.35">
      <c r="B21" s="109" t="s">
        <v>21</v>
      </c>
      <c r="G21" s="99" t="s">
        <v>22</v>
      </c>
      <c r="H21" s="67"/>
      <c r="I21" s="67"/>
      <c r="J21" s="67"/>
      <c r="N21" s="112" t="s">
        <v>23</v>
      </c>
      <c r="O21" s="113"/>
      <c r="P21" s="97">
        <f>Recap!F12</f>
        <v>7.7540370224497834E-4</v>
      </c>
      <c r="Q21" s="98">
        <f>Recap!G12</f>
        <v>6.1709211986681466E-2</v>
      </c>
    </row>
    <row r="22" spans="2:19" ht="15.75" customHeight="1" x14ac:dyDescent="0.35">
      <c r="B22" s="109" t="s">
        <v>24</v>
      </c>
      <c r="G22" s="99" t="s">
        <v>25</v>
      </c>
      <c r="H22" s="67"/>
      <c r="I22" s="67"/>
      <c r="J22" s="67"/>
      <c r="N22" s="112" t="s">
        <v>26</v>
      </c>
      <c r="O22" s="113"/>
      <c r="P22" s="97">
        <f>Recap!F13</f>
        <v>7.1939537547587223E-2</v>
      </c>
      <c r="Q22" s="98">
        <f>Recap!G13</f>
        <v>0.25238463859768817</v>
      </c>
    </row>
    <row r="23" spans="2:19" ht="15.75" customHeight="1" x14ac:dyDescent="0.35">
      <c r="B23" s="109" t="s">
        <v>27</v>
      </c>
      <c r="G23" s="99" t="s">
        <v>28</v>
      </c>
      <c r="H23" s="67"/>
      <c r="I23" s="67"/>
      <c r="J23" s="67"/>
      <c r="N23" s="112" t="s">
        <v>29</v>
      </c>
      <c r="O23" s="113"/>
      <c r="P23" s="97">
        <f>Recap!F14</f>
        <v>3.1580463910099409E-2</v>
      </c>
      <c r="Q23" s="98">
        <f>Recap!G14</f>
        <v>4.4827083029330222E-2</v>
      </c>
    </row>
    <row r="24" spans="2:19" ht="15.75" customHeight="1" x14ac:dyDescent="0.35">
      <c r="B24" s="109" t="s">
        <v>30</v>
      </c>
      <c r="G24" s="99" t="s">
        <v>31</v>
      </c>
      <c r="H24" s="67"/>
      <c r="I24" s="67"/>
      <c r="J24" s="67"/>
      <c r="N24" s="112" t="s">
        <v>32</v>
      </c>
      <c r="O24" s="113"/>
      <c r="P24" s="97">
        <f>Recap!F15</f>
        <v>3.5256195017124435E-4</v>
      </c>
      <c r="Q24" s="98">
        <f>Recap!G15</f>
        <v>5.703388327124357E-2</v>
      </c>
    </row>
    <row r="25" spans="2:19" ht="15.75" customHeight="1" x14ac:dyDescent="0.35">
      <c r="B25" s="109" t="s">
        <v>33</v>
      </c>
      <c r="G25" s="99" t="s">
        <v>34</v>
      </c>
      <c r="H25" s="67"/>
      <c r="I25" s="67"/>
      <c r="J25" s="67"/>
      <c r="N25" s="112" t="s">
        <v>35</v>
      </c>
      <c r="O25" s="113"/>
      <c r="P25" s="97">
        <f>Recap!F16</f>
        <v>3.1499024470510802E-3</v>
      </c>
      <c r="Q25" s="98">
        <f>Recap!G16</f>
        <v>1.0561462502072036E-2</v>
      </c>
    </row>
    <row r="26" spans="2:19" ht="15.75" customHeight="1" x14ac:dyDescent="0.35">
      <c r="B26" s="109" t="s">
        <v>36</v>
      </c>
      <c r="G26" s="100" t="s">
        <v>37</v>
      </c>
      <c r="H26" s="67"/>
      <c r="I26" s="67"/>
      <c r="J26" s="67"/>
      <c r="N26" s="112" t="s">
        <v>28</v>
      </c>
      <c r="O26" s="113"/>
      <c r="P26" s="97">
        <f>Recap!F17</f>
        <v>1.9278047610481502E-2</v>
      </c>
      <c r="Q26" s="98">
        <f>Recap!G17</f>
        <v>3.6020112753314036E-2</v>
      </c>
    </row>
    <row r="27" spans="2:19" ht="15.75" customHeight="1" x14ac:dyDescent="0.35">
      <c r="B27" s="109" t="s">
        <v>38</v>
      </c>
      <c r="G27" s="99" t="s">
        <v>39</v>
      </c>
      <c r="H27" s="67"/>
      <c r="I27" s="67"/>
      <c r="J27" s="67"/>
      <c r="N27" s="112" t="s">
        <v>40</v>
      </c>
      <c r="O27" s="113"/>
      <c r="P27" s="97" t="e">
        <f>Recap!F18</f>
        <v>#N/A</v>
      </c>
      <c r="Q27" s="98" t="e">
        <f>Recap!G18</f>
        <v>#N/A</v>
      </c>
    </row>
    <row r="28" spans="2:19" ht="15.75" customHeight="1" x14ac:dyDescent="0.35">
      <c r="B28" s="109" t="s">
        <v>41</v>
      </c>
      <c r="G28" s="99" t="s">
        <v>18</v>
      </c>
      <c r="H28" s="67"/>
      <c r="I28" s="67"/>
      <c r="J28" s="67"/>
      <c r="N28" s="112" t="s">
        <v>42</v>
      </c>
      <c r="O28" s="113"/>
      <c r="P28" s="97">
        <f>Recap!F19</f>
        <v>4.0902679830747531E-2</v>
      </c>
      <c r="Q28" s="98">
        <f>Recap!G19</f>
        <v>-7.8112794875800657E-4</v>
      </c>
    </row>
    <row r="29" spans="2:19" ht="15.75" customHeight="1" x14ac:dyDescent="0.35">
      <c r="B29" s="109" t="s">
        <v>43</v>
      </c>
      <c r="G29" s="99" t="s">
        <v>35</v>
      </c>
      <c r="H29" s="67"/>
      <c r="I29" s="67"/>
      <c r="J29" s="67"/>
      <c r="N29" s="112" t="s">
        <v>44</v>
      </c>
      <c r="O29" s="113"/>
      <c r="P29" s="97">
        <f>Recap!F20</f>
        <v>2.7917620137299773E-2</v>
      </c>
      <c r="Q29" s="98">
        <f>Recap!G20</f>
        <v>6.6621438263229305E-2</v>
      </c>
    </row>
    <row r="30" spans="2:19" ht="15.75" customHeight="1" thickBot="1" x14ac:dyDescent="0.4">
      <c r="B30" s="109" t="s">
        <v>45</v>
      </c>
      <c r="G30" s="99" t="s">
        <v>42</v>
      </c>
      <c r="H30" s="67"/>
      <c r="I30" s="67"/>
      <c r="J30" s="67"/>
      <c r="N30" s="114" t="s">
        <v>31</v>
      </c>
      <c r="O30" s="115"/>
      <c r="P30" s="101">
        <f>Recap!F21</f>
        <v>2.4512416071618883E-3</v>
      </c>
      <c r="Q30" s="102">
        <f>Recap!G21</f>
        <v>6.8742188387683215E-2</v>
      </c>
    </row>
    <row r="31" spans="2:19" ht="15.75" customHeight="1" x14ac:dyDescent="0.35">
      <c r="B31" s="109" t="s">
        <v>46</v>
      </c>
      <c r="G31" s="99" t="s">
        <v>40</v>
      </c>
      <c r="H31" s="67"/>
      <c r="I31" s="67"/>
      <c r="J31" s="67"/>
    </row>
    <row r="32" spans="2:19" ht="15.75" customHeight="1" x14ac:dyDescent="0.35">
      <c r="B32" s="109" t="s">
        <v>47</v>
      </c>
      <c r="G32" s="99" t="s">
        <v>44</v>
      </c>
      <c r="H32" s="67"/>
      <c r="I32" s="67"/>
      <c r="J32" s="67"/>
    </row>
    <row r="33" spans="2:14" ht="14.25" customHeight="1" thickBot="1" x14ac:dyDescent="0.4">
      <c r="B33" s="129"/>
      <c r="C33" s="121"/>
      <c r="D33" s="121"/>
      <c r="E33" s="121"/>
      <c r="F33" s="121"/>
      <c r="G33" s="130"/>
      <c r="H33" s="121"/>
      <c r="I33" s="121"/>
      <c r="J33" s="121"/>
    </row>
    <row r="34" spans="2:14" ht="16" customHeight="1" thickBot="1" x14ac:dyDescent="0.4">
      <c r="B34" s="27"/>
      <c r="N34" s="69">
        <f>DATE(YEAR($P$14),MONTH($P$14)-1,DAY($P$14))</f>
        <v>44896</v>
      </c>
    </row>
    <row r="35" spans="2:14" ht="33.75" customHeight="1" thickBot="1" x14ac:dyDescent="0.4">
      <c r="B35" s="128"/>
      <c r="C35" s="121"/>
      <c r="D35" s="121"/>
      <c r="E35" s="121"/>
      <c r="F35" s="121"/>
      <c r="G35" s="121"/>
      <c r="H35" s="121"/>
      <c r="I35" s="121"/>
      <c r="J35" s="121"/>
      <c r="N35" s="72">
        <f>DATE(YEAR($P$14)-1,MONTH($P$14),DAY($P$14))</f>
        <v>44562</v>
      </c>
    </row>
    <row r="36" spans="2:14" x14ac:dyDescent="0.35">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4"/>
  <sheetViews>
    <sheetView topLeftCell="A352" zoomScale="80" zoomScaleNormal="80" workbookViewId="0">
      <selection activeCell="P30" sqref="P30"/>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48</v>
      </c>
      <c r="B1" t="s">
        <v>49</v>
      </c>
      <c r="C1" t="s">
        <v>50</v>
      </c>
      <c r="D1" t="s">
        <v>51</v>
      </c>
      <c r="E1" t="s">
        <v>52</v>
      </c>
      <c r="F1" t="s">
        <v>53</v>
      </c>
      <c r="G1" t="s">
        <v>54</v>
      </c>
      <c r="H1" t="s">
        <v>55</v>
      </c>
      <c r="I1" t="s">
        <v>56</v>
      </c>
      <c r="J1" t="s">
        <v>57</v>
      </c>
      <c r="K1" t="s">
        <v>58</v>
      </c>
      <c r="L1" t="s">
        <v>59</v>
      </c>
      <c r="M1" t="s">
        <v>60</v>
      </c>
      <c r="N1" t="s">
        <v>61</v>
      </c>
      <c r="O1" t="s">
        <v>62</v>
      </c>
      <c r="P1" t="s">
        <v>63</v>
      </c>
      <c r="Q1" t="s">
        <v>64</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459391</v>
      </c>
      <c r="C361">
        <v>639273</v>
      </c>
      <c r="D361">
        <v>41347</v>
      </c>
      <c r="E361">
        <v>25316</v>
      </c>
      <c r="F361">
        <v>76057</v>
      </c>
      <c r="G361">
        <v>7575</v>
      </c>
      <c r="H361">
        <v>11674</v>
      </c>
      <c r="I361">
        <v>78432</v>
      </c>
      <c r="J361">
        <v>516221</v>
      </c>
      <c r="K361">
        <v>56830</v>
      </c>
      <c r="L361">
        <v>66890</v>
      </c>
      <c r="M361">
        <v>32855</v>
      </c>
      <c r="N361">
        <v>14611</v>
      </c>
      <c r="O361">
        <v>123052</v>
      </c>
      <c r="P361">
        <v>95635</v>
      </c>
      <c r="Q361">
        <v>8999</v>
      </c>
    </row>
    <row r="362" spans="1:17" x14ac:dyDescent="0.35">
      <c r="A362" s="111">
        <v>44562</v>
      </c>
      <c r="B362">
        <v>470841</v>
      </c>
      <c r="C362">
        <v>655154</v>
      </c>
      <c r="D362">
        <v>42229</v>
      </c>
      <c r="E362">
        <v>25158</v>
      </c>
      <c r="F362">
        <v>76585</v>
      </c>
      <c r="G362">
        <v>7399</v>
      </c>
      <c r="H362">
        <v>11804</v>
      </c>
      <c r="I362">
        <v>76217</v>
      </c>
      <c r="J362">
        <v>527211</v>
      </c>
      <c r="K362">
        <v>56370</v>
      </c>
      <c r="L362">
        <v>68530</v>
      </c>
      <c r="M362">
        <v>32815</v>
      </c>
      <c r="N362">
        <v>14740</v>
      </c>
      <c r="O362">
        <v>127943</v>
      </c>
      <c r="P362">
        <v>106563</v>
      </c>
      <c r="Q362">
        <v>8801</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495304</v>
      </c>
      <c r="C372">
        <v>684411</v>
      </c>
      <c r="D372">
        <v>42074</v>
      </c>
      <c r="E372">
        <v>26248</v>
      </c>
      <c r="F372">
        <v>81348</v>
      </c>
      <c r="G372">
        <v>6774</v>
      </c>
      <c r="H372">
        <v>11927</v>
      </c>
      <c r="I372">
        <v>89083</v>
      </c>
      <c r="J372">
        <v>557858</v>
      </c>
      <c r="K372">
        <v>62554</v>
      </c>
      <c r="L372">
        <v>70003</v>
      </c>
      <c r="M372">
        <v>33971</v>
      </c>
      <c r="N372">
        <v>15072</v>
      </c>
      <c r="O372">
        <v>126553</v>
      </c>
      <c r="P372">
        <v>109436</v>
      </c>
      <c r="Q372">
        <v>9368</v>
      </c>
    </row>
    <row r="373" spans="1:17" x14ac:dyDescent="0.35">
      <c r="A373" s="111">
        <v>44896</v>
      </c>
      <c r="B373">
        <v>493132</v>
      </c>
      <c r="C373">
        <v>676925</v>
      </c>
      <c r="D373">
        <v>42541</v>
      </c>
      <c r="E373">
        <v>26082</v>
      </c>
      <c r="F373">
        <v>81248</v>
      </c>
      <c r="G373">
        <v>6699</v>
      </c>
      <c r="H373">
        <v>11735</v>
      </c>
      <c r="I373">
        <v>89047</v>
      </c>
      <c r="J373">
        <v>552696</v>
      </c>
      <c r="K373">
        <v>59564</v>
      </c>
      <c r="L373">
        <v>69410</v>
      </c>
      <c r="M373">
        <v>33354</v>
      </c>
      <c r="N373">
        <v>15295</v>
      </c>
      <c r="O373">
        <v>124229</v>
      </c>
      <c r="P373">
        <v>108338</v>
      </c>
      <c r="Q373">
        <v>9383</v>
      </c>
    </row>
    <row r="374" spans="1:17" x14ac:dyDescent="0.35">
      <c r="A374" s="111">
        <v>44927</v>
      </c>
      <c r="B374">
        <v>505874</v>
      </c>
      <c r="C374">
        <v>696982</v>
      </c>
      <c r="D374">
        <v>42675</v>
      </c>
      <c r="E374">
        <v>26739</v>
      </c>
      <c r="F374">
        <v>81311</v>
      </c>
      <c r="G374">
        <v>6936</v>
      </c>
      <c r="H374">
        <v>12252</v>
      </c>
      <c r="I374">
        <v>95453</v>
      </c>
      <c r="J374">
        <v>565459</v>
      </c>
      <c r="K374">
        <v>59585</v>
      </c>
      <c r="L374">
        <v>71602</v>
      </c>
      <c r="M374">
        <v>33997</v>
      </c>
      <c r="N374">
        <v>15722</v>
      </c>
      <c r="O374">
        <v>131523</v>
      </c>
      <c r="P374">
        <v>109781</v>
      </c>
      <c r="Q374">
        <v>9406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3" sqref="E3"/>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6" width="9.1796875" style="109" customWidth="1"/>
    <col min="37" max="16384" width="9.1796875" style="109"/>
  </cols>
  <sheetData>
    <row r="1" spans="2:10" ht="16" customHeight="1" thickBot="1" x14ac:dyDescent="0.4"/>
    <row r="2" spans="2:10" x14ac:dyDescent="0.35">
      <c r="D2" s="4" t="s">
        <v>65</v>
      </c>
      <c r="E2" s="6">
        <f>DATE(YEAR(E3),MONTH(E3)-1,DAY(E3))</f>
        <v>44896</v>
      </c>
    </row>
    <row r="3" spans="2:10" ht="16" customHeight="1" thickBot="1" x14ac:dyDescent="0.4">
      <c r="D3" s="5" t="s">
        <v>66</v>
      </c>
      <c r="E3" s="7">
        <v>44927</v>
      </c>
      <c r="F3" s="8" t="s">
        <v>67</v>
      </c>
    </row>
    <row r="5" spans="2:10" ht="16" customHeight="1" thickBot="1" x14ac:dyDescent="0.4"/>
    <row r="6" spans="2:10" ht="21" customHeight="1" thickBot="1" x14ac:dyDescent="0.5">
      <c r="B6" s="73" t="s">
        <v>68</v>
      </c>
      <c r="C6" s="74" t="s">
        <v>69</v>
      </c>
      <c r="D6" s="74" t="s">
        <v>65</v>
      </c>
      <c r="E6" s="74" t="s">
        <v>66</v>
      </c>
      <c r="F6" s="74" t="s">
        <v>70</v>
      </c>
      <c r="G6" s="74" t="s">
        <v>12</v>
      </c>
      <c r="H6" s="74" t="s">
        <v>71</v>
      </c>
      <c r="I6" s="74" t="s">
        <v>72</v>
      </c>
      <c r="J6" s="75" t="s">
        <v>73</v>
      </c>
    </row>
    <row r="7" spans="2:10" ht="25.5" customHeight="1" x14ac:dyDescent="0.45">
      <c r="B7" s="59"/>
      <c r="C7" s="60" t="s">
        <v>0</v>
      </c>
      <c r="D7" s="61">
        <f>VLOOKUP($E$2,'Retail Sales'!A:B,2,)</f>
        <v>676925</v>
      </c>
      <c r="E7" s="61">
        <f>VLOOKUP($E$3,'Retail Sales'!A:B,2,)</f>
        <v>696982</v>
      </c>
      <c r="F7" s="103">
        <f t="shared" ref="F7:F21" si="0">(E7-D7)/D7</f>
        <v>2.9629574915980353E-2</v>
      </c>
      <c r="G7" s="103">
        <f>VLOOKUP($E$3,'Retail Sales'!A:D,4,)</f>
        <v>6.3844531209456101E-2</v>
      </c>
      <c r="H7" s="62"/>
      <c r="I7" s="63" t="s">
        <v>50</v>
      </c>
      <c r="J7" s="64" t="s">
        <v>15</v>
      </c>
    </row>
    <row r="8" spans="2:10" ht="25.5" customHeight="1" x14ac:dyDescent="0.45">
      <c r="B8" s="38"/>
      <c r="C8" s="34" t="s">
        <v>14</v>
      </c>
      <c r="D8" s="35">
        <f>VLOOKUP($E$2,'Retail Sales ex Auto'!A:B,2,)</f>
        <v>552696</v>
      </c>
      <c r="E8" s="35">
        <f>VLOOKUP($E$3,'Retail Sales ex Auto'!A:B,2,)</f>
        <v>565459</v>
      </c>
      <c r="F8" s="104">
        <f t="shared" si="0"/>
        <v>2.3092260483158916E-2</v>
      </c>
      <c r="G8" s="104">
        <f>VLOOKUP($E$3,'Retail Sales ex Auto'!A:D,4,)</f>
        <v>7.254780344112699E-2</v>
      </c>
      <c r="H8" s="3"/>
      <c r="I8" s="36" t="s">
        <v>57</v>
      </c>
      <c r="J8" s="39" t="s">
        <v>17</v>
      </c>
    </row>
    <row r="9" spans="2:10" ht="25.5" customHeight="1" x14ac:dyDescent="0.45">
      <c r="B9" s="38"/>
      <c r="C9" s="34" t="s">
        <v>16</v>
      </c>
      <c r="D9" s="35">
        <f>VLOOKUP($E$2,'Retail Sales ex Auto and Gas'!A:B,2,)</f>
        <v>493132</v>
      </c>
      <c r="E9" s="35">
        <f>VLOOKUP($E$3,'Retail Sales ex Auto and Gas'!A:B,2,)</f>
        <v>505874</v>
      </c>
      <c r="F9" s="104">
        <f t="shared" si="0"/>
        <v>2.5838923452544148E-2</v>
      </c>
      <c r="G9" s="104">
        <f>VLOOKUP($E$3,'Retail Sales ex Auto and Gas'!A:D,4,)</f>
        <v>7.4405160128366052E-2</v>
      </c>
      <c r="H9" s="3"/>
      <c r="I9" s="36" t="s">
        <v>49</v>
      </c>
      <c r="J9" s="39" t="s">
        <v>19</v>
      </c>
    </row>
    <row r="10" spans="2:10" ht="25.5" customHeight="1" x14ac:dyDescent="0.45">
      <c r="B10" s="40">
        <v>441</v>
      </c>
      <c r="C10" s="34" t="s">
        <v>74</v>
      </c>
      <c r="D10" s="35">
        <f>VLOOKUP($E$2,Motor!A:B,2,)</f>
        <v>124229</v>
      </c>
      <c r="E10" s="35">
        <f>VLOOKUP($E$3,Motor!A:B,2,)</f>
        <v>131523</v>
      </c>
      <c r="F10" s="104">
        <f t="shared" si="0"/>
        <v>5.8714148870231589E-2</v>
      </c>
      <c r="G10" s="104">
        <f>VLOOKUP($E$3,Motor!A:D,4,)</f>
        <v>2.7981210382748568E-2</v>
      </c>
      <c r="H10" s="105">
        <f t="shared" ref="H10:H21" si="1">D10/$D$7</f>
        <v>0.18351959227388559</v>
      </c>
      <c r="I10" s="36" t="s">
        <v>62</v>
      </c>
      <c r="J10" s="39" t="s">
        <v>41</v>
      </c>
    </row>
    <row r="11" spans="2:10" ht="25.5" customHeight="1" x14ac:dyDescent="0.45">
      <c r="B11" s="40">
        <v>454</v>
      </c>
      <c r="C11" s="34" t="s">
        <v>20</v>
      </c>
      <c r="D11" s="35">
        <f>VLOOKUP($E$2,'Non Store Retail'!A:B,2,)</f>
        <v>108338</v>
      </c>
      <c r="E11" s="35">
        <f>VLOOKUP($E$3,'Non Store Retail'!A:B,2,)</f>
        <v>109781</v>
      </c>
      <c r="F11" s="104">
        <f t="shared" si="0"/>
        <v>1.3319426240100426E-2</v>
      </c>
      <c r="G11" s="104">
        <f>VLOOKUP($E$3,'Non Store Retail'!A:D,4,)</f>
        <v>3.019809877724914E-2</v>
      </c>
      <c r="H11" s="105">
        <f t="shared" si="1"/>
        <v>0.16004431805591463</v>
      </c>
      <c r="I11" s="36" t="s">
        <v>63</v>
      </c>
      <c r="J11" s="39" t="s">
        <v>24</v>
      </c>
    </row>
    <row r="12" spans="2:10" ht="25.5" customHeight="1" x14ac:dyDescent="0.45">
      <c r="B12" s="40">
        <v>445</v>
      </c>
      <c r="C12" s="34" t="s">
        <v>23</v>
      </c>
      <c r="D12" s="35">
        <f>VLOOKUP($E$2,'Food and Beverage'!A:B,2,)</f>
        <v>81248</v>
      </c>
      <c r="E12" s="35">
        <f>VLOOKUP($E$3,'Food and Beverage'!A:B,2,)</f>
        <v>81311</v>
      </c>
      <c r="F12" s="104">
        <f t="shared" si="0"/>
        <v>7.7540370224497834E-4</v>
      </c>
      <c r="G12" s="104">
        <f>VLOOKUP($E$3,'Food and Beverage'!A:D,4,)</f>
        <v>6.1709211986681466E-2</v>
      </c>
      <c r="H12" s="105">
        <f t="shared" si="1"/>
        <v>0.12002511356501828</v>
      </c>
      <c r="I12" s="36" t="s">
        <v>53</v>
      </c>
      <c r="J12" s="39" t="s">
        <v>21</v>
      </c>
    </row>
    <row r="13" spans="2:10" ht="25.5" customHeight="1" x14ac:dyDescent="0.45">
      <c r="B13" s="40">
        <v>722</v>
      </c>
      <c r="C13" s="34" t="s">
        <v>26</v>
      </c>
      <c r="D13" s="35">
        <f>VLOOKUP($E$2,'Food Services'!A:B,2,)</f>
        <v>89047</v>
      </c>
      <c r="E13" s="35">
        <f>VLOOKUP($E$3,'Food Services'!A:B,2,)</f>
        <v>95453</v>
      </c>
      <c r="F13" s="104">
        <f t="shared" si="0"/>
        <v>7.1939537547587223E-2</v>
      </c>
      <c r="G13" s="104">
        <f>VLOOKUP($E$3,'Food Services'!A:D,4,)</f>
        <v>0.25238463859768817</v>
      </c>
      <c r="H13" s="105">
        <f t="shared" si="1"/>
        <v>0.13154633083428741</v>
      </c>
      <c r="I13" s="36" t="s">
        <v>56</v>
      </c>
      <c r="J13" s="39" t="s">
        <v>36</v>
      </c>
    </row>
    <row r="14" spans="2:10" ht="25.5" customHeight="1" x14ac:dyDescent="0.45">
      <c r="B14" s="40">
        <v>452</v>
      </c>
      <c r="C14" s="34" t="s">
        <v>29</v>
      </c>
      <c r="D14" s="35">
        <f>VLOOKUP($E$2,'General Merchandising'!A:B,2,)</f>
        <v>69410</v>
      </c>
      <c r="E14" s="35">
        <f>VLOOKUP($E$3,'General Merchandising'!A:B,2,)</f>
        <v>71602</v>
      </c>
      <c r="F14" s="104">
        <f t="shared" si="0"/>
        <v>3.1580463910099409E-2</v>
      </c>
      <c r="G14" s="104">
        <f>VLOOKUP($E$3,'General Merchandising'!A:D,4,)</f>
        <v>4.4827083029330222E-2</v>
      </c>
      <c r="H14" s="105">
        <f t="shared" si="1"/>
        <v>0.10253720870111165</v>
      </c>
      <c r="I14" s="36" t="s">
        <v>59</v>
      </c>
      <c r="J14" s="39" t="s">
        <v>33</v>
      </c>
    </row>
    <row r="15" spans="2:10" ht="25.5" customHeight="1" x14ac:dyDescent="0.45">
      <c r="B15" s="40">
        <v>447</v>
      </c>
      <c r="C15" s="34" t="s">
        <v>32</v>
      </c>
      <c r="D15" s="35">
        <f>VLOOKUP($E$2,'Gas Station'!A:B,2,)</f>
        <v>59564</v>
      </c>
      <c r="E15" s="35">
        <f>VLOOKUP($E$3,'Gas Station'!A:B,2,)</f>
        <v>59585</v>
      </c>
      <c r="F15" s="104">
        <f t="shared" si="0"/>
        <v>3.5256195017124435E-4</v>
      </c>
      <c r="G15" s="104">
        <f>VLOOKUP($E$3,'Gas Station'!A:D,4,)</f>
        <v>5.703388327124357E-2</v>
      </c>
      <c r="H15" s="105">
        <f t="shared" si="1"/>
        <v>8.7992022749935367E-2</v>
      </c>
      <c r="I15" s="36" t="s">
        <v>58</v>
      </c>
      <c r="J15" s="39" t="s">
        <v>38</v>
      </c>
    </row>
    <row r="16" spans="2:10" ht="25.5" customHeight="1" x14ac:dyDescent="0.45">
      <c r="B16" s="40">
        <v>444</v>
      </c>
      <c r="C16" s="34" t="s">
        <v>35</v>
      </c>
      <c r="D16" s="35">
        <f>VLOOKUP($E$2,Housing!A:B,2,)</f>
        <v>42541</v>
      </c>
      <c r="E16" s="35">
        <f>VLOOKUP($E$3,Housing!A:B,2,)</f>
        <v>42675</v>
      </c>
      <c r="F16" s="104">
        <f t="shared" si="0"/>
        <v>3.1499024470510802E-3</v>
      </c>
      <c r="G16" s="104">
        <f>VLOOKUP($E$3,Housing!A:D,4,)</f>
        <v>1.0561462502072036E-2</v>
      </c>
      <c r="H16" s="105">
        <f t="shared" si="1"/>
        <v>6.284448055545297E-2</v>
      </c>
      <c r="I16" s="36" t="s">
        <v>51</v>
      </c>
      <c r="J16" s="39" t="s">
        <v>43</v>
      </c>
    </row>
    <row r="17" spans="2:10" ht="25.5" customHeight="1" x14ac:dyDescent="0.45">
      <c r="B17" s="40">
        <v>446</v>
      </c>
      <c r="C17" s="34" t="s">
        <v>28</v>
      </c>
      <c r="D17" s="35">
        <f>VLOOKUP($E$2,Health!A:B,2,)</f>
        <v>33354</v>
      </c>
      <c r="E17" s="35">
        <f>VLOOKUP($E$3,Health!A:B,2,)</f>
        <v>33997</v>
      </c>
      <c r="F17" s="104">
        <f t="shared" si="0"/>
        <v>1.9278047610481502E-2</v>
      </c>
      <c r="G17" s="104">
        <f>VLOOKUP($E$3,Health!A:D,4,)</f>
        <v>3.6020112753314036E-2</v>
      </c>
      <c r="H17" s="105">
        <f t="shared" si="1"/>
        <v>4.9272814565867712E-2</v>
      </c>
      <c r="I17" s="36" t="s">
        <v>60</v>
      </c>
      <c r="J17" s="39" t="s">
        <v>27</v>
      </c>
    </row>
    <row r="18" spans="2:10" ht="25.5" customHeight="1" x14ac:dyDescent="0.45">
      <c r="B18" s="40">
        <v>448</v>
      </c>
      <c r="C18" s="34" t="s">
        <v>40</v>
      </c>
      <c r="D18" s="35">
        <f>VLOOKUP($E$2,'Clothing and clothing access'!A:B,2,0)</f>
        <v>26082</v>
      </c>
      <c r="E18" s="35" t="e">
        <f>VLOOKUP($E$3,'Clothing and clothing access'!A:B,2,)</f>
        <v>#N/A</v>
      </c>
      <c r="F18" s="104" t="e">
        <f t="shared" si="0"/>
        <v>#N/A</v>
      </c>
      <c r="G18" s="104" t="e">
        <f>VLOOKUP($E$3,'Clothing and clothing access'!A:D,4,)</f>
        <v>#N/A</v>
      </c>
      <c r="H18" s="105">
        <f t="shared" si="1"/>
        <v>3.8530117812165303E-2</v>
      </c>
      <c r="I18" s="37" t="s">
        <v>52</v>
      </c>
      <c r="J18" s="41" t="s">
        <v>46</v>
      </c>
    </row>
    <row r="19" spans="2:10" ht="25.5" customHeight="1" x14ac:dyDescent="0.45">
      <c r="B19" s="40" t="s">
        <v>75</v>
      </c>
      <c r="C19" s="34" t="s">
        <v>42</v>
      </c>
      <c r="D19" s="35">
        <f>VLOOKUP($E$2,'Furniture Home'!A:B,2,)</f>
        <v>18434</v>
      </c>
      <c r="E19" s="35">
        <f>VLOOKUP($E$3,'Furniture Home'!A:B,2,)</f>
        <v>19188</v>
      </c>
      <c r="F19" s="104">
        <f t="shared" si="0"/>
        <v>4.0902679830747531E-2</v>
      </c>
      <c r="G19" s="104">
        <f>VLOOKUP($E$3,'Furniture Home'!A:D,4,)</f>
        <v>-7.8112794875800657E-4</v>
      </c>
      <c r="H19" s="105">
        <f t="shared" si="1"/>
        <v>2.7231968090999741E-2</v>
      </c>
      <c r="I19" s="37" t="s">
        <v>76</v>
      </c>
      <c r="J19" s="41" t="s">
        <v>45</v>
      </c>
    </row>
    <row r="20" spans="2:10" ht="25.5" customHeight="1" x14ac:dyDescent="0.45">
      <c r="B20" s="40">
        <v>453</v>
      </c>
      <c r="C20" s="34" t="s">
        <v>44</v>
      </c>
      <c r="D20" s="35">
        <f>VLOOKUP($E$2,'Miscellaneous stores retailers'!A:B,2,)</f>
        <v>15295</v>
      </c>
      <c r="E20" s="35">
        <f>VLOOKUP($E$3,'Miscellaneous stores retailers'!A:B,2,)</f>
        <v>15722</v>
      </c>
      <c r="F20" s="104">
        <f t="shared" si="0"/>
        <v>2.7917620137299773E-2</v>
      </c>
      <c r="G20" s="104">
        <f>VLOOKUP($E$3,'Miscellaneous stores retailers'!A:D,4,)</f>
        <v>6.6621438263229305E-2</v>
      </c>
      <c r="H20" s="105">
        <f t="shared" si="1"/>
        <v>2.2594822173800641E-2</v>
      </c>
      <c r="I20" s="37" t="s">
        <v>61</v>
      </c>
      <c r="J20" s="41" t="s">
        <v>47</v>
      </c>
    </row>
    <row r="21" spans="2:10" ht="25.5" customHeight="1" thickBot="1" x14ac:dyDescent="0.5">
      <c r="B21" s="42">
        <v>451</v>
      </c>
      <c r="C21" s="43" t="s">
        <v>31</v>
      </c>
      <c r="D21" s="44">
        <f>VLOOKUP($E$2,'Sporting Goods'!A:B,2,)</f>
        <v>9383</v>
      </c>
      <c r="E21" s="44">
        <f>VLOOKUP($E$3,'Sporting Goods'!A:B,2,)</f>
        <v>9406</v>
      </c>
      <c r="F21" s="106">
        <f t="shared" si="0"/>
        <v>2.4512416071618883E-3</v>
      </c>
      <c r="G21" s="106">
        <f>VLOOKUP($E$3,'Sporting Goods'!A:D,4,)</f>
        <v>6.8742188387683215E-2</v>
      </c>
      <c r="H21" s="107">
        <f t="shared" si="1"/>
        <v>1.3861210621560734E-2</v>
      </c>
      <c r="I21" s="47" t="s">
        <v>64</v>
      </c>
      <c r="J21" s="48" t="s">
        <v>30</v>
      </c>
    </row>
    <row r="22" spans="2:10" ht="25.5" customHeight="1" thickBot="1" x14ac:dyDescent="0.5">
      <c r="D22" s="45">
        <f>SUM(D10:D21)</f>
        <v>676925</v>
      </c>
      <c r="E22" s="46" t="e">
        <f>SUM(E10:E21)</f>
        <v>#N/A</v>
      </c>
      <c r="H22" s="108">
        <f>SUM(H10:H21)</f>
        <v>0.99999999999999989</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9"/>
  <sheetViews>
    <sheetView zoomScale="70" zoomScaleNormal="70" workbookViewId="0">
      <pane ySplit="3" topLeftCell="A36" activePane="bottomLeft" state="frozen"/>
      <selection activeCell="P14" sqref="P14"/>
      <selection pane="bottomLeft" activeCell="E71" sqref="E71"/>
    </sheetView>
  </sheetViews>
  <sheetFormatPr defaultColWidth="9.1796875" defaultRowHeight="14.5" x14ac:dyDescent="0.35"/>
  <cols>
    <col min="1" max="1" width="3" style="109" customWidth="1"/>
    <col min="2" max="2" width="8.81640625" style="109" bestFit="1" customWidth="1"/>
    <col min="3" max="32" width="7.6328125" style="109" customWidth="1"/>
    <col min="33" max="55" width="9.1796875" style="109" customWidth="1"/>
    <col min="56" max="16384" width="9.1796875" style="109"/>
  </cols>
  <sheetData>
    <row r="1" spans="2:32" ht="16" customHeight="1" thickBot="1" x14ac:dyDescent="0.4"/>
    <row r="2" spans="2:32" ht="87" customHeight="1" thickBot="1" x14ac:dyDescent="0.4">
      <c r="B2" s="54"/>
      <c r="C2" s="131" t="s">
        <v>0</v>
      </c>
      <c r="D2" s="125"/>
      <c r="E2" s="132" t="s">
        <v>14</v>
      </c>
      <c r="F2" s="125"/>
      <c r="G2" s="131" t="s">
        <v>16</v>
      </c>
      <c r="H2" s="125"/>
      <c r="I2" s="131" t="s">
        <v>18</v>
      </c>
      <c r="J2" s="125"/>
      <c r="K2" s="131" t="s">
        <v>20</v>
      </c>
      <c r="L2" s="125"/>
      <c r="M2" s="131" t="s">
        <v>23</v>
      </c>
      <c r="N2" s="125"/>
      <c r="O2" s="131" t="s">
        <v>26</v>
      </c>
      <c r="P2" s="125"/>
      <c r="Q2" s="131" t="s">
        <v>77</v>
      </c>
      <c r="R2" s="125"/>
      <c r="S2" s="131" t="s">
        <v>32</v>
      </c>
      <c r="T2" s="125"/>
      <c r="U2" s="131" t="s">
        <v>35</v>
      </c>
      <c r="V2" s="125"/>
      <c r="W2" s="131" t="s">
        <v>28</v>
      </c>
      <c r="X2" s="125"/>
      <c r="Y2" s="131" t="s">
        <v>78</v>
      </c>
      <c r="Z2" s="125"/>
      <c r="AA2" s="131" t="s">
        <v>79</v>
      </c>
      <c r="AB2" s="125"/>
      <c r="AC2" s="131" t="s">
        <v>80</v>
      </c>
      <c r="AD2" s="125"/>
      <c r="AE2" s="131" t="s">
        <v>31</v>
      </c>
      <c r="AF2" s="125"/>
    </row>
    <row r="3" spans="2:32" s="49" customFormat="1" ht="22.5" customHeight="1" x14ac:dyDescent="0.3">
      <c r="B3" s="55" t="s">
        <v>81</v>
      </c>
      <c r="C3" s="57" t="s">
        <v>11</v>
      </c>
      <c r="D3" s="58" t="s">
        <v>12</v>
      </c>
      <c r="E3" s="50" t="s">
        <v>11</v>
      </c>
      <c r="F3" s="51" t="s">
        <v>12</v>
      </c>
      <c r="G3" s="50" t="s">
        <v>11</v>
      </c>
      <c r="H3" s="51" t="s">
        <v>12</v>
      </c>
      <c r="I3" s="50" t="s">
        <v>11</v>
      </c>
      <c r="J3" s="51" t="s">
        <v>12</v>
      </c>
      <c r="K3" s="50" t="s">
        <v>11</v>
      </c>
      <c r="L3" s="51" t="s">
        <v>12</v>
      </c>
      <c r="M3" s="50" t="s">
        <v>11</v>
      </c>
      <c r="N3" s="51" t="s">
        <v>12</v>
      </c>
      <c r="O3" s="50" t="s">
        <v>11</v>
      </c>
      <c r="P3" s="51" t="s">
        <v>12</v>
      </c>
      <c r="Q3" s="50" t="s">
        <v>11</v>
      </c>
      <c r="R3" s="51" t="s">
        <v>12</v>
      </c>
      <c r="S3" s="50" t="s">
        <v>11</v>
      </c>
      <c r="T3" s="51" t="s">
        <v>12</v>
      </c>
      <c r="U3" s="50" t="s">
        <v>11</v>
      </c>
      <c r="V3" s="51" t="s">
        <v>12</v>
      </c>
      <c r="W3" s="50" t="s">
        <v>11</v>
      </c>
      <c r="X3" s="51" t="s">
        <v>12</v>
      </c>
      <c r="Y3" s="50" t="s">
        <v>11</v>
      </c>
      <c r="Z3" s="51" t="s">
        <v>12</v>
      </c>
      <c r="AA3" s="50" t="s">
        <v>11</v>
      </c>
      <c r="AB3" s="51" t="s">
        <v>12</v>
      </c>
      <c r="AC3" s="50" t="s">
        <v>11</v>
      </c>
      <c r="AD3" s="51" t="s">
        <v>12</v>
      </c>
      <c r="AE3" s="50" t="s">
        <v>11</v>
      </c>
      <c r="AF3" s="51" t="s">
        <v>12</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-1.0615477951873611E-2</v>
      </c>
      <c r="D56" s="53">
        <f>VLOOKUP(B56,'Retail Sales'!A:D,4,)</f>
        <v>0.17742410791576263</v>
      </c>
      <c r="E56" s="52">
        <f>VLOOKUP(B56,'Retail Sales ex Auto'!$A:$D,3,)</f>
        <v>-1.0001227379774316E-2</v>
      </c>
      <c r="F56" s="53">
        <f>VLOOKUP(B56,'Retail Sales ex Auto'!$A:$D,4,)</f>
        <v>0.19535447000852135</v>
      </c>
      <c r="G56" s="52">
        <f>VLOOKUP(B56,'Retail Sales ex Auto and Gas'!$A:$D,3,)</f>
        <v>-1.5274898878283106E-2</v>
      </c>
      <c r="H56" s="53">
        <f>VLOOKUP(B56,'Retail Sales ex Auto and Gas'!$A:$D,4,)</f>
        <v>0.17023509602280398</v>
      </c>
      <c r="I56" s="52">
        <f>VLOOKUP(B56,Motor!$A:$D,3,)</f>
        <v>-1.3184063642779239E-2</v>
      </c>
      <c r="J56" s="53">
        <f>VLOOKUP(B56,Motor!$A:$D,4,)</f>
        <v>0.10771834434582216</v>
      </c>
      <c r="K56" s="52">
        <f>VLOOKUP(B56,'Non Store Retail'!$A:$D,3,)</f>
        <v>-5.1597612011344926E-2</v>
      </c>
      <c r="L56" s="53">
        <f>VLOOKUP(B56,'Non Store Retail'!$A:$D,4,)</f>
        <v>0.12378232923232395</v>
      </c>
      <c r="M56" s="52">
        <f>VLOOKUP(B56,'Food and Beverage'!$A:$D,3,)</f>
        <v>7.0306914175250904E-3</v>
      </c>
      <c r="N56" s="52">
        <f>VLOOKUP(B56,'Food and Beverage'!$A:$D,4,)</f>
        <v>8.6792506751639686E-2</v>
      </c>
      <c r="O56" s="52">
        <f>VLOOKUP(B56,'Food Services'!$A:$D,3,)</f>
        <v>-6.7749819544873175E-3</v>
      </c>
      <c r="P56" s="53">
        <f>VLOOKUP(B56,'Food Services'!$A:$D,4,)</f>
        <v>0.45067140162024194</v>
      </c>
      <c r="Q56" s="52">
        <f>VLOOKUP(B56,'General Merchandising'!$A:$D,3,)</f>
        <v>-1.7566019445994771E-2</v>
      </c>
      <c r="R56" s="53">
        <f>VLOOKUP(B56,'General Merchandising'!$A:$D,4,)</f>
        <v>0.10574777246954194</v>
      </c>
      <c r="S56" s="52">
        <f>VLOOKUP(B56,'Gas Station'!$A:$D,3,)</f>
        <v>3.479670059542235E-2</v>
      </c>
      <c r="T56" s="53">
        <f>VLOOKUP(B56,'Gas Station'!$A:$D,4,)</f>
        <v>0.44631359275188964</v>
      </c>
      <c r="U56" s="52">
        <f>VLOOKUP(B56,Housing!$A:$D,3,)</f>
        <v>5.8139534883720929E-3</v>
      </c>
      <c r="V56" s="53">
        <f>VLOOKUP(B56,Housing!$A:$D,4,)</f>
        <v>0.13192619360490582</v>
      </c>
      <c r="W56" s="52">
        <f>VLOOKUP(B56,Health!$A:$D,3,)</f>
        <v>6.9572146622532798E-3</v>
      </c>
      <c r="X56" s="53">
        <f>VLOOKUP(B56,Health!$A:$D,4,)</f>
        <v>9.7068251636169361E-2</v>
      </c>
      <c r="Y56" s="52">
        <f>VLOOKUP(B56,'Clothing and clothing access'!$A:$D,3,)</f>
        <v>-3.1781848778062491E-2</v>
      </c>
      <c r="Z56" s="53">
        <f>VLOOKUP(B56,'Clothing and clothing access'!$A:$D,4,)</f>
        <v>0.26535712500624781</v>
      </c>
      <c r="AA56" s="52">
        <f>VLOOKUP(B56,'Furniture Home'!$A:$D,3,)</f>
        <v>-7.6812042478606041E-3</v>
      </c>
      <c r="AB56" s="53">
        <f>VLOOKUP(B56,'Furniture Home'!$A:$D,4,)</f>
        <v>0.13737887024344125</v>
      </c>
      <c r="AC56" s="52">
        <f>VLOOKUP(B56,'Miscellaneous stores retailers'!$A:$D,3,)</f>
        <v>1.9200438867174106E-3</v>
      </c>
      <c r="AD56" s="53">
        <f>VLOOKUP(B56,'Miscellaneous stores retailers'!$A:$D,4,)</f>
        <v>0.23801050669378071</v>
      </c>
      <c r="AE56" s="52">
        <f>VLOOKUP(B56,'Sporting Goods'!$A:$D,3,)</f>
        <v>-2.5660459073191859E-2</v>
      </c>
      <c r="AF56" s="53">
        <f>VLOOKUP(B56,'Sporting Goods'!$A:$D,4,)</f>
        <v>0.16703410711969913</v>
      </c>
    </row>
    <row r="57" spans="2:32" x14ac:dyDescent="0.35">
      <c r="B57" s="56">
        <v>44562</v>
      </c>
      <c r="C57" s="52">
        <f>VLOOKUP(B57,'Retail Sales'!A:D,3,)</f>
        <v>2.4842281779458852E-2</v>
      </c>
      <c r="D57" s="53">
        <f>VLOOKUP(B57,'Retail Sales'!A:D,4,)</f>
        <v>0.14373051314369908</v>
      </c>
      <c r="E57" s="52">
        <f>VLOOKUP(B57,'Retail Sales ex Auto'!$A:$D,3,)</f>
        <v>2.1289331507242052E-2</v>
      </c>
      <c r="F57" s="53">
        <f>VLOOKUP(B57,'Retail Sales ex Auto'!$A:$D,4,)</f>
        <v>0.15164376679263417</v>
      </c>
      <c r="G57" s="52">
        <f>VLOOKUP(B57,'Retail Sales ex Auto and Gas'!$A:$D,3,)</f>
        <v>2.4924301956285606E-2</v>
      </c>
      <c r="H57" s="53">
        <f>VLOOKUP(B57,'Retail Sales ex Auto and Gas'!$A:$D,4,)</f>
        <v>0.12996596957901155</v>
      </c>
      <c r="I57" s="52">
        <f>VLOOKUP(B57,Motor!$A:$D,3,)</f>
        <v>3.9747423853330299E-2</v>
      </c>
      <c r="J57" s="53">
        <f>VLOOKUP(B57,Motor!$A:$D,4,)</f>
        <v>0.11223833368106266</v>
      </c>
      <c r="K57" s="52">
        <f>VLOOKUP(B57,'Non Store Retail'!$A:$D,3,)</f>
        <v>0.11426778898938673</v>
      </c>
      <c r="L57" s="53">
        <f>VLOOKUP(B57,'Non Store Retail'!$A:$D,4,)</f>
        <v>0.16998056674827899</v>
      </c>
      <c r="M57" s="52">
        <f>VLOOKUP(B57,'Food and Beverage'!$A:$D,3,)</f>
        <v>6.9421617997028548E-3</v>
      </c>
      <c r="N57" s="52">
        <f>VLOOKUP(B57,'Food and Beverage'!$A:$D,4,)</f>
        <v>7.9863510102790428E-2</v>
      </c>
      <c r="O57" s="52">
        <f>VLOOKUP(B57,'Food Services'!$A:$D,3,)</f>
        <v>-2.8241024071807425E-2</v>
      </c>
      <c r="P57" s="53">
        <f>VLOOKUP(B57,'Food Services'!$A:$D,4,)</f>
        <v>0.27981797726394975</v>
      </c>
      <c r="Q57" s="52">
        <f>VLOOKUP(B57,'General Merchandising'!$A:$D,3,)</f>
        <v>2.4517865151741664E-2</v>
      </c>
      <c r="R57" s="53">
        <f>VLOOKUP(B57,'General Merchandising'!$A:$D,4,)</f>
        <v>4.2091177275630304E-2</v>
      </c>
      <c r="S57" s="52">
        <f>VLOOKUP(B57,'Gas Station'!$A:$D,3,)</f>
        <v>-8.094316382192504E-3</v>
      </c>
      <c r="T57" s="53">
        <f>VLOOKUP(B57,'Gas Station'!$A:$D,4,)</f>
        <v>0.37139937718956795</v>
      </c>
      <c r="U57" s="52">
        <f>VLOOKUP(B57,Housing!$A:$D,3,)</f>
        <v>2.1331656468425761E-2</v>
      </c>
      <c r="V57" s="53">
        <f>VLOOKUP(B57,Housing!$A:$D,4,)</f>
        <v>9.1696396256656848E-2</v>
      </c>
      <c r="W57" s="52">
        <f>VLOOKUP(B57,Health!$A:$D,3,)</f>
        <v>-1.2174707046111702E-3</v>
      </c>
      <c r="X57" s="53">
        <f>VLOOKUP(B57,Health!$A:$D,4,)</f>
        <v>9.4672582313106712E-2</v>
      </c>
      <c r="Y57" s="52">
        <f>VLOOKUP(B57,'Clothing and clothing access'!$A:$D,3,)</f>
        <v>-6.2411123400221208E-3</v>
      </c>
      <c r="Z57" s="53">
        <f>VLOOKUP(B57,'Clothing and clothing access'!$A:$D,4,)</f>
        <v>0.19271796330536198</v>
      </c>
      <c r="AA57" s="52">
        <f>VLOOKUP(B57,'Furniture Home'!$A:$D,3,)</f>
        <v>-2.3897345316639825E-3</v>
      </c>
      <c r="AB57" s="53">
        <f>VLOOKUP(B57,'Furniture Home'!$A:$D,4,)</f>
        <v>-1.7674273535374539E-3</v>
      </c>
      <c r="AC57" s="52">
        <f>VLOOKUP(B57,'Miscellaneous stores retailers'!$A:$D,3,)</f>
        <v>8.8289644788173294E-3</v>
      </c>
      <c r="AD57" s="53">
        <f>VLOOKUP(B57,'Miscellaneous stores retailers'!$A:$D,4,)</f>
        <v>0.2454583861427968</v>
      </c>
      <c r="AE57" s="52">
        <f>VLOOKUP(B57,'Sporting Goods'!$A:$D,3,)</f>
        <v>-2.2002444716079563E-2</v>
      </c>
      <c r="AF57" s="53">
        <f>VLOOKUP(B57,'Sporting Goods'!$A:$D,4,)</f>
        <v>2.9959040374488006E-2</v>
      </c>
    </row>
    <row r="58" spans="2:32" x14ac:dyDescent="0.35">
      <c r="B58" s="56">
        <v>44593</v>
      </c>
      <c r="C58" s="52">
        <f>VLOOKUP(B58,'Retail Sales'!A:D,3,)</f>
        <v>1.0939412718231133E-2</v>
      </c>
      <c r="D58" s="53">
        <f>VLOOKUP(B58,'Retail Sales'!A:D,4,)</f>
        <v>0.17707033763057906</v>
      </c>
      <c r="E58" s="52">
        <f>VLOOKUP(B58,'Retail Sales ex Auto'!$A:$D,3,)</f>
        <v>6.9839210486882857E-3</v>
      </c>
      <c r="F58" s="53">
        <f>VLOOKUP(B58,'Retail Sales ex Auto'!$A:$D,4,)</f>
        <v>0.1773812956022266</v>
      </c>
      <c r="G58" s="52">
        <f>VLOOKUP(B58,'Retail Sales ex Auto and Gas'!$A:$D,3,)</f>
        <v>3.5256063087114333E-3</v>
      </c>
      <c r="H58" s="53">
        <f>VLOOKUP(B58,'Retail Sales ex Auto and Gas'!$A:$D,4,)</f>
        <v>0.15761118556284284</v>
      </c>
      <c r="I58" s="52">
        <f>VLOOKUP(B58,Motor!$A:$D,3,)</f>
        <v>2.723869223013373E-2</v>
      </c>
      <c r="J58" s="53">
        <f>VLOOKUP(B58,Motor!$A:$D,4,)</f>
        <v>0.17581591754938447</v>
      </c>
      <c r="K58" s="52">
        <f>VLOOKUP(B58,'Non Store Retail'!$A:$D,3,)</f>
        <v>-2.3160008633390575E-2</v>
      </c>
      <c r="L58" s="53">
        <f>VLOOKUP(B58,'Non Store Retail'!$A:$D,4,)</f>
        <v>0.143938811169599</v>
      </c>
      <c r="M58" s="52">
        <f>VLOOKUP(B58,'Food and Beverage'!$A:$D,3,)</f>
        <v>-6.7898413527453158E-4</v>
      </c>
      <c r="N58" s="52">
        <f>VLOOKUP(B58,'Food and Beverage'!$A:$D,4,)</f>
        <v>7.8400428356042773E-2</v>
      </c>
      <c r="O58" s="52">
        <f>VLOOKUP(B58,'Food Services'!$A:$D,3,)</f>
        <v>5.6890195100830522E-2</v>
      </c>
      <c r="P58" s="53">
        <f>VLOOKUP(B58,'Food Services'!$A:$D,4,)</f>
        <v>0.36447252523883733</v>
      </c>
      <c r="Q58" s="52">
        <f>VLOOKUP(B58,'General Merchandising'!$A:$D,3,)</f>
        <v>-1.4037647745512914E-2</v>
      </c>
      <c r="R58" s="53">
        <f>VLOOKUP(B58,'General Merchandising'!$A:$D,4,)</f>
        <v>7.6214898937610506E-2</v>
      </c>
      <c r="S58" s="52">
        <f>VLOOKUP(B58,'Gas Station'!$A:$D,3,)</f>
        <v>3.5870143693453968E-2</v>
      </c>
      <c r="T58" s="53">
        <f>VLOOKUP(B58,'Gas Station'!$A:$D,4,)</f>
        <v>0.36618235417982731</v>
      </c>
      <c r="U58" s="52">
        <f>VLOOKUP(B58,Housing!$A:$D,3,)</f>
        <v>1.8470719174027328E-3</v>
      </c>
      <c r="V58" s="53">
        <f>VLOOKUP(B58,Housing!$A:$D,4,)</f>
        <v>0.14352515068789362</v>
      </c>
      <c r="W58" s="52">
        <f>VLOOKUP(B58,Health!$A:$D,3,)</f>
        <v>-1.1275331403321652E-2</v>
      </c>
      <c r="X58" s="53">
        <f>VLOOKUP(B58,Health!$A:$D,4,)</f>
        <v>9.0954942837928709E-2</v>
      </c>
      <c r="Y58" s="52">
        <f>VLOOKUP(B58,'Clothing and clothing access'!$A:$D,3,)</f>
        <v>1.2838858414818348E-2</v>
      </c>
      <c r="Z58" s="53">
        <f>VLOOKUP(B58,'Clothing and clothing access'!$A:$D,4,)</f>
        <v>0.28019493569131831</v>
      </c>
      <c r="AA58" s="52">
        <f>VLOOKUP(B58,'Furniture Home'!$A:$D,3,)</f>
        <v>2.1559131385720982E-2</v>
      </c>
      <c r="AB58" s="53">
        <f>VLOOKUP(B58,'Furniture Home'!$A:$D,4,)</f>
        <v>7.1323248320681557E-2</v>
      </c>
      <c r="AC58" s="52">
        <f>VLOOKUP(B58,'Miscellaneous stores retailers'!$A:$D,3,)</f>
        <v>1.6689280868385347E-2</v>
      </c>
      <c r="AD58" s="53">
        <f>VLOOKUP(B58,'Miscellaneous stores retailers'!$A:$D,4,)</f>
        <v>0.29167384933632134</v>
      </c>
      <c r="AE58" s="52">
        <f>VLOOKUP(B58,'Sporting Goods'!$A:$D,3,)</f>
        <v>1.3066696966253835E-2</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-1.0743751481547863E-2</v>
      </c>
      <c r="D67" s="53">
        <f>VLOOKUP(B67,'Retail Sales'!A:D,4,)</f>
        <v>5.9243312511994453E-2</v>
      </c>
      <c r="E67" s="52">
        <f>VLOOKUP(B67,'Retail Sales ex Auto'!$A:$D,3,)</f>
        <v>-8.1307751528631959E-3</v>
      </c>
      <c r="F67" s="53">
        <f>VLOOKUP(B67,'Retail Sales ex Auto'!$A:$D,4,)</f>
        <v>6.9849415843938667E-2</v>
      </c>
      <c r="G67" s="52">
        <f>VLOOKUP(B67,'Retail Sales ex Auto and Gas'!$A:$D,3,)</f>
        <v>-7.3332090756228416E-3</v>
      </c>
      <c r="H67" s="53">
        <f>VLOOKUP(B67,'Retail Sales ex Auto and Gas'!$A:$D,4,)</f>
        <v>6.1706218637262951E-2</v>
      </c>
      <c r="I67" s="52">
        <f>VLOOKUP(B67,Motor!$A:$D,3,)</f>
        <v>-2.2099789047468184E-2</v>
      </c>
      <c r="J67" s="53">
        <f>VLOOKUP(B67,Motor!$A:$D,4,)</f>
        <v>1.4892217873869251E-2</v>
      </c>
      <c r="K67" s="52">
        <f>VLOOKUP(B67,'Non Store Retail'!$A:$D,3,)</f>
        <v>-9.3779419219349701E-3</v>
      </c>
      <c r="L67" s="53">
        <f>VLOOKUP(B67,'Non Store Retail'!$A:$D,4,)</f>
        <v>8.5265475316844835E-2</v>
      </c>
      <c r="M67" s="52">
        <f>VLOOKUP(B67,'Food and Beverage'!$A:$D,3,)</f>
        <v>4.8297244216065315E-3</v>
      </c>
      <c r="N67" s="52">
        <f>VLOOKUP(B67,'Food and Beverage'!$A:$D,4,)</f>
        <v>7.7086036596668697E-2</v>
      </c>
      <c r="O67" s="52">
        <f>VLOOKUP(B67,'Food Services'!$A:$D,3,)</f>
        <v>-1.994151981268415E-3</v>
      </c>
      <c r="P67" s="53">
        <f>VLOOKUP(B67,'Food Services'!$A:$D,4,)</f>
        <v>0.12810414476933402</v>
      </c>
      <c r="Q67" s="52">
        <f>VLOOKUP(B67,'General Merchandising'!$A:$D,3,)</f>
        <v>-1.7824549395391285E-3</v>
      </c>
      <c r="R67" s="53">
        <f>VLOOKUP(B67,'General Merchandising'!$A:$D,4,)</f>
        <v>2.8155567958170549E-2</v>
      </c>
      <c r="S67" s="52">
        <f>VLOOKUP(B67,'Gas Station'!$A:$D,3,)</f>
        <v>-1.4400957963068003E-2</v>
      </c>
      <c r="T67" s="53">
        <f>VLOOKUP(B67,'Gas Station'!$A:$D,4,)</f>
        <v>0.13902292467087893</v>
      </c>
      <c r="U67" s="52">
        <f>VLOOKUP(B67,Housing!$A:$D,3,)</f>
        <v>-3.3137236878389556E-2</v>
      </c>
      <c r="V67" s="53">
        <f>VLOOKUP(B67,Housing!$A:$D,4,)</f>
        <v>2.3499075605721512E-2</v>
      </c>
      <c r="W67" s="52">
        <f>VLOOKUP(B67,Health!$A:$D,3,)</f>
        <v>3.0116035312527682E-3</v>
      </c>
      <c r="X67" s="53">
        <f>VLOOKUP(B67,Health!$A:$D,4,)</f>
        <v>4.1160966041436806E-2</v>
      </c>
      <c r="Y67" s="52">
        <f>VLOOKUP(B67,'Clothing and clothing access'!$A:$D,3,)</f>
        <v>-2.3565184340554922E-3</v>
      </c>
      <c r="Z67" s="53">
        <f>VLOOKUP(B67,'Clothing and clothing access'!$A:$D,4,)</f>
        <v>3.8627758442651163E-3</v>
      </c>
      <c r="AA67" s="52">
        <f>VLOOKUP(B67,'Furniture Home'!$A:$D,3,)</f>
        <v>-2.8973466950516641E-2</v>
      </c>
      <c r="AB67" s="53">
        <f>VLOOKUP(B67,'Furniture Home'!$A:$D,4,)</f>
        <v>-3.5931539333951955E-2</v>
      </c>
      <c r="AC67" s="52">
        <f>VLOOKUP(B67,'Miscellaneous stores retailers'!$A:$D,3,)</f>
        <v>-4.8304603144534948E-2</v>
      </c>
      <c r="AD67" s="53">
        <f>VLOOKUP(B67,'Miscellaneous stores retailers'!$A:$D,4,)</f>
        <v>3.3532195021600493E-2</v>
      </c>
      <c r="AE67" s="52">
        <f>VLOOKUP(B67,'Sporting Goods'!$A:$D,3,)</f>
        <v>1.4966859097712208E-3</v>
      </c>
      <c r="AF67" s="53">
        <f>VLOOKUP(B67,'Sporting Goods'!$A:$D,4,)</f>
        <v>1.429190125595496E-2</v>
      </c>
    </row>
    <row r="68" spans="2:32" x14ac:dyDescent="0.35">
      <c r="B68" s="56">
        <v>44896</v>
      </c>
      <c r="C68" s="52">
        <f>VLOOKUP(B68,'Retail Sales'!A:D,3,)</f>
        <v>-1.0937872126543846E-2</v>
      </c>
      <c r="D68" s="53">
        <f>VLOOKUP(B68,'Retail Sales'!A:D,4,)</f>
        <v>5.8898154622516512E-2</v>
      </c>
      <c r="E68" s="52">
        <f>VLOOKUP(B68,'Retail Sales ex Auto'!$A:$D,3,)</f>
        <v>-9.2532508272714555E-3</v>
      </c>
      <c r="F68" s="53">
        <f>VLOOKUP(B68,'Retail Sales ex Auto'!$A:$D,4,)</f>
        <v>7.0657722177129567E-2</v>
      </c>
      <c r="G68" s="52">
        <f>VLOOKUP(B68,'Retail Sales ex Auto and Gas'!$A:$D,3,)</f>
        <v>-4.3851856637539778E-3</v>
      </c>
      <c r="H68" s="53">
        <f>VLOOKUP(B68,'Retail Sales ex Auto and Gas'!$A:$D,4,)</f>
        <v>7.3447237756072717E-2</v>
      </c>
      <c r="I68" s="52">
        <f>VLOOKUP(B68,Motor!$A:$D,3,)</f>
        <v>-1.8363847557940152E-2</v>
      </c>
      <c r="J68" s="53">
        <f>VLOOKUP(B68,Motor!$A:$D,4,)</f>
        <v>9.5650619250398205E-3</v>
      </c>
      <c r="K68" s="52">
        <f>VLOOKUP(B68,'Non Store Retail'!$A:$D,3,)</f>
        <v>-1.0033261449614387E-2</v>
      </c>
      <c r="L68" s="53">
        <f>VLOOKUP(B68,'Non Store Retail'!$A:$D,4,)</f>
        <v>0.13282793956187589</v>
      </c>
      <c r="M68" s="52">
        <f>VLOOKUP(B68,'Food and Beverage'!$A:$D,3,)</f>
        <v>-1.2292865221025717E-3</v>
      </c>
      <c r="N68" s="52">
        <f>VLOOKUP(B68,'Food and Beverage'!$A:$D,4,)</f>
        <v>6.8251442996699843E-2</v>
      </c>
      <c r="O68" s="52">
        <f>VLOOKUP(B68,'Food Services'!$A:$D,3,)</f>
        <v>-4.0411750839105105E-4</v>
      </c>
      <c r="P68" s="53">
        <f>VLOOKUP(B68,'Food Services'!$A:$D,4,)</f>
        <v>0.13534016727866177</v>
      </c>
      <c r="Q68" s="52">
        <f>VLOOKUP(B68,'General Merchandising'!$A:$D,3,)</f>
        <v>-8.4710655257631811E-3</v>
      </c>
      <c r="R68" s="53">
        <f>VLOOKUP(B68,'General Merchandising'!$A:$D,4,)</f>
        <v>3.7673792794139634E-2</v>
      </c>
      <c r="S68" s="52">
        <f>VLOOKUP(B68,'Gas Station'!$A:$D,3,)</f>
        <v>-4.7798701921539788E-2</v>
      </c>
      <c r="T68" s="53">
        <f>VLOOKUP(B68,'Gas Station'!$A:$D,4,)</f>
        <v>4.8108393454161534E-2</v>
      </c>
      <c r="U68" s="52">
        <f>VLOOKUP(B68,Housing!$A:$D,3,)</f>
        <v>1.1099491372343966E-2</v>
      </c>
      <c r="V68" s="53">
        <f>VLOOKUP(B68,Housing!$A:$D,4,)</f>
        <v>2.887754855249474E-2</v>
      </c>
      <c r="W68" s="52">
        <f>VLOOKUP(B68,Health!$A:$D,3,)</f>
        <v>-1.8162550410644372E-2</v>
      </c>
      <c r="X68" s="53">
        <f>VLOOKUP(B68,Health!$A:$D,4,)</f>
        <v>1.5187947040024349E-2</v>
      </c>
      <c r="Y68" s="52">
        <f>VLOOKUP(B68,'Clothing and clothing access'!$A:$D,3,)</f>
        <v>-6.3242913745809202E-3</v>
      </c>
      <c r="Z68" s="53">
        <f>VLOOKUP(B68,'Clothing and clothing access'!$A:$D,4,)</f>
        <v>3.0257544635803445E-2</v>
      </c>
      <c r="AA68" s="52">
        <f>VLOOKUP(B68,'Furniture Home'!$A:$D,3,)</f>
        <v>-1.4277311373723331E-2</v>
      </c>
      <c r="AB68" s="53">
        <f>VLOOKUP(B68,'Furniture Home'!$A:$D,4,)</f>
        <v>-4.2339861811003167E-2</v>
      </c>
      <c r="AC68" s="52">
        <f>VLOOKUP(B68,'Miscellaneous stores retailers'!$A:$D,3,)</f>
        <v>1.4795647558386412E-2</v>
      </c>
      <c r="AD68" s="53">
        <f>VLOOKUP(B68,'Miscellaneous stores retailers'!$A:$D,4,)</f>
        <v>4.6814044213263982E-2</v>
      </c>
      <c r="AE68" s="52">
        <f>VLOOKUP(B68,'Sporting Goods'!$A:$D,3,)</f>
        <v>1.6011955593509821E-3</v>
      </c>
      <c r="AF68" s="53">
        <f>VLOOKUP(B68,'Sporting Goods'!$A:$D,4,)</f>
        <v>4.2671407934214915E-2</v>
      </c>
    </row>
    <row r="69" spans="2:32" x14ac:dyDescent="0.35">
      <c r="B69" s="56">
        <v>44927</v>
      </c>
      <c r="C69" s="52">
        <f>VLOOKUP(B69,'Retail Sales'!A:D,3,)</f>
        <v>2.9629574915980353E-2</v>
      </c>
      <c r="D69" s="53">
        <f>VLOOKUP(B69,'Retail Sales'!A:D,4,)</f>
        <v>6.3844531209456101E-2</v>
      </c>
      <c r="E69" s="52">
        <f>VLOOKUP(B69,'Retail Sales ex Auto'!$A:$D,3,)</f>
        <v>2.3092260483158916E-2</v>
      </c>
      <c r="F69" s="53">
        <f>VLOOKUP(B69,'Retail Sales ex Auto'!$A:$D,4,)</f>
        <v>7.254780344112699E-2</v>
      </c>
      <c r="G69" s="52">
        <f>VLOOKUP(B69,'Retail Sales ex Auto and Gas'!$A:$D,3,)</f>
        <v>2.5838923452544148E-2</v>
      </c>
      <c r="H69" s="53">
        <f>VLOOKUP(B69,'Retail Sales ex Auto and Gas'!$A:$D,4,)</f>
        <v>7.4405160128366052E-2</v>
      </c>
      <c r="I69" s="52">
        <f>VLOOKUP(B69,Motor!$A:$D,3,)</f>
        <v>5.8714148870231589E-2</v>
      </c>
      <c r="J69" s="53">
        <f>VLOOKUP(B69,Motor!$A:$D,4,)</f>
        <v>2.7981210382748568E-2</v>
      </c>
      <c r="K69" s="52">
        <f>VLOOKUP(B69,'Non Store Retail'!$A:$D,3,)</f>
        <v>1.3319426240100426E-2</v>
      </c>
      <c r="L69" s="53">
        <f>VLOOKUP(B69,'Non Store Retail'!$A:$D,4,)</f>
        <v>3.019809877724914E-2</v>
      </c>
      <c r="M69" s="52">
        <f>VLOOKUP(B69,'Food and Beverage'!$A:$D,3,)</f>
        <v>7.7540370224497834E-4</v>
      </c>
      <c r="N69" s="52">
        <f>VLOOKUP(B69,'Food and Beverage'!$A:$D,4,)</f>
        <v>6.1709211986681466E-2</v>
      </c>
      <c r="O69" s="52">
        <f>VLOOKUP(B69,'Food Services'!$A:$D,3,)</f>
        <v>7.1939537547587223E-2</v>
      </c>
      <c r="P69" s="53">
        <f>VLOOKUP(B69,'Food Services'!$A:$D,4,)</f>
        <v>0.25238463859768817</v>
      </c>
      <c r="Q69" s="52">
        <f>VLOOKUP(B69,'General Merchandising'!$A:$D,3,)</f>
        <v>3.1580463910099409E-2</v>
      </c>
      <c r="R69" s="53">
        <f>VLOOKUP(B69,'General Merchandising'!$A:$D,4,)</f>
        <v>4.4827083029330222E-2</v>
      </c>
      <c r="S69" s="52">
        <f>VLOOKUP(B69,'Gas Station'!$A:$D,3,)</f>
        <v>3.5256195017124435E-4</v>
      </c>
      <c r="T69" s="53">
        <f>VLOOKUP(B69,'Gas Station'!$A:$D,4,)</f>
        <v>5.703388327124357E-2</v>
      </c>
      <c r="U69" s="52">
        <f>VLOOKUP(B69,Housing!$A:$D,3,)</f>
        <v>3.1499024470510802E-3</v>
      </c>
      <c r="V69" s="53">
        <f>VLOOKUP(B69,Housing!$A:$D,4,)</f>
        <v>1.0561462502072036E-2</v>
      </c>
      <c r="W69" s="52">
        <f>VLOOKUP(B69,Health!$A:$D,3,)</f>
        <v>1.9278047610481502E-2</v>
      </c>
      <c r="X69" s="53">
        <f>VLOOKUP(B69,Health!$A:$D,4,)</f>
        <v>3.6020112753314036E-2</v>
      </c>
      <c r="Y69" s="52" t="e">
        <f>VLOOKUP(B69,'Clothing and clothing access'!$A:$D,3,)</f>
        <v>#N/A</v>
      </c>
      <c r="Z69" s="53" t="e">
        <f>VLOOKUP(B69,'Clothing and clothing access'!$A:$D,4,)</f>
        <v>#N/A</v>
      </c>
      <c r="AA69" s="52">
        <f>VLOOKUP(B69,'Furniture Home'!$A:$D,3,)</f>
        <v>4.0902679830747531E-2</v>
      </c>
      <c r="AB69" s="53">
        <f>VLOOKUP(B69,'Furniture Home'!$A:$D,4,)</f>
        <v>-7.8112794875800657E-4</v>
      </c>
      <c r="AC69" s="52">
        <f>VLOOKUP(B69,'Miscellaneous stores retailers'!$A:$D,3,)</f>
        <v>2.7917620137299773E-2</v>
      </c>
      <c r="AD69" s="53">
        <f>VLOOKUP(B69,'Miscellaneous stores retailers'!$A:$D,4,)</f>
        <v>6.6621438263229305E-2</v>
      </c>
      <c r="AE69" s="52">
        <f>VLOOKUP(B69,'Sporting Goods'!$A:$D,3,)</f>
        <v>2.4512416071618883E-3</v>
      </c>
      <c r="AF69" s="53">
        <f>VLOOKUP(B69,'Sporting Goods'!$A:$D,4,)</f>
        <v>6.8742188387683215E-2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9">
    <cfRule type="colorScale" priority="243">
      <colorScale>
        <cfvo type="min"/>
        <cfvo type="percentile" val="50"/>
        <cfvo type="max"/>
        <color rgb="FFF8696B"/>
        <color rgb="FFFFEB84"/>
        <color rgb="FF63BE7B"/>
      </colorScale>
    </cfRule>
  </conditionalFormatting>
  <conditionalFormatting sqref="D4:D69">
    <cfRule type="colorScale" priority="244">
      <colorScale>
        <cfvo type="min"/>
        <cfvo type="percentile" val="50"/>
        <cfvo type="max"/>
        <color rgb="FFF8696B"/>
        <color rgb="FFFFEB84"/>
        <color rgb="FF63BE7B"/>
      </colorScale>
    </cfRule>
  </conditionalFormatting>
  <conditionalFormatting sqref="E4:E69">
    <cfRule type="colorScale" priority="245">
      <colorScale>
        <cfvo type="min"/>
        <cfvo type="percentile" val="50"/>
        <cfvo type="max"/>
        <color rgb="FFF8696B"/>
        <color rgb="FFFFEB84"/>
        <color rgb="FF63BE7B"/>
      </colorScale>
    </cfRule>
  </conditionalFormatting>
  <conditionalFormatting sqref="F4:F69">
    <cfRule type="colorScale" priority="246">
      <colorScale>
        <cfvo type="min"/>
        <cfvo type="percentile" val="50"/>
        <cfvo type="max"/>
        <color rgb="FFF8696B"/>
        <color rgb="FFFFEB84"/>
        <color rgb="FF63BE7B"/>
      </colorScale>
    </cfRule>
  </conditionalFormatting>
  <conditionalFormatting sqref="G4:G69">
    <cfRule type="colorScale" priority="247">
      <colorScale>
        <cfvo type="min"/>
        <cfvo type="percentile" val="50"/>
        <cfvo type="max"/>
        <color rgb="FFF8696B"/>
        <color rgb="FFFFEB84"/>
        <color rgb="FF63BE7B"/>
      </colorScale>
    </cfRule>
  </conditionalFormatting>
  <conditionalFormatting sqref="H4:H69">
    <cfRule type="colorScale" priority="248">
      <colorScale>
        <cfvo type="min"/>
        <cfvo type="percentile" val="50"/>
        <cfvo type="max"/>
        <color rgb="FFF8696B"/>
        <color rgb="FFFFEB84"/>
        <color rgb="FF63BE7B"/>
      </colorScale>
    </cfRule>
  </conditionalFormatting>
  <conditionalFormatting sqref="I4:I69">
    <cfRule type="colorScale" priority="249">
      <colorScale>
        <cfvo type="min"/>
        <cfvo type="percentile" val="50"/>
        <cfvo type="max"/>
        <color rgb="FFF8696B"/>
        <color rgb="FFFFEB84"/>
        <color rgb="FF63BE7B"/>
      </colorScale>
    </cfRule>
  </conditionalFormatting>
  <conditionalFormatting sqref="J4:J69">
    <cfRule type="colorScale" priority="250">
      <colorScale>
        <cfvo type="min"/>
        <cfvo type="percentile" val="50"/>
        <cfvo type="max"/>
        <color rgb="FFF8696B"/>
        <color rgb="FFFFEB84"/>
        <color rgb="FF63BE7B"/>
      </colorScale>
    </cfRule>
  </conditionalFormatting>
  <conditionalFormatting sqref="K4:K69">
    <cfRule type="colorScale" priority="251">
      <colorScale>
        <cfvo type="min"/>
        <cfvo type="percentile" val="50"/>
        <cfvo type="max"/>
        <color rgb="FFF8696B"/>
        <color rgb="FFFFEB84"/>
        <color rgb="FF63BE7B"/>
      </colorScale>
    </cfRule>
  </conditionalFormatting>
  <conditionalFormatting sqref="L4:L69">
    <cfRule type="colorScale" priority="252">
      <colorScale>
        <cfvo type="min"/>
        <cfvo type="percentile" val="50"/>
        <cfvo type="max"/>
        <color rgb="FFF8696B"/>
        <color rgb="FFFFEB84"/>
        <color rgb="FF63BE7B"/>
      </colorScale>
    </cfRule>
  </conditionalFormatting>
  <conditionalFormatting sqref="M4:M69">
    <cfRule type="colorScale" priority="253">
      <colorScale>
        <cfvo type="min"/>
        <cfvo type="percentile" val="50"/>
        <cfvo type="max"/>
        <color rgb="FFF8696B"/>
        <color rgb="FFFFEB84"/>
        <color rgb="FF63BE7B"/>
      </colorScale>
    </cfRule>
  </conditionalFormatting>
  <conditionalFormatting sqref="O4:O69">
    <cfRule type="colorScale" priority="254">
      <colorScale>
        <cfvo type="min"/>
        <cfvo type="percentile" val="50"/>
        <cfvo type="max"/>
        <color rgb="FFF8696B"/>
        <color rgb="FFFFEB84"/>
        <color rgb="FF63BE7B"/>
      </colorScale>
    </cfRule>
  </conditionalFormatting>
  <conditionalFormatting sqref="P4:P69">
    <cfRule type="colorScale" priority="255">
      <colorScale>
        <cfvo type="min"/>
        <cfvo type="percentile" val="50"/>
        <cfvo type="max"/>
        <color rgb="FFF8696B"/>
        <color rgb="FFFFEB84"/>
        <color rgb="FF63BE7B"/>
      </colorScale>
    </cfRule>
  </conditionalFormatting>
  <conditionalFormatting sqref="Q4:Q69">
    <cfRule type="colorScale" priority="256">
      <colorScale>
        <cfvo type="min"/>
        <cfvo type="percentile" val="50"/>
        <cfvo type="max"/>
        <color rgb="FFF8696B"/>
        <color rgb="FFFFEB84"/>
        <color rgb="FF63BE7B"/>
      </colorScale>
    </cfRule>
  </conditionalFormatting>
  <conditionalFormatting sqref="R4:R69">
    <cfRule type="colorScale" priority="257">
      <colorScale>
        <cfvo type="min"/>
        <cfvo type="percentile" val="50"/>
        <cfvo type="max"/>
        <color rgb="FFF8696B"/>
        <color rgb="FFFFEB84"/>
        <color rgb="FF63BE7B"/>
      </colorScale>
    </cfRule>
  </conditionalFormatting>
  <conditionalFormatting sqref="S4:S69">
    <cfRule type="colorScale" priority="258">
      <colorScale>
        <cfvo type="min"/>
        <cfvo type="percentile" val="50"/>
        <cfvo type="max"/>
        <color rgb="FFF8696B"/>
        <color rgb="FFFFEB84"/>
        <color rgb="FF63BE7B"/>
      </colorScale>
    </cfRule>
  </conditionalFormatting>
  <conditionalFormatting sqref="T4:T69">
    <cfRule type="colorScale" priority="259">
      <colorScale>
        <cfvo type="min"/>
        <cfvo type="percentile" val="50"/>
        <cfvo type="max"/>
        <color rgb="FFF8696B"/>
        <color rgb="FFFFEB84"/>
        <color rgb="FF63BE7B"/>
      </colorScale>
    </cfRule>
  </conditionalFormatting>
  <conditionalFormatting sqref="U4:U69">
    <cfRule type="colorScale" priority="260">
      <colorScale>
        <cfvo type="min"/>
        <cfvo type="percentile" val="50"/>
        <cfvo type="max"/>
        <color rgb="FFF8696B"/>
        <color rgb="FFFFEB84"/>
        <color rgb="FF63BE7B"/>
      </colorScale>
    </cfRule>
  </conditionalFormatting>
  <conditionalFormatting sqref="V4:V69">
    <cfRule type="colorScale" priority="261">
      <colorScale>
        <cfvo type="min"/>
        <cfvo type="percentile" val="50"/>
        <cfvo type="max"/>
        <color rgb="FFF8696B"/>
        <color rgb="FFFFEB84"/>
        <color rgb="FF63BE7B"/>
      </colorScale>
    </cfRule>
  </conditionalFormatting>
  <conditionalFormatting sqref="W4:W69">
    <cfRule type="colorScale" priority="262">
      <colorScale>
        <cfvo type="min"/>
        <cfvo type="percentile" val="50"/>
        <cfvo type="max"/>
        <color rgb="FFF8696B"/>
        <color rgb="FFFFEB84"/>
        <color rgb="FF63BE7B"/>
      </colorScale>
    </cfRule>
  </conditionalFormatting>
  <conditionalFormatting sqref="X4:X69">
    <cfRule type="colorScale" priority="265">
      <colorScale>
        <cfvo type="min"/>
        <cfvo type="percentile" val="50"/>
        <cfvo type="max"/>
        <color rgb="FFF8696B"/>
        <color rgb="FFFFEB84"/>
        <color rgb="FF63BE7B"/>
      </colorScale>
    </cfRule>
  </conditionalFormatting>
  <conditionalFormatting sqref="Y4:Y69">
    <cfRule type="colorScale" priority="268">
      <colorScale>
        <cfvo type="min"/>
        <cfvo type="percentile" val="50"/>
        <cfvo type="max"/>
        <color rgb="FFF8696B"/>
        <color rgb="FFFFEB84"/>
        <color rgb="FF63BE7B"/>
      </colorScale>
    </cfRule>
  </conditionalFormatting>
  <conditionalFormatting sqref="Z4:Z69">
    <cfRule type="colorScale" priority="269">
      <colorScale>
        <cfvo type="min"/>
        <cfvo type="percentile" val="50"/>
        <cfvo type="max"/>
        <color rgb="FFF8696B"/>
        <color rgb="FFFFEB84"/>
        <color rgb="FF63BE7B"/>
      </colorScale>
    </cfRule>
  </conditionalFormatting>
  <conditionalFormatting sqref="AA4:AA69">
    <cfRule type="colorScale" priority="270">
      <colorScale>
        <cfvo type="min"/>
        <cfvo type="percentile" val="50"/>
        <cfvo type="max"/>
        <color rgb="FFF8696B"/>
        <color rgb="FFFFEB84"/>
        <color rgb="FF63BE7B"/>
      </colorScale>
    </cfRule>
  </conditionalFormatting>
  <conditionalFormatting sqref="AB4:AB69">
    <cfRule type="colorScale" priority="271">
      <colorScale>
        <cfvo type="min"/>
        <cfvo type="percentile" val="50"/>
        <cfvo type="max"/>
        <color rgb="FFF8696B"/>
        <color rgb="FFFFEB84"/>
        <color rgb="FF63BE7B"/>
      </colorScale>
    </cfRule>
  </conditionalFormatting>
  <conditionalFormatting sqref="AC4:AC69">
    <cfRule type="colorScale" priority="272">
      <colorScale>
        <cfvo type="min"/>
        <cfvo type="percentile" val="50"/>
        <cfvo type="max"/>
        <color rgb="FFF8696B"/>
        <color rgb="FFFFEB84"/>
        <color rgb="FF63BE7B"/>
      </colorScale>
    </cfRule>
  </conditionalFormatting>
  <conditionalFormatting sqref="AD4:AD69">
    <cfRule type="colorScale" priority="273">
      <colorScale>
        <cfvo type="min"/>
        <cfvo type="percentile" val="50"/>
        <cfvo type="max"/>
        <color rgb="FFF8696B"/>
        <color rgb="FFFFEB84"/>
        <color rgb="FF63BE7B"/>
      </colorScale>
    </cfRule>
  </conditionalFormatting>
  <conditionalFormatting sqref="AE4:AE69">
    <cfRule type="colorScale" priority="274">
      <colorScale>
        <cfvo type="min"/>
        <cfvo type="percentile" val="50"/>
        <cfvo type="max"/>
        <color rgb="FFF8696B"/>
        <color rgb="FFFFEB84"/>
        <color rgb="FF63BE7B"/>
      </colorScale>
    </cfRule>
  </conditionalFormatting>
  <conditionalFormatting sqref="AF4:AF69">
    <cfRule type="colorScale" priority="275">
      <colorScale>
        <cfvo type="min"/>
        <cfvo type="percentile" val="50"/>
        <cfvo type="max"/>
        <color rgb="FFF8696B"/>
        <color rgb="FFFFEB84"/>
        <color rgb="FF63BE7B"/>
      </colorScale>
    </cfRule>
  </conditionalFormatting>
  <conditionalFormatting sqref="N4:N69">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6"/>
  <sheetViews>
    <sheetView zoomScale="80" zoomScaleNormal="80" workbookViewId="0">
      <pane ySplit="6" topLeftCell="A349" activePane="bottomLeft" state="frozen"/>
      <selection pane="bottomLeft" activeCell="U374" sqref="U374"/>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49</v>
      </c>
      <c r="B1" s="27" t="s">
        <v>82</v>
      </c>
      <c r="I1" s="21"/>
      <c r="J1" s="21"/>
      <c r="L1" s="109" t="s">
        <v>11</v>
      </c>
      <c r="M1" s="109" t="s">
        <v>12</v>
      </c>
    </row>
    <row r="2" spans="1:13" s="109" customFormat="1" x14ac:dyDescent="0.35">
      <c r="A2" s="110" t="s">
        <v>83</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84</v>
      </c>
      <c r="D5" s="109" t="s">
        <v>85</v>
      </c>
      <c r="I5" s="21"/>
      <c r="J5" s="21"/>
    </row>
    <row r="6" spans="1:13" x14ac:dyDescent="0.35">
      <c r="A6" s="76" t="s">
        <v>81</v>
      </c>
      <c r="B6" s="76" t="s">
        <v>86</v>
      </c>
      <c r="C6" s="77" t="s">
        <v>11</v>
      </c>
      <c r="D6" s="77" t="s">
        <v>12</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79"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378"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459391</v>
      </c>
      <c r="C366" s="12">
        <f t="shared" si="10"/>
        <v>-1.5274898878283106E-2</v>
      </c>
      <c r="D366" s="13">
        <f t="shared" si="11"/>
        <v>0.17023509602280398</v>
      </c>
    </row>
    <row r="367" spans="1:4" s="109" customFormat="1" x14ac:dyDescent="0.35">
      <c r="A367" s="11">
        <v>44562</v>
      </c>
      <c r="B367" s="15">
        <f>VLOOKUP(A367,Database!A:M,MATCH($A$1,Database!$A$1:$M$1,),)</f>
        <v>470841</v>
      </c>
      <c r="C367" s="12">
        <f t="shared" si="10"/>
        <v>2.4924301956285606E-2</v>
      </c>
      <c r="D367" s="13">
        <f t="shared" si="11"/>
        <v>0.12996596957901155</v>
      </c>
    </row>
    <row r="368" spans="1:4" s="109" customFormat="1" x14ac:dyDescent="0.35">
      <c r="A368" s="11">
        <v>44593</v>
      </c>
      <c r="B368" s="15">
        <f>VLOOKUP(A368,Database!A:M,MATCH($A$1,Database!$A$1:$M$1,),)</f>
        <v>472501</v>
      </c>
      <c r="C368" s="12">
        <f t="shared" si="10"/>
        <v>3.5256063087114333E-3</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495304</v>
      </c>
      <c r="C377" s="12">
        <f t="shared" si="10"/>
        <v>-7.3332090756228416E-3</v>
      </c>
      <c r="D377" s="13">
        <f t="shared" si="11"/>
        <v>6.1706218637262951E-2</v>
      </c>
    </row>
    <row r="378" spans="1:4" s="109" customFormat="1" x14ac:dyDescent="0.35">
      <c r="A378" s="11">
        <v>44896</v>
      </c>
      <c r="B378" s="15">
        <f>VLOOKUP(A378,Database!A:M,MATCH($A$1,Database!$A$1:$M$1,),)</f>
        <v>493132</v>
      </c>
      <c r="C378" s="12">
        <f t="shared" si="10"/>
        <v>-4.3851856637539778E-3</v>
      </c>
      <c r="D378" s="13">
        <f t="shared" si="11"/>
        <v>7.3447237756072717E-2</v>
      </c>
    </row>
    <row r="379" spans="1:4" s="109" customFormat="1" x14ac:dyDescent="0.35">
      <c r="A379" s="11">
        <v>44927</v>
      </c>
      <c r="B379" s="15">
        <f>VLOOKUP(A379,Database!A:M,MATCH($A$1,Database!$A$1:$M$1,),)</f>
        <v>505874</v>
      </c>
      <c r="C379" s="12">
        <f t="shared" si="10"/>
        <v>2.5838923452544148E-2</v>
      </c>
      <c r="D379" s="13">
        <f t="shared" ref="D379" si="12">(B379-B367)/B367</f>
        <v>7.4405160128366052E-2</v>
      </c>
    </row>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row r="676" spans="1:4" x14ac:dyDescent="0.35">
      <c r="A676" s="109"/>
      <c r="B676" s="109"/>
      <c r="C676" s="109"/>
      <c r="D676" s="109"/>
    </row>
  </sheetData>
  <conditionalFormatting sqref="C8:C379">
    <cfRule type="colorScale" priority="2">
      <colorScale>
        <cfvo type="min"/>
        <cfvo type="percentile" val="50"/>
        <cfvo type="max"/>
        <color rgb="FFF8696B"/>
        <color rgb="FFFFEB84"/>
        <color rgb="FF63BE7B"/>
      </colorScale>
    </cfRule>
  </conditionalFormatting>
  <conditionalFormatting sqref="D19:D37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1"/>
  <sheetViews>
    <sheetView zoomScale="80" zoomScaleNormal="80" workbookViewId="0">
      <pane ySplit="6" topLeftCell="A353" activePane="bottomLeft" state="frozen"/>
      <selection pane="bottomLeft" activeCell="R379" sqref="R379"/>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50</v>
      </c>
      <c r="B1" s="25" t="s">
        <v>87</v>
      </c>
      <c r="C1" s="54"/>
      <c r="D1" s="54"/>
    </row>
    <row r="2" spans="1:4" s="109" customFormat="1" x14ac:dyDescent="0.35">
      <c r="A2" s="9" t="s">
        <v>88</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81</v>
      </c>
      <c r="B6" s="79" t="s">
        <v>89</v>
      </c>
      <c r="C6" s="80" t="s">
        <v>90</v>
      </c>
      <c r="D6" s="81" t="s">
        <v>91</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79"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378"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639273</v>
      </c>
      <c r="C366" s="12">
        <f t="shared" si="10"/>
        <v>-1.0615477951873611E-2</v>
      </c>
      <c r="D366" s="13">
        <f t="shared" si="11"/>
        <v>0.17742410791576263</v>
      </c>
    </row>
    <row r="367" spans="1:4" s="109" customFormat="1" x14ac:dyDescent="0.35">
      <c r="A367" s="11">
        <v>44562</v>
      </c>
      <c r="B367" s="15">
        <f>VLOOKUP(A367,Database!A:K,MATCH('Retail Sales'!$A$1,Database!$A$1:$K$1,),)</f>
        <v>655154</v>
      </c>
      <c r="C367" s="12">
        <f t="shared" si="10"/>
        <v>2.4842281779458852E-2</v>
      </c>
      <c r="D367" s="13">
        <f t="shared" si="11"/>
        <v>0.14373051314369908</v>
      </c>
    </row>
    <row r="368" spans="1:4" s="109" customFormat="1" x14ac:dyDescent="0.35">
      <c r="A368" s="10">
        <v>44593</v>
      </c>
      <c r="B368" s="15">
        <f>VLOOKUP(A368,Database!A:K,MATCH('Retail Sales'!$A$1,Database!$A$1:$K$1,),)</f>
        <v>662321</v>
      </c>
      <c r="C368" s="12">
        <f t="shared" si="10"/>
        <v>1.0939412718231133E-2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684411</v>
      </c>
      <c r="C377" s="12">
        <f t="shared" si="10"/>
        <v>-1.0743751481547863E-2</v>
      </c>
      <c r="D377" s="13">
        <f t="shared" si="11"/>
        <v>5.9243312511994453E-2</v>
      </c>
    </row>
    <row r="378" spans="1:4" s="109" customFormat="1" x14ac:dyDescent="0.35">
      <c r="A378" s="10">
        <v>44896</v>
      </c>
      <c r="B378" s="15">
        <f>VLOOKUP(A378,Database!A:K,MATCH('Retail Sales'!$A$1,Database!$A$1:$K$1,),)</f>
        <v>676925</v>
      </c>
      <c r="C378" s="12">
        <f t="shared" si="10"/>
        <v>-1.0937872126543846E-2</v>
      </c>
      <c r="D378" s="13">
        <f t="shared" si="11"/>
        <v>5.8898154622516512E-2</v>
      </c>
    </row>
    <row r="379" spans="1:4" s="109" customFormat="1" x14ac:dyDescent="0.35">
      <c r="A379" s="11">
        <v>44927</v>
      </c>
      <c r="B379" s="15">
        <f>VLOOKUP(A379,Database!A:K,MATCH('Retail Sales'!$A$1,Database!$A$1:$K$1,),)</f>
        <v>696982</v>
      </c>
      <c r="C379" s="12">
        <f t="shared" si="10"/>
        <v>2.9629574915980353E-2</v>
      </c>
      <c r="D379" s="13">
        <f t="shared" ref="D379" si="12">(B379-B367)/B367</f>
        <v>6.3844531209456101E-2</v>
      </c>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row r="551" spans="1:4" x14ac:dyDescent="0.35">
      <c r="A551" s="54"/>
      <c r="B551" s="14"/>
      <c r="C551" s="54"/>
      <c r="D551" s="54"/>
    </row>
  </sheetData>
  <conditionalFormatting sqref="C8:C379">
    <cfRule type="colorScale" priority="42">
      <colorScale>
        <cfvo type="min"/>
        <cfvo type="percentile" val="50"/>
        <cfvo type="max"/>
        <color rgb="FFF8696B"/>
        <color rgb="FFFFEB84"/>
        <color rgb="FF63BE7B"/>
      </colorScale>
    </cfRule>
  </conditionalFormatting>
  <conditionalFormatting sqref="D19:D379">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7"/>
  <sheetViews>
    <sheetView zoomScaleNormal="100" workbookViewId="0">
      <pane ySplit="6" topLeftCell="A359" activePane="bottomLeft" state="frozen"/>
      <selection pane="bottomLeft" activeCell="A367" sqref="A367:D379"/>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57</v>
      </c>
      <c r="B1" s="24" t="s">
        <v>92</v>
      </c>
      <c r="I1" s="21"/>
      <c r="J1" s="21"/>
    </row>
    <row r="2" spans="1:10" s="109" customFormat="1" x14ac:dyDescent="0.35">
      <c r="A2" s="110" t="s">
        <v>17</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81</v>
      </c>
      <c r="B6" s="79" t="s">
        <v>93</v>
      </c>
      <c r="C6" s="80" t="s">
        <v>90</v>
      </c>
      <c r="D6" s="81" t="s">
        <v>91</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79"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378"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516221</v>
      </c>
      <c r="C366" s="12">
        <f t="shared" si="10"/>
        <v>-1.0001227379774316E-2</v>
      </c>
      <c r="D366" s="13">
        <f t="shared" si="11"/>
        <v>0.19535447000852135</v>
      </c>
    </row>
    <row r="367" spans="1:4" s="109" customFormat="1" x14ac:dyDescent="0.35">
      <c r="A367" s="11">
        <v>44562</v>
      </c>
      <c r="B367" s="15">
        <f>VLOOKUP(A367,Database!A:M,MATCH($A$1,Database!$A$1:$M$1,),)</f>
        <v>527211</v>
      </c>
      <c r="C367" s="12">
        <f t="shared" si="10"/>
        <v>2.1289331507242052E-2</v>
      </c>
      <c r="D367" s="13">
        <f t="shared" si="11"/>
        <v>0.15164376679263417</v>
      </c>
    </row>
    <row r="368" spans="1:4" s="109" customFormat="1" x14ac:dyDescent="0.35">
      <c r="A368" s="11">
        <v>44593</v>
      </c>
      <c r="B368" s="15">
        <f>VLOOKUP(A368,Database!A:M,MATCH($A$1,Database!$A$1:$M$1,),)</f>
        <v>530893</v>
      </c>
      <c r="C368" s="12">
        <f t="shared" si="10"/>
        <v>6.9839210486882857E-3</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557858</v>
      </c>
      <c r="C377" s="12">
        <f t="shared" si="10"/>
        <v>-8.1307751528631959E-3</v>
      </c>
      <c r="D377" s="13">
        <f t="shared" si="11"/>
        <v>6.9849415843938667E-2</v>
      </c>
    </row>
    <row r="378" spans="1:4" s="109" customFormat="1" x14ac:dyDescent="0.35">
      <c r="A378" s="11">
        <v>44896</v>
      </c>
      <c r="B378" s="15">
        <f>VLOOKUP(A378,Database!A:M,MATCH($A$1,Database!$A$1:$M$1,),)</f>
        <v>552696</v>
      </c>
      <c r="C378" s="12">
        <f t="shared" si="10"/>
        <v>-9.2532508272714555E-3</v>
      </c>
      <c r="D378" s="13">
        <f t="shared" si="11"/>
        <v>7.0657722177129567E-2</v>
      </c>
    </row>
    <row r="379" spans="1:4" s="109" customFormat="1" x14ac:dyDescent="0.35">
      <c r="A379" s="11">
        <v>44927</v>
      </c>
      <c r="B379" s="15">
        <f>VLOOKUP(A379,Database!A:M,MATCH($A$1,Database!$A$1:$M$1,),)</f>
        <v>565459</v>
      </c>
      <c r="C379" s="12">
        <f t="shared" si="10"/>
        <v>2.3092260483158916E-2</v>
      </c>
      <c r="D379" s="13">
        <f t="shared" ref="D379" si="12">(B379-B367)/B367</f>
        <v>7.254780344112699E-2</v>
      </c>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row r="817" spans="1:4" x14ac:dyDescent="0.35">
      <c r="A817" s="109"/>
      <c r="B817" s="22"/>
      <c r="C817" s="109"/>
      <c r="D817" s="109"/>
    </row>
  </sheetData>
  <conditionalFormatting sqref="C8:C379">
    <cfRule type="colorScale" priority="2">
      <colorScale>
        <cfvo type="min"/>
        <cfvo type="percentile" val="50"/>
        <cfvo type="max"/>
        <color rgb="FFF8696B"/>
        <color rgb="FFFFEB84"/>
        <color rgb="FF63BE7B"/>
      </colorScale>
    </cfRule>
  </conditionalFormatting>
  <conditionalFormatting sqref="D19:D379">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9"/>
  <sheetViews>
    <sheetView zoomScaleNormal="100" workbookViewId="0">
      <pane ySplit="6" topLeftCell="A364" activePane="bottomLeft" state="frozen"/>
      <selection pane="bottomLeft" activeCell="C383" sqref="C383"/>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53</v>
      </c>
      <c r="B1" s="29" t="s">
        <v>94</v>
      </c>
      <c r="C1" s="54"/>
      <c r="D1" s="54"/>
    </row>
    <row r="2" spans="1:4" s="109" customFormat="1" x14ac:dyDescent="0.35">
      <c r="A2" s="110" t="s">
        <v>95</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81</v>
      </c>
      <c r="B6" s="83" t="s">
        <v>96</v>
      </c>
      <c r="C6" s="84" t="s">
        <v>11</v>
      </c>
      <c r="D6" s="85" t="s">
        <v>12</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76057</v>
      </c>
      <c r="C366" s="12">
        <f t="shared" si="10"/>
        <v>7.0306914175250904E-3</v>
      </c>
      <c r="D366" s="13">
        <f t="shared" si="11"/>
        <v>8.6792506751639686E-2</v>
      </c>
    </row>
    <row r="367" spans="1:4" x14ac:dyDescent="0.35">
      <c r="A367" s="11">
        <v>44562</v>
      </c>
      <c r="B367" s="15">
        <f>VLOOKUP(A367,Database!A:K,MATCH($A$1,Database!$A$1:$K$1,),)</f>
        <v>76585</v>
      </c>
      <c r="C367" s="12">
        <f t="shared" si="10"/>
        <v>6.9421617997028548E-3</v>
      </c>
      <c r="D367" s="13">
        <f t="shared" si="11"/>
        <v>7.9863510102790428E-2</v>
      </c>
    </row>
    <row r="368" spans="1:4" x14ac:dyDescent="0.35">
      <c r="A368" s="11">
        <v>44593</v>
      </c>
      <c r="B368" s="15">
        <f>VLOOKUP(A368,Database!A:K,MATCH($A$1,Database!$A$1:$K$1,),)</f>
        <v>76533</v>
      </c>
      <c r="C368" s="12">
        <f t="shared" si="10"/>
        <v>-6.7898413527453158E-4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81348</v>
      </c>
      <c r="C377" s="12">
        <f t="shared" si="10"/>
        <v>4.8297244216065315E-3</v>
      </c>
      <c r="D377" s="13">
        <f t="shared" si="11"/>
        <v>7.7086036596668697E-2</v>
      </c>
    </row>
    <row r="378" spans="1:4" x14ac:dyDescent="0.35">
      <c r="A378" s="11">
        <v>44896</v>
      </c>
      <c r="B378" s="15">
        <f>VLOOKUP(A378,Database!A:K,MATCH($A$1,Database!$A$1:$K$1,),)</f>
        <v>81248</v>
      </c>
      <c r="C378" s="12">
        <f t="shared" si="10"/>
        <v>-1.2292865221025717E-3</v>
      </c>
      <c r="D378" s="13">
        <f t="shared" si="11"/>
        <v>6.8251442996699843E-2</v>
      </c>
    </row>
    <row r="379" spans="1:4" x14ac:dyDescent="0.35">
      <c r="A379" s="11">
        <v>44927</v>
      </c>
      <c r="B379" s="15">
        <f>VLOOKUP(A379,Database!A:K,MATCH($A$1,Database!$A$1:$K$1,),)</f>
        <v>81311</v>
      </c>
      <c r="C379" s="12">
        <f t="shared" si="10"/>
        <v>7.7540370224497834E-4</v>
      </c>
      <c r="D379" s="13">
        <f t="shared" ref="D379" si="12">(B379-B367)/B367</f>
        <v>6.1709211986681466E-2</v>
      </c>
    </row>
  </sheetData>
  <conditionalFormatting sqref="C8:C379">
    <cfRule type="colorScale" priority="2">
      <colorScale>
        <cfvo type="min"/>
        <cfvo type="percentile" val="50"/>
        <cfvo type="max"/>
        <color rgb="FFF8696B"/>
        <color rgb="FFFFEB84"/>
        <color rgb="FF63BE7B"/>
      </colorScale>
    </cfRule>
  </conditionalFormatting>
  <conditionalFormatting sqref="D19:D379">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9"/>
  <sheetViews>
    <sheetView zoomScale="70" zoomScaleNormal="70" workbookViewId="0">
      <pane ySplit="6" topLeftCell="A351" activePane="bottomLeft" state="frozen"/>
      <selection activeCell="P14" sqref="P14"/>
      <selection pane="bottomLeft" activeCell="I384" sqref="I384"/>
    </sheetView>
  </sheetViews>
  <sheetFormatPr defaultColWidth="9.1796875" defaultRowHeight="14.5" x14ac:dyDescent="0.35"/>
  <cols>
    <col min="1" max="1" width="14" style="54" customWidth="1"/>
    <col min="2" max="4" width="14.1796875" style="54" customWidth="1"/>
    <col min="5" max="27" width="9.1796875" style="109" customWidth="1"/>
    <col min="28" max="16384" width="9.1796875" style="109"/>
  </cols>
  <sheetData>
    <row r="1" spans="1:4" x14ac:dyDescent="0.35">
      <c r="A1" s="109" t="s">
        <v>63</v>
      </c>
      <c r="B1" s="29" t="s">
        <v>97</v>
      </c>
    </row>
    <row r="2" spans="1:4" x14ac:dyDescent="0.35">
      <c r="A2" s="110" t="s">
        <v>98</v>
      </c>
      <c r="B2" s="109"/>
    </row>
    <row r="3" spans="1:4" x14ac:dyDescent="0.35">
      <c r="A3" s="9"/>
    </row>
    <row r="4" spans="1:4" x14ac:dyDescent="0.35">
      <c r="A4" s="9"/>
    </row>
    <row r="5" spans="1:4" ht="16" customHeight="1" thickBot="1" x14ac:dyDescent="0.4"/>
    <row r="6" spans="1:4" ht="57" customHeight="1" x14ac:dyDescent="0.35">
      <c r="A6" s="86" t="s">
        <v>81</v>
      </c>
      <c r="B6" s="87" t="s">
        <v>99</v>
      </c>
      <c r="C6" s="84" t="s">
        <v>11</v>
      </c>
      <c r="D6" s="85" t="s">
        <v>12</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95635</v>
      </c>
      <c r="C366" s="12">
        <f t="shared" si="10"/>
        <v>-5.1597612011344926E-2</v>
      </c>
      <c r="D366" s="13">
        <f t="shared" si="11"/>
        <v>0.12378232923232395</v>
      </c>
    </row>
    <row r="367" spans="1:4" x14ac:dyDescent="0.35">
      <c r="A367" s="11">
        <v>44562</v>
      </c>
      <c r="B367" s="15">
        <f>VLOOKUP(A367,Database!A:Q,MATCH($A$1,Database!$A$1:$Q$1,),)</f>
        <v>106563</v>
      </c>
      <c r="C367" s="12">
        <f t="shared" si="10"/>
        <v>0.11426778898938673</v>
      </c>
      <c r="D367" s="13">
        <f t="shared" si="11"/>
        <v>0.16998056674827899</v>
      </c>
    </row>
    <row r="368" spans="1:4" x14ac:dyDescent="0.35">
      <c r="A368" s="11">
        <v>44593</v>
      </c>
      <c r="B368" s="15">
        <f>VLOOKUP(A368,Database!A:Q,MATCH($A$1,Database!$A$1:$Q$1,),)</f>
        <v>104095</v>
      </c>
      <c r="C368" s="12">
        <f t="shared" si="10"/>
        <v>-2.3160008633390575E-2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109436</v>
      </c>
      <c r="C377" s="12">
        <f t="shared" si="10"/>
        <v>-9.3779419219349701E-3</v>
      </c>
      <c r="D377" s="13">
        <f t="shared" si="11"/>
        <v>8.5265475316844835E-2</v>
      </c>
    </row>
    <row r="378" spans="1:4" x14ac:dyDescent="0.35">
      <c r="A378" s="11">
        <v>44896</v>
      </c>
      <c r="B378" s="15">
        <f>VLOOKUP(A378,Database!A:Q,MATCH($A$1,Database!$A$1:$Q$1,),)</f>
        <v>108338</v>
      </c>
      <c r="C378" s="12">
        <f t="shared" si="10"/>
        <v>-1.0033261449614387E-2</v>
      </c>
      <c r="D378" s="13">
        <f t="shared" si="11"/>
        <v>0.13282793956187589</v>
      </c>
    </row>
    <row r="379" spans="1:4" x14ac:dyDescent="0.35">
      <c r="A379" s="11">
        <v>44927</v>
      </c>
      <c r="B379" s="15">
        <f>VLOOKUP(A379,Database!A:Q,MATCH($A$1,Database!$A$1:$Q$1,),)</f>
        <v>109781</v>
      </c>
      <c r="C379" s="12">
        <f t="shared" si="10"/>
        <v>1.3319426240100426E-2</v>
      </c>
      <c r="D379" s="13">
        <f t="shared" ref="D379" si="12">(B379-B367)/B367</f>
        <v>3.019809877724914E-2</v>
      </c>
    </row>
  </sheetData>
  <conditionalFormatting sqref="C8:C379">
    <cfRule type="colorScale" priority="2">
      <colorScale>
        <cfvo type="min"/>
        <cfvo type="percentile" val="50"/>
        <cfvo type="max"/>
        <color rgb="FFF8696B"/>
        <color rgb="FFFFEB84"/>
        <color rgb="FF63BE7B"/>
      </colorScale>
    </cfRule>
  </conditionalFormatting>
  <conditionalFormatting sqref="D19:D379">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9"/>
  <sheetViews>
    <sheetView zoomScale="70" zoomScaleNormal="70" workbookViewId="0">
      <pane ySplit="6" topLeftCell="A345" activePane="bottomLeft" state="frozen"/>
      <selection pane="bottomLeft" activeCell="R381" sqref="R381"/>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60</v>
      </c>
      <c r="B1" s="29" t="s">
        <v>100</v>
      </c>
    </row>
    <row r="2" spans="1:4" x14ac:dyDescent="0.35">
      <c r="A2" s="110" t="s">
        <v>101</v>
      </c>
      <c r="B2" s="109"/>
    </row>
    <row r="3" spans="1:4" x14ac:dyDescent="0.35">
      <c r="A3" s="9"/>
    </row>
    <row r="4" spans="1:4" x14ac:dyDescent="0.35">
      <c r="A4" s="9"/>
    </row>
    <row r="5" spans="1:4" ht="16" customHeight="1" thickBot="1" x14ac:dyDescent="0.4"/>
    <row r="6" spans="1:4" ht="44.25" customHeight="1" x14ac:dyDescent="0.35">
      <c r="A6" s="86" t="s">
        <v>81</v>
      </c>
      <c r="B6" s="83" t="s">
        <v>102</v>
      </c>
      <c r="C6" s="84" t="s">
        <v>11</v>
      </c>
      <c r="D6" s="85" t="s">
        <v>12</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33971</v>
      </c>
      <c r="C377" s="12">
        <f t="shared" si="10"/>
        <v>3.0116035312527682E-3</v>
      </c>
      <c r="D377" s="13">
        <f t="shared" si="11"/>
        <v>4.1160966041436806E-2</v>
      </c>
    </row>
    <row r="378" spans="1:4" x14ac:dyDescent="0.35">
      <c r="A378" s="11">
        <v>44896</v>
      </c>
      <c r="B378" s="15">
        <f>VLOOKUP(A378,Database!A:Q,MATCH($A$1,Database!$A$1:$Q$1,),)</f>
        <v>33354</v>
      </c>
      <c r="C378" s="12">
        <f t="shared" si="10"/>
        <v>-1.8162550410644372E-2</v>
      </c>
      <c r="D378" s="13">
        <f t="shared" si="11"/>
        <v>1.5187947040024349E-2</v>
      </c>
    </row>
    <row r="379" spans="1:4" x14ac:dyDescent="0.35">
      <c r="A379" s="11">
        <v>44927</v>
      </c>
      <c r="B379" s="15">
        <f>VLOOKUP(A379,Database!A:Q,MATCH($A$1,Database!$A$1:$Q$1,),)</f>
        <v>33997</v>
      </c>
      <c r="C379" s="12">
        <f t="shared" si="10"/>
        <v>1.9278047610481502E-2</v>
      </c>
      <c r="D379" s="13">
        <f t="shared" ref="D379" si="12">(B379-B367)/B367</f>
        <v>3.6020112753314036E-2</v>
      </c>
    </row>
  </sheetData>
  <conditionalFormatting sqref="C8:C379">
    <cfRule type="colorScale" priority="2">
      <colorScale>
        <cfvo type="min"/>
        <cfvo type="percentile" val="50"/>
        <cfvo type="max"/>
        <color rgb="FFF8696B"/>
        <color rgb="FFFFEB84"/>
        <color rgb="FF63BE7B"/>
      </colorScale>
    </cfRule>
  </conditionalFormatting>
  <conditionalFormatting sqref="D19:D379">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9"/>
  <sheetViews>
    <sheetView zoomScale="60" zoomScaleNormal="60" workbookViewId="0">
      <pane ySplit="6" topLeftCell="A344" activePane="bottomLeft" state="frozen"/>
      <selection pane="bottomLeft" activeCell="O391" sqref="O391"/>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64</v>
      </c>
      <c r="B1" s="29" t="s">
        <v>103</v>
      </c>
    </row>
    <row r="2" spans="1:4" x14ac:dyDescent="0.35">
      <c r="A2" s="110" t="s">
        <v>104</v>
      </c>
      <c r="B2" s="109"/>
    </row>
    <row r="3" spans="1:4" x14ac:dyDescent="0.35">
      <c r="A3" s="9"/>
    </row>
    <row r="4" spans="1:4" x14ac:dyDescent="0.35">
      <c r="A4" s="9"/>
    </row>
    <row r="5" spans="1:4" ht="16" customHeight="1" thickBot="1" x14ac:dyDescent="0.4"/>
    <row r="6" spans="1:4" ht="44.25" customHeight="1" x14ac:dyDescent="0.35">
      <c r="A6" s="86" t="s">
        <v>81</v>
      </c>
      <c r="B6" s="83" t="s">
        <v>105</v>
      </c>
      <c r="C6" s="84" t="s">
        <v>11</v>
      </c>
      <c r="D6" s="85" t="s">
        <v>12</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8999</v>
      </c>
      <c r="C366" s="12">
        <f t="shared" si="10"/>
        <v>-2.5660459073191859E-2</v>
      </c>
      <c r="D366" s="13">
        <f t="shared" si="11"/>
        <v>0.16703410711969913</v>
      </c>
    </row>
    <row r="367" spans="1:4" x14ac:dyDescent="0.35">
      <c r="A367" s="10">
        <v>44562</v>
      </c>
      <c r="B367" s="15">
        <f>VLOOKUP(A367,Database!A:Q,MATCH($A$1,Database!$A$1:$Q$1,),)</f>
        <v>8801</v>
      </c>
      <c r="C367" s="12">
        <f t="shared" si="10"/>
        <v>-2.2002444716079563E-2</v>
      </c>
      <c r="D367" s="13">
        <f t="shared" si="11"/>
        <v>2.9959040374488006E-2</v>
      </c>
    </row>
    <row r="368" spans="1:4" x14ac:dyDescent="0.35">
      <c r="A368" s="10">
        <v>44593</v>
      </c>
      <c r="B368" s="15">
        <f>VLOOKUP(A368,Database!A:Q,MATCH($A$1,Database!$A$1:$Q$1,),)</f>
        <v>8916</v>
      </c>
      <c r="C368" s="12">
        <f t="shared" si="10"/>
        <v>1.3066696966253835E-2</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9368</v>
      </c>
      <c r="C377" s="12">
        <f t="shared" si="10"/>
        <v>1.4966859097712208E-3</v>
      </c>
      <c r="D377" s="13">
        <f t="shared" si="11"/>
        <v>1.429190125595496E-2</v>
      </c>
    </row>
    <row r="378" spans="1:4" x14ac:dyDescent="0.35">
      <c r="A378" s="11">
        <v>44896</v>
      </c>
      <c r="B378" s="15">
        <f>VLOOKUP(A378,Database!A:Q,MATCH($A$1,Database!$A$1:$Q$1,),)</f>
        <v>9383</v>
      </c>
      <c r="C378" s="12">
        <f t="shared" si="10"/>
        <v>1.6011955593509821E-3</v>
      </c>
      <c r="D378" s="13">
        <f t="shared" si="11"/>
        <v>4.2671407934214915E-2</v>
      </c>
    </row>
    <row r="379" spans="1:4" x14ac:dyDescent="0.35">
      <c r="A379" s="11">
        <v>44927</v>
      </c>
      <c r="B379" s="15">
        <f>VLOOKUP(A379,Database!A:Q,MATCH($A$1,Database!$A$1:$Q$1,),)</f>
        <v>9406</v>
      </c>
      <c r="C379" s="12">
        <f t="shared" si="10"/>
        <v>2.4512416071618883E-3</v>
      </c>
      <c r="D379" s="13">
        <f t="shared" ref="D379" si="12">(B379-B367)/B367</f>
        <v>6.8742188387683215E-2</v>
      </c>
    </row>
  </sheetData>
  <conditionalFormatting sqref="D19:D379">
    <cfRule type="colorScale" priority="1">
      <colorScale>
        <cfvo type="min"/>
        <cfvo type="percentile" val="50"/>
        <cfvo type="max"/>
        <color rgb="FFF8696B"/>
        <color rgb="FFFFEB84"/>
        <color rgb="FF63BE7B"/>
      </colorScale>
    </cfRule>
  </conditionalFormatting>
  <conditionalFormatting sqref="C8:C379">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9"/>
  <sheetViews>
    <sheetView zoomScale="70" zoomScaleNormal="70" workbookViewId="0">
      <pane ySplit="6" topLeftCell="A347" activePane="bottomLeft" state="frozen"/>
      <selection pane="bottomLeft" activeCell="Q391" sqref="Q391"/>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59</v>
      </c>
      <c r="B1" s="29" t="s">
        <v>106</v>
      </c>
    </row>
    <row r="2" spans="1:4" x14ac:dyDescent="0.35">
      <c r="A2" s="110" t="s">
        <v>107</v>
      </c>
      <c r="B2" s="109"/>
    </row>
    <row r="3" spans="1:4" x14ac:dyDescent="0.35">
      <c r="A3" s="9"/>
    </row>
    <row r="4" spans="1:4" x14ac:dyDescent="0.35">
      <c r="A4" s="9"/>
    </row>
    <row r="5" spans="1:4" ht="16" customHeight="1" thickBot="1" x14ac:dyDescent="0.4"/>
    <row r="6" spans="1:4" ht="44.25" customHeight="1" x14ac:dyDescent="0.35">
      <c r="A6" s="86" t="s">
        <v>81</v>
      </c>
      <c r="B6" s="83" t="s">
        <v>108</v>
      </c>
      <c r="C6" s="84" t="s">
        <v>11</v>
      </c>
      <c r="D6" s="85" t="s">
        <v>12</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66890</v>
      </c>
      <c r="C366" s="12">
        <f t="shared" si="10"/>
        <v>-1.7566019445994771E-2</v>
      </c>
      <c r="D366" s="13">
        <f t="shared" si="11"/>
        <v>0.10574777246954194</v>
      </c>
    </row>
    <row r="367" spans="1:4" x14ac:dyDescent="0.35">
      <c r="A367" s="11">
        <v>44562</v>
      </c>
      <c r="B367" s="15">
        <f>VLOOKUP(A367,Database!A:Q,MATCH($A$1,Database!$A$1:$Q$1,),)</f>
        <v>68530</v>
      </c>
      <c r="C367" s="12">
        <f t="shared" si="10"/>
        <v>2.4517865151741664E-2</v>
      </c>
      <c r="D367" s="13">
        <f t="shared" si="11"/>
        <v>4.2091177275630304E-2</v>
      </c>
    </row>
    <row r="368" spans="1:4" x14ac:dyDescent="0.35">
      <c r="A368" s="11">
        <v>44593</v>
      </c>
      <c r="B368" s="15">
        <f>VLOOKUP(A368,Database!A:Q,MATCH($A$1,Database!$A$1:$Q$1,),)</f>
        <v>67568</v>
      </c>
      <c r="C368" s="12">
        <f t="shared" si="10"/>
        <v>-1.4037647745512914E-2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70003</v>
      </c>
      <c r="C377" s="12">
        <f t="shared" si="10"/>
        <v>-1.7824549395391285E-3</v>
      </c>
      <c r="D377" s="13">
        <f t="shared" si="11"/>
        <v>2.8155567958170549E-2</v>
      </c>
    </row>
    <row r="378" spans="1:4" x14ac:dyDescent="0.35">
      <c r="A378" s="11">
        <v>44896</v>
      </c>
      <c r="B378" s="15">
        <f>VLOOKUP(A378,Database!A:Q,MATCH($A$1,Database!$A$1:$Q$1,),)</f>
        <v>69410</v>
      </c>
      <c r="C378" s="12">
        <f t="shared" si="10"/>
        <v>-8.4710655257631811E-3</v>
      </c>
      <c r="D378" s="13">
        <f t="shared" si="11"/>
        <v>3.7673792794139634E-2</v>
      </c>
    </row>
    <row r="379" spans="1:4" x14ac:dyDescent="0.35">
      <c r="A379" s="11">
        <v>44927</v>
      </c>
      <c r="B379" s="15">
        <f>VLOOKUP(A379,Database!A:Q,MATCH($A$1,Database!$A$1:$Q$1,),)</f>
        <v>71602</v>
      </c>
      <c r="C379" s="12">
        <f t="shared" si="10"/>
        <v>3.1580463910099409E-2</v>
      </c>
      <c r="D379" s="13">
        <f t="shared" ref="D379" si="12">(B379-B367)/B367</f>
        <v>4.4827083029330222E-2</v>
      </c>
    </row>
  </sheetData>
  <conditionalFormatting sqref="D19:D379">
    <cfRule type="colorScale" priority="1">
      <colorScale>
        <cfvo type="min"/>
        <cfvo type="percentile" val="50"/>
        <cfvo type="max"/>
        <color rgb="FFF8696B"/>
        <color rgb="FFFFEB84"/>
        <color rgb="FF63BE7B"/>
      </colorScale>
    </cfRule>
  </conditionalFormatting>
  <conditionalFormatting sqref="C8:C379">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9"/>
  <sheetViews>
    <sheetView zoomScale="70" zoomScaleNormal="70" workbookViewId="0">
      <pane ySplit="6" topLeftCell="A353" activePane="bottomLeft" state="frozen"/>
      <selection pane="bottomLeft" activeCell="U386" sqref="U386"/>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56</v>
      </c>
      <c r="B1" s="29" t="s">
        <v>109</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81</v>
      </c>
      <c r="B6" s="83" t="s">
        <v>110</v>
      </c>
      <c r="C6" s="84" t="s">
        <v>11</v>
      </c>
      <c r="D6" s="85" t="s">
        <v>12</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78432</v>
      </c>
      <c r="C366" s="12">
        <f t="shared" si="10"/>
        <v>-6.7749819544873175E-3</v>
      </c>
      <c r="D366" s="13">
        <f t="shared" si="11"/>
        <v>0.45067140162024194</v>
      </c>
    </row>
    <row r="367" spans="1:4" x14ac:dyDescent="0.35">
      <c r="A367" s="11">
        <v>44562</v>
      </c>
      <c r="B367" s="15">
        <f>VLOOKUP(A367,Database!A:K,MATCH($A$1,Database!$A$1:$K$1,),)</f>
        <v>76217</v>
      </c>
      <c r="C367" s="12">
        <f t="shared" si="10"/>
        <v>-2.8241024071807425E-2</v>
      </c>
      <c r="D367" s="13">
        <f t="shared" si="11"/>
        <v>0.27981797726394975</v>
      </c>
    </row>
    <row r="368" spans="1:4" x14ac:dyDescent="0.35">
      <c r="A368" s="11">
        <v>44593</v>
      </c>
      <c r="B368" s="15">
        <f>VLOOKUP(A368,Database!A:K,MATCH($A$1,Database!$A$1:$K$1,),)</f>
        <v>80553</v>
      </c>
      <c r="C368" s="12">
        <f t="shared" si="10"/>
        <v>5.6890195100830522E-2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89083</v>
      </c>
      <c r="C377" s="12">
        <f t="shared" si="10"/>
        <v>-1.994151981268415E-3</v>
      </c>
      <c r="D377" s="13">
        <f t="shared" si="11"/>
        <v>0.12810414476933402</v>
      </c>
    </row>
    <row r="378" spans="1:4" x14ac:dyDescent="0.35">
      <c r="A378" s="10">
        <v>44896</v>
      </c>
      <c r="B378" s="15">
        <f>VLOOKUP(A378,Database!A:K,MATCH($A$1,Database!$A$1:$K$1,),)</f>
        <v>89047</v>
      </c>
      <c r="C378" s="12">
        <f t="shared" si="10"/>
        <v>-4.0411750839105105E-4</v>
      </c>
      <c r="D378" s="13">
        <f t="shared" si="11"/>
        <v>0.13534016727866177</v>
      </c>
    </row>
    <row r="379" spans="1:4" x14ac:dyDescent="0.35">
      <c r="A379" s="10">
        <v>44927</v>
      </c>
      <c r="B379" s="15">
        <f>VLOOKUP(A379,Database!A:K,MATCH($A$1,Database!$A$1:$K$1,),)</f>
        <v>95453</v>
      </c>
      <c r="C379" s="12">
        <f t="shared" si="10"/>
        <v>7.1939537547587223E-2</v>
      </c>
      <c r="D379" s="13">
        <f t="shared" ref="D379" si="12">(B379-B367)/B367</f>
        <v>0.25238463859768817</v>
      </c>
    </row>
  </sheetData>
  <conditionalFormatting sqref="D19:D379">
    <cfRule type="colorScale" priority="1">
      <colorScale>
        <cfvo type="min"/>
        <cfvo type="percentile" val="50"/>
        <cfvo type="max"/>
        <color rgb="FFF8696B"/>
        <color rgb="FFFFEB84"/>
        <color rgb="FF63BE7B"/>
      </colorScale>
    </cfRule>
  </conditionalFormatting>
  <conditionalFormatting sqref="C8:C379">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9"/>
  <sheetViews>
    <sheetView zoomScale="70" zoomScaleNormal="70" workbookViewId="0">
      <pane ySplit="6" topLeftCell="A344" activePane="bottomLeft" state="frozen"/>
      <selection pane="bottomLeft" activeCell="S350" sqref="S350"/>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58</v>
      </c>
      <c r="B1" s="29" t="s">
        <v>111</v>
      </c>
    </row>
    <row r="2" spans="1:4" x14ac:dyDescent="0.35">
      <c r="A2" s="110" t="s">
        <v>112</v>
      </c>
      <c r="B2" s="109"/>
    </row>
    <row r="3" spans="1:4" x14ac:dyDescent="0.35">
      <c r="A3" s="9"/>
    </row>
    <row r="4" spans="1:4" x14ac:dyDescent="0.35">
      <c r="A4" s="9"/>
    </row>
    <row r="5" spans="1:4" ht="16" customHeight="1" thickBot="1" x14ac:dyDescent="0.4"/>
    <row r="6" spans="1:4" ht="44.25" customHeight="1" x14ac:dyDescent="0.35">
      <c r="A6" s="86" t="s">
        <v>81</v>
      </c>
      <c r="B6" s="83" t="s">
        <v>113</v>
      </c>
      <c r="C6" s="84" t="s">
        <v>11</v>
      </c>
      <c r="D6" s="85" t="s">
        <v>12</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56830</v>
      </c>
      <c r="C366" s="12">
        <f t="shared" si="10"/>
        <v>3.479670059542235E-2</v>
      </c>
      <c r="D366" s="13">
        <f t="shared" si="11"/>
        <v>0.44631359275188964</v>
      </c>
    </row>
    <row r="367" spans="1:4" x14ac:dyDescent="0.35">
      <c r="A367" s="11">
        <v>44562</v>
      </c>
      <c r="B367" s="15">
        <f>VLOOKUP(A367,Database!A:K,MATCH($A$1,Database!$A$1:$K$1,),)</f>
        <v>56370</v>
      </c>
      <c r="C367" s="12">
        <f t="shared" si="10"/>
        <v>-8.094316382192504E-3</v>
      </c>
      <c r="D367" s="13">
        <f t="shared" si="11"/>
        <v>0.37139937718956795</v>
      </c>
    </row>
    <row r="368" spans="1:4" x14ac:dyDescent="0.35">
      <c r="A368" s="11">
        <v>44593</v>
      </c>
      <c r="B368" s="15">
        <f>VLOOKUP(A368,Database!A:K,MATCH($A$1,Database!$A$1:$K$1,),)</f>
        <v>58392</v>
      </c>
      <c r="C368" s="12">
        <f t="shared" si="10"/>
        <v>3.5870143693453968E-2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62554</v>
      </c>
      <c r="C377" s="12">
        <f t="shared" si="10"/>
        <v>-1.4400957963068003E-2</v>
      </c>
      <c r="D377" s="13">
        <f t="shared" si="11"/>
        <v>0.13902292467087893</v>
      </c>
    </row>
    <row r="378" spans="1:4" x14ac:dyDescent="0.35">
      <c r="A378" s="10">
        <v>44896</v>
      </c>
      <c r="B378" s="15">
        <f>VLOOKUP(A378,Database!A:K,MATCH($A$1,Database!$A$1:$K$1,),)</f>
        <v>59564</v>
      </c>
      <c r="C378" s="12">
        <f t="shared" si="10"/>
        <v>-4.7798701921539788E-2</v>
      </c>
      <c r="D378" s="13">
        <f t="shared" si="11"/>
        <v>4.8108393454161534E-2</v>
      </c>
    </row>
    <row r="379" spans="1:4" x14ac:dyDescent="0.35">
      <c r="A379" s="10">
        <v>44927</v>
      </c>
      <c r="B379" s="15">
        <f>VLOOKUP(A379,Database!A:K,MATCH($A$1,Database!$A$1:$K$1,),)</f>
        <v>59585</v>
      </c>
      <c r="C379" s="12">
        <f t="shared" si="10"/>
        <v>3.5256195017124435E-4</v>
      </c>
      <c r="D379" s="13">
        <f t="shared" ref="D379" si="12">(B379-B367)/B367</f>
        <v>5.703388327124357E-2</v>
      </c>
    </row>
  </sheetData>
  <conditionalFormatting sqref="D19:D379">
    <cfRule type="colorScale" priority="1">
      <colorScale>
        <cfvo type="min"/>
        <cfvo type="percentile" val="50"/>
        <cfvo type="max"/>
        <color rgb="FFF8696B"/>
        <color rgb="FFFFEB84"/>
        <color rgb="FF63BE7B"/>
      </colorScale>
    </cfRule>
  </conditionalFormatting>
  <conditionalFormatting sqref="C8:C379">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9"/>
  <sheetViews>
    <sheetView zoomScale="70" zoomScaleNormal="70" workbookViewId="0">
      <pane ySplit="6" topLeftCell="A346" activePane="bottomLeft" state="frozen"/>
      <selection pane="bottomLeft" activeCell="N350" sqref="N350"/>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62</v>
      </c>
      <c r="B1" s="29" t="s">
        <v>114</v>
      </c>
    </row>
    <row r="2" spans="1:4" x14ac:dyDescent="0.35">
      <c r="A2" s="110" t="s">
        <v>115</v>
      </c>
      <c r="B2" s="109"/>
    </row>
    <row r="3" spans="1:4" x14ac:dyDescent="0.35">
      <c r="A3" s="9"/>
    </row>
    <row r="4" spans="1:4" x14ac:dyDescent="0.35">
      <c r="A4" s="9"/>
    </row>
    <row r="5" spans="1:4" ht="16" customHeight="1" thickBot="1" x14ac:dyDescent="0.4"/>
    <row r="6" spans="1:4" ht="44.25" customHeight="1" x14ac:dyDescent="0.35">
      <c r="A6" s="86" t="s">
        <v>81</v>
      </c>
      <c r="B6" s="83" t="s">
        <v>116</v>
      </c>
      <c r="C6" s="84" t="s">
        <v>11</v>
      </c>
      <c r="D6" s="85" t="s">
        <v>12</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123052</v>
      </c>
      <c r="C366" s="12">
        <f t="shared" si="10"/>
        <v>-1.3184063642779239E-2</v>
      </c>
      <c r="D366" s="13">
        <f t="shared" si="11"/>
        <v>0.10771834434582216</v>
      </c>
    </row>
    <row r="367" spans="1:4" x14ac:dyDescent="0.35">
      <c r="A367" s="11">
        <v>44562</v>
      </c>
      <c r="B367" s="15">
        <f>VLOOKUP(A367,Database!A:Q,MATCH($A$1,Database!$A$1:$Q$1,),)</f>
        <v>127943</v>
      </c>
      <c r="C367" s="12">
        <f t="shared" si="10"/>
        <v>3.9747423853330299E-2</v>
      </c>
      <c r="D367" s="13">
        <f t="shared" si="11"/>
        <v>0.11223833368106266</v>
      </c>
    </row>
    <row r="368" spans="1:4" x14ac:dyDescent="0.35">
      <c r="A368" s="11">
        <v>44593</v>
      </c>
      <c r="B368" s="15">
        <f>VLOOKUP(A368,Database!A:Q,MATCH($A$1,Database!$A$1:$Q$1,),)</f>
        <v>131428</v>
      </c>
      <c r="C368" s="12">
        <f t="shared" si="10"/>
        <v>2.723869223013373E-2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126553</v>
      </c>
      <c r="C377" s="12">
        <f t="shared" si="10"/>
        <v>-2.2099789047468184E-2</v>
      </c>
      <c r="D377" s="13">
        <f t="shared" si="11"/>
        <v>1.4892217873869251E-2</v>
      </c>
    </row>
    <row r="378" spans="1:4" x14ac:dyDescent="0.35">
      <c r="A378" s="11">
        <v>44896</v>
      </c>
      <c r="B378" s="15">
        <f>VLOOKUP(A378,Database!A:Q,MATCH($A$1,Database!$A$1:$Q$1,),)</f>
        <v>124229</v>
      </c>
      <c r="C378" s="12">
        <f t="shared" si="10"/>
        <v>-1.8363847557940152E-2</v>
      </c>
      <c r="D378" s="13">
        <f t="shared" si="11"/>
        <v>9.5650619250398205E-3</v>
      </c>
    </row>
    <row r="379" spans="1:4" x14ac:dyDescent="0.35">
      <c r="A379" s="11">
        <v>44927</v>
      </c>
      <c r="B379" s="15">
        <f>VLOOKUP(A379,Database!A:Q,MATCH($A$1,Database!$A$1:$Q$1,),)</f>
        <v>131523</v>
      </c>
      <c r="C379" s="12">
        <f t="shared" si="10"/>
        <v>5.8714148870231589E-2</v>
      </c>
      <c r="D379" s="13">
        <f t="shared" ref="D379" si="12">(B379-B367)/B367</f>
        <v>2.7981210382748568E-2</v>
      </c>
    </row>
  </sheetData>
  <conditionalFormatting sqref="D19:D379">
    <cfRule type="colorScale" priority="50">
      <colorScale>
        <cfvo type="min"/>
        <cfvo type="percentile" val="50"/>
        <cfvo type="max"/>
        <color rgb="FFF8696B"/>
        <color rgb="FFFFEB84"/>
        <color rgb="FF63BE7B"/>
      </colorScale>
    </cfRule>
  </conditionalFormatting>
  <conditionalFormatting sqref="C8:C379">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9"/>
  <sheetViews>
    <sheetView zoomScale="70" zoomScaleNormal="70" workbookViewId="0">
      <pane ySplit="6" topLeftCell="A353" activePane="bottomLeft" state="frozen"/>
      <selection pane="bottomLeft" activeCell="B388" sqref="B388"/>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7" width="9.1796875" style="109" customWidth="1"/>
    <col min="28" max="16384" width="9.1796875" style="109"/>
  </cols>
  <sheetData>
    <row r="1" spans="1:4" x14ac:dyDescent="0.35">
      <c r="A1" s="109" t="s">
        <v>51</v>
      </c>
      <c r="B1" s="29" t="s">
        <v>117</v>
      </c>
    </row>
    <row r="2" spans="1:4" x14ac:dyDescent="0.35">
      <c r="A2" s="110" t="s">
        <v>43</v>
      </c>
      <c r="B2" s="109"/>
    </row>
    <row r="3" spans="1:4" x14ac:dyDescent="0.35">
      <c r="A3" s="9"/>
    </row>
    <row r="4" spans="1:4" x14ac:dyDescent="0.35">
      <c r="A4" s="9"/>
    </row>
    <row r="5" spans="1:4" ht="16" customHeight="1" thickBot="1" x14ac:dyDescent="0.4">
      <c r="A5" s="9"/>
    </row>
    <row r="6" spans="1:4" ht="16" customHeight="1" thickBot="1" x14ac:dyDescent="0.4">
      <c r="A6" s="88" t="s">
        <v>81</v>
      </c>
      <c r="B6" s="89" t="s">
        <v>118</v>
      </c>
      <c r="C6" s="89" t="s">
        <v>119</v>
      </c>
      <c r="D6" s="90" t="s">
        <v>120</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79"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378"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41347</v>
      </c>
      <c r="C366" s="32">
        <f t="shared" si="10"/>
        <v>5.8139534883720929E-3</v>
      </c>
      <c r="D366" s="33">
        <f t="shared" si="11"/>
        <v>0.13192619360490582</v>
      </c>
    </row>
    <row r="367" spans="1:4" x14ac:dyDescent="0.35">
      <c r="A367" s="11">
        <v>44562</v>
      </c>
      <c r="B367" s="31">
        <f>VLOOKUP(A367,Database!A:K,MATCH($A$1,Database!$A$1:$K$1,),)</f>
        <v>42229</v>
      </c>
      <c r="C367" s="32">
        <f t="shared" si="10"/>
        <v>2.1331656468425761E-2</v>
      </c>
      <c r="D367" s="33">
        <f t="shared" si="11"/>
        <v>9.1696396256656848E-2</v>
      </c>
    </row>
    <row r="368" spans="1:4" x14ac:dyDescent="0.35">
      <c r="A368" s="11">
        <v>44593</v>
      </c>
      <c r="B368" s="31">
        <f>VLOOKUP(A368,Database!A:K,MATCH($A$1,Database!$A$1:$K$1,),)</f>
        <v>42307</v>
      </c>
      <c r="C368" s="32">
        <f t="shared" si="10"/>
        <v>1.8470719174027328E-3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42074</v>
      </c>
      <c r="C377" s="32">
        <f t="shared" si="10"/>
        <v>-3.3137236878389556E-2</v>
      </c>
      <c r="D377" s="33">
        <f t="shared" si="11"/>
        <v>2.3499075605721512E-2</v>
      </c>
    </row>
    <row r="378" spans="1:4" x14ac:dyDescent="0.35">
      <c r="A378" s="17">
        <v>44896</v>
      </c>
      <c r="B378" s="15">
        <f>VLOOKUP(A378,Database!A:K,MATCH($A$1,Database!$A$1:$K$1,),)</f>
        <v>42541</v>
      </c>
      <c r="C378" s="12">
        <f t="shared" si="10"/>
        <v>1.1099491372343966E-2</v>
      </c>
      <c r="D378" s="13">
        <f t="shared" si="11"/>
        <v>2.887754855249474E-2</v>
      </c>
    </row>
    <row r="379" spans="1:4" x14ac:dyDescent="0.35">
      <c r="A379" s="17">
        <v>44927</v>
      </c>
      <c r="B379" s="15">
        <f>VLOOKUP(A379,Database!A:K,MATCH($A$1,Database!$A$1:$K$1,),)</f>
        <v>42675</v>
      </c>
      <c r="C379" s="12">
        <f t="shared" si="10"/>
        <v>3.1499024470510802E-3</v>
      </c>
      <c r="D379" s="13">
        <f t="shared" ref="D379" si="12">(B379-B367)/B367</f>
        <v>1.0561462502072036E-2</v>
      </c>
    </row>
  </sheetData>
  <conditionalFormatting sqref="D19:D379">
    <cfRule type="colorScale" priority="48">
      <colorScale>
        <cfvo type="min"/>
        <cfvo type="percentile" val="50"/>
        <cfvo type="max"/>
        <color rgb="FFF8696B"/>
        <color rgb="FFFFEB84"/>
        <color rgb="FF63BE7B"/>
      </colorScale>
    </cfRule>
  </conditionalFormatting>
  <conditionalFormatting sqref="C8:C379">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9"/>
  <sheetViews>
    <sheetView zoomScale="70" zoomScaleNormal="70" workbookViewId="0">
      <pane ySplit="6" topLeftCell="A347" activePane="bottomLeft" state="frozen"/>
      <selection pane="bottomLeft" activeCell="D384" sqref="D384"/>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55</v>
      </c>
      <c r="B1" s="29" t="s">
        <v>54</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81</v>
      </c>
      <c r="B6" s="92" t="s">
        <v>86</v>
      </c>
      <c r="C6" s="84" t="s">
        <v>11</v>
      </c>
      <c r="D6" s="85" t="s">
        <v>12</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79"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378"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19249</v>
      </c>
      <c r="C366" s="12">
        <f t="shared" si="10"/>
        <v>-7.6812042478606041E-3</v>
      </c>
      <c r="D366" s="13">
        <f t="shared" si="11"/>
        <v>0.13737887024344125</v>
      </c>
    </row>
    <row r="367" spans="1:4" x14ac:dyDescent="0.35">
      <c r="A367" s="11">
        <v>44562</v>
      </c>
      <c r="B367" s="15">
        <f>VLOOKUP(A367,Database!A:K,MATCH($A$1,Database!$A$1:$K$1,),)+VLOOKUP(A367,Database!A:K,MATCH($B$1,Database!$A$1:$K$1,),)</f>
        <v>19203</v>
      </c>
      <c r="C367" s="12">
        <f t="shared" si="10"/>
        <v>-2.3897345316639825E-3</v>
      </c>
      <c r="D367" s="13">
        <f t="shared" si="11"/>
        <v>-1.7674273535374539E-3</v>
      </c>
    </row>
    <row r="368" spans="1:4" x14ac:dyDescent="0.35">
      <c r="A368" s="11">
        <v>44593</v>
      </c>
      <c r="B368" s="15">
        <f>VLOOKUP(A368,Database!A:K,MATCH($A$1,Database!$A$1:$K$1,),)+VLOOKUP(A368,Database!A:K,MATCH($B$1,Database!$A$1:$K$1,),)</f>
        <v>19617</v>
      </c>
      <c r="C368" s="12">
        <f t="shared" si="10"/>
        <v>2.1559131385720982E-2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18701</v>
      </c>
      <c r="C377" s="12">
        <f t="shared" si="10"/>
        <v>-2.8973466950516641E-2</v>
      </c>
      <c r="D377" s="13">
        <f t="shared" si="11"/>
        <v>-3.5931539333951955E-2</v>
      </c>
    </row>
    <row r="378" spans="1:4" x14ac:dyDescent="0.35">
      <c r="A378" s="11">
        <v>44896</v>
      </c>
      <c r="B378" s="15">
        <f>VLOOKUP(A378,Database!A:K,MATCH($A$1,Database!$A$1:$K$1,),)+VLOOKUP(A378,Database!A:K,MATCH($B$1,Database!$A$1:$K$1,),)</f>
        <v>18434</v>
      </c>
      <c r="C378" s="12">
        <f t="shared" si="10"/>
        <v>-1.4277311373723331E-2</v>
      </c>
      <c r="D378" s="13">
        <f t="shared" si="11"/>
        <v>-4.2339861811003167E-2</v>
      </c>
    </row>
    <row r="379" spans="1:4" x14ac:dyDescent="0.35">
      <c r="A379" s="11">
        <v>44927</v>
      </c>
      <c r="B379" s="15">
        <f>VLOOKUP(A379,Database!A:K,MATCH($A$1,Database!$A$1:$K$1,),)+VLOOKUP(A379,Database!A:K,MATCH($B$1,Database!$A$1:$K$1,),)</f>
        <v>19188</v>
      </c>
      <c r="C379" s="12">
        <f t="shared" si="10"/>
        <v>4.0902679830747531E-2</v>
      </c>
      <c r="D379" s="13">
        <f t="shared" ref="D379" si="12">(B379-B367)/B367</f>
        <v>-7.8112794875800657E-4</v>
      </c>
    </row>
  </sheetData>
  <conditionalFormatting sqref="D19:D379">
    <cfRule type="colorScale" priority="46">
      <colorScale>
        <cfvo type="min"/>
        <cfvo type="percentile" val="50"/>
        <cfvo type="max"/>
        <color rgb="FFF8696B"/>
        <color rgb="FFFFEB84"/>
        <color rgb="FF63BE7B"/>
      </colorScale>
    </cfRule>
  </conditionalFormatting>
  <conditionalFormatting sqref="C8:C379">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9"/>
  <sheetViews>
    <sheetView zoomScale="80" zoomScaleNormal="80" workbookViewId="0">
      <pane ySplit="6" topLeftCell="A354" activePane="bottomLeft" state="frozen"/>
      <selection pane="bottomLeft" activeCell="N386" sqref="N386"/>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61</v>
      </c>
      <c r="B1" s="29" t="s">
        <v>44</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81</v>
      </c>
      <c r="B6" s="80" t="s">
        <v>121</v>
      </c>
      <c r="C6" s="93" t="s">
        <v>11</v>
      </c>
      <c r="D6" s="94" t="s">
        <v>12</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0</v>
      </c>
      <c r="C20" s="12">
        <f t="shared" si="0"/>
        <v>-1</v>
      </c>
      <c r="D20" s="13">
        <f t="shared" si="1"/>
        <v>-1</v>
      </c>
    </row>
    <row r="21" spans="1:4" x14ac:dyDescent="0.35">
      <c r="A21" s="10">
        <v>34029</v>
      </c>
      <c r="B21" s="15">
        <f>VLOOKUP(A21,Database!A:Q,MATCH($A$1,Database!$A$1:$Q$1,),)</f>
        <v>4811</v>
      </c>
      <c r="C21" s="12" t="e">
        <f t="shared" si="0"/>
        <v>#DIV/0!</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t="e">
        <f t="shared" si="1"/>
        <v>#DIV/0!</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79"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378"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14611</v>
      </c>
      <c r="C366" s="12">
        <f t="shared" si="10"/>
        <v>1.9200438867174106E-3</v>
      </c>
      <c r="D366" s="13">
        <f t="shared" si="11"/>
        <v>0.23801050669378071</v>
      </c>
    </row>
    <row r="367" spans="1:4" x14ac:dyDescent="0.35">
      <c r="A367" s="11">
        <v>44562</v>
      </c>
      <c r="B367" s="15">
        <f>VLOOKUP(A367,Database!A:Q,MATCH($A$1,Database!$A$1:$Q$1,),)</f>
        <v>14740</v>
      </c>
      <c r="C367" s="12">
        <f t="shared" si="10"/>
        <v>8.8289644788173294E-3</v>
      </c>
      <c r="D367" s="13">
        <f t="shared" si="11"/>
        <v>0.2454583861427968</v>
      </c>
    </row>
    <row r="368" spans="1:4" x14ac:dyDescent="0.35">
      <c r="A368" s="11">
        <v>44593</v>
      </c>
      <c r="B368" s="15">
        <f>VLOOKUP(A368,Database!A:Q,MATCH($A$1,Database!$A$1:$Q$1,),)</f>
        <v>14986</v>
      </c>
      <c r="C368" s="12">
        <f t="shared" si="10"/>
        <v>1.6689280868385347E-2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15072</v>
      </c>
      <c r="C377" s="12">
        <f t="shared" si="10"/>
        <v>-4.8304603144534948E-2</v>
      </c>
      <c r="D377" s="13">
        <f t="shared" si="11"/>
        <v>3.3532195021600493E-2</v>
      </c>
    </row>
    <row r="378" spans="1:4" x14ac:dyDescent="0.35">
      <c r="A378" s="11">
        <v>44896</v>
      </c>
      <c r="B378" s="15">
        <f>VLOOKUP(A378,Database!A:Q,MATCH($A$1,Database!$A$1:$Q$1,),)</f>
        <v>15295</v>
      </c>
      <c r="C378" s="12">
        <f t="shared" si="10"/>
        <v>1.4795647558386412E-2</v>
      </c>
      <c r="D378" s="13">
        <f t="shared" si="11"/>
        <v>4.6814044213263982E-2</v>
      </c>
    </row>
    <row r="379" spans="1:4" x14ac:dyDescent="0.35">
      <c r="A379" s="11">
        <v>44927</v>
      </c>
      <c r="B379" s="15">
        <f>VLOOKUP(A379,Database!A:Q,MATCH($A$1,Database!$A$1:$Q$1,),)</f>
        <v>15722</v>
      </c>
      <c r="C379" s="12">
        <f t="shared" si="10"/>
        <v>2.7917620137299773E-2</v>
      </c>
      <c r="D379" s="13">
        <f t="shared" ref="D379" si="12">(B379-B367)/B367</f>
        <v>6.6621438263229305E-2</v>
      </c>
    </row>
  </sheetData>
  <conditionalFormatting sqref="D19:D379">
    <cfRule type="colorScale" priority="44">
      <colorScale>
        <cfvo type="min"/>
        <cfvo type="percentile" val="50"/>
        <cfvo type="max"/>
        <color rgb="FFF8696B"/>
        <color rgb="FFFFEB84"/>
        <color rgb="FF63BE7B"/>
      </colorScale>
    </cfRule>
  </conditionalFormatting>
  <conditionalFormatting sqref="C8:C379">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8"/>
  <sheetViews>
    <sheetView zoomScale="70" zoomScaleNormal="70" workbookViewId="0">
      <pane ySplit="6" topLeftCell="A354" activePane="bottomLeft" state="frozen"/>
      <selection activeCell="P14" sqref="P14"/>
      <selection pane="bottomLeft" activeCell="R387" sqref="R387"/>
    </sheetView>
  </sheetViews>
  <sheetFormatPr defaultColWidth="9.1796875" defaultRowHeight="14.5" x14ac:dyDescent="0.35"/>
  <cols>
    <col min="1" max="1" width="14" style="54" customWidth="1"/>
    <col min="2" max="2" width="20.6328125" style="54" customWidth="1"/>
    <col min="3" max="4" width="14.1796875" style="54" customWidth="1"/>
    <col min="5" max="27" width="9.1796875" style="109" customWidth="1"/>
    <col min="28" max="16384" width="9.1796875" style="109"/>
  </cols>
  <sheetData>
    <row r="1" spans="1:4" x14ac:dyDescent="0.35">
      <c r="A1" s="109" t="s">
        <v>52</v>
      </c>
      <c r="B1" s="29" t="s">
        <v>40</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81</v>
      </c>
      <c r="B6" s="80" t="s">
        <v>122</v>
      </c>
      <c r="C6" s="93" t="s">
        <v>11</v>
      </c>
      <c r="D6" s="94" t="s">
        <v>12</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25316</v>
      </c>
      <c r="C366" s="32">
        <f t="shared" si="10"/>
        <v>-3.1781848778062491E-2</v>
      </c>
      <c r="D366" s="33">
        <f t="shared" si="11"/>
        <v>0.26535712500624781</v>
      </c>
    </row>
    <row r="367" spans="1:4" x14ac:dyDescent="0.35">
      <c r="A367" s="11">
        <v>44562</v>
      </c>
      <c r="B367" s="15">
        <f>VLOOKUP(A367,Database!A:Q,MATCH($A$1,Database!$A$1:$Q$1,),)</f>
        <v>25158</v>
      </c>
      <c r="C367" s="12">
        <f t="shared" si="10"/>
        <v>-6.2411123400221208E-3</v>
      </c>
      <c r="D367" s="13">
        <f t="shared" si="11"/>
        <v>0.19271796330536198</v>
      </c>
    </row>
    <row r="368" spans="1:4" x14ac:dyDescent="0.35">
      <c r="A368" s="11">
        <v>44593</v>
      </c>
      <c r="B368" s="15">
        <f>VLOOKUP(A368,Database!A:Q,MATCH($A$1,Database!$A$1:$Q$1,),)</f>
        <v>25481</v>
      </c>
      <c r="C368" s="12">
        <f t="shared" si="10"/>
        <v>1.2838858414818348E-2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26248</v>
      </c>
      <c r="C377" s="32">
        <f t="shared" si="10"/>
        <v>-2.3565184340554922E-3</v>
      </c>
      <c r="D377" s="33">
        <f t="shared" si="11"/>
        <v>3.8627758442651163E-3</v>
      </c>
    </row>
    <row r="378" spans="1:4" x14ac:dyDescent="0.35">
      <c r="A378" s="11">
        <v>44896</v>
      </c>
      <c r="B378" s="15">
        <f>VLOOKUP(A378,Database!A:Q,MATCH($A$1,Database!$A$1:$Q$1,),)</f>
        <v>26082</v>
      </c>
      <c r="C378" s="12">
        <f t="shared" si="10"/>
        <v>-6.3242913745809202E-3</v>
      </c>
      <c r="D378" s="13">
        <f t="shared" si="11"/>
        <v>3.0257544635803445E-2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2023-02-18T03:26:13Z</dcterms:modified>
</cp:coreProperties>
</file>