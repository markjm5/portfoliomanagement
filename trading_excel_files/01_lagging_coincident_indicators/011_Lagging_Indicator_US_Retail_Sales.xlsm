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198C94D7-8F0F-445D-860F-FEA0296A3A49}" xr6:coauthVersionLast="47" xr6:coauthVersionMax="47" xr10:uidLastSave="{00000000-0000-0000-0000-000000000000}"/>
  <bookViews>
    <workbookView xWindow="-21360" yWindow="-19035" windowWidth="48840" windowHeight="18450" tabRatio="86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7" i="19" l="1"/>
  <c r="B376" i="19"/>
  <c r="B375" i="19"/>
  <c r="B374" i="19"/>
  <c r="B373" i="19"/>
  <c r="B372" i="19"/>
  <c r="B371" i="19"/>
  <c r="B370" i="19"/>
  <c r="C370" i="19" s="1"/>
  <c r="B369" i="19"/>
  <c r="B368" i="19"/>
  <c r="B367" i="19"/>
  <c r="B366" i="19"/>
  <c r="B365" i="19"/>
  <c r="B364" i="19"/>
  <c r="B363" i="19"/>
  <c r="D363" i="19" s="1"/>
  <c r="B362" i="19"/>
  <c r="C362" i="19" s="1"/>
  <c r="B361" i="19"/>
  <c r="B360" i="19"/>
  <c r="B359" i="19"/>
  <c r="B358" i="19"/>
  <c r="B357" i="19"/>
  <c r="B356" i="19"/>
  <c r="B355" i="19"/>
  <c r="D355" i="19" s="1"/>
  <c r="B354" i="19"/>
  <c r="C354" i="19" s="1"/>
  <c r="B353" i="19"/>
  <c r="B352" i="19"/>
  <c r="B351" i="19"/>
  <c r="B350" i="19"/>
  <c r="B349" i="19"/>
  <c r="B348" i="19"/>
  <c r="C347" i="19"/>
  <c r="B347" i="19"/>
  <c r="D347" i="19" s="1"/>
  <c r="B346" i="19"/>
  <c r="C346" i="19" s="1"/>
  <c r="B345" i="19"/>
  <c r="B344" i="19"/>
  <c r="B343" i="19"/>
  <c r="B342" i="19"/>
  <c r="B341" i="19"/>
  <c r="B340" i="19"/>
  <c r="B339" i="19"/>
  <c r="B338" i="19"/>
  <c r="C338" i="19" s="1"/>
  <c r="B337" i="19"/>
  <c r="B336" i="19"/>
  <c r="B335" i="19"/>
  <c r="B334" i="19"/>
  <c r="B333" i="19"/>
  <c r="B332" i="19"/>
  <c r="B331" i="19"/>
  <c r="D331" i="19" s="1"/>
  <c r="B330" i="19"/>
  <c r="C330" i="19" s="1"/>
  <c r="B329" i="19"/>
  <c r="B328" i="19"/>
  <c r="B327" i="19"/>
  <c r="B326" i="19"/>
  <c r="B325" i="19"/>
  <c r="B324" i="19"/>
  <c r="B323" i="19"/>
  <c r="D323" i="19" s="1"/>
  <c r="B322" i="19"/>
  <c r="C322" i="19" s="1"/>
  <c r="B321" i="19"/>
  <c r="B320" i="19"/>
  <c r="B319" i="19"/>
  <c r="B318" i="19"/>
  <c r="B317" i="19"/>
  <c r="B316" i="19"/>
  <c r="C315" i="19"/>
  <c r="B315" i="19"/>
  <c r="D315" i="19" s="1"/>
  <c r="B314" i="19"/>
  <c r="C314" i="19" s="1"/>
  <c r="B313" i="19"/>
  <c r="B312" i="19"/>
  <c r="B311" i="19"/>
  <c r="B310" i="19"/>
  <c r="B309" i="19"/>
  <c r="B308" i="19"/>
  <c r="B307" i="19"/>
  <c r="B306" i="19"/>
  <c r="C306" i="19" s="1"/>
  <c r="B305" i="19"/>
  <c r="B304" i="19"/>
  <c r="B303" i="19"/>
  <c r="B302" i="19"/>
  <c r="B301" i="19"/>
  <c r="B300" i="19"/>
  <c r="B299" i="19"/>
  <c r="D299" i="19" s="1"/>
  <c r="B298" i="19"/>
  <c r="C298" i="19" s="1"/>
  <c r="B297" i="19"/>
  <c r="B296" i="19"/>
  <c r="B295" i="19"/>
  <c r="B294" i="19"/>
  <c r="B293" i="19"/>
  <c r="B292" i="19"/>
  <c r="B291" i="19"/>
  <c r="D291" i="19" s="1"/>
  <c r="B290" i="19"/>
  <c r="C290" i="19" s="1"/>
  <c r="B289" i="19"/>
  <c r="B288" i="19"/>
  <c r="B287" i="19"/>
  <c r="B286" i="19"/>
  <c r="B285" i="19"/>
  <c r="B284" i="19"/>
  <c r="C283" i="19"/>
  <c r="B283" i="19"/>
  <c r="D283" i="19" s="1"/>
  <c r="B282" i="19"/>
  <c r="C282" i="19" s="1"/>
  <c r="B281" i="19"/>
  <c r="B280" i="19"/>
  <c r="B279" i="19"/>
  <c r="B278" i="19"/>
  <c r="B277" i="19"/>
  <c r="B276" i="19"/>
  <c r="B275" i="19"/>
  <c r="B274" i="19"/>
  <c r="C274" i="19" s="1"/>
  <c r="B273" i="19"/>
  <c r="B272" i="19"/>
  <c r="B271" i="19"/>
  <c r="B270" i="19"/>
  <c r="B269" i="19"/>
  <c r="B268" i="19"/>
  <c r="B267" i="19"/>
  <c r="D267" i="19" s="1"/>
  <c r="B266" i="19"/>
  <c r="C266" i="19" s="1"/>
  <c r="B265" i="19"/>
  <c r="B264" i="19"/>
  <c r="B263" i="19"/>
  <c r="B262" i="19"/>
  <c r="B261" i="19"/>
  <c r="B260" i="19"/>
  <c r="B259" i="19"/>
  <c r="D259" i="19" s="1"/>
  <c r="B258" i="19"/>
  <c r="C258" i="19" s="1"/>
  <c r="B257" i="19"/>
  <c r="B256" i="19"/>
  <c r="B255" i="19"/>
  <c r="B254" i="19"/>
  <c r="B253" i="19"/>
  <c r="B252" i="19"/>
  <c r="C251" i="19"/>
  <c r="B251" i="19"/>
  <c r="D251" i="19" s="1"/>
  <c r="B250" i="19"/>
  <c r="C250" i="19" s="1"/>
  <c r="B249" i="19"/>
  <c r="B248" i="19"/>
  <c r="B247" i="19"/>
  <c r="B246" i="19"/>
  <c r="B245" i="19"/>
  <c r="B244" i="19"/>
  <c r="B243" i="19"/>
  <c r="B242" i="19"/>
  <c r="C242" i="19" s="1"/>
  <c r="B241" i="19"/>
  <c r="B240" i="19"/>
  <c r="B239" i="19"/>
  <c r="B238" i="19"/>
  <c r="B237" i="19"/>
  <c r="B236" i="19"/>
  <c r="B235" i="19"/>
  <c r="D235" i="19" s="1"/>
  <c r="B234" i="19"/>
  <c r="C234" i="19" s="1"/>
  <c r="B233" i="19"/>
  <c r="B232" i="19"/>
  <c r="B231" i="19"/>
  <c r="B230" i="19"/>
  <c r="B229" i="19"/>
  <c r="B228" i="19"/>
  <c r="B227" i="19"/>
  <c r="D227" i="19" s="1"/>
  <c r="B226" i="19"/>
  <c r="C226" i="19" s="1"/>
  <c r="B225" i="19"/>
  <c r="B224" i="19"/>
  <c r="B223" i="19"/>
  <c r="B222" i="19"/>
  <c r="B221" i="19"/>
  <c r="B220" i="19"/>
  <c r="C219" i="19"/>
  <c r="B219" i="19"/>
  <c r="D219" i="19" s="1"/>
  <c r="B218" i="19"/>
  <c r="C218" i="19" s="1"/>
  <c r="B217" i="19"/>
  <c r="B216" i="19"/>
  <c r="B215" i="19"/>
  <c r="B214" i="19"/>
  <c r="B213" i="19"/>
  <c r="B212" i="19"/>
  <c r="B211" i="19"/>
  <c r="B210" i="19"/>
  <c r="C210" i="19" s="1"/>
  <c r="B209" i="19"/>
  <c r="B208" i="19"/>
  <c r="B207" i="19"/>
  <c r="B206" i="19"/>
  <c r="B205" i="19"/>
  <c r="B204" i="19"/>
  <c r="B203" i="19"/>
  <c r="D203" i="19" s="1"/>
  <c r="B202" i="19"/>
  <c r="B201" i="19"/>
  <c r="B200" i="19"/>
  <c r="B199" i="19"/>
  <c r="B198" i="19"/>
  <c r="B197" i="19"/>
  <c r="B196" i="19"/>
  <c r="B195" i="19"/>
  <c r="D195" i="19" s="1"/>
  <c r="C194" i="19"/>
  <c r="B194" i="19"/>
  <c r="B193" i="19"/>
  <c r="B192" i="19"/>
  <c r="B191" i="19"/>
  <c r="B190" i="19"/>
  <c r="B189" i="19"/>
  <c r="B188" i="19"/>
  <c r="B187" i="19"/>
  <c r="B186" i="19"/>
  <c r="B185" i="19"/>
  <c r="B184" i="19"/>
  <c r="B183" i="19"/>
  <c r="D182" i="19"/>
  <c r="C182" i="19"/>
  <c r="B182" i="19"/>
  <c r="B181" i="19"/>
  <c r="B180" i="19"/>
  <c r="B179" i="19"/>
  <c r="D179" i="19" s="1"/>
  <c r="C178" i="19"/>
  <c r="B178" i="19"/>
  <c r="B177" i="19"/>
  <c r="B176" i="19"/>
  <c r="B175" i="19"/>
  <c r="D174" i="19"/>
  <c r="B174" i="19"/>
  <c r="B173" i="19"/>
  <c r="B172" i="19"/>
  <c r="B171" i="19"/>
  <c r="B170" i="19"/>
  <c r="B169" i="19"/>
  <c r="B168" i="19"/>
  <c r="B167" i="19"/>
  <c r="B166" i="19"/>
  <c r="B165" i="19"/>
  <c r="B164" i="19"/>
  <c r="B163" i="19"/>
  <c r="D163" i="19" s="1"/>
  <c r="C162" i="19"/>
  <c r="B162" i="19"/>
  <c r="D162" i="19" s="1"/>
  <c r="B161" i="19"/>
  <c r="B160" i="19"/>
  <c r="B159" i="19"/>
  <c r="D158" i="19"/>
  <c r="B158" i="19"/>
  <c r="B157" i="19"/>
  <c r="B156" i="19"/>
  <c r="C155" i="19"/>
  <c r="B155" i="19"/>
  <c r="D155" i="19" s="1"/>
  <c r="B154" i="19"/>
  <c r="B153" i="19"/>
  <c r="B152" i="19"/>
  <c r="C151" i="19"/>
  <c r="B151" i="19"/>
  <c r="D150" i="19"/>
  <c r="B150" i="19"/>
  <c r="C150" i="19" s="1"/>
  <c r="B149" i="19"/>
  <c r="B148" i="19"/>
  <c r="B147" i="19"/>
  <c r="D147" i="19" s="1"/>
  <c r="B146" i="19"/>
  <c r="B145" i="19"/>
  <c r="B144" i="19"/>
  <c r="B143" i="19"/>
  <c r="C142" i="19"/>
  <c r="B142" i="19"/>
  <c r="B141" i="19"/>
  <c r="B140" i="19"/>
  <c r="B139" i="19"/>
  <c r="D138" i="19"/>
  <c r="B138" i="19"/>
  <c r="B137" i="19"/>
  <c r="B136" i="19"/>
  <c r="B135" i="19"/>
  <c r="D134" i="19"/>
  <c r="C134" i="19"/>
  <c r="B134" i="19"/>
  <c r="B133" i="19"/>
  <c r="B132" i="19"/>
  <c r="D131" i="19"/>
  <c r="C131" i="19"/>
  <c r="B131" i="19"/>
  <c r="B130" i="19"/>
  <c r="C130" i="19" s="1"/>
  <c r="B129" i="19"/>
  <c r="B128" i="19"/>
  <c r="D127" i="19"/>
  <c r="C127" i="19"/>
  <c r="B127" i="19"/>
  <c r="D126" i="19"/>
  <c r="C126" i="19"/>
  <c r="B126" i="19"/>
  <c r="B125" i="19"/>
  <c r="B124" i="19"/>
  <c r="B123" i="19"/>
  <c r="D122" i="19"/>
  <c r="B122" i="19"/>
  <c r="B121" i="19"/>
  <c r="B120" i="19"/>
  <c r="C119" i="19"/>
  <c r="B119" i="19"/>
  <c r="D119" i="19" s="1"/>
  <c r="B118" i="19"/>
  <c r="D118" i="19" s="1"/>
  <c r="D117" i="19"/>
  <c r="B117" i="19"/>
  <c r="B116" i="19"/>
  <c r="C115" i="19"/>
  <c r="B115" i="19"/>
  <c r="D114" i="19"/>
  <c r="B114" i="19"/>
  <c r="C114" i="19" s="1"/>
  <c r="B113" i="19"/>
  <c r="C113" i="19" s="1"/>
  <c r="B112" i="19"/>
  <c r="B111" i="19"/>
  <c r="B110" i="19"/>
  <c r="B109" i="19"/>
  <c r="B108" i="19"/>
  <c r="D107" i="19"/>
  <c r="C107" i="19"/>
  <c r="B107" i="19"/>
  <c r="C106" i="19"/>
  <c r="B106" i="19"/>
  <c r="D106" i="19" s="1"/>
  <c r="B105" i="19"/>
  <c r="D105" i="19" s="1"/>
  <c r="B104" i="19"/>
  <c r="C103" i="19"/>
  <c r="B103" i="19"/>
  <c r="D102" i="19"/>
  <c r="B102" i="19"/>
  <c r="C102" i="19" s="1"/>
  <c r="D101" i="19"/>
  <c r="B101" i="19"/>
  <c r="B100" i="19"/>
  <c r="B99" i="19"/>
  <c r="D99" i="19" s="1"/>
  <c r="B98" i="19"/>
  <c r="B97" i="19"/>
  <c r="B96" i="19"/>
  <c r="C95" i="19"/>
  <c r="B95" i="19"/>
  <c r="D95" i="19" s="1"/>
  <c r="D94" i="19"/>
  <c r="C94" i="19"/>
  <c r="B94" i="19"/>
  <c r="D93" i="19"/>
  <c r="B93" i="19"/>
  <c r="B92" i="19"/>
  <c r="D91" i="19"/>
  <c r="C91" i="19"/>
  <c r="B91" i="19"/>
  <c r="B90" i="19"/>
  <c r="D89" i="19"/>
  <c r="B89" i="19"/>
  <c r="B88" i="19"/>
  <c r="B87" i="19"/>
  <c r="B86" i="19"/>
  <c r="C85" i="19"/>
  <c r="B85" i="19"/>
  <c r="D85" i="19" s="1"/>
  <c r="B84" i="19"/>
  <c r="D83" i="19"/>
  <c r="C83" i="19"/>
  <c r="B83" i="19"/>
  <c r="C82" i="19"/>
  <c r="B82" i="19"/>
  <c r="D82" i="19" s="1"/>
  <c r="B81" i="19"/>
  <c r="D81" i="19" s="1"/>
  <c r="B80" i="19"/>
  <c r="D79" i="19"/>
  <c r="C79" i="19"/>
  <c r="B79" i="19"/>
  <c r="B78" i="19"/>
  <c r="C78" i="19" s="1"/>
  <c r="D77" i="19"/>
  <c r="B77" i="19"/>
  <c r="B76" i="19"/>
  <c r="B75" i="19"/>
  <c r="D74" i="19"/>
  <c r="C74" i="19"/>
  <c r="B74" i="19"/>
  <c r="B73" i="19"/>
  <c r="B72" i="19"/>
  <c r="C73" i="19" s="1"/>
  <c r="C71" i="19"/>
  <c r="B71" i="19"/>
  <c r="D71" i="19" s="1"/>
  <c r="C70" i="19"/>
  <c r="B70" i="19"/>
  <c r="D69" i="19"/>
  <c r="C69" i="19"/>
  <c r="B69" i="19"/>
  <c r="B68" i="19"/>
  <c r="D67" i="19"/>
  <c r="B67" i="19"/>
  <c r="B66" i="19"/>
  <c r="C66" i="19" s="1"/>
  <c r="D65" i="19"/>
  <c r="B65" i="19"/>
  <c r="B64" i="19"/>
  <c r="B63" i="19"/>
  <c r="D63" i="19" s="1"/>
  <c r="D62" i="19"/>
  <c r="B62" i="19"/>
  <c r="B61" i="19"/>
  <c r="D61" i="19" s="1"/>
  <c r="B60" i="19"/>
  <c r="D59" i="19"/>
  <c r="B59" i="19"/>
  <c r="B58" i="19"/>
  <c r="C57" i="19"/>
  <c r="B57" i="19"/>
  <c r="D57" i="19" s="1"/>
  <c r="B56" i="19"/>
  <c r="C55" i="19"/>
  <c r="B55" i="19"/>
  <c r="D55" i="19" s="1"/>
  <c r="B54" i="19"/>
  <c r="C54" i="19" s="1"/>
  <c r="B53" i="19"/>
  <c r="B52" i="19"/>
  <c r="C51" i="19"/>
  <c r="B51" i="19"/>
  <c r="D51" i="19" s="1"/>
  <c r="B50" i="19"/>
  <c r="C50" i="19" s="1"/>
  <c r="B49" i="19"/>
  <c r="B48" i="19"/>
  <c r="B47" i="19"/>
  <c r="C46" i="19"/>
  <c r="B46" i="19"/>
  <c r="C47" i="19" s="1"/>
  <c r="D45" i="19"/>
  <c r="B45" i="19"/>
  <c r="B44" i="19"/>
  <c r="C45" i="19" s="1"/>
  <c r="D43" i="19"/>
  <c r="C43" i="19"/>
  <c r="B43" i="19"/>
  <c r="B42" i="19"/>
  <c r="B41" i="19"/>
  <c r="D53" i="19" s="1"/>
  <c r="B40" i="19"/>
  <c r="C39" i="19"/>
  <c r="B39" i="19"/>
  <c r="D38" i="19"/>
  <c r="B38" i="19"/>
  <c r="B37" i="19"/>
  <c r="B36" i="19"/>
  <c r="B35" i="19"/>
  <c r="D35" i="19" s="1"/>
  <c r="D34" i="19"/>
  <c r="B34" i="19"/>
  <c r="B33" i="19"/>
  <c r="D33" i="19" s="1"/>
  <c r="B32" i="19"/>
  <c r="B31" i="19"/>
  <c r="B30" i="19"/>
  <c r="C29" i="19"/>
  <c r="B29" i="19"/>
  <c r="D29" i="19" s="1"/>
  <c r="B28" i="19"/>
  <c r="C28" i="19" s="1"/>
  <c r="C27" i="19"/>
  <c r="B27" i="19"/>
  <c r="D27" i="19" s="1"/>
  <c r="D26" i="19"/>
  <c r="B26" i="19"/>
  <c r="B25" i="19"/>
  <c r="D24" i="19"/>
  <c r="C24" i="19"/>
  <c r="B24" i="19"/>
  <c r="C23" i="19"/>
  <c r="B23" i="19"/>
  <c r="D23" i="19" s="1"/>
  <c r="D22" i="19"/>
  <c r="B22" i="19"/>
  <c r="B21" i="19"/>
  <c r="D21" i="19" s="1"/>
  <c r="B20" i="19"/>
  <c r="B19" i="19"/>
  <c r="C18" i="19"/>
  <c r="B18" i="19"/>
  <c r="B17" i="19"/>
  <c r="C16" i="19"/>
  <c r="B16" i="19"/>
  <c r="C17" i="19" s="1"/>
  <c r="C15" i="19"/>
  <c r="B15" i="19"/>
  <c r="B14" i="19"/>
  <c r="B13" i="19"/>
  <c r="C14" i="19" s="1"/>
  <c r="C12" i="19"/>
  <c r="B12" i="19"/>
  <c r="B11" i="19"/>
  <c r="C10" i="19"/>
  <c r="B10" i="19"/>
  <c r="C11" i="19" s="1"/>
  <c r="C9" i="19"/>
  <c r="B9" i="19"/>
  <c r="B8" i="19"/>
  <c r="B7" i="19"/>
  <c r="C8" i="19" s="1"/>
  <c r="D377" i="18"/>
  <c r="C377" i="18"/>
  <c r="B377" i="18"/>
  <c r="B376" i="18"/>
  <c r="C376" i="18" s="1"/>
  <c r="B375" i="18"/>
  <c r="D375" i="18" s="1"/>
  <c r="B374" i="18"/>
  <c r="C374" i="18" s="1"/>
  <c r="D373" i="18"/>
  <c r="C373" i="18"/>
  <c r="B373" i="18"/>
  <c r="D372" i="18"/>
  <c r="B372" i="18"/>
  <c r="C372" i="18" s="1"/>
  <c r="C371" i="18"/>
  <c r="B371" i="18"/>
  <c r="B370" i="18"/>
  <c r="C370" i="18" s="1"/>
  <c r="D369" i="18"/>
  <c r="B369" i="18"/>
  <c r="B368" i="18"/>
  <c r="D367" i="18"/>
  <c r="C367" i="18"/>
  <c r="B367" i="18"/>
  <c r="B366" i="18"/>
  <c r="C366" i="18" s="1"/>
  <c r="D365" i="18"/>
  <c r="B365" i="18"/>
  <c r="B364" i="18"/>
  <c r="D363" i="18"/>
  <c r="C363" i="18"/>
  <c r="B363" i="18"/>
  <c r="D362" i="18"/>
  <c r="B362" i="18"/>
  <c r="C362" i="18" s="1"/>
  <c r="D361" i="18"/>
  <c r="C361" i="18"/>
  <c r="B361" i="18"/>
  <c r="D360" i="18"/>
  <c r="B360" i="18"/>
  <c r="C359" i="18"/>
  <c r="B359" i="18"/>
  <c r="D359" i="18" s="1"/>
  <c r="D358" i="18"/>
  <c r="B358" i="18"/>
  <c r="C358" i="18" s="1"/>
  <c r="D357" i="18"/>
  <c r="B357" i="18"/>
  <c r="B356" i="18"/>
  <c r="C356" i="18" s="1"/>
  <c r="D355" i="18"/>
  <c r="B355" i="18"/>
  <c r="B354" i="18"/>
  <c r="D353" i="18"/>
  <c r="C353" i="18"/>
  <c r="B353" i="18"/>
  <c r="B352" i="18"/>
  <c r="C352" i="18" s="1"/>
  <c r="B351" i="18"/>
  <c r="D351" i="18" s="1"/>
  <c r="B350" i="18"/>
  <c r="C350" i="18" s="1"/>
  <c r="D349" i="18"/>
  <c r="C349" i="18"/>
  <c r="B349" i="18"/>
  <c r="D348" i="18"/>
  <c r="B348" i="18"/>
  <c r="C348" i="18" s="1"/>
  <c r="C347" i="18"/>
  <c r="B347" i="18"/>
  <c r="D347" i="18" s="1"/>
  <c r="B346" i="18"/>
  <c r="C346" i="18" s="1"/>
  <c r="B345" i="18"/>
  <c r="B344" i="18"/>
  <c r="D343" i="18"/>
  <c r="C343" i="18"/>
  <c r="B343" i="18"/>
  <c r="B342" i="18"/>
  <c r="C342" i="18" s="1"/>
  <c r="B341" i="18"/>
  <c r="B340" i="18"/>
  <c r="D339" i="18"/>
  <c r="C339" i="18"/>
  <c r="B339" i="18"/>
  <c r="D338" i="18"/>
  <c r="B338" i="18"/>
  <c r="C338" i="18" s="1"/>
  <c r="C337" i="18"/>
  <c r="B337" i="18"/>
  <c r="B336" i="18"/>
  <c r="C335" i="18"/>
  <c r="B335" i="18"/>
  <c r="D335" i="18" s="1"/>
  <c r="D334" i="18"/>
  <c r="B334" i="18"/>
  <c r="C334" i="18" s="1"/>
  <c r="B333" i="18"/>
  <c r="C333" i="18" s="1"/>
  <c r="B332" i="18"/>
  <c r="C332" i="18" s="1"/>
  <c r="D331" i="18"/>
  <c r="B331" i="18"/>
  <c r="B330" i="18"/>
  <c r="D329" i="18"/>
  <c r="C329" i="18"/>
  <c r="B329" i="18"/>
  <c r="D341" i="18" s="1"/>
  <c r="B328" i="18"/>
  <c r="C328" i="18" s="1"/>
  <c r="B327" i="18"/>
  <c r="D327" i="18" s="1"/>
  <c r="B326" i="18"/>
  <c r="D325" i="18"/>
  <c r="B325" i="18"/>
  <c r="D337" i="18" s="1"/>
  <c r="D324" i="18"/>
  <c r="B324" i="18"/>
  <c r="C324" i="18" s="1"/>
  <c r="C323" i="18"/>
  <c r="B323" i="18"/>
  <c r="B322" i="18"/>
  <c r="B321" i="18"/>
  <c r="B320" i="18"/>
  <c r="D319" i="18"/>
  <c r="C319" i="18"/>
  <c r="B319" i="18"/>
  <c r="B318" i="18"/>
  <c r="C318" i="18" s="1"/>
  <c r="B317" i="18"/>
  <c r="B316" i="18"/>
  <c r="D315" i="18"/>
  <c r="C315" i="18"/>
  <c r="B315" i="18"/>
  <c r="D314" i="18"/>
  <c r="B314" i="18"/>
  <c r="C314" i="18" s="1"/>
  <c r="C313" i="18"/>
  <c r="B313" i="18"/>
  <c r="B312" i="18"/>
  <c r="B311" i="18"/>
  <c r="D311" i="18" s="1"/>
  <c r="D310" i="18"/>
  <c r="B310" i="18"/>
  <c r="C310" i="18" s="1"/>
  <c r="B309" i="18"/>
  <c r="C309" i="18" s="1"/>
  <c r="B308" i="18"/>
  <c r="C308" i="18" s="1"/>
  <c r="D307" i="18"/>
  <c r="B307" i="18"/>
  <c r="B306" i="18"/>
  <c r="D305" i="18"/>
  <c r="C305" i="18"/>
  <c r="B305" i="18"/>
  <c r="D317" i="18" s="1"/>
  <c r="B304" i="18"/>
  <c r="C304" i="18" s="1"/>
  <c r="B303" i="18"/>
  <c r="B302" i="18"/>
  <c r="D301" i="18"/>
  <c r="B301" i="18"/>
  <c r="D313" i="18" s="1"/>
  <c r="D300" i="18"/>
  <c r="B300" i="18"/>
  <c r="C300" i="18" s="1"/>
  <c r="C299" i="18"/>
  <c r="B299" i="18"/>
  <c r="D299" i="18" s="1"/>
  <c r="B298" i="18"/>
  <c r="B297" i="18"/>
  <c r="D296" i="18"/>
  <c r="B296" i="18"/>
  <c r="D295" i="18"/>
  <c r="C295" i="18"/>
  <c r="B295" i="18"/>
  <c r="B294" i="18"/>
  <c r="C294" i="18" s="1"/>
  <c r="B293" i="18"/>
  <c r="B292" i="18"/>
  <c r="D291" i="18"/>
  <c r="C291" i="18"/>
  <c r="B291" i="18"/>
  <c r="D290" i="18"/>
  <c r="B290" i="18"/>
  <c r="C290" i="18" s="1"/>
  <c r="C289" i="18"/>
  <c r="B289" i="18"/>
  <c r="B288" i="18"/>
  <c r="B287" i="18"/>
  <c r="D287" i="18" s="1"/>
  <c r="B286" i="18"/>
  <c r="B285" i="18"/>
  <c r="B284" i="18"/>
  <c r="C284" i="18" s="1"/>
  <c r="D283" i="18"/>
  <c r="B283" i="18"/>
  <c r="B282" i="18"/>
  <c r="D294" i="18" s="1"/>
  <c r="D281" i="18"/>
  <c r="B281" i="18"/>
  <c r="D293" i="18" s="1"/>
  <c r="B280" i="18"/>
  <c r="B279" i="18"/>
  <c r="B278" i="18"/>
  <c r="D277" i="18"/>
  <c r="B277" i="18"/>
  <c r="D289" i="18" s="1"/>
  <c r="D276" i="18"/>
  <c r="B276" i="18"/>
  <c r="C276" i="18" s="1"/>
  <c r="C275" i="18"/>
  <c r="B275" i="18"/>
  <c r="B274" i="18"/>
  <c r="B273" i="18"/>
  <c r="B272" i="18"/>
  <c r="D271" i="18"/>
  <c r="C271" i="18"/>
  <c r="B271" i="18"/>
  <c r="B270" i="18"/>
  <c r="C270" i="18" s="1"/>
  <c r="B269" i="18"/>
  <c r="B268" i="18"/>
  <c r="B267" i="18"/>
  <c r="D267" i="18" s="1"/>
  <c r="D266" i="18"/>
  <c r="B266" i="18"/>
  <c r="C265" i="18"/>
  <c r="B265" i="18"/>
  <c r="B264" i="18"/>
  <c r="C263" i="18"/>
  <c r="B263" i="18"/>
  <c r="D263" i="18" s="1"/>
  <c r="B262" i="18"/>
  <c r="B261" i="18"/>
  <c r="B260" i="18"/>
  <c r="C260" i="18" s="1"/>
  <c r="D259" i="18"/>
  <c r="B259" i="18"/>
  <c r="B258" i="18"/>
  <c r="D257" i="18"/>
  <c r="B257" i="18"/>
  <c r="D269" i="18" s="1"/>
  <c r="B256" i="18"/>
  <c r="B255" i="18"/>
  <c r="B254" i="18"/>
  <c r="B253" i="18"/>
  <c r="D252" i="18"/>
  <c r="B252" i="18"/>
  <c r="C252" i="18" s="1"/>
  <c r="C251" i="18"/>
  <c r="B251" i="18"/>
  <c r="B250" i="18"/>
  <c r="B249" i="18"/>
  <c r="D248" i="18"/>
  <c r="B248" i="18"/>
  <c r="D247" i="18"/>
  <c r="C247" i="18"/>
  <c r="B247" i="18"/>
  <c r="D246" i="18"/>
  <c r="B246" i="18"/>
  <c r="C246" i="18" s="1"/>
  <c r="C245" i="18"/>
  <c r="B245" i="18"/>
  <c r="B244" i="18"/>
  <c r="C243" i="18"/>
  <c r="B243" i="18"/>
  <c r="D243" i="18" s="1"/>
  <c r="D242" i="18"/>
  <c r="B242" i="18"/>
  <c r="C241" i="18"/>
  <c r="B241" i="18"/>
  <c r="B240" i="18"/>
  <c r="C239" i="18"/>
  <c r="B239" i="18"/>
  <c r="B238" i="18"/>
  <c r="C238" i="18" s="1"/>
  <c r="B237" i="18"/>
  <c r="C237" i="18" s="1"/>
  <c r="B236" i="18"/>
  <c r="C236" i="18" s="1"/>
  <c r="D235" i="18"/>
  <c r="B235" i="18"/>
  <c r="B234" i="18"/>
  <c r="D233" i="18"/>
  <c r="C233" i="18"/>
  <c r="B233" i="18"/>
  <c r="D245" i="18" s="1"/>
  <c r="B232" i="18"/>
  <c r="B231" i="18"/>
  <c r="B230" i="18"/>
  <c r="B229" i="18"/>
  <c r="D229" i="18" s="1"/>
  <c r="B228" i="18"/>
  <c r="C227" i="18"/>
  <c r="B227" i="18"/>
  <c r="D227" i="18" s="1"/>
  <c r="B226" i="18"/>
  <c r="B225" i="18"/>
  <c r="B224" i="18"/>
  <c r="C223" i="18"/>
  <c r="B223" i="18"/>
  <c r="D222" i="18"/>
  <c r="B222" i="18"/>
  <c r="C222" i="18" s="1"/>
  <c r="D221" i="18"/>
  <c r="C221" i="18"/>
  <c r="B221" i="18"/>
  <c r="C220" i="18"/>
  <c r="B220" i="18"/>
  <c r="D220" i="18" s="1"/>
  <c r="C219" i="18"/>
  <c r="B219" i="18"/>
  <c r="C218" i="18"/>
  <c r="B218" i="18"/>
  <c r="D217" i="18"/>
  <c r="B217" i="18"/>
  <c r="C216" i="18"/>
  <c r="B216" i="18"/>
  <c r="D216" i="18" s="1"/>
  <c r="D215" i="18"/>
  <c r="C215" i="18"/>
  <c r="B215" i="18"/>
  <c r="C214" i="18"/>
  <c r="B214" i="18"/>
  <c r="D213" i="18"/>
  <c r="B213" i="18"/>
  <c r="B212" i="18"/>
  <c r="D211" i="18"/>
  <c r="B211" i="18"/>
  <c r="D223" i="18" s="1"/>
  <c r="C210" i="18"/>
  <c r="B210" i="18"/>
  <c r="D209" i="18"/>
  <c r="C209" i="18"/>
  <c r="B209" i="18"/>
  <c r="B208" i="18"/>
  <c r="B207" i="18"/>
  <c r="D207" i="18" s="1"/>
  <c r="B206" i="18"/>
  <c r="D206" i="18" s="1"/>
  <c r="D205" i="18"/>
  <c r="B205" i="18"/>
  <c r="C204" i="18"/>
  <c r="B204" i="18"/>
  <c r="B203" i="18"/>
  <c r="D203" i="18" s="1"/>
  <c r="B202" i="18"/>
  <c r="D201" i="18"/>
  <c r="C201" i="18"/>
  <c r="B201" i="18"/>
  <c r="B200" i="18"/>
  <c r="D200" i="18" s="1"/>
  <c r="B199" i="18"/>
  <c r="C198" i="18"/>
  <c r="B198" i="18"/>
  <c r="C197" i="18"/>
  <c r="B197" i="18"/>
  <c r="B196" i="18"/>
  <c r="D196" i="18" s="1"/>
  <c r="B195" i="18"/>
  <c r="D195" i="18" s="1"/>
  <c r="C194" i="18"/>
  <c r="B194" i="18"/>
  <c r="B193" i="18"/>
  <c r="B192" i="18"/>
  <c r="D191" i="18"/>
  <c r="B191" i="18"/>
  <c r="C191" i="18" s="1"/>
  <c r="C190" i="18"/>
  <c r="B190" i="18"/>
  <c r="C189" i="18"/>
  <c r="B189" i="18"/>
  <c r="B188" i="18"/>
  <c r="B187" i="18"/>
  <c r="C186" i="18"/>
  <c r="B186" i="18"/>
  <c r="D186" i="18" s="1"/>
  <c r="C185" i="18"/>
  <c r="B185" i="18"/>
  <c r="D197" i="18" s="1"/>
  <c r="B184" i="18"/>
  <c r="D184" i="18" s="1"/>
  <c r="C183" i="18"/>
  <c r="B183" i="18"/>
  <c r="B182" i="18"/>
  <c r="C181" i="18"/>
  <c r="B181" i="18"/>
  <c r="D193" i="18" s="1"/>
  <c r="B180" i="18"/>
  <c r="D180" i="18" s="1"/>
  <c r="B179" i="18"/>
  <c r="D179" i="18" s="1"/>
  <c r="B178" i="18"/>
  <c r="B177" i="18"/>
  <c r="B176" i="18"/>
  <c r="D175" i="18"/>
  <c r="B175" i="18"/>
  <c r="C175" i="18" s="1"/>
  <c r="B174" i="18"/>
  <c r="C173" i="18"/>
  <c r="B173" i="18"/>
  <c r="B172" i="18"/>
  <c r="B171" i="18"/>
  <c r="C170" i="18"/>
  <c r="B170" i="18"/>
  <c r="D170" i="18" s="1"/>
  <c r="B169" i="18"/>
  <c r="C168" i="18"/>
  <c r="B168" i="18"/>
  <c r="B167" i="18"/>
  <c r="B166" i="18"/>
  <c r="B165" i="18"/>
  <c r="C165" i="18" s="1"/>
  <c r="B164" i="18"/>
  <c r="D163" i="18"/>
  <c r="B163" i="18"/>
  <c r="C164" i="18" s="1"/>
  <c r="B162" i="18"/>
  <c r="D162" i="18" s="1"/>
  <c r="D161" i="18"/>
  <c r="C161" i="18"/>
  <c r="B161" i="18"/>
  <c r="C162" i="18" s="1"/>
  <c r="C160" i="18"/>
  <c r="B160" i="18"/>
  <c r="C159" i="18"/>
  <c r="B159" i="18"/>
  <c r="D159" i="18" s="1"/>
  <c r="B158" i="18"/>
  <c r="C157" i="18"/>
  <c r="B157" i="18"/>
  <c r="B156" i="18"/>
  <c r="B155" i="18"/>
  <c r="D155" i="18" s="1"/>
  <c r="B154" i="18"/>
  <c r="B153" i="18"/>
  <c r="C152" i="18"/>
  <c r="B152" i="18"/>
  <c r="D152" i="18" s="1"/>
  <c r="D151" i="18"/>
  <c r="B151" i="18"/>
  <c r="D150" i="18"/>
  <c r="B150" i="18"/>
  <c r="C151" i="18" s="1"/>
  <c r="B149" i="18"/>
  <c r="D149" i="18" s="1"/>
  <c r="B148" i="18"/>
  <c r="C147" i="18"/>
  <c r="B147" i="18"/>
  <c r="C146" i="18"/>
  <c r="B146" i="18"/>
  <c r="D146" i="18" s="1"/>
  <c r="B145" i="18"/>
  <c r="C145" i="18" s="1"/>
  <c r="B144" i="18"/>
  <c r="D143" i="18"/>
  <c r="B143" i="18"/>
  <c r="C143" i="18" s="1"/>
  <c r="B142" i="18"/>
  <c r="D142" i="18" s="1"/>
  <c r="C141" i="18"/>
  <c r="B141" i="18"/>
  <c r="B140" i="18"/>
  <c r="D139" i="18"/>
  <c r="C139" i="18"/>
  <c r="B139" i="18"/>
  <c r="C140" i="18" s="1"/>
  <c r="D138" i="18"/>
  <c r="B138" i="18"/>
  <c r="D137" i="18"/>
  <c r="B137" i="18"/>
  <c r="C138" i="18" s="1"/>
  <c r="B136" i="18"/>
  <c r="B135" i="18"/>
  <c r="C134" i="18"/>
  <c r="B134" i="18"/>
  <c r="C133" i="18"/>
  <c r="B133" i="18"/>
  <c r="D133" i="18" s="1"/>
  <c r="B132" i="18"/>
  <c r="B131" i="18"/>
  <c r="B130" i="18"/>
  <c r="C130" i="18" s="1"/>
  <c r="B129" i="18"/>
  <c r="D129" i="18" s="1"/>
  <c r="B128" i="18"/>
  <c r="D128" i="18" s="1"/>
  <c r="B127" i="18"/>
  <c r="D126" i="18"/>
  <c r="C126" i="18"/>
  <c r="B126" i="18"/>
  <c r="C127" i="18" s="1"/>
  <c r="D125" i="18"/>
  <c r="B125" i="18"/>
  <c r="C124" i="18"/>
  <c r="B124" i="18"/>
  <c r="D124" i="18" s="1"/>
  <c r="B123" i="18"/>
  <c r="B122" i="18"/>
  <c r="C121" i="18"/>
  <c r="B121" i="18"/>
  <c r="B120" i="18"/>
  <c r="B119" i="18"/>
  <c r="B118" i="18"/>
  <c r="D117" i="18"/>
  <c r="B117" i="18"/>
  <c r="C117" i="18" s="1"/>
  <c r="B116" i="18"/>
  <c r="D115" i="18"/>
  <c r="B115" i="18"/>
  <c r="C116" i="18" s="1"/>
  <c r="B114" i="18"/>
  <c r="D113" i="18"/>
  <c r="C113" i="18"/>
  <c r="B113" i="18"/>
  <c r="C114" i="18" s="1"/>
  <c r="C112" i="18"/>
  <c r="B112" i="18"/>
  <c r="C111" i="18"/>
  <c r="B111" i="18"/>
  <c r="D111" i="18" s="1"/>
  <c r="B110" i="18"/>
  <c r="C110" i="18" s="1"/>
  <c r="C109" i="18"/>
  <c r="B109" i="18"/>
  <c r="B108" i="18"/>
  <c r="B107" i="18"/>
  <c r="D107" i="18" s="1"/>
  <c r="B106" i="18"/>
  <c r="B105" i="18"/>
  <c r="C104" i="18"/>
  <c r="B104" i="18"/>
  <c r="B103" i="18"/>
  <c r="B102" i="18"/>
  <c r="C103" i="18" s="1"/>
  <c r="B101" i="18"/>
  <c r="B100" i="18"/>
  <c r="C99" i="18"/>
  <c r="B99" i="18"/>
  <c r="C98" i="18"/>
  <c r="B98" i="18"/>
  <c r="D98" i="18" s="1"/>
  <c r="D97" i="18"/>
  <c r="B97" i="18"/>
  <c r="B96" i="18"/>
  <c r="B95" i="18"/>
  <c r="C95" i="18" s="1"/>
  <c r="B94" i="18"/>
  <c r="D94" i="18" s="1"/>
  <c r="D93" i="18"/>
  <c r="B93" i="18"/>
  <c r="B92" i="18"/>
  <c r="B91" i="18"/>
  <c r="C91" i="18" s="1"/>
  <c r="B90" i="18"/>
  <c r="D90" i="18" s="1"/>
  <c r="B89" i="18"/>
  <c r="D101" i="18" s="1"/>
  <c r="B88" i="18"/>
  <c r="B87" i="18"/>
  <c r="B86" i="18"/>
  <c r="D86" i="18" s="1"/>
  <c r="B85" i="18"/>
  <c r="B84" i="18"/>
  <c r="D83" i="18"/>
  <c r="B83" i="18"/>
  <c r="C83" i="18" s="1"/>
  <c r="B82" i="18"/>
  <c r="D82" i="18" s="1"/>
  <c r="B81" i="18"/>
  <c r="B80" i="18"/>
  <c r="B79" i="18"/>
  <c r="C79" i="18" s="1"/>
  <c r="B78" i="18"/>
  <c r="B77" i="18"/>
  <c r="D89" i="18" s="1"/>
  <c r="B76" i="18"/>
  <c r="D75" i="18"/>
  <c r="B75" i="18"/>
  <c r="C75" i="18" s="1"/>
  <c r="B74" i="18"/>
  <c r="D74" i="18" s="1"/>
  <c r="B73" i="18"/>
  <c r="D85" i="18" s="1"/>
  <c r="B72" i="18"/>
  <c r="B71" i="18"/>
  <c r="C71" i="18" s="1"/>
  <c r="B70" i="18"/>
  <c r="B69" i="18"/>
  <c r="D81" i="18" s="1"/>
  <c r="B68" i="18"/>
  <c r="B67" i="18"/>
  <c r="B66" i="18"/>
  <c r="B65" i="18"/>
  <c r="D65" i="18" s="1"/>
  <c r="B64" i="18"/>
  <c r="B63" i="18"/>
  <c r="C63" i="18" s="1"/>
  <c r="B62" i="18"/>
  <c r="B61" i="18"/>
  <c r="D61" i="18" s="1"/>
  <c r="B60" i="18"/>
  <c r="B59" i="18"/>
  <c r="C59" i="18" s="1"/>
  <c r="B58" i="18"/>
  <c r="B57" i="18"/>
  <c r="D57" i="18" s="1"/>
  <c r="B56" i="18"/>
  <c r="B55" i="18"/>
  <c r="C55" i="18" s="1"/>
  <c r="B54" i="18"/>
  <c r="B53" i="18"/>
  <c r="D53" i="18" s="1"/>
  <c r="B52" i="18"/>
  <c r="D51" i="18"/>
  <c r="B51" i="18"/>
  <c r="C51" i="18" s="1"/>
  <c r="B50" i="18"/>
  <c r="B49" i="18"/>
  <c r="D49" i="18" s="1"/>
  <c r="B48" i="18"/>
  <c r="B47" i="18"/>
  <c r="B46" i="18"/>
  <c r="B45" i="18"/>
  <c r="D45" i="18" s="1"/>
  <c r="B44" i="18"/>
  <c r="B43" i="18"/>
  <c r="B42" i="18"/>
  <c r="B41" i="18"/>
  <c r="D41" i="18" s="1"/>
  <c r="B40" i="18"/>
  <c r="B39" i="18"/>
  <c r="B38" i="18"/>
  <c r="B37" i="18"/>
  <c r="D37" i="18" s="1"/>
  <c r="B36" i="18"/>
  <c r="D35" i="18"/>
  <c r="B35" i="18"/>
  <c r="C35" i="18" s="1"/>
  <c r="B34" i="18"/>
  <c r="B33" i="18"/>
  <c r="D33" i="18" s="1"/>
  <c r="B32" i="18"/>
  <c r="B31" i="18"/>
  <c r="B30" i="18"/>
  <c r="B29" i="18"/>
  <c r="D29" i="18" s="1"/>
  <c r="B28" i="18"/>
  <c r="D27" i="18"/>
  <c r="B27" i="18"/>
  <c r="B26" i="18"/>
  <c r="B25" i="18"/>
  <c r="D25" i="18" s="1"/>
  <c r="B24" i="18"/>
  <c r="B23" i="18"/>
  <c r="C23" i="18" s="1"/>
  <c r="B22" i="18"/>
  <c r="B21" i="18"/>
  <c r="D21" i="18" s="1"/>
  <c r="B20" i="18"/>
  <c r="B19" i="18"/>
  <c r="C19" i="18" s="1"/>
  <c r="B18" i="18"/>
  <c r="C18" i="18" s="1"/>
  <c r="C17" i="18"/>
  <c r="B17" i="18"/>
  <c r="B16" i="18"/>
  <c r="C16" i="18" s="1"/>
  <c r="B15" i="18"/>
  <c r="B14" i="18"/>
  <c r="C14" i="18" s="1"/>
  <c r="B13" i="18"/>
  <c r="C13" i="18" s="1"/>
  <c r="B12" i="18"/>
  <c r="C12" i="18" s="1"/>
  <c r="C11" i="18"/>
  <c r="B11" i="18"/>
  <c r="B10" i="18"/>
  <c r="C10" i="18" s="1"/>
  <c r="B9" i="18"/>
  <c r="C9" i="18" s="1"/>
  <c r="B8" i="18"/>
  <c r="C8" i="18" s="1"/>
  <c r="B7" i="18"/>
  <c r="B377" i="17"/>
  <c r="C377" i="17" s="1"/>
  <c r="D376" i="17"/>
  <c r="B376" i="17"/>
  <c r="C376" i="17" s="1"/>
  <c r="D375" i="17"/>
  <c r="B375" i="17"/>
  <c r="C375" i="17" s="1"/>
  <c r="C374" i="17"/>
  <c r="B374" i="17"/>
  <c r="D373" i="17"/>
  <c r="B373" i="17"/>
  <c r="C373" i="17" s="1"/>
  <c r="B372" i="17"/>
  <c r="C372" i="17" s="1"/>
  <c r="B371" i="17"/>
  <c r="C371" i="17" s="1"/>
  <c r="B370" i="17"/>
  <c r="B369" i="17"/>
  <c r="C369" i="17" s="1"/>
  <c r="D368" i="17"/>
  <c r="B368" i="17"/>
  <c r="C368" i="17" s="1"/>
  <c r="B367" i="17"/>
  <c r="B366" i="17"/>
  <c r="D366" i="17" s="1"/>
  <c r="B365" i="17"/>
  <c r="B364" i="17"/>
  <c r="C364" i="17" s="1"/>
  <c r="D363" i="17"/>
  <c r="B363" i="17"/>
  <c r="C363" i="17" s="1"/>
  <c r="C362" i="17"/>
  <c r="B362" i="17"/>
  <c r="D374" i="17" s="1"/>
  <c r="B361" i="17"/>
  <c r="D360" i="17"/>
  <c r="B360" i="17"/>
  <c r="B359" i="17"/>
  <c r="B358" i="17"/>
  <c r="B357" i="17"/>
  <c r="C357" i="17" s="1"/>
  <c r="B356" i="17"/>
  <c r="B355" i="17"/>
  <c r="C355" i="17" s="1"/>
  <c r="B354" i="17"/>
  <c r="B353" i="17"/>
  <c r="C353" i="17" s="1"/>
  <c r="D352" i="17"/>
  <c r="B352" i="17"/>
  <c r="C352" i="17" s="1"/>
  <c r="B351" i="17"/>
  <c r="B350" i="17"/>
  <c r="D350" i="17" s="1"/>
  <c r="B349" i="17"/>
  <c r="B348" i="17"/>
  <c r="B347" i="17"/>
  <c r="C346" i="17"/>
  <c r="B346" i="17"/>
  <c r="D346" i="17" s="1"/>
  <c r="B345" i="17"/>
  <c r="D344" i="17"/>
  <c r="B344" i="17"/>
  <c r="B343" i="17"/>
  <c r="B342" i="17"/>
  <c r="B341" i="17"/>
  <c r="C341" i="17" s="1"/>
  <c r="D340" i="17"/>
  <c r="B340" i="17"/>
  <c r="B339" i="17"/>
  <c r="C339" i="17" s="1"/>
  <c r="B338" i="17"/>
  <c r="B337" i="17"/>
  <c r="C337" i="17" s="1"/>
  <c r="D336" i="17"/>
  <c r="B336" i="17"/>
  <c r="B335" i="17"/>
  <c r="B334" i="17"/>
  <c r="D334" i="17" s="1"/>
  <c r="B333" i="17"/>
  <c r="B332" i="17"/>
  <c r="B331" i="17"/>
  <c r="B330" i="17"/>
  <c r="D330" i="17" s="1"/>
  <c r="B329" i="17"/>
  <c r="D328" i="17"/>
  <c r="B328" i="17"/>
  <c r="B327" i="17"/>
  <c r="B326" i="17"/>
  <c r="B325" i="17"/>
  <c r="C325" i="17" s="1"/>
  <c r="D324" i="17"/>
  <c r="B324" i="17"/>
  <c r="B323" i="17"/>
  <c r="C323" i="17" s="1"/>
  <c r="B322" i="17"/>
  <c r="D322" i="17" s="1"/>
  <c r="B321" i="17"/>
  <c r="C321" i="17" s="1"/>
  <c r="D320" i="17"/>
  <c r="B320" i="17"/>
  <c r="B319" i="17"/>
  <c r="D319" i="17" s="1"/>
  <c r="B318" i="17"/>
  <c r="D318" i="17" s="1"/>
  <c r="B317" i="17"/>
  <c r="D316" i="17"/>
  <c r="B316" i="17"/>
  <c r="B315" i="17"/>
  <c r="B314" i="17"/>
  <c r="B313" i="17"/>
  <c r="D312" i="17"/>
  <c r="B312" i="17"/>
  <c r="B311" i="17"/>
  <c r="B310" i="17"/>
  <c r="B309" i="17"/>
  <c r="C309" i="17" s="1"/>
  <c r="D308" i="17"/>
  <c r="B308" i="17"/>
  <c r="B307" i="17"/>
  <c r="C307" i="17" s="1"/>
  <c r="B306" i="17"/>
  <c r="B305" i="17"/>
  <c r="C305" i="17" s="1"/>
  <c r="D304" i="17"/>
  <c r="B304" i="17"/>
  <c r="B303" i="17"/>
  <c r="B302" i="17"/>
  <c r="B301" i="17"/>
  <c r="D300" i="17"/>
  <c r="B300" i="17"/>
  <c r="B299" i="17"/>
  <c r="B298" i="17"/>
  <c r="B297" i="17"/>
  <c r="D296" i="17"/>
  <c r="B296" i="17"/>
  <c r="B295" i="17"/>
  <c r="B294" i="17"/>
  <c r="B293" i="17"/>
  <c r="C293" i="17" s="1"/>
  <c r="D292" i="17"/>
  <c r="B292" i="17"/>
  <c r="B291" i="17"/>
  <c r="B290" i="17"/>
  <c r="B289" i="17"/>
  <c r="C289" i="17" s="1"/>
  <c r="D288" i="17"/>
  <c r="B288" i="17"/>
  <c r="B287" i="17"/>
  <c r="B286" i="17"/>
  <c r="B285" i="17"/>
  <c r="D284" i="17"/>
  <c r="B284" i="17"/>
  <c r="B283" i="17"/>
  <c r="B282" i="17"/>
  <c r="B281" i="17"/>
  <c r="D280" i="17"/>
  <c r="B280" i="17"/>
  <c r="B279" i="17"/>
  <c r="B278" i="17"/>
  <c r="B277" i="17"/>
  <c r="C277" i="17" s="1"/>
  <c r="D276" i="17"/>
  <c r="B276" i="17"/>
  <c r="B275" i="17"/>
  <c r="B274" i="17"/>
  <c r="B273" i="17"/>
  <c r="C273" i="17" s="1"/>
  <c r="D272" i="17"/>
  <c r="B272" i="17"/>
  <c r="B271" i="17"/>
  <c r="B270" i="17"/>
  <c r="B269" i="17"/>
  <c r="D268" i="17"/>
  <c r="B268" i="17"/>
  <c r="B267" i="17"/>
  <c r="B266" i="17"/>
  <c r="B265" i="17"/>
  <c r="D264" i="17"/>
  <c r="B264" i="17"/>
  <c r="B263" i="17"/>
  <c r="B262" i="17"/>
  <c r="B261" i="17"/>
  <c r="C261" i="17" s="1"/>
  <c r="D260" i="17"/>
  <c r="B260" i="17"/>
  <c r="B259" i="17"/>
  <c r="B258" i="17"/>
  <c r="B257" i="17"/>
  <c r="C257" i="17" s="1"/>
  <c r="D256" i="17"/>
  <c r="B256" i="17"/>
  <c r="B255" i="17"/>
  <c r="B254" i="17"/>
  <c r="B253" i="17"/>
  <c r="C253" i="17" s="1"/>
  <c r="D252" i="17"/>
  <c r="B252" i="17"/>
  <c r="D251" i="17"/>
  <c r="B251" i="17"/>
  <c r="B250" i="17"/>
  <c r="B249" i="17"/>
  <c r="D248" i="17"/>
  <c r="B248" i="17"/>
  <c r="B247" i="17"/>
  <c r="B246" i="17"/>
  <c r="B245" i="17"/>
  <c r="C245" i="17" s="1"/>
  <c r="D244" i="17"/>
  <c r="B244" i="17"/>
  <c r="B243" i="17"/>
  <c r="B242" i="17"/>
  <c r="B241" i="17"/>
  <c r="D240" i="17"/>
  <c r="B240" i="17"/>
  <c r="B239" i="17"/>
  <c r="B238" i="17"/>
  <c r="B237" i="17"/>
  <c r="C237" i="17" s="1"/>
  <c r="D236" i="17"/>
  <c r="B236" i="17"/>
  <c r="B235" i="17"/>
  <c r="B234" i="17"/>
  <c r="B233" i="17"/>
  <c r="D232" i="17"/>
  <c r="B232" i="17"/>
  <c r="B231" i="17"/>
  <c r="B230" i="17"/>
  <c r="D230" i="17" s="1"/>
  <c r="B229" i="17"/>
  <c r="D228" i="17"/>
  <c r="B228" i="17"/>
  <c r="B227" i="17"/>
  <c r="B226" i="17"/>
  <c r="B225" i="17"/>
  <c r="D224" i="17"/>
  <c r="B224" i="17"/>
  <c r="B223" i="17"/>
  <c r="C223" i="17" s="1"/>
  <c r="B222" i="17"/>
  <c r="B221" i="17"/>
  <c r="C221" i="17" s="1"/>
  <c r="D220" i="17"/>
  <c r="B220" i="17"/>
  <c r="B219" i="17"/>
  <c r="C219" i="17" s="1"/>
  <c r="D218" i="17"/>
  <c r="C218" i="17"/>
  <c r="B218" i="17"/>
  <c r="B217" i="17"/>
  <c r="B216" i="17"/>
  <c r="B215" i="17"/>
  <c r="D214" i="17"/>
  <c r="C214" i="17"/>
  <c r="B214" i="17"/>
  <c r="B213" i="17"/>
  <c r="C213" i="17" s="1"/>
  <c r="D212" i="17"/>
  <c r="C212" i="17"/>
  <c r="B212" i="17"/>
  <c r="B211" i="17"/>
  <c r="C210" i="17"/>
  <c r="B210" i="17"/>
  <c r="D210" i="17" s="1"/>
  <c r="D209" i="17"/>
  <c r="C209" i="17"/>
  <c r="B209" i="17"/>
  <c r="D221" i="17" s="1"/>
  <c r="B208" i="17"/>
  <c r="D208" i="17" s="1"/>
  <c r="B207" i="17"/>
  <c r="C206" i="17"/>
  <c r="B206" i="17"/>
  <c r="B205" i="17"/>
  <c r="D205" i="17" s="1"/>
  <c r="B204" i="17"/>
  <c r="D203" i="17"/>
  <c r="B203" i="17"/>
  <c r="C203" i="17" s="1"/>
  <c r="B202" i="17"/>
  <c r="B201" i="17"/>
  <c r="B200" i="17"/>
  <c r="B199" i="17"/>
  <c r="B198" i="17"/>
  <c r="D198" i="17" s="1"/>
  <c r="D197" i="17"/>
  <c r="C197" i="17"/>
  <c r="B197" i="17"/>
  <c r="B196" i="17"/>
  <c r="D195" i="17"/>
  <c r="B195" i="17"/>
  <c r="C195" i="17" s="1"/>
  <c r="C194" i="17"/>
  <c r="B194" i="17"/>
  <c r="D194" i="17" s="1"/>
  <c r="B193" i="17"/>
  <c r="D193" i="17" s="1"/>
  <c r="B192" i="17"/>
  <c r="B191" i="17"/>
  <c r="C191" i="17" s="1"/>
  <c r="B190" i="17"/>
  <c r="B189" i="17"/>
  <c r="B188" i="17"/>
  <c r="B187" i="17"/>
  <c r="C187" i="17" s="1"/>
  <c r="C186" i="17"/>
  <c r="B186" i="17"/>
  <c r="B185" i="17"/>
  <c r="C185" i="17" s="1"/>
  <c r="D184" i="17"/>
  <c r="B184" i="17"/>
  <c r="C184" i="17" s="1"/>
  <c r="D183" i="17"/>
  <c r="B183" i="17"/>
  <c r="C183" i="17" s="1"/>
  <c r="B182" i="17"/>
  <c r="C181" i="17"/>
  <c r="B181" i="17"/>
  <c r="C182" i="17" s="1"/>
  <c r="B180" i="17"/>
  <c r="D180" i="17" s="1"/>
  <c r="D179" i="17"/>
  <c r="B179" i="17"/>
  <c r="C179" i="17" s="1"/>
  <c r="C178" i="17"/>
  <c r="B178" i="17"/>
  <c r="B177" i="17"/>
  <c r="D177" i="17" s="1"/>
  <c r="D176" i="17"/>
  <c r="C176" i="17"/>
  <c r="B176" i="17"/>
  <c r="D188" i="17" s="1"/>
  <c r="B175" i="17"/>
  <c r="C174" i="17"/>
  <c r="B174" i="17"/>
  <c r="D173" i="17"/>
  <c r="B173" i="17"/>
  <c r="D185" i="17" s="1"/>
  <c r="C172" i="17"/>
  <c r="B172" i="17"/>
  <c r="C173" i="17" s="1"/>
  <c r="B171" i="17"/>
  <c r="B170" i="17"/>
  <c r="D170" i="17" s="1"/>
  <c r="B169" i="17"/>
  <c r="B168" i="17"/>
  <c r="B167" i="17"/>
  <c r="C167" i="17" s="1"/>
  <c r="B166" i="17"/>
  <c r="B165" i="17"/>
  <c r="D165" i="17" s="1"/>
  <c r="D164" i="17"/>
  <c r="C164" i="17"/>
  <c r="B164" i="17"/>
  <c r="B163" i="17"/>
  <c r="B162" i="17"/>
  <c r="D161" i="17"/>
  <c r="B161" i="17"/>
  <c r="C160" i="17"/>
  <c r="B160" i="17"/>
  <c r="C161" i="17" s="1"/>
  <c r="D159" i="17"/>
  <c r="B159" i="17"/>
  <c r="C159" i="17" s="1"/>
  <c r="B158" i="17"/>
  <c r="C157" i="17"/>
  <c r="B157" i="17"/>
  <c r="B156" i="17"/>
  <c r="D168" i="17" s="1"/>
  <c r="B155" i="17"/>
  <c r="C155" i="17" s="1"/>
  <c r="C154" i="17"/>
  <c r="B154" i="17"/>
  <c r="B153" i="17"/>
  <c r="D152" i="17"/>
  <c r="B152" i="17"/>
  <c r="C152" i="17" s="1"/>
  <c r="B151" i="17"/>
  <c r="C150" i="17"/>
  <c r="B150" i="17"/>
  <c r="D149" i="17"/>
  <c r="B149" i="17"/>
  <c r="B148" i="17"/>
  <c r="C149" i="17" s="1"/>
  <c r="B147" i="17"/>
  <c r="B146" i="17"/>
  <c r="D146" i="17" s="1"/>
  <c r="B145" i="17"/>
  <c r="B144" i="17"/>
  <c r="C144" i="17" s="1"/>
  <c r="B143" i="17"/>
  <c r="C143" i="17" s="1"/>
  <c r="B142" i="17"/>
  <c r="B141" i="17"/>
  <c r="D140" i="17"/>
  <c r="C140" i="17"/>
  <c r="B140" i="17"/>
  <c r="B139" i="17"/>
  <c r="B138" i="17"/>
  <c r="D137" i="17"/>
  <c r="B137" i="17"/>
  <c r="C136" i="17"/>
  <c r="B136" i="17"/>
  <c r="C137" i="17" s="1"/>
  <c r="D135" i="17"/>
  <c r="B135" i="17"/>
  <c r="C135" i="17" s="1"/>
  <c r="B134" i="17"/>
  <c r="C133" i="17"/>
  <c r="B133" i="17"/>
  <c r="B132" i="17"/>
  <c r="D144" i="17" s="1"/>
  <c r="B131" i="17"/>
  <c r="C131" i="17" s="1"/>
  <c r="C130" i="17"/>
  <c r="B130" i="17"/>
  <c r="B129" i="17"/>
  <c r="D128" i="17"/>
  <c r="B128" i="17"/>
  <c r="C128" i="17" s="1"/>
  <c r="B127" i="17"/>
  <c r="C126" i="17"/>
  <c r="B126" i="17"/>
  <c r="D126" i="17" s="1"/>
  <c r="D125" i="17"/>
  <c r="B125" i="17"/>
  <c r="B124" i="17"/>
  <c r="B123" i="17"/>
  <c r="B122" i="17"/>
  <c r="D122" i="17" s="1"/>
  <c r="C121" i="17"/>
  <c r="B121" i="17"/>
  <c r="D133" i="17" s="1"/>
  <c r="B120" i="17"/>
  <c r="B119" i="17"/>
  <c r="B118" i="17"/>
  <c r="B117" i="17"/>
  <c r="D116" i="17"/>
  <c r="C116" i="17"/>
  <c r="B116" i="17"/>
  <c r="B115" i="17"/>
  <c r="B114" i="17"/>
  <c r="D113" i="17"/>
  <c r="B113" i="17"/>
  <c r="B112" i="17"/>
  <c r="D111" i="17"/>
  <c r="B111" i="17"/>
  <c r="C111" i="17" s="1"/>
  <c r="B110" i="17"/>
  <c r="C109" i="17"/>
  <c r="B109" i="17"/>
  <c r="B108" i="17"/>
  <c r="D120" i="17" s="1"/>
  <c r="B107" i="17"/>
  <c r="B106" i="17"/>
  <c r="B105" i="17"/>
  <c r="B104" i="17"/>
  <c r="C104" i="17" s="1"/>
  <c r="B103" i="17"/>
  <c r="B102" i="17"/>
  <c r="D102" i="17" s="1"/>
  <c r="D101" i="17"/>
  <c r="C101" i="17"/>
  <c r="B101" i="17"/>
  <c r="C100" i="17"/>
  <c r="B100" i="17"/>
  <c r="B99" i="17"/>
  <c r="C99" i="17" s="1"/>
  <c r="B98" i="17"/>
  <c r="C97" i="17"/>
  <c r="B97" i="17"/>
  <c r="D109" i="17" s="1"/>
  <c r="B96" i="17"/>
  <c r="C96" i="17" s="1"/>
  <c r="D95" i="17"/>
  <c r="B95" i="17"/>
  <c r="B94" i="17"/>
  <c r="B93" i="17"/>
  <c r="B92" i="17"/>
  <c r="C93" i="17" s="1"/>
  <c r="B91" i="17"/>
  <c r="C90" i="17"/>
  <c r="B90" i="17"/>
  <c r="D89" i="17"/>
  <c r="C89" i="17"/>
  <c r="B89" i="17"/>
  <c r="B88" i="17"/>
  <c r="D88" i="17" s="1"/>
  <c r="B87" i="17"/>
  <c r="C87" i="17" s="1"/>
  <c r="B86" i="17"/>
  <c r="B85" i="17"/>
  <c r="B84" i="17"/>
  <c r="B83" i="17"/>
  <c r="B82" i="17"/>
  <c r="D82" i="17" s="1"/>
  <c r="B81" i="17"/>
  <c r="B80" i="17"/>
  <c r="C80" i="17" s="1"/>
  <c r="B79" i="17"/>
  <c r="C78" i="17"/>
  <c r="B78" i="17"/>
  <c r="D77" i="17"/>
  <c r="C77" i="17"/>
  <c r="B77" i="17"/>
  <c r="B76" i="17"/>
  <c r="B75" i="17"/>
  <c r="B74" i="17"/>
  <c r="B73" i="17"/>
  <c r="D73" i="17" s="1"/>
  <c r="B72" i="17"/>
  <c r="B71" i="17"/>
  <c r="B70" i="17"/>
  <c r="B69" i="17"/>
  <c r="B68" i="17"/>
  <c r="B67" i="17"/>
  <c r="C66" i="17"/>
  <c r="B66" i="17"/>
  <c r="D66" i="17" s="1"/>
  <c r="D65" i="17"/>
  <c r="C65" i="17"/>
  <c r="B65" i="17"/>
  <c r="B64" i="17"/>
  <c r="D64" i="17" s="1"/>
  <c r="B63" i="17"/>
  <c r="C63" i="17" s="1"/>
  <c r="B62" i="17"/>
  <c r="B61" i="17"/>
  <c r="B60" i="17"/>
  <c r="C60" i="17" s="1"/>
  <c r="D59" i="17"/>
  <c r="B59" i="17"/>
  <c r="B58" i="17"/>
  <c r="D58" i="17" s="1"/>
  <c r="B57" i="17"/>
  <c r="B56" i="17"/>
  <c r="C56" i="17" s="1"/>
  <c r="B55" i="17"/>
  <c r="C54" i="17"/>
  <c r="B54" i="17"/>
  <c r="D53" i="17"/>
  <c r="C53" i="17"/>
  <c r="B53" i="17"/>
  <c r="B52" i="17"/>
  <c r="D52" i="17" s="1"/>
  <c r="B51" i="17"/>
  <c r="B50" i="17"/>
  <c r="D49" i="17"/>
  <c r="B49" i="17"/>
  <c r="D61" i="17" s="1"/>
  <c r="B48" i="17"/>
  <c r="C48" i="17" s="1"/>
  <c r="D47" i="17"/>
  <c r="B47" i="17"/>
  <c r="C47" i="17" s="1"/>
  <c r="B46" i="17"/>
  <c r="B45" i="17"/>
  <c r="B44" i="17"/>
  <c r="D44" i="17" s="1"/>
  <c r="B43" i="17"/>
  <c r="C42" i="17"/>
  <c r="B42" i="17"/>
  <c r="D41" i="17"/>
  <c r="C41" i="17"/>
  <c r="B41" i="17"/>
  <c r="B40" i="17"/>
  <c r="D40" i="17" s="1"/>
  <c r="B39" i="17"/>
  <c r="B38" i="17"/>
  <c r="D37" i="17"/>
  <c r="B37" i="17"/>
  <c r="B36" i="17"/>
  <c r="B35" i="17"/>
  <c r="B34" i="17"/>
  <c r="D34" i="17" s="1"/>
  <c r="B33" i="17"/>
  <c r="B32" i="17"/>
  <c r="C32" i="17" s="1"/>
  <c r="B31" i="17"/>
  <c r="B30" i="17"/>
  <c r="D30" i="17" s="1"/>
  <c r="D29" i="17"/>
  <c r="B29" i="17"/>
  <c r="C28" i="17"/>
  <c r="B28" i="17"/>
  <c r="C29" i="17" s="1"/>
  <c r="B27" i="17"/>
  <c r="B26" i="17"/>
  <c r="D25" i="17"/>
  <c r="B25" i="17"/>
  <c r="B24" i="17"/>
  <c r="B23" i="17"/>
  <c r="C23" i="17" s="1"/>
  <c r="B22" i="17"/>
  <c r="B21" i="17"/>
  <c r="C22" i="17" s="1"/>
  <c r="D20" i="17"/>
  <c r="C20" i="17"/>
  <c r="B20" i="17"/>
  <c r="D19" i="17"/>
  <c r="C19" i="17"/>
  <c r="B19" i="17"/>
  <c r="B18" i="17"/>
  <c r="C18" i="17" s="1"/>
  <c r="B17" i="17"/>
  <c r="B16" i="17"/>
  <c r="C16" i="17" s="1"/>
  <c r="B15" i="17"/>
  <c r="C15" i="17" s="1"/>
  <c r="B14" i="17"/>
  <c r="C14" i="17" s="1"/>
  <c r="B13" i="17"/>
  <c r="B12" i="17"/>
  <c r="B11" i="17"/>
  <c r="C11" i="17" s="1"/>
  <c r="B10" i="17"/>
  <c r="D22" i="17" s="1"/>
  <c r="B9" i="17"/>
  <c r="C9" i="17" s="1"/>
  <c r="B8" i="17"/>
  <c r="C8" i="17" s="1"/>
  <c r="B7" i="17"/>
  <c r="B377" i="16"/>
  <c r="C377" i="16" s="1"/>
  <c r="B376" i="16"/>
  <c r="C375" i="16"/>
  <c r="B375" i="16"/>
  <c r="B374" i="16"/>
  <c r="B373" i="16"/>
  <c r="B372" i="16"/>
  <c r="D371" i="16"/>
  <c r="B371" i="16"/>
  <c r="B370" i="16"/>
  <c r="B369" i="16"/>
  <c r="B368" i="16"/>
  <c r="B367" i="16"/>
  <c r="D367" i="16" s="1"/>
  <c r="B366" i="16"/>
  <c r="B365" i="16"/>
  <c r="C365" i="16" s="1"/>
  <c r="C364" i="16"/>
  <c r="B364" i="16"/>
  <c r="B363" i="16"/>
  <c r="D363" i="16" s="1"/>
  <c r="B362" i="16"/>
  <c r="B361" i="16"/>
  <c r="C361" i="16" s="1"/>
  <c r="B360" i="16"/>
  <c r="D360" i="16" s="1"/>
  <c r="C359" i="16"/>
  <c r="B359" i="16"/>
  <c r="B358" i="16"/>
  <c r="B357" i="16"/>
  <c r="B356" i="16"/>
  <c r="B355" i="16"/>
  <c r="D355" i="16" s="1"/>
  <c r="B354" i="16"/>
  <c r="B353" i="16"/>
  <c r="B352" i="16"/>
  <c r="B351" i="16"/>
  <c r="D351" i="16" s="1"/>
  <c r="B350" i="16"/>
  <c r="D349" i="16"/>
  <c r="B349" i="16"/>
  <c r="C349" i="16" s="1"/>
  <c r="C348" i="16"/>
  <c r="B348" i="16"/>
  <c r="B347" i="16"/>
  <c r="D347" i="16" s="1"/>
  <c r="B346" i="16"/>
  <c r="D345" i="16"/>
  <c r="B345" i="16"/>
  <c r="B344" i="16"/>
  <c r="D344" i="16" s="1"/>
  <c r="C343" i="16"/>
  <c r="B343" i="16"/>
  <c r="B342" i="16"/>
  <c r="B341" i="16"/>
  <c r="B340" i="16"/>
  <c r="B339" i="16"/>
  <c r="D339" i="16" s="1"/>
  <c r="B338" i="16"/>
  <c r="B337" i="16"/>
  <c r="B336" i="16"/>
  <c r="B335" i="16"/>
  <c r="D335" i="16" s="1"/>
  <c r="B334" i="16"/>
  <c r="D333" i="16"/>
  <c r="B333" i="16"/>
  <c r="C333" i="16" s="1"/>
  <c r="C332" i="16"/>
  <c r="B332" i="16"/>
  <c r="B331" i="16"/>
  <c r="D331" i="16" s="1"/>
  <c r="B330" i="16"/>
  <c r="D329" i="16"/>
  <c r="B329" i="16"/>
  <c r="B328" i="16"/>
  <c r="D328" i="16" s="1"/>
  <c r="C327" i="16"/>
  <c r="B327" i="16"/>
  <c r="D327" i="16" s="1"/>
  <c r="B326" i="16"/>
  <c r="D325" i="16"/>
  <c r="B325" i="16"/>
  <c r="B324" i="16"/>
  <c r="B323" i="16"/>
  <c r="D323" i="16" s="1"/>
  <c r="B322" i="16"/>
  <c r="D321" i="16"/>
  <c r="B321" i="16"/>
  <c r="B320" i="16"/>
  <c r="B319" i="16"/>
  <c r="D319" i="16" s="1"/>
  <c r="B318" i="16"/>
  <c r="D317" i="16"/>
  <c r="B317" i="16"/>
  <c r="C316" i="16"/>
  <c r="B316" i="16"/>
  <c r="B315" i="16"/>
  <c r="D315" i="16" s="1"/>
  <c r="B314" i="16"/>
  <c r="D313" i="16"/>
  <c r="B313" i="16"/>
  <c r="B312" i="16"/>
  <c r="D312" i="16" s="1"/>
  <c r="C311" i="16"/>
  <c r="B311" i="16"/>
  <c r="D311" i="16" s="1"/>
  <c r="B310" i="16"/>
  <c r="D309" i="16"/>
  <c r="B309" i="16"/>
  <c r="B308" i="16"/>
  <c r="B307" i="16"/>
  <c r="D307" i="16" s="1"/>
  <c r="B306" i="16"/>
  <c r="D305" i="16"/>
  <c r="B305" i="16"/>
  <c r="B304" i="16"/>
  <c r="B303" i="16"/>
  <c r="D303" i="16" s="1"/>
  <c r="B302" i="16"/>
  <c r="D301" i="16"/>
  <c r="B301" i="16"/>
  <c r="C300" i="16"/>
  <c r="B300" i="16"/>
  <c r="B299" i="16"/>
  <c r="D299" i="16" s="1"/>
  <c r="B298" i="16"/>
  <c r="D297" i="16"/>
  <c r="B297" i="16"/>
  <c r="B296" i="16"/>
  <c r="D296" i="16" s="1"/>
  <c r="C295" i="16"/>
  <c r="B295" i="16"/>
  <c r="D295" i="16" s="1"/>
  <c r="B294" i="16"/>
  <c r="D294" i="16" s="1"/>
  <c r="D293" i="16"/>
  <c r="B293" i="16"/>
  <c r="B292" i="16"/>
  <c r="B291" i="16"/>
  <c r="D291" i="16" s="1"/>
  <c r="B290" i="16"/>
  <c r="D289" i="16"/>
  <c r="B289" i="16"/>
  <c r="B288" i="16"/>
  <c r="B287" i="16"/>
  <c r="D287" i="16" s="1"/>
  <c r="B286" i="16"/>
  <c r="D285" i="16"/>
  <c r="B285" i="16"/>
  <c r="C284" i="16"/>
  <c r="B284" i="16"/>
  <c r="B283" i="16"/>
  <c r="D283" i="16" s="1"/>
  <c r="B282" i="16"/>
  <c r="D281" i="16"/>
  <c r="B281" i="16"/>
  <c r="B280" i="16"/>
  <c r="D280" i="16" s="1"/>
  <c r="C279" i="16"/>
  <c r="B279" i="16"/>
  <c r="D279" i="16" s="1"/>
  <c r="B278" i="16"/>
  <c r="D277" i="16"/>
  <c r="B277" i="16"/>
  <c r="B276" i="16"/>
  <c r="D276" i="16" s="1"/>
  <c r="B275" i="16"/>
  <c r="D275" i="16" s="1"/>
  <c r="B274" i="16"/>
  <c r="B273" i="16"/>
  <c r="B272" i="16"/>
  <c r="D272" i="16" s="1"/>
  <c r="B271" i="16"/>
  <c r="B270" i="16"/>
  <c r="D270" i="16" s="1"/>
  <c r="D269" i="16"/>
  <c r="B269" i="16"/>
  <c r="C268" i="16"/>
  <c r="B268" i="16"/>
  <c r="B267" i="16"/>
  <c r="D267" i="16" s="1"/>
  <c r="B266" i="16"/>
  <c r="D266" i="16" s="1"/>
  <c r="B265" i="16"/>
  <c r="C264" i="16"/>
  <c r="B264" i="16"/>
  <c r="D263" i="16"/>
  <c r="C263" i="16"/>
  <c r="B263" i="16"/>
  <c r="C262" i="16"/>
  <c r="B262" i="16"/>
  <c r="D262" i="16" s="1"/>
  <c r="B261" i="16"/>
  <c r="C261" i="16" s="1"/>
  <c r="B260" i="16"/>
  <c r="D260" i="16" s="1"/>
  <c r="B259" i="16"/>
  <c r="D258" i="16"/>
  <c r="B258" i="16"/>
  <c r="C258" i="16" s="1"/>
  <c r="D257" i="16"/>
  <c r="B257" i="16"/>
  <c r="B256" i="16"/>
  <c r="B255" i="16"/>
  <c r="D255" i="16" s="1"/>
  <c r="C254" i="16"/>
  <c r="B254" i="16"/>
  <c r="D254" i="16" s="1"/>
  <c r="B253" i="16"/>
  <c r="C252" i="16"/>
  <c r="B252" i="16"/>
  <c r="C251" i="16"/>
  <c r="B251" i="16"/>
  <c r="D251" i="16" s="1"/>
  <c r="C250" i="16"/>
  <c r="B250" i="16"/>
  <c r="D250" i="16" s="1"/>
  <c r="D249" i="16"/>
  <c r="B249" i="16"/>
  <c r="C249" i="16" s="1"/>
  <c r="B248" i="16"/>
  <c r="B247" i="16"/>
  <c r="D246" i="16"/>
  <c r="B246" i="16"/>
  <c r="C247" i="16" s="1"/>
  <c r="D245" i="16"/>
  <c r="B245" i="16"/>
  <c r="C244" i="16"/>
  <c r="B244" i="16"/>
  <c r="B243" i="16"/>
  <c r="D243" i="16" s="1"/>
  <c r="B242" i="16"/>
  <c r="D242" i="16" s="1"/>
  <c r="B241" i="16"/>
  <c r="C240" i="16"/>
  <c r="B240" i="16"/>
  <c r="D239" i="16"/>
  <c r="C239" i="16"/>
  <c r="B239" i="16"/>
  <c r="B238" i="16"/>
  <c r="D238" i="16" s="1"/>
  <c r="B237" i="16"/>
  <c r="C237" i="16" s="1"/>
  <c r="B236" i="16"/>
  <c r="D236" i="16" s="1"/>
  <c r="B235" i="16"/>
  <c r="D234" i="16"/>
  <c r="B234" i="16"/>
  <c r="C234" i="16" s="1"/>
  <c r="D233" i="16"/>
  <c r="B233" i="16"/>
  <c r="B232" i="16"/>
  <c r="B231" i="16"/>
  <c r="D231" i="16" s="1"/>
  <c r="C230" i="16"/>
  <c r="B230" i="16"/>
  <c r="D230" i="16" s="1"/>
  <c r="B229" i="16"/>
  <c r="C228" i="16"/>
  <c r="B228" i="16"/>
  <c r="C227" i="16"/>
  <c r="B227" i="16"/>
  <c r="D227" i="16" s="1"/>
  <c r="C226" i="16"/>
  <c r="B226" i="16"/>
  <c r="D226" i="16" s="1"/>
  <c r="D225" i="16"/>
  <c r="B225" i="16"/>
  <c r="C225" i="16" s="1"/>
  <c r="B224" i="16"/>
  <c r="B223" i="16"/>
  <c r="D222" i="16"/>
  <c r="B222" i="16"/>
  <c r="C223" i="16" s="1"/>
  <c r="D221" i="16"/>
  <c r="B221" i="16"/>
  <c r="C220" i="16"/>
  <c r="B220" i="16"/>
  <c r="B219" i="16"/>
  <c r="D219" i="16" s="1"/>
  <c r="B218" i="16"/>
  <c r="D218" i="16" s="1"/>
  <c r="B217" i="16"/>
  <c r="C216" i="16"/>
  <c r="B216" i="16"/>
  <c r="D215" i="16"/>
  <c r="C215" i="16"/>
  <c r="B215" i="16"/>
  <c r="B214" i="16"/>
  <c r="D214" i="16" s="1"/>
  <c r="B213" i="16"/>
  <c r="C213" i="16" s="1"/>
  <c r="B212" i="16"/>
  <c r="D212" i="16" s="1"/>
  <c r="B211" i="16"/>
  <c r="D210" i="16"/>
  <c r="B210" i="16"/>
  <c r="C210" i="16" s="1"/>
  <c r="D209" i="16"/>
  <c r="B209" i="16"/>
  <c r="B208" i="16"/>
  <c r="B207" i="16"/>
  <c r="D207" i="16" s="1"/>
  <c r="C206" i="16"/>
  <c r="B206" i="16"/>
  <c r="D206" i="16" s="1"/>
  <c r="B205" i="16"/>
  <c r="C204" i="16"/>
  <c r="B204" i="16"/>
  <c r="C203" i="16"/>
  <c r="B203" i="16"/>
  <c r="D203" i="16" s="1"/>
  <c r="B202" i="16"/>
  <c r="D202" i="16" s="1"/>
  <c r="D201" i="16"/>
  <c r="B201" i="16"/>
  <c r="C201" i="16" s="1"/>
  <c r="B200" i="16"/>
  <c r="B199" i="16"/>
  <c r="D198" i="16"/>
  <c r="B198" i="16"/>
  <c r="C199" i="16" s="1"/>
  <c r="D197" i="16"/>
  <c r="B197" i="16"/>
  <c r="C196" i="16"/>
  <c r="B196" i="16"/>
  <c r="B195" i="16"/>
  <c r="D195" i="16" s="1"/>
  <c r="B194" i="16"/>
  <c r="D194" i="16" s="1"/>
  <c r="B193" i="16"/>
  <c r="C192" i="16"/>
  <c r="B192" i="16"/>
  <c r="D192" i="16" s="1"/>
  <c r="D191" i="16"/>
  <c r="C191" i="16"/>
  <c r="B191" i="16"/>
  <c r="B190" i="16"/>
  <c r="D190" i="16" s="1"/>
  <c r="B189" i="16"/>
  <c r="C189" i="16" s="1"/>
  <c r="B188" i="16"/>
  <c r="D188" i="16" s="1"/>
  <c r="B187" i="16"/>
  <c r="D186" i="16"/>
  <c r="B186" i="16"/>
  <c r="C186" i="16" s="1"/>
  <c r="B185" i="16"/>
  <c r="B184" i="16"/>
  <c r="B183" i="16"/>
  <c r="D183" i="16" s="1"/>
  <c r="C182" i="16"/>
  <c r="B182" i="16"/>
  <c r="D182" i="16" s="1"/>
  <c r="B181" i="16"/>
  <c r="C180" i="16"/>
  <c r="B180" i="16"/>
  <c r="C179" i="16"/>
  <c r="B179" i="16"/>
  <c r="D179" i="16" s="1"/>
  <c r="B178" i="16"/>
  <c r="D178" i="16" s="1"/>
  <c r="D177" i="16"/>
  <c r="B177" i="16"/>
  <c r="C177" i="16" s="1"/>
  <c r="B176" i="16"/>
  <c r="B175" i="16"/>
  <c r="D174" i="16"/>
  <c r="B174" i="16"/>
  <c r="C175" i="16" s="1"/>
  <c r="B173" i="16"/>
  <c r="C172" i="16"/>
  <c r="B172" i="16"/>
  <c r="D172" i="16" s="1"/>
  <c r="B171" i="16"/>
  <c r="D171" i="16" s="1"/>
  <c r="B170" i="16"/>
  <c r="D170" i="16" s="1"/>
  <c r="B169" i="16"/>
  <c r="B168" i="16"/>
  <c r="D168" i="16" s="1"/>
  <c r="D167" i="16"/>
  <c r="C167" i="16"/>
  <c r="B167" i="16"/>
  <c r="B166" i="16"/>
  <c r="D166" i="16" s="1"/>
  <c r="B165" i="16"/>
  <c r="C165" i="16" s="1"/>
  <c r="B164" i="16"/>
  <c r="D164" i="16" s="1"/>
  <c r="B163" i="16"/>
  <c r="D162" i="16"/>
  <c r="B162" i="16"/>
  <c r="C162" i="16" s="1"/>
  <c r="B161" i="16"/>
  <c r="B160" i="16"/>
  <c r="B159" i="16"/>
  <c r="D159" i="16" s="1"/>
  <c r="C158" i="16"/>
  <c r="B158" i="16"/>
  <c r="D158" i="16" s="1"/>
  <c r="B157" i="16"/>
  <c r="B156" i="16"/>
  <c r="C155" i="16"/>
  <c r="B155" i="16"/>
  <c r="D155" i="16" s="1"/>
  <c r="B154" i="16"/>
  <c r="D154" i="16" s="1"/>
  <c r="D153" i="16"/>
  <c r="B153" i="16"/>
  <c r="C153" i="16" s="1"/>
  <c r="B152" i="16"/>
  <c r="D151" i="16"/>
  <c r="B151" i="16"/>
  <c r="D150" i="16"/>
  <c r="B150" i="16"/>
  <c r="C151" i="16" s="1"/>
  <c r="B149" i="16"/>
  <c r="C148" i="16"/>
  <c r="B148" i="16"/>
  <c r="D148" i="16" s="1"/>
  <c r="B147" i="16"/>
  <c r="B146" i="16"/>
  <c r="D146" i="16" s="1"/>
  <c r="B145" i="16"/>
  <c r="D145" i="16" s="1"/>
  <c r="B144" i="16"/>
  <c r="D143" i="16"/>
  <c r="B143" i="16"/>
  <c r="C143" i="16" s="1"/>
  <c r="D142" i="16"/>
  <c r="B142" i="16"/>
  <c r="D141" i="16"/>
  <c r="B141" i="16"/>
  <c r="C142" i="16" s="1"/>
  <c r="B140" i="16"/>
  <c r="D140" i="16" s="1"/>
  <c r="D139" i="16"/>
  <c r="C139" i="16"/>
  <c r="B139" i="16"/>
  <c r="C138" i="16"/>
  <c r="B138" i="16"/>
  <c r="D138" i="16" s="1"/>
  <c r="C137" i="16"/>
  <c r="B137" i="16"/>
  <c r="D137" i="16" s="1"/>
  <c r="B136" i="16"/>
  <c r="B135" i="16"/>
  <c r="B134" i="16"/>
  <c r="B133" i="16"/>
  <c r="D133" i="16" s="1"/>
  <c r="B132" i="16"/>
  <c r="D132" i="16" s="1"/>
  <c r="B131" i="16"/>
  <c r="B130" i="16"/>
  <c r="C130" i="16" s="1"/>
  <c r="D129" i="16"/>
  <c r="C129" i="16"/>
  <c r="B129" i="16"/>
  <c r="C128" i="16"/>
  <c r="B128" i="16"/>
  <c r="B127" i="16"/>
  <c r="D127" i="16" s="1"/>
  <c r="D126" i="16"/>
  <c r="C126" i="16"/>
  <c r="B126" i="16"/>
  <c r="B125" i="16"/>
  <c r="D125" i="16" s="1"/>
  <c r="B124" i="16"/>
  <c r="D124" i="16" s="1"/>
  <c r="B123" i="16"/>
  <c r="D123" i="16" s="1"/>
  <c r="B122" i="16"/>
  <c r="B121" i="16"/>
  <c r="D121" i="16" s="1"/>
  <c r="B120" i="16"/>
  <c r="D119" i="16"/>
  <c r="B119" i="16"/>
  <c r="C120" i="16" s="1"/>
  <c r="B118" i="16"/>
  <c r="D130" i="16" s="1"/>
  <c r="B117" i="16"/>
  <c r="C117" i="16" s="1"/>
  <c r="C116" i="16"/>
  <c r="B116" i="16"/>
  <c r="D116" i="16" s="1"/>
  <c r="C115" i="16"/>
  <c r="B115" i="16"/>
  <c r="D115" i="16" s="1"/>
  <c r="B114" i="16"/>
  <c r="D114" i="16" s="1"/>
  <c r="D113" i="16"/>
  <c r="C113" i="16"/>
  <c r="B113" i="16"/>
  <c r="B112" i="16"/>
  <c r="B111" i="16"/>
  <c r="D111" i="16" s="1"/>
  <c r="B110" i="16"/>
  <c r="B109" i="16"/>
  <c r="B108" i="16"/>
  <c r="D107" i="16"/>
  <c r="B107" i="16"/>
  <c r="D106" i="16"/>
  <c r="B106" i="16"/>
  <c r="C107" i="16" s="1"/>
  <c r="B105" i="16"/>
  <c r="D117" i="16" s="1"/>
  <c r="C104" i="16"/>
  <c r="B104" i="16"/>
  <c r="C103" i="16"/>
  <c r="B103" i="16"/>
  <c r="D103" i="16" s="1"/>
  <c r="C102" i="16"/>
  <c r="B102" i="16"/>
  <c r="D102" i="16" s="1"/>
  <c r="B101" i="16"/>
  <c r="D101" i="16" s="1"/>
  <c r="C100" i="16"/>
  <c r="B100" i="16"/>
  <c r="D100" i="16" s="1"/>
  <c r="B99" i="16"/>
  <c r="D99" i="16" s="1"/>
  <c r="B98" i="16"/>
  <c r="B97" i="16"/>
  <c r="B96" i="16"/>
  <c r="B95" i="16"/>
  <c r="C95" i="16" s="1"/>
  <c r="D94" i="16"/>
  <c r="B94" i="16"/>
  <c r="D93" i="16"/>
  <c r="B93" i="16"/>
  <c r="C94" i="16" s="1"/>
  <c r="B92" i="16"/>
  <c r="D92" i="16" s="1"/>
  <c r="D91" i="16"/>
  <c r="C91" i="16"/>
  <c r="B91" i="16"/>
  <c r="C90" i="16"/>
  <c r="B90" i="16"/>
  <c r="D90" i="16" s="1"/>
  <c r="C89" i="16"/>
  <c r="B89" i="16"/>
  <c r="D89" i="16" s="1"/>
  <c r="B88" i="16"/>
  <c r="B87" i="16"/>
  <c r="B86" i="16"/>
  <c r="B85" i="16"/>
  <c r="B84" i="16"/>
  <c r="D84" i="16" s="1"/>
  <c r="B83" i="16"/>
  <c r="B82" i="16"/>
  <c r="C82" i="16" s="1"/>
  <c r="D81" i="16"/>
  <c r="C81" i="16"/>
  <c r="B81" i="16"/>
  <c r="C80" i="16"/>
  <c r="B80" i="16"/>
  <c r="B79" i="16"/>
  <c r="D79" i="16" s="1"/>
  <c r="C78" i="16"/>
  <c r="B78" i="16"/>
  <c r="B77" i="16"/>
  <c r="D77" i="16" s="1"/>
  <c r="B76" i="16"/>
  <c r="B75" i="16"/>
  <c r="B74" i="16"/>
  <c r="C75" i="16" s="1"/>
  <c r="B73" i="16"/>
  <c r="B72" i="16"/>
  <c r="D71" i="16"/>
  <c r="B71" i="16"/>
  <c r="C72" i="16" s="1"/>
  <c r="C70" i="16"/>
  <c r="B70" i="16"/>
  <c r="D70" i="16" s="1"/>
  <c r="B69" i="16"/>
  <c r="C69" i="16" s="1"/>
  <c r="C68" i="16"/>
  <c r="B68" i="16"/>
  <c r="D68" i="16" s="1"/>
  <c r="B67" i="16"/>
  <c r="D67" i="16" s="1"/>
  <c r="B66" i="16"/>
  <c r="D78" i="16" s="1"/>
  <c r="C65" i="16"/>
  <c r="B65" i="16"/>
  <c r="B64" i="16"/>
  <c r="D64" i="16" s="1"/>
  <c r="B63" i="16"/>
  <c r="B62" i="16"/>
  <c r="D61" i="16"/>
  <c r="C61" i="16"/>
  <c r="B61" i="16"/>
  <c r="C62" i="16" s="1"/>
  <c r="B60" i="16"/>
  <c r="D59" i="16"/>
  <c r="B59" i="16"/>
  <c r="B58" i="16"/>
  <c r="B57" i="16"/>
  <c r="C56" i="16"/>
  <c r="B56" i="16"/>
  <c r="C55" i="16"/>
  <c r="B55" i="16"/>
  <c r="D55" i="16" s="1"/>
  <c r="C54" i="16"/>
  <c r="B54" i="16"/>
  <c r="D54" i="16" s="1"/>
  <c r="D53" i="16"/>
  <c r="B53" i="16"/>
  <c r="C53" i="16" s="1"/>
  <c r="B52" i="16"/>
  <c r="D52" i="16" s="1"/>
  <c r="B51" i="16"/>
  <c r="B50" i="16"/>
  <c r="C49" i="16"/>
  <c r="B49" i="16"/>
  <c r="D49" i="16" s="1"/>
  <c r="B48" i="16"/>
  <c r="B47" i="16"/>
  <c r="C47" i="16" s="1"/>
  <c r="D46" i="16"/>
  <c r="B46" i="16"/>
  <c r="B45" i="16"/>
  <c r="B44" i="16"/>
  <c r="D43" i="16"/>
  <c r="C43" i="16"/>
  <c r="B43" i="16"/>
  <c r="C42" i="16"/>
  <c r="B42" i="16"/>
  <c r="D42" i="16" s="1"/>
  <c r="C41" i="16"/>
  <c r="B41" i="16"/>
  <c r="D41" i="16" s="1"/>
  <c r="B40" i="16"/>
  <c r="D40" i="16" s="1"/>
  <c r="B39" i="16"/>
  <c r="B38" i="16"/>
  <c r="D37" i="16"/>
  <c r="B37" i="16"/>
  <c r="B36" i="16"/>
  <c r="B35" i="16"/>
  <c r="D47" i="16" s="1"/>
  <c r="B34" i="16"/>
  <c r="C34" i="16" s="1"/>
  <c r="D33" i="16"/>
  <c r="C33" i="16"/>
  <c r="B33" i="16"/>
  <c r="C32" i="16"/>
  <c r="B32" i="16"/>
  <c r="D31" i="16"/>
  <c r="C31" i="16"/>
  <c r="B31" i="16"/>
  <c r="C30" i="16"/>
  <c r="B30" i="16"/>
  <c r="B29" i="16"/>
  <c r="B28" i="16"/>
  <c r="C27" i="16"/>
  <c r="B27" i="16"/>
  <c r="D27" i="16" s="1"/>
  <c r="D26" i="16"/>
  <c r="B26" i="16"/>
  <c r="C26" i="16" s="1"/>
  <c r="B25" i="16"/>
  <c r="C24" i="16"/>
  <c r="B24" i="16"/>
  <c r="B23" i="16"/>
  <c r="B22" i="16"/>
  <c r="D21" i="16"/>
  <c r="B21" i="16"/>
  <c r="C21" i="16" s="1"/>
  <c r="B20" i="16"/>
  <c r="D20" i="16" s="1"/>
  <c r="C19" i="16"/>
  <c r="B19" i="16"/>
  <c r="C18" i="16"/>
  <c r="B18" i="16"/>
  <c r="D30" i="16" s="1"/>
  <c r="B17" i="16"/>
  <c r="C17" i="16" s="1"/>
  <c r="C16" i="16"/>
  <c r="B16" i="16"/>
  <c r="B15" i="16"/>
  <c r="C14" i="16"/>
  <c r="B14" i="16"/>
  <c r="B13" i="16"/>
  <c r="C13" i="16" s="1"/>
  <c r="B12" i="16"/>
  <c r="C12" i="16" s="1"/>
  <c r="B11" i="16"/>
  <c r="C11" i="16" s="1"/>
  <c r="C10" i="16"/>
  <c r="B10" i="16"/>
  <c r="B9" i="16"/>
  <c r="B8" i="16"/>
  <c r="B7" i="16"/>
  <c r="C377" i="15"/>
  <c r="B377" i="15"/>
  <c r="D377" i="15" s="1"/>
  <c r="C376" i="15"/>
  <c r="B376" i="15"/>
  <c r="D376" i="15" s="1"/>
  <c r="B375" i="15"/>
  <c r="C375" i="15" s="1"/>
  <c r="B374" i="15"/>
  <c r="B373" i="15"/>
  <c r="B372" i="15"/>
  <c r="B371" i="15"/>
  <c r="C371" i="15" s="1"/>
  <c r="B370" i="15"/>
  <c r="C370" i="15" s="1"/>
  <c r="D369" i="15"/>
  <c r="C369" i="15"/>
  <c r="B369" i="15"/>
  <c r="D368" i="15"/>
  <c r="B368" i="15"/>
  <c r="C368" i="15" s="1"/>
  <c r="D367" i="15"/>
  <c r="B367" i="15"/>
  <c r="C367" i="15" s="1"/>
  <c r="D366" i="15"/>
  <c r="B366" i="15"/>
  <c r="B365" i="15"/>
  <c r="D365" i="15" s="1"/>
  <c r="C364" i="15"/>
  <c r="B364" i="15"/>
  <c r="B363" i="15"/>
  <c r="B362" i="15"/>
  <c r="B361" i="15"/>
  <c r="D361" i="15" s="1"/>
  <c r="B360" i="15"/>
  <c r="B359" i="15"/>
  <c r="B358" i="15"/>
  <c r="D370" i="15" s="1"/>
  <c r="B357" i="15"/>
  <c r="C357" i="15" s="1"/>
  <c r="C356" i="15"/>
  <c r="B356" i="15"/>
  <c r="D355" i="15"/>
  <c r="B355" i="15"/>
  <c r="D354" i="15"/>
  <c r="C354" i="15"/>
  <c r="B354" i="15"/>
  <c r="B353" i="15"/>
  <c r="B352" i="15"/>
  <c r="B351" i="15"/>
  <c r="C350" i="15"/>
  <c r="B350" i="15"/>
  <c r="D349" i="15"/>
  <c r="C349" i="15"/>
  <c r="B349" i="15"/>
  <c r="B348" i="15"/>
  <c r="B347" i="15"/>
  <c r="B346" i="15"/>
  <c r="D345" i="15"/>
  <c r="C345" i="15"/>
  <c r="B345" i="15"/>
  <c r="B344" i="15"/>
  <c r="C344" i="15" s="1"/>
  <c r="B343" i="15"/>
  <c r="C343" i="15" s="1"/>
  <c r="B342" i="15"/>
  <c r="B341" i="15"/>
  <c r="C340" i="15"/>
  <c r="B340" i="15"/>
  <c r="B339" i="15"/>
  <c r="C339" i="15" s="1"/>
  <c r="B338" i="15"/>
  <c r="C338" i="15" s="1"/>
  <c r="B337" i="15"/>
  <c r="B336" i="15"/>
  <c r="B335" i="15"/>
  <c r="D334" i="15"/>
  <c r="C334" i="15"/>
  <c r="B334" i="15"/>
  <c r="D333" i="15"/>
  <c r="B333" i="15"/>
  <c r="C333" i="15" s="1"/>
  <c r="C332" i="15"/>
  <c r="B332" i="15"/>
  <c r="B331" i="15"/>
  <c r="D330" i="15"/>
  <c r="B330" i="15"/>
  <c r="C330" i="15" s="1"/>
  <c r="B329" i="15"/>
  <c r="D328" i="15"/>
  <c r="B328" i="15"/>
  <c r="C329" i="15" s="1"/>
  <c r="B327" i="15"/>
  <c r="C327" i="15" s="1"/>
  <c r="B326" i="15"/>
  <c r="D325" i="15"/>
  <c r="B325" i="15"/>
  <c r="C325" i="15" s="1"/>
  <c r="C324" i="15"/>
  <c r="B324" i="15"/>
  <c r="B323" i="15"/>
  <c r="C323" i="15" s="1"/>
  <c r="B322" i="15"/>
  <c r="C322" i="15" s="1"/>
  <c r="B321" i="15"/>
  <c r="B320" i="15"/>
  <c r="B319" i="15"/>
  <c r="C319" i="15" s="1"/>
  <c r="D318" i="15"/>
  <c r="B318" i="15"/>
  <c r="C317" i="15"/>
  <c r="B317" i="15"/>
  <c r="C318" i="15" s="1"/>
  <c r="B316" i="15"/>
  <c r="B315" i="15"/>
  <c r="C314" i="15"/>
  <c r="B314" i="15"/>
  <c r="B313" i="15"/>
  <c r="D313" i="15" s="1"/>
  <c r="B312" i="15"/>
  <c r="C312" i="15" s="1"/>
  <c r="B311" i="15"/>
  <c r="B310" i="15"/>
  <c r="D309" i="15"/>
  <c r="B309" i="15"/>
  <c r="D321" i="15" s="1"/>
  <c r="D308" i="15"/>
  <c r="C308" i="15"/>
  <c r="B308" i="15"/>
  <c r="B307" i="15"/>
  <c r="D306" i="15"/>
  <c r="B306" i="15"/>
  <c r="C306" i="15" s="1"/>
  <c r="C305" i="15"/>
  <c r="B305" i="15"/>
  <c r="D305" i="15" s="1"/>
  <c r="D304" i="15"/>
  <c r="B304" i="15"/>
  <c r="B303" i="15"/>
  <c r="B302" i="15"/>
  <c r="D314" i="15" s="1"/>
  <c r="B301" i="15"/>
  <c r="C301" i="15" s="1"/>
  <c r="C300" i="15"/>
  <c r="B300" i="15"/>
  <c r="D300" i="15" s="1"/>
  <c r="D299" i="15"/>
  <c r="B299" i="15"/>
  <c r="B298" i="15"/>
  <c r="C298" i="15" s="1"/>
  <c r="C297" i="15"/>
  <c r="B297" i="15"/>
  <c r="D297" i="15" s="1"/>
  <c r="B296" i="15"/>
  <c r="D295" i="15"/>
  <c r="B295" i="15"/>
  <c r="C295" i="15" s="1"/>
  <c r="C294" i="15"/>
  <c r="B294" i="15"/>
  <c r="D294" i="15" s="1"/>
  <c r="D293" i="15"/>
  <c r="C293" i="15"/>
  <c r="B293" i="15"/>
  <c r="C292" i="15"/>
  <c r="B292" i="15"/>
  <c r="B291" i="15"/>
  <c r="D290" i="15"/>
  <c r="B290" i="15"/>
  <c r="C290" i="15" s="1"/>
  <c r="C289" i="15"/>
  <c r="B289" i="15"/>
  <c r="D289" i="15" s="1"/>
  <c r="D288" i="15"/>
  <c r="C288" i="15"/>
  <c r="B288" i="15"/>
  <c r="B287" i="15"/>
  <c r="C287" i="15" s="1"/>
  <c r="B286" i="15"/>
  <c r="D285" i="15"/>
  <c r="B285" i="15"/>
  <c r="C285" i="15" s="1"/>
  <c r="D284" i="15"/>
  <c r="C284" i="15"/>
  <c r="B284" i="15"/>
  <c r="D296" i="15" s="1"/>
  <c r="D283" i="15"/>
  <c r="B283" i="15"/>
  <c r="C283" i="15" s="1"/>
  <c r="C282" i="15"/>
  <c r="B282" i="15"/>
  <c r="B281" i="15"/>
  <c r="D280" i="15"/>
  <c r="B280" i="15"/>
  <c r="D292" i="15" s="1"/>
  <c r="B279" i="15"/>
  <c r="D291" i="15" s="1"/>
  <c r="B278" i="15"/>
  <c r="C278" i="15" s="1"/>
  <c r="B277" i="15"/>
  <c r="C277" i="15" s="1"/>
  <c r="B276" i="15"/>
  <c r="D275" i="15"/>
  <c r="B275" i="15"/>
  <c r="C275" i="15" s="1"/>
  <c r="D274" i="15"/>
  <c r="B274" i="15"/>
  <c r="C274" i="15" s="1"/>
  <c r="C273" i="15"/>
  <c r="B273" i="15"/>
  <c r="D272" i="15"/>
  <c r="B272" i="15"/>
  <c r="C272" i="15" s="1"/>
  <c r="B271" i="15"/>
  <c r="D270" i="15"/>
  <c r="B270" i="15"/>
  <c r="D282" i="15" s="1"/>
  <c r="B269" i="15"/>
  <c r="C268" i="15"/>
  <c r="B268" i="15"/>
  <c r="D268" i="15" s="1"/>
  <c r="B267" i="15"/>
  <c r="B266" i="15"/>
  <c r="D265" i="15"/>
  <c r="C265" i="15"/>
  <c r="B265" i="15"/>
  <c r="D277" i="15" s="1"/>
  <c r="B264" i="15"/>
  <c r="C264" i="15" s="1"/>
  <c r="B263" i="15"/>
  <c r="C263" i="15" s="1"/>
  <c r="B262" i="15"/>
  <c r="C261" i="15"/>
  <c r="B261" i="15"/>
  <c r="D273" i="15" s="1"/>
  <c r="C260" i="15"/>
  <c r="B260" i="15"/>
  <c r="B259" i="15"/>
  <c r="C259" i="15" s="1"/>
  <c r="D258" i="15"/>
  <c r="B258" i="15"/>
  <c r="B257" i="15"/>
  <c r="D256" i="15"/>
  <c r="C256" i="15"/>
  <c r="B256" i="15"/>
  <c r="B255" i="15"/>
  <c r="D267" i="15" s="1"/>
  <c r="B254" i="15"/>
  <c r="C254" i="15" s="1"/>
  <c r="B253" i="15"/>
  <c r="C252" i="15"/>
  <c r="B252" i="15"/>
  <c r="C253" i="15" s="1"/>
  <c r="D251" i="15"/>
  <c r="B251" i="15"/>
  <c r="D250" i="15"/>
  <c r="C250" i="15"/>
  <c r="B250" i="15"/>
  <c r="D262" i="15" s="1"/>
  <c r="D249" i="15"/>
  <c r="B249" i="15"/>
  <c r="B248" i="15"/>
  <c r="B247" i="15"/>
  <c r="C247" i="15" s="1"/>
  <c r="B246" i="15"/>
  <c r="D245" i="15"/>
  <c r="B245" i="15"/>
  <c r="C245" i="15" s="1"/>
  <c r="B244" i="15"/>
  <c r="B243" i="15"/>
  <c r="B242" i="15"/>
  <c r="C242" i="15" s="1"/>
  <c r="B241" i="15"/>
  <c r="D241" i="15" s="1"/>
  <c r="C240" i="15"/>
  <c r="B240" i="15"/>
  <c r="D240" i="15" s="1"/>
  <c r="B239" i="15"/>
  <c r="C239" i="15" s="1"/>
  <c r="C238" i="15"/>
  <c r="B238" i="15"/>
  <c r="D237" i="15"/>
  <c r="B237" i="15"/>
  <c r="C237" i="15" s="1"/>
  <c r="D236" i="15"/>
  <c r="B236" i="15"/>
  <c r="C236" i="15" s="1"/>
  <c r="B235" i="15"/>
  <c r="B234" i="15"/>
  <c r="C233" i="15"/>
  <c r="B233" i="15"/>
  <c r="D232" i="15"/>
  <c r="C232" i="15"/>
  <c r="B232" i="15"/>
  <c r="D244" i="15" s="1"/>
  <c r="B231" i="15"/>
  <c r="C231" i="15" s="1"/>
  <c r="B230" i="15"/>
  <c r="D229" i="15"/>
  <c r="B229" i="15"/>
  <c r="C230" i="15" s="1"/>
  <c r="B228" i="15"/>
  <c r="D228" i="15" s="1"/>
  <c r="B227" i="15"/>
  <c r="C227" i="15" s="1"/>
  <c r="B226" i="15"/>
  <c r="D238" i="15" s="1"/>
  <c r="C225" i="15"/>
  <c r="B225" i="15"/>
  <c r="C226" i="15" s="1"/>
  <c r="D224" i="15"/>
  <c r="B224" i="15"/>
  <c r="C224" i="15" s="1"/>
  <c r="D223" i="15"/>
  <c r="B223" i="15"/>
  <c r="C223" i="15" s="1"/>
  <c r="D222" i="15"/>
  <c r="B222" i="15"/>
  <c r="B221" i="15"/>
  <c r="C220" i="15"/>
  <c r="B220" i="15"/>
  <c r="B219" i="15"/>
  <c r="C219" i="15" s="1"/>
  <c r="C218" i="15"/>
  <c r="B218" i="15"/>
  <c r="D218" i="15" s="1"/>
  <c r="B217" i="15"/>
  <c r="D216" i="15"/>
  <c r="B216" i="15"/>
  <c r="C217" i="15" s="1"/>
  <c r="B215" i="15"/>
  <c r="B214" i="15"/>
  <c r="C214" i="15" s="1"/>
  <c r="B213" i="15"/>
  <c r="C212" i="15"/>
  <c r="B212" i="15"/>
  <c r="C213" i="15" s="1"/>
  <c r="B211" i="15"/>
  <c r="C211" i="15" s="1"/>
  <c r="C210" i="15"/>
  <c r="B210" i="15"/>
  <c r="D209" i="15"/>
  <c r="B209" i="15"/>
  <c r="B208" i="15"/>
  <c r="B207" i="15"/>
  <c r="C207" i="15" s="1"/>
  <c r="B206" i="15"/>
  <c r="D206" i="15" s="1"/>
  <c r="C205" i="15"/>
  <c r="B205" i="15"/>
  <c r="D205" i="15" s="1"/>
  <c r="D204" i="15"/>
  <c r="B204" i="15"/>
  <c r="D203" i="15"/>
  <c r="B203" i="15"/>
  <c r="C204" i="15" s="1"/>
  <c r="B202" i="15"/>
  <c r="D202" i="15" s="1"/>
  <c r="C201" i="15"/>
  <c r="B201" i="15"/>
  <c r="D201" i="15" s="1"/>
  <c r="D200" i="15"/>
  <c r="B200" i="15"/>
  <c r="D199" i="15"/>
  <c r="B199" i="15"/>
  <c r="C200" i="15" s="1"/>
  <c r="B198" i="15"/>
  <c r="D198" i="15" s="1"/>
  <c r="C197" i="15"/>
  <c r="B197" i="15"/>
  <c r="D197" i="15" s="1"/>
  <c r="D196" i="15"/>
  <c r="B196" i="15"/>
  <c r="D195" i="15"/>
  <c r="B195" i="15"/>
  <c r="C196" i="15" s="1"/>
  <c r="B194" i="15"/>
  <c r="D194" i="15" s="1"/>
  <c r="C193" i="15"/>
  <c r="B193" i="15"/>
  <c r="D193" i="15" s="1"/>
  <c r="D192" i="15"/>
  <c r="B192" i="15"/>
  <c r="D191" i="15"/>
  <c r="B191" i="15"/>
  <c r="C192" i="15" s="1"/>
  <c r="B190" i="15"/>
  <c r="D190" i="15" s="1"/>
  <c r="C189" i="15"/>
  <c r="B189" i="15"/>
  <c r="D189" i="15" s="1"/>
  <c r="D188" i="15"/>
  <c r="B188" i="15"/>
  <c r="D187" i="15"/>
  <c r="B187" i="15"/>
  <c r="C188" i="15" s="1"/>
  <c r="B186" i="15"/>
  <c r="D186" i="15" s="1"/>
  <c r="C185" i="15"/>
  <c r="B185" i="15"/>
  <c r="D185" i="15" s="1"/>
  <c r="D184" i="15"/>
  <c r="B184" i="15"/>
  <c r="D183" i="15"/>
  <c r="B183" i="15"/>
  <c r="C184" i="15" s="1"/>
  <c r="B182" i="15"/>
  <c r="D182" i="15" s="1"/>
  <c r="C181" i="15"/>
  <c r="B181" i="15"/>
  <c r="D181" i="15" s="1"/>
  <c r="D180" i="15"/>
  <c r="B180" i="15"/>
  <c r="B179" i="15"/>
  <c r="C180" i="15" s="1"/>
  <c r="B178" i="15"/>
  <c r="D178" i="15" s="1"/>
  <c r="B177" i="15"/>
  <c r="D177" i="15" s="1"/>
  <c r="D176" i="15"/>
  <c r="B176" i="15"/>
  <c r="C176" i="15" s="1"/>
  <c r="D175" i="15"/>
  <c r="B175" i="15"/>
  <c r="C175" i="15" s="1"/>
  <c r="B174" i="15"/>
  <c r="D174" i="15" s="1"/>
  <c r="B173" i="15"/>
  <c r="D173" i="15" s="1"/>
  <c r="B172" i="15"/>
  <c r="B171" i="15"/>
  <c r="C171" i="15" s="1"/>
  <c r="B170" i="15"/>
  <c r="D170" i="15" s="1"/>
  <c r="B169" i="15"/>
  <c r="D169" i="15" s="1"/>
  <c r="B168" i="15"/>
  <c r="B167" i="15"/>
  <c r="B166" i="15"/>
  <c r="D166" i="15" s="1"/>
  <c r="B165" i="15"/>
  <c r="D165" i="15" s="1"/>
  <c r="B164" i="15"/>
  <c r="B163" i="15"/>
  <c r="C163" i="15" s="1"/>
  <c r="B162" i="15"/>
  <c r="D162" i="15" s="1"/>
  <c r="B161" i="15"/>
  <c r="D161" i="15" s="1"/>
  <c r="B160" i="15"/>
  <c r="D172" i="15" s="1"/>
  <c r="B159" i="15"/>
  <c r="C159" i="15" s="1"/>
  <c r="B158" i="15"/>
  <c r="D158" i="15" s="1"/>
  <c r="B157" i="15"/>
  <c r="D157" i="15" s="1"/>
  <c r="B156" i="15"/>
  <c r="D168" i="15" s="1"/>
  <c r="B155" i="15"/>
  <c r="C155" i="15" s="1"/>
  <c r="B154" i="15"/>
  <c r="B153" i="15"/>
  <c r="D153" i="15" s="1"/>
  <c r="B152" i="15"/>
  <c r="D164" i="15" s="1"/>
  <c r="B151" i="15"/>
  <c r="C151" i="15" s="1"/>
  <c r="B150" i="15"/>
  <c r="B149" i="15"/>
  <c r="D149" i="15" s="1"/>
  <c r="B148" i="15"/>
  <c r="D148" i="15" s="1"/>
  <c r="D147" i="15"/>
  <c r="B147" i="15"/>
  <c r="C147" i="15" s="1"/>
  <c r="B146" i="15"/>
  <c r="B145" i="15"/>
  <c r="D145" i="15" s="1"/>
  <c r="B144" i="15"/>
  <c r="D144" i="15" s="1"/>
  <c r="D143" i="15"/>
  <c r="B143" i="15"/>
  <c r="B142" i="15"/>
  <c r="B141" i="15"/>
  <c r="D141" i="15" s="1"/>
  <c r="B140" i="15"/>
  <c r="D140" i="15" s="1"/>
  <c r="D139" i="15"/>
  <c r="B139" i="15"/>
  <c r="B138" i="15"/>
  <c r="B137" i="15"/>
  <c r="D137" i="15" s="1"/>
  <c r="B136" i="15"/>
  <c r="D136" i="15" s="1"/>
  <c r="B135" i="15"/>
  <c r="B134" i="15"/>
  <c r="B133" i="15"/>
  <c r="D133" i="15" s="1"/>
  <c r="B132" i="15"/>
  <c r="D132" i="15" s="1"/>
  <c r="B131" i="15"/>
  <c r="B130" i="15"/>
  <c r="B129" i="15"/>
  <c r="D129" i="15" s="1"/>
  <c r="B128" i="15"/>
  <c r="D128" i="15" s="1"/>
  <c r="D127" i="15"/>
  <c r="B127" i="15"/>
  <c r="C127" i="15" s="1"/>
  <c r="B126" i="15"/>
  <c r="B125" i="15"/>
  <c r="D125" i="15" s="1"/>
  <c r="B124" i="15"/>
  <c r="D124" i="15" s="1"/>
  <c r="B123" i="15"/>
  <c r="C123" i="15" s="1"/>
  <c r="B122" i="15"/>
  <c r="B121" i="15"/>
  <c r="B120" i="15"/>
  <c r="D120" i="15" s="1"/>
  <c r="B119" i="15"/>
  <c r="B118" i="15"/>
  <c r="B117" i="15"/>
  <c r="B116" i="15"/>
  <c r="D116" i="15" s="1"/>
  <c r="B115" i="15"/>
  <c r="C115" i="15" s="1"/>
  <c r="B114" i="15"/>
  <c r="B113" i="15"/>
  <c r="B112" i="15"/>
  <c r="D112" i="15" s="1"/>
  <c r="B111" i="15"/>
  <c r="C111" i="15" s="1"/>
  <c r="B110" i="15"/>
  <c r="B109" i="15"/>
  <c r="B108" i="15"/>
  <c r="D108" i="15" s="1"/>
  <c r="B107" i="15"/>
  <c r="C107" i="15" s="1"/>
  <c r="B106" i="15"/>
  <c r="B105" i="15"/>
  <c r="B104" i="15"/>
  <c r="D104" i="15" s="1"/>
  <c r="B103" i="15"/>
  <c r="C103" i="15" s="1"/>
  <c r="B102" i="15"/>
  <c r="B101" i="15"/>
  <c r="B100" i="15"/>
  <c r="D100" i="15" s="1"/>
  <c r="D99" i="15"/>
  <c r="B99" i="15"/>
  <c r="C99" i="15" s="1"/>
  <c r="B98" i="15"/>
  <c r="B97" i="15"/>
  <c r="B96" i="15"/>
  <c r="D96" i="15" s="1"/>
  <c r="D95" i="15"/>
  <c r="B95" i="15"/>
  <c r="B94" i="15"/>
  <c r="B93" i="15"/>
  <c r="B92" i="15"/>
  <c r="D92" i="15" s="1"/>
  <c r="D91" i="15"/>
  <c r="B91" i="15"/>
  <c r="B90" i="15"/>
  <c r="B89" i="15"/>
  <c r="B88" i="15"/>
  <c r="D88" i="15" s="1"/>
  <c r="B87" i="15"/>
  <c r="B86" i="15"/>
  <c r="B85" i="15"/>
  <c r="B84" i="15"/>
  <c r="D84" i="15" s="1"/>
  <c r="B83" i="15"/>
  <c r="B82" i="15"/>
  <c r="B81" i="15"/>
  <c r="B80" i="15"/>
  <c r="D80" i="15" s="1"/>
  <c r="D79" i="15"/>
  <c r="B79" i="15"/>
  <c r="B78" i="15"/>
  <c r="B77" i="15"/>
  <c r="B76" i="15"/>
  <c r="D76" i="15" s="1"/>
  <c r="B75" i="15"/>
  <c r="C75" i="15" s="1"/>
  <c r="B74" i="15"/>
  <c r="B73" i="15"/>
  <c r="B72" i="15"/>
  <c r="D72" i="15" s="1"/>
  <c r="B71" i="15"/>
  <c r="B70" i="15"/>
  <c r="B69" i="15"/>
  <c r="B68" i="15"/>
  <c r="D68" i="15" s="1"/>
  <c r="B67" i="15"/>
  <c r="C67" i="15" s="1"/>
  <c r="B66" i="15"/>
  <c r="B65" i="15"/>
  <c r="B64" i="15"/>
  <c r="D64" i="15" s="1"/>
  <c r="B63" i="15"/>
  <c r="C63" i="15" s="1"/>
  <c r="B62" i="15"/>
  <c r="B61" i="15"/>
  <c r="B60" i="15"/>
  <c r="D60" i="15" s="1"/>
  <c r="B59" i="15"/>
  <c r="C59" i="15" s="1"/>
  <c r="B58" i="15"/>
  <c r="B57" i="15"/>
  <c r="B56" i="15"/>
  <c r="D56" i="15" s="1"/>
  <c r="B55" i="15"/>
  <c r="C55" i="15" s="1"/>
  <c r="B54" i="15"/>
  <c r="B53" i="15"/>
  <c r="B52" i="15"/>
  <c r="D52" i="15" s="1"/>
  <c r="D51" i="15"/>
  <c r="B51" i="15"/>
  <c r="C51" i="15" s="1"/>
  <c r="B50" i="15"/>
  <c r="B49" i="15"/>
  <c r="B48" i="15"/>
  <c r="D48" i="15" s="1"/>
  <c r="D47" i="15"/>
  <c r="B47" i="15"/>
  <c r="B46" i="15"/>
  <c r="B45" i="15"/>
  <c r="B44" i="15"/>
  <c r="D44" i="15" s="1"/>
  <c r="D43" i="15"/>
  <c r="B43" i="15"/>
  <c r="B42" i="15"/>
  <c r="B41" i="15"/>
  <c r="B40" i="15"/>
  <c r="D40" i="15" s="1"/>
  <c r="B39" i="15"/>
  <c r="B38" i="15"/>
  <c r="B37" i="15"/>
  <c r="B36" i="15"/>
  <c r="D36" i="15" s="1"/>
  <c r="B35" i="15"/>
  <c r="B34" i="15"/>
  <c r="B33" i="15"/>
  <c r="B32" i="15"/>
  <c r="D32" i="15" s="1"/>
  <c r="D31" i="15"/>
  <c r="B31" i="15"/>
  <c r="B30" i="15"/>
  <c r="B29" i="15"/>
  <c r="B28" i="15"/>
  <c r="D28" i="15" s="1"/>
  <c r="B27" i="15"/>
  <c r="C27" i="15" s="1"/>
  <c r="B26" i="15"/>
  <c r="B25" i="15"/>
  <c r="B24" i="15"/>
  <c r="D24" i="15" s="1"/>
  <c r="B23" i="15"/>
  <c r="B22" i="15"/>
  <c r="B21" i="15"/>
  <c r="B20" i="15"/>
  <c r="D20" i="15" s="1"/>
  <c r="B19" i="15"/>
  <c r="C19" i="15" s="1"/>
  <c r="B18" i="15"/>
  <c r="C18" i="15" s="1"/>
  <c r="C17" i="15"/>
  <c r="B17" i="15"/>
  <c r="B16" i="15"/>
  <c r="C16" i="15" s="1"/>
  <c r="B15" i="15"/>
  <c r="B14" i="15"/>
  <c r="B13" i="15"/>
  <c r="C13" i="15" s="1"/>
  <c r="B12" i="15"/>
  <c r="C12" i="15" s="1"/>
  <c r="B11" i="15"/>
  <c r="B10" i="15"/>
  <c r="C10" i="15" s="1"/>
  <c r="B9" i="15"/>
  <c r="B8" i="15"/>
  <c r="B7" i="15"/>
  <c r="D377" i="14"/>
  <c r="B377" i="14"/>
  <c r="C377" i="14" s="1"/>
  <c r="D376" i="14"/>
  <c r="B376" i="14"/>
  <c r="C376" i="14" s="1"/>
  <c r="D375" i="14"/>
  <c r="B375" i="14"/>
  <c r="D374" i="14"/>
  <c r="C374" i="14"/>
  <c r="B374" i="14"/>
  <c r="C375" i="14" s="1"/>
  <c r="D373" i="14"/>
  <c r="B373" i="14"/>
  <c r="C373" i="14" s="1"/>
  <c r="D372" i="14"/>
  <c r="B372" i="14"/>
  <c r="C372" i="14" s="1"/>
  <c r="D371" i="14"/>
  <c r="B371" i="14"/>
  <c r="C371" i="14" s="1"/>
  <c r="C370" i="14"/>
  <c r="B370" i="14"/>
  <c r="D369" i="14"/>
  <c r="B369" i="14"/>
  <c r="C369" i="14" s="1"/>
  <c r="D368" i="14"/>
  <c r="B368" i="14"/>
  <c r="C368" i="14" s="1"/>
  <c r="D367" i="14"/>
  <c r="B367" i="14"/>
  <c r="C367" i="14" s="1"/>
  <c r="C366" i="14"/>
  <c r="B366" i="14"/>
  <c r="D365" i="14"/>
  <c r="B365" i="14"/>
  <c r="C365" i="14" s="1"/>
  <c r="D364" i="14"/>
  <c r="B364" i="14"/>
  <c r="C364" i="14" s="1"/>
  <c r="D363" i="14"/>
  <c r="B363" i="14"/>
  <c r="C363" i="14" s="1"/>
  <c r="C362" i="14"/>
  <c r="B362" i="14"/>
  <c r="D361" i="14"/>
  <c r="B361" i="14"/>
  <c r="C361" i="14" s="1"/>
  <c r="B360" i="14"/>
  <c r="C360" i="14" s="1"/>
  <c r="D359" i="14"/>
  <c r="B359" i="14"/>
  <c r="C359" i="14" s="1"/>
  <c r="C358" i="14"/>
  <c r="B358" i="14"/>
  <c r="D370" i="14" s="1"/>
  <c r="D357" i="14"/>
  <c r="B357" i="14"/>
  <c r="C357" i="14" s="1"/>
  <c r="B356" i="14"/>
  <c r="C356" i="14" s="1"/>
  <c r="D355" i="14"/>
  <c r="B355" i="14"/>
  <c r="C355" i="14" s="1"/>
  <c r="C354" i="14"/>
  <c r="B354" i="14"/>
  <c r="D366" i="14" s="1"/>
  <c r="D353" i="14"/>
  <c r="B353" i="14"/>
  <c r="C353" i="14" s="1"/>
  <c r="B352" i="14"/>
  <c r="C352" i="14" s="1"/>
  <c r="D351" i="14"/>
  <c r="B351" i="14"/>
  <c r="B350" i="14"/>
  <c r="D349" i="14"/>
  <c r="B349" i="14"/>
  <c r="B348" i="14"/>
  <c r="C348" i="14" s="1"/>
  <c r="D347" i="14"/>
  <c r="B347" i="14"/>
  <c r="B346" i="14"/>
  <c r="D345" i="14"/>
  <c r="B345" i="14"/>
  <c r="B344" i="14"/>
  <c r="C344" i="14" s="1"/>
  <c r="D343" i="14"/>
  <c r="B343" i="14"/>
  <c r="B342" i="14"/>
  <c r="B341" i="14"/>
  <c r="B340" i="14"/>
  <c r="D339" i="14"/>
  <c r="B339" i="14"/>
  <c r="B338" i="14"/>
  <c r="D337" i="14"/>
  <c r="B337" i="14"/>
  <c r="B336" i="14"/>
  <c r="C336" i="14" s="1"/>
  <c r="D335" i="14"/>
  <c r="B335" i="14"/>
  <c r="B334" i="14"/>
  <c r="B333" i="14"/>
  <c r="B332" i="14"/>
  <c r="C332" i="14" s="1"/>
  <c r="D331" i="14"/>
  <c r="B331" i="14"/>
  <c r="B330" i="14"/>
  <c r="B329" i="14"/>
  <c r="B328" i="14"/>
  <c r="D327" i="14"/>
  <c r="B327" i="14"/>
  <c r="B326" i="14"/>
  <c r="D325" i="14"/>
  <c r="B325" i="14"/>
  <c r="B324" i="14"/>
  <c r="C324" i="14" s="1"/>
  <c r="B323" i="14"/>
  <c r="B322" i="14"/>
  <c r="B321" i="14"/>
  <c r="B320" i="14"/>
  <c r="C320" i="14" s="1"/>
  <c r="D319" i="14"/>
  <c r="B319" i="14"/>
  <c r="B318" i="14"/>
  <c r="B317" i="14"/>
  <c r="B316" i="14"/>
  <c r="B315" i="14"/>
  <c r="B314" i="14"/>
  <c r="D313" i="14"/>
  <c r="B313" i="14"/>
  <c r="B312" i="14"/>
  <c r="C312" i="14" s="1"/>
  <c r="B311" i="14"/>
  <c r="B310" i="14"/>
  <c r="B309" i="14"/>
  <c r="B308" i="14"/>
  <c r="C308" i="14" s="1"/>
  <c r="D307" i="14"/>
  <c r="B307" i="14"/>
  <c r="B306" i="14"/>
  <c r="B305" i="14"/>
  <c r="B304" i="14"/>
  <c r="B303" i="14"/>
  <c r="B302" i="14"/>
  <c r="B301" i="14"/>
  <c r="B300" i="14"/>
  <c r="C300" i="14" s="1"/>
  <c r="B299" i="14"/>
  <c r="B298" i="14"/>
  <c r="B297" i="14"/>
  <c r="B296" i="14"/>
  <c r="C296" i="14" s="1"/>
  <c r="B295" i="14"/>
  <c r="B294" i="14"/>
  <c r="B293" i="14"/>
  <c r="B292" i="14"/>
  <c r="B291" i="14"/>
  <c r="B290" i="14"/>
  <c r="B289" i="14"/>
  <c r="B288" i="14"/>
  <c r="C288" i="14" s="1"/>
  <c r="B287" i="14"/>
  <c r="B286" i="14"/>
  <c r="B285" i="14"/>
  <c r="B284" i="14"/>
  <c r="C284" i="14" s="1"/>
  <c r="B283" i="14"/>
  <c r="B282" i="14"/>
  <c r="B281" i="14"/>
  <c r="B280" i="14"/>
  <c r="B279" i="14"/>
  <c r="B278" i="14"/>
  <c r="B277" i="14"/>
  <c r="B276" i="14"/>
  <c r="C276" i="14" s="1"/>
  <c r="B275" i="14"/>
  <c r="B274" i="14"/>
  <c r="B273" i="14"/>
  <c r="B272" i="14"/>
  <c r="C272" i="14" s="1"/>
  <c r="B271" i="14"/>
  <c r="B270" i="14"/>
  <c r="B269" i="14"/>
  <c r="B268" i="14"/>
  <c r="B267" i="14"/>
  <c r="B266" i="14"/>
  <c r="B265" i="14"/>
  <c r="B264" i="14"/>
  <c r="C264" i="14" s="1"/>
  <c r="B263" i="14"/>
  <c r="B262" i="14"/>
  <c r="B261" i="14"/>
  <c r="B260" i="14"/>
  <c r="C260" i="14" s="1"/>
  <c r="B259" i="14"/>
  <c r="B258" i="14"/>
  <c r="B257" i="14"/>
  <c r="B256" i="14"/>
  <c r="B255" i="14"/>
  <c r="B254" i="14"/>
  <c r="B253" i="14"/>
  <c r="B252" i="14"/>
  <c r="C252" i="14" s="1"/>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C187" i="14" s="1"/>
  <c r="C186" i="14"/>
  <c r="B186" i="14"/>
  <c r="D185" i="14"/>
  <c r="B185" i="14"/>
  <c r="D184" i="14"/>
  <c r="B184" i="14"/>
  <c r="C184" i="14" s="1"/>
  <c r="D183" i="14"/>
  <c r="B183" i="14"/>
  <c r="D182" i="14"/>
  <c r="B182" i="14"/>
  <c r="C182" i="14" s="1"/>
  <c r="B181" i="14"/>
  <c r="B180" i="14"/>
  <c r="B179" i="14"/>
  <c r="C178" i="14"/>
  <c r="B178" i="14"/>
  <c r="B177" i="14"/>
  <c r="C177" i="14" s="1"/>
  <c r="B176" i="14"/>
  <c r="C176" i="14" s="1"/>
  <c r="D175" i="14"/>
  <c r="B175" i="14"/>
  <c r="D174" i="14"/>
  <c r="B174" i="14"/>
  <c r="B173" i="14"/>
  <c r="B172" i="14"/>
  <c r="B171" i="14"/>
  <c r="C171" i="14" s="1"/>
  <c r="C170" i="14"/>
  <c r="B170" i="14"/>
  <c r="B169" i="14"/>
  <c r="B168" i="14"/>
  <c r="C168" i="14" s="1"/>
  <c r="D167" i="14"/>
  <c r="B167" i="14"/>
  <c r="D166" i="14"/>
  <c r="B166" i="14"/>
  <c r="D178" i="14" s="1"/>
  <c r="B165" i="14"/>
  <c r="D177" i="14" s="1"/>
  <c r="B164" i="14"/>
  <c r="B163" i="14"/>
  <c r="C162" i="14"/>
  <c r="B162" i="14"/>
  <c r="B161" i="14"/>
  <c r="C161" i="14" s="1"/>
  <c r="B160" i="14"/>
  <c r="C160" i="14" s="1"/>
  <c r="D159" i="14"/>
  <c r="B159" i="14"/>
  <c r="B158" i="14"/>
  <c r="B157" i="14"/>
  <c r="D169" i="14" s="1"/>
  <c r="B156" i="14"/>
  <c r="D168" i="14" s="1"/>
  <c r="B155" i="14"/>
  <c r="C155" i="14" s="1"/>
  <c r="C154" i="14"/>
  <c r="B154" i="14"/>
  <c r="B153" i="14"/>
  <c r="D152" i="14"/>
  <c r="B152" i="14"/>
  <c r="C152" i="14" s="1"/>
  <c r="D151" i="14"/>
  <c r="B151" i="14"/>
  <c r="D150" i="14"/>
  <c r="B150" i="14"/>
  <c r="D162" i="14" s="1"/>
  <c r="B149" i="14"/>
  <c r="D161" i="14" s="1"/>
  <c r="B148" i="14"/>
  <c r="B147" i="14"/>
  <c r="C146" i="14"/>
  <c r="B146" i="14"/>
  <c r="B145" i="14"/>
  <c r="C145" i="14" s="1"/>
  <c r="B144" i="14"/>
  <c r="C144" i="14" s="1"/>
  <c r="D143" i="14"/>
  <c r="B143" i="14"/>
  <c r="D142" i="14"/>
  <c r="B142" i="14"/>
  <c r="B141" i="14"/>
  <c r="D153" i="14" s="1"/>
  <c r="B140" i="14"/>
  <c r="B139" i="14"/>
  <c r="C139" i="14" s="1"/>
  <c r="C138" i="14"/>
  <c r="B138" i="14"/>
  <c r="B137" i="14"/>
  <c r="D136" i="14"/>
  <c r="B136" i="14"/>
  <c r="D135" i="14"/>
  <c r="B135" i="14"/>
  <c r="B134" i="14"/>
  <c r="B133" i="14"/>
  <c r="D145" i="14" s="1"/>
  <c r="B132" i="14"/>
  <c r="B131" i="14"/>
  <c r="C130" i="14"/>
  <c r="B130" i="14"/>
  <c r="D129" i="14"/>
  <c r="B129" i="14"/>
  <c r="C129" i="14" s="1"/>
  <c r="D128" i="14"/>
  <c r="B128" i="14"/>
  <c r="C128" i="14" s="1"/>
  <c r="D127" i="14"/>
  <c r="B127" i="14"/>
  <c r="D126" i="14"/>
  <c r="B126" i="14"/>
  <c r="B125" i="14"/>
  <c r="D137" i="14" s="1"/>
  <c r="B124" i="14"/>
  <c r="B123" i="14"/>
  <c r="C122" i="14"/>
  <c r="B122" i="14"/>
  <c r="D121" i="14"/>
  <c r="B121" i="14"/>
  <c r="D120" i="14"/>
  <c r="B120" i="14"/>
  <c r="B119" i="14"/>
  <c r="B118" i="14"/>
  <c r="C118" i="14" s="1"/>
  <c r="B117" i="14"/>
  <c r="B116" i="14"/>
  <c r="B115" i="14"/>
  <c r="C114" i="14"/>
  <c r="B114" i="14"/>
  <c r="D114" i="14" s="1"/>
  <c r="D113" i="14"/>
  <c r="B113" i="14"/>
  <c r="C113" i="14" s="1"/>
  <c r="B112" i="14"/>
  <c r="C112" i="14" s="1"/>
  <c r="B111" i="14"/>
  <c r="D110" i="14"/>
  <c r="B110" i="14"/>
  <c r="B109" i="14"/>
  <c r="B108" i="14"/>
  <c r="B107" i="14"/>
  <c r="C106" i="14"/>
  <c r="B106" i="14"/>
  <c r="B105" i="14"/>
  <c r="B104" i="14"/>
  <c r="B103" i="14"/>
  <c r="B102" i="14"/>
  <c r="B101" i="14"/>
  <c r="B100" i="14"/>
  <c r="B99" i="14"/>
  <c r="C98" i="14"/>
  <c r="B98" i="14"/>
  <c r="B97" i="14"/>
  <c r="C97" i="14" s="1"/>
  <c r="B96" i="14"/>
  <c r="C96" i="14" s="1"/>
  <c r="D95" i="14"/>
  <c r="B95" i="14"/>
  <c r="B94" i="14"/>
  <c r="B93" i="14"/>
  <c r="B92" i="14"/>
  <c r="B91" i="14"/>
  <c r="C90" i="14"/>
  <c r="B90" i="14"/>
  <c r="B89" i="14"/>
  <c r="B88" i="14"/>
  <c r="B87" i="14"/>
  <c r="B86" i="14"/>
  <c r="B85" i="14"/>
  <c r="B84" i="14"/>
  <c r="B83" i="14"/>
  <c r="C82" i="14"/>
  <c r="B82" i="14"/>
  <c r="D81" i="14"/>
  <c r="B81" i="14"/>
  <c r="C81" i="14" s="1"/>
  <c r="D80" i="14"/>
  <c r="B80" i="14"/>
  <c r="C80" i="14" s="1"/>
  <c r="D79" i="14"/>
  <c r="B79" i="14"/>
  <c r="D78" i="14"/>
  <c r="B78" i="14"/>
  <c r="B77" i="14"/>
  <c r="B76" i="14"/>
  <c r="D88" i="14" s="1"/>
  <c r="B75" i="14"/>
  <c r="D87" i="14" s="1"/>
  <c r="C74" i="14"/>
  <c r="B74" i="14"/>
  <c r="B73" i="14"/>
  <c r="B72" i="14"/>
  <c r="B71" i="14"/>
  <c r="D70" i="14"/>
  <c r="B70" i="14"/>
  <c r="C70" i="14" s="1"/>
  <c r="B69" i="14"/>
  <c r="B68" i="14"/>
  <c r="B67" i="14"/>
  <c r="C66" i="14"/>
  <c r="B66" i="14"/>
  <c r="D65" i="14"/>
  <c r="B65" i="14"/>
  <c r="C65" i="14" s="1"/>
  <c r="B64" i="14"/>
  <c r="C64" i="14" s="1"/>
  <c r="D63" i="14"/>
  <c r="B63" i="14"/>
  <c r="D62" i="14"/>
  <c r="B62" i="14"/>
  <c r="B61" i="14"/>
  <c r="D73" i="14" s="1"/>
  <c r="B60" i="14"/>
  <c r="D72" i="14" s="1"/>
  <c r="B59" i="14"/>
  <c r="D71" i="14" s="1"/>
  <c r="C58" i="14"/>
  <c r="B58" i="14"/>
  <c r="B57" i="14"/>
  <c r="B56" i="14"/>
  <c r="D55" i="14"/>
  <c r="B55" i="14"/>
  <c r="B54" i="14"/>
  <c r="C54" i="14" s="1"/>
  <c r="B53" i="14"/>
  <c r="B52" i="14"/>
  <c r="D64" i="14" s="1"/>
  <c r="B51" i="14"/>
  <c r="C50" i="14"/>
  <c r="B50" i="14"/>
  <c r="B49" i="14"/>
  <c r="C49" i="14" s="1"/>
  <c r="D48" i="14"/>
  <c r="B48" i="14"/>
  <c r="C48" i="14" s="1"/>
  <c r="D47" i="14"/>
  <c r="B47" i="14"/>
  <c r="D46" i="14"/>
  <c r="B46" i="14"/>
  <c r="B45" i="14"/>
  <c r="D57" i="14" s="1"/>
  <c r="B44" i="14"/>
  <c r="D56" i="14" s="1"/>
  <c r="B43" i="14"/>
  <c r="C42" i="14"/>
  <c r="B42" i="14"/>
  <c r="B41" i="14"/>
  <c r="D40" i="14"/>
  <c r="B40" i="14"/>
  <c r="D39" i="14"/>
  <c r="B39" i="14"/>
  <c r="B38" i="14"/>
  <c r="C38" i="14" s="1"/>
  <c r="B37" i="14"/>
  <c r="D49" i="14" s="1"/>
  <c r="B36" i="14"/>
  <c r="B35" i="14"/>
  <c r="C34" i="14"/>
  <c r="B34" i="14"/>
  <c r="D34" i="14" s="1"/>
  <c r="D33" i="14"/>
  <c r="B33" i="14"/>
  <c r="C33" i="14" s="1"/>
  <c r="D32" i="14"/>
  <c r="B32" i="14"/>
  <c r="C32" i="14" s="1"/>
  <c r="B31" i="14"/>
  <c r="B30" i="14"/>
  <c r="B29" i="14"/>
  <c r="D41" i="14" s="1"/>
  <c r="B28" i="14"/>
  <c r="B27" i="14"/>
  <c r="D26" i="14"/>
  <c r="C26" i="14"/>
  <c r="B26" i="14"/>
  <c r="D25" i="14"/>
  <c r="B25" i="14"/>
  <c r="D24" i="14"/>
  <c r="B24" i="14"/>
  <c r="D23" i="14"/>
  <c r="B23" i="14"/>
  <c r="D22" i="14"/>
  <c r="B22" i="14"/>
  <c r="B21" i="14"/>
  <c r="B20" i="14"/>
  <c r="B19" i="14"/>
  <c r="B18" i="14"/>
  <c r="C18" i="14" s="1"/>
  <c r="B17" i="14"/>
  <c r="C17" i="14" s="1"/>
  <c r="B16" i="14"/>
  <c r="C16" i="14" s="1"/>
  <c r="C15" i="14"/>
  <c r="B15" i="14"/>
  <c r="B14" i="14"/>
  <c r="B13" i="14"/>
  <c r="C13" i="14" s="1"/>
  <c r="B12" i="14"/>
  <c r="B11" i="14"/>
  <c r="C11" i="14" s="1"/>
  <c r="B10" i="14"/>
  <c r="C10" i="14" s="1"/>
  <c r="C9" i="14"/>
  <c r="B9" i="14"/>
  <c r="C8" i="14"/>
  <c r="B8" i="14"/>
  <c r="B7" i="14"/>
  <c r="C377" i="13"/>
  <c r="B377" i="13"/>
  <c r="D377" i="13" s="1"/>
  <c r="C376" i="13"/>
  <c r="B376" i="13"/>
  <c r="D375" i="13"/>
  <c r="C375" i="13"/>
  <c r="B375" i="13"/>
  <c r="D374" i="13"/>
  <c r="B374" i="13"/>
  <c r="C373" i="13"/>
  <c r="B373" i="13"/>
  <c r="C374" i="13" s="1"/>
  <c r="C372" i="13"/>
  <c r="B372" i="13"/>
  <c r="D371" i="13"/>
  <c r="C371" i="13"/>
  <c r="B371" i="13"/>
  <c r="D370" i="13"/>
  <c r="B370" i="13"/>
  <c r="C369" i="13"/>
  <c r="B369" i="13"/>
  <c r="C370" i="13" s="1"/>
  <c r="C368" i="13"/>
  <c r="B368" i="13"/>
  <c r="D367" i="13"/>
  <c r="C367" i="13"/>
  <c r="B367" i="13"/>
  <c r="D366" i="13"/>
  <c r="B366" i="13"/>
  <c r="B365" i="13"/>
  <c r="C366" i="13" s="1"/>
  <c r="B364" i="13"/>
  <c r="C364" i="13" s="1"/>
  <c r="D363" i="13"/>
  <c r="C363" i="13"/>
  <c r="B363" i="13"/>
  <c r="D362" i="13"/>
  <c r="B362" i="13"/>
  <c r="C361" i="13"/>
  <c r="B361" i="13"/>
  <c r="C362" i="13" s="1"/>
  <c r="B360" i="13"/>
  <c r="C360" i="13" s="1"/>
  <c r="D359" i="13"/>
  <c r="C359" i="13"/>
  <c r="B359" i="13"/>
  <c r="D358" i="13"/>
  <c r="B358" i="13"/>
  <c r="B357" i="13"/>
  <c r="C358" i="13" s="1"/>
  <c r="B356" i="13"/>
  <c r="C356" i="13" s="1"/>
  <c r="C355" i="13"/>
  <c r="B355" i="13"/>
  <c r="D354" i="13"/>
  <c r="B354" i="13"/>
  <c r="C353" i="13"/>
  <c r="B353" i="13"/>
  <c r="C354" i="13" s="1"/>
  <c r="B352" i="13"/>
  <c r="C352" i="13" s="1"/>
  <c r="C351" i="13"/>
  <c r="B351" i="13"/>
  <c r="D350" i="13"/>
  <c r="B350" i="13"/>
  <c r="B349" i="13"/>
  <c r="B348" i="13"/>
  <c r="C347" i="13"/>
  <c r="B347" i="13"/>
  <c r="D346" i="13"/>
  <c r="B346" i="13"/>
  <c r="B345" i="13"/>
  <c r="B344" i="13"/>
  <c r="C344" i="13" s="1"/>
  <c r="C343" i="13"/>
  <c r="B343" i="13"/>
  <c r="D355" i="13" s="1"/>
  <c r="B342" i="13"/>
  <c r="B341" i="13"/>
  <c r="B340" i="13"/>
  <c r="C340" i="13" s="1"/>
  <c r="C339" i="13"/>
  <c r="B339" i="13"/>
  <c r="D351" i="13" s="1"/>
  <c r="B338" i="13"/>
  <c r="B337" i="13"/>
  <c r="B336" i="13"/>
  <c r="C335" i="13"/>
  <c r="B335" i="13"/>
  <c r="D347" i="13" s="1"/>
  <c r="B334" i="13"/>
  <c r="B333" i="13"/>
  <c r="B332" i="13"/>
  <c r="C332" i="13" s="1"/>
  <c r="B331" i="13"/>
  <c r="B330" i="13"/>
  <c r="B329" i="13"/>
  <c r="B328" i="13"/>
  <c r="B327" i="13"/>
  <c r="B326" i="13"/>
  <c r="C326" i="13" s="1"/>
  <c r="B325" i="13"/>
  <c r="B324" i="13"/>
  <c r="B323" i="13"/>
  <c r="B322" i="13"/>
  <c r="B321" i="13"/>
  <c r="B320" i="13"/>
  <c r="C320" i="13" s="1"/>
  <c r="B319" i="13"/>
  <c r="B318" i="13"/>
  <c r="B317" i="13"/>
  <c r="B316" i="13"/>
  <c r="B315" i="13"/>
  <c r="B314" i="13"/>
  <c r="C314" i="13" s="1"/>
  <c r="B313" i="13"/>
  <c r="B312" i="13"/>
  <c r="B311" i="13"/>
  <c r="B310" i="13"/>
  <c r="B309" i="13"/>
  <c r="B308" i="13"/>
  <c r="C308" i="13" s="1"/>
  <c r="B307" i="13"/>
  <c r="B306" i="13"/>
  <c r="B305" i="13"/>
  <c r="B304" i="13"/>
  <c r="B303" i="13"/>
  <c r="B302" i="13"/>
  <c r="C302" i="13" s="1"/>
  <c r="B301" i="13"/>
  <c r="B300" i="13"/>
  <c r="B299" i="13"/>
  <c r="B298" i="13"/>
  <c r="B297" i="13"/>
  <c r="B296" i="13"/>
  <c r="C296" i="13" s="1"/>
  <c r="B295" i="13"/>
  <c r="D295" i="13" s="1"/>
  <c r="B294" i="13"/>
  <c r="B293" i="13"/>
  <c r="D293" i="13" s="1"/>
  <c r="B292" i="13"/>
  <c r="B291" i="13"/>
  <c r="B290" i="13"/>
  <c r="C290" i="13" s="1"/>
  <c r="B289" i="13"/>
  <c r="B288" i="13"/>
  <c r="B287" i="13"/>
  <c r="D287" i="13" s="1"/>
  <c r="B286" i="13"/>
  <c r="B285" i="13"/>
  <c r="D285" i="13" s="1"/>
  <c r="B284" i="13"/>
  <c r="C284" i="13" s="1"/>
  <c r="B283" i="13"/>
  <c r="D283" i="13" s="1"/>
  <c r="D282" i="13"/>
  <c r="B282" i="13"/>
  <c r="C282" i="13" s="1"/>
  <c r="C281" i="13"/>
  <c r="B281" i="13"/>
  <c r="B280" i="13"/>
  <c r="B279" i="13"/>
  <c r="D279" i="13" s="1"/>
  <c r="B278" i="13"/>
  <c r="B277" i="13"/>
  <c r="B276" i="13"/>
  <c r="C276" i="13" s="1"/>
  <c r="C275" i="13"/>
  <c r="B275" i="13"/>
  <c r="D274" i="13"/>
  <c r="B274" i="13"/>
  <c r="C274" i="13" s="1"/>
  <c r="C273" i="13"/>
  <c r="B273" i="13"/>
  <c r="B272" i="13"/>
  <c r="D271" i="13"/>
  <c r="B271" i="13"/>
  <c r="C271" i="13" s="1"/>
  <c r="B270" i="13"/>
  <c r="B269" i="13"/>
  <c r="D269" i="13" s="1"/>
  <c r="B268" i="13"/>
  <c r="C268" i="13" s="1"/>
  <c r="B267" i="13"/>
  <c r="D267" i="13" s="1"/>
  <c r="D266" i="13"/>
  <c r="B266" i="13"/>
  <c r="C266" i="13" s="1"/>
  <c r="C265" i="13"/>
  <c r="B265" i="13"/>
  <c r="B264" i="13"/>
  <c r="B263" i="13"/>
  <c r="D275" i="13" s="1"/>
  <c r="B262" i="13"/>
  <c r="B261" i="13"/>
  <c r="B260" i="13"/>
  <c r="C260" i="13" s="1"/>
  <c r="C259" i="13"/>
  <c r="B259" i="13"/>
  <c r="D259" i="13" s="1"/>
  <c r="D258" i="13"/>
  <c r="B258" i="13"/>
  <c r="C258" i="13" s="1"/>
  <c r="C257" i="13"/>
  <c r="B257" i="13"/>
  <c r="B256" i="13"/>
  <c r="D255" i="13"/>
  <c r="B255" i="13"/>
  <c r="C255" i="13" s="1"/>
  <c r="B254" i="13"/>
  <c r="B253" i="13"/>
  <c r="D253" i="13" s="1"/>
  <c r="B252" i="13"/>
  <c r="C252" i="13" s="1"/>
  <c r="B251" i="13"/>
  <c r="D251" i="13" s="1"/>
  <c r="D250" i="13"/>
  <c r="B250" i="13"/>
  <c r="C250" i="13" s="1"/>
  <c r="C249" i="13"/>
  <c r="B249" i="13"/>
  <c r="B248" i="13"/>
  <c r="B247" i="13"/>
  <c r="D247" i="13" s="1"/>
  <c r="B246" i="13"/>
  <c r="B245" i="13"/>
  <c r="B244" i="13"/>
  <c r="C244" i="13" s="1"/>
  <c r="C243" i="13"/>
  <c r="B243" i="13"/>
  <c r="D243" i="13" s="1"/>
  <c r="D242" i="13"/>
  <c r="B242" i="13"/>
  <c r="C242" i="13" s="1"/>
  <c r="C241" i="13"/>
  <c r="B241" i="13"/>
  <c r="B240" i="13"/>
  <c r="D239" i="13"/>
  <c r="B239" i="13"/>
  <c r="C239" i="13" s="1"/>
  <c r="B238" i="13"/>
  <c r="B237" i="13"/>
  <c r="D237" i="13" s="1"/>
  <c r="B236" i="13"/>
  <c r="C236" i="13" s="1"/>
  <c r="B235" i="13"/>
  <c r="D235" i="13" s="1"/>
  <c r="D234" i="13"/>
  <c r="B234" i="13"/>
  <c r="C234" i="13" s="1"/>
  <c r="C233" i="13"/>
  <c r="B233" i="13"/>
  <c r="B232" i="13"/>
  <c r="B231" i="13"/>
  <c r="D231" i="13" s="1"/>
  <c r="B230" i="13"/>
  <c r="B229" i="13"/>
  <c r="B228" i="13"/>
  <c r="C228" i="13" s="1"/>
  <c r="C227" i="13"/>
  <c r="B227" i="13"/>
  <c r="D227" i="13" s="1"/>
  <c r="D226" i="13"/>
  <c r="B226" i="13"/>
  <c r="C226" i="13" s="1"/>
  <c r="C225" i="13"/>
  <c r="B225" i="13"/>
  <c r="B224" i="13"/>
  <c r="D223" i="13"/>
  <c r="B223" i="13"/>
  <c r="C223" i="13" s="1"/>
  <c r="B222" i="13"/>
  <c r="B221" i="13"/>
  <c r="D221" i="13" s="1"/>
  <c r="B220" i="13"/>
  <c r="C220" i="13" s="1"/>
  <c r="B219" i="13"/>
  <c r="D219" i="13" s="1"/>
  <c r="D218" i="13"/>
  <c r="B218" i="13"/>
  <c r="C218" i="13" s="1"/>
  <c r="C217" i="13"/>
  <c r="B217" i="13"/>
  <c r="B216" i="13"/>
  <c r="B215" i="13"/>
  <c r="D215" i="13" s="1"/>
  <c r="B214" i="13"/>
  <c r="B213" i="13"/>
  <c r="B212" i="13"/>
  <c r="C212" i="13" s="1"/>
  <c r="C211" i="13"/>
  <c r="B211" i="13"/>
  <c r="D211" i="13" s="1"/>
  <c r="D210" i="13"/>
  <c r="B210" i="13"/>
  <c r="C210" i="13" s="1"/>
  <c r="C209" i="13"/>
  <c r="B209" i="13"/>
  <c r="B208" i="13"/>
  <c r="D207" i="13"/>
  <c r="B207" i="13"/>
  <c r="C207" i="13" s="1"/>
  <c r="B206" i="13"/>
  <c r="B205" i="13"/>
  <c r="D205" i="13" s="1"/>
  <c r="B204" i="13"/>
  <c r="C204" i="13" s="1"/>
  <c r="B203" i="13"/>
  <c r="D203" i="13" s="1"/>
  <c r="D202" i="13"/>
  <c r="B202" i="13"/>
  <c r="C202" i="13" s="1"/>
  <c r="C201" i="13"/>
  <c r="B201" i="13"/>
  <c r="B200" i="13"/>
  <c r="B199" i="13"/>
  <c r="D199" i="13" s="1"/>
  <c r="B198" i="13"/>
  <c r="B197" i="13"/>
  <c r="B196" i="13"/>
  <c r="C196" i="13" s="1"/>
  <c r="C195" i="13"/>
  <c r="B195" i="13"/>
  <c r="D195" i="13" s="1"/>
  <c r="D194" i="13"/>
  <c r="B194" i="13"/>
  <c r="C194" i="13" s="1"/>
  <c r="C193" i="13"/>
  <c r="B193" i="13"/>
  <c r="B192" i="13"/>
  <c r="D191" i="13"/>
  <c r="B191" i="13"/>
  <c r="C191" i="13" s="1"/>
  <c r="B190" i="13"/>
  <c r="B189" i="13"/>
  <c r="D189" i="13" s="1"/>
  <c r="B188" i="13"/>
  <c r="C188" i="13" s="1"/>
  <c r="B187" i="13"/>
  <c r="D187" i="13" s="1"/>
  <c r="D186" i="13"/>
  <c r="B186" i="13"/>
  <c r="C186" i="13" s="1"/>
  <c r="C185" i="13"/>
  <c r="B185" i="13"/>
  <c r="B184" i="13"/>
  <c r="B183" i="13"/>
  <c r="D183" i="13" s="1"/>
  <c r="B182" i="13"/>
  <c r="B181" i="13"/>
  <c r="B180" i="13"/>
  <c r="C180" i="13" s="1"/>
  <c r="C179" i="13"/>
  <c r="B179" i="13"/>
  <c r="D179" i="13" s="1"/>
  <c r="D178" i="13"/>
  <c r="B178" i="13"/>
  <c r="C178" i="13" s="1"/>
  <c r="C177" i="13"/>
  <c r="B177" i="13"/>
  <c r="B176" i="13"/>
  <c r="D175" i="13"/>
  <c r="B175" i="13"/>
  <c r="C175" i="13" s="1"/>
  <c r="B174" i="13"/>
  <c r="B173" i="13"/>
  <c r="D173" i="13" s="1"/>
  <c r="B172" i="13"/>
  <c r="C172" i="13" s="1"/>
  <c r="B171" i="13"/>
  <c r="D171" i="13" s="1"/>
  <c r="D170" i="13"/>
  <c r="B170" i="13"/>
  <c r="C170" i="13" s="1"/>
  <c r="C169" i="13"/>
  <c r="B169" i="13"/>
  <c r="B168" i="13"/>
  <c r="B167" i="13"/>
  <c r="D167" i="13" s="1"/>
  <c r="B166" i="13"/>
  <c r="B165" i="13"/>
  <c r="B164" i="13"/>
  <c r="C164" i="13" s="1"/>
  <c r="C163" i="13"/>
  <c r="B163" i="13"/>
  <c r="D163" i="13" s="1"/>
  <c r="D162" i="13"/>
  <c r="B162" i="13"/>
  <c r="C162" i="13" s="1"/>
  <c r="C161" i="13"/>
  <c r="B161" i="13"/>
  <c r="B160" i="13"/>
  <c r="D159" i="13"/>
  <c r="B159" i="13"/>
  <c r="C159" i="13" s="1"/>
  <c r="B158" i="13"/>
  <c r="B157" i="13"/>
  <c r="D157" i="13" s="1"/>
  <c r="B156" i="13"/>
  <c r="C156" i="13" s="1"/>
  <c r="B155" i="13"/>
  <c r="D155" i="13" s="1"/>
  <c r="D154" i="13"/>
  <c r="B154" i="13"/>
  <c r="C154" i="13" s="1"/>
  <c r="C153" i="13"/>
  <c r="B153" i="13"/>
  <c r="B152" i="13"/>
  <c r="B151" i="13"/>
  <c r="D151" i="13" s="1"/>
  <c r="B150" i="13"/>
  <c r="B149" i="13"/>
  <c r="B148" i="13"/>
  <c r="C148" i="13" s="1"/>
  <c r="C147" i="13"/>
  <c r="B147" i="13"/>
  <c r="D147" i="13" s="1"/>
  <c r="D146" i="13"/>
  <c r="B146" i="13"/>
  <c r="C146" i="13" s="1"/>
  <c r="C145" i="13"/>
  <c r="B145" i="13"/>
  <c r="B144" i="13"/>
  <c r="D143" i="13"/>
  <c r="B143" i="13"/>
  <c r="C143" i="13" s="1"/>
  <c r="B142" i="13"/>
  <c r="B141" i="13"/>
  <c r="D141" i="13" s="1"/>
  <c r="B140" i="13"/>
  <c r="C140" i="13" s="1"/>
  <c r="B139" i="13"/>
  <c r="D139" i="13" s="1"/>
  <c r="D138" i="13"/>
  <c r="B138" i="13"/>
  <c r="C138" i="13" s="1"/>
  <c r="C137" i="13"/>
  <c r="B137" i="13"/>
  <c r="B136" i="13"/>
  <c r="B135" i="13"/>
  <c r="D135" i="13" s="1"/>
  <c r="B134" i="13"/>
  <c r="B133" i="13"/>
  <c r="B132" i="13"/>
  <c r="C132" i="13" s="1"/>
  <c r="C131" i="13"/>
  <c r="B131" i="13"/>
  <c r="D131" i="13" s="1"/>
  <c r="D130" i="13"/>
  <c r="B130" i="13"/>
  <c r="C130" i="13" s="1"/>
  <c r="C129" i="13"/>
  <c r="B129" i="13"/>
  <c r="B128" i="13"/>
  <c r="D127" i="13"/>
  <c r="B127" i="13"/>
  <c r="C127" i="13" s="1"/>
  <c r="B126" i="13"/>
  <c r="B125" i="13"/>
  <c r="D125" i="13" s="1"/>
  <c r="B124" i="13"/>
  <c r="C124" i="13" s="1"/>
  <c r="B123" i="13"/>
  <c r="D123" i="13" s="1"/>
  <c r="D122" i="13"/>
  <c r="B122" i="13"/>
  <c r="C122" i="13" s="1"/>
  <c r="C121" i="13"/>
  <c r="B121" i="13"/>
  <c r="B120" i="13"/>
  <c r="B119" i="13"/>
  <c r="D119" i="13" s="1"/>
  <c r="B118" i="13"/>
  <c r="B117" i="13"/>
  <c r="B116" i="13"/>
  <c r="C116" i="13" s="1"/>
  <c r="C115" i="13"/>
  <c r="B115" i="13"/>
  <c r="D115" i="13" s="1"/>
  <c r="D114" i="13"/>
  <c r="B114" i="13"/>
  <c r="C114" i="13" s="1"/>
  <c r="C113" i="13"/>
  <c r="B113" i="13"/>
  <c r="B112" i="13"/>
  <c r="D111" i="13"/>
  <c r="B111" i="13"/>
  <c r="C111" i="13" s="1"/>
  <c r="B110" i="13"/>
  <c r="B109" i="13"/>
  <c r="D109" i="13" s="1"/>
  <c r="B108" i="13"/>
  <c r="C108" i="13" s="1"/>
  <c r="B107" i="13"/>
  <c r="D107" i="13" s="1"/>
  <c r="D106" i="13"/>
  <c r="B106" i="13"/>
  <c r="C106" i="13" s="1"/>
  <c r="C105" i="13"/>
  <c r="B105" i="13"/>
  <c r="B104" i="13"/>
  <c r="B103" i="13"/>
  <c r="D103" i="13" s="1"/>
  <c r="B102" i="13"/>
  <c r="B101" i="13"/>
  <c r="B100" i="13"/>
  <c r="C100" i="13" s="1"/>
  <c r="C99" i="13"/>
  <c r="B99" i="13"/>
  <c r="D99" i="13" s="1"/>
  <c r="D98" i="13"/>
  <c r="B98" i="13"/>
  <c r="C98" i="13" s="1"/>
  <c r="C97" i="13"/>
  <c r="B97" i="13"/>
  <c r="B96" i="13"/>
  <c r="D95" i="13"/>
  <c r="B95" i="13"/>
  <c r="C95" i="13" s="1"/>
  <c r="B94" i="13"/>
  <c r="B93" i="13"/>
  <c r="D93" i="13" s="1"/>
  <c r="B92" i="13"/>
  <c r="C92" i="13" s="1"/>
  <c r="B91" i="13"/>
  <c r="D90" i="13"/>
  <c r="B90" i="13"/>
  <c r="C90" i="13" s="1"/>
  <c r="C89" i="13"/>
  <c r="B89" i="13"/>
  <c r="B88" i="13"/>
  <c r="B87" i="13"/>
  <c r="D87" i="13" s="1"/>
  <c r="B86" i="13"/>
  <c r="B85" i="13"/>
  <c r="B84" i="13"/>
  <c r="C83" i="13"/>
  <c r="B83" i="13"/>
  <c r="D83" i="13" s="1"/>
  <c r="D82" i="13"/>
  <c r="B82" i="13"/>
  <c r="C82" i="13" s="1"/>
  <c r="C81" i="13"/>
  <c r="B81" i="13"/>
  <c r="B80" i="13"/>
  <c r="B79" i="13"/>
  <c r="C79" i="13" s="1"/>
  <c r="B78" i="13"/>
  <c r="B77" i="13"/>
  <c r="D77" i="13" s="1"/>
  <c r="B76" i="13"/>
  <c r="C76" i="13" s="1"/>
  <c r="B75" i="13"/>
  <c r="D74" i="13"/>
  <c r="B74" i="13"/>
  <c r="C74" i="13" s="1"/>
  <c r="C73" i="13"/>
  <c r="B73" i="13"/>
  <c r="B72" i="13"/>
  <c r="B71" i="13"/>
  <c r="D71" i="13" s="1"/>
  <c r="B70" i="13"/>
  <c r="B69" i="13"/>
  <c r="B68" i="13"/>
  <c r="C67" i="13"/>
  <c r="B67" i="13"/>
  <c r="D67" i="13" s="1"/>
  <c r="D66" i="13"/>
  <c r="B66" i="13"/>
  <c r="C66" i="13" s="1"/>
  <c r="C65" i="13"/>
  <c r="B65" i="13"/>
  <c r="B64" i="13"/>
  <c r="B63" i="13"/>
  <c r="B62" i="13"/>
  <c r="B61" i="13"/>
  <c r="D61" i="13" s="1"/>
  <c r="B60" i="13"/>
  <c r="C60" i="13" s="1"/>
  <c r="B59" i="13"/>
  <c r="D58" i="13"/>
  <c r="B58" i="13"/>
  <c r="C58" i="13" s="1"/>
  <c r="C57" i="13"/>
  <c r="B57" i="13"/>
  <c r="B56" i="13"/>
  <c r="B55" i="13"/>
  <c r="D55" i="13" s="1"/>
  <c r="B54" i="13"/>
  <c r="B53" i="13"/>
  <c r="B52" i="13"/>
  <c r="C51" i="13"/>
  <c r="B51" i="13"/>
  <c r="D51" i="13" s="1"/>
  <c r="D50" i="13"/>
  <c r="B50" i="13"/>
  <c r="C50" i="13" s="1"/>
  <c r="C49" i="13"/>
  <c r="B49" i="13"/>
  <c r="B48" i="13"/>
  <c r="B47" i="13"/>
  <c r="C47" i="13" s="1"/>
  <c r="B46" i="13"/>
  <c r="B45" i="13"/>
  <c r="D45" i="13" s="1"/>
  <c r="B44" i="13"/>
  <c r="C44" i="13" s="1"/>
  <c r="B43" i="13"/>
  <c r="D43" i="13" s="1"/>
  <c r="D42" i="13"/>
  <c r="B42" i="13"/>
  <c r="C42" i="13" s="1"/>
  <c r="C41" i="13"/>
  <c r="B41" i="13"/>
  <c r="B40" i="13"/>
  <c r="B39" i="13"/>
  <c r="D39" i="13" s="1"/>
  <c r="B38" i="13"/>
  <c r="B37" i="13"/>
  <c r="B36" i="13"/>
  <c r="C35" i="13"/>
  <c r="B35" i="13"/>
  <c r="D35" i="13" s="1"/>
  <c r="D34" i="13"/>
  <c r="B34" i="13"/>
  <c r="C34" i="13" s="1"/>
  <c r="C33" i="13"/>
  <c r="B33" i="13"/>
  <c r="B32" i="13"/>
  <c r="B31" i="13"/>
  <c r="C31" i="13" s="1"/>
  <c r="B30" i="13"/>
  <c r="B29" i="13"/>
  <c r="D29" i="13" s="1"/>
  <c r="B28" i="13"/>
  <c r="C28" i="13" s="1"/>
  <c r="B27" i="13"/>
  <c r="D27" i="13" s="1"/>
  <c r="D26" i="13"/>
  <c r="B26" i="13"/>
  <c r="C26" i="13" s="1"/>
  <c r="C25" i="13"/>
  <c r="B25" i="13"/>
  <c r="D24" i="13"/>
  <c r="B24" i="13"/>
  <c r="B23" i="13"/>
  <c r="D23" i="13" s="1"/>
  <c r="B22" i="13"/>
  <c r="B21" i="13"/>
  <c r="B20" i="13"/>
  <c r="C19" i="13"/>
  <c r="B19" i="13"/>
  <c r="D19" i="13" s="1"/>
  <c r="C18" i="13"/>
  <c r="B18" i="13"/>
  <c r="C17" i="13"/>
  <c r="B17" i="13"/>
  <c r="B16" i="13"/>
  <c r="C16" i="13" s="1"/>
  <c r="C15" i="13"/>
  <c r="B15" i="13"/>
  <c r="C14" i="13"/>
  <c r="B14" i="13"/>
  <c r="C13" i="13"/>
  <c r="B13" i="13"/>
  <c r="C12" i="13"/>
  <c r="B12" i="13"/>
  <c r="C11" i="13"/>
  <c r="B11" i="13"/>
  <c r="B10" i="13"/>
  <c r="C10" i="13" s="1"/>
  <c r="C9" i="13"/>
  <c r="B9" i="13"/>
  <c r="C8" i="13"/>
  <c r="B8" i="13"/>
  <c r="B7" i="13"/>
  <c r="C377" i="12"/>
  <c r="B377" i="12"/>
  <c r="D376" i="12"/>
  <c r="B376" i="12"/>
  <c r="C376" i="12" s="1"/>
  <c r="D375" i="12"/>
  <c r="C375" i="12"/>
  <c r="B375" i="12"/>
  <c r="C374" i="12"/>
  <c r="B374" i="12"/>
  <c r="B373" i="12"/>
  <c r="D373" i="12" s="1"/>
  <c r="B372" i="12"/>
  <c r="C372" i="12" s="1"/>
  <c r="B371" i="12"/>
  <c r="D371" i="12" s="1"/>
  <c r="D370" i="12"/>
  <c r="B370" i="12"/>
  <c r="C370" i="12" s="1"/>
  <c r="B369" i="12"/>
  <c r="D369" i="12" s="1"/>
  <c r="D368" i="12"/>
  <c r="B368" i="12"/>
  <c r="D367" i="12"/>
  <c r="B367" i="12"/>
  <c r="C367" i="12" s="1"/>
  <c r="D366" i="12"/>
  <c r="C366" i="12"/>
  <c r="B366" i="12"/>
  <c r="D365" i="12"/>
  <c r="B365" i="12"/>
  <c r="C365" i="12" s="1"/>
  <c r="B364" i="12"/>
  <c r="C364" i="12" s="1"/>
  <c r="B363" i="12"/>
  <c r="B362" i="12"/>
  <c r="C361" i="12"/>
  <c r="B361" i="12"/>
  <c r="B360" i="12"/>
  <c r="B359" i="12"/>
  <c r="D359" i="12" s="1"/>
  <c r="B358" i="12"/>
  <c r="D358" i="12" s="1"/>
  <c r="D357" i="12"/>
  <c r="B357" i="12"/>
  <c r="C357" i="12" s="1"/>
  <c r="B356" i="12"/>
  <c r="C356" i="12" s="1"/>
  <c r="C355" i="12"/>
  <c r="B355" i="12"/>
  <c r="D354" i="12"/>
  <c r="B354" i="12"/>
  <c r="C354" i="12" s="1"/>
  <c r="D353" i="12"/>
  <c r="C353" i="12"/>
  <c r="B353" i="12"/>
  <c r="B352" i="12"/>
  <c r="B351" i="12"/>
  <c r="D351" i="12" s="1"/>
  <c r="B350" i="12"/>
  <c r="B349" i="12"/>
  <c r="B348" i="12"/>
  <c r="B347" i="12"/>
  <c r="D347" i="12" s="1"/>
  <c r="B346" i="12"/>
  <c r="D346" i="12" s="1"/>
  <c r="B345" i="12"/>
  <c r="D345" i="12" s="1"/>
  <c r="D344" i="12"/>
  <c r="B344" i="12"/>
  <c r="D343" i="12"/>
  <c r="B343" i="12"/>
  <c r="C343" i="12" s="1"/>
  <c r="C342" i="12"/>
  <c r="B342" i="12"/>
  <c r="D341" i="12"/>
  <c r="B341" i="12"/>
  <c r="B340" i="12"/>
  <c r="C339" i="12"/>
  <c r="B339" i="12"/>
  <c r="B338" i="12"/>
  <c r="D338" i="12" s="1"/>
  <c r="C337" i="12"/>
  <c r="B337" i="12"/>
  <c r="B336" i="12"/>
  <c r="D335" i="12"/>
  <c r="B335" i="12"/>
  <c r="C335" i="12" s="1"/>
  <c r="B334" i="12"/>
  <c r="B333" i="12"/>
  <c r="B332" i="12"/>
  <c r="D331" i="12"/>
  <c r="C331" i="12"/>
  <c r="B331" i="12"/>
  <c r="D330" i="12"/>
  <c r="B330" i="12"/>
  <c r="C330" i="12" s="1"/>
  <c r="C329" i="12"/>
  <c r="B329" i="12"/>
  <c r="D328" i="12"/>
  <c r="B328" i="12"/>
  <c r="B327" i="12"/>
  <c r="C326" i="12"/>
  <c r="B326" i="12"/>
  <c r="B325" i="12"/>
  <c r="D325" i="12" s="1"/>
  <c r="B324" i="12"/>
  <c r="B323" i="12"/>
  <c r="D323" i="12" s="1"/>
  <c r="D322" i="12"/>
  <c r="B322" i="12"/>
  <c r="C322" i="12" s="1"/>
  <c r="B321" i="12"/>
  <c r="D320" i="12"/>
  <c r="B320" i="12"/>
  <c r="D319" i="12"/>
  <c r="B319" i="12"/>
  <c r="C319" i="12" s="1"/>
  <c r="D318" i="12"/>
  <c r="C318" i="12"/>
  <c r="B318" i="12"/>
  <c r="D317" i="12"/>
  <c r="B317" i="12"/>
  <c r="C317" i="12" s="1"/>
  <c r="B316" i="12"/>
  <c r="C316" i="12" s="1"/>
  <c r="B315" i="12"/>
  <c r="B314" i="12"/>
  <c r="C313" i="12"/>
  <c r="B313" i="12"/>
  <c r="B312" i="12"/>
  <c r="B311" i="12"/>
  <c r="B310" i="12"/>
  <c r="B309" i="12"/>
  <c r="C309" i="12" s="1"/>
  <c r="B308" i="12"/>
  <c r="C308" i="12" s="1"/>
  <c r="C307" i="12"/>
  <c r="B307" i="12"/>
  <c r="D306" i="12"/>
  <c r="B306" i="12"/>
  <c r="C306" i="12" s="1"/>
  <c r="D305" i="12"/>
  <c r="C305" i="12"/>
  <c r="B305" i="12"/>
  <c r="B304" i="12"/>
  <c r="B303" i="12"/>
  <c r="D303" i="12" s="1"/>
  <c r="B302" i="12"/>
  <c r="B301" i="12"/>
  <c r="B300" i="12"/>
  <c r="B299" i="12"/>
  <c r="B298" i="12"/>
  <c r="B297" i="12"/>
  <c r="D296" i="12"/>
  <c r="B296" i="12"/>
  <c r="D295" i="12"/>
  <c r="B295" i="12"/>
  <c r="C295" i="12" s="1"/>
  <c r="C294" i="12"/>
  <c r="B294" i="12"/>
  <c r="D293" i="12"/>
  <c r="B293" i="12"/>
  <c r="C293" i="12" s="1"/>
  <c r="B292" i="12"/>
  <c r="D304" i="12" s="1"/>
  <c r="B291" i="12"/>
  <c r="B290" i="12"/>
  <c r="C289" i="12"/>
  <c r="B289" i="12"/>
  <c r="B288" i="12"/>
  <c r="B287" i="12"/>
  <c r="C287" i="12" s="1"/>
  <c r="B286" i="12"/>
  <c r="D286" i="12" s="1"/>
  <c r="B285" i="12"/>
  <c r="B284" i="12"/>
  <c r="C283" i="12"/>
  <c r="B283" i="12"/>
  <c r="D282" i="12"/>
  <c r="B282" i="12"/>
  <c r="C282" i="12" s="1"/>
  <c r="D281" i="12"/>
  <c r="C281" i="12"/>
  <c r="B281" i="12"/>
  <c r="D280" i="12"/>
  <c r="B280" i="12"/>
  <c r="C280" i="12" s="1"/>
  <c r="C279" i="12"/>
  <c r="B279" i="12"/>
  <c r="D291" i="12" s="1"/>
  <c r="D278" i="12"/>
  <c r="B278" i="12"/>
  <c r="C278" i="12" s="1"/>
  <c r="D277" i="12"/>
  <c r="C277" i="12"/>
  <c r="B277" i="12"/>
  <c r="D289" i="12" s="1"/>
  <c r="D276" i="12"/>
  <c r="B276" i="12"/>
  <c r="C276" i="12" s="1"/>
  <c r="C275" i="12"/>
  <c r="B275" i="12"/>
  <c r="D274" i="12"/>
  <c r="B274" i="12"/>
  <c r="C274" i="12" s="1"/>
  <c r="D273" i="12"/>
  <c r="C273" i="12"/>
  <c r="B273" i="12"/>
  <c r="D272" i="12"/>
  <c r="B272" i="12"/>
  <c r="C272" i="12" s="1"/>
  <c r="C271" i="12"/>
  <c r="B271" i="12"/>
  <c r="D283" i="12" s="1"/>
  <c r="B270" i="12"/>
  <c r="C270" i="12" s="1"/>
  <c r="D269" i="12"/>
  <c r="C269" i="12"/>
  <c r="B269" i="12"/>
  <c r="D268" i="12"/>
  <c r="B268" i="12"/>
  <c r="B267" i="12"/>
  <c r="D266" i="12"/>
  <c r="B266" i="12"/>
  <c r="C266" i="12" s="1"/>
  <c r="D265" i="12"/>
  <c r="C265" i="12"/>
  <c r="B265" i="12"/>
  <c r="D264" i="12"/>
  <c r="B264" i="12"/>
  <c r="B263" i="12"/>
  <c r="B262" i="12"/>
  <c r="C262" i="12" s="1"/>
  <c r="D261" i="12"/>
  <c r="C261" i="12"/>
  <c r="B261" i="12"/>
  <c r="D260" i="12"/>
  <c r="B260" i="12"/>
  <c r="B259" i="12"/>
  <c r="B258" i="12"/>
  <c r="C258" i="12" s="1"/>
  <c r="D257" i="12"/>
  <c r="C257" i="12"/>
  <c r="B257" i="12"/>
  <c r="D256" i="12"/>
  <c r="B256" i="12"/>
  <c r="C256" i="12" s="1"/>
  <c r="C255" i="12"/>
  <c r="B255" i="12"/>
  <c r="B254" i="12"/>
  <c r="C254" i="12" s="1"/>
  <c r="C253" i="12"/>
  <c r="B253" i="12"/>
  <c r="D252" i="12"/>
  <c r="B252" i="12"/>
  <c r="C252" i="12" s="1"/>
  <c r="B251" i="12"/>
  <c r="B250" i="12"/>
  <c r="C250" i="12" s="1"/>
  <c r="C249" i="12"/>
  <c r="B249" i="12"/>
  <c r="D248" i="12"/>
  <c r="B248" i="12"/>
  <c r="B247" i="12"/>
  <c r="B246" i="12"/>
  <c r="C245" i="12"/>
  <c r="B245" i="12"/>
  <c r="B244" i="12"/>
  <c r="C244" i="12" s="1"/>
  <c r="C243" i="12"/>
  <c r="B243" i="12"/>
  <c r="B242" i="12"/>
  <c r="C242" i="12" s="1"/>
  <c r="C241" i="12"/>
  <c r="B241" i="12"/>
  <c r="D253" i="12" s="1"/>
  <c r="B240" i="12"/>
  <c r="C240" i="12" s="1"/>
  <c r="B239" i="12"/>
  <c r="D239" i="12" s="1"/>
  <c r="D238" i="12"/>
  <c r="B238" i="12"/>
  <c r="C238" i="12" s="1"/>
  <c r="C237" i="12"/>
  <c r="B237" i="12"/>
  <c r="D249" i="12" s="1"/>
  <c r="B236" i="12"/>
  <c r="B235" i="12"/>
  <c r="B234" i="12"/>
  <c r="B233" i="12"/>
  <c r="B232" i="12"/>
  <c r="C232" i="12" s="1"/>
  <c r="B231" i="12"/>
  <c r="D231" i="12" s="1"/>
  <c r="D230" i="12"/>
  <c r="B230" i="12"/>
  <c r="C229" i="12"/>
  <c r="B229" i="12"/>
  <c r="B228" i="12"/>
  <c r="C228" i="12" s="1"/>
  <c r="B227" i="12"/>
  <c r="D227" i="12" s="1"/>
  <c r="B226" i="12"/>
  <c r="B225" i="12"/>
  <c r="D225" i="12" s="1"/>
  <c r="B224" i="12"/>
  <c r="B223" i="12"/>
  <c r="D223" i="12" s="1"/>
  <c r="D222" i="12"/>
  <c r="B222" i="12"/>
  <c r="C222" i="12" s="1"/>
  <c r="C221" i="12"/>
  <c r="B221" i="12"/>
  <c r="B220" i="12"/>
  <c r="B219" i="12"/>
  <c r="B218" i="12"/>
  <c r="C217" i="12"/>
  <c r="B217" i="12"/>
  <c r="D217" i="12" s="1"/>
  <c r="B216" i="12"/>
  <c r="C216" i="12" s="1"/>
  <c r="B215" i="12"/>
  <c r="D214" i="12"/>
  <c r="B214" i="12"/>
  <c r="C213" i="12"/>
  <c r="B213" i="12"/>
  <c r="B212" i="12"/>
  <c r="C212" i="12" s="1"/>
  <c r="B211" i="12"/>
  <c r="D211" i="12" s="1"/>
  <c r="B210" i="12"/>
  <c r="B209" i="12"/>
  <c r="D209" i="12" s="1"/>
  <c r="B208" i="12"/>
  <c r="B207" i="12"/>
  <c r="D207" i="12" s="1"/>
  <c r="D206" i="12"/>
  <c r="B206" i="12"/>
  <c r="C206" i="12" s="1"/>
  <c r="C205" i="12"/>
  <c r="B205" i="12"/>
  <c r="B204" i="12"/>
  <c r="B203" i="12"/>
  <c r="B202" i="12"/>
  <c r="C201" i="12"/>
  <c r="B201" i="12"/>
  <c r="B200" i="12"/>
  <c r="C200" i="12" s="1"/>
  <c r="B199" i="12"/>
  <c r="D199" i="12" s="1"/>
  <c r="D198" i="12"/>
  <c r="B198" i="12"/>
  <c r="C197" i="12"/>
  <c r="B197" i="12"/>
  <c r="D197" i="12" s="1"/>
  <c r="B196" i="12"/>
  <c r="C196" i="12" s="1"/>
  <c r="B195" i="12"/>
  <c r="B194" i="12"/>
  <c r="D193" i="12"/>
  <c r="C193" i="12"/>
  <c r="B193" i="12"/>
  <c r="D192" i="12"/>
  <c r="B192" i="12"/>
  <c r="B191" i="12"/>
  <c r="D191" i="12" s="1"/>
  <c r="B190" i="12"/>
  <c r="C190" i="12" s="1"/>
  <c r="B189" i="12"/>
  <c r="D189" i="12" s="1"/>
  <c r="D188" i="12"/>
  <c r="B188" i="12"/>
  <c r="C188" i="12" s="1"/>
  <c r="D187" i="12"/>
  <c r="B187" i="12"/>
  <c r="C187" i="12" s="1"/>
  <c r="B186" i="12"/>
  <c r="C186" i="12" s="1"/>
  <c r="C185" i="12"/>
  <c r="B185" i="12"/>
  <c r="B184" i="12"/>
  <c r="B183" i="12"/>
  <c r="B182" i="12"/>
  <c r="C182" i="12" s="1"/>
  <c r="D181" i="12"/>
  <c r="C181" i="12"/>
  <c r="B181" i="12"/>
  <c r="D180" i="12"/>
  <c r="B180" i="12"/>
  <c r="B179" i="12"/>
  <c r="D179" i="12" s="1"/>
  <c r="B178" i="12"/>
  <c r="B177" i="12"/>
  <c r="D177" i="12" s="1"/>
  <c r="D176" i="12"/>
  <c r="B176" i="12"/>
  <c r="C176" i="12" s="1"/>
  <c r="D175" i="12"/>
  <c r="B175" i="12"/>
  <c r="C175" i="12" s="1"/>
  <c r="B174" i="12"/>
  <c r="C174" i="12" s="1"/>
  <c r="C173" i="12"/>
  <c r="B173" i="12"/>
  <c r="D185" i="12" s="1"/>
  <c r="B172" i="12"/>
  <c r="C172" i="12" s="1"/>
  <c r="B171" i="12"/>
  <c r="B170" i="12"/>
  <c r="D169" i="12"/>
  <c r="C169" i="12"/>
  <c r="B169" i="12"/>
  <c r="D168" i="12"/>
  <c r="B168" i="12"/>
  <c r="B167" i="12"/>
  <c r="D167" i="12" s="1"/>
  <c r="B166" i="12"/>
  <c r="C166" i="12" s="1"/>
  <c r="B165" i="12"/>
  <c r="D165" i="12" s="1"/>
  <c r="D164" i="12"/>
  <c r="B164" i="12"/>
  <c r="C164" i="12" s="1"/>
  <c r="D163" i="12"/>
  <c r="B163" i="12"/>
  <c r="C163" i="12" s="1"/>
  <c r="B162" i="12"/>
  <c r="C162" i="12" s="1"/>
  <c r="C161" i="12"/>
  <c r="B161" i="12"/>
  <c r="B160" i="12"/>
  <c r="B159" i="12"/>
  <c r="B158" i="12"/>
  <c r="C158" i="12" s="1"/>
  <c r="D157" i="12"/>
  <c r="C157" i="12"/>
  <c r="B157" i="12"/>
  <c r="D156" i="12"/>
  <c r="B156" i="12"/>
  <c r="B155" i="12"/>
  <c r="D155" i="12" s="1"/>
  <c r="B154" i="12"/>
  <c r="B153" i="12"/>
  <c r="D153" i="12" s="1"/>
  <c r="D152" i="12"/>
  <c r="B152" i="12"/>
  <c r="C152" i="12" s="1"/>
  <c r="D151" i="12"/>
  <c r="B151" i="12"/>
  <c r="C151" i="12" s="1"/>
  <c r="B150" i="12"/>
  <c r="C150" i="12" s="1"/>
  <c r="C149" i="12"/>
  <c r="B149" i="12"/>
  <c r="D161" i="12" s="1"/>
  <c r="B148" i="12"/>
  <c r="C148" i="12" s="1"/>
  <c r="B147" i="12"/>
  <c r="B146" i="12"/>
  <c r="D145" i="12"/>
  <c r="C145" i="12"/>
  <c r="B145" i="12"/>
  <c r="D144" i="12"/>
  <c r="B144" i="12"/>
  <c r="B143" i="12"/>
  <c r="D143" i="12" s="1"/>
  <c r="B142" i="12"/>
  <c r="C142" i="12" s="1"/>
  <c r="B141" i="12"/>
  <c r="D141" i="12" s="1"/>
  <c r="D140" i="12"/>
  <c r="B140" i="12"/>
  <c r="C140" i="12" s="1"/>
  <c r="D139" i="12"/>
  <c r="B139" i="12"/>
  <c r="C139" i="12" s="1"/>
  <c r="B138" i="12"/>
  <c r="C138" i="12" s="1"/>
  <c r="C137" i="12"/>
  <c r="B137" i="12"/>
  <c r="B136" i="12"/>
  <c r="B135" i="12"/>
  <c r="B134" i="12"/>
  <c r="C134" i="12" s="1"/>
  <c r="D133" i="12"/>
  <c r="C133" i="12"/>
  <c r="B133" i="12"/>
  <c r="D132" i="12"/>
  <c r="B132" i="12"/>
  <c r="B131" i="12"/>
  <c r="D131" i="12" s="1"/>
  <c r="B130" i="12"/>
  <c r="B129" i="12"/>
  <c r="D129" i="12" s="1"/>
  <c r="D128" i="12"/>
  <c r="B128" i="12"/>
  <c r="C128" i="12" s="1"/>
  <c r="D127" i="12"/>
  <c r="B127" i="12"/>
  <c r="C127" i="12" s="1"/>
  <c r="B126" i="12"/>
  <c r="C126" i="12" s="1"/>
  <c r="C125" i="12"/>
  <c r="B125" i="12"/>
  <c r="D137" i="12" s="1"/>
  <c r="B124" i="12"/>
  <c r="B123" i="12"/>
  <c r="B122" i="12"/>
  <c r="C121" i="12"/>
  <c r="B121" i="12"/>
  <c r="D121" i="12" s="1"/>
  <c r="D120" i="12"/>
  <c r="B120" i="12"/>
  <c r="B119" i="12"/>
  <c r="B118" i="12"/>
  <c r="C118" i="12" s="1"/>
  <c r="B117" i="12"/>
  <c r="D117" i="12" s="1"/>
  <c r="D116" i="12"/>
  <c r="B116" i="12"/>
  <c r="C116" i="12" s="1"/>
  <c r="D115" i="12"/>
  <c r="B115" i="12"/>
  <c r="C115" i="12" s="1"/>
  <c r="B114" i="12"/>
  <c r="C114" i="12" s="1"/>
  <c r="C113" i="12"/>
  <c r="B113" i="12"/>
  <c r="B112" i="12"/>
  <c r="B111" i="12"/>
  <c r="C111" i="12" s="1"/>
  <c r="B110" i="12"/>
  <c r="C110" i="12" s="1"/>
  <c r="D109" i="12"/>
  <c r="C109" i="12"/>
  <c r="B109" i="12"/>
  <c r="D108" i="12"/>
  <c r="B108" i="12"/>
  <c r="B107" i="12"/>
  <c r="B106" i="12"/>
  <c r="B105" i="12"/>
  <c r="D105" i="12" s="1"/>
  <c r="D104" i="12"/>
  <c r="B104" i="12"/>
  <c r="C104" i="12" s="1"/>
  <c r="D103" i="12"/>
  <c r="B103" i="12"/>
  <c r="B102" i="12"/>
  <c r="D101" i="12"/>
  <c r="C101" i="12"/>
  <c r="B101" i="12"/>
  <c r="D113" i="12" s="1"/>
  <c r="B100" i="12"/>
  <c r="B99" i="12"/>
  <c r="D99" i="12" s="1"/>
  <c r="B98" i="12"/>
  <c r="C97" i="12"/>
  <c r="B97" i="12"/>
  <c r="D97" i="12" s="1"/>
  <c r="D96" i="12"/>
  <c r="B96" i="12"/>
  <c r="B95" i="12"/>
  <c r="B94" i="12"/>
  <c r="C94" i="12" s="1"/>
  <c r="B93" i="12"/>
  <c r="D93" i="12" s="1"/>
  <c r="D92" i="12"/>
  <c r="B92" i="12"/>
  <c r="C92" i="12" s="1"/>
  <c r="D91" i="12"/>
  <c r="B91" i="12"/>
  <c r="C91" i="12" s="1"/>
  <c r="B90" i="12"/>
  <c r="C90" i="12" s="1"/>
  <c r="C89" i="12"/>
  <c r="B89" i="12"/>
  <c r="B88" i="12"/>
  <c r="B87" i="12"/>
  <c r="C87" i="12" s="1"/>
  <c r="B86" i="12"/>
  <c r="C86" i="12" s="1"/>
  <c r="D85" i="12"/>
  <c r="C85" i="12"/>
  <c r="B85" i="12"/>
  <c r="D84" i="12"/>
  <c r="B84" i="12"/>
  <c r="B83" i="12"/>
  <c r="B82" i="12"/>
  <c r="B81" i="12"/>
  <c r="D81" i="12" s="1"/>
  <c r="D80" i="12"/>
  <c r="B80" i="12"/>
  <c r="C80" i="12" s="1"/>
  <c r="D79" i="12"/>
  <c r="B79" i="12"/>
  <c r="C79" i="12" s="1"/>
  <c r="B78" i="12"/>
  <c r="D77" i="12"/>
  <c r="B77" i="12"/>
  <c r="D89" i="12" s="1"/>
  <c r="B76" i="12"/>
  <c r="B75" i="12"/>
  <c r="C75" i="12" s="1"/>
  <c r="B74" i="12"/>
  <c r="C73" i="12"/>
  <c r="B73" i="12"/>
  <c r="D73" i="12" s="1"/>
  <c r="D72" i="12"/>
  <c r="B72" i="12"/>
  <c r="B71" i="12"/>
  <c r="B70" i="12"/>
  <c r="B69" i="12"/>
  <c r="D69" i="12" s="1"/>
  <c r="D68" i="12"/>
  <c r="B68" i="12"/>
  <c r="C68" i="12" s="1"/>
  <c r="D67" i="12"/>
  <c r="B67" i="12"/>
  <c r="B66" i="12"/>
  <c r="C66" i="12" s="1"/>
  <c r="C65" i="12"/>
  <c r="B65" i="12"/>
  <c r="B64" i="12"/>
  <c r="B63" i="12"/>
  <c r="C63" i="12" s="1"/>
  <c r="B62" i="12"/>
  <c r="C62" i="12" s="1"/>
  <c r="D61" i="12"/>
  <c r="C61" i="12"/>
  <c r="B61" i="12"/>
  <c r="D60" i="12"/>
  <c r="B60" i="12"/>
  <c r="B59" i="12"/>
  <c r="B58" i="12"/>
  <c r="B57" i="12"/>
  <c r="D56" i="12"/>
  <c r="B56" i="12"/>
  <c r="C56" i="12" s="1"/>
  <c r="D55" i="12"/>
  <c r="B55" i="12"/>
  <c r="B54" i="12"/>
  <c r="D53" i="12"/>
  <c r="C53" i="12"/>
  <c r="B53" i="12"/>
  <c r="D65" i="12" s="1"/>
  <c r="B52" i="12"/>
  <c r="D51" i="12"/>
  <c r="B51" i="12"/>
  <c r="C51" i="12" s="1"/>
  <c r="B50" i="12"/>
  <c r="C49" i="12"/>
  <c r="B49" i="12"/>
  <c r="D49" i="12" s="1"/>
  <c r="D48" i="12"/>
  <c r="B48" i="12"/>
  <c r="C47" i="12"/>
  <c r="B47" i="12"/>
  <c r="D47" i="12" s="1"/>
  <c r="B46" i="12"/>
  <c r="B45" i="12"/>
  <c r="D44" i="12"/>
  <c r="B44" i="12"/>
  <c r="C44" i="12" s="1"/>
  <c r="D43" i="12"/>
  <c r="B43" i="12"/>
  <c r="C43" i="12" s="1"/>
  <c r="B42" i="12"/>
  <c r="C42" i="12" s="1"/>
  <c r="C41" i="12"/>
  <c r="B41" i="12"/>
  <c r="B40" i="12"/>
  <c r="C39" i="12"/>
  <c r="B39" i="12"/>
  <c r="B38" i="12"/>
  <c r="C38" i="12" s="1"/>
  <c r="D37" i="12"/>
  <c r="C37" i="12"/>
  <c r="B37" i="12"/>
  <c r="D36" i="12"/>
  <c r="B36" i="12"/>
  <c r="B35" i="12"/>
  <c r="B34" i="12"/>
  <c r="B33" i="12"/>
  <c r="B32" i="12"/>
  <c r="C32" i="12" s="1"/>
  <c r="B31" i="12"/>
  <c r="C31" i="12" s="1"/>
  <c r="B30" i="12"/>
  <c r="B29" i="12"/>
  <c r="D41" i="12" s="1"/>
  <c r="B28" i="12"/>
  <c r="B27" i="12"/>
  <c r="B26" i="12"/>
  <c r="C25" i="12"/>
  <c r="B25" i="12"/>
  <c r="D24" i="12"/>
  <c r="B24" i="12"/>
  <c r="C23" i="12"/>
  <c r="B23" i="12"/>
  <c r="B22" i="12"/>
  <c r="B21" i="12"/>
  <c r="D21" i="12" s="1"/>
  <c r="B20" i="12"/>
  <c r="B19" i="12"/>
  <c r="C19" i="12" s="1"/>
  <c r="B18" i="12"/>
  <c r="B17" i="12"/>
  <c r="C17" i="12" s="1"/>
  <c r="B16" i="12"/>
  <c r="C16" i="12" s="1"/>
  <c r="B15" i="12"/>
  <c r="B14" i="12"/>
  <c r="C15" i="12" s="1"/>
  <c r="B13" i="12"/>
  <c r="C13" i="12" s="1"/>
  <c r="B12" i="12"/>
  <c r="B11" i="12"/>
  <c r="C11" i="12" s="1"/>
  <c r="B10" i="12"/>
  <c r="C10" i="12" s="1"/>
  <c r="B9" i="12"/>
  <c r="B8" i="12"/>
  <c r="C9" i="12" s="1"/>
  <c r="B7" i="12"/>
  <c r="C377" i="11"/>
  <c r="B377" i="11"/>
  <c r="D376" i="11"/>
  <c r="C376" i="11"/>
  <c r="B376" i="11"/>
  <c r="D375" i="11"/>
  <c r="B375" i="11"/>
  <c r="B374" i="11"/>
  <c r="C375" i="11" s="1"/>
  <c r="C373" i="11"/>
  <c r="B373" i="11"/>
  <c r="D372" i="11"/>
  <c r="C372" i="11"/>
  <c r="B372" i="11"/>
  <c r="D371" i="11"/>
  <c r="B371" i="11"/>
  <c r="D370" i="11"/>
  <c r="B370" i="11"/>
  <c r="C371" i="11" s="1"/>
  <c r="D369" i="11"/>
  <c r="C369" i="11"/>
  <c r="B369" i="11"/>
  <c r="D368" i="11"/>
  <c r="C368" i="11"/>
  <c r="B368" i="11"/>
  <c r="D367" i="11"/>
  <c r="B367" i="11"/>
  <c r="C366" i="11"/>
  <c r="B366" i="11"/>
  <c r="C367" i="11" s="1"/>
  <c r="C365" i="11"/>
  <c r="B365" i="11"/>
  <c r="D365" i="11" s="1"/>
  <c r="D364" i="11"/>
  <c r="C364" i="11"/>
  <c r="B364" i="11"/>
  <c r="D363" i="11"/>
  <c r="B363" i="11"/>
  <c r="D362" i="11"/>
  <c r="B362" i="11"/>
  <c r="C363" i="11" s="1"/>
  <c r="B361" i="11"/>
  <c r="D361" i="11" s="1"/>
  <c r="D360" i="11"/>
  <c r="C360" i="11"/>
  <c r="B360" i="11"/>
  <c r="D359" i="11"/>
  <c r="B359" i="11"/>
  <c r="C358" i="11"/>
  <c r="B358" i="11"/>
  <c r="C359" i="11" s="1"/>
  <c r="D357" i="11"/>
  <c r="B357" i="11"/>
  <c r="C357" i="11" s="1"/>
  <c r="D356" i="11"/>
  <c r="C356" i="11"/>
  <c r="B356" i="11"/>
  <c r="D355" i="11"/>
  <c r="B355" i="11"/>
  <c r="B354" i="11"/>
  <c r="D353" i="11"/>
  <c r="C353" i="11"/>
  <c r="B353" i="11"/>
  <c r="D352" i="11"/>
  <c r="C352" i="11"/>
  <c r="B352" i="11"/>
  <c r="D351" i="11"/>
  <c r="B351" i="11"/>
  <c r="B350" i="11"/>
  <c r="C351" i="11" s="1"/>
  <c r="D349" i="11"/>
  <c r="B349" i="11"/>
  <c r="C349" i="11" s="1"/>
  <c r="D348" i="11"/>
  <c r="C348" i="11"/>
  <c r="B348" i="11"/>
  <c r="D347" i="11"/>
  <c r="B347" i="11"/>
  <c r="B346" i="11"/>
  <c r="C347" i="11" s="1"/>
  <c r="C345" i="11"/>
  <c r="B345" i="11"/>
  <c r="D345" i="11" s="1"/>
  <c r="D344" i="11"/>
  <c r="C344" i="11"/>
  <c r="B344" i="11"/>
  <c r="B343" i="11"/>
  <c r="B342" i="11"/>
  <c r="C343" i="11" s="1"/>
  <c r="B341" i="11"/>
  <c r="C342" i="11" s="1"/>
  <c r="D340" i="11"/>
  <c r="C340" i="11"/>
  <c r="B340" i="11"/>
  <c r="B339" i="11"/>
  <c r="C338" i="11"/>
  <c r="B338" i="11"/>
  <c r="C339" i="11" s="1"/>
  <c r="B337" i="11"/>
  <c r="C337" i="11" s="1"/>
  <c r="C336" i="11"/>
  <c r="B336" i="11"/>
  <c r="B335" i="11"/>
  <c r="D334" i="11"/>
  <c r="B334" i="11"/>
  <c r="C335" i="11" s="1"/>
  <c r="C333" i="11"/>
  <c r="B333" i="11"/>
  <c r="B332" i="11"/>
  <c r="D332" i="11" s="1"/>
  <c r="B331" i="11"/>
  <c r="D330" i="11"/>
  <c r="B330" i="11"/>
  <c r="D342" i="11" s="1"/>
  <c r="B329" i="11"/>
  <c r="D329" i="11" s="1"/>
  <c r="C328" i="11"/>
  <c r="B328" i="11"/>
  <c r="B327" i="11"/>
  <c r="B326" i="11"/>
  <c r="D325" i="11"/>
  <c r="C325" i="11"/>
  <c r="B325" i="11"/>
  <c r="D337" i="11" s="1"/>
  <c r="C324" i="11"/>
  <c r="B324" i="11"/>
  <c r="B323" i="11"/>
  <c r="B322" i="11"/>
  <c r="D322" i="11" s="1"/>
  <c r="C321" i="11"/>
  <c r="B321" i="11"/>
  <c r="D333" i="11" s="1"/>
  <c r="D320" i="11"/>
  <c r="B320" i="11"/>
  <c r="C320" i="11" s="1"/>
  <c r="B319" i="11"/>
  <c r="B318" i="11"/>
  <c r="B317" i="11"/>
  <c r="C318" i="11" s="1"/>
  <c r="D316" i="11"/>
  <c r="B316" i="11"/>
  <c r="D328" i="11" s="1"/>
  <c r="B315" i="11"/>
  <c r="C314" i="11"/>
  <c r="B314" i="11"/>
  <c r="B313" i="11"/>
  <c r="B312" i="11"/>
  <c r="B311" i="11"/>
  <c r="D310" i="11"/>
  <c r="B310" i="11"/>
  <c r="C310" i="11" s="1"/>
  <c r="C309" i="11"/>
  <c r="B309" i="11"/>
  <c r="B308" i="11"/>
  <c r="D308" i="11" s="1"/>
  <c r="B307" i="11"/>
  <c r="D306" i="11"/>
  <c r="B306" i="11"/>
  <c r="D318" i="11" s="1"/>
  <c r="B305" i="11"/>
  <c r="D305" i="11" s="1"/>
  <c r="C304" i="11"/>
  <c r="B304" i="11"/>
  <c r="B303" i="11"/>
  <c r="B302" i="11"/>
  <c r="D301" i="11"/>
  <c r="C301" i="11"/>
  <c r="B301" i="11"/>
  <c r="D313" i="11" s="1"/>
  <c r="C300" i="11"/>
  <c r="B300" i="11"/>
  <c r="B299" i="11"/>
  <c r="B298" i="11"/>
  <c r="D298" i="11" s="1"/>
  <c r="C297" i="11"/>
  <c r="B297" i="11"/>
  <c r="D309" i="11" s="1"/>
  <c r="D296" i="11"/>
  <c r="B296" i="11"/>
  <c r="C296" i="11" s="1"/>
  <c r="B295" i="11"/>
  <c r="B294" i="11"/>
  <c r="B293" i="11"/>
  <c r="C294" i="11" s="1"/>
  <c r="D292" i="11"/>
  <c r="B292" i="11"/>
  <c r="D304" i="11" s="1"/>
  <c r="B291" i="11"/>
  <c r="C290" i="11"/>
  <c r="B290" i="11"/>
  <c r="B289" i="11"/>
  <c r="B288" i="11"/>
  <c r="B287" i="11"/>
  <c r="D286" i="11"/>
  <c r="B286" i="11"/>
  <c r="C286" i="11" s="1"/>
  <c r="C285" i="11"/>
  <c r="B285" i="11"/>
  <c r="B284" i="11"/>
  <c r="D284" i="11" s="1"/>
  <c r="B283" i="11"/>
  <c r="D282" i="11"/>
  <c r="B282" i="11"/>
  <c r="D294" i="11" s="1"/>
  <c r="B281" i="11"/>
  <c r="D281" i="11" s="1"/>
  <c r="C280" i="11"/>
  <c r="B280" i="11"/>
  <c r="B279" i="11"/>
  <c r="B278" i="11"/>
  <c r="D277" i="11"/>
  <c r="C277" i="11"/>
  <c r="B277" i="11"/>
  <c r="D289" i="11" s="1"/>
  <c r="C276" i="11"/>
  <c r="B276" i="11"/>
  <c r="B275" i="11"/>
  <c r="B274" i="11"/>
  <c r="D274" i="11" s="1"/>
  <c r="C273" i="11"/>
  <c r="B273" i="11"/>
  <c r="D285" i="11" s="1"/>
  <c r="D272" i="11"/>
  <c r="B272" i="11"/>
  <c r="C272" i="11" s="1"/>
  <c r="B271" i="11"/>
  <c r="B270" i="11"/>
  <c r="B269" i="11"/>
  <c r="C270" i="11" s="1"/>
  <c r="D268" i="11"/>
  <c r="B268" i="11"/>
  <c r="D280" i="11" s="1"/>
  <c r="B267" i="11"/>
  <c r="C266" i="11"/>
  <c r="B266" i="11"/>
  <c r="B265" i="11"/>
  <c r="B264" i="11"/>
  <c r="B263" i="11"/>
  <c r="D262" i="11"/>
  <c r="B262" i="11"/>
  <c r="C262" i="11" s="1"/>
  <c r="C261" i="11"/>
  <c r="B261" i="11"/>
  <c r="B260" i="11"/>
  <c r="D260" i="11" s="1"/>
  <c r="B259" i="11"/>
  <c r="D258" i="11"/>
  <c r="B258" i="11"/>
  <c r="D270" i="11" s="1"/>
  <c r="B257" i="11"/>
  <c r="D257" i="11" s="1"/>
  <c r="C256" i="11"/>
  <c r="B256" i="11"/>
  <c r="B255" i="11"/>
  <c r="B254" i="11"/>
  <c r="D253" i="11"/>
  <c r="C253" i="11"/>
  <c r="B253" i="11"/>
  <c r="D265" i="11" s="1"/>
  <c r="C252" i="11"/>
  <c r="B252" i="11"/>
  <c r="D252" i="11" s="1"/>
  <c r="B251" i="11"/>
  <c r="B250" i="11"/>
  <c r="D250" i="11" s="1"/>
  <c r="C249" i="11"/>
  <c r="B249" i="11"/>
  <c r="D261" i="11" s="1"/>
  <c r="D248" i="11"/>
  <c r="B248" i="11"/>
  <c r="C248" i="11" s="1"/>
  <c r="B247" i="11"/>
  <c r="B246" i="11"/>
  <c r="B245" i="11"/>
  <c r="C246" i="11" s="1"/>
  <c r="D244" i="11"/>
  <c r="B244" i="11"/>
  <c r="D256" i="11" s="1"/>
  <c r="B243" i="11"/>
  <c r="C242" i="11"/>
  <c r="B242" i="11"/>
  <c r="B241" i="11"/>
  <c r="B240" i="11"/>
  <c r="B239" i="11"/>
  <c r="D238" i="11"/>
  <c r="B238" i="11"/>
  <c r="C238" i="11" s="1"/>
  <c r="C237" i="11"/>
  <c r="B237" i="11"/>
  <c r="B236" i="11"/>
  <c r="D236" i="11" s="1"/>
  <c r="B235" i="11"/>
  <c r="D234" i="11"/>
  <c r="B234" i="11"/>
  <c r="D246" i="11" s="1"/>
  <c r="B233" i="11"/>
  <c r="D233" i="11" s="1"/>
  <c r="C232" i="11"/>
  <c r="B232" i="11"/>
  <c r="B231" i="11"/>
  <c r="B230" i="11"/>
  <c r="D229" i="11"/>
  <c r="C229" i="11"/>
  <c r="B229" i="11"/>
  <c r="D241" i="11" s="1"/>
  <c r="C228" i="11"/>
  <c r="B228" i="11"/>
  <c r="D228" i="11" s="1"/>
  <c r="B227" i="11"/>
  <c r="B226" i="11"/>
  <c r="D226" i="11" s="1"/>
  <c r="C225" i="11"/>
  <c r="B225" i="11"/>
  <c r="D237" i="11" s="1"/>
  <c r="D224" i="11"/>
  <c r="B224" i="11"/>
  <c r="C224" i="11" s="1"/>
  <c r="B223" i="11"/>
  <c r="B222" i="11"/>
  <c r="B221" i="11"/>
  <c r="C222" i="11" s="1"/>
  <c r="D220" i="11"/>
  <c r="B220" i="11"/>
  <c r="D232" i="11" s="1"/>
  <c r="B219" i="11"/>
  <c r="C218" i="11"/>
  <c r="B218" i="11"/>
  <c r="B217" i="11"/>
  <c r="B216" i="11"/>
  <c r="B215" i="11"/>
  <c r="D214" i="11"/>
  <c r="B214" i="11"/>
  <c r="C214" i="11" s="1"/>
  <c r="D213" i="11"/>
  <c r="C213" i="11"/>
  <c r="B213" i="11"/>
  <c r="B212" i="11"/>
  <c r="D212" i="11" s="1"/>
  <c r="B211" i="11"/>
  <c r="D210" i="11"/>
  <c r="B210" i="11"/>
  <c r="D222" i="11" s="1"/>
  <c r="B209" i="11"/>
  <c r="D209" i="11" s="1"/>
  <c r="C208" i="11"/>
  <c r="B208" i="11"/>
  <c r="B207" i="11"/>
  <c r="B206" i="11"/>
  <c r="D205" i="11"/>
  <c r="C205" i="11"/>
  <c r="B205" i="11"/>
  <c r="D217" i="11" s="1"/>
  <c r="C204" i="11"/>
  <c r="B204" i="11"/>
  <c r="B203" i="11"/>
  <c r="B202" i="11"/>
  <c r="D202" i="11" s="1"/>
  <c r="C201" i="11"/>
  <c r="B201" i="11"/>
  <c r="D201" i="11" s="1"/>
  <c r="D200" i="11"/>
  <c r="B200" i="11"/>
  <c r="C200" i="11" s="1"/>
  <c r="B199" i="11"/>
  <c r="B198" i="11"/>
  <c r="B197" i="11"/>
  <c r="C198" i="11" s="1"/>
  <c r="D196" i="11"/>
  <c r="B196" i="11"/>
  <c r="D208" i="11" s="1"/>
  <c r="B195" i="11"/>
  <c r="C194" i="11"/>
  <c r="B194" i="11"/>
  <c r="D193" i="11"/>
  <c r="B193" i="11"/>
  <c r="B192" i="11"/>
  <c r="B191" i="11"/>
  <c r="D190" i="11"/>
  <c r="B190" i="11"/>
  <c r="C190" i="11" s="1"/>
  <c r="D189" i="11"/>
  <c r="C189" i="11"/>
  <c r="B189" i="11"/>
  <c r="B188" i="11"/>
  <c r="D188" i="11" s="1"/>
  <c r="B187" i="11"/>
  <c r="D186" i="11"/>
  <c r="B186" i="11"/>
  <c r="D198" i="11" s="1"/>
  <c r="B185" i="11"/>
  <c r="D185" i="11" s="1"/>
  <c r="C184" i="11"/>
  <c r="B184" i="11"/>
  <c r="B183" i="11"/>
  <c r="B182" i="11"/>
  <c r="D181" i="11"/>
  <c r="C181" i="11"/>
  <c r="B181" i="11"/>
  <c r="C180" i="11"/>
  <c r="B180" i="11"/>
  <c r="D180" i="11" s="1"/>
  <c r="B179" i="11"/>
  <c r="B178" i="11"/>
  <c r="D178" i="11" s="1"/>
  <c r="C177" i="11"/>
  <c r="B177" i="11"/>
  <c r="D177" i="11" s="1"/>
  <c r="D176" i="11"/>
  <c r="B176" i="11"/>
  <c r="C176" i="11" s="1"/>
  <c r="B175" i="11"/>
  <c r="D174" i="11"/>
  <c r="B174" i="11"/>
  <c r="B173" i="11"/>
  <c r="C174" i="11" s="1"/>
  <c r="D172" i="11"/>
  <c r="B172" i="11"/>
  <c r="D184" i="11" s="1"/>
  <c r="B171" i="11"/>
  <c r="C170" i="11"/>
  <c r="B170" i="11"/>
  <c r="D170" i="11" s="1"/>
  <c r="B169" i="11"/>
  <c r="B168" i="11"/>
  <c r="B167" i="11"/>
  <c r="D166" i="11"/>
  <c r="B166" i="11"/>
  <c r="C166" i="11" s="1"/>
  <c r="D165" i="11"/>
  <c r="C165" i="11"/>
  <c r="B165" i="11"/>
  <c r="B164" i="11"/>
  <c r="D164" i="11" s="1"/>
  <c r="B163" i="11"/>
  <c r="C162" i="11"/>
  <c r="B162" i="11"/>
  <c r="C161" i="11"/>
  <c r="B161" i="11"/>
  <c r="D161" i="11" s="1"/>
  <c r="B160" i="11"/>
  <c r="C160" i="11" s="1"/>
  <c r="B159" i="11"/>
  <c r="D159" i="11" s="1"/>
  <c r="D158" i="11"/>
  <c r="B158" i="11"/>
  <c r="C158" i="11" s="1"/>
  <c r="B157" i="11"/>
  <c r="D157" i="11" s="1"/>
  <c r="C156" i="11"/>
  <c r="B156" i="11"/>
  <c r="B155" i="11"/>
  <c r="C154" i="11"/>
  <c r="B154" i="11"/>
  <c r="D154" i="11" s="1"/>
  <c r="D153" i="11"/>
  <c r="B153" i="11"/>
  <c r="C153" i="11" s="1"/>
  <c r="D152" i="11"/>
  <c r="C152" i="11"/>
  <c r="B152" i="11"/>
  <c r="B151" i="11"/>
  <c r="B150" i="11"/>
  <c r="C149" i="11"/>
  <c r="B149" i="11"/>
  <c r="C148" i="11"/>
  <c r="B148" i="11"/>
  <c r="D148" i="11" s="1"/>
  <c r="B147" i="11"/>
  <c r="B146" i="11"/>
  <c r="C147" i="11" s="1"/>
  <c r="D145" i="11"/>
  <c r="B145" i="11"/>
  <c r="C145" i="11" s="1"/>
  <c r="B144" i="11"/>
  <c r="D144" i="11" s="1"/>
  <c r="C143" i="11"/>
  <c r="B143" i="11"/>
  <c r="D143" i="11" s="1"/>
  <c r="B142" i="11"/>
  <c r="D142" i="11" s="1"/>
  <c r="C141" i="11"/>
  <c r="B141" i="11"/>
  <c r="D141" i="11" s="1"/>
  <c r="D140" i="11"/>
  <c r="B140" i="11"/>
  <c r="C140" i="11" s="1"/>
  <c r="C139" i="11"/>
  <c r="B139" i="11"/>
  <c r="D139" i="11" s="1"/>
  <c r="B138" i="11"/>
  <c r="B137" i="11"/>
  <c r="C136" i="11"/>
  <c r="B136" i="11"/>
  <c r="B135" i="11"/>
  <c r="B134" i="11"/>
  <c r="B133" i="11"/>
  <c r="C134" i="11" s="1"/>
  <c r="D132" i="11"/>
  <c r="B132" i="11"/>
  <c r="C132" i="11" s="1"/>
  <c r="B131" i="11"/>
  <c r="D130" i="11"/>
  <c r="C130" i="11"/>
  <c r="B130" i="11"/>
  <c r="B129" i="11"/>
  <c r="D129" i="11" s="1"/>
  <c r="C128" i="11"/>
  <c r="B128" i="11"/>
  <c r="D128" i="11" s="1"/>
  <c r="C127" i="11"/>
  <c r="B127" i="11"/>
  <c r="C126" i="11"/>
  <c r="B126" i="11"/>
  <c r="D126" i="11" s="1"/>
  <c r="B125" i="11"/>
  <c r="B124" i="11"/>
  <c r="B123" i="11"/>
  <c r="D123" i="11" s="1"/>
  <c r="B122" i="11"/>
  <c r="D122" i="11" s="1"/>
  <c r="B121" i="11"/>
  <c r="B120" i="11"/>
  <c r="C121" i="11" s="1"/>
  <c r="C119" i="11"/>
  <c r="B119" i="11"/>
  <c r="D119" i="11" s="1"/>
  <c r="D118" i="11"/>
  <c r="B118" i="11"/>
  <c r="C118" i="11" s="1"/>
  <c r="D117" i="11"/>
  <c r="C117" i="11"/>
  <c r="B117" i="11"/>
  <c r="B116" i="11"/>
  <c r="D116" i="11" s="1"/>
  <c r="B115" i="11"/>
  <c r="C114" i="11"/>
  <c r="B114" i="11"/>
  <c r="C113" i="11"/>
  <c r="B113" i="11"/>
  <c r="D113" i="11" s="1"/>
  <c r="B112" i="11"/>
  <c r="C112" i="11" s="1"/>
  <c r="B111" i="11"/>
  <c r="D111" i="11" s="1"/>
  <c r="D110" i="11"/>
  <c r="B110" i="11"/>
  <c r="C110" i="11" s="1"/>
  <c r="B109" i="11"/>
  <c r="D109" i="11" s="1"/>
  <c r="C108" i="11"/>
  <c r="B108" i="11"/>
  <c r="B107" i="11"/>
  <c r="C106" i="11"/>
  <c r="B106" i="11"/>
  <c r="D106" i="11" s="1"/>
  <c r="D105" i="11"/>
  <c r="B105" i="11"/>
  <c r="C105" i="11" s="1"/>
  <c r="D104" i="11"/>
  <c r="C104" i="11"/>
  <c r="B104" i="11"/>
  <c r="B103" i="11"/>
  <c r="B102" i="11"/>
  <c r="C101" i="11"/>
  <c r="B101" i="11"/>
  <c r="C100" i="11"/>
  <c r="B100" i="11"/>
  <c r="D100" i="11" s="1"/>
  <c r="B99" i="11"/>
  <c r="B98" i="11"/>
  <c r="C99" i="11" s="1"/>
  <c r="D97" i="11"/>
  <c r="B97" i="11"/>
  <c r="C97" i="11" s="1"/>
  <c r="B96" i="11"/>
  <c r="D96" i="11" s="1"/>
  <c r="C95" i="11"/>
  <c r="B95" i="11"/>
  <c r="D95" i="11" s="1"/>
  <c r="B94" i="11"/>
  <c r="D94" i="11" s="1"/>
  <c r="C93" i="11"/>
  <c r="B93" i="11"/>
  <c r="D93" i="11" s="1"/>
  <c r="D92" i="11"/>
  <c r="B92" i="11"/>
  <c r="C92" i="11" s="1"/>
  <c r="C91" i="11"/>
  <c r="B91" i="11"/>
  <c r="D91" i="11" s="1"/>
  <c r="B90" i="11"/>
  <c r="C90" i="11" s="1"/>
  <c r="B89" i="11"/>
  <c r="C88" i="11"/>
  <c r="B88" i="11"/>
  <c r="B87" i="11"/>
  <c r="C86" i="11"/>
  <c r="B86" i="11"/>
  <c r="B85" i="11"/>
  <c r="D85" i="11" s="1"/>
  <c r="D84" i="11"/>
  <c r="B84" i="11"/>
  <c r="C84" i="11" s="1"/>
  <c r="B83" i="11"/>
  <c r="D82" i="11"/>
  <c r="C82" i="11"/>
  <c r="B82" i="11"/>
  <c r="B81" i="11"/>
  <c r="D81" i="11" s="1"/>
  <c r="C80" i="11"/>
  <c r="B80" i="11"/>
  <c r="D80" i="11" s="1"/>
  <c r="C79" i="11"/>
  <c r="B79" i="11"/>
  <c r="C78" i="11"/>
  <c r="B78" i="11"/>
  <c r="D78" i="11" s="1"/>
  <c r="B77" i="11"/>
  <c r="B76" i="11"/>
  <c r="B75" i="11"/>
  <c r="D75" i="11" s="1"/>
  <c r="B74" i="11"/>
  <c r="D74" i="11" s="1"/>
  <c r="C73" i="11"/>
  <c r="B73" i="11"/>
  <c r="B72" i="11"/>
  <c r="D72" i="11" s="1"/>
  <c r="C71" i="11"/>
  <c r="B71" i="11"/>
  <c r="D71" i="11" s="1"/>
  <c r="D70" i="11"/>
  <c r="B70" i="11"/>
  <c r="C70" i="11" s="1"/>
  <c r="D69" i="11"/>
  <c r="C69" i="11"/>
  <c r="B69" i="11"/>
  <c r="B68" i="11"/>
  <c r="D68" i="11" s="1"/>
  <c r="B67" i="11"/>
  <c r="C66" i="11"/>
  <c r="B66" i="11"/>
  <c r="C65" i="11"/>
  <c r="B65" i="11"/>
  <c r="D65" i="11" s="1"/>
  <c r="B64" i="11"/>
  <c r="B63" i="11"/>
  <c r="D63" i="11" s="1"/>
  <c r="D62" i="11"/>
  <c r="B62" i="11"/>
  <c r="C62" i="11" s="1"/>
  <c r="B61" i="11"/>
  <c r="D61" i="11" s="1"/>
  <c r="C60" i="11"/>
  <c r="B60" i="11"/>
  <c r="B59" i="11"/>
  <c r="C58" i="11"/>
  <c r="B58" i="11"/>
  <c r="D58" i="11" s="1"/>
  <c r="D57" i="11"/>
  <c r="B57" i="11"/>
  <c r="C57" i="11" s="1"/>
  <c r="D56" i="11"/>
  <c r="C56" i="11"/>
  <c r="B56" i="11"/>
  <c r="B55" i="11"/>
  <c r="B54" i="11"/>
  <c r="C53" i="11"/>
  <c r="B53" i="11"/>
  <c r="C52" i="11"/>
  <c r="B52" i="11"/>
  <c r="D52" i="11" s="1"/>
  <c r="C51" i="11"/>
  <c r="B51" i="11"/>
  <c r="B50" i="11"/>
  <c r="D50" i="11" s="1"/>
  <c r="D49" i="11"/>
  <c r="B49" i="11"/>
  <c r="C49" i="11" s="1"/>
  <c r="B48" i="11"/>
  <c r="D48" i="11" s="1"/>
  <c r="C47" i="11"/>
  <c r="B47" i="11"/>
  <c r="D47" i="11" s="1"/>
  <c r="B46" i="11"/>
  <c r="D46" i="11" s="1"/>
  <c r="C45" i="11"/>
  <c r="B45" i="11"/>
  <c r="D45" i="11" s="1"/>
  <c r="D44" i="11"/>
  <c r="B44" i="11"/>
  <c r="C44" i="11" s="1"/>
  <c r="C43" i="11"/>
  <c r="B43" i="11"/>
  <c r="D43" i="11" s="1"/>
  <c r="B42" i="11"/>
  <c r="B41" i="11"/>
  <c r="C40" i="11"/>
  <c r="B40" i="11"/>
  <c r="B39" i="11"/>
  <c r="C38" i="11"/>
  <c r="B38" i="11"/>
  <c r="B37" i="11"/>
  <c r="D37" i="11" s="1"/>
  <c r="D36" i="11"/>
  <c r="B36" i="11"/>
  <c r="C36" i="11" s="1"/>
  <c r="B35" i="11"/>
  <c r="D34" i="11"/>
  <c r="C34" i="11"/>
  <c r="B34" i="11"/>
  <c r="B33" i="11"/>
  <c r="D33" i="11" s="1"/>
  <c r="C32" i="11"/>
  <c r="B32" i="11"/>
  <c r="D32" i="11" s="1"/>
  <c r="C31" i="11"/>
  <c r="B31" i="11"/>
  <c r="C30" i="11"/>
  <c r="B30" i="11"/>
  <c r="D30" i="11" s="1"/>
  <c r="D29" i="11"/>
  <c r="B29" i="11"/>
  <c r="B28" i="11"/>
  <c r="B27" i="11"/>
  <c r="D27" i="11" s="1"/>
  <c r="B26" i="11"/>
  <c r="D26" i="11" s="1"/>
  <c r="C25" i="11"/>
  <c r="B25" i="11"/>
  <c r="B24" i="11"/>
  <c r="D24" i="11" s="1"/>
  <c r="C23" i="11"/>
  <c r="B23" i="11"/>
  <c r="D23" i="11" s="1"/>
  <c r="D22" i="11"/>
  <c r="B22" i="11"/>
  <c r="C22" i="11" s="1"/>
  <c r="D21" i="11"/>
  <c r="C21" i="11"/>
  <c r="B21" i="11"/>
  <c r="B20" i="11"/>
  <c r="D20" i="11" s="1"/>
  <c r="B19" i="11"/>
  <c r="B18" i="11"/>
  <c r="C18" i="11" s="1"/>
  <c r="B17" i="11"/>
  <c r="C17" i="11" s="1"/>
  <c r="C16" i="11"/>
  <c r="B16" i="11"/>
  <c r="C15" i="11"/>
  <c r="B15" i="11"/>
  <c r="B14" i="11"/>
  <c r="B13" i="11"/>
  <c r="B12" i="11"/>
  <c r="C12" i="11" s="1"/>
  <c r="B11" i="11"/>
  <c r="C11" i="11" s="1"/>
  <c r="C10" i="11"/>
  <c r="B10" i="11"/>
  <c r="C9" i="11"/>
  <c r="B9" i="11"/>
  <c r="B8" i="11"/>
  <c r="B7" i="11"/>
  <c r="C8" i="11" s="1"/>
  <c r="D377" i="10"/>
  <c r="B377" i="10"/>
  <c r="C377" i="10" s="1"/>
  <c r="B376" i="10"/>
  <c r="C375" i="10"/>
  <c r="B375" i="10"/>
  <c r="B374" i="10"/>
  <c r="C373" i="10"/>
  <c r="B373" i="10"/>
  <c r="D373" i="10" s="1"/>
  <c r="D372" i="10"/>
  <c r="B372" i="10"/>
  <c r="C372" i="10" s="1"/>
  <c r="D371" i="10"/>
  <c r="C371" i="10"/>
  <c r="B371" i="10"/>
  <c r="B370" i="10"/>
  <c r="B369" i="10"/>
  <c r="C368" i="10"/>
  <c r="B368" i="10"/>
  <c r="C367" i="10"/>
  <c r="B367" i="10"/>
  <c r="D367" i="10" s="1"/>
  <c r="B366" i="10"/>
  <c r="B365" i="10"/>
  <c r="D365" i="10" s="1"/>
  <c r="B364" i="10"/>
  <c r="C364" i="10" s="1"/>
  <c r="B363" i="10"/>
  <c r="D362" i="10"/>
  <c r="B362" i="10"/>
  <c r="C362" i="10" s="1"/>
  <c r="B361" i="10"/>
  <c r="D361" i="10" s="1"/>
  <c r="C360" i="10"/>
  <c r="B360" i="10"/>
  <c r="D360" i="10" s="1"/>
  <c r="D359" i="10"/>
  <c r="B359" i="10"/>
  <c r="C359" i="10" s="1"/>
  <c r="D358" i="10"/>
  <c r="B358" i="10"/>
  <c r="C358" i="10" s="1"/>
  <c r="B357" i="10"/>
  <c r="B356" i="10"/>
  <c r="C355" i="10"/>
  <c r="B355" i="10"/>
  <c r="B354" i="10"/>
  <c r="C354" i="10" s="1"/>
  <c r="C353" i="10"/>
  <c r="B353" i="10"/>
  <c r="B352" i="10"/>
  <c r="D352" i="10" s="1"/>
  <c r="B351" i="10"/>
  <c r="B350" i="10"/>
  <c r="D349" i="10"/>
  <c r="C349" i="10"/>
  <c r="B349" i="10"/>
  <c r="B348" i="10"/>
  <c r="D348" i="10" s="1"/>
  <c r="C347" i="10"/>
  <c r="B347" i="10"/>
  <c r="D347" i="10" s="1"/>
  <c r="B346" i="10"/>
  <c r="C345" i="10"/>
  <c r="B345" i="10"/>
  <c r="D345" i="10" s="1"/>
  <c r="B344" i="10"/>
  <c r="B343" i="10"/>
  <c r="B342" i="10"/>
  <c r="B341" i="10"/>
  <c r="C340" i="10"/>
  <c r="B340" i="10"/>
  <c r="B339" i="10"/>
  <c r="D339" i="10" s="1"/>
  <c r="D338" i="10"/>
  <c r="B338" i="10"/>
  <c r="C338" i="10" s="1"/>
  <c r="D337" i="10"/>
  <c r="B337" i="10"/>
  <c r="C337" i="10" s="1"/>
  <c r="D336" i="10"/>
  <c r="C336" i="10"/>
  <c r="B336" i="10"/>
  <c r="B335" i="10"/>
  <c r="B334" i="10"/>
  <c r="D346" i="10" s="1"/>
  <c r="C333" i="10"/>
  <c r="B333" i="10"/>
  <c r="C332" i="10"/>
  <c r="B332" i="10"/>
  <c r="D332" i="10" s="1"/>
  <c r="B331" i="10"/>
  <c r="B330" i="10"/>
  <c r="D329" i="10"/>
  <c r="B329" i="10"/>
  <c r="B328" i="10"/>
  <c r="C327" i="10"/>
  <c r="B327" i="10"/>
  <c r="B326" i="10"/>
  <c r="C325" i="10"/>
  <c r="B325" i="10"/>
  <c r="D325" i="10" s="1"/>
  <c r="D324" i="10"/>
  <c r="B324" i="10"/>
  <c r="C324" i="10" s="1"/>
  <c r="D323" i="10"/>
  <c r="C323" i="10"/>
  <c r="B323" i="10"/>
  <c r="D335" i="10" s="1"/>
  <c r="B322" i="10"/>
  <c r="B321" i="10"/>
  <c r="C320" i="10"/>
  <c r="B320" i="10"/>
  <c r="C319" i="10"/>
  <c r="B319" i="10"/>
  <c r="D319" i="10" s="1"/>
  <c r="B318" i="10"/>
  <c r="B317" i="10"/>
  <c r="D317" i="10" s="1"/>
  <c r="D316" i="10"/>
  <c r="B316" i="10"/>
  <c r="C316" i="10" s="1"/>
  <c r="B315" i="10"/>
  <c r="D314" i="10"/>
  <c r="B314" i="10"/>
  <c r="C314" i="10" s="1"/>
  <c r="B313" i="10"/>
  <c r="C313" i="10" s="1"/>
  <c r="C312" i="10"/>
  <c r="B312" i="10"/>
  <c r="D312" i="10" s="1"/>
  <c r="B311" i="10"/>
  <c r="C311" i="10" s="1"/>
  <c r="D310" i="10"/>
  <c r="B310" i="10"/>
  <c r="C310" i="10" s="1"/>
  <c r="B309" i="10"/>
  <c r="B308" i="10"/>
  <c r="B307" i="10"/>
  <c r="B306" i="10"/>
  <c r="C305" i="10"/>
  <c r="B305" i="10"/>
  <c r="B304" i="10"/>
  <c r="D304" i="10" s="1"/>
  <c r="D303" i="10"/>
  <c r="B303" i="10"/>
  <c r="C303" i="10" s="1"/>
  <c r="B302" i="10"/>
  <c r="D301" i="10"/>
  <c r="C301" i="10"/>
  <c r="B301" i="10"/>
  <c r="D313" i="10" s="1"/>
  <c r="B300" i="10"/>
  <c r="C300" i="10" s="1"/>
  <c r="C299" i="10"/>
  <c r="B299" i="10"/>
  <c r="D299" i="10" s="1"/>
  <c r="B298" i="10"/>
  <c r="C297" i="10"/>
  <c r="B297" i="10"/>
  <c r="D297" i="10" s="1"/>
  <c r="B296" i="10"/>
  <c r="B295" i="10"/>
  <c r="D307" i="10" s="1"/>
  <c r="D294" i="10"/>
  <c r="B294" i="10"/>
  <c r="B293" i="10"/>
  <c r="C292" i="10"/>
  <c r="B292" i="10"/>
  <c r="B291" i="10"/>
  <c r="D291" i="10" s="1"/>
  <c r="B290" i="10"/>
  <c r="C290" i="10" s="1"/>
  <c r="B289" i="10"/>
  <c r="C289" i="10" s="1"/>
  <c r="D288" i="10"/>
  <c r="C288" i="10"/>
  <c r="B288" i="10"/>
  <c r="D300" i="10" s="1"/>
  <c r="B287" i="10"/>
  <c r="C287" i="10" s="1"/>
  <c r="B286" i="10"/>
  <c r="D285" i="10"/>
  <c r="B285" i="10"/>
  <c r="B284" i="10"/>
  <c r="B283" i="10"/>
  <c r="B282" i="10"/>
  <c r="D281" i="10"/>
  <c r="B281" i="10"/>
  <c r="C281" i="10" s="1"/>
  <c r="B280" i="10"/>
  <c r="D292" i="10" s="1"/>
  <c r="C279" i="10"/>
  <c r="B279" i="10"/>
  <c r="B278" i="10"/>
  <c r="B277" i="10"/>
  <c r="D277" i="10" s="1"/>
  <c r="B276" i="10"/>
  <c r="C276" i="10" s="1"/>
  <c r="D275" i="10"/>
  <c r="C275" i="10"/>
  <c r="B275" i="10"/>
  <c r="D287" i="10" s="1"/>
  <c r="B274" i="10"/>
  <c r="B273" i="10"/>
  <c r="D272" i="10"/>
  <c r="B272" i="10"/>
  <c r="B271" i="10"/>
  <c r="B270" i="10"/>
  <c r="B269" i="10"/>
  <c r="D269" i="10" s="1"/>
  <c r="B268" i="10"/>
  <c r="D268" i="10" s="1"/>
  <c r="B267" i="10"/>
  <c r="D266" i="10"/>
  <c r="B266" i="10"/>
  <c r="C266" i="10" s="1"/>
  <c r="B265" i="10"/>
  <c r="B264" i="10"/>
  <c r="D264" i="10" s="1"/>
  <c r="B263" i="10"/>
  <c r="C263" i="10" s="1"/>
  <c r="D262" i="10"/>
  <c r="B262" i="10"/>
  <c r="B261" i="10"/>
  <c r="B260" i="10"/>
  <c r="D259" i="10"/>
  <c r="C259" i="10"/>
  <c r="B259" i="10"/>
  <c r="B258" i="10"/>
  <c r="D270" i="10" s="1"/>
  <c r="D257" i="10"/>
  <c r="C257" i="10"/>
  <c r="B257" i="10"/>
  <c r="B256" i="10"/>
  <c r="D256" i="10" s="1"/>
  <c r="B255" i="10"/>
  <c r="B254" i="10"/>
  <c r="C254" i="10" s="1"/>
  <c r="D253" i="10"/>
  <c r="C253" i="10"/>
  <c r="B253" i="10"/>
  <c r="D265" i="10" s="1"/>
  <c r="B252" i="10"/>
  <c r="D251" i="10"/>
  <c r="B251" i="10"/>
  <c r="D263" i="10" s="1"/>
  <c r="B250" i="10"/>
  <c r="C249" i="10"/>
  <c r="B249" i="10"/>
  <c r="D261" i="10" s="1"/>
  <c r="D248" i="10"/>
  <c r="B248" i="10"/>
  <c r="B247" i="10"/>
  <c r="D246" i="10"/>
  <c r="B246" i="10"/>
  <c r="C246" i="10" s="1"/>
  <c r="C245" i="10"/>
  <c r="B245" i="10"/>
  <c r="B244" i="10"/>
  <c r="B243" i="10"/>
  <c r="D242" i="10"/>
  <c r="B242" i="10"/>
  <c r="C242" i="10" s="1"/>
  <c r="D241" i="10"/>
  <c r="C241" i="10"/>
  <c r="B241" i="10"/>
  <c r="C240" i="10"/>
  <c r="B240" i="10"/>
  <c r="D252" i="10" s="1"/>
  <c r="B239" i="10"/>
  <c r="B238" i="10"/>
  <c r="C238" i="10" s="1"/>
  <c r="D237" i="10"/>
  <c r="B237" i="10"/>
  <c r="C237" i="10" s="1"/>
  <c r="C236" i="10"/>
  <c r="B236" i="10"/>
  <c r="D236" i="10" s="1"/>
  <c r="B235" i="10"/>
  <c r="B234" i="10"/>
  <c r="B233" i="10"/>
  <c r="D245" i="10" s="1"/>
  <c r="D232" i="10"/>
  <c r="B232" i="10"/>
  <c r="C232" i="10" s="1"/>
  <c r="D231" i="10"/>
  <c r="C231" i="10"/>
  <c r="B231" i="10"/>
  <c r="B230" i="10"/>
  <c r="D229" i="10"/>
  <c r="B229" i="10"/>
  <c r="B228" i="10"/>
  <c r="C227" i="10"/>
  <c r="B227" i="10"/>
  <c r="D239" i="10" s="1"/>
  <c r="B226" i="10"/>
  <c r="C225" i="10"/>
  <c r="B225" i="10"/>
  <c r="D225" i="10" s="1"/>
  <c r="B224" i="10"/>
  <c r="B223" i="10"/>
  <c r="B222" i="10"/>
  <c r="B221" i="10"/>
  <c r="D220" i="10"/>
  <c r="B220" i="10"/>
  <c r="C220" i="10" s="1"/>
  <c r="B219" i="10"/>
  <c r="B218" i="10"/>
  <c r="C218" i="10" s="1"/>
  <c r="B217" i="10"/>
  <c r="C217" i="10" s="1"/>
  <c r="B216" i="10"/>
  <c r="D216" i="10" s="1"/>
  <c r="D215" i="10"/>
  <c r="B215" i="10"/>
  <c r="C215" i="10" s="1"/>
  <c r="B214" i="10"/>
  <c r="B213" i="10"/>
  <c r="B212" i="10"/>
  <c r="B211" i="10"/>
  <c r="D211" i="10" s="1"/>
  <c r="D210" i="10"/>
  <c r="B210" i="10"/>
  <c r="C210" i="10" s="1"/>
  <c r="D209" i="10"/>
  <c r="B209" i="10"/>
  <c r="B208" i="10"/>
  <c r="B207" i="10"/>
  <c r="B206" i="10"/>
  <c r="C206" i="10" s="1"/>
  <c r="C205" i="10"/>
  <c r="B205" i="10"/>
  <c r="D217" i="10" s="1"/>
  <c r="B204" i="10"/>
  <c r="C204" i="10" s="1"/>
  <c r="B203" i="10"/>
  <c r="D203" i="10" s="1"/>
  <c r="B202" i="10"/>
  <c r="B201" i="10"/>
  <c r="D201" i="10" s="1"/>
  <c r="B200" i="10"/>
  <c r="D200" i="10" s="1"/>
  <c r="D199" i="10"/>
  <c r="B199" i="10"/>
  <c r="B198" i="10"/>
  <c r="C199" i="10" s="1"/>
  <c r="D197" i="10"/>
  <c r="C197" i="10"/>
  <c r="B197" i="10"/>
  <c r="B196" i="10"/>
  <c r="D196" i="10" s="1"/>
  <c r="C195" i="10"/>
  <c r="B195" i="10"/>
  <c r="B194" i="10"/>
  <c r="C194" i="10" s="1"/>
  <c r="B193" i="10"/>
  <c r="D205" i="10" s="1"/>
  <c r="B192" i="10"/>
  <c r="D204" i="10" s="1"/>
  <c r="B191" i="10"/>
  <c r="D191" i="10" s="1"/>
  <c r="C190" i="10"/>
  <c r="B190" i="10"/>
  <c r="C189" i="10"/>
  <c r="B189" i="10"/>
  <c r="D189" i="10" s="1"/>
  <c r="B188" i="10"/>
  <c r="D188" i="10" s="1"/>
  <c r="D187" i="10"/>
  <c r="C187" i="10"/>
  <c r="B187" i="10"/>
  <c r="B186" i="10"/>
  <c r="D186" i="10" s="1"/>
  <c r="D185" i="10"/>
  <c r="C185" i="10"/>
  <c r="B185" i="10"/>
  <c r="B184" i="10"/>
  <c r="B183" i="10"/>
  <c r="D195" i="10" s="1"/>
  <c r="D182" i="10"/>
  <c r="B182" i="10"/>
  <c r="C182" i="10" s="1"/>
  <c r="C181" i="10"/>
  <c r="B181" i="10"/>
  <c r="B180" i="10"/>
  <c r="B179" i="10"/>
  <c r="D179" i="10" s="1"/>
  <c r="B178" i="10"/>
  <c r="B177" i="10"/>
  <c r="D177" i="10" s="1"/>
  <c r="B176" i="10"/>
  <c r="D176" i="10" s="1"/>
  <c r="D175" i="10"/>
  <c r="B175" i="10"/>
  <c r="B174" i="10"/>
  <c r="C175" i="10" s="1"/>
  <c r="D173" i="10"/>
  <c r="C173" i="10"/>
  <c r="B173" i="10"/>
  <c r="B172" i="10"/>
  <c r="C171" i="10"/>
  <c r="B171" i="10"/>
  <c r="B170" i="10"/>
  <c r="C170" i="10" s="1"/>
  <c r="B169" i="10"/>
  <c r="D181" i="10" s="1"/>
  <c r="B168" i="10"/>
  <c r="B167" i="10"/>
  <c r="D167" i="10" s="1"/>
  <c r="C166" i="10"/>
  <c r="B166" i="10"/>
  <c r="B165" i="10"/>
  <c r="D165" i="10" s="1"/>
  <c r="B164" i="10"/>
  <c r="D163" i="10"/>
  <c r="C163" i="10"/>
  <c r="B163" i="10"/>
  <c r="B162" i="10"/>
  <c r="D162" i="10" s="1"/>
  <c r="D161" i="10"/>
  <c r="C161" i="10"/>
  <c r="B161" i="10"/>
  <c r="B160" i="10"/>
  <c r="B159" i="10"/>
  <c r="D171" i="10" s="1"/>
  <c r="D158" i="10"/>
  <c r="B158" i="10"/>
  <c r="C158" i="10" s="1"/>
  <c r="C157" i="10"/>
  <c r="B157" i="10"/>
  <c r="B156" i="10"/>
  <c r="B155" i="10"/>
  <c r="D155" i="10" s="1"/>
  <c r="B154" i="10"/>
  <c r="B153" i="10"/>
  <c r="D153" i="10" s="1"/>
  <c r="B152" i="10"/>
  <c r="D151" i="10"/>
  <c r="B151" i="10"/>
  <c r="B150" i="10"/>
  <c r="C151" i="10" s="1"/>
  <c r="D149" i="10"/>
  <c r="C149" i="10"/>
  <c r="B149" i="10"/>
  <c r="B148" i="10"/>
  <c r="C147" i="10"/>
  <c r="B147" i="10"/>
  <c r="B146" i="10"/>
  <c r="C146" i="10" s="1"/>
  <c r="B145" i="10"/>
  <c r="D157" i="10" s="1"/>
  <c r="B144" i="10"/>
  <c r="B143" i="10"/>
  <c r="D143" i="10" s="1"/>
  <c r="C142" i="10"/>
  <c r="B142" i="10"/>
  <c r="B141" i="10"/>
  <c r="D141" i="10" s="1"/>
  <c r="B140" i="10"/>
  <c r="D139" i="10"/>
  <c r="C139" i="10"/>
  <c r="B139" i="10"/>
  <c r="B138" i="10"/>
  <c r="D138" i="10" s="1"/>
  <c r="D137" i="10"/>
  <c r="C137" i="10"/>
  <c r="B137" i="10"/>
  <c r="B136" i="10"/>
  <c r="B135" i="10"/>
  <c r="D147" i="10" s="1"/>
  <c r="D134" i="10"/>
  <c r="B134" i="10"/>
  <c r="C134" i="10" s="1"/>
  <c r="C133" i="10"/>
  <c r="B133" i="10"/>
  <c r="B132" i="10"/>
  <c r="B131" i="10"/>
  <c r="D131" i="10" s="1"/>
  <c r="B130" i="10"/>
  <c r="B129" i="10"/>
  <c r="D129" i="10" s="1"/>
  <c r="B128" i="10"/>
  <c r="D127" i="10"/>
  <c r="B127" i="10"/>
  <c r="B126" i="10"/>
  <c r="C127" i="10" s="1"/>
  <c r="D125" i="10"/>
  <c r="C125" i="10"/>
  <c r="B125" i="10"/>
  <c r="B124" i="10"/>
  <c r="C123" i="10"/>
  <c r="B123" i="10"/>
  <c r="B122" i="10"/>
  <c r="C122" i="10" s="1"/>
  <c r="B121" i="10"/>
  <c r="D133" i="10" s="1"/>
  <c r="B120" i="10"/>
  <c r="B119" i="10"/>
  <c r="D119" i="10" s="1"/>
  <c r="C118" i="10"/>
  <c r="B118" i="10"/>
  <c r="B117" i="10"/>
  <c r="D117" i="10" s="1"/>
  <c r="B116" i="10"/>
  <c r="D115" i="10"/>
  <c r="C115" i="10"/>
  <c r="B115" i="10"/>
  <c r="B114" i="10"/>
  <c r="D114" i="10" s="1"/>
  <c r="D113" i="10"/>
  <c r="C113" i="10"/>
  <c r="B113" i="10"/>
  <c r="B112" i="10"/>
  <c r="B111" i="10"/>
  <c r="D123" i="10" s="1"/>
  <c r="D110" i="10"/>
  <c r="B110" i="10"/>
  <c r="C110" i="10" s="1"/>
  <c r="C109" i="10"/>
  <c r="B109" i="10"/>
  <c r="B108" i="10"/>
  <c r="B107" i="10"/>
  <c r="D107" i="10" s="1"/>
  <c r="B106" i="10"/>
  <c r="B105" i="10"/>
  <c r="D105" i="10" s="1"/>
  <c r="B104" i="10"/>
  <c r="D103" i="10"/>
  <c r="B103" i="10"/>
  <c r="B102" i="10"/>
  <c r="C103" i="10" s="1"/>
  <c r="D101" i="10"/>
  <c r="C101" i="10"/>
  <c r="B101" i="10"/>
  <c r="B100" i="10"/>
  <c r="C99" i="10"/>
  <c r="B99" i="10"/>
  <c r="B98" i="10"/>
  <c r="C98" i="10" s="1"/>
  <c r="B97" i="10"/>
  <c r="D109" i="10" s="1"/>
  <c r="B96" i="10"/>
  <c r="B95" i="10"/>
  <c r="D95" i="10" s="1"/>
  <c r="C94" i="10"/>
  <c r="B94" i="10"/>
  <c r="B93" i="10"/>
  <c r="D93" i="10" s="1"/>
  <c r="B92" i="10"/>
  <c r="D91" i="10"/>
  <c r="C91" i="10"/>
  <c r="B91" i="10"/>
  <c r="B90" i="10"/>
  <c r="D90" i="10" s="1"/>
  <c r="D89" i="10"/>
  <c r="C89" i="10"/>
  <c r="B89" i="10"/>
  <c r="B88" i="10"/>
  <c r="B87" i="10"/>
  <c r="D99" i="10" s="1"/>
  <c r="D86" i="10"/>
  <c r="B86" i="10"/>
  <c r="C86" i="10" s="1"/>
  <c r="C85" i="10"/>
  <c r="B85" i="10"/>
  <c r="B84" i="10"/>
  <c r="B83" i="10"/>
  <c r="D83" i="10" s="1"/>
  <c r="B82" i="10"/>
  <c r="B81" i="10"/>
  <c r="D81" i="10" s="1"/>
  <c r="B80" i="10"/>
  <c r="D79" i="10"/>
  <c r="B79" i="10"/>
  <c r="B78" i="10"/>
  <c r="C79" i="10" s="1"/>
  <c r="D77" i="10"/>
  <c r="C77" i="10"/>
  <c r="B77" i="10"/>
  <c r="B76" i="10"/>
  <c r="C75" i="10"/>
  <c r="B75" i="10"/>
  <c r="B74" i="10"/>
  <c r="C74" i="10" s="1"/>
  <c r="B73" i="10"/>
  <c r="D85" i="10" s="1"/>
  <c r="B72" i="10"/>
  <c r="B71" i="10"/>
  <c r="D71" i="10" s="1"/>
  <c r="C70" i="10"/>
  <c r="B70" i="10"/>
  <c r="B69" i="10"/>
  <c r="D69" i="10" s="1"/>
  <c r="B68" i="10"/>
  <c r="D67" i="10"/>
  <c r="C67" i="10"/>
  <c r="B67" i="10"/>
  <c r="B66" i="10"/>
  <c r="D66" i="10" s="1"/>
  <c r="D65" i="10"/>
  <c r="C65" i="10"/>
  <c r="B65" i="10"/>
  <c r="B64" i="10"/>
  <c r="B63" i="10"/>
  <c r="D75" i="10" s="1"/>
  <c r="D62" i="10"/>
  <c r="B62" i="10"/>
  <c r="C62" i="10" s="1"/>
  <c r="C61" i="10"/>
  <c r="B61" i="10"/>
  <c r="B60" i="10"/>
  <c r="B59" i="10"/>
  <c r="D59" i="10" s="1"/>
  <c r="B58" i="10"/>
  <c r="B57" i="10"/>
  <c r="D57" i="10" s="1"/>
  <c r="B56" i="10"/>
  <c r="D55" i="10"/>
  <c r="B55" i="10"/>
  <c r="B54" i="10"/>
  <c r="C55" i="10" s="1"/>
  <c r="D53" i="10"/>
  <c r="C53" i="10"/>
  <c r="B53" i="10"/>
  <c r="B52" i="10"/>
  <c r="C51" i="10"/>
  <c r="B51" i="10"/>
  <c r="B50" i="10"/>
  <c r="C50" i="10" s="1"/>
  <c r="B49" i="10"/>
  <c r="D61" i="10" s="1"/>
  <c r="B48" i="10"/>
  <c r="B47" i="10"/>
  <c r="D47" i="10" s="1"/>
  <c r="C46" i="10"/>
  <c r="B46" i="10"/>
  <c r="B45" i="10"/>
  <c r="D45" i="10" s="1"/>
  <c r="B44" i="10"/>
  <c r="D43" i="10"/>
  <c r="C43" i="10"/>
  <c r="B43" i="10"/>
  <c r="B42" i="10"/>
  <c r="D42" i="10" s="1"/>
  <c r="D41" i="10"/>
  <c r="C41" i="10"/>
  <c r="B41" i="10"/>
  <c r="B40" i="10"/>
  <c r="B39" i="10"/>
  <c r="D51" i="10" s="1"/>
  <c r="D38" i="10"/>
  <c r="B38" i="10"/>
  <c r="C38" i="10" s="1"/>
  <c r="C37" i="10"/>
  <c r="B37" i="10"/>
  <c r="B36" i="10"/>
  <c r="B35" i="10"/>
  <c r="D35" i="10" s="1"/>
  <c r="B34" i="10"/>
  <c r="B33" i="10"/>
  <c r="D33" i="10" s="1"/>
  <c r="B32" i="10"/>
  <c r="D31" i="10"/>
  <c r="B31" i="10"/>
  <c r="B30" i="10"/>
  <c r="C31" i="10" s="1"/>
  <c r="D29" i="10"/>
  <c r="C29" i="10"/>
  <c r="B29" i="10"/>
  <c r="B28" i="10"/>
  <c r="D27" i="10"/>
  <c r="C27" i="10"/>
  <c r="B27" i="10"/>
  <c r="B26" i="10"/>
  <c r="C26" i="10" s="1"/>
  <c r="B25" i="10"/>
  <c r="D37" i="10" s="1"/>
  <c r="B24" i="10"/>
  <c r="B23" i="10"/>
  <c r="D23" i="10" s="1"/>
  <c r="D22" i="10"/>
  <c r="C22" i="10"/>
  <c r="B22" i="10"/>
  <c r="B21" i="10"/>
  <c r="D21" i="10" s="1"/>
  <c r="B20" i="10"/>
  <c r="D19" i="10"/>
  <c r="C19" i="10"/>
  <c r="B19" i="10"/>
  <c r="B18" i="10"/>
  <c r="C18" i="10" s="1"/>
  <c r="C17" i="10"/>
  <c r="B17" i="10"/>
  <c r="C16" i="10"/>
  <c r="B16" i="10"/>
  <c r="B15" i="10"/>
  <c r="B14" i="10"/>
  <c r="C15" i="10" s="1"/>
  <c r="B13" i="10"/>
  <c r="C13" i="10" s="1"/>
  <c r="B12" i="10"/>
  <c r="C12" i="10" s="1"/>
  <c r="B11" i="10"/>
  <c r="C11" i="10" s="1"/>
  <c r="C10" i="10"/>
  <c r="B10" i="10"/>
  <c r="B9" i="10"/>
  <c r="B8" i="10"/>
  <c r="C9" i="10" s="1"/>
  <c r="B7" i="10"/>
  <c r="D377" i="9"/>
  <c r="C377" i="9"/>
  <c r="B377" i="9"/>
  <c r="B376" i="9"/>
  <c r="D376" i="9" s="1"/>
  <c r="D375" i="9"/>
  <c r="B375" i="9"/>
  <c r="B374" i="9"/>
  <c r="C375" i="9" s="1"/>
  <c r="B373" i="9"/>
  <c r="B372" i="9"/>
  <c r="D371" i="9"/>
  <c r="B371" i="9"/>
  <c r="C371" i="9" s="1"/>
  <c r="B370" i="9"/>
  <c r="C370" i="9" s="1"/>
  <c r="B369" i="9"/>
  <c r="D369" i="9" s="1"/>
  <c r="L59" i="4" s="1"/>
  <c r="D368" i="9"/>
  <c r="B368" i="9"/>
  <c r="C368" i="9" s="1"/>
  <c r="D367" i="9"/>
  <c r="B367" i="9"/>
  <c r="C367" i="9" s="1"/>
  <c r="B366" i="9"/>
  <c r="B365" i="9"/>
  <c r="C366" i="9" s="1"/>
  <c r="D364" i="9"/>
  <c r="C364" i="9"/>
  <c r="B364" i="9"/>
  <c r="B363" i="9"/>
  <c r="C363" i="9" s="1"/>
  <c r="D362" i="9"/>
  <c r="C362" i="9"/>
  <c r="B362" i="9"/>
  <c r="B361" i="9"/>
  <c r="D361" i="9" s="1"/>
  <c r="B360" i="9"/>
  <c r="B359" i="9"/>
  <c r="D358" i="9"/>
  <c r="C358" i="9"/>
  <c r="B358" i="9"/>
  <c r="D370" i="9" s="1"/>
  <c r="B357" i="9"/>
  <c r="C357" i="9" s="1"/>
  <c r="B356" i="9"/>
  <c r="D356" i="9" s="1"/>
  <c r="D355" i="9"/>
  <c r="B355" i="9"/>
  <c r="B354" i="9"/>
  <c r="D354" i="9" s="1"/>
  <c r="B353" i="9"/>
  <c r="B352" i="9"/>
  <c r="C353" i="9" s="1"/>
  <c r="B351" i="9"/>
  <c r="B350" i="9"/>
  <c r="D349" i="9"/>
  <c r="C349" i="9"/>
  <c r="B349" i="9"/>
  <c r="B348" i="9"/>
  <c r="D348" i="9" s="1"/>
  <c r="B347" i="9"/>
  <c r="C347" i="9" s="1"/>
  <c r="D346" i="9"/>
  <c r="B346" i="9"/>
  <c r="C346" i="9" s="1"/>
  <c r="D345" i="9"/>
  <c r="C345" i="9"/>
  <c r="B345" i="9"/>
  <c r="D357" i="9" s="1"/>
  <c r="B344" i="9"/>
  <c r="C344" i="9" s="1"/>
  <c r="B343" i="9"/>
  <c r="C343" i="9" s="1"/>
  <c r="D342" i="9"/>
  <c r="C342" i="9"/>
  <c r="B342" i="9"/>
  <c r="B341" i="9"/>
  <c r="D341" i="9" s="1"/>
  <c r="C340" i="9"/>
  <c r="B340" i="9"/>
  <c r="B339" i="9"/>
  <c r="B338" i="9"/>
  <c r="B337" i="9"/>
  <c r="D337" i="9" s="1"/>
  <c r="D336" i="9"/>
  <c r="C336" i="9"/>
  <c r="B336" i="9"/>
  <c r="B335" i="9"/>
  <c r="B334" i="9"/>
  <c r="D334" i="9" s="1"/>
  <c r="D333" i="9"/>
  <c r="B333" i="9"/>
  <c r="C333" i="9" s="1"/>
  <c r="D332" i="9"/>
  <c r="C332" i="9"/>
  <c r="B332" i="9"/>
  <c r="D344" i="9" s="1"/>
  <c r="B331" i="9"/>
  <c r="B330" i="9"/>
  <c r="D330" i="9" s="1"/>
  <c r="D329" i="9"/>
  <c r="C329" i="9"/>
  <c r="B329" i="9"/>
  <c r="B328" i="9"/>
  <c r="D328" i="9" s="1"/>
  <c r="B327" i="9"/>
  <c r="C327" i="9" s="1"/>
  <c r="B326" i="9"/>
  <c r="D326" i="9" s="1"/>
  <c r="B325" i="9"/>
  <c r="B324" i="9"/>
  <c r="D323" i="9"/>
  <c r="B323" i="9"/>
  <c r="C323" i="9" s="1"/>
  <c r="B322" i="9"/>
  <c r="C322" i="9" s="1"/>
  <c r="B321" i="9"/>
  <c r="D321" i="9" s="1"/>
  <c r="D320" i="9"/>
  <c r="B320" i="9"/>
  <c r="C320" i="9" s="1"/>
  <c r="B319" i="9"/>
  <c r="C319" i="9" s="1"/>
  <c r="B318" i="9"/>
  <c r="B317" i="9"/>
  <c r="C318" i="9" s="1"/>
  <c r="D316" i="9"/>
  <c r="C316" i="9"/>
  <c r="B316" i="9"/>
  <c r="B315" i="9"/>
  <c r="C315" i="9" s="1"/>
  <c r="D314" i="9"/>
  <c r="C314" i="9"/>
  <c r="B314" i="9"/>
  <c r="B313" i="9"/>
  <c r="D313" i="9" s="1"/>
  <c r="B312" i="9"/>
  <c r="B311" i="9"/>
  <c r="D310" i="9"/>
  <c r="C310" i="9"/>
  <c r="B310" i="9"/>
  <c r="D322" i="9" s="1"/>
  <c r="B309" i="9"/>
  <c r="C309" i="9" s="1"/>
  <c r="B308" i="9"/>
  <c r="D308" i="9" s="1"/>
  <c r="D307" i="9"/>
  <c r="B307" i="9"/>
  <c r="B306" i="9"/>
  <c r="D306" i="9" s="1"/>
  <c r="B305" i="9"/>
  <c r="B304" i="9"/>
  <c r="C305" i="9" s="1"/>
  <c r="B303" i="9"/>
  <c r="B302" i="9"/>
  <c r="D301" i="9"/>
  <c r="C301" i="9"/>
  <c r="B301" i="9"/>
  <c r="B300" i="9"/>
  <c r="D300" i="9" s="1"/>
  <c r="B299" i="9"/>
  <c r="C299" i="9" s="1"/>
  <c r="D298" i="9"/>
  <c r="B298" i="9"/>
  <c r="C298" i="9" s="1"/>
  <c r="D297" i="9"/>
  <c r="C297" i="9"/>
  <c r="B297" i="9"/>
  <c r="D309" i="9" s="1"/>
  <c r="B296" i="9"/>
  <c r="C296" i="9" s="1"/>
  <c r="B295" i="9"/>
  <c r="C295" i="9" s="1"/>
  <c r="D294" i="9"/>
  <c r="C294" i="9"/>
  <c r="B294" i="9"/>
  <c r="B293" i="9"/>
  <c r="D293" i="9" s="1"/>
  <c r="C292" i="9"/>
  <c r="B292" i="9"/>
  <c r="B291" i="9"/>
  <c r="C290" i="9"/>
  <c r="B290" i="9"/>
  <c r="D290" i="9" s="1"/>
  <c r="B289" i="9"/>
  <c r="D288" i="9"/>
  <c r="C288" i="9"/>
  <c r="B288" i="9"/>
  <c r="B287" i="9"/>
  <c r="B286" i="9"/>
  <c r="B285" i="9"/>
  <c r="C285" i="9" s="1"/>
  <c r="D284" i="9"/>
  <c r="C284" i="9"/>
  <c r="B284" i="9"/>
  <c r="D296" i="9" s="1"/>
  <c r="B283" i="9"/>
  <c r="B282" i="9"/>
  <c r="D282" i="9" s="1"/>
  <c r="D281" i="9"/>
  <c r="C281" i="9"/>
  <c r="B281" i="9"/>
  <c r="B280" i="9"/>
  <c r="B279" i="9"/>
  <c r="C279" i="9" s="1"/>
  <c r="B278" i="9"/>
  <c r="D278" i="9" s="1"/>
  <c r="B277" i="9"/>
  <c r="D277" i="9" s="1"/>
  <c r="B276" i="9"/>
  <c r="D276" i="9" s="1"/>
  <c r="D275" i="9"/>
  <c r="B275" i="9"/>
  <c r="C275" i="9" s="1"/>
  <c r="B274" i="9"/>
  <c r="C274" i="9" s="1"/>
  <c r="B273" i="9"/>
  <c r="D285" i="9" s="1"/>
  <c r="B272" i="9"/>
  <c r="B271" i="9"/>
  <c r="B270" i="9"/>
  <c r="B269" i="9"/>
  <c r="C270" i="9" s="1"/>
  <c r="D268" i="9"/>
  <c r="C268" i="9"/>
  <c r="B268" i="9"/>
  <c r="B267" i="9"/>
  <c r="C267" i="9" s="1"/>
  <c r="D266" i="9"/>
  <c r="C266" i="9"/>
  <c r="B266" i="9"/>
  <c r="B265" i="9"/>
  <c r="D265" i="9" s="1"/>
  <c r="B264" i="9"/>
  <c r="D264" i="9" s="1"/>
  <c r="B263" i="9"/>
  <c r="D262" i="9"/>
  <c r="C262" i="9"/>
  <c r="B262" i="9"/>
  <c r="D274" i="9" s="1"/>
  <c r="B261" i="9"/>
  <c r="B260" i="9"/>
  <c r="D259" i="9"/>
  <c r="B259" i="9"/>
  <c r="B258" i="9"/>
  <c r="B257" i="9"/>
  <c r="B256" i="9"/>
  <c r="C257" i="9" s="1"/>
  <c r="D255" i="9"/>
  <c r="B255" i="9"/>
  <c r="C255" i="9" s="1"/>
  <c r="B254" i="9"/>
  <c r="C253" i="9"/>
  <c r="B253" i="9"/>
  <c r="B252" i="9"/>
  <c r="D252" i="9" s="1"/>
  <c r="B251" i="9"/>
  <c r="D250" i="9"/>
  <c r="B250" i="9"/>
  <c r="C250" i="9" s="1"/>
  <c r="D249" i="9"/>
  <c r="C249" i="9"/>
  <c r="B249" i="9"/>
  <c r="D261" i="9" s="1"/>
  <c r="B248" i="9"/>
  <c r="C248" i="9" s="1"/>
  <c r="B247" i="9"/>
  <c r="C247" i="9" s="1"/>
  <c r="C246" i="9"/>
  <c r="B246" i="9"/>
  <c r="C245" i="9"/>
  <c r="B245" i="9"/>
  <c r="D244" i="9"/>
  <c r="C244" i="9"/>
  <c r="B244" i="9"/>
  <c r="B243" i="9"/>
  <c r="D242" i="9"/>
  <c r="C242" i="9"/>
  <c r="B242" i="9"/>
  <c r="B241" i="9"/>
  <c r="C240" i="9"/>
  <c r="B240" i="9"/>
  <c r="B239" i="9"/>
  <c r="C238" i="9"/>
  <c r="B238" i="9"/>
  <c r="D238" i="9" s="1"/>
  <c r="B237" i="9"/>
  <c r="B236" i="9"/>
  <c r="D248" i="9" s="1"/>
  <c r="B235" i="9"/>
  <c r="B234" i="9"/>
  <c r="D233" i="9"/>
  <c r="C233" i="9"/>
  <c r="B233" i="9"/>
  <c r="C232" i="9"/>
  <c r="B232" i="9"/>
  <c r="D232" i="9" s="1"/>
  <c r="D231" i="9"/>
  <c r="B231" i="9"/>
  <c r="C231" i="9" s="1"/>
  <c r="B230" i="9"/>
  <c r="D229" i="9"/>
  <c r="B229" i="9"/>
  <c r="B228" i="9"/>
  <c r="D227" i="9"/>
  <c r="B227" i="9"/>
  <c r="C227" i="9" s="1"/>
  <c r="D226" i="9"/>
  <c r="B226" i="9"/>
  <c r="C226" i="9" s="1"/>
  <c r="C225" i="9"/>
  <c r="B225" i="9"/>
  <c r="D225" i="9" s="1"/>
  <c r="B224" i="9"/>
  <c r="B223" i="9"/>
  <c r="B222" i="9"/>
  <c r="B221" i="9"/>
  <c r="D220" i="9"/>
  <c r="C220" i="9"/>
  <c r="B220" i="9"/>
  <c r="B219" i="9"/>
  <c r="B218" i="9"/>
  <c r="D218" i="9" s="1"/>
  <c r="B217" i="9"/>
  <c r="D217" i="9" s="1"/>
  <c r="C216" i="9"/>
  <c r="B216" i="9"/>
  <c r="D216" i="9" s="1"/>
  <c r="B215" i="9"/>
  <c r="D215" i="9" s="1"/>
  <c r="B214" i="9"/>
  <c r="B213" i="9"/>
  <c r="D213" i="9" s="1"/>
  <c r="B212" i="9"/>
  <c r="D224" i="9" s="1"/>
  <c r="D211" i="9"/>
  <c r="C211" i="9"/>
  <c r="B211" i="9"/>
  <c r="C210" i="9"/>
  <c r="B210" i="9"/>
  <c r="D222" i="9" s="1"/>
  <c r="B209" i="9"/>
  <c r="D209" i="9" s="1"/>
  <c r="B208" i="9"/>
  <c r="D208" i="9" s="1"/>
  <c r="B207" i="9"/>
  <c r="D206" i="9"/>
  <c r="B206" i="9"/>
  <c r="C206" i="9" s="1"/>
  <c r="B205" i="9"/>
  <c r="D205" i="9" s="1"/>
  <c r="B204" i="9"/>
  <c r="B203" i="9"/>
  <c r="B202" i="9"/>
  <c r="B201" i="9"/>
  <c r="D201" i="9" s="1"/>
  <c r="C200" i="9"/>
  <c r="B200" i="9"/>
  <c r="B199" i="9"/>
  <c r="D199" i="9" s="1"/>
  <c r="B198" i="9"/>
  <c r="C199" i="9" s="1"/>
  <c r="B197" i="9"/>
  <c r="D197" i="9" s="1"/>
  <c r="D196" i="9"/>
  <c r="B196" i="9"/>
  <c r="C196" i="9" s="1"/>
  <c r="B195" i="9"/>
  <c r="B194" i="9"/>
  <c r="C195" i="9" s="1"/>
  <c r="B193" i="9"/>
  <c r="D193" i="9" s="1"/>
  <c r="C192" i="9"/>
  <c r="B192" i="9"/>
  <c r="D192" i="9" s="1"/>
  <c r="C191" i="9"/>
  <c r="B191" i="9"/>
  <c r="D203" i="9" s="1"/>
  <c r="B190" i="9"/>
  <c r="D190" i="9" s="1"/>
  <c r="B189" i="9"/>
  <c r="B188" i="9"/>
  <c r="D188" i="9" s="1"/>
  <c r="D187" i="9"/>
  <c r="C187" i="9"/>
  <c r="B187" i="9"/>
  <c r="C186" i="9"/>
  <c r="B186" i="9"/>
  <c r="B185" i="9"/>
  <c r="B184" i="9"/>
  <c r="D184" i="9" s="1"/>
  <c r="B183" i="9"/>
  <c r="D182" i="9"/>
  <c r="B182" i="9"/>
  <c r="C182" i="9" s="1"/>
  <c r="B181" i="9"/>
  <c r="D181" i="9" s="1"/>
  <c r="B180" i="9"/>
  <c r="B179" i="9"/>
  <c r="C178" i="9"/>
  <c r="B178" i="9"/>
  <c r="B177" i="9"/>
  <c r="C176" i="9"/>
  <c r="B176" i="9"/>
  <c r="B175" i="9"/>
  <c r="D175" i="9" s="1"/>
  <c r="B174" i="9"/>
  <c r="C175" i="9" s="1"/>
  <c r="B173" i="9"/>
  <c r="D172" i="9"/>
  <c r="B172" i="9"/>
  <c r="C172" i="9" s="1"/>
  <c r="B171" i="9"/>
  <c r="B170" i="9"/>
  <c r="C171" i="9" s="1"/>
  <c r="B169" i="9"/>
  <c r="B168" i="9"/>
  <c r="D168" i="9" s="1"/>
  <c r="C167" i="9"/>
  <c r="B167" i="9"/>
  <c r="D179" i="9" s="1"/>
  <c r="B166" i="9"/>
  <c r="D166" i="9" s="1"/>
  <c r="B165" i="9"/>
  <c r="B164" i="9"/>
  <c r="D164" i="9" s="1"/>
  <c r="D163" i="9"/>
  <c r="C163" i="9"/>
  <c r="B163" i="9"/>
  <c r="C162" i="9"/>
  <c r="B162" i="9"/>
  <c r="B161" i="9"/>
  <c r="B160" i="9"/>
  <c r="D160" i="9" s="1"/>
  <c r="B159" i="9"/>
  <c r="D158" i="9"/>
  <c r="B158" i="9"/>
  <c r="C158" i="9" s="1"/>
  <c r="B157" i="9"/>
  <c r="B156" i="9"/>
  <c r="D156" i="9" s="1"/>
  <c r="B155" i="9"/>
  <c r="C154" i="9"/>
  <c r="B154" i="9"/>
  <c r="B153" i="9"/>
  <c r="C152" i="9"/>
  <c r="B152" i="9"/>
  <c r="B151" i="9"/>
  <c r="D151" i="9" s="1"/>
  <c r="B150" i="9"/>
  <c r="C151" i="9" s="1"/>
  <c r="B149" i="9"/>
  <c r="D148" i="9"/>
  <c r="B148" i="9"/>
  <c r="C148" i="9" s="1"/>
  <c r="C147" i="9"/>
  <c r="B147" i="9"/>
  <c r="B146" i="9"/>
  <c r="D146" i="9" s="1"/>
  <c r="B145" i="9"/>
  <c r="B144" i="9"/>
  <c r="D144" i="9" s="1"/>
  <c r="C143" i="9"/>
  <c r="B143" i="9"/>
  <c r="D155" i="9" s="1"/>
  <c r="B142" i="9"/>
  <c r="C142" i="9" s="1"/>
  <c r="B141" i="9"/>
  <c r="B140" i="9"/>
  <c r="D140" i="9" s="1"/>
  <c r="D139" i="9"/>
  <c r="C139" i="9"/>
  <c r="B139" i="9"/>
  <c r="C138" i="9"/>
  <c r="B138" i="9"/>
  <c r="B137" i="9"/>
  <c r="B136" i="9"/>
  <c r="D136" i="9" s="1"/>
  <c r="B135" i="9"/>
  <c r="D134" i="9"/>
  <c r="B134" i="9"/>
  <c r="C134" i="9" s="1"/>
  <c r="B133" i="9"/>
  <c r="B132" i="9"/>
  <c r="C132" i="9" s="1"/>
  <c r="B131" i="9"/>
  <c r="B130" i="9"/>
  <c r="B129" i="9"/>
  <c r="C128" i="9"/>
  <c r="B128" i="9"/>
  <c r="B127" i="9"/>
  <c r="D127" i="9" s="1"/>
  <c r="B126" i="9"/>
  <c r="C127" i="9" s="1"/>
  <c r="B125" i="9"/>
  <c r="D124" i="9"/>
  <c r="B124" i="9"/>
  <c r="C124" i="9" s="1"/>
  <c r="C123" i="9"/>
  <c r="B123" i="9"/>
  <c r="B122" i="9"/>
  <c r="C122" i="9" s="1"/>
  <c r="B121" i="9"/>
  <c r="C120" i="9"/>
  <c r="B120" i="9"/>
  <c r="C119" i="9"/>
  <c r="B119" i="9"/>
  <c r="D131" i="9" s="1"/>
  <c r="B118" i="9"/>
  <c r="C118" i="9" s="1"/>
  <c r="B117" i="9"/>
  <c r="B116" i="9"/>
  <c r="D116" i="9" s="1"/>
  <c r="D115" i="9"/>
  <c r="C115" i="9"/>
  <c r="B115" i="9"/>
  <c r="C114" i="9"/>
  <c r="B114" i="9"/>
  <c r="B113" i="9"/>
  <c r="B112" i="9"/>
  <c r="C112" i="9" s="1"/>
  <c r="B111" i="9"/>
  <c r="D110" i="9"/>
  <c r="B110" i="9"/>
  <c r="D122" i="9" s="1"/>
  <c r="B109" i="9"/>
  <c r="B108" i="9"/>
  <c r="C108" i="9" s="1"/>
  <c r="B107" i="9"/>
  <c r="B106" i="9"/>
  <c r="B105" i="9"/>
  <c r="C104" i="9"/>
  <c r="B104" i="9"/>
  <c r="B103" i="9"/>
  <c r="D103" i="9" s="1"/>
  <c r="B102" i="9"/>
  <c r="C103" i="9" s="1"/>
  <c r="B101" i="9"/>
  <c r="D100" i="9"/>
  <c r="B100" i="9"/>
  <c r="D112" i="9" s="1"/>
  <c r="C99" i="9"/>
  <c r="B99" i="9"/>
  <c r="B98" i="9"/>
  <c r="C98" i="9" s="1"/>
  <c r="B97" i="9"/>
  <c r="B96" i="9"/>
  <c r="C95" i="9"/>
  <c r="B95" i="9"/>
  <c r="D107" i="9" s="1"/>
  <c r="B94" i="9"/>
  <c r="C94" i="9" s="1"/>
  <c r="B93" i="9"/>
  <c r="B92" i="9"/>
  <c r="D92" i="9" s="1"/>
  <c r="D91" i="9"/>
  <c r="C91" i="9"/>
  <c r="B91" i="9"/>
  <c r="C90" i="9"/>
  <c r="B90" i="9"/>
  <c r="B89" i="9"/>
  <c r="B88" i="9"/>
  <c r="C88" i="9" s="1"/>
  <c r="B87" i="9"/>
  <c r="D86" i="9"/>
  <c r="B86" i="9"/>
  <c r="D98" i="9" s="1"/>
  <c r="B85" i="9"/>
  <c r="B84" i="9"/>
  <c r="C84" i="9" s="1"/>
  <c r="B83" i="9"/>
  <c r="B82" i="9"/>
  <c r="B81" i="9"/>
  <c r="C80" i="9"/>
  <c r="B80" i="9"/>
  <c r="B79" i="9"/>
  <c r="D79" i="9" s="1"/>
  <c r="B78" i="9"/>
  <c r="C79" i="9" s="1"/>
  <c r="B77" i="9"/>
  <c r="D76" i="9"/>
  <c r="B76" i="9"/>
  <c r="D88" i="9" s="1"/>
  <c r="C75" i="9"/>
  <c r="B75" i="9"/>
  <c r="B74" i="9"/>
  <c r="C74" i="9" s="1"/>
  <c r="B73" i="9"/>
  <c r="B72" i="9"/>
  <c r="C71" i="9"/>
  <c r="B71" i="9"/>
  <c r="D83" i="9" s="1"/>
  <c r="B70" i="9"/>
  <c r="C70" i="9" s="1"/>
  <c r="B69" i="9"/>
  <c r="B68" i="9"/>
  <c r="D68" i="9" s="1"/>
  <c r="D67" i="9"/>
  <c r="C67" i="9"/>
  <c r="B67" i="9"/>
  <c r="C66" i="9"/>
  <c r="B66" i="9"/>
  <c r="B65" i="9"/>
  <c r="B64" i="9"/>
  <c r="C64" i="9" s="1"/>
  <c r="B63" i="9"/>
  <c r="D62" i="9"/>
  <c r="B62" i="9"/>
  <c r="D74" i="9" s="1"/>
  <c r="B61" i="9"/>
  <c r="B60" i="9"/>
  <c r="C60" i="9" s="1"/>
  <c r="B59" i="9"/>
  <c r="B58" i="9"/>
  <c r="B57" i="9"/>
  <c r="C56" i="9"/>
  <c r="B56" i="9"/>
  <c r="B55" i="9"/>
  <c r="D55" i="9" s="1"/>
  <c r="B54" i="9"/>
  <c r="C55" i="9" s="1"/>
  <c r="B53" i="9"/>
  <c r="D52" i="9"/>
  <c r="B52" i="9"/>
  <c r="D64" i="9" s="1"/>
  <c r="C51" i="9"/>
  <c r="B51" i="9"/>
  <c r="C50" i="9"/>
  <c r="B50" i="9"/>
  <c r="B49" i="9"/>
  <c r="C48" i="9"/>
  <c r="B48" i="9"/>
  <c r="C47" i="9"/>
  <c r="B47" i="9"/>
  <c r="D59" i="9" s="1"/>
  <c r="B46" i="9"/>
  <c r="C46" i="9" s="1"/>
  <c r="B45" i="9"/>
  <c r="B44" i="9"/>
  <c r="D44" i="9" s="1"/>
  <c r="D43" i="9"/>
  <c r="C43" i="9"/>
  <c r="B43" i="9"/>
  <c r="C42" i="9"/>
  <c r="B42" i="9"/>
  <c r="B41" i="9"/>
  <c r="B40" i="9"/>
  <c r="B39" i="9"/>
  <c r="D38" i="9"/>
  <c r="B38" i="9"/>
  <c r="D50" i="9" s="1"/>
  <c r="B37" i="9"/>
  <c r="B36" i="9"/>
  <c r="C36" i="9" s="1"/>
  <c r="B35" i="9"/>
  <c r="C34" i="9"/>
  <c r="B34" i="9"/>
  <c r="B33" i="9"/>
  <c r="C32" i="9"/>
  <c r="B32" i="9"/>
  <c r="B31" i="9"/>
  <c r="D31" i="9" s="1"/>
  <c r="B30" i="9"/>
  <c r="C31" i="9" s="1"/>
  <c r="B29" i="9"/>
  <c r="D28" i="9"/>
  <c r="B28" i="9"/>
  <c r="D40" i="9" s="1"/>
  <c r="D27" i="9"/>
  <c r="C27" i="9"/>
  <c r="B27" i="9"/>
  <c r="C26" i="9"/>
  <c r="B26" i="9"/>
  <c r="B25" i="9"/>
  <c r="C24" i="9"/>
  <c r="B24" i="9"/>
  <c r="C23" i="9"/>
  <c r="B23" i="9"/>
  <c r="D35" i="9" s="1"/>
  <c r="D22" i="9"/>
  <c r="B22" i="9"/>
  <c r="C22" i="9" s="1"/>
  <c r="B21" i="9"/>
  <c r="B20" i="9"/>
  <c r="D20" i="9" s="1"/>
  <c r="D19" i="9"/>
  <c r="C19" i="9"/>
  <c r="B19" i="9"/>
  <c r="C18" i="9"/>
  <c r="B18" i="9"/>
  <c r="C17" i="9"/>
  <c r="B17" i="9"/>
  <c r="B16" i="9"/>
  <c r="C16" i="9" s="1"/>
  <c r="B15" i="9"/>
  <c r="B14" i="9"/>
  <c r="D26" i="9" s="1"/>
  <c r="C13" i="9"/>
  <c r="B13" i="9"/>
  <c r="B12" i="9"/>
  <c r="C12" i="9" s="1"/>
  <c r="C11" i="9"/>
  <c r="B11" i="9"/>
  <c r="B10" i="9"/>
  <c r="C9" i="9"/>
  <c r="B9" i="9"/>
  <c r="B8" i="9"/>
  <c r="B7" i="9"/>
  <c r="C8" i="9" s="1"/>
  <c r="D377" i="8"/>
  <c r="C377" i="8"/>
  <c r="B377" i="8"/>
  <c r="D376" i="8"/>
  <c r="B376" i="8"/>
  <c r="C376" i="8" s="1"/>
  <c r="B375" i="8"/>
  <c r="D375" i="8" s="1"/>
  <c r="B374" i="8"/>
  <c r="C373" i="8"/>
  <c r="B373" i="8"/>
  <c r="B372" i="8"/>
  <c r="C372" i="8" s="1"/>
  <c r="C371" i="8"/>
  <c r="B371" i="8"/>
  <c r="D370" i="8"/>
  <c r="B370" i="8"/>
  <c r="B369" i="8"/>
  <c r="D368" i="8"/>
  <c r="B368" i="8"/>
  <c r="C368" i="8" s="1"/>
  <c r="D367" i="8"/>
  <c r="C367" i="8"/>
  <c r="B367" i="8"/>
  <c r="B366" i="8"/>
  <c r="D366" i="8" s="1"/>
  <c r="B365" i="8"/>
  <c r="C366" i="8" s="1"/>
  <c r="D364" i="8"/>
  <c r="B364" i="8"/>
  <c r="C364" i="8" s="1"/>
  <c r="C363" i="8"/>
  <c r="B363" i="8"/>
  <c r="B362" i="8"/>
  <c r="D362" i="8" s="1"/>
  <c r="B361" i="8"/>
  <c r="B360" i="8"/>
  <c r="D359" i="8"/>
  <c r="B359" i="8"/>
  <c r="D371" i="8" s="1"/>
  <c r="C358" i="8"/>
  <c r="B358" i="8"/>
  <c r="D357" i="8"/>
  <c r="B357" i="8"/>
  <c r="B356" i="8"/>
  <c r="C356" i="8" s="1"/>
  <c r="D355" i="8"/>
  <c r="C355" i="8"/>
  <c r="B355" i="8"/>
  <c r="D354" i="8"/>
  <c r="C354" i="8"/>
  <c r="B354" i="8"/>
  <c r="C353" i="8"/>
  <c r="B353" i="8"/>
  <c r="D353" i="8" s="1"/>
  <c r="B352" i="8"/>
  <c r="B351" i="8"/>
  <c r="D351" i="8" s="1"/>
  <c r="C350" i="8"/>
  <c r="B350" i="8"/>
  <c r="B349" i="8"/>
  <c r="D349" i="8" s="1"/>
  <c r="B348" i="8"/>
  <c r="B347" i="8"/>
  <c r="B346" i="8"/>
  <c r="D358" i="8" s="1"/>
  <c r="C345" i="8"/>
  <c r="B345" i="8"/>
  <c r="B344" i="8"/>
  <c r="B343" i="8"/>
  <c r="D343" i="8" s="1"/>
  <c r="D342" i="8"/>
  <c r="C342" i="8"/>
  <c r="B342" i="8"/>
  <c r="D341" i="8"/>
  <c r="C341" i="8"/>
  <c r="B341" i="8"/>
  <c r="B340" i="8"/>
  <c r="C340" i="8" s="1"/>
  <c r="B339" i="8"/>
  <c r="B338" i="8"/>
  <c r="C337" i="8"/>
  <c r="B337" i="8"/>
  <c r="D337" i="8" s="1"/>
  <c r="B336" i="8"/>
  <c r="C336" i="8" s="1"/>
  <c r="D335" i="8"/>
  <c r="B335" i="8"/>
  <c r="B334" i="8"/>
  <c r="D346" i="8" s="1"/>
  <c r="B333" i="8"/>
  <c r="D345" i="8" s="1"/>
  <c r="D332" i="8"/>
  <c r="B332" i="8"/>
  <c r="C332" i="8" s="1"/>
  <c r="B331" i="8"/>
  <c r="D331" i="8" s="1"/>
  <c r="B330" i="8"/>
  <c r="C331" i="8" s="1"/>
  <c r="D329" i="8"/>
  <c r="C329" i="8"/>
  <c r="B329" i="8"/>
  <c r="B328" i="8"/>
  <c r="C328" i="8" s="1"/>
  <c r="B327" i="8"/>
  <c r="D327" i="8" s="1"/>
  <c r="B326" i="8"/>
  <c r="C325" i="8"/>
  <c r="B325" i="8"/>
  <c r="B324" i="8"/>
  <c r="C324" i="8" s="1"/>
  <c r="C323" i="8"/>
  <c r="B323" i="8"/>
  <c r="D322" i="8"/>
  <c r="B322" i="8"/>
  <c r="B321" i="8"/>
  <c r="D320" i="8"/>
  <c r="B320" i="8"/>
  <c r="C320" i="8" s="1"/>
  <c r="D319" i="8"/>
  <c r="C319" i="8"/>
  <c r="B319" i="8"/>
  <c r="B318" i="8"/>
  <c r="D318" i="8" s="1"/>
  <c r="B317" i="8"/>
  <c r="C318" i="8" s="1"/>
  <c r="B316" i="8"/>
  <c r="C315" i="8"/>
  <c r="B315" i="8"/>
  <c r="D315" i="8" s="1"/>
  <c r="B314" i="8"/>
  <c r="D314" i="8" s="1"/>
  <c r="B313" i="8"/>
  <c r="B312" i="8"/>
  <c r="B311" i="8"/>
  <c r="D323" i="8" s="1"/>
  <c r="C310" i="8"/>
  <c r="B310" i="8"/>
  <c r="D309" i="8"/>
  <c r="B309" i="8"/>
  <c r="B308" i="8"/>
  <c r="C308" i="8" s="1"/>
  <c r="D307" i="8"/>
  <c r="C307" i="8"/>
  <c r="B307" i="8"/>
  <c r="D306" i="8"/>
  <c r="C306" i="8"/>
  <c r="B306" i="8"/>
  <c r="C305" i="8"/>
  <c r="B305" i="8"/>
  <c r="D305" i="8" s="1"/>
  <c r="B304" i="8"/>
  <c r="C303" i="8"/>
  <c r="B303" i="8"/>
  <c r="D303" i="8" s="1"/>
  <c r="C302" i="8"/>
  <c r="B302" i="8"/>
  <c r="D302" i="8" s="1"/>
  <c r="B301" i="8"/>
  <c r="D301" i="8" s="1"/>
  <c r="B300" i="8"/>
  <c r="B299" i="8"/>
  <c r="B298" i="8"/>
  <c r="D310" i="8" s="1"/>
  <c r="C297" i="8"/>
  <c r="B297" i="8"/>
  <c r="B296" i="8"/>
  <c r="B295" i="8"/>
  <c r="D295" i="8" s="1"/>
  <c r="D294" i="8"/>
  <c r="C294" i="8"/>
  <c r="B294" i="8"/>
  <c r="D293" i="8"/>
  <c r="C293" i="8"/>
  <c r="B293" i="8"/>
  <c r="B292" i="8"/>
  <c r="C292" i="8" s="1"/>
  <c r="B291" i="8"/>
  <c r="B290" i="8"/>
  <c r="C289" i="8"/>
  <c r="B289" i="8"/>
  <c r="B288" i="8"/>
  <c r="C288" i="8" s="1"/>
  <c r="D287" i="8"/>
  <c r="B287" i="8"/>
  <c r="B286" i="8"/>
  <c r="D285" i="8"/>
  <c r="B285" i="8"/>
  <c r="D297" i="8" s="1"/>
  <c r="D284" i="8"/>
  <c r="B284" i="8"/>
  <c r="C284" i="8" s="1"/>
  <c r="B283" i="8"/>
  <c r="D283" i="8" s="1"/>
  <c r="B282" i="8"/>
  <c r="C283" i="8" s="1"/>
  <c r="D281" i="8"/>
  <c r="C281" i="8"/>
  <c r="B281" i="8"/>
  <c r="B280" i="8"/>
  <c r="C280" i="8" s="1"/>
  <c r="B279" i="8"/>
  <c r="D279" i="8" s="1"/>
  <c r="B278" i="8"/>
  <c r="C278" i="8" s="1"/>
  <c r="B277" i="8"/>
  <c r="D277" i="8" s="1"/>
  <c r="B276" i="8"/>
  <c r="C276" i="8" s="1"/>
  <c r="C275" i="8"/>
  <c r="B275" i="8"/>
  <c r="D274" i="8"/>
  <c r="B274" i="8"/>
  <c r="B273" i="8"/>
  <c r="D272" i="8"/>
  <c r="B272" i="8"/>
  <c r="C272" i="8" s="1"/>
  <c r="D271" i="8"/>
  <c r="C271" i="8"/>
  <c r="B271" i="8"/>
  <c r="B270" i="8"/>
  <c r="D270" i="8" s="1"/>
  <c r="B269" i="8"/>
  <c r="C270" i="8" s="1"/>
  <c r="D268" i="8"/>
  <c r="B268" i="8"/>
  <c r="C267" i="8"/>
  <c r="B267" i="8"/>
  <c r="B266" i="8"/>
  <c r="D266" i="8" s="1"/>
  <c r="B265" i="8"/>
  <c r="B264" i="8"/>
  <c r="D263" i="8"/>
  <c r="B263" i="8"/>
  <c r="D275" i="8" s="1"/>
  <c r="C262" i="8"/>
  <c r="B262" i="8"/>
  <c r="D261" i="8"/>
  <c r="B261" i="8"/>
  <c r="B260" i="8"/>
  <c r="C260" i="8" s="1"/>
  <c r="D259" i="8"/>
  <c r="C259" i="8"/>
  <c r="B259" i="8"/>
  <c r="D258" i="8"/>
  <c r="C258" i="8"/>
  <c r="B258" i="8"/>
  <c r="C257" i="8"/>
  <c r="B257" i="8"/>
  <c r="D257" i="8" s="1"/>
  <c r="B256" i="8"/>
  <c r="B255" i="8"/>
  <c r="D255" i="8" s="1"/>
  <c r="C254" i="8"/>
  <c r="B254" i="8"/>
  <c r="B253" i="8"/>
  <c r="D253" i="8" s="1"/>
  <c r="B252" i="8"/>
  <c r="B251" i="8"/>
  <c r="D250" i="8"/>
  <c r="B250" i="8"/>
  <c r="D262" i="8" s="1"/>
  <c r="C249" i="8"/>
  <c r="B249" i="8"/>
  <c r="B248" i="8"/>
  <c r="B247" i="8"/>
  <c r="D247" i="8" s="1"/>
  <c r="D246" i="8"/>
  <c r="C246" i="8"/>
  <c r="B246" i="8"/>
  <c r="D245" i="8"/>
  <c r="C245" i="8"/>
  <c r="B245" i="8"/>
  <c r="B244" i="8"/>
  <c r="C244" i="8" s="1"/>
  <c r="B243" i="8"/>
  <c r="C243" i="8" s="1"/>
  <c r="C242" i="8"/>
  <c r="B242" i="8"/>
  <c r="D242" i="8" s="1"/>
  <c r="C241" i="8"/>
  <c r="B241" i="8"/>
  <c r="D241" i="8" s="1"/>
  <c r="B240" i="8"/>
  <c r="C240" i="8" s="1"/>
  <c r="D239" i="8"/>
  <c r="B239" i="8"/>
  <c r="B238" i="8"/>
  <c r="B237" i="8"/>
  <c r="D249" i="8" s="1"/>
  <c r="D236" i="8"/>
  <c r="B236" i="8"/>
  <c r="C236" i="8" s="1"/>
  <c r="B235" i="8"/>
  <c r="D235" i="8" s="1"/>
  <c r="B234" i="8"/>
  <c r="C235" i="8" s="1"/>
  <c r="D233" i="8"/>
  <c r="C233" i="8"/>
  <c r="B233" i="8"/>
  <c r="B232" i="8"/>
  <c r="C232" i="8" s="1"/>
  <c r="B231" i="8"/>
  <c r="D231" i="8" s="1"/>
  <c r="B230" i="8"/>
  <c r="C229" i="8"/>
  <c r="B229" i="8"/>
  <c r="D229" i="8" s="1"/>
  <c r="B228" i="8"/>
  <c r="C228" i="8" s="1"/>
  <c r="C227" i="8"/>
  <c r="B227" i="8"/>
  <c r="D226" i="8"/>
  <c r="B226" i="8"/>
  <c r="B225" i="8"/>
  <c r="D237" i="8" s="1"/>
  <c r="D224" i="8"/>
  <c r="B224" i="8"/>
  <c r="C224" i="8" s="1"/>
  <c r="D223" i="8"/>
  <c r="C223" i="8"/>
  <c r="B223" i="8"/>
  <c r="B222" i="8"/>
  <c r="D222" i="8" s="1"/>
  <c r="B221" i="8"/>
  <c r="C222" i="8" s="1"/>
  <c r="B220" i="8"/>
  <c r="C219" i="8"/>
  <c r="B219" i="8"/>
  <c r="B218" i="8"/>
  <c r="D218" i="8" s="1"/>
  <c r="B217" i="8"/>
  <c r="C217" i="8" s="1"/>
  <c r="B216" i="8"/>
  <c r="B215" i="8"/>
  <c r="D227" i="8" s="1"/>
  <c r="C214" i="8"/>
  <c r="B214" i="8"/>
  <c r="D213" i="8"/>
  <c r="B213" i="8"/>
  <c r="B212" i="8"/>
  <c r="C212" i="8" s="1"/>
  <c r="D211" i="8"/>
  <c r="C211" i="8"/>
  <c r="B211" i="8"/>
  <c r="D210" i="8"/>
  <c r="C210" i="8"/>
  <c r="B210" i="8"/>
  <c r="C209" i="8"/>
  <c r="B209" i="8"/>
  <c r="D209" i="8" s="1"/>
  <c r="B208" i="8"/>
  <c r="B207" i="8"/>
  <c r="C206" i="8"/>
  <c r="B206" i="8"/>
  <c r="D206" i="8" s="1"/>
  <c r="B205" i="8"/>
  <c r="D205" i="8" s="1"/>
  <c r="B204" i="8"/>
  <c r="B203" i="8"/>
  <c r="D215" i="8" s="1"/>
  <c r="B202" i="8"/>
  <c r="D214" i="8" s="1"/>
  <c r="C201" i="8"/>
  <c r="B201" i="8"/>
  <c r="B200" i="8"/>
  <c r="B199" i="8"/>
  <c r="D199" i="8" s="1"/>
  <c r="D198" i="8"/>
  <c r="C198" i="8"/>
  <c r="B198" i="8"/>
  <c r="D197" i="8"/>
  <c r="C197" i="8"/>
  <c r="B197" i="8"/>
  <c r="B196" i="8"/>
  <c r="C196" i="8" s="1"/>
  <c r="B195" i="8"/>
  <c r="C195" i="8" s="1"/>
  <c r="B194" i="8"/>
  <c r="D194" i="8" s="1"/>
  <c r="C193" i="8"/>
  <c r="B193" i="8"/>
  <c r="B192" i="8"/>
  <c r="C192" i="8" s="1"/>
  <c r="D191" i="8"/>
  <c r="B191" i="8"/>
  <c r="B190" i="8"/>
  <c r="D189" i="8"/>
  <c r="B189" i="8"/>
  <c r="D201" i="8" s="1"/>
  <c r="D188" i="8"/>
  <c r="B188" i="8"/>
  <c r="C188" i="8" s="1"/>
  <c r="B187" i="8"/>
  <c r="D187" i="8" s="1"/>
  <c r="B186" i="8"/>
  <c r="C187" i="8" s="1"/>
  <c r="D185" i="8"/>
  <c r="C185" i="8"/>
  <c r="B185" i="8"/>
  <c r="B184" i="8"/>
  <c r="C184" i="8" s="1"/>
  <c r="B183" i="8"/>
  <c r="D183" i="8" s="1"/>
  <c r="B182" i="8"/>
  <c r="C182" i="8" s="1"/>
  <c r="B181" i="8"/>
  <c r="D181" i="8" s="1"/>
  <c r="B180" i="8"/>
  <c r="C180" i="8" s="1"/>
  <c r="C179" i="8"/>
  <c r="B179" i="8"/>
  <c r="D178" i="8"/>
  <c r="B178" i="8"/>
  <c r="B177" i="8"/>
  <c r="D176" i="8"/>
  <c r="B176" i="8"/>
  <c r="C176" i="8" s="1"/>
  <c r="D175" i="8"/>
  <c r="C175" i="8"/>
  <c r="B175" i="8"/>
  <c r="B174" i="8"/>
  <c r="D174" i="8" s="1"/>
  <c r="B173" i="8"/>
  <c r="C174" i="8" s="1"/>
  <c r="D172" i="8"/>
  <c r="B172" i="8"/>
  <c r="C171" i="8"/>
  <c r="B171" i="8"/>
  <c r="B170" i="8"/>
  <c r="D170" i="8" s="1"/>
  <c r="B169" i="8"/>
  <c r="C169" i="8" s="1"/>
  <c r="B168" i="8"/>
  <c r="B167" i="8"/>
  <c r="D179" i="8" s="1"/>
  <c r="C166" i="8"/>
  <c r="B166" i="8"/>
  <c r="D165" i="8"/>
  <c r="B165" i="8"/>
  <c r="B164" i="8"/>
  <c r="C164" i="8" s="1"/>
  <c r="D163" i="8"/>
  <c r="C163" i="8"/>
  <c r="B163" i="8"/>
  <c r="D162" i="8"/>
  <c r="C162" i="8"/>
  <c r="B162" i="8"/>
  <c r="C161" i="8"/>
  <c r="B161" i="8"/>
  <c r="D161" i="8" s="1"/>
  <c r="B160" i="8"/>
  <c r="B159" i="8"/>
  <c r="D159" i="8" s="1"/>
  <c r="C158" i="8"/>
  <c r="B158" i="8"/>
  <c r="B157" i="8"/>
  <c r="D157" i="8" s="1"/>
  <c r="B156" i="8"/>
  <c r="B155" i="8"/>
  <c r="D154" i="8"/>
  <c r="B154" i="8"/>
  <c r="C153" i="8"/>
  <c r="B153" i="8"/>
  <c r="B152" i="8"/>
  <c r="B151" i="8"/>
  <c r="D151" i="8" s="1"/>
  <c r="D150" i="8"/>
  <c r="C150" i="8"/>
  <c r="B150" i="8"/>
  <c r="D149" i="8"/>
  <c r="C149" i="8"/>
  <c r="B149" i="8"/>
  <c r="B148" i="8"/>
  <c r="C148" i="8" s="1"/>
  <c r="B147" i="8"/>
  <c r="C146" i="8"/>
  <c r="B146" i="8"/>
  <c r="D146" i="8" s="1"/>
  <c r="C145" i="8"/>
  <c r="B145" i="8"/>
  <c r="B144" i="8"/>
  <c r="C144" i="8" s="1"/>
  <c r="D143" i="8"/>
  <c r="B143" i="8"/>
  <c r="B142" i="8"/>
  <c r="B141" i="8"/>
  <c r="D140" i="8"/>
  <c r="B140" i="8"/>
  <c r="C140" i="8" s="1"/>
  <c r="B139" i="8"/>
  <c r="D139" i="8" s="1"/>
  <c r="B138" i="8"/>
  <c r="C139" i="8" s="1"/>
  <c r="D137" i="8"/>
  <c r="C137" i="8"/>
  <c r="B137" i="8"/>
  <c r="D136" i="8"/>
  <c r="B136" i="8"/>
  <c r="C136" i="8" s="1"/>
  <c r="B135" i="8"/>
  <c r="D135" i="8" s="1"/>
  <c r="B134" i="8"/>
  <c r="B133" i="8"/>
  <c r="B132" i="8"/>
  <c r="D131" i="8"/>
  <c r="C131" i="8"/>
  <c r="B131" i="8"/>
  <c r="D130" i="8"/>
  <c r="B130" i="8"/>
  <c r="B129" i="8"/>
  <c r="D128" i="8"/>
  <c r="B128" i="8"/>
  <c r="C128" i="8" s="1"/>
  <c r="D127" i="8"/>
  <c r="C127" i="8"/>
  <c r="B127" i="8"/>
  <c r="B126" i="8"/>
  <c r="D126" i="8" s="1"/>
  <c r="B125" i="8"/>
  <c r="C126" i="8" s="1"/>
  <c r="D124" i="8"/>
  <c r="C124" i="8"/>
  <c r="B124" i="8"/>
  <c r="D123" i="8"/>
  <c r="C123" i="8"/>
  <c r="B123" i="8"/>
  <c r="B122" i="8"/>
  <c r="D122" i="8" s="1"/>
  <c r="B121" i="8"/>
  <c r="C122" i="8" s="1"/>
  <c r="D120" i="8"/>
  <c r="C120" i="8"/>
  <c r="B120" i="8"/>
  <c r="D119" i="8"/>
  <c r="C119" i="8"/>
  <c r="B119" i="8"/>
  <c r="B118" i="8"/>
  <c r="D118" i="8" s="1"/>
  <c r="B117" i="8"/>
  <c r="C118" i="8" s="1"/>
  <c r="D116" i="8"/>
  <c r="C116" i="8"/>
  <c r="B116" i="8"/>
  <c r="D115" i="8"/>
  <c r="C115" i="8"/>
  <c r="B115" i="8"/>
  <c r="B114" i="8"/>
  <c r="D114" i="8" s="1"/>
  <c r="B113" i="8"/>
  <c r="C114" i="8" s="1"/>
  <c r="D112" i="8"/>
  <c r="C112" i="8"/>
  <c r="B112" i="8"/>
  <c r="D111" i="8"/>
  <c r="C111" i="8"/>
  <c r="B111" i="8"/>
  <c r="B110" i="8"/>
  <c r="D110" i="8" s="1"/>
  <c r="B109" i="8"/>
  <c r="C110" i="8" s="1"/>
  <c r="D108" i="8"/>
  <c r="C108" i="8"/>
  <c r="B108" i="8"/>
  <c r="D107" i="8"/>
  <c r="C107" i="8"/>
  <c r="B107" i="8"/>
  <c r="B106" i="8"/>
  <c r="D106" i="8" s="1"/>
  <c r="B105" i="8"/>
  <c r="C106" i="8" s="1"/>
  <c r="C104" i="8"/>
  <c r="B104" i="8"/>
  <c r="D103" i="8"/>
  <c r="C103" i="8"/>
  <c r="B103" i="8"/>
  <c r="B102" i="8"/>
  <c r="D102" i="8" s="1"/>
  <c r="B101" i="8"/>
  <c r="C100" i="8"/>
  <c r="B100" i="8"/>
  <c r="B99" i="8"/>
  <c r="C99" i="8" s="1"/>
  <c r="B98" i="8"/>
  <c r="D98" i="8" s="1"/>
  <c r="B97" i="8"/>
  <c r="D96" i="8"/>
  <c r="C96" i="8"/>
  <c r="B96" i="8"/>
  <c r="B95" i="8"/>
  <c r="C95" i="8" s="1"/>
  <c r="B94" i="8"/>
  <c r="D94" i="8" s="1"/>
  <c r="B93" i="8"/>
  <c r="C92" i="8"/>
  <c r="B92" i="8"/>
  <c r="D104" i="8" s="1"/>
  <c r="D91" i="8"/>
  <c r="B91" i="8"/>
  <c r="C91" i="8" s="1"/>
  <c r="B90" i="8"/>
  <c r="D90" i="8" s="1"/>
  <c r="B89" i="8"/>
  <c r="B88" i="8"/>
  <c r="D100" i="8" s="1"/>
  <c r="B87" i="8"/>
  <c r="C87" i="8" s="1"/>
  <c r="B86" i="8"/>
  <c r="D86" i="8" s="1"/>
  <c r="B85" i="8"/>
  <c r="B84" i="8"/>
  <c r="D84" i="8" s="1"/>
  <c r="B83" i="8"/>
  <c r="B82" i="8"/>
  <c r="D82" i="8" s="1"/>
  <c r="B81" i="8"/>
  <c r="B80" i="8"/>
  <c r="C80" i="8" s="1"/>
  <c r="D79" i="8"/>
  <c r="C79" i="8"/>
  <c r="B79" i="8"/>
  <c r="B78" i="8"/>
  <c r="D78" i="8" s="1"/>
  <c r="B77" i="8"/>
  <c r="B76" i="8"/>
  <c r="C75" i="8"/>
  <c r="B75" i="8"/>
  <c r="D75" i="8" s="1"/>
  <c r="B74" i="8"/>
  <c r="D74" i="8" s="1"/>
  <c r="B73" i="8"/>
  <c r="D72" i="8"/>
  <c r="B72" i="8"/>
  <c r="B71" i="8"/>
  <c r="B70" i="8"/>
  <c r="B69" i="8"/>
  <c r="B68" i="8"/>
  <c r="C68" i="8" s="1"/>
  <c r="D67" i="8"/>
  <c r="C67" i="8"/>
  <c r="B67" i="8"/>
  <c r="B66" i="8"/>
  <c r="B65" i="8"/>
  <c r="B64" i="8"/>
  <c r="D64" i="8" s="1"/>
  <c r="C63" i="8"/>
  <c r="B63" i="8"/>
  <c r="D63" i="8" s="1"/>
  <c r="B62" i="8"/>
  <c r="B61" i="8"/>
  <c r="D60" i="8"/>
  <c r="B60" i="8"/>
  <c r="B59" i="8"/>
  <c r="B58" i="8"/>
  <c r="B57" i="8"/>
  <c r="B56" i="8"/>
  <c r="C56" i="8" s="1"/>
  <c r="D55" i="8"/>
  <c r="C55" i="8"/>
  <c r="B55" i="8"/>
  <c r="B54" i="8"/>
  <c r="B53" i="8"/>
  <c r="C52" i="8"/>
  <c r="B52" i="8"/>
  <c r="B51" i="8"/>
  <c r="D51" i="8" s="1"/>
  <c r="B50" i="8"/>
  <c r="C51" i="8" s="1"/>
  <c r="B49" i="8"/>
  <c r="D48" i="8"/>
  <c r="B48" i="8"/>
  <c r="C48" i="8" s="1"/>
  <c r="B47" i="8"/>
  <c r="B46" i="8"/>
  <c r="B45" i="8"/>
  <c r="B44" i="8"/>
  <c r="C44" i="8" s="1"/>
  <c r="D43" i="8"/>
  <c r="C43" i="8"/>
  <c r="B43" i="8"/>
  <c r="B42" i="8"/>
  <c r="B41" i="8"/>
  <c r="B40" i="8"/>
  <c r="D40" i="8" s="1"/>
  <c r="B39" i="8"/>
  <c r="D39" i="8" s="1"/>
  <c r="B38" i="8"/>
  <c r="C39" i="8" s="1"/>
  <c r="B37" i="8"/>
  <c r="D36" i="8"/>
  <c r="B36" i="8"/>
  <c r="C36" i="8" s="1"/>
  <c r="B35" i="8"/>
  <c r="B34" i="8"/>
  <c r="B33" i="8"/>
  <c r="B32" i="8"/>
  <c r="C32" i="8" s="1"/>
  <c r="D31" i="8"/>
  <c r="C31" i="8"/>
  <c r="B31" i="8"/>
  <c r="B30" i="8"/>
  <c r="B29" i="8"/>
  <c r="C28" i="8"/>
  <c r="B28" i="8"/>
  <c r="D28" i="8" s="1"/>
  <c r="B27" i="8"/>
  <c r="D27" i="8" s="1"/>
  <c r="B26" i="8"/>
  <c r="C27" i="8" s="1"/>
  <c r="B25" i="8"/>
  <c r="D24" i="8"/>
  <c r="B24" i="8"/>
  <c r="B23" i="8"/>
  <c r="B22" i="8"/>
  <c r="B21" i="8"/>
  <c r="B20" i="8"/>
  <c r="C20" i="8" s="1"/>
  <c r="C19" i="8"/>
  <c r="B19" i="8"/>
  <c r="B18" i="8"/>
  <c r="C18" i="8" s="1"/>
  <c r="B17" i="8"/>
  <c r="B16" i="8"/>
  <c r="C15" i="8"/>
  <c r="B15" i="8"/>
  <c r="B14" i="8"/>
  <c r="C14" i="8" s="1"/>
  <c r="C13" i="8"/>
  <c r="B13" i="8"/>
  <c r="B12" i="8"/>
  <c r="C12" i="8" s="1"/>
  <c r="B11" i="8"/>
  <c r="B10" i="8"/>
  <c r="B9" i="8"/>
  <c r="C9" i="8" s="1"/>
  <c r="C8" i="8"/>
  <c r="B8" i="8"/>
  <c r="B7" i="8"/>
  <c r="D19" i="8" s="1"/>
  <c r="D377" i="7"/>
  <c r="B377" i="7"/>
  <c r="C377" i="7" s="1"/>
  <c r="D376" i="7"/>
  <c r="B376" i="7"/>
  <c r="C376" i="7" s="1"/>
  <c r="B375" i="7"/>
  <c r="D375" i="7" s="1"/>
  <c r="F65" i="4" s="1"/>
  <c r="C374" i="7"/>
  <c r="B374" i="7"/>
  <c r="D374" i="7" s="1"/>
  <c r="D373" i="7"/>
  <c r="B373" i="7"/>
  <c r="C373" i="7" s="1"/>
  <c r="D372" i="7"/>
  <c r="B372" i="7"/>
  <c r="C372" i="7" s="1"/>
  <c r="C371" i="7"/>
  <c r="B371" i="7"/>
  <c r="B370" i="7"/>
  <c r="D370" i="7" s="1"/>
  <c r="D369" i="7"/>
  <c r="B369" i="7"/>
  <c r="C369" i="7" s="1"/>
  <c r="D368" i="7"/>
  <c r="B368" i="7"/>
  <c r="C368" i="7" s="1"/>
  <c r="C367" i="7"/>
  <c r="B367" i="7"/>
  <c r="B366" i="7"/>
  <c r="C366" i="7" s="1"/>
  <c r="B365" i="7"/>
  <c r="C365" i="7" s="1"/>
  <c r="D364" i="7"/>
  <c r="B364" i="7"/>
  <c r="C364" i="7" s="1"/>
  <c r="B363" i="7"/>
  <c r="D363" i="7" s="1"/>
  <c r="C362" i="7"/>
  <c r="B362" i="7"/>
  <c r="B361" i="7"/>
  <c r="C361" i="7" s="1"/>
  <c r="D360" i="7"/>
  <c r="B360" i="7"/>
  <c r="D359" i="7"/>
  <c r="C359" i="7"/>
  <c r="B359" i="7"/>
  <c r="D371" i="7" s="1"/>
  <c r="B358" i="7"/>
  <c r="C358" i="7" s="1"/>
  <c r="B357" i="7"/>
  <c r="C357" i="7" s="1"/>
  <c r="D356" i="7"/>
  <c r="B356" i="7"/>
  <c r="B355" i="7"/>
  <c r="D354" i="7"/>
  <c r="B354" i="7"/>
  <c r="D366" i="7" s="1"/>
  <c r="B353" i="7"/>
  <c r="C353" i="7" s="1"/>
  <c r="D352" i="7"/>
  <c r="B352" i="7"/>
  <c r="C352" i="7" s="1"/>
  <c r="B351" i="7"/>
  <c r="D351" i="7" s="1"/>
  <c r="C350" i="7"/>
  <c r="B350" i="7"/>
  <c r="B349" i="7"/>
  <c r="C349" i="7" s="1"/>
  <c r="D348" i="7"/>
  <c r="B348" i="7"/>
  <c r="C348" i="7" s="1"/>
  <c r="C347" i="7"/>
  <c r="B347" i="7"/>
  <c r="B346" i="7"/>
  <c r="D346" i="7" s="1"/>
  <c r="D345" i="7"/>
  <c r="B345" i="7"/>
  <c r="C345" i="7" s="1"/>
  <c r="D344" i="7"/>
  <c r="B344" i="7"/>
  <c r="C344" i="7" s="1"/>
  <c r="C343" i="7"/>
  <c r="B343" i="7"/>
  <c r="B342" i="7"/>
  <c r="C342" i="7" s="1"/>
  <c r="B341" i="7"/>
  <c r="C341" i="7" s="1"/>
  <c r="D340" i="7"/>
  <c r="B340" i="7"/>
  <c r="C340" i="7" s="1"/>
  <c r="C339" i="7"/>
  <c r="B339" i="7"/>
  <c r="D339" i="7" s="1"/>
  <c r="B338" i="7"/>
  <c r="C338" i="7" s="1"/>
  <c r="B337" i="7"/>
  <c r="C337" i="7" s="1"/>
  <c r="B336" i="7"/>
  <c r="D335" i="7"/>
  <c r="C335" i="7"/>
  <c r="B335" i="7"/>
  <c r="D347" i="7" s="1"/>
  <c r="B334" i="7"/>
  <c r="C334" i="7" s="1"/>
  <c r="B333" i="7"/>
  <c r="C333" i="7" s="1"/>
  <c r="B332" i="7"/>
  <c r="B331" i="7"/>
  <c r="D330" i="7"/>
  <c r="B330" i="7"/>
  <c r="D342" i="7" s="1"/>
  <c r="B329" i="7"/>
  <c r="C329" i="7" s="1"/>
  <c r="B328" i="7"/>
  <c r="C328" i="7" s="1"/>
  <c r="B327" i="7"/>
  <c r="D327" i="7" s="1"/>
  <c r="B326" i="7"/>
  <c r="B325" i="7"/>
  <c r="B324" i="7"/>
  <c r="C324" i="7" s="1"/>
  <c r="C323" i="7"/>
  <c r="B323" i="7"/>
  <c r="B322" i="7"/>
  <c r="D322" i="7" s="1"/>
  <c r="B321" i="7"/>
  <c r="C321" i="7" s="1"/>
  <c r="B320" i="7"/>
  <c r="C320" i="7" s="1"/>
  <c r="C319" i="7"/>
  <c r="B319" i="7"/>
  <c r="B318" i="7"/>
  <c r="C318" i="7" s="1"/>
  <c r="B317" i="7"/>
  <c r="B316" i="7"/>
  <c r="C316" i="7" s="1"/>
  <c r="C315" i="7"/>
  <c r="B315" i="7"/>
  <c r="D315" i="7" s="1"/>
  <c r="B314" i="7"/>
  <c r="C314" i="7" s="1"/>
  <c r="B313" i="7"/>
  <c r="B312" i="7"/>
  <c r="C312" i="7" s="1"/>
  <c r="D311" i="7"/>
  <c r="C311" i="7"/>
  <c r="B311" i="7"/>
  <c r="D323" i="7" s="1"/>
  <c r="B310" i="7"/>
  <c r="C310" i="7" s="1"/>
  <c r="B309" i="7"/>
  <c r="C309" i="7" s="1"/>
  <c r="B308" i="7"/>
  <c r="B307" i="7"/>
  <c r="D306" i="7"/>
  <c r="B306" i="7"/>
  <c r="D318" i="7" s="1"/>
  <c r="B305" i="7"/>
  <c r="C305" i="7" s="1"/>
  <c r="B304" i="7"/>
  <c r="C304" i="7" s="1"/>
  <c r="B303" i="7"/>
  <c r="D303" i="7" s="1"/>
  <c r="B302" i="7"/>
  <c r="B301" i="7"/>
  <c r="B300" i="7"/>
  <c r="C300" i="7" s="1"/>
  <c r="C299" i="7"/>
  <c r="B299" i="7"/>
  <c r="B298" i="7"/>
  <c r="D298" i="7" s="1"/>
  <c r="B297" i="7"/>
  <c r="C297" i="7" s="1"/>
  <c r="B296" i="7"/>
  <c r="C296" i="7" s="1"/>
  <c r="C295" i="7"/>
  <c r="B295" i="7"/>
  <c r="B294" i="7"/>
  <c r="C294" i="7" s="1"/>
  <c r="B293" i="7"/>
  <c r="D292" i="7"/>
  <c r="B292" i="7"/>
  <c r="C292" i="7" s="1"/>
  <c r="C291" i="7"/>
  <c r="B291" i="7"/>
  <c r="D291" i="7" s="1"/>
  <c r="B290" i="7"/>
  <c r="C290" i="7" s="1"/>
  <c r="B289" i="7"/>
  <c r="B288" i="7"/>
  <c r="C288" i="7" s="1"/>
  <c r="D287" i="7"/>
  <c r="C287" i="7"/>
  <c r="B287" i="7"/>
  <c r="D299" i="7" s="1"/>
  <c r="B286" i="7"/>
  <c r="C286" i="7" s="1"/>
  <c r="B285" i="7"/>
  <c r="C285" i="7" s="1"/>
  <c r="B284" i="7"/>
  <c r="B283" i="7"/>
  <c r="D282" i="7"/>
  <c r="B282" i="7"/>
  <c r="D294" i="7" s="1"/>
  <c r="B281" i="7"/>
  <c r="C281" i="7" s="1"/>
  <c r="B280" i="7"/>
  <c r="C280" i="7" s="1"/>
  <c r="B279" i="7"/>
  <c r="D279" i="7" s="1"/>
  <c r="C278" i="7"/>
  <c r="B278" i="7"/>
  <c r="B277" i="7"/>
  <c r="B276" i="7"/>
  <c r="C276" i="7" s="1"/>
  <c r="C275" i="7"/>
  <c r="B275" i="7"/>
  <c r="B274" i="7"/>
  <c r="D274" i="7" s="1"/>
  <c r="D273" i="7"/>
  <c r="B273" i="7"/>
  <c r="C273" i="7" s="1"/>
  <c r="B272" i="7"/>
  <c r="C272" i="7" s="1"/>
  <c r="C271" i="7"/>
  <c r="B271" i="7"/>
  <c r="B270" i="7"/>
  <c r="C270" i="7" s="1"/>
  <c r="B269" i="7"/>
  <c r="B268" i="7"/>
  <c r="C267" i="7"/>
  <c r="B267" i="7"/>
  <c r="D267" i="7" s="1"/>
  <c r="B266" i="7"/>
  <c r="C266" i="7" s="1"/>
  <c r="B265" i="7"/>
  <c r="B264" i="7"/>
  <c r="C264" i="7" s="1"/>
  <c r="D263" i="7"/>
  <c r="C263" i="7"/>
  <c r="B263" i="7"/>
  <c r="D275" i="7" s="1"/>
  <c r="B262" i="7"/>
  <c r="C262" i="7" s="1"/>
  <c r="B261" i="7"/>
  <c r="C261" i="7" s="1"/>
  <c r="B260" i="7"/>
  <c r="B259" i="7"/>
  <c r="D258" i="7"/>
  <c r="B258" i="7"/>
  <c r="D270" i="7" s="1"/>
  <c r="B257" i="7"/>
  <c r="C257" i="7" s="1"/>
  <c r="B256" i="7"/>
  <c r="C256" i="7" s="1"/>
  <c r="B255" i="7"/>
  <c r="D255" i="7" s="1"/>
  <c r="C254" i="7"/>
  <c r="B254" i="7"/>
  <c r="B253" i="7"/>
  <c r="B252" i="7"/>
  <c r="C252" i="7" s="1"/>
  <c r="C251" i="7"/>
  <c r="B251" i="7"/>
  <c r="B250" i="7"/>
  <c r="D250" i="7" s="1"/>
  <c r="D249" i="7"/>
  <c r="B249" i="7"/>
  <c r="C249" i="7" s="1"/>
  <c r="B248" i="7"/>
  <c r="C248" i="7" s="1"/>
  <c r="C247" i="7"/>
  <c r="B247" i="7"/>
  <c r="B246" i="7"/>
  <c r="C246" i="7" s="1"/>
  <c r="B245" i="7"/>
  <c r="B244" i="7"/>
  <c r="C244" i="7" s="1"/>
  <c r="C243" i="7"/>
  <c r="B243" i="7"/>
  <c r="D243" i="7" s="1"/>
  <c r="D242" i="7"/>
  <c r="B242" i="7"/>
  <c r="C242" i="7" s="1"/>
  <c r="B241" i="7"/>
  <c r="B240" i="7"/>
  <c r="C240" i="7" s="1"/>
  <c r="D239" i="7"/>
  <c r="C239" i="7"/>
  <c r="B239" i="7"/>
  <c r="D251" i="7" s="1"/>
  <c r="B238" i="7"/>
  <c r="B237" i="7"/>
  <c r="C237" i="7" s="1"/>
  <c r="B236" i="7"/>
  <c r="B235" i="7"/>
  <c r="D234" i="7"/>
  <c r="B234" i="7"/>
  <c r="D246" i="7" s="1"/>
  <c r="B233" i="7"/>
  <c r="B232" i="7"/>
  <c r="C232" i="7" s="1"/>
  <c r="B231" i="7"/>
  <c r="D231" i="7" s="1"/>
  <c r="C230" i="7"/>
  <c r="B230" i="7"/>
  <c r="B229" i="7"/>
  <c r="C229" i="7" s="1"/>
  <c r="B228" i="7"/>
  <c r="C227" i="7"/>
  <c r="B227" i="7"/>
  <c r="B226" i="7"/>
  <c r="B225" i="7"/>
  <c r="B224" i="7"/>
  <c r="C223" i="7"/>
  <c r="B223" i="7"/>
  <c r="B222" i="7"/>
  <c r="C222" i="7" s="1"/>
  <c r="B221" i="7"/>
  <c r="D220" i="7"/>
  <c r="B220" i="7"/>
  <c r="C220" i="7" s="1"/>
  <c r="C219" i="7"/>
  <c r="B219" i="7"/>
  <c r="D219" i="7" s="1"/>
  <c r="B218" i="7"/>
  <c r="C218" i="7" s="1"/>
  <c r="B217" i="7"/>
  <c r="B216" i="7"/>
  <c r="C216" i="7" s="1"/>
  <c r="D215" i="7"/>
  <c r="B215" i="7"/>
  <c r="D227" i="7" s="1"/>
  <c r="B214" i="7"/>
  <c r="C214" i="7" s="1"/>
  <c r="B213" i="7"/>
  <c r="C213" i="7" s="1"/>
  <c r="B212" i="7"/>
  <c r="B211" i="7"/>
  <c r="B210" i="7"/>
  <c r="B209" i="7"/>
  <c r="B208" i="7"/>
  <c r="C208" i="7" s="1"/>
  <c r="B207" i="7"/>
  <c r="D207" i="7" s="1"/>
  <c r="B206" i="7"/>
  <c r="B205" i="7"/>
  <c r="B204" i="7"/>
  <c r="C203" i="7"/>
  <c r="B203" i="7"/>
  <c r="B202" i="7"/>
  <c r="B201" i="7"/>
  <c r="B200" i="7"/>
  <c r="C199" i="7"/>
  <c r="B199" i="7"/>
  <c r="B198" i="7"/>
  <c r="C198" i="7" s="1"/>
  <c r="B197" i="7"/>
  <c r="B196" i="7"/>
  <c r="C196" i="7" s="1"/>
  <c r="B195" i="7"/>
  <c r="D195" i="7" s="1"/>
  <c r="B194" i="7"/>
  <c r="C194" i="7" s="1"/>
  <c r="B193" i="7"/>
  <c r="B192" i="7"/>
  <c r="C192" i="7" s="1"/>
  <c r="D191" i="7"/>
  <c r="B191" i="7"/>
  <c r="D203" i="7" s="1"/>
  <c r="B190" i="7"/>
  <c r="C190" i="7" s="1"/>
  <c r="B189" i="7"/>
  <c r="B188" i="7"/>
  <c r="B187" i="7"/>
  <c r="B186" i="7"/>
  <c r="B185" i="7"/>
  <c r="B184" i="7"/>
  <c r="B183" i="7"/>
  <c r="D183" i="7" s="1"/>
  <c r="B182" i="7"/>
  <c r="C183" i="7" s="1"/>
  <c r="B181" i="7"/>
  <c r="B180" i="7"/>
  <c r="B179" i="7"/>
  <c r="B178" i="7"/>
  <c r="B177" i="7"/>
  <c r="C177" i="7" s="1"/>
  <c r="B176" i="7"/>
  <c r="C175" i="7"/>
  <c r="B175" i="7"/>
  <c r="B174" i="7"/>
  <c r="C174" i="7" s="1"/>
  <c r="B173" i="7"/>
  <c r="B172" i="7"/>
  <c r="C172" i="7" s="1"/>
  <c r="B171" i="7"/>
  <c r="D171" i="7" s="1"/>
  <c r="B170" i="7"/>
  <c r="B169" i="7"/>
  <c r="B168" i="7"/>
  <c r="D167" i="7"/>
  <c r="C167" i="7"/>
  <c r="B167" i="7"/>
  <c r="D179" i="7" s="1"/>
  <c r="B166" i="7"/>
  <c r="B165" i="7"/>
  <c r="B164" i="7"/>
  <c r="B163" i="7"/>
  <c r="D162" i="7"/>
  <c r="B162" i="7"/>
  <c r="B161" i="7"/>
  <c r="B160" i="7"/>
  <c r="B159" i="7"/>
  <c r="D159" i="7" s="1"/>
  <c r="D158" i="7"/>
  <c r="B158" i="7"/>
  <c r="C159" i="7" s="1"/>
  <c r="B157" i="7"/>
  <c r="B156" i="7"/>
  <c r="B155" i="7"/>
  <c r="B154" i="7"/>
  <c r="D153" i="7"/>
  <c r="B153" i="7"/>
  <c r="B152" i="7"/>
  <c r="C151" i="7"/>
  <c r="B151" i="7"/>
  <c r="B150" i="7"/>
  <c r="B149" i="7"/>
  <c r="B148" i="7"/>
  <c r="C148" i="7" s="1"/>
  <c r="C147" i="7"/>
  <c r="B147" i="7"/>
  <c r="D147" i="7" s="1"/>
  <c r="D146" i="7"/>
  <c r="B146" i="7"/>
  <c r="C146" i="7" s="1"/>
  <c r="B145" i="7"/>
  <c r="B144" i="7"/>
  <c r="D143" i="7"/>
  <c r="C143" i="7"/>
  <c r="B143" i="7"/>
  <c r="D155" i="7" s="1"/>
  <c r="B142" i="7"/>
  <c r="B141" i="7"/>
  <c r="B140" i="7"/>
  <c r="B139" i="7"/>
  <c r="B138" i="7"/>
  <c r="C138" i="7" s="1"/>
  <c r="B137" i="7"/>
  <c r="B136" i="7"/>
  <c r="B135" i="7"/>
  <c r="D135" i="7" s="1"/>
  <c r="C134" i="7"/>
  <c r="B134" i="7"/>
  <c r="C135" i="7" s="1"/>
  <c r="B133" i="7"/>
  <c r="B132" i="7"/>
  <c r="C131" i="7"/>
  <c r="B131" i="7"/>
  <c r="B130" i="7"/>
  <c r="B129" i="7"/>
  <c r="B128" i="7"/>
  <c r="C127" i="7"/>
  <c r="B127" i="7"/>
  <c r="B126" i="7"/>
  <c r="B125" i="7"/>
  <c r="D124" i="7"/>
  <c r="B124" i="7"/>
  <c r="C124" i="7" s="1"/>
  <c r="C123" i="7"/>
  <c r="B123" i="7"/>
  <c r="D123" i="7" s="1"/>
  <c r="B122" i="7"/>
  <c r="C122" i="7" s="1"/>
  <c r="B121" i="7"/>
  <c r="B120" i="7"/>
  <c r="D119" i="7"/>
  <c r="B119" i="7"/>
  <c r="D131" i="7" s="1"/>
  <c r="B118" i="7"/>
  <c r="B117" i="7"/>
  <c r="B116" i="7"/>
  <c r="B115" i="7"/>
  <c r="B114" i="7"/>
  <c r="C114" i="7" s="1"/>
  <c r="B113" i="7"/>
  <c r="B112" i="7"/>
  <c r="B111" i="7"/>
  <c r="D111" i="7" s="1"/>
  <c r="B110" i="7"/>
  <c r="B109" i="7"/>
  <c r="B108" i="7"/>
  <c r="C107" i="7"/>
  <c r="B107" i="7"/>
  <c r="B106" i="7"/>
  <c r="D105" i="7"/>
  <c r="B105" i="7"/>
  <c r="C105" i="7" s="1"/>
  <c r="B104" i="7"/>
  <c r="C103" i="7"/>
  <c r="B103" i="7"/>
  <c r="D102" i="7"/>
  <c r="B102" i="7"/>
  <c r="B101" i="7"/>
  <c r="D100" i="7"/>
  <c r="B100" i="7"/>
  <c r="C100" i="7" s="1"/>
  <c r="C99" i="7"/>
  <c r="B99" i="7"/>
  <c r="D98" i="7"/>
  <c r="B98" i="7"/>
  <c r="C98" i="7" s="1"/>
  <c r="B97" i="7"/>
  <c r="B96" i="7"/>
  <c r="B95" i="7"/>
  <c r="D107" i="7" s="1"/>
  <c r="B94" i="7"/>
  <c r="C93" i="7"/>
  <c r="B93" i="7"/>
  <c r="B92" i="7"/>
  <c r="D91" i="7"/>
  <c r="C91" i="7"/>
  <c r="B91" i="7"/>
  <c r="D103" i="7" s="1"/>
  <c r="B90" i="7"/>
  <c r="B89" i="7"/>
  <c r="B88" i="7"/>
  <c r="C87" i="7"/>
  <c r="B87" i="7"/>
  <c r="D87" i="7" s="1"/>
  <c r="B86" i="7"/>
  <c r="C86" i="7" s="1"/>
  <c r="C85" i="7"/>
  <c r="B85" i="7"/>
  <c r="B84" i="7"/>
  <c r="B83" i="7"/>
  <c r="D82" i="7"/>
  <c r="C82" i="7"/>
  <c r="B82" i="7"/>
  <c r="D81" i="7"/>
  <c r="B81" i="7"/>
  <c r="B80" i="7"/>
  <c r="B79" i="7"/>
  <c r="D78" i="7"/>
  <c r="B78" i="7"/>
  <c r="C79" i="7" s="1"/>
  <c r="C77" i="7"/>
  <c r="B77" i="7"/>
  <c r="D76" i="7"/>
  <c r="B76" i="7"/>
  <c r="D75" i="7"/>
  <c r="B75" i="7"/>
  <c r="C75" i="7" s="1"/>
  <c r="B74" i="7"/>
  <c r="D74" i="7" s="1"/>
  <c r="B73" i="7"/>
  <c r="B72" i="7"/>
  <c r="D84" i="7" s="1"/>
  <c r="C71" i="7"/>
  <c r="B71" i="7"/>
  <c r="B70" i="7"/>
  <c r="C69" i="7"/>
  <c r="B69" i="7"/>
  <c r="B68" i="7"/>
  <c r="D67" i="7"/>
  <c r="B67" i="7"/>
  <c r="C67" i="7" s="1"/>
  <c r="B66" i="7"/>
  <c r="B65" i="7"/>
  <c r="C66" i="7" s="1"/>
  <c r="B64" i="7"/>
  <c r="C63" i="7"/>
  <c r="B63" i="7"/>
  <c r="D62" i="7"/>
  <c r="B62" i="7"/>
  <c r="C62" i="7" s="1"/>
  <c r="B61" i="7"/>
  <c r="B60" i="7"/>
  <c r="B59" i="7"/>
  <c r="B58" i="7"/>
  <c r="B57" i="7"/>
  <c r="D56" i="7"/>
  <c r="B56" i="7"/>
  <c r="C56" i="7" s="1"/>
  <c r="B55" i="7"/>
  <c r="D55" i="7" s="1"/>
  <c r="B54" i="7"/>
  <c r="C54" i="7" s="1"/>
  <c r="C53" i="7"/>
  <c r="B53" i="7"/>
  <c r="D52" i="7"/>
  <c r="B52" i="7"/>
  <c r="B51" i="7"/>
  <c r="C50" i="7"/>
  <c r="B50" i="7"/>
  <c r="B49" i="7"/>
  <c r="C49" i="7" s="1"/>
  <c r="B48" i="7"/>
  <c r="D47" i="7"/>
  <c r="C47" i="7"/>
  <c r="B47" i="7"/>
  <c r="D46" i="7"/>
  <c r="B46" i="7"/>
  <c r="C45" i="7"/>
  <c r="B45" i="7"/>
  <c r="D44" i="7"/>
  <c r="B44" i="7"/>
  <c r="D43" i="7"/>
  <c r="C43" i="7"/>
  <c r="B43" i="7"/>
  <c r="C42" i="7"/>
  <c r="B42" i="7"/>
  <c r="B41" i="7"/>
  <c r="C41" i="7" s="1"/>
  <c r="B40" i="7"/>
  <c r="B39" i="7"/>
  <c r="B38" i="7"/>
  <c r="C37" i="7"/>
  <c r="B37" i="7"/>
  <c r="B36" i="7"/>
  <c r="B35" i="7"/>
  <c r="C35" i="7" s="1"/>
  <c r="D34" i="7"/>
  <c r="B34" i="7"/>
  <c r="D33" i="7"/>
  <c r="B33" i="7"/>
  <c r="B32" i="7"/>
  <c r="C31" i="7"/>
  <c r="B31" i="7"/>
  <c r="D31" i="7" s="1"/>
  <c r="C30" i="7"/>
  <c r="B30" i="7"/>
  <c r="C29" i="7"/>
  <c r="B29" i="7"/>
  <c r="D29" i="7" s="1"/>
  <c r="B28" i="7"/>
  <c r="D27" i="7"/>
  <c r="B27" i="7"/>
  <c r="C27" i="7" s="1"/>
  <c r="C26" i="7"/>
  <c r="B26" i="7"/>
  <c r="B25" i="7"/>
  <c r="B24" i="7"/>
  <c r="C23" i="7"/>
  <c r="B23" i="7"/>
  <c r="B22" i="7"/>
  <c r="C22" i="7" s="1"/>
  <c r="D21" i="7"/>
  <c r="C21" i="7"/>
  <c r="B21" i="7"/>
  <c r="D20" i="7"/>
  <c r="B20" i="7"/>
  <c r="C20" i="7" s="1"/>
  <c r="D19" i="7"/>
  <c r="B19" i="7"/>
  <c r="B18" i="7"/>
  <c r="C18" i="7" s="1"/>
  <c r="B17" i="7"/>
  <c r="B16" i="7"/>
  <c r="C16" i="7" s="1"/>
  <c r="B15" i="7"/>
  <c r="B14" i="7"/>
  <c r="B13" i="7"/>
  <c r="B12" i="7"/>
  <c r="C12" i="7" s="1"/>
  <c r="B11" i="7"/>
  <c r="C10" i="7"/>
  <c r="B10" i="7"/>
  <c r="D22" i="7" s="1"/>
  <c r="B9" i="7"/>
  <c r="B8" i="7"/>
  <c r="C9" i="7" s="1"/>
  <c r="B7" i="7"/>
  <c r="B377" i="6"/>
  <c r="B376" i="6"/>
  <c r="D376" i="6" s="1"/>
  <c r="D375" i="6"/>
  <c r="B375" i="6"/>
  <c r="D374" i="6"/>
  <c r="C374" i="6"/>
  <c r="B374" i="6"/>
  <c r="C375" i="6" s="1"/>
  <c r="B373" i="6"/>
  <c r="C373" i="6" s="1"/>
  <c r="C372" i="6"/>
  <c r="B372" i="6"/>
  <c r="D371" i="6"/>
  <c r="B371" i="6"/>
  <c r="D370" i="6"/>
  <c r="C370" i="6"/>
  <c r="B370" i="6"/>
  <c r="C371" i="6" s="1"/>
  <c r="D369" i="6"/>
  <c r="B369" i="6"/>
  <c r="C369" i="6" s="1"/>
  <c r="C368" i="6"/>
  <c r="B368" i="6"/>
  <c r="D368" i="6" s="1"/>
  <c r="D367" i="6"/>
  <c r="B367" i="6"/>
  <c r="B366" i="6"/>
  <c r="B365" i="6"/>
  <c r="C365" i="6" s="1"/>
  <c r="B364" i="6"/>
  <c r="D364" i="6" s="1"/>
  <c r="B363" i="6"/>
  <c r="B362" i="6"/>
  <c r="C363" i="6" s="1"/>
  <c r="B361" i="6"/>
  <c r="B360" i="6"/>
  <c r="D360" i="6" s="1"/>
  <c r="D359" i="6"/>
  <c r="B359" i="6"/>
  <c r="B358" i="6"/>
  <c r="C359" i="6" s="1"/>
  <c r="B357" i="6"/>
  <c r="C357" i="6" s="1"/>
  <c r="C356" i="6"/>
  <c r="B356" i="6"/>
  <c r="B355" i="6"/>
  <c r="D354" i="6"/>
  <c r="C354" i="6"/>
  <c r="B354" i="6"/>
  <c r="C355" i="6" s="1"/>
  <c r="D353" i="6"/>
  <c r="B353" i="6"/>
  <c r="C353" i="6" s="1"/>
  <c r="C352" i="6"/>
  <c r="B352" i="6"/>
  <c r="D352" i="6" s="1"/>
  <c r="B351" i="6"/>
  <c r="B350" i="6"/>
  <c r="B349" i="6"/>
  <c r="C349" i="6" s="1"/>
  <c r="B348" i="6"/>
  <c r="D348" i="6" s="1"/>
  <c r="B347" i="6"/>
  <c r="C347" i="6" s="1"/>
  <c r="B346" i="6"/>
  <c r="D346" i="6" s="1"/>
  <c r="B345" i="6"/>
  <c r="B344" i="6"/>
  <c r="D344" i="6" s="1"/>
  <c r="D343" i="6"/>
  <c r="B343" i="6"/>
  <c r="B342" i="6"/>
  <c r="C342" i="6" s="1"/>
  <c r="B341" i="6"/>
  <c r="C341" i="6" s="1"/>
  <c r="B340" i="6"/>
  <c r="B339" i="6"/>
  <c r="D338" i="6"/>
  <c r="C338" i="6"/>
  <c r="B338" i="6"/>
  <c r="D337" i="6"/>
  <c r="B337" i="6"/>
  <c r="C337" i="6" s="1"/>
  <c r="C336" i="6"/>
  <c r="B336" i="6"/>
  <c r="B335" i="6"/>
  <c r="C334" i="6"/>
  <c r="B334" i="6"/>
  <c r="D333" i="6"/>
  <c r="B333" i="6"/>
  <c r="C333" i="6" s="1"/>
  <c r="C332" i="6"/>
  <c r="B332" i="6"/>
  <c r="D332" i="6" s="1"/>
  <c r="B331" i="6"/>
  <c r="C331" i="6" s="1"/>
  <c r="B330" i="6"/>
  <c r="C330" i="6" s="1"/>
  <c r="B329" i="6"/>
  <c r="C329" i="6" s="1"/>
  <c r="C328" i="6"/>
  <c r="B328" i="6"/>
  <c r="D328" i="6" s="1"/>
  <c r="B327" i="6"/>
  <c r="C327" i="6" s="1"/>
  <c r="B326" i="6"/>
  <c r="D326" i="6" s="1"/>
  <c r="B325" i="6"/>
  <c r="C324" i="6"/>
  <c r="B324" i="6"/>
  <c r="D324" i="6" s="1"/>
  <c r="D323" i="6"/>
  <c r="B323" i="6"/>
  <c r="D335" i="6" s="1"/>
  <c r="C322" i="6"/>
  <c r="B322" i="6"/>
  <c r="B321" i="6"/>
  <c r="C321" i="6" s="1"/>
  <c r="B320" i="6"/>
  <c r="D319" i="6"/>
  <c r="C319" i="6"/>
  <c r="B319" i="6"/>
  <c r="D331" i="6" s="1"/>
  <c r="D318" i="6"/>
  <c r="C318" i="6"/>
  <c r="B318" i="6"/>
  <c r="D330" i="6" s="1"/>
  <c r="B317" i="6"/>
  <c r="B316" i="6"/>
  <c r="B315" i="6"/>
  <c r="D314" i="6"/>
  <c r="C314" i="6"/>
  <c r="B314" i="6"/>
  <c r="D313" i="6"/>
  <c r="B313" i="6"/>
  <c r="C313" i="6" s="1"/>
  <c r="C312" i="6"/>
  <c r="B312" i="6"/>
  <c r="B311" i="6"/>
  <c r="B310" i="6"/>
  <c r="D309" i="6"/>
  <c r="B309" i="6"/>
  <c r="C309" i="6" s="1"/>
  <c r="C308" i="6"/>
  <c r="B308" i="6"/>
  <c r="D308" i="6" s="1"/>
  <c r="B307" i="6"/>
  <c r="C307" i="6" s="1"/>
  <c r="B306" i="6"/>
  <c r="C306" i="6" s="1"/>
  <c r="D305" i="6"/>
  <c r="B305" i="6"/>
  <c r="C304" i="6"/>
  <c r="B304" i="6"/>
  <c r="D304" i="6" s="1"/>
  <c r="B303" i="6"/>
  <c r="C303" i="6" s="1"/>
  <c r="B302" i="6"/>
  <c r="D302" i="6" s="1"/>
  <c r="B301" i="6"/>
  <c r="C300" i="6"/>
  <c r="B300" i="6"/>
  <c r="D300" i="6" s="1"/>
  <c r="D299" i="6"/>
  <c r="C299" i="6"/>
  <c r="B299" i="6"/>
  <c r="D311" i="6" s="1"/>
  <c r="C298" i="6"/>
  <c r="B298" i="6"/>
  <c r="B297" i="6"/>
  <c r="C297" i="6" s="1"/>
  <c r="B296" i="6"/>
  <c r="D295" i="6"/>
  <c r="C295" i="6"/>
  <c r="B295" i="6"/>
  <c r="D307" i="6" s="1"/>
  <c r="D294" i="6"/>
  <c r="C294" i="6"/>
  <c r="B294" i="6"/>
  <c r="D306" i="6" s="1"/>
  <c r="B293" i="6"/>
  <c r="B292" i="6"/>
  <c r="B291" i="6"/>
  <c r="D290" i="6"/>
  <c r="C290" i="6"/>
  <c r="B290" i="6"/>
  <c r="D289" i="6"/>
  <c r="B289" i="6"/>
  <c r="C289" i="6" s="1"/>
  <c r="C288" i="6"/>
  <c r="B288" i="6"/>
  <c r="B287" i="6"/>
  <c r="C286" i="6"/>
  <c r="B286" i="6"/>
  <c r="D285" i="6"/>
  <c r="B285" i="6"/>
  <c r="C285" i="6" s="1"/>
  <c r="C284" i="6"/>
  <c r="B284" i="6"/>
  <c r="D284" i="6" s="1"/>
  <c r="B283" i="6"/>
  <c r="C283" i="6" s="1"/>
  <c r="B282" i="6"/>
  <c r="C282" i="6" s="1"/>
  <c r="D281" i="6"/>
  <c r="B281" i="6"/>
  <c r="C280" i="6"/>
  <c r="B280" i="6"/>
  <c r="D280" i="6" s="1"/>
  <c r="B279" i="6"/>
  <c r="C279" i="6" s="1"/>
  <c r="B278" i="6"/>
  <c r="D278" i="6" s="1"/>
  <c r="B277" i="6"/>
  <c r="C276" i="6"/>
  <c r="B276" i="6"/>
  <c r="D276" i="6" s="1"/>
  <c r="D275" i="6"/>
  <c r="C275" i="6"/>
  <c r="B275" i="6"/>
  <c r="D287" i="6" s="1"/>
  <c r="C274" i="6"/>
  <c r="B274" i="6"/>
  <c r="B273" i="6"/>
  <c r="C273" i="6" s="1"/>
  <c r="B272" i="6"/>
  <c r="D271" i="6"/>
  <c r="C271" i="6"/>
  <c r="B271" i="6"/>
  <c r="D283" i="6" s="1"/>
  <c r="D270" i="6"/>
  <c r="C270" i="6"/>
  <c r="B270" i="6"/>
  <c r="D282" i="6" s="1"/>
  <c r="B269" i="6"/>
  <c r="B268" i="6"/>
  <c r="B267" i="6"/>
  <c r="D266" i="6"/>
  <c r="C266" i="6"/>
  <c r="B266" i="6"/>
  <c r="D265" i="6"/>
  <c r="B265" i="6"/>
  <c r="C265" i="6" s="1"/>
  <c r="C264" i="6"/>
  <c r="B264" i="6"/>
  <c r="B263" i="6"/>
  <c r="B262" i="6"/>
  <c r="D261" i="6"/>
  <c r="B261" i="6"/>
  <c r="C261" i="6" s="1"/>
  <c r="B260" i="6"/>
  <c r="D260" i="6" s="1"/>
  <c r="C259" i="6"/>
  <c r="B259" i="6"/>
  <c r="B258" i="6"/>
  <c r="C258" i="6" s="1"/>
  <c r="D257" i="6"/>
  <c r="B257" i="6"/>
  <c r="C256" i="6"/>
  <c r="B256" i="6"/>
  <c r="D256" i="6" s="1"/>
  <c r="B255" i="6"/>
  <c r="C255" i="6" s="1"/>
  <c r="B254" i="6"/>
  <c r="D254" i="6" s="1"/>
  <c r="B253" i="6"/>
  <c r="C252" i="6"/>
  <c r="B252" i="6"/>
  <c r="D252" i="6" s="1"/>
  <c r="D251" i="6"/>
  <c r="C251" i="6"/>
  <c r="B251" i="6"/>
  <c r="D263" i="6" s="1"/>
  <c r="C250" i="6"/>
  <c r="B250" i="6"/>
  <c r="B249" i="6"/>
  <c r="C249" i="6" s="1"/>
  <c r="B248" i="6"/>
  <c r="C247" i="6"/>
  <c r="B247" i="6"/>
  <c r="D259" i="6" s="1"/>
  <c r="D246" i="6"/>
  <c r="B246" i="6"/>
  <c r="D258" i="6" s="1"/>
  <c r="B245" i="6"/>
  <c r="B244" i="6"/>
  <c r="B243" i="6"/>
  <c r="D242" i="6"/>
  <c r="C242" i="6"/>
  <c r="B242" i="6"/>
  <c r="B241" i="6"/>
  <c r="C241" i="6" s="1"/>
  <c r="C240" i="6"/>
  <c r="B240" i="6"/>
  <c r="B239" i="6"/>
  <c r="C238" i="6"/>
  <c r="B238" i="6"/>
  <c r="D237" i="6"/>
  <c r="B237" i="6"/>
  <c r="C237" i="6" s="1"/>
  <c r="B236" i="6"/>
  <c r="D236" i="6" s="1"/>
  <c r="C235" i="6"/>
  <c r="B235" i="6"/>
  <c r="B234" i="6"/>
  <c r="C234" i="6" s="1"/>
  <c r="D233" i="6"/>
  <c r="B233" i="6"/>
  <c r="C232" i="6"/>
  <c r="B232" i="6"/>
  <c r="D232" i="6" s="1"/>
  <c r="C231" i="6"/>
  <c r="B231" i="6"/>
  <c r="D231" i="6" s="1"/>
  <c r="B230" i="6"/>
  <c r="D230" i="6" s="1"/>
  <c r="B229" i="6"/>
  <c r="C228" i="6"/>
  <c r="B228" i="6"/>
  <c r="D228" i="6" s="1"/>
  <c r="D227" i="6"/>
  <c r="C227" i="6"/>
  <c r="B227" i="6"/>
  <c r="D239" i="6" s="1"/>
  <c r="C226" i="6"/>
  <c r="B226" i="6"/>
  <c r="B225" i="6"/>
  <c r="C225" i="6" s="1"/>
  <c r="B224" i="6"/>
  <c r="C223" i="6"/>
  <c r="B223" i="6"/>
  <c r="D235" i="6" s="1"/>
  <c r="D222" i="6"/>
  <c r="B222" i="6"/>
  <c r="D234" i="6" s="1"/>
  <c r="B221" i="6"/>
  <c r="B220" i="6"/>
  <c r="B219" i="6"/>
  <c r="D218" i="6"/>
  <c r="C218" i="6"/>
  <c r="B218" i="6"/>
  <c r="B217" i="6"/>
  <c r="C217" i="6" s="1"/>
  <c r="C216" i="6"/>
  <c r="B216" i="6"/>
  <c r="B215" i="6"/>
  <c r="C214" i="6"/>
  <c r="B214" i="6"/>
  <c r="D213" i="6"/>
  <c r="B213" i="6"/>
  <c r="C213" i="6" s="1"/>
  <c r="B212" i="6"/>
  <c r="D212" i="6" s="1"/>
  <c r="C211" i="6"/>
  <c r="B211" i="6"/>
  <c r="B210" i="6"/>
  <c r="D209" i="6"/>
  <c r="B209" i="6"/>
  <c r="C208" i="6"/>
  <c r="B208" i="6"/>
  <c r="D208" i="6" s="1"/>
  <c r="C207" i="6"/>
  <c r="B207" i="6"/>
  <c r="D207" i="6" s="1"/>
  <c r="B206" i="6"/>
  <c r="D206" i="6" s="1"/>
  <c r="B205" i="6"/>
  <c r="C204" i="6"/>
  <c r="B204" i="6"/>
  <c r="D204" i="6" s="1"/>
  <c r="D203" i="6"/>
  <c r="C203" i="6"/>
  <c r="B203" i="6"/>
  <c r="D215" i="6" s="1"/>
  <c r="B202" i="6"/>
  <c r="B201" i="6"/>
  <c r="C201" i="6" s="1"/>
  <c r="B200" i="6"/>
  <c r="D199" i="6"/>
  <c r="C199" i="6"/>
  <c r="B199" i="6"/>
  <c r="D211" i="6" s="1"/>
  <c r="D198" i="6"/>
  <c r="B198" i="6"/>
  <c r="D210" i="6" s="1"/>
  <c r="B197" i="6"/>
  <c r="B196" i="6"/>
  <c r="B195" i="6"/>
  <c r="D194" i="6"/>
  <c r="C194" i="6"/>
  <c r="B194" i="6"/>
  <c r="B193" i="6"/>
  <c r="C193" i="6" s="1"/>
  <c r="C192" i="6"/>
  <c r="B192" i="6"/>
  <c r="B191" i="6"/>
  <c r="C190" i="6"/>
  <c r="B190" i="6"/>
  <c r="D189" i="6"/>
  <c r="B189" i="6"/>
  <c r="C189" i="6" s="1"/>
  <c r="B188" i="6"/>
  <c r="D188" i="6" s="1"/>
  <c r="C187" i="6"/>
  <c r="B187" i="6"/>
  <c r="B186" i="6"/>
  <c r="C186" i="6" s="1"/>
  <c r="B185" i="6"/>
  <c r="C184" i="6"/>
  <c r="B184" i="6"/>
  <c r="D184" i="6" s="1"/>
  <c r="C183" i="6"/>
  <c r="B183" i="6"/>
  <c r="B182" i="6"/>
  <c r="D182" i="6" s="1"/>
  <c r="B181" i="6"/>
  <c r="B180" i="6"/>
  <c r="D180" i="6" s="1"/>
  <c r="D179" i="6"/>
  <c r="C179" i="6"/>
  <c r="B179" i="6"/>
  <c r="D191" i="6" s="1"/>
  <c r="B178" i="6"/>
  <c r="B177" i="6"/>
  <c r="C177" i="6" s="1"/>
  <c r="B176" i="6"/>
  <c r="D175" i="6"/>
  <c r="C175" i="6"/>
  <c r="B175" i="6"/>
  <c r="D187" i="6" s="1"/>
  <c r="D174" i="6"/>
  <c r="B174" i="6"/>
  <c r="D186" i="6" s="1"/>
  <c r="B173" i="6"/>
  <c r="B172" i="6"/>
  <c r="B171" i="6"/>
  <c r="D170" i="6"/>
  <c r="C170" i="6"/>
  <c r="B170" i="6"/>
  <c r="B169" i="6"/>
  <c r="C169" i="6" s="1"/>
  <c r="C168" i="6"/>
  <c r="B168" i="6"/>
  <c r="B167" i="6"/>
  <c r="C166" i="6"/>
  <c r="B166" i="6"/>
  <c r="D165" i="6"/>
  <c r="B165" i="6"/>
  <c r="C165" i="6" s="1"/>
  <c r="B164" i="6"/>
  <c r="D164" i="6" s="1"/>
  <c r="C163" i="6"/>
  <c r="B163" i="6"/>
  <c r="B162" i="6"/>
  <c r="C162" i="6" s="1"/>
  <c r="D161" i="6"/>
  <c r="B161" i="6"/>
  <c r="C160" i="6"/>
  <c r="B160" i="6"/>
  <c r="D160" i="6" s="1"/>
  <c r="C159" i="6"/>
  <c r="B159" i="6"/>
  <c r="B158" i="6"/>
  <c r="D158" i="6" s="1"/>
  <c r="B157" i="6"/>
  <c r="C156" i="6"/>
  <c r="B156" i="6"/>
  <c r="D156" i="6" s="1"/>
  <c r="D155" i="6"/>
  <c r="C155" i="6"/>
  <c r="B155" i="6"/>
  <c r="D167" i="6" s="1"/>
  <c r="B154" i="6"/>
  <c r="B153" i="6"/>
  <c r="C153" i="6" s="1"/>
  <c r="B152" i="6"/>
  <c r="B151" i="6"/>
  <c r="D163" i="6" s="1"/>
  <c r="D150" i="6"/>
  <c r="B150" i="6"/>
  <c r="D162" i="6" s="1"/>
  <c r="B149" i="6"/>
  <c r="B148" i="6"/>
  <c r="B147" i="6"/>
  <c r="D146" i="6"/>
  <c r="C146" i="6"/>
  <c r="B146" i="6"/>
  <c r="B145" i="6"/>
  <c r="C145" i="6" s="1"/>
  <c r="C144" i="6"/>
  <c r="B144" i="6"/>
  <c r="B143" i="6"/>
  <c r="B142" i="6"/>
  <c r="D141" i="6"/>
  <c r="B141" i="6"/>
  <c r="C141" i="6" s="1"/>
  <c r="B140" i="6"/>
  <c r="D140" i="6" s="1"/>
  <c r="C139" i="6"/>
  <c r="B139" i="6"/>
  <c r="B138" i="6"/>
  <c r="B137" i="6"/>
  <c r="C136" i="6"/>
  <c r="B136" i="6"/>
  <c r="D136" i="6" s="1"/>
  <c r="C135" i="6"/>
  <c r="B135" i="6"/>
  <c r="D135" i="6" s="1"/>
  <c r="B134" i="6"/>
  <c r="D134" i="6" s="1"/>
  <c r="B133" i="6"/>
  <c r="C132" i="6"/>
  <c r="B132" i="6"/>
  <c r="D132" i="6" s="1"/>
  <c r="D131" i="6"/>
  <c r="C131" i="6"/>
  <c r="B131" i="6"/>
  <c r="D143" i="6" s="1"/>
  <c r="B130" i="6"/>
  <c r="B129" i="6"/>
  <c r="C129" i="6" s="1"/>
  <c r="B128" i="6"/>
  <c r="C127" i="6"/>
  <c r="B127" i="6"/>
  <c r="D139" i="6" s="1"/>
  <c r="D126" i="6"/>
  <c r="B126" i="6"/>
  <c r="D138" i="6" s="1"/>
  <c r="B125" i="6"/>
  <c r="B124" i="6"/>
  <c r="B123" i="6"/>
  <c r="D122" i="6"/>
  <c r="C122" i="6"/>
  <c r="B122" i="6"/>
  <c r="B121" i="6"/>
  <c r="C121" i="6" s="1"/>
  <c r="C120" i="6"/>
  <c r="B120" i="6"/>
  <c r="B119" i="6"/>
  <c r="C118" i="6"/>
  <c r="B118" i="6"/>
  <c r="D117" i="6"/>
  <c r="B117" i="6"/>
  <c r="C117" i="6" s="1"/>
  <c r="B116" i="6"/>
  <c r="D116" i="6" s="1"/>
  <c r="C115" i="6"/>
  <c r="B115" i="6"/>
  <c r="B114" i="6"/>
  <c r="C114" i="6" s="1"/>
  <c r="D113" i="6"/>
  <c r="B113" i="6"/>
  <c r="C112" i="6"/>
  <c r="B112" i="6"/>
  <c r="D112" i="6" s="1"/>
  <c r="C111" i="6"/>
  <c r="B111" i="6"/>
  <c r="D111" i="6" s="1"/>
  <c r="B110" i="6"/>
  <c r="D110" i="6" s="1"/>
  <c r="B109" i="6"/>
  <c r="C108" i="6"/>
  <c r="B108" i="6"/>
  <c r="D108" i="6" s="1"/>
  <c r="D107" i="6"/>
  <c r="C107" i="6"/>
  <c r="B107" i="6"/>
  <c r="D119" i="6" s="1"/>
  <c r="B106" i="6"/>
  <c r="B105" i="6"/>
  <c r="C105" i="6" s="1"/>
  <c r="B104" i="6"/>
  <c r="D103" i="6"/>
  <c r="C103" i="6"/>
  <c r="B103" i="6"/>
  <c r="D115" i="6" s="1"/>
  <c r="D102" i="6"/>
  <c r="B102" i="6"/>
  <c r="D114" i="6" s="1"/>
  <c r="B101" i="6"/>
  <c r="B100" i="6"/>
  <c r="B99" i="6"/>
  <c r="D98" i="6"/>
  <c r="C98" i="6"/>
  <c r="B98" i="6"/>
  <c r="B97" i="6"/>
  <c r="C97" i="6" s="1"/>
  <c r="C96" i="6"/>
  <c r="B96" i="6"/>
  <c r="B95" i="6"/>
  <c r="C94" i="6"/>
  <c r="B94" i="6"/>
  <c r="D93" i="6"/>
  <c r="B93" i="6"/>
  <c r="C93" i="6" s="1"/>
  <c r="B92" i="6"/>
  <c r="D92" i="6" s="1"/>
  <c r="C91" i="6"/>
  <c r="B91" i="6"/>
  <c r="B90" i="6"/>
  <c r="C90" i="6" s="1"/>
  <c r="B89" i="6"/>
  <c r="C88" i="6"/>
  <c r="B88" i="6"/>
  <c r="D88" i="6" s="1"/>
  <c r="C87" i="6"/>
  <c r="B87" i="6"/>
  <c r="B86" i="6"/>
  <c r="D86" i="6" s="1"/>
  <c r="B85" i="6"/>
  <c r="B84" i="6"/>
  <c r="D84" i="6" s="1"/>
  <c r="D83" i="6"/>
  <c r="C83" i="6"/>
  <c r="B83" i="6"/>
  <c r="D95" i="6" s="1"/>
  <c r="B82" i="6"/>
  <c r="B81" i="6"/>
  <c r="C81" i="6" s="1"/>
  <c r="B80" i="6"/>
  <c r="D79" i="6"/>
  <c r="C79" i="6"/>
  <c r="B79" i="6"/>
  <c r="D91" i="6" s="1"/>
  <c r="D78" i="6"/>
  <c r="B78" i="6"/>
  <c r="D90" i="6" s="1"/>
  <c r="B77" i="6"/>
  <c r="B76" i="6"/>
  <c r="B75" i="6"/>
  <c r="D74" i="6"/>
  <c r="C74" i="6"/>
  <c r="B74" i="6"/>
  <c r="B73" i="6"/>
  <c r="C73" i="6" s="1"/>
  <c r="C72" i="6"/>
  <c r="B72" i="6"/>
  <c r="B71" i="6"/>
  <c r="C70" i="6"/>
  <c r="B70" i="6"/>
  <c r="D69" i="6"/>
  <c r="B69" i="6"/>
  <c r="C69" i="6" s="1"/>
  <c r="B68" i="6"/>
  <c r="D68" i="6" s="1"/>
  <c r="C67" i="6"/>
  <c r="B67" i="6"/>
  <c r="B66" i="6"/>
  <c r="C66" i="6" s="1"/>
  <c r="D65" i="6"/>
  <c r="B65" i="6"/>
  <c r="C64" i="6"/>
  <c r="B64" i="6"/>
  <c r="D64" i="6" s="1"/>
  <c r="C63" i="6"/>
  <c r="B63" i="6"/>
  <c r="B62" i="6"/>
  <c r="D62" i="6" s="1"/>
  <c r="B61" i="6"/>
  <c r="C60" i="6"/>
  <c r="B60" i="6"/>
  <c r="D60" i="6" s="1"/>
  <c r="D59" i="6"/>
  <c r="C59" i="6"/>
  <c r="B59" i="6"/>
  <c r="D71" i="6" s="1"/>
  <c r="B58" i="6"/>
  <c r="B57" i="6"/>
  <c r="C57" i="6" s="1"/>
  <c r="B56" i="6"/>
  <c r="B55" i="6"/>
  <c r="D67" i="6" s="1"/>
  <c r="D54" i="6"/>
  <c r="B54" i="6"/>
  <c r="D66" i="6" s="1"/>
  <c r="B53" i="6"/>
  <c r="B52" i="6"/>
  <c r="B51" i="6"/>
  <c r="D50" i="6"/>
  <c r="C50" i="6"/>
  <c r="B50" i="6"/>
  <c r="B49" i="6"/>
  <c r="C49" i="6" s="1"/>
  <c r="B48" i="6"/>
  <c r="B47" i="6"/>
  <c r="C46" i="6"/>
  <c r="B46" i="6"/>
  <c r="D45" i="6"/>
  <c r="B45" i="6"/>
  <c r="C45" i="6" s="1"/>
  <c r="B44" i="6"/>
  <c r="D44" i="6" s="1"/>
  <c r="C43" i="6"/>
  <c r="B43" i="6"/>
  <c r="B42" i="6"/>
  <c r="C42" i="6" s="1"/>
  <c r="D41" i="6"/>
  <c r="B41" i="6"/>
  <c r="C40" i="6"/>
  <c r="B40" i="6"/>
  <c r="D40" i="6" s="1"/>
  <c r="C39" i="6"/>
  <c r="B39" i="6"/>
  <c r="B38" i="6"/>
  <c r="D38" i="6" s="1"/>
  <c r="B37" i="6"/>
  <c r="C36" i="6"/>
  <c r="B36" i="6"/>
  <c r="D36" i="6" s="1"/>
  <c r="D35" i="6"/>
  <c r="C35" i="6"/>
  <c r="B35" i="6"/>
  <c r="D47" i="6" s="1"/>
  <c r="B34" i="6"/>
  <c r="B33" i="6"/>
  <c r="C33" i="6" s="1"/>
  <c r="B32" i="6"/>
  <c r="B31" i="6"/>
  <c r="D43" i="6" s="1"/>
  <c r="D30" i="6"/>
  <c r="B30" i="6"/>
  <c r="D42" i="6" s="1"/>
  <c r="B29" i="6"/>
  <c r="B28" i="6"/>
  <c r="B27" i="6"/>
  <c r="D26" i="6"/>
  <c r="C26" i="6"/>
  <c r="B26" i="6"/>
  <c r="B25" i="6"/>
  <c r="C25" i="6" s="1"/>
  <c r="B24" i="6"/>
  <c r="D24" i="6" s="1"/>
  <c r="D23" i="6"/>
  <c r="B23" i="6"/>
  <c r="B22" i="6"/>
  <c r="D21" i="6"/>
  <c r="B21" i="6"/>
  <c r="C21" i="6" s="1"/>
  <c r="B20" i="6"/>
  <c r="C20" i="6" s="1"/>
  <c r="C19" i="6"/>
  <c r="B19" i="6"/>
  <c r="B18" i="6"/>
  <c r="B17" i="6"/>
  <c r="B16" i="6"/>
  <c r="C16" i="6" s="1"/>
  <c r="B15" i="6"/>
  <c r="C15" i="6" s="1"/>
  <c r="C14" i="6"/>
  <c r="B14" i="6"/>
  <c r="C13" i="6"/>
  <c r="B13" i="6"/>
  <c r="C12" i="6"/>
  <c r="B12" i="6"/>
  <c r="C11" i="6"/>
  <c r="B11" i="6"/>
  <c r="B10" i="6"/>
  <c r="B9" i="6"/>
  <c r="C9" i="6" s="1"/>
  <c r="C8" i="6"/>
  <c r="B8" i="6"/>
  <c r="B7" i="6"/>
  <c r="D19" i="6" s="1"/>
  <c r="C377" i="5"/>
  <c r="B377" i="5"/>
  <c r="D377" i="5" s="1"/>
  <c r="D376" i="5"/>
  <c r="B376" i="5"/>
  <c r="B375" i="5"/>
  <c r="B374" i="5"/>
  <c r="D374" i="5" s="1"/>
  <c r="H64" i="4" s="1"/>
  <c r="B373" i="5"/>
  <c r="C373" i="5" s="1"/>
  <c r="D372" i="5"/>
  <c r="C372" i="5"/>
  <c r="B372" i="5"/>
  <c r="D371" i="5"/>
  <c r="B371" i="5"/>
  <c r="C370" i="5"/>
  <c r="B370" i="5"/>
  <c r="D370" i="5" s="1"/>
  <c r="C369" i="5"/>
  <c r="B369" i="5"/>
  <c r="D368" i="5"/>
  <c r="B368" i="5"/>
  <c r="B367" i="5"/>
  <c r="B366" i="5"/>
  <c r="D365" i="5"/>
  <c r="H55" i="4" s="1"/>
  <c r="C365" i="5"/>
  <c r="B365" i="5"/>
  <c r="D364" i="5"/>
  <c r="C364" i="5"/>
  <c r="B364" i="5"/>
  <c r="B363" i="5"/>
  <c r="D362" i="5"/>
  <c r="B362" i="5"/>
  <c r="C362" i="5" s="1"/>
  <c r="C361" i="5"/>
  <c r="B361" i="5"/>
  <c r="D373" i="5" s="1"/>
  <c r="D360" i="5"/>
  <c r="B360" i="5"/>
  <c r="B359" i="5"/>
  <c r="C359" i="5" s="1"/>
  <c r="B358" i="5"/>
  <c r="C357" i="5"/>
  <c r="B357" i="5"/>
  <c r="D356" i="5"/>
  <c r="C356" i="5"/>
  <c r="B356" i="5"/>
  <c r="B355" i="5"/>
  <c r="B354" i="5"/>
  <c r="D354" i="5" s="1"/>
  <c r="B353" i="5"/>
  <c r="D352" i="5"/>
  <c r="C352" i="5"/>
  <c r="B352" i="5"/>
  <c r="B351" i="5"/>
  <c r="C351" i="5" s="1"/>
  <c r="B350" i="5"/>
  <c r="D349" i="5"/>
  <c r="B349" i="5"/>
  <c r="C350" i="5" s="1"/>
  <c r="D348" i="5"/>
  <c r="C348" i="5"/>
  <c r="B348" i="5"/>
  <c r="B347" i="5"/>
  <c r="D346" i="5"/>
  <c r="C346" i="5"/>
  <c r="B346" i="5"/>
  <c r="D358" i="5" s="1"/>
  <c r="C345" i="5"/>
  <c r="B345" i="5"/>
  <c r="D344" i="5"/>
  <c r="B344" i="5"/>
  <c r="B343" i="5"/>
  <c r="C342" i="5"/>
  <c r="B342" i="5"/>
  <c r="D342" i="5" s="1"/>
  <c r="B341" i="5"/>
  <c r="D341" i="5" s="1"/>
  <c r="B340" i="5"/>
  <c r="B339" i="5"/>
  <c r="B338" i="5"/>
  <c r="D350" i="5" s="1"/>
  <c r="B337" i="5"/>
  <c r="D336" i="5"/>
  <c r="B336" i="5"/>
  <c r="C337" i="5" s="1"/>
  <c r="D335" i="5"/>
  <c r="B335" i="5"/>
  <c r="D334" i="5"/>
  <c r="C334" i="5"/>
  <c r="B334" i="5"/>
  <c r="D333" i="5"/>
  <c r="C333" i="5"/>
  <c r="B333" i="5"/>
  <c r="D345" i="5" s="1"/>
  <c r="B332" i="5"/>
  <c r="B331" i="5"/>
  <c r="B330" i="5"/>
  <c r="D330" i="5" s="1"/>
  <c r="H20" i="4" s="1"/>
  <c r="C329" i="5"/>
  <c r="B329" i="5"/>
  <c r="D329" i="5" s="1"/>
  <c r="B328" i="5"/>
  <c r="D328" i="5" s="1"/>
  <c r="B327" i="5"/>
  <c r="C326" i="5"/>
  <c r="B326" i="5"/>
  <c r="D338" i="5" s="1"/>
  <c r="H28" i="4" s="1"/>
  <c r="B325" i="5"/>
  <c r="D337" i="5" s="1"/>
  <c r="C324" i="5"/>
  <c r="B324" i="5"/>
  <c r="D323" i="5"/>
  <c r="B323" i="5"/>
  <c r="C322" i="5"/>
  <c r="B322" i="5"/>
  <c r="D322" i="5" s="1"/>
  <c r="C321" i="5"/>
  <c r="B321" i="5"/>
  <c r="D320" i="5"/>
  <c r="B320" i="5"/>
  <c r="D332" i="5" s="1"/>
  <c r="B319" i="5"/>
  <c r="B318" i="5"/>
  <c r="C317" i="5"/>
  <c r="B317" i="5"/>
  <c r="D317" i="5" s="1"/>
  <c r="H7" i="4" s="1"/>
  <c r="C316" i="5"/>
  <c r="B316" i="5"/>
  <c r="B315" i="5"/>
  <c r="D314" i="5"/>
  <c r="B314" i="5"/>
  <c r="C314" i="5" s="1"/>
  <c r="D313" i="5"/>
  <c r="B313" i="5"/>
  <c r="D325" i="5" s="1"/>
  <c r="H15" i="4" s="1"/>
  <c r="B312" i="5"/>
  <c r="D324" i="5" s="1"/>
  <c r="D311" i="5"/>
  <c r="B311" i="5"/>
  <c r="C311" i="5" s="1"/>
  <c r="B310" i="5"/>
  <c r="B309" i="5"/>
  <c r="C308" i="5"/>
  <c r="B308" i="5"/>
  <c r="B307" i="5"/>
  <c r="B306" i="5"/>
  <c r="D306" i="5" s="1"/>
  <c r="B305" i="5"/>
  <c r="B304" i="5"/>
  <c r="D304" i="5" s="1"/>
  <c r="B303" i="5"/>
  <c r="B302" i="5"/>
  <c r="D301" i="5"/>
  <c r="B301" i="5"/>
  <c r="C302" i="5" s="1"/>
  <c r="D300" i="5"/>
  <c r="B300" i="5"/>
  <c r="C300" i="5" s="1"/>
  <c r="B299" i="5"/>
  <c r="C299" i="5" s="1"/>
  <c r="D298" i="5"/>
  <c r="C298" i="5"/>
  <c r="B298" i="5"/>
  <c r="D310" i="5" s="1"/>
  <c r="B297" i="5"/>
  <c r="C296" i="5"/>
  <c r="B296" i="5"/>
  <c r="D295" i="5"/>
  <c r="B295" i="5"/>
  <c r="C295" i="5" s="1"/>
  <c r="C294" i="5"/>
  <c r="B294" i="5"/>
  <c r="D294" i="5" s="1"/>
  <c r="B293" i="5"/>
  <c r="D293" i="5" s="1"/>
  <c r="B292" i="5"/>
  <c r="D291" i="5"/>
  <c r="B291" i="5"/>
  <c r="D290" i="5"/>
  <c r="B290" i="5"/>
  <c r="B289" i="5"/>
  <c r="D288" i="5"/>
  <c r="B288" i="5"/>
  <c r="C289" i="5" s="1"/>
  <c r="D287" i="5"/>
  <c r="B287" i="5"/>
  <c r="C287" i="5" s="1"/>
  <c r="D286" i="5"/>
  <c r="C286" i="5"/>
  <c r="B286" i="5"/>
  <c r="D285" i="5"/>
  <c r="C285" i="5"/>
  <c r="B285" i="5"/>
  <c r="D297" i="5" s="1"/>
  <c r="B284" i="5"/>
  <c r="B283" i="5"/>
  <c r="C282" i="5"/>
  <c r="B282" i="5"/>
  <c r="C281" i="5"/>
  <c r="B281" i="5"/>
  <c r="B280" i="5"/>
  <c r="B279" i="5"/>
  <c r="B278" i="5"/>
  <c r="D278" i="5" s="1"/>
  <c r="D277" i="5"/>
  <c r="B277" i="5"/>
  <c r="C276" i="5"/>
  <c r="B276" i="5"/>
  <c r="D275" i="5"/>
  <c r="B275" i="5"/>
  <c r="C274" i="5"/>
  <c r="B274" i="5"/>
  <c r="D274" i="5" s="1"/>
  <c r="C273" i="5"/>
  <c r="B273" i="5"/>
  <c r="D272" i="5"/>
  <c r="B272" i="5"/>
  <c r="D284" i="5" s="1"/>
  <c r="B271" i="5"/>
  <c r="B270" i="5"/>
  <c r="D269" i="5"/>
  <c r="B269" i="5"/>
  <c r="C269" i="5" s="1"/>
  <c r="C268" i="5"/>
  <c r="B268" i="5"/>
  <c r="B267" i="5"/>
  <c r="D266" i="5"/>
  <c r="B266" i="5"/>
  <c r="C265" i="5"/>
  <c r="B265" i="5"/>
  <c r="D265" i="5" s="1"/>
  <c r="B264" i="5"/>
  <c r="D264" i="5" s="1"/>
  <c r="D263" i="5"/>
  <c r="B263" i="5"/>
  <c r="C263" i="5" s="1"/>
  <c r="B262" i="5"/>
  <c r="B261" i="5"/>
  <c r="D261" i="5" s="1"/>
  <c r="D260" i="5"/>
  <c r="C260" i="5"/>
  <c r="B260" i="5"/>
  <c r="B259" i="5"/>
  <c r="B258" i="5"/>
  <c r="B257" i="5"/>
  <c r="B256" i="5"/>
  <c r="B255" i="5"/>
  <c r="B254" i="5"/>
  <c r="D253" i="5"/>
  <c r="B253" i="5"/>
  <c r="C254" i="5" s="1"/>
  <c r="D252" i="5"/>
  <c r="C252" i="5"/>
  <c r="B252" i="5"/>
  <c r="B251" i="5"/>
  <c r="C251" i="5" s="1"/>
  <c r="D250" i="5"/>
  <c r="C250" i="5"/>
  <c r="B250" i="5"/>
  <c r="D262" i="5" s="1"/>
  <c r="B249" i="5"/>
  <c r="B248" i="5"/>
  <c r="D248" i="5" s="1"/>
  <c r="D247" i="5"/>
  <c r="B247" i="5"/>
  <c r="C247" i="5" s="1"/>
  <c r="C246" i="5"/>
  <c r="B246" i="5"/>
  <c r="B245" i="5"/>
  <c r="B244" i="5"/>
  <c r="D243" i="5"/>
  <c r="B243" i="5"/>
  <c r="B242" i="5"/>
  <c r="B241" i="5"/>
  <c r="D240" i="5"/>
  <c r="B240" i="5"/>
  <c r="C241" i="5" s="1"/>
  <c r="D239" i="5"/>
  <c r="B239" i="5"/>
  <c r="C239" i="5" s="1"/>
  <c r="D238" i="5"/>
  <c r="C238" i="5"/>
  <c r="B238" i="5"/>
  <c r="D237" i="5"/>
  <c r="C237" i="5"/>
  <c r="B237" i="5"/>
  <c r="D249" i="5" s="1"/>
  <c r="B236" i="5"/>
  <c r="B235" i="5"/>
  <c r="B234" i="5"/>
  <c r="C234" i="5" s="1"/>
  <c r="C233" i="5"/>
  <c r="B233" i="5"/>
  <c r="B232" i="5"/>
  <c r="B231" i="5"/>
  <c r="B230" i="5"/>
  <c r="D230" i="5" s="1"/>
  <c r="D229" i="5"/>
  <c r="B229" i="5"/>
  <c r="C228" i="5"/>
  <c r="B228" i="5"/>
  <c r="D227" i="5"/>
  <c r="B227" i="5"/>
  <c r="B226" i="5"/>
  <c r="D226" i="5" s="1"/>
  <c r="D225" i="5"/>
  <c r="C225" i="5"/>
  <c r="B225" i="5"/>
  <c r="D224" i="5"/>
  <c r="B224" i="5"/>
  <c r="D236" i="5" s="1"/>
  <c r="B223" i="5"/>
  <c r="B222" i="5"/>
  <c r="C221" i="5"/>
  <c r="B221" i="5"/>
  <c r="C220" i="5"/>
  <c r="B220" i="5"/>
  <c r="B219" i="5"/>
  <c r="D218" i="5"/>
  <c r="B218" i="5"/>
  <c r="B217" i="5"/>
  <c r="D217" i="5" s="1"/>
  <c r="D216" i="5"/>
  <c r="B216" i="5"/>
  <c r="D215" i="5"/>
  <c r="B215" i="5"/>
  <c r="C215" i="5" s="1"/>
  <c r="C214" i="5"/>
  <c r="B214" i="5"/>
  <c r="C213" i="5"/>
  <c r="B213" i="5"/>
  <c r="D213" i="5" s="1"/>
  <c r="C212" i="5"/>
  <c r="B212" i="5"/>
  <c r="B211" i="5"/>
  <c r="C211" i="5" s="1"/>
  <c r="B210" i="5"/>
  <c r="B209" i="5"/>
  <c r="D208" i="5"/>
  <c r="B208" i="5"/>
  <c r="C208" i="5" s="1"/>
  <c r="B207" i="5"/>
  <c r="B206" i="5"/>
  <c r="D205" i="5"/>
  <c r="B205" i="5"/>
  <c r="C206" i="5" s="1"/>
  <c r="C204" i="5"/>
  <c r="B204" i="5"/>
  <c r="D204" i="5" s="1"/>
  <c r="B203" i="5"/>
  <c r="C203" i="5" s="1"/>
  <c r="D202" i="5"/>
  <c r="C202" i="5"/>
  <c r="B202" i="5"/>
  <c r="D214" i="5" s="1"/>
  <c r="B201" i="5"/>
  <c r="B200" i="5"/>
  <c r="D200" i="5" s="1"/>
  <c r="B199" i="5"/>
  <c r="C199" i="5" s="1"/>
  <c r="C198" i="5"/>
  <c r="B198" i="5"/>
  <c r="B197" i="5"/>
  <c r="B196" i="5"/>
  <c r="D195" i="5"/>
  <c r="B195" i="5"/>
  <c r="B194" i="5"/>
  <c r="C194" i="5" s="1"/>
  <c r="B193" i="5"/>
  <c r="D192" i="5"/>
  <c r="B192" i="5"/>
  <c r="C193" i="5" s="1"/>
  <c r="B191" i="5"/>
  <c r="C191" i="5" s="1"/>
  <c r="D190" i="5"/>
  <c r="C190" i="5"/>
  <c r="B190" i="5"/>
  <c r="D189" i="5"/>
  <c r="C189" i="5"/>
  <c r="B189" i="5"/>
  <c r="D201" i="5" s="1"/>
  <c r="B188" i="5"/>
  <c r="B187" i="5"/>
  <c r="D186" i="5"/>
  <c r="B186" i="5"/>
  <c r="C186" i="5" s="1"/>
  <c r="C185" i="5"/>
  <c r="B185" i="5"/>
  <c r="B184" i="5"/>
  <c r="B183" i="5"/>
  <c r="B182" i="5"/>
  <c r="D182" i="5" s="1"/>
  <c r="B181" i="5"/>
  <c r="C181" i="5" s="1"/>
  <c r="D180" i="5"/>
  <c r="C180" i="5"/>
  <c r="B180" i="5"/>
  <c r="D179" i="5"/>
  <c r="B179" i="5"/>
  <c r="C178" i="5"/>
  <c r="B178" i="5"/>
  <c r="D178" i="5" s="1"/>
  <c r="C177" i="5"/>
  <c r="B177" i="5"/>
  <c r="B176" i="5"/>
  <c r="D188" i="5" s="1"/>
  <c r="B175" i="5"/>
  <c r="B174" i="5"/>
  <c r="D173" i="5"/>
  <c r="B173" i="5"/>
  <c r="C173" i="5" s="1"/>
  <c r="C172" i="5"/>
  <c r="B172" i="5"/>
  <c r="B171" i="5"/>
  <c r="D170" i="5"/>
  <c r="B170" i="5"/>
  <c r="C169" i="5"/>
  <c r="B169" i="5"/>
  <c r="D181" i="5" s="1"/>
  <c r="D168" i="5"/>
  <c r="C168" i="5"/>
  <c r="B168" i="5"/>
  <c r="D167" i="5"/>
  <c r="B167" i="5"/>
  <c r="C167" i="5" s="1"/>
  <c r="B166" i="5"/>
  <c r="B165" i="5"/>
  <c r="D165" i="5" s="1"/>
  <c r="C164" i="5"/>
  <c r="B164" i="5"/>
  <c r="D176" i="5" s="1"/>
  <c r="D163" i="5"/>
  <c r="B163" i="5"/>
  <c r="C163" i="5" s="1"/>
  <c r="B162" i="5"/>
  <c r="B161" i="5"/>
  <c r="B160" i="5"/>
  <c r="D160" i="5" s="1"/>
  <c r="B159" i="5"/>
  <c r="B158" i="5"/>
  <c r="D157" i="5"/>
  <c r="B157" i="5"/>
  <c r="C158" i="5" s="1"/>
  <c r="D156" i="5"/>
  <c r="B156" i="5"/>
  <c r="C156" i="5" s="1"/>
  <c r="B155" i="5"/>
  <c r="C155" i="5" s="1"/>
  <c r="C154" i="5"/>
  <c r="B154" i="5"/>
  <c r="D166" i="5" s="1"/>
  <c r="B153" i="5"/>
  <c r="B152" i="5"/>
  <c r="D152" i="5" s="1"/>
  <c r="D151" i="5"/>
  <c r="B151" i="5"/>
  <c r="C151" i="5" s="1"/>
  <c r="D150" i="5"/>
  <c r="B150" i="5"/>
  <c r="B149" i="5"/>
  <c r="B148" i="5"/>
  <c r="D147" i="5"/>
  <c r="B147" i="5"/>
  <c r="D146" i="5"/>
  <c r="B146" i="5"/>
  <c r="D158" i="5" s="1"/>
  <c r="D145" i="5"/>
  <c r="B145" i="5"/>
  <c r="D144" i="5"/>
  <c r="B144" i="5"/>
  <c r="C145" i="5" s="1"/>
  <c r="B143" i="5"/>
  <c r="C142" i="5"/>
  <c r="B142" i="5"/>
  <c r="D154" i="5" s="1"/>
  <c r="D141" i="5"/>
  <c r="C141" i="5"/>
  <c r="B141" i="5"/>
  <c r="D153" i="5" s="1"/>
  <c r="C140" i="5"/>
  <c r="B140" i="5"/>
  <c r="B139" i="5"/>
  <c r="B138" i="5"/>
  <c r="D138" i="5" s="1"/>
  <c r="B137" i="5"/>
  <c r="D137" i="5" s="1"/>
  <c r="B136" i="5"/>
  <c r="B135" i="5"/>
  <c r="D134" i="5"/>
  <c r="C134" i="5"/>
  <c r="B134" i="5"/>
  <c r="C133" i="5"/>
  <c r="B133" i="5"/>
  <c r="C132" i="5"/>
  <c r="B132" i="5"/>
  <c r="D131" i="5"/>
  <c r="B131" i="5"/>
  <c r="B130" i="5"/>
  <c r="D130" i="5" s="1"/>
  <c r="D129" i="5"/>
  <c r="B129" i="5"/>
  <c r="C129" i="5" s="1"/>
  <c r="B128" i="5"/>
  <c r="D140" i="5" s="1"/>
  <c r="B127" i="5"/>
  <c r="B126" i="5"/>
  <c r="C125" i="5"/>
  <c r="B125" i="5"/>
  <c r="D125" i="5" s="1"/>
  <c r="D124" i="5"/>
  <c r="C124" i="5"/>
  <c r="B124" i="5"/>
  <c r="B123" i="5"/>
  <c r="D122" i="5"/>
  <c r="B122" i="5"/>
  <c r="B121" i="5"/>
  <c r="D133" i="5" s="1"/>
  <c r="C120" i="5"/>
  <c r="B120" i="5"/>
  <c r="D132" i="5" s="1"/>
  <c r="D119" i="5"/>
  <c r="B119" i="5"/>
  <c r="C119" i="5" s="1"/>
  <c r="C118" i="5"/>
  <c r="B118" i="5"/>
  <c r="B117" i="5"/>
  <c r="D117" i="5" s="1"/>
  <c r="B116" i="5"/>
  <c r="D128" i="5" s="1"/>
  <c r="B115" i="5"/>
  <c r="C115" i="5" s="1"/>
  <c r="B114" i="5"/>
  <c r="B113" i="5"/>
  <c r="D112" i="5"/>
  <c r="B112" i="5"/>
  <c r="C112" i="5" s="1"/>
  <c r="B111" i="5"/>
  <c r="C110" i="5"/>
  <c r="B110" i="5"/>
  <c r="D109" i="5"/>
  <c r="B109" i="5"/>
  <c r="C109" i="5" s="1"/>
  <c r="D108" i="5"/>
  <c r="C108" i="5"/>
  <c r="B108" i="5"/>
  <c r="B107" i="5"/>
  <c r="C107" i="5" s="1"/>
  <c r="B106" i="5"/>
  <c r="D118" i="5" s="1"/>
  <c r="B105" i="5"/>
  <c r="B104" i="5"/>
  <c r="D104" i="5" s="1"/>
  <c r="B103" i="5"/>
  <c r="C103" i="5" s="1"/>
  <c r="B102" i="5"/>
  <c r="C102" i="5" s="1"/>
  <c r="B101" i="5"/>
  <c r="B100" i="5"/>
  <c r="D99" i="5"/>
  <c r="B99" i="5"/>
  <c r="D98" i="5"/>
  <c r="B98" i="5"/>
  <c r="D110" i="5" s="1"/>
  <c r="C97" i="5"/>
  <c r="B97" i="5"/>
  <c r="B96" i="5"/>
  <c r="D95" i="5"/>
  <c r="B95" i="5"/>
  <c r="B94" i="5"/>
  <c r="D94" i="5" s="1"/>
  <c r="D93" i="5"/>
  <c r="C93" i="5"/>
  <c r="B93" i="5"/>
  <c r="D105" i="5" s="1"/>
  <c r="C92" i="5"/>
  <c r="B92" i="5"/>
  <c r="B91" i="5"/>
  <c r="B90" i="5"/>
  <c r="D102" i="5" s="1"/>
  <c r="C89" i="5"/>
  <c r="B89" i="5"/>
  <c r="D89" i="5" s="1"/>
  <c r="D88" i="5"/>
  <c r="B88" i="5"/>
  <c r="C88" i="5" s="1"/>
  <c r="B87" i="5"/>
  <c r="B86" i="5"/>
  <c r="C86" i="5" s="1"/>
  <c r="B85" i="5"/>
  <c r="D97" i="5" s="1"/>
  <c r="C84" i="5"/>
  <c r="B84" i="5"/>
  <c r="D84" i="5" s="1"/>
  <c r="D83" i="5"/>
  <c r="B83" i="5"/>
  <c r="D82" i="5"/>
  <c r="C82" i="5"/>
  <c r="B82" i="5"/>
  <c r="B81" i="5"/>
  <c r="D81" i="5" s="1"/>
  <c r="B80" i="5"/>
  <c r="D92" i="5" s="1"/>
  <c r="B79" i="5"/>
  <c r="C79" i="5" s="1"/>
  <c r="C78" i="5"/>
  <c r="B78" i="5"/>
  <c r="B77" i="5"/>
  <c r="C77" i="5" s="1"/>
  <c r="B76" i="5"/>
  <c r="D76" i="5" s="1"/>
  <c r="B75" i="5"/>
  <c r="C75" i="5" s="1"/>
  <c r="B74" i="5"/>
  <c r="C74" i="5" s="1"/>
  <c r="B73" i="5"/>
  <c r="C73" i="5" s="1"/>
  <c r="B72" i="5"/>
  <c r="D72" i="5" s="1"/>
  <c r="B71" i="5"/>
  <c r="C71" i="5" s="1"/>
  <c r="D70" i="5"/>
  <c r="C70" i="5"/>
  <c r="B70" i="5"/>
  <c r="D69" i="5"/>
  <c r="C69" i="5"/>
  <c r="B69" i="5"/>
  <c r="B68" i="5"/>
  <c r="C68" i="5" s="1"/>
  <c r="B67" i="5"/>
  <c r="B66" i="5"/>
  <c r="D66" i="5" s="1"/>
  <c r="B65" i="5"/>
  <c r="D65" i="5" s="1"/>
  <c r="B64" i="5"/>
  <c r="C64" i="5" s="1"/>
  <c r="B63" i="5"/>
  <c r="B62" i="5"/>
  <c r="D62" i="5" s="1"/>
  <c r="B61" i="5"/>
  <c r="C61" i="5" s="1"/>
  <c r="D60" i="5"/>
  <c r="C60" i="5"/>
  <c r="B60" i="5"/>
  <c r="B59" i="5"/>
  <c r="C59" i="5" s="1"/>
  <c r="B58" i="5"/>
  <c r="D58" i="5" s="1"/>
  <c r="D57" i="5"/>
  <c r="B57" i="5"/>
  <c r="D56" i="5"/>
  <c r="B56" i="5"/>
  <c r="D68" i="5" s="1"/>
  <c r="D55" i="5"/>
  <c r="B55" i="5"/>
  <c r="C55" i="5" s="1"/>
  <c r="B54" i="5"/>
  <c r="C54" i="5" s="1"/>
  <c r="B53" i="5"/>
  <c r="D53" i="5" s="1"/>
  <c r="B52" i="5"/>
  <c r="D52" i="5" s="1"/>
  <c r="B51" i="5"/>
  <c r="C51" i="5" s="1"/>
  <c r="B50" i="5"/>
  <c r="C50" i="5" s="1"/>
  <c r="B49" i="5"/>
  <c r="D49" i="5" s="1"/>
  <c r="B48" i="5"/>
  <c r="B47" i="5"/>
  <c r="C47" i="5" s="1"/>
  <c r="D46" i="5"/>
  <c r="C46" i="5"/>
  <c r="B46" i="5"/>
  <c r="C45" i="5"/>
  <c r="B45" i="5"/>
  <c r="B44" i="5"/>
  <c r="D43" i="5"/>
  <c r="B43" i="5"/>
  <c r="D42" i="5"/>
  <c r="B42" i="5"/>
  <c r="D54" i="5" s="1"/>
  <c r="B41" i="5"/>
  <c r="C41" i="5" s="1"/>
  <c r="B40" i="5"/>
  <c r="D40" i="5" s="1"/>
  <c r="B39" i="5"/>
  <c r="B38" i="5"/>
  <c r="D50" i="5" s="1"/>
  <c r="D37" i="5"/>
  <c r="C37" i="5"/>
  <c r="B37" i="5"/>
  <c r="C36" i="5"/>
  <c r="B36" i="5"/>
  <c r="B35" i="5"/>
  <c r="B34" i="5"/>
  <c r="D34" i="5" s="1"/>
  <c r="D33" i="5"/>
  <c r="B33" i="5"/>
  <c r="D45" i="5" s="1"/>
  <c r="B32" i="5"/>
  <c r="C32" i="5" s="1"/>
  <c r="B31" i="5"/>
  <c r="B30" i="5"/>
  <c r="B29" i="5"/>
  <c r="D41" i="5" s="1"/>
  <c r="D28" i="5"/>
  <c r="C28" i="5"/>
  <c r="B28" i="5"/>
  <c r="B27" i="5"/>
  <c r="C27" i="5" s="1"/>
  <c r="B26" i="5"/>
  <c r="B25" i="5"/>
  <c r="D25" i="5" s="1"/>
  <c r="C24" i="5"/>
  <c r="B24" i="5"/>
  <c r="D36" i="5" s="1"/>
  <c r="D23" i="5"/>
  <c r="B23" i="5"/>
  <c r="C23" i="5" s="1"/>
  <c r="D22" i="5"/>
  <c r="C22" i="5"/>
  <c r="B22" i="5"/>
  <c r="B21" i="5"/>
  <c r="D21" i="5" s="1"/>
  <c r="B20" i="5"/>
  <c r="D32" i="5" s="1"/>
  <c r="B19" i="5"/>
  <c r="C19" i="5" s="1"/>
  <c r="C18" i="5"/>
  <c r="B18" i="5"/>
  <c r="C17" i="5"/>
  <c r="B17" i="5"/>
  <c r="B16" i="5"/>
  <c r="C16" i="5" s="1"/>
  <c r="B15" i="5"/>
  <c r="C15" i="5" s="1"/>
  <c r="B14" i="5"/>
  <c r="C14" i="5" s="1"/>
  <c r="B13" i="5"/>
  <c r="C13" i="5" s="1"/>
  <c r="C12" i="5"/>
  <c r="B12" i="5"/>
  <c r="B11" i="5"/>
  <c r="C11" i="5" s="1"/>
  <c r="B10" i="5"/>
  <c r="B9" i="5"/>
  <c r="C9" i="5" s="1"/>
  <c r="B8" i="5"/>
  <c r="C8" i="5" s="1"/>
  <c r="B7" i="5"/>
  <c r="AE67" i="4"/>
  <c r="AD67" i="4"/>
  <c r="AC67" i="4"/>
  <c r="AA67" i="4"/>
  <c r="X67" i="4"/>
  <c r="W67" i="4"/>
  <c r="U67" i="4"/>
  <c r="T67" i="4"/>
  <c r="S67" i="4"/>
  <c r="Q67" i="4"/>
  <c r="P67" i="4"/>
  <c r="O67" i="4"/>
  <c r="N67" i="4"/>
  <c r="M67" i="4"/>
  <c r="L67" i="4"/>
  <c r="K67" i="4"/>
  <c r="J67" i="4"/>
  <c r="I67" i="4"/>
  <c r="H67" i="4"/>
  <c r="G67" i="4"/>
  <c r="F67" i="4"/>
  <c r="E67" i="4"/>
  <c r="AF66" i="4"/>
  <c r="AE66" i="4"/>
  <c r="AC66" i="4"/>
  <c r="AB66" i="4"/>
  <c r="AA66" i="4"/>
  <c r="T66" i="4"/>
  <c r="S66" i="4"/>
  <c r="R66" i="4"/>
  <c r="Q66" i="4"/>
  <c r="O66" i="4"/>
  <c r="N66" i="4"/>
  <c r="M66" i="4"/>
  <c r="L66" i="4"/>
  <c r="J66" i="4"/>
  <c r="I66" i="4"/>
  <c r="H66" i="4"/>
  <c r="F66" i="4"/>
  <c r="E66" i="4"/>
  <c r="D66" i="4"/>
  <c r="AF65" i="4"/>
  <c r="AE65" i="4"/>
  <c r="AD65" i="4"/>
  <c r="AB65" i="4"/>
  <c r="AA65" i="4"/>
  <c r="W65" i="4"/>
  <c r="U65" i="4"/>
  <c r="T65" i="4"/>
  <c r="S65" i="4"/>
  <c r="R65" i="4"/>
  <c r="Q65" i="4"/>
  <c r="P65" i="4"/>
  <c r="O65" i="4"/>
  <c r="N65" i="4"/>
  <c r="L65" i="4"/>
  <c r="K65" i="4"/>
  <c r="I65" i="4"/>
  <c r="D65" i="4"/>
  <c r="C65" i="4"/>
  <c r="AC64" i="4"/>
  <c r="AB64" i="4"/>
  <c r="AA64" i="4"/>
  <c r="T64" i="4"/>
  <c r="S64" i="4"/>
  <c r="Q64" i="4"/>
  <c r="P64" i="4"/>
  <c r="O64" i="4"/>
  <c r="F64" i="4"/>
  <c r="E64" i="4"/>
  <c r="D64" i="4"/>
  <c r="C64" i="4"/>
  <c r="AE63" i="4"/>
  <c r="AD63" i="4"/>
  <c r="AC63" i="4"/>
  <c r="AB63" i="4"/>
  <c r="AA63" i="4"/>
  <c r="X63" i="4"/>
  <c r="W63" i="4"/>
  <c r="T63" i="4"/>
  <c r="S63" i="4"/>
  <c r="R63" i="4"/>
  <c r="O63" i="4"/>
  <c r="M63" i="4"/>
  <c r="H63" i="4"/>
  <c r="G63" i="4"/>
  <c r="F63" i="4"/>
  <c r="E63" i="4"/>
  <c r="C63" i="4"/>
  <c r="AF62" i="4"/>
  <c r="AE62" i="4"/>
  <c r="AD62" i="4"/>
  <c r="AC62" i="4"/>
  <c r="AA62" i="4"/>
  <c r="X62" i="4"/>
  <c r="W62" i="4"/>
  <c r="T62" i="4"/>
  <c r="S62" i="4"/>
  <c r="Q62" i="4"/>
  <c r="O62" i="4"/>
  <c r="M62" i="4"/>
  <c r="H62" i="4"/>
  <c r="G62" i="4"/>
  <c r="F62" i="4"/>
  <c r="E62" i="4"/>
  <c r="C62" i="4"/>
  <c r="AF61" i="4"/>
  <c r="AE61" i="4"/>
  <c r="AC61" i="4"/>
  <c r="AA61" i="4"/>
  <c r="X61" i="4"/>
  <c r="W61" i="4"/>
  <c r="V61" i="4"/>
  <c r="T61" i="4"/>
  <c r="S61" i="4"/>
  <c r="R61" i="4"/>
  <c r="P61" i="4"/>
  <c r="O61" i="4"/>
  <c r="N61" i="4"/>
  <c r="M61" i="4"/>
  <c r="L61" i="4"/>
  <c r="K61" i="4"/>
  <c r="I61" i="4"/>
  <c r="H61" i="4"/>
  <c r="F61" i="4"/>
  <c r="E61" i="4"/>
  <c r="D61" i="4"/>
  <c r="C61" i="4"/>
  <c r="AF60" i="4"/>
  <c r="AC60" i="4"/>
  <c r="Y60" i="4"/>
  <c r="T60" i="4"/>
  <c r="S60" i="4"/>
  <c r="R60" i="4"/>
  <c r="Q60" i="4"/>
  <c r="P60" i="4"/>
  <c r="O60" i="4"/>
  <c r="N60" i="4"/>
  <c r="L60" i="4"/>
  <c r="K60" i="4"/>
  <c r="J60" i="4"/>
  <c r="I60" i="4"/>
  <c r="H60" i="4"/>
  <c r="G60" i="4"/>
  <c r="F60" i="4"/>
  <c r="D60" i="4"/>
  <c r="C60" i="4"/>
  <c r="AF59" i="4"/>
  <c r="AE59" i="4"/>
  <c r="AD59" i="4"/>
  <c r="AA59" i="4"/>
  <c r="T59" i="4"/>
  <c r="S59" i="4"/>
  <c r="R59" i="4"/>
  <c r="O59" i="4"/>
  <c r="J59" i="4"/>
  <c r="I59" i="4"/>
  <c r="G59" i="4"/>
  <c r="F59" i="4"/>
  <c r="E59" i="4"/>
  <c r="D59" i="4"/>
  <c r="C59" i="4"/>
  <c r="AF58" i="4"/>
  <c r="AE58" i="4"/>
  <c r="AB58" i="4"/>
  <c r="AA58" i="4"/>
  <c r="W58" i="4"/>
  <c r="T58" i="4"/>
  <c r="S58" i="4"/>
  <c r="R58" i="4"/>
  <c r="O58" i="4"/>
  <c r="N58" i="4"/>
  <c r="M58" i="4"/>
  <c r="L58" i="4"/>
  <c r="K58" i="4"/>
  <c r="J58" i="4"/>
  <c r="I58" i="4"/>
  <c r="H58" i="4"/>
  <c r="F58" i="4"/>
  <c r="E58" i="4"/>
  <c r="D58" i="4"/>
  <c r="C58" i="4"/>
  <c r="AF57" i="4"/>
  <c r="AE57" i="4"/>
  <c r="AD57" i="4"/>
  <c r="AC57" i="4"/>
  <c r="X57" i="4"/>
  <c r="W57" i="4"/>
  <c r="V57" i="4"/>
  <c r="T57" i="4"/>
  <c r="S57" i="4"/>
  <c r="R57" i="4"/>
  <c r="Q57" i="4"/>
  <c r="P57" i="4"/>
  <c r="O57" i="4"/>
  <c r="N57" i="4"/>
  <c r="M57" i="4"/>
  <c r="L57" i="4"/>
  <c r="K57" i="4"/>
  <c r="J57" i="4"/>
  <c r="I57" i="4"/>
  <c r="E57" i="4"/>
  <c r="D57" i="4"/>
  <c r="AE56" i="4"/>
  <c r="AC56" i="4"/>
  <c r="AB56" i="4"/>
  <c r="T56" i="4"/>
  <c r="S56" i="4"/>
  <c r="R56" i="4"/>
  <c r="Q56" i="4"/>
  <c r="P56" i="4"/>
  <c r="O56" i="4"/>
  <c r="N56" i="4"/>
  <c r="M56" i="4"/>
  <c r="K56" i="4"/>
  <c r="J56" i="4"/>
  <c r="F56" i="4"/>
  <c r="E56" i="4"/>
  <c r="AF55" i="4"/>
  <c r="AE55" i="4"/>
  <c r="AD55" i="4"/>
  <c r="X55" i="4"/>
  <c r="U55" i="4"/>
  <c r="T55" i="4"/>
  <c r="S55" i="4"/>
  <c r="R55" i="4"/>
  <c r="Q55" i="4"/>
  <c r="J55" i="4"/>
  <c r="G55" i="4"/>
  <c r="E55" i="4"/>
  <c r="C55" i="4"/>
  <c r="AF54" i="4"/>
  <c r="AE54" i="4"/>
  <c r="AA54" i="4"/>
  <c r="W54" i="4"/>
  <c r="U54" i="4"/>
  <c r="T54" i="4"/>
  <c r="S54" i="4"/>
  <c r="Q54" i="4"/>
  <c r="O54" i="4"/>
  <c r="N54" i="4"/>
  <c r="M54" i="4"/>
  <c r="L54" i="4"/>
  <c r="K54" i="4"/>
  <c r="I54" i="4"/>
  <c r="H54" i="4"/>
  <c r="G54" i="4"/>
  <c r="F54" i="4"/>
  <c r="E54" i="4"/>
  <c r="D54" i="4"/>
  <c r="AF53" i="4"/>
  <c r="AE53" i="4"/>
  <c r="AD53" i="4"/>
  <c r="AC53" i="4"/>
  <c r="AB53" i="4"/>
  <c r="AA53" i="4"/>
  <c r="Z53" i="4"/>
  <c r="V53" i="4"/>
  <c r="T53" i="4"/>
  <c r="S53" i="4"/>
  <c r="P53" i="4"/>
  <c r="O53" i="4"/>
  <c r="M53" i="4"/>
  <c r="K53" i="4"/>
  <c r="F53" i="4"/>
  <c r="C53" i="4"/>
  <c r="AF52" i="4"/>
  <c r="AD52" i="4"/>
  <c r="AC52" i="4"/>
  <c r="AA52" i="4"/>
  <c r="Y52" i="4"/>
  <c r="X52" i="4"/>
  <c r="W52" i="4"/>
  <c r="S52" i="4"/>
  <c r="P52" i="4"/>
  <c r="O52" i="4"/>
  <c r="N52" i="4"/>
  <c r="L52" i="4"/>
  <c r="K52" i="4"/>
  <c r="H52" i="4"/>
  <c r="G52" i="4"/>
  <c r="E52" i="4"/>
  <c r="AF51" i="4"/>
  <c r="AD51" i="4"/>
  <c r="AC51" i="4"/>
  <c r="X51" i="4"/>
  <c r="U51" i="4"/>
  <c r="T51" i="4"/>
  <c r="S51" i="4"/>
  <c r="Q51" i="4"/>
  <c r="O51" i="4"/>
  <c r="L51" i="4"/>
  <c r="J51" i="4"/>
  <c r="G51" i="4"/>
  <c r="E51" i="4"/>
  <c r="AF50" i="4"/>
  <c r="AE50" i="4"/>
  <c r="AD50" i="4"/>
  <c r="AB50" i="4"/>
  <c r="X50" i="4"/>
  <c r="W50" i="4"/>
  <c r="V50" i="4"/>
  <c r="S50" i="4"/>
  <c r="O50" i="4"/>
  <c r="H50" i="4"/>
  <c r="F50" i="4"/>
  <c r="D50" i="4"/>
  <c r="AF49" i="4"/>
  <c r="AE49" i="4"/>
  <c r="AD49" i="4"/>
  <c r="AC49" i="4"/>
  <c r="X49" i="4"/>
  <c r="W49" i="4"/>
  <c r="U49" i="4"/>
  <c r="T49" i="4"/>
  <c r="S49" i="4"/>
  <c r="R49" i="4"/>
  <c r="P49" i="4"/>
  <c r="O49" i="4"/>
  <c r="N49" i="4"/>
  <c r="G49" i="4"/>
  <c r="F49" i="4"/>
  <c r="E49" i="4"/>
  <c r="D49" i="4"/>
  <c r="C49" i="4"/>
  <c r="AE48" i="4"/>
  <c r="AD48" i="4"/>
  <c r="AC48" i="4"/>
  <c r="X48" i="4"/>
  <c r="W48" i="4"/>
  <c r="S48" i="4"/>
  <c r="R48" i="4"/>
  <c r="P48" i="4"/>
  <c r="O48" i="4"/>
  <c r="N48" i="4"/>
  <c r="M48" i="4"/>
  <c r="L48" i="4"/>
  <c r="K48" i="4"/>
  <c r="H48" i="4"/>
  <c r="E48" i="4"/>
  <c r="AF47" i="4"/>
  <c r="AE47" i="4"/>
  <c r="AD47" i="4"/>
  <c r="AA47" i="4"/>
  <c r="T47" i="4"/>
  <c r="S47" i="4"/>
  <c r="R47" i="4"/>
  <c r="Q47" i="4"/>
  <c r="N47" i="4"/>
  <c r="L47" i="4"/>
  <c r="K47" i="4"/>
  <c r="I47" i="4"/>
  <c r="G47" i="4"/>
  <c r="E47" i="4"/>
  <c r="C47" i="4"/>
  <c r="AF46" i="4"/>
  <c r="AE46" i="4"/>
  <c r="AC46" i="4"/>
  <c r="S46" i="4"/>
  <c r="Q46" i="4"/>
  <c r="O46" i="4"/>
  <c r="M46" i="4"/>
  <c r="L46" i="4"/>
  <c r="I46" i="4"/>
  <c r="H46" i="4"/>
  <c r="G46" i="4"/>
  <c r="F46" i="4"/>
  <c r="C46" i="4"/>
  <c r="AF45" i="4"/>
  <c r="AD45" i="4"/>
  <c r="AA45" i="4"/>
  <c r="Z45" i="4"/>
  <c r="W45" i="4"/>
  <c r="V45" i="4"/>
  <c r="T45" i="4"/>
  <c r="S45" i="4"/>
  <c r="Q45" i="4"/>
  <c r="P45" i="4"/>
  <c r="O45" i="4"/>
  <c r="N45" i="4"/>
  <c r="M45" i="4"/>
  <c r="L45" i="4"/>
  <c r="J45" i="4"/>
  <c r="C45" i="4"/>
  <c r="Y44" i="4"/>
  <c r="W44" i="4"/>
  <c r="S44" i="4"/>
  <c r="R44" i="4"/>
  <c r="Q44" i="4"/>
  <c r="P44" i="4"/>
  <c r="O44" i="4"/>
  <c r="N44" i="4"/>
  <c r="M44" i="4"/>
  <c r="L44" i="4"/>
  <c r="J44" i="4"/>
  <c r="I44" i="4"/>
  <c r="H44" i="4"/>
  <c r="F44" i="4"/>
  <c r="D44" i="4"/>
  <c r="C44" i="4"/>
  <c r="AF43" i="4"/>
  <c r="AE43" i="4"/>
  <c r="AD43" i="4"/>
  <c r="AC43" i="4"/>
  <c r="AA43" i="4"/>
  <c r="W43" i="4"/>
  <c r="T43" i="4"/>
  <c r="S43" i="4"/>
  <c r="R43" i="4"/>
  <c r="Q43" i="4"/>
  <c r="O43" i="4"/>
  <c r="N43" i="4"/>
  <c r="M43" i="4"/>
  <c r="K43" i="4"/>
  <c r="E43" i="4"/>
  <c r="D43" i="4"/>
  <c r="C43" i="4"/>
  <c r="AF42" i="4"/>
  <c r="AE42" i="4"/>
  <c r="AC42" i="4"/>
  <c r="AB42" i="4"/>
  <c r="AA42" i="4"/>
  <c r="X42" i="4"/>
  <c r="S42" i="4"/>
  <c r="O42" i="4"/>
  <c r="H42" i="4"/>
  <c r="G42" i="4"/>
  <c r="F42" i="4"/>
  <c r="E42" i="4"/>
  <c r="D42" i="4"/>
  <c r="C42" i="4"/>
  <c r="AF41" i="4"/>
  <c r="AE41" i="4"/>
  <c r="AD41" i="4"/>
  <c r="V41" i="4"/>
  <c r="T41" i="4"/>
  <c r="R41" i="4"/>
  <c r="P41" i="4"/>
  <c r="O41" i="4"/>
  <c r="N41" i="4"/>
  <c r="G41" i="4"/>
  <c r="F41" i="4"/>
  <c r="AC40" i="4"/>
  <c r="AB40" i="4"/>
  <c r="P40" i="4"/>
  <c r="M40" i="4"/>
  <c r="I40" i="4"/>
  <c r="H40" i="4"/>
  <c r="G40" i="4"/>
  <c r="E40" i="4"/>
  <c r="AF39" i="4"/>
  <c r="AE39" i="4"/>
  <c r="AD39" i="4"/>
  <c r="AC39" i="4"/>
  <c r="X39" i="4"/>
  <c r="W39" i="4"/>
  <c r="V39" i="4"/>
  <c r="U39" i="4"/>
  <c r="T39" i="4"/>
  <c r="N39" i="4"/>
  <c r="L39" i="4"/>
  <c r="K39" i="4"/>
  <c r="J39" i="4"/>
  <c r="I39" i="4"/>
  <c r="H39" i="4"/>
  <c r="E39" i="4"/>
  <c r="C39" i="4"/>
  <c r="AF38" i="4"/>
  <c r="AE38" i="4"/>
  <c r="AD38" i="4"/>
  <c r="AC38" i="4"/>
  <c r="X38" i="4"/>
  <c r="U38" i="4"/>
  <c r="S38" i="4"/>
  <c r="L38" i="4"/>
  <c r="H38" i="4"/>
  <c r="G38" i="4"/>
  <c r="F38" i="4"/>
  <c r="E38" i="4"/>
  <c r="D38" i="4"/>
  <c r="AF37" i="4"/>
  <c r="AE37" i="4"/>
  <c r="AD37" i="4"/>
  <c r="AC37" i="4"/>
  <c r="Z37" i="4"/>
  <c r="Y37" i="4"/>
  <c r="X37" i="4"/>
  <c r="W37" i="4"/>
  <c r="V37" i="4"/>
  <c r="T37" i="4"/>
  <c r="R37" i="4"/>
  <c r="P37" i="4"/>
  <c r="O37" i="4"/>
  <c r="K37" i="4"/>
  <c r="F37" i="4"/>
  <c r="E37" i="4"/>
  <c r="C37" i="4"/>
  <c r="AC36" i="4"/>
  <c r="AB36" i="4"/>
  <c r="AA36" i="4"/>
  <c r="Y36" i="4"/>
  <c r="X36" i="4"/>
  <c r="R36" i="4"/>
  <c r="P36" i="4"/>
  <c r="N36" i="4"/>
  <c r="L36" i="4"/>
  <c r="K36" i="4"/>
  <c r="H36" i="4"/>
  <c r="G36" i="4"/>
  <c r="F36" i="4"/>
  <c r="D36" i="4"/>
  <c r="AF35" i="4"/>
  <c r="AE35" i="4"/>
  <c r="X35" i="4"/>
  <c r="W35" i="4"/>
  <c r="V35" i="4"/>
  <c r="T35" i="4"/>
  <c r="R35" i="4"/>
  <c r="N35" i="4"/>
  <c r="M35" i="4"/>
  <c r="L35" i="4"/>
  <c r="K35" i="4"/>
  <c r="J35" i="4"/>
  <c r="I35" i="4"/>
  <c r="H35" i="4"/>
  <c r="G35" i="4"/>
  <c r="F35" i="4"/>
  <c r="E35" i="4"/>
  <c r="AF34" i="4"/>
  <c r="AE34" i="4"/>
  <c r="AB34" i="4"/>
  <c r="V34" i="4"/>
  <c r="S34" i="4"/>
  <c r="R34" i="4"/>
  <c r="O34" i="4"/>
  <c r="L34" i="4"/>
  <c r="K34" i="4"/>
  <c r="I34" i="4"/>
  <c r="H34" i="4"/>
  <c r="F34" i="4"/>
  <c r="E34" i="4"/>
  <c r="D34" i="4"/>
  <c r="AE33" i="4"/>
  <c r="AD33" i="4"/>
  <c r="AC33" i="4"/>
  <c r="U33" i="4"/>
  <c r="T33" i="4"/>
  <c r="R33" i="4"/>
  <c r="Q33" i="4"/>
  <c r="O33" i="4"/>
  <c r="N33" i="4"/>
  <c r="K33" i="4"/>
  <c r="I33" i="4"/>
  <c r="E33" i="4"/>
  <c r="D33" i="4"/>
  <c r="AF32" i="4"/>
  <c r="AE32" i="4"/>
  <c r="AC32" i="4"/>
  <c r="Q32" i="4"/>
  <c r="N32" i="4"/>
  <c r="M32" i="4"/>
  <c r="L32" i="4"/>
  <c r="K32" i="4"/>
  <c r="H32" i="4"/>
  <c r="G32" i="4"/>
  <c r="F32" i="4"/>
  <c r="E32" i="4"/>
  <c r="C32" i="4"/>
  <c r="AD31" i="4"/>
  <c r="AA31" i="4"/>
  <c r="R31" i="4"/>
  <c r="N31" i="4"/>
  <c r="M31" i="4"/>
  <c r="L31" i="4"/>
  <c r="H31" i="4"/>
  <c r="E31" i="4"/>
  <c r="C31" i="4"/>
  <c r="AF30" i="4"/>
  <c r="AE30" i="4"/>
  <c r="AB30" i="4"/>
  <c r="W30" i="4"/>
  <c r="O30" i="4"/>
  <c r="M30" i="4"/>
  <c r="K30" i="4"/>
  <c r="I30" i="4"/>
  <c r="F30" i="4"/>
  <c r="E30" i="4"/>
  <c r="AE29" i="4"/>
  <c r="AD29" i="4"/>
  <c r="AC29" i="4"/>
  <c r="AA29" i="4"/>
  <c r="X29" i="4"/>
  <c r="V29" i="4"/>
  <c r="T29" i="4"/>
  <c r="Q29" i="4"/>
  <c r="O29" i="4"/>
  <c r="I29" i="4"/>
  <c r="F29" i="4"/>
  <c r="E29" i="4"/>
  <c r="AE28" i="4"/>
  <c r="AD28" i="4"/>
  <c r="AC28" i="4"/>
  <c r="Y28" i="4"/>
  <c r="X28" i="4"/>
  <c r="W28" i="4"/>
  <c r="R28" i="4"/>
  <c r="I28" i="4"/>
  <c r="E28" i="4"/>
  <c r="D28" i="4"/>
  <c r="C28" i="4"/>
  <c r="AF27" i="4"/>
  <c r="AE27" i="4"/>
  <c r="AD27" i="4"/>
  <c r="AC27" i="4"/>
  <c r="AA27" i="4"/>
  <c r="X27" i="4"/>
  <c r="W27" i="4"/>
  <c r="T27" i="4"/>
  <c r="Q27" i="4"/>
  <c r="N27" i="4"/>
  <c r="M27" i="4"/>
  <c r="L27" i="4"/>
  <c r="H27" i="4"/>
  <c r="G27" i="4"/>
  <c r="E27" i="4"/>
  <c r="D27" i="4"/>
  <c r="C27" i="4"/>
  <c r="AE26" i="4"/>
  <c r="AB26" i="4"/>
  <c r="X26" i="4"/>
  <c r="W26" i="4"/>
  <c r="S26" i="4"/>
  <c r="M26" i="4"/>
  <c r="L26" i="4"/>
  <c r="K26" i="4"/>
  <c r="H26" i="4"/>
  <c r="C26" i="4"/>
  <c r="AE25" i="4"/>
  <c r="AD25" i="4"/>
  <c r="AC25" i="4"/>
  <c r="X25" i="4"/>
  <c r="V25" i="4"/>
  <c r="T25" i="4"/>
  <c r="R25" i="4"/>
  <c r="Q25" i="4"/>
  <c r="O25" i="4"/>
  <c r="N25" i="4"/>
  <c r="H25" i="4"/>
  <c r="F25" i="4"/>
  <c r="E25" i="4"/>
  <c r="D25" i="4"/>
  <c r="AF24" i="4"/>
  <c r="AD24" i="4"/>
  <c r="AC24" i="4"/>
  <c r="AB24" i="4"/>
  <c r="L24" i="4"/>
  <c r="J24" i="4"/>
  <c r="I24" i="4"/>
  <c r="H24" i="4"/>
  <c r="G24" i="4"/>
  <c r="E24" i="4"/>
  <c r="C24" i="4"/>
  <c r="AF23" i="4"/>
  <c r="AE23" i="4"/>
  <c r="AC23" i="4"/>
  <c r="W23" i="4"/>
  <c r="V23" i="4"/>
  <c r="U23" i="4"/>
  <c r="L23" i="4"/>
  <c r="K23" i="4"/>
  <c r="J23" i="4"/>
  <c r="I23" i="4"/>
  <c r="H23" i="4"/>
  <c r="G23" i="4"/>
  <c r="E23" i="4"/>
  <c r="D23" i="4"/>
  <c r="C23" i="4"/>
  <c r="AF22" i="4"/>
  <c r="AC22" i="4"/>
  <c r="X22" i="4"/>
  <c r="W22" i="4"/>
  <c r="U22" i="4"/>
  <c r="S22" i="4"/>
  <c r="O22" i="4"/>
  <c r="N22" i="4"/>
  <c r="M22" i="4"/>
  <c r="L22" i="4"/>
  <c r="K22" i="4"/>
  <c r="I22" i="4"/>
  <c r="H22" i="4"/>
  <c r="D22" i="4"/>
  <c r="C22" i="4"/>
  <c r="AD21" i="4"/>
  <c r="Z21" i="4"/>
  <c r="V21" i="4"/>
  <c r="T21" i="4"/>
  <c r="R21" i="4"/>
  <c r="Q21" i="4"/>
  <c r="N21" i="4"/>
  <c r="M21" i="4"/>
  <c r="D21" i="4"/>
  <c r="C21" i="4"/>
  <c r="AF20" i="4"/>
  <c r="AB20" i="4"/>
  <c r="Y20" i="4"/>
  <c r="R20" i="4"/>
  <c r="Q20" i="4"/>
  <c r="L20" i="4"/>
  <c r="J20" i="4"/>
  <c r="I20" i="4"/>
  <c r="F20" i="4"/>
  <c r="D20" i="4"/>
  <c r="C20" i="4"/>
  <c r="AF19" i="4"/>
  <c r="AD19" i="4"/>
  <c r="AC19" i="4"/>
  <c r="X19" i="4"/>
  <c r="V19" i="4"/>
  <c r="Q19" i="4"/>
  <c r="N19" i="4"/>
  <c r="M19" i="4"/>
  <c r="L19" i="4"/>
  <c r="K19" i="4"/>
  <c r="I19" i="4"/>
  <c r="H19" i="4"/>
  <c r="G19" i="4"/>
  <c r="E19" i="4"/>
  <c r="C19" i="4"/>
  <c r="AF18" i="4"/>
  <c r="AE18" i="4"/>
  <c r="AC18" i="4"/>
  <c r="AB18" i="4"/>
  <c r="V18" i="4"/>
  <c r="R18" i="4"/>
  <c r="M18" i="4"/>
  <c r="L18" i="4"/>
  <c r="J18" i="4"/>
  <c r="H18" i="4"/>
  <c r="E18" i="4"/>
  <c r="D18" i="4"/>
  <c r="C18" i="4"/>
  <c r="AD17" i="4"/>
  <c r="W17" i="4"/>
  <c r="V17" i="4"/>
  <c r="U17" i="4"/>
  <c r="T17" i="4"/>
  <c r="N17" i="4"/>
  <c r="K17" i="4"/>
  <c r="I17" i="4"/>
  <c r="F17" i="4"/>
  <c r="C17" i="4"/>
  <c r="Q16" i="4"/>
  <c r="O16" i="4"/>
  <c r="L16" i="4"/>
  <c r="G16" i="4"/>
  <c r="D16" i="4"/>
  <c r="AF15" i="4"/>
  <c r="AE15" i="4"/>
  <c r="AD15" i="4"/>
  <c r="AA15" i="4"/>
  <c r="X15" i="4"/>
  <c r="W15" i="4"/>
  <c r="V15" i="4"/>
  <c r="T15" i="4"/>
  <c r="R15" i="4"/>
  <c r="M15" i="4"/>
  <c r="J15" i="4"/>
  <c r="I15" i="4"/>
  <c r="AE14" i="4"/>
  <c r="AD14" i="4"/>
  <c r="AC14" i="4"/>
  <c r="AB14" i="4"/>
  <c r="X14" i="4"/>
  <c r="W14" i="4"/>
  <c r="S14" i="4"/>
  <c r="M14" i="4"/>
  <c r="I14" i="4"/>
  <c r="H14" i="4"/>
  <c r="G14" i="4"/>
  <c r="E14" i="4"/>
  <c r="D14" i="4"/>
  <c r="C14" i="4"/>
  <c r="AC13" i="4"/>
  <c r="AA13" i="4"/>
  <c r="Z13" i="4"/>
  <c r="X13" i="4"/>
  <c r="W13" i="4"/>
  <c r="V13" i="4"/>
  <c r="R13" i="4"/>
  <c r="N13" i="4"/>
  <c r="M13" i="4"/>
  <c r="L13" i="4"/>
  <c r="K13" i="4"/>
  <c r="I13" i="4"/>
  <c r="H13" i="4"/>
  <c r="F13" i="4"/>
  <c r="E13" i="4"/>
  <c r="D13" i="4"/>
  <c r="AF12" i="4"/>
  <c r="AB12" i="4"/>
  <c r="Y12" i="4"/>
  <c r="R12" i="4"/>
  <c r="Q12" i="4"/>
  <c r="N12" i="4"/>
  <c r="L12" i="4"/>
  <c r="K12" i="4"/>
  <c r="I12" i="4"/>
  <c r="H12" i="4"/>
  <c r="G12" i="4"/>
  <c r="F12" i="4"/>
  <c r="C12" i="4"/>
  <c r="AE11" i="4"/>
  <c r="AA11" i="4"/>
  <c r="V11" i="4"/>
  <c r="L11" i="4"/>
  <c r="J11" i="4"/>
  <c r="G11" i="4"/>
  <c r="E11" i="4"/>
  <c r="C11" i="4"/>
  <c r="AF10" i="4"/>
  <c r="AE10" i="4"/>
  <c r="AB10" i="4"/>
  <c r="W10" i="4"/>
  <c r="S10" i="4"/>
  <c r="R10" i="4"/>
  <c r="O10" i="4"/>
  <c r="N10" i="4"/>
  <c r="M10" i="4"/>
  <c r="L10" i="4"/>
  <c r="K10" i="4"/>
  <c r="H10" i="4"/>
  <c r="E10" i="4"/>
  <c r="AD9" i="4"/>
  <c r="AC9" i="4"/>
  <c r="AB9" i="4"/>
  <c r="X9" i="4"/>
  <c r="W9" i="4"/>
  <c r="V9" i="4"/>
  <c r="T9" i="4"/>
  <c r="R9" i="4"/>
  <c r="Q9" i="4"/>
  <c r="N9" i="4"/>
  <c r="M9" i="4"/>
  <c r="K9" i="4"/>
  <c r="I9" i="4"/>
  <c r="E9" i="4"/>
  <c r="D9" i="4"/>
  <c r="C9" i="4"/>
  <c r="AF8" i="4"/>
  <c r="AE8" i="4"/>
  <c r="AC8" i="4"/>
  <c r="AB8" i="4"/>
  <c r="R8" i="4"/>
  <c r="Q8" i="4"/>
  <c r="N8" i="4"/>
  <c r="M8" i="4"/>
  <c r="K8" i="4"/>
  <c r="J8" i="4"/>
  <c r="I8" i="4"/>
  <c r="F8" i="4"/>
  <c r="E8" i="4"/>
  <c r="D8" i="4"/>
  <c r="C8" i="4"/>
  <c r="AD7" i="4"/>
  <c r="X7" i="4"/>
  <c r="V7" i="4"/>
  <c r="R7" i="4"/>
  <c r="Q7" i="4"/>
  <c r="I7" i="4"/>
  <c r="G7" i="4"/>
  <c r="AF6" i="4"/>
  <c r="AB6" i="4"/>
  <c r="X6" i="4"/>
  <c r="W6" i="4"/>
  <c r="U6" i="4"/>
  <c r="Q6" i="4"/>
  <c r="L6" i="4"/>
  <c r="K6" i="4"/>
  <c r="G6" i="4"/>
  <c r="E6" i="4"/>
  <c r="AD5" i="4"/>
  <c r="AC5" i="4"/>
  <c r="Z5" i="4"/>
  <c r="Y5" i="4"/>
  <c r="V5" i="4"/>
  <c r="N5" i="4"/>
  <c r="M5" i="4"/>
  <c r="K5" i="4"/>
  <c r="F5" i="4"/>
  <c r="E5" i="4"/>
  <c r="AE4" i="4"/>
  <c r="AD4" i="4"/>
  <c r="AC4" i="4"/>
  <c r="Y4" i="4"/>
  <c r="X4" i="4"/>
  <c r="W4" i="4"/>
  <c r="O4" i="4"/>
  <c r="N4" i="4"/>
  <c r="L4" i="4"/>
  <c r="K4" i="4"/>
  <c r="J4" i="4"/>
  <c r="I4" i="4"/>
  <c r="H4" i="4"/>
  <c r="G4" i="4"/>
  <c r="E4" i="4"/>
  <c r="D4" i="4"/>
  <c r="C4" i="4"/>
  <c r="E21" i="3"/>
  <c r="G20" i="3"/>
  <c r="Q29" i="1" s="1"/>
  <c r="E20" i="3"/>
  <c r="E19" i="3"/>
  <c r="E18" i="3"/>
  <c r="G17" i="3"/>
  <c r="E17" i="3"/>
  <c r="E16" i="3"/>
  <c r="G15" i="3"/>
  <c r="E15" i="3"/>
  <c r="E14" i="3"/>
  <c r="F14" i="3" s="1"/>
  <c r="P23" i="1" s="1"/>
  <c r="G13" i="3"/>
  <c r="E13" i="3"/>
  <c r="G12" i="3"/>
  <c r="E12" i="3"/>
  <c r="G11" i="3"/>
  <c r="E11" i="3"/>
  <c r="G10" i="3"/>
  <c r="E10" i="3"/>
  <c r="E22" i="3" s="1"/>
  <c r="G9" i="3"/>
  <c r="Q18" i="1" s="1"/>
  <c r="E9" i="3"/>
  <c r="G8" i="3"/>
  <c r="Q17" i="1" s="1"/>
  <c r="E8" i="3"/>
  <c r="E7" i="3"/>
  <c r="E2" i="3"/>
  <c r="D14" i="3" s="1"/>
  <c r="N35" i="1"/>
  <c r="N34" i="1"/>
  <c r="Q26" i="1"/>
  <c r="Q24" i="1"/>
  <c r="Q22" i="1"/>
  <c r="Q21" i="1"/>
  <c r="Q20" i="1"/>
  <c r="Q19" i="1"/>
  <c r="F18" i="3" l="1"/>
  <c r="P27" i="1" s="1"/>
  <c r="D113" i="5"/>
  <c r="C113" i="5"/>
  <c r="D174" i="5"/>
  <c r="C174" i="5"/>
  <c r="D198" i="5"/>
  <c r="D203" i="5"/>
  <c r="D209" i="5"/>
  <c r="C209" i="5"/>
  <c r="D270" i="5"/>
  <c r="C270" i="5"/>
  <c r="D282" i="5"/>
  <c r="C339" i="5"/>
  <c r="G29" i="4" s="1"/>
  <c r="C340" i="5"/>
  <c r="G30" i="4" s="1"/>
  <c r="D34" i="6"/>
  <c r="C23" i="6"/>
  <c r="D22" i="6"/>
  <c r="C89" i="6"/>
  <c r="D101" i="6"/>
  <c r="C185" i="6"/>
  <c r="D197" i="6"/>
  <c r="D243" i="6"/>
  <c r="C243" i="6"/>
  <c r="C57" i="7"/>
  <c r="C58" i="7"/>
  <c r="D69" i="7"/>
  <c r="D57" i="7"/>
  <c r="C170" i="7"/>
  <c r="C171" i="7"/>
  <c r="D314" i="7"/>
  <c r="F4" i="4" s="1"/>
  <c r="C303" i="7"/>
  <c r="D302" i="7"/>
  <c r="D19" i="5"/>
  <c r="C33" i="5"/>
  <c r="C42" i="5"/>
  <c r="D51" i="5"/>
  <c r="C56" i="5"/>
  <c r="C65" i="5"/>
  <c r="D74" i="5"/>
  <c r="D79" i="5"/>
  <c r="C98" i="5"/>
  <c r="D103" i="5"/>
  <c r="D114" i="5"/>
  <c r="C114" i="5"/>
  <c r="C130" i="5"/>
  <c r="C146" i="5"/>
  <c r="C152" i="5"/>
  <c r="C175" i="5"/>
  <c r="D175" i="5"/>
  <c r="D191" i="5"/>
  <c r="D210" i="5"/>
  <c r="C210" i="5"/>
  <c r="D228" i="5"/>
  <c r="C216" i="5"/>
  <c r="D221" i="5"/>
  <c r="D259" i="5"/>
  <c r="C271" i="5"/>
  <c r="C272" i="5"/>
  <c r="D271" i="5"/>
  <c r="D289" i="5"/>
  <c r="C277" i="5"/>
  <c r="C283" i="5"/>
  <c r="D283" i="5"/>
  <c r="C297" i="5"/>
  <c r="D296" i="5"/>
  <c r="D308" i="5"/>
  <c r="D326" i="5"/>
  <c r="H16" i="4" s="1"/>
  <c r="D339" i="5"/>
  <c r="H29" i="4" s="1"/>
  <c r="C22" i="6"/>
  <c r="D89" i="6"/>
  <c r="D185" i="6"/>
  <c r="D329" i="6"/>
  <c r="D19" i="4" s="1"/>
  <c r="C344" i="6"/>
  <c r="C34" i="4" s="1"/>
  <c r="C360" i="6"/>
  <c r="C50" i="4" s="1"/>
  <c r="C162" i="7"/>
  <c r="D174" i="7"/>
  <c r="D170" i="7"/>
  <c r="C302" i="7"/>
  <c r="D19" i="3"/>
  <c r="F19" i="3" s="1"/>
  <c r="P28" i="1" s="1"/>
  <c r="D7" i="3"/>
  <c r="F7" i="3" s="1"/>
  <c r="P16" i="1" s="1"/>
  <c r="D136" i="5"/>
  <c r="C136" i="5"/>
  <c r="D222" i="5"/>
  <c r="C222" i="5"/>
  <c r="D234" i="5"/>
  <c r="C310" i="5"/>
  <c r="D309" i="5"/>
  <c r="D321" i="5"/>
  <c r="H11" i="4" s="1"/>
  <c r="D75" i="6"/>
  <c r="C75" i="6"/>
  <c r="D154" i="6"/>
  <c r="C143" i="6"/>
  <c r="D142" i="6"/>
  <c r="D171" i="6"/>
  <c r="C171" i="6"/>
  <c r="D315" i="6"/>
  <c r="D5" i="4" s="1"/>
  <c r="C315" i="6"/>
  <c r="C5" i="4" s="1"/>
  <c r="C13" i="7"/>
  <c r="D25" i="7"/>
  <c r="C117" i="7"/>
  <c r="D117" i="7"/>
  <c r="D129" i="7"/>
  <c r="C203" i="9"/>
  <c r="D202" i="9"/>
  <c r="D338" i="9"/>
  <c r="L28" i="4" s="1"/>
  <c r="C338" i="9"/>
  <c r="K28" i="4" s="1"/>
  <c r="D72" i="10"/>
  <c r="C72" i="10"/>
  <c r="D142" i="10"/>
  <c r="D130" i="10"/>
  <c r="C130" i="10"/>
  <c r="D235" i="10"/>
  <c r="C224" i="10"/>
  <c r="D223" i="10"/>
  <c r="C223" i="10"/>
  <c r="C351" i="10"/>
  <c r="W41" i="4" s="1"/>
  <c r="D351" i="10"/>
  <c r="X41" i="4" s="1"/>
  <c r="D17" i="3"/>
  <c r="H17" i="3" s="1"/>
  <c r="D15" i="3"/>
  <c r="H15" i="3" s="1"/>
  <c r="C20" i="5"/>
  <c r="D24" i="5"/>
  <c r="C29" i="5"/>
  <c r="C38" i="5"/>
  <c r="C43" i="5"/>
  <c r="D47" i="5"/>
  <c r="C52" i="5"/>
  <c r="D61" i="5"/>
  <c r="C66" i="5"/>
  <c r="D75" i="5"/>
  <c r="C80" i="5"/>
  <c r="C94" i="5"/>
  <c r="C99" i="5"/>
  <c r="C104" i="5"/>
  <c r="D115" i="5"/>
  <c r="D120" i="5"/>
  <c r="C147" i="5"/>
  <c r="C153" i="5"/>
  <c r="D164" i="5"/>
  <c r="D169" i="5"/>
  <c r="C176" i="5"/>
  <c r="C187" i="5"/>
  <c r="D187" i="5"/>
  <c r="D199" i="5"/>
  <c r="D211" i="5"/>
  <c r="C223" i="5"/>
  <c r="C224" i="5"/>
  <c r="D223" i="5"/>
  <c r="D241" i="5"/>
  <c r="C229" i="5"/>
  <c r="C235" i="5"/>
  <c r="D235" i="5"/>
  <c r="C284" i="5"/>
  <c r="D302" i="5"/>
  <c r="C290" i="5"/>
  <c r="C303" i="5"/>
  <c r="D315" i="5"/>
  <c r="H5" i="4" s="1"/>
  <c r="D303" i="5"/>
  <c r="C309" i="5"/>
  <c r="D316" i="5"/>
  <c r="H6" i="4" s="1"/>
  <c r="D353" i="5"/>
  <c r="H43" i="4" s="1"/>
  <c r="C353" i="5"/>
  <c r="G43" i="4" s="1"/>
  <c r="D366" i="5"/>
  <c r="H56" i="4" s="1"/>
  <c r="C366" i="5"/>
  <c r="G56" i="4" s="1"/>
  <c r="C31" i="6"/>
  <c r="D39" i="6"/>
  <c r="D58" i="6"/>
  <c r="C47" i="6"/>
  <c r="D46" i="6"/>
  <c r="C113" i="6"/>
  <c r="D125" i="6"/>
  <c r="D127" i="6"/>
  <c r="C142" i="6"/>
  <c r="C209" i="6"/>
  <c r="D221" i="6"/>
  <c r="D223" i="6"/>
  <c r="D250" i="6"/>
  <c r="C239" i="6"/>
  <c r="D238" i="6"/>
  <c r="C281" i="6"/>
  <c r="D293" i="6"/>
  <c r="C15" i="7"/>
  <c r="C14" i="7"/>
  <c r="D63" i="7"/>
  <c r="C51" i="7"/>
  <c r="D51" i="7"/>
  <c r="D68" i="7"/>
  <c r="C118" i="7"/>
  <c r="C119" i="7"/>
  <c r="D118" i="7"/>
  <c r="D175" i="7"/>
  <c r="D163" i="7"/>
  <c r="C163" i="7"/>
  <c r="C233" i="7"/>
  <c r="D233" i="7"/>
  <c r="D271" i="7"/>
  <c r="D259" i="7"/>
  <c r="C259" i="7"/>
  <c r="C268" i="7"/>
  <c r="D268" i="7"/>
  <c r="D149" i="9"/>
  <c r="C149" i="9"/>
  <c r="C202" i="9"/>
  <c r="D24" i="10"/>
  <c r="C24" i="10"/>
  <c r="D48" i="10"/>
  <c r="C48" i="10"/>
  <c r="D118" i="10"/>
  <c r="D106" i="10"/>
  <c r="C106" i="10"/>
  <c r="D321" i="10"/>
  <c r="X11" i="4" s="1"/>
  <c r="C321" i="10"/>
  <c r="W11" i="4" s="1"/>
  <c r="D333" i="10"/>
  <c r="X23" i="4" s="1"/>
  <c r="D328" i="10"/>
  <c r="X18" i="4" s="1"/>
  <c r="C328" i="10"/>
  <c r="W18" i="4" s="1"/>
  <c r="D340" i="10"/>
  <c r="X30" i="4" s="1"/>
  <c r="D20" i="5"/>
  <c r="D29" i="5"/>
  <c r="C34" i="5"/>
  <c r="D38" i="5"/>
  <c r="C48" i="5"/>
  <c r="C57" i="5"/>
  <c r="D80" i="5"/>
  <c r="D126" i="5"/>
  <c r="C126" i="5"/>
  <c r="C137" i="5"/>
  <c r="C159" i="5"/>
  <c r="D171" i="5"/>
  <c r="C170" i="5"/>
  <c r="C217" i="5"/>
  <c r="C248" i="5"/>
  <c r="C266" i="5"/>
  <c r="C278" i="5"/>
  <c r="D31" i="6"/>
  <c r="D267" i="6"/>
  <c r="C267" i="6"/>
  <c r="D322" i="6"/>
  <c r="D12" i="4" s="1"/>
  <c r="C311" i="6"/>
  <c r="D310" i="6"/>
  <c r="D50" i="7"/>
  <c r="C38" i="7"/>
  <c r="D154" i="7"/>
  <c r="C154" i="7"/>
  <c r="D166" i="7"/>
  <c r="C155" i="7"/>
  <c r="C224" i="7"/>
  <c r="D224" i="7"/>
  <c r="D171" i="9"/>
  <c r="D159" i="9"/>
  <c r="C159" i="9"/>
  <c r="D10" i="3"/>
  <c r="C25" i="5"/>
  <c r="D30" i="5"/>
  <c r="C39" i="5"/>
  <c r="D39" i="5"/>
  <c r="D48" i="5"/>
  <c r="C53" i="5"/>
  <c r="C62" i="5"/>
  <c r="C67" i="5"/>
  <c r="D71" i="5"/>
  <c r="C76" i="5"/>
  <c r="C85" i="5"/>
  <c r="C90" i="5"/>
  <c r="C95" i="5"/>
  <c r="D100" i="5"/>
  <c r="C105" i="5"/>
  <c r="C116" i="5"/>
  <c r="C121" i="5"/>
  <c r="C127" i="5"/>
  <c r="D127" i="5"/>
  <c r="D142" i="5"/>
  <c r="D148" i="5"/>
  <c r="C148" i="5"/>
  <c r="D159" i="5"/>
  <c r="C165" i="5"/>
  <c r="C188" i="5"/>
  <c r="D193" i="5"/>
  <c r="C200" i="5"/>
  <c r="C236" i="5"/>
  <c r="D254" i="5"/>
  <c r="C242" i="5"/>
  <c r="C291" i="5"/>
  <c r="C304" i="5"/>
  <c r="C335" i="5"/>
  <c r="G25" i="4" s="1"/>
  <c r="D347" i="5"/>
  <c r="H37" i="4" s="1"/>
  <c r="D361" i="5"/>
  <c r="H51" i="4" s="1"/>
  <c r="C18" i="6"/>
  <c r="C17" i="6"/>
  <c r="C55" i="6"/>
  <c r="D63" i="6"/>
  <c r="D82" i="6"/>
  <c r="C71" i="6"/>
  <c r="D70" i="6"/>
  <c r="C84" i="6"/>
  <c r="D99" i="6"/>
  <c r="C99" i="6"/>
  <c r="C151" i="6"/>
  <c r="D159" i="6"/>
  <c r="D178" i="6"/>
  <c r="C167" i="6"/>
  <c r="D166" i="6"/>
  <c r="C180" i="6"/>
  <c r="D195" i="6"/>
  <c r="C195" i="6"/>
  <c r="C210" i="6"/>
  <c r="C310" i="6"/>
  <c r="C376" i="6"/>
  <c r="C66" i="4" s="1"/>
  <c r="D38" i="7"/>
  <c r="C108" i="7"/>
  <c r="D108" i="7"/>
  <c r="C184" i="7"/>
  <c r="D184" i="7"/>
  <c r="D196" i="7"/>
  <c r="C225" i="7"/>
  <c r="D225" i="7"/>
  <c r="C21" i="5"/>
  <c r="C30" i="5"/>
  <c r="C44" i="5"/>
  <c r="D67" i="5"/>
  <c r="C81" i="5"/>
  <c r="D85" i="5"/>
  <c r="D90" i="5"/>
  <c r="C100" i="5"/>
  <c r="D116" i="5"/>
  <c r="D121" i="5"/>
  <c r="C143" i="5"/>
  <c r="D149" i="5"/>
  <c r="C149" i="5"/>
  <c r="C182" i="5"/>
  <c r="D212" i="5"/>
  <c r="C218" i="5"/>
  <c r="C230" i="5"/>
  <c r="D242" i="5"/>
  <c r="C249" i="5"/>
  <c r="C255" i="5"/>
  <c r="D267" i="5"/>
  <c r="D255" i="5"/>
  <c r="C261" i="5"/>
  <c r="D273" i="5"/>
  <c r="C343" i="5"/>
  <c r="G33" i="4" s="1"/>
  <c r="D355" i="5"/>
  <c r="H45" i="4" s="1"/>
  <c r="D55" i="6"/>
  <c r="C137" i="6"/>
  <c r="D149" i="6"/>
  <c r="D151" i="6"/>
  <c r="D274" i="6"/>
  <c r="C263" i="6"/>
  <c r="D262" i="6"/>
  <c r="C339" i="6"/>
  <c r="C29" i="4" s="1"/>
  <c r="C340" i="6"/>
  <c r="C30" i="4" s="1"/>
  <c r="D339" i="6"/>
  <c r="D29" i="4" s="1"/>
  <c r="D39" i="7"/>
  <c r="C39" i="7"/>
  <c r="C101" i="7"/>
  <c r="D101" i="7"/>
  <c r="C109" i="7"/>
  <c r="D109" i="7"/>
  <c r="D151" i="7"/>
  <c r="D139" i="7"/>
  <c r="C185" i="7"/>
  <c r="D185" i="7"/>
  <c r="D155" i="8"/>
  <c r="C155" i="8"/>
  <c r="D167" i="8"/>
  <c r="D20" i="3"/>
  <c r="H20" i="3" s="1"/>
  <c r="D8" i="3"/>
  <c r="F8" i="3" s="1"/>
  <c r="P17" i="1" s="1"/>
  <c r="C26" i="5"/>
  <c r="C31" i="5"/>
  <c r="D35" i="5"/>
  <c r="C40" i="5"/>
  <c r="D44" i="5"/>
  <c r="C49" i="5"/>
  <c r="C58" i="5"/>
  <c r="C63" i="5"/>
  <c r="C72" i="5"/>
  <c r="C91" i="5"/>
  <c r="C96" i="5"/>
  <c r="C101" i="5"/>
  <c r="C106" i="5"/>
  <c r="C111" i="5"/>
  <c r="D123" i="5"/>
  <c r="C122" i="5"/>
  <c r="C128" i="5"/>
  <c r="C138" i="5"/>
  <c r="D143" i="5"/>
  <c r="C160" i="5"/>
  <c r="C166" i="5"/>
  <c r="D172" i="5"/>
  <c r="D177" i="5"/>
  <c r="D194" i="5"/>
  <c r="C201" i="5"/>
  <c r="D206" i="5"/>
  <c r="C243" i="5"/>
  <c r="D268" i="5"/>
  <c r="D280" i="5"/>
  <c r="C280" i="5"/>
  <c r="D292" i="5"/>
  <c r="C292" i="5"/>
  <c r="D305" i="5"/>
  <c r="C305" i="5"/>
  <c r="C330" i="5"/>
  <c r="G20" i="4" s="1"/>
  <c r="D343" i="5"/>
  <c r="H33" i="4" s="1"/>
  <c r="C374" i="5"/>
  <c r="G64" i="4" s="1"/>
  <c r="C41" i="6"/>
  <c r="D53" i="6"/>
  <c r="D137" i="6"/>
  <c r="C233" i="6"/>
  <c r="D245" i="6"/>
  <c r="D247" i="6"/>
  <c r="C262" i="6"/>
  <c r="D349" i="6"/>
  <c r="D39" i="4" s="1"/>
  <c r="D365" i="6"/>
  <c r="D55" i="4" s="1"/>
  <c r="C32" i="7"/>
  <c r="D32" i="7"/>
  <c r="C94" i="7"/>
  <c r="C95" i="7"/>
  <c r="C102" i="7"/>
  <c r="C111" i="7"/>
  <c r="D110" i="7"/>
  <c r="C110" i="7"/>
  <c r="D122" i="7"/>
  <c r="C139" i="7"/>
  <c r="C186" i="7"/>
  <c r="C187" i="7"/>
  <c r="D186" i="7"/>
  <c r="D198" i="7"/>
  <c r="C83" i="8"/>
  <c r="C84" i="8"/>
  <c r="D83" i="8"/>
  <c r="D95" i="8"/>
  <c r="D133" i="8"/>
  <c r="C133" i="8"/>
  <c r="D12" i="3"/>
  <c r="H12" i="3" s="1"/>
  <c r="D13" i="3"/>
  <c r="H13" i="3" s="1"/>
  <c r="D18" i="3"/>
  <c r="H18" i="3" s="1"/>
  <c r="D11" i="3"/>
  <c r="D16" i="3"/>
  <c r="H16" i="3" s="1"/>
  <c r="C10" i="5"/>
  <c r="L3" i="5" s="1"/>
  <c r="D26" i="5"/>
  <c r="D31" i="5"/>
  <c r="D63" i="5"/>
  <c r="D91" i="5"/>
  <c r="D96" i="5"/>
  <c r="D101" i="5"/>
  <c r="D106" i="5"/>
  <c r="D111" i="5"/>
  <c r="C117" i="5"/>
  <c r="C150" i="5"/>
  <c r="D155" i="5"/>
  <c r="C195" i="5"/>
  <c r="C207" i="5"/>
  <c r="D219" i="5"/>
  <c r="D207" i="5"/>
  <c r="C256" i="5"/>
  <c r="C262" i="5"/>
  <c r="D281" i="5"/>
  <c r="D299" i="5"/>
  <c r="D312" i="5"/>
  <c r="D318" i="5"/>
  <c r="H8" i="4" s="1"/>
  <c r="C318" i="5"/>
  <c r="G8" i="4" s="1"/>
  <c r="D87" i="6"/>
  <c r="D106" i="6"/>
  <c r="C95" i="6"/>
  <c r="D94" i="6"/>
  <c r="D123" i="6"/>
  <c r="C123" i="6"/>
  <c r="C138" i="6"/>
  <c r="D183" i="6"/>
  <c r="D202" i="6"/>
  <c r="C191" i="6"/>
  <c r="D190" i="6"/>
  <c r="D219" i="6"/>
  <c r="C219" i="6"/>
  <c r="C305" i="6"/>
  <c r="D317" i="6"/>
  <c r="D7" i="4" s="1"/>
  <c r="C335" i="6"/>
  <c r="C25" i="4" s="1"/>
  <c r="D334" i="6"/>
  <c r="D24" i="4" s="1"/>
  <c r="D350" i="6"/>
  <c r="D40" i="4" s="1"/>
  <c r="C350" i="6"/>
  <c r="C40" i="4" s="1"/>
  <c r="C367" i="6"/>
  <c r="C57" i="4" s="1"/>
  <c r="D366" i="6"/>
  <c r="D56" i="4" s="1"/>
  <c r="C366" i="6"/>
  <c r="C56" i="4" s="1"/>
  <c r="C33" i="7"/>
  <c r="D45" i="7"/>
  <c r="C34" i="7"/>
  <c r="D94" i="7"/>
  <c r="C176" i="7"/>
  <c r="D176" i="7"/>
  <c r="D77" i="5"/>
  <c r="D86" i="5"/>
  <c r="C139" i="5"/>
  <c r="D139" i="5"/>
  <c r="D161" i="5"/>
  <c r="C161" i="5"/>
  <c r="D184" i="5"/>
  <c r="C184" i="5"/>
  <c r="D220" i="5"/>
  <c r="D232" i="5"/>
  <c r="C232" i="5"/>
  <c r="D244" i="5"/>
  <c r="C244" i="5"/>
  <c r="D256" i="5"/>
  <c r="C331" i="5"/>
  <c r="G21" i="4" s="1"/>
  <c r="C332" i="5"/>
  <c r="G22" i="4" s="1"/>
  <c r="D331" i="5"/>
  <c r="H21" i="4" s="1"/>
  <c r="C344" i="5"/>
  <c r="G34" i="4" s="1"/>
  <c r="C358" i="5"/>
  <c r="G48" i="4" s="1"/>
  <c r="D357" i="5"/>
  <c r="H47" i="4" s="1"/>
  <c r="D369" i="5"/>
  <c r="H59" i="4" s="1"/>
  <c r="D27" i="6"/>
  <c r="C27" i="6"/>
  <c r="C65" i="6"/>
  <c r="D77" i="6"/>
  <c r="C161" i="6"/>
  <c r="D173" i="6"/>
  <c r="D291" i="6"/>
  <c r="C291" i="6"/>
  <c r="C209" i="7"/>
  <c r="D209" i="7"/>
  <c r="D21" i="3"/>
  <c r="D9" i="3"/>
  <c r="F9" i="3" s="1"/>
  <c r="P18" i="1" s="1"/>
  <c r="D27" i="5"/>
  <c r="D59" i="5"/>
  <c r="D78" i="5"/>
  <c r="C87" i="5"/>
  <c r="D87" i="5"/>
  <c r="D107" i="5"/>
  <c r="D162" i="5"/>
  <c r="C162" i="5"/>
  <c r="D185" i="5"/>
  <c r="D196" i="5"/>
  <c r="C196" i="5"/>
  <c r="C226" i="5"/>
  <c r="D233" i="5"/>
  <c r="D245" i="5"/>
  <c r="C245" i="5"/>
  <c r="D257" i="5"/>
  <c r="C257" i="5"/>
  <c r="D307" i="5"/>
  <c r="C313" i="5"/>
  <c r="C257" i="6"/>
  <c r="D269" i="6"/>
  <c r="C132" i="7"/>
  <c r="D132" i="7"/>
  <c r="D177" i="7"/>
  <c r="D22" i="8"/>
  <c r="C22" i="8"/>
  <c r="C40" i="8"/>
  <c r="D58" i="8"/>
  <c r="C58" i="8"/>
  <c r="D64" i="5"/>
  <c r="D73" i="5"/>
  <c r="D197" i="5"/>
  <c r="C197" i="5"/>
  <c r="D246" i="5"/>
  <c r="D251" i="5"/>
  <c r="D258" i="5"/>
  <c r="C258" i="5"/>
  <c r="D276" i="5"/>
  <c r="C264" i="5"/>
  <c r="D51" i="6"/>
  <c r="C51" i="6"/>
  <c r="D130" i="6"/>
  <c r="C119" i="6"/>
  <c r="D118" i="6"/>
  <c r="D147" i="6"/>
  <c r="C147" i="6"/>
  <c r="D226" i="6"/>
  <c r="C215" i="6"/>
  <c r="D214" i="6"/>
  <c r="D298" i="6"/>
  <c r="C287" i="6"/>
  <c r="D286" i="6"/>
  <c r="C89" i="7"/>
  <c r="C90" i="7"/>
  <c r="D89" i="7"/>
  <c r="C200" i="7"/>
  <c r="D200" i="7"/>
  <c r="C312" i="5"/>
  <c r="C325" i="5"/>
  <c r="G15" i="4" s="1"/>
  <c r="C338" i="5"/>
  <c r="G28" i="4" s="1"/>
  <c r="C347" i="5"/>
  <c r="G37" i="4" s="1"/>
  <c r="D351" i="5"/>
  <c r="H41" i="4" s="1"/>
  <c r="C360" i="5"/>
  <c r="G50" i="4" s="1"/>
  <c r="D25" i="6"/>
  <c r="C30" i="6"/>
  <c r="C44" i="6"/>
  <c r="D49" i="6"/>
  <c r="C54" i="6"/>
  <c r="C68" i="6"/>
  <c r="D73" i="6"/>
  <c r="C78" i="6"/>
  <c r="C92" i="6"/>
  <c r="D97" i="6"/>
  <c r="C102" i="6"/>
  <c r="C116" i="6"/>
  <c r="D121" i="6"/>
  <c r="C126" i="6"/>
  <c r="C140" i="6"/>
  <c r="D145" i="6"/>
  <c r="C150" i="6"/>
  <c r="C164" i="6"/>
  <c r="D169" i="6"/>
  <c r="C174" i="6"/>
  <c r="C188" i="6"/>
  <c r="D193" i="6"/>
  <c r="C198" i="6"/>
  <c r="C212" i="6"/>
  <c r="D217" i="6"/>
  <c r="C222" i="6"/>
  <c r="C236" i="6"/>
  <c r="D241" i="6"/>
  <c r="C246" i="6"/>
  <c r="D255" i="6"/>
  <c r="C260" i="6"/>
  <c r="D279" i="6"/>
  <c r="D303" i="6"/>
  <c r="D327" i="6"/>
  <c r="D17" i="4" s="1"/>
  <c r="D342" i="6"/>
  <c r="D32" i="4" s="1"/>
  <c r="D358" i="6"/>
  <c r="D48" i="4" s="1"/>
  <c r="D61" i="7"/>
  <c r="C80" i="7"/>
  <c r="D80" i="7"/>
  <c r="D92" i="7"/>
  <c r="D86" i="7"/>
  <c r="D127" i="7"/>
  <c r="D115" i="7"/>
  <c r="C152" i="7"/>
  <c r="D152" i="7"/>
  <c r="C160" i="7"/>
  <c r="D160" i="7"/>
  <c r="D182" i="7"/>
  <c r="C207" i="7"/>
  <c r="D206" i="7"/>
  <c r="D338" i="7"/>
  <c r="F28" i="4" s="1"/>
  <c r="C327" i="7"/>
  <c r="E17" i="4" s="1"/>
  <c r="D326" i="7"/>
  <c r="F16" i="4" s="1"/>
  <c r="D46" i="8"/>
  <c r="C46" i="8"/>
  <c r="C323" i="6"/>
  <c r="C13" i="4" s="1"/>
  <c r="C343" i="6"/>
  <c r="C33" i="4" s="1"/>
  <c r="C348" i="6"/>
  <c r="C38" i="4" s="1"/>
  <c r="C364" i="6"/>
  <c r="C54" i="4" s="1"/>
  <c r="D23" i="7"/>
  <c r="C11" i="7"/>
  <c r="D26" i="7"/>
  <c r="D49" i="7"/>
  <c r="C55" i="7"/>
  <c r="C61" i="7"/>
  <c r="C74" i="7"/>
  <c r="C81" i="7"/>
  <c r="D93" i="7"/>
  <c r="C115" i="7"/>
  <c r="D130" i="7"/>
  <c r="C130" i="7"/>
  <c r="D138" i="7"/>
  <c r="C153" i="7"/>
  <c r="C161" i="7"/>
  <c r="D161" i="7"/>
  <c r="C168" i="7"/>
  <c r="D168" i="7"/>
  <c r="C191" i="7"/>
  <c r="C206" i="7"/>
  <c r="C215" i="7"/>
  <c r="D295" i="7"/>
  <c r="D283" i="7"/>
  <c r="C283" i="7"/>
  <c r="C326" i="7"/>
  <c r="E16" i="4" s="1"/>
  <c r="D47" i="8"/>
  <c r="C47" i="8"/>
  <c r="C64" i="8"/>
  <c r="C168" i="8"/>
  <c r="D168" i="8"/>
  <c r="C339" i="8"/>
  <c r="M29" i="4" s="1"/>
  <c r="D338" i="8"/>
  <c r="N28" i="4" s="1"/>
  <c r="C338" i="8"/>
  <c r="M28" i="4" s="1"/>
  <c r="C135" i="5"/>
  <c r="C183" i="5"/>
  <c r="C231" i="5"/>
  <c r="C279" i="5"/>
  <c r="C327" i="5"/>
  <c r="G17" i="4" s="1"/>
  <c r="C375" i="5"/>
  <c r="G65" i="4" s="1"/>
  <c r="C10" i="6"/>
  <c r="D32" i="6"/>
  <c r="C37" i="6"/>
  <c r="D56" i="6"/>
  <c r="C61" i="6"/>
  <c r="D80" i="6"/>
  <c r="C85" i="6"/>
  <c r="D104" i="6"/>
  <c r="C109" i="6"/>
  <c r="D128" i="6"/>
  <c r="C133" i="6"/>
  <c r="D152" i="6"/>
  <c r="C157" i="6"/>
  <c r="D176" i="6"/>
  <c r="C181" i="6"/>
  <c r="D200" i="6"/>
  <c r="C205" i="6"/>
  <c r="D224" i="6"/>
  <c r="C229" i="6"/>
  <c r="D248" i="6"/>
  <c r="C253" i="6"/>
  <c r="D272" i="6"/>
  <c r="C277" i="6"/>
  <c r="D296" i="6"/>
  <c r="C301" i="6"/>
  <c r="D320" i="6"/>
  <c r="D10" i="4" s="1"/>
  <c r="C325" i="6"/>
  <c r="C15" i="4" s="1"/>
  <c r="C345" i="6"/>
  <c r="C35" i="4" s="1"/>
  <c r="D355" i="6"/>
  <c r="D45" i="4" s="1"/>
  <c r="C361" i="6"/>
  <c r="C51" i="4" s="1"/>
  <c r="C377" i="6"/>
  <c r="C67" i="4" s="1"/>
  <c r="C125" i="7"/>
  <c r="D125" i="7"/>
  <c r="C133" i="7"/>
  <c r="D133" i="7"/>
  <c r="C141" i="7"/>
  <c r="D141" i="7"/>
  <c r="D178" i="7"/>
  <c r="C178" i="7"/>
  <c r="C201" i="7"/>
  <c r="D222" i="7"/>
  <c r="C210" i="7"/>
  <c r="D23" i="8"/>
  <c r="C23" i="8"/>
  <c r="D59" i="8"/>
  <c r="C59" i="8"/>
  <c r="D76" i="8"/>
  <c r="D153" i="8"/>
  <c r="C141" i="8"/>
  <c r="D141" i="8"/>
  <c r="C287" i="8"/>
  <c r="D286" i="8"/>
  <c r="C286" i="8"/>
  <c r="D298" i="8"/>
  <c r="C35" i="5"/>
  <c r="C83" i="5"/>
  <c r="C131" i="5"/>
  <c r="D135" i="5"/>
  <c r="C144" i="5"/>
  <c r="C157" i="5"/>
  <c r="C179" i="5"/>
  <c r="D183" i="5"/>
  <c r="C192" i="5"/>
  <c r="C205" i="5"/>
  <c r="C227" i="5"/>
  <c r="D231" i="5"/>
  <c r="C240" i="5"/>
  <c r="C253" i="5"/>
  <c r="C275" i="5"/>
  <c r="D279" i="5"/>
  <c r="C288" i="5"/>
  <c r="C301" i="5"/>
  <c r="C323" i="5"/>
  <c r="G13" i="4" s="1"/>
  <c r="D327" i="5"/>
  <c r="H17" i="4" s="1"/>
  <c r="C336" i="5"/>
  <c r="G26" i="4" s="1"/>
  <c r="D340" i="5"/>
  <c r="H30" i="4" s="1"/>
  <c r="C349" i="5"/>
  <c r="G39" i="4" s="1"/>
  <c r="C371" i="5"/>
  <c r="G61" i="4" s="1"/>
  <c r="D375" i="5"/>
  <c r="H65" i="4" s="1"/>
  <c r="C32" i="6"/>
  <c r="D37" i="6"/>
  <c r="C56" i="6"/>
  <c r="D61" i="6"/>
  <c r="C80" i="6"/>
  <c r="D85" i="6"/>
  <c r="C104" i="6"/>
  <c r="D109" i="6"/>
  <c r="C128" i="6"/>
  <c r="D133" i="6"/>
  <c r="C152" i="6"/>
  <c r="D157" i="6"/>
  <c r="C176" i="6"/>
  <c r="D181" i="6"/>
  <c r="C200" i="6"/>
  <c r="D205" i="6"/>
  <c r="C224" i="6"/>
  <c r="D229" i="6"/>
  <c r="C248" i="6"/>
  <c r="D253" i="6"/>
  <c r="C272" i="6"/>
  <c r="D277" i="6"/>
  <c r="C296" i="6"/>
  <c r="D301" i="6"/>
  <c r="C320" i="6"/>
  <c r="C10" i="4" s="1"/>
  <c r="D325" i="6"/>
  <c r="D15" i="4" s="1"/>
  <c r="D340" i="6"/>
  <c r="D30" i="4" s="1"/>
  <c r="D345" i="6"/>
  <c r="D35" i="4" s="1"/>
  <c r="D356" i="6"/>
  <c r="D46" i="4" s="1"/>
  <c r="D361" i="6"/>
  <c r="D51" i="4" s="1"/>
  <c r="D372" i="6"/>
  <c r="D62" i="4" s="1"/>
  <c r="D377" i="6"/>
  <c r="D28" i="7"/>
  <c r="C40" i="7"/>
  <c r="D40" i="7"/>
  <c r="C46" i="7"/>
  <c r="D58" i="7"/>
  <c r="C52" i="7"/>
  <c r="C64" i="7"/>
  <c r="D64" i="7"/>
  <c r="D70" i="7"/>
  <c r="C70" i="7"/>
  <c r="D77" i="7"/>
  <c r="D83" i="7"/>
  <c r="C83" i="7"/>
  <c r="D90" i="7"/>
  <c r="D95" i="7"/>
  <c r="C126" i="7"/>
  <c r="C142" i="7"/>
  <c r="D148" i="7"/>
  <c r="C156" i="7"/>
  <c r="D156" i="7"/>
  <c r="D199" i="7"/>
  <c r="D187" i="7"/>
  <c r="D194" i="7"/>
  <c r="D201" i="7"/>
  <c r="D210" i="7"/>
  <c r="D218" i="7"/>
  <c r="D226" i="7"/>
  <c r="D247" i="7"/>
  <c r="D235" i="7"/>
  <c r="C235" i="7"/>
  <c r="D290" i="7"/>
  <c r="C279" i="7"/>
  <c r="D278" i="7"/>
  <c r="D321" i="7"/>
  <c r="F11" i="4" s="1"/>
  <c r="C24" i="8"/>
  <c r="C60" i="8"/>
  <c r="C76" i="8"/>
  <c r="C319" i="5"/>
  <c r="G9" i="4" s="1"/>
  <c r="C367" i="5"/>
  <c r="G57" i="4" s="1"/>
  <c r="D28" i="6"/>
  <c r="D52" i="6"/>
  <c r="D76" i="6"/>
  <c r="D100" i="6"/>
  <c r="D124" i="6"/>
  <c r="D148" i="6"/>
  <c r="D172" i="6"/>
  <c r="D196" i="6"/>
  <c r="D220" i="6"/>
  <c r="D244" i="6"/>
  <c r="D268" i="6"/>
  <c r="D292" i="6"/>
  <c r="D316" i="6"/>
  <c r="D6" i="4" s="1"/>
  <c r="C351" i="6"/>
  <c r="C41" i="4" s="1"/>
  <c r="C96" i="7"/>
  <c r="D96" i="7"/>
  <c r="D126" i="7"/>
  <c r="D142" i="7"/>
  <c r="C149" i="7"/>
  <c r="D149" i="7"/>
  <c r="C157" i="7"/>
  <c r="D157" i="7"/>
  <c r="C165" i="7"/>
  <c r="D165" i="7"/>
  <c r="C179" i="7"/>
  <c r="D202" i="7"/>
  <c r="D223" i="7"/>
  <c r="D211" i="7"/>
  <c r="C211" i="7"/>
  <c r="D343" i="7"/>
  <c r="F33" i="4" s="1"/>
  <c r="D331" i="7"/>
  <c r="F21" i="4" s="1"/>
  <c r="C331" i="7"/>
  <c r="E21" i="4" s="1"/>
  <c r="D367" i="7"/>
  <c r="F57" i="4" s="1"/>
  <c r="D355" i="7"/>
  <c r="F45" i="4" s="1"/>
  <c r="C355" i="7"/>
  <c r="E45" i="4" s="1"/>
  <c r="D52" i="8"/>
  <c r="D94" i="9"/>
  <c r="C83" i="9"/>
  <c r="D82" i="9"/>
  <c r="C123" i="5"/>
  <c r="C171" i="5"/>
  <c r="C219" i="5"/>
  <c r="C267" i="5"/>
  <c r="C293" i="5"/>
  <c r="C306" i="5"/>
  <c r="C315" i="5"/>
  <c r="G5" i="4" s="1"/>
  <c r="D319" i="5"/>
  <c r="H9" i="4" s="1"/>
  <c r="C328" i="5"/>
  <c r="G18" i="4" s="1"/>
  <c r="C341" i="5"/>
  <c r="G31" i="4" s="1"/>
  <c r="C354" i="5"/>
  <c r="G44" i="4" s="1"/>
  <c r="C363" i="5"/>
  <c r="G53" i="4" s="1"/>
  <c r="D367" i="5"/>
  <c r="H57" i="4" s="1"/>
  <c r="C376" i="5"/>
  <c r="G66" i="4" s="1"/>
  <c r="C28" i="6"/>
  <c r="D33" i="6"/>
  <c r="C38" i="6"/>
  <c r="C52" i="6"/>
  <c r="D57" i="6"/>
  <c r="C62" i="6"/>
  <c r="C76" i="6"/>
  <c r="D81" i="6"/>
  <c r="C86" i="6"/>
  <c r="C100" i="6"/>
  <c r="D105" i="6"/>
  <c r="C110" i="6"/>
  <c r="C124" i="6"/>
  <c r="D129" i="6"/>
  <c r="C134" i="6"/>
  <c r="C148" i="6"/>
  <c r="D153" i="6"/>
  <c r="C158" i="6"/>
  <c r="C172" i="6"/>
  <c r="D177" i="6"/>
  <c r="C182" i="6"/>
  <c r="C196" i="6"/>
  <c r="D201" i="6"/>
  <c r="C206" i="6"/>
  <c r="C220" i="6"/>
  <c r="D225" i="6"/>
  <c r="C230" i="6"/>
  <c r="C244" i="6"/>
  <c r="D249" i="6"/>
  <c r="C254" i="6"/>
  <c r="C268" i="6"/>
  <c r="D273" i="6"/>
  <c r="C278" i="6"/>
  <c r="C292" i="6"/>
  <c r="D297" i="6"/>
  <c r="C302" i="6"/>
  <c r="C316" i="6"/>
  <c r="C6" i="4" s="1"/>
  <c r="D321" i="6"/>
  <c r="D11" i="4" s="1"/>
  <c r="C326" i="6"/>
  <c r="C16" i="4" s="1"/>
  <c r="C346" i="6"/>
  <c r="C36" i="4" s="1"/>
  <c r="D351" i="6"/>
  <c r="D41" i="4" s="1"/>
  <c r="C362" i="6"/>
  <c r="C52" i="4" s="1"/>
  <c r="D41" i="7"/>
  <c r="D53" i="7"/>
  <c r="C59" i="7"/>
  <c r="D71" i="7"/>
  <c r="C65" i="7"/>
  <c r="C104" i="7"/>
  <c r="D104" i="7"/>
  <c r="C112" i="7"/>
  <c r="D112" i="7"/>
  <c r="D134" i="7"/>
  <c r="C150" i="7"/>
  <c r="C166" i="7"/>
  <c r="D172" i="7"/>
  <c r="C180" i="7"/>
  <c r="D180" i="7"/>
  <c r="C195" i="7"/>
  <c r="D244" i="7"/>
  <c r="D34" i="8"/>
  <c r="C34" i="8"/>
  <c r="C220" i="8"/>
  <c r="D232" i="8"/>
  <c r="C82" i="9"/>
  <c r="D363" i="5"/>
  <c r="H53" i="4" s="1"/>
  <c r="C29" i="6"/>
  <c r="D48" i="6"/>
  <c r="C53" i="6"/>
  <c r="D72" i="6"/>
  <c r="C77" i="6"/>
  <c r="D96" i="6"/>
  <c r="C101" i="6"/>
  <c r="D120" i="6"/>
  <c r="C125" i="6"/>
  <c r="D144" i="6"/>
  <c r="C149" i="6"/>
  <c r="D168" i="6"/>
  <c r="C173" i="6"/>
  <c r="D192" i="6"/>
  <c r="C197" i="6"/>
  <c r="D216" i="6"/>
  <c r="C221" i="6"/>
  <c r="D240" i="6"/>
  <c r="C245" i="6"/>
  <c r="D264" i="6"/>
  <c r="C269" i="6"/>
  <c r="D288" i="6"/>
  <c r="C293" i="6"/>
  <c r="D312" i="6"/>
  <c r="C317" i="6"/>
  <c r="C7" i="4" s="1"/>
  <c r="D336" i="6"/>
  <c r="D26" i="4" s="1"/>
  <c r="D341" i="6"/>
  <c r="D31" i="4" s="1"/>
  <c r="D357" i="6"/>
  <c r="D47" i="4" s="1"/>
  <c r="D362" i="6"/>
  <c r="D52" i="4" s="1"/>
  <c r="D373" i="6"/>
  <c r="D63" i="4" s="1"/>
  <c r="C8" i="7"/>
  <c r="C17" i="7"/>
  <c r="D35" i="7"/>
  <c r="D42" i="7"/>
  <c r="D59" i="7"/>
  <c r="D65" i="7"/>
  <c r="C72" i="7"/>
  <c r="D72" i="7"/>
  <c r="C78" i="7"/>
  <c r="C113" i="7"/>
  <c r="D113" i="7"/>
  <c r="C120" i="7"/>
  <c r="D120" i="7"/>
  <c r="D150" i="7"/>
  <c r="C158" i="7"/>
  <c r="C173" i="7"/>
  <c r="D173" i="7"/>
  <c r="C181" i="7"/>
  <c r="D181" i="7"/>
  <c r="C189" i="7"/>
  <c r="D189" i="7"/>
  <c r="C228" i="7"/>
  <c r="D228" i="7"/>
  <c r="C238" i="7"/>
  <c r="D238" i="7"/>
  <c r="D266" i="7"/>
  <c r="C255" i="7"/>
  <c r="D254" i="7"/>
  <c r="D297" i="7"/>
  <c r="C16" i="8"/>
  <c r="C17" i="8"/>
  <c r="D35" i="8"/>
  <c r="C35" i="8"/>
  <c r="D70" i="8"/>
  <c r="D88" i="8"/>
  <c r="D220" i="8"/>
  <c r="C374" i="8"/>
  <c r="M64" i="4" s="1"/>
  <c r="D373" i="8"/>
  <c r="N63" i="4" s="1"/>
  <c r="C259" i="5"/>
  <c r="C307" i="5"/>
  <c r="C320" i="5"/>
  <c r="G10" i="4" s="1"/>
  <c r="C355" i="5"/>
  <c r="G45" i="4" s="1"/>
  <c r="D359" i="5"/>
  <c r="H49" i="4" s="1"/>
  <c r="C368" i="5"/>
  <c r="G58" i="4" s="1"/>
  <c r="C24" i="6"/>
  <c r="D29" i="6"/>
  <c r="C34" i="6"/>
  <c r="C48" i="6"/>
  <c r="C58" i="6"/>
  <c r="C82" i="6"/>
  <c r="C106" i="6"/>
  <c r="C130" i="6"/>
  <c r="C154" i="6"/>
  <c r="C178" i="6"/>
  <c r="C202" i="6"/>
  <c r="C24" i="7"/>
  <c r="D24" i="7"/>
  <c r="D66" i="7"/>
  <c r="D85" i="7"/>
  <c r="C73" i="7"/>
  <c r="C128" i="7"/>
  <c r="D128" i="7"/>
  <c r="C136" i="7"/>
  <c r="D136" i="7"/>
  <c r="C204" i="7"/>
  <c r="D204" i="7"/>
  <c r="D319" i="7"/>
  <c r="F9" i="4" s="1"/>
  <c r="D307" i="7"/>
  <c r="C307" i="7"/>
  <c r="D71" i="8"/>
  <c r="C71" i="8"/>
  <c r="D89" i="8"/>
  <c r="C89" i="8"/>
  <c r="D20" i="6"/>
  <c r="D347" i="6"/>
  <c r="D37" i="4" s="1"/>
  <c r="C358" i="6"/>
  <c r="C48" i="4" s="1"/>
  <c r="D363" i="6"/>
  <c r="D53" i="4" s="1"/>
  <c r="C19" i="7"/>
  <c r="D37" i="7"/>
  <c r="C25" i="7"/>
  <c r="D30" i="7"/>
  <c r="D36" i="7"/>
  <c r="C48" i="7"/>
  <c r="D48" i="7"/>
  <c r="D54" i="7"/>
  <c r="D60" i="7"/>
  <c r="D73" i="7"/>
  <c r="D79" i="7"/>
  <c r="D99" i="7"/>
  <c r="D106" i="7"/>
  <c r="C106" i="7"/>
  <c r="D114" i="7"/>
  <c r="C129" i="7"/>
  <c r="C137" i="7"/>
  <c r="D137" i="7"/>
  <c r="C144" i="7"/>
  <c r="D144" i="7"/>
  <c r="C182" i="7"/>
  <c r="D190" i="7"/>
  <c r="C205" i="7"/>
  <c r="D205" i="7"/>
  <c r="D214" i="7"/>
  <c r="C231" i="7"/>
  <c r="D230" i="7"/>
  <c r="D316" i="7"/>
  <c r="F6" i="4" s="1"/>
  <c r="D362" i="7"/>
  <c r="F52" i="4" s="1"/>
  <c r="C351" i="7"/>
  <c r="E41" i="4" s="1"/>
  <c r="D350" i="7"/>
  <c r="F40" i="4" s="1"/>
  <c r="C72" i="8"/>
  <c r="D207" i="8"/>
  <c r="C207" i="8"/>
  <c r="C253" i="7"/>
  <c r="D262" i="7"/>
  <c r="C277" i="7"/>
  <c r="D286" i="7"/>
  <c r="C301" i="7"/>
  <c r="D310" i="7"/>
  <c r="C325" i="7"/>
  <c r="E15" i="4" s="1"/>
  <c r="D334" i="7"/>
  <c r="F24" i="4" s="1"/>
  <c r="D358" i="7"/>
  <c r="F48" i="4" s="1"/>
  <c r="C363" i="7"/>
  <c r="E53" i="4" s="1"/>
  <c r="D20" i="8"/>
  <c r="D32" i="8"/>
  <c r="D44" i="8"/>
  <c r="D56" i="8"/>
  <c r="D68" i="8"/>
  <c r="D80" i="8"/>
  <c r="C102" i="8"/>
  <c r="D101" i="8"/>
  <c r="C101" i="8"/>
  <c r="C191" i="8"/>
  <c r="D190" i="8"/>
  <c r="C190" i="8"/>
  <c r="D219" i="8"/>
  <c r="D299" i="8"/>
  <c r="C299" i="8"/>
  <c r="D51" i="9"/>
  <c r="C40" i="9"/>
  <c r="D39" i="9"/>
  <c r="C39" i="9"/>
  <c r="D84" i="9"/>
  <c r="D72" i="9"/>
  <c r="D118" i="9"/>
  <c r="C107" i="9"/>
  <c r="D106" i="9"/>
  <c r="D195" i="9"/>
  <c r="D183" i="9"/>
  <c r="C183" i="9"/>
  <c r="C60" i="7"/>
  <c r="D229" i="7"/>
  <c r="C234" i="7"/>
  <c r="D248" i="7"/>
  <c r="D253" i="7"/>
  <c r="C258" i="7"/>
  <c r="D272" i="7"/>
  <c r="D277" i="7"/>
  <c r="C282" i="7"/>
  <c r="D296" i="7"/>
  <c r="D301" i="7"/>
  <c r="C306" i="7"/>
  <c r="D320" i="7"/>
  <c r="F10" i="4" s="1"/>
  <c r="D325" i="7"/>
  <c r="F15" i="4" s="1"/>
  <c r="C330" i="7"/>
  <c r="E20" i="4" s="1"/>
  <c r="D349" i="7"/>
  <c r="F39" i="4" s="1"/>
  <c r="C354" i="7"/>
  <c r="E44" i="4" s="1"/>
  <c r="D21" i="8"/>
  <c r="C21" i="8"/>
  <c r="D33" i="8"/>
  <c r="C33" i="8"/>
  <c r="D45" i="8"/>
  <c r="C45" i="8"/>
  <c r="D57" i="8"/>
  <c r="C57" i="8"/>
  <c r="D69" i="8"/>
  <c r="C69" i="8"/>
  <c r="D81" i="8"/>
  <c r="C81" i="8"/>
  <c r="C88" i="8"/>
  <c r="C132" i="8"/>
  <c r="D144" i="8"/>
  <c r="D132" i="8"/>
  <c r="C147" i="8"/>
  <c r="D166" i="8"/>
  <c r="C154" i="8"/>
  <c r="C277" i="8"/>
  <c r="C322" i="8"/>
  <c r="M12" i="4" s="1"/>
  <c r="D321" i="8"/>
  <c r="N11" i="4" s="1"/>
  <c r="C321" i="8"/>
  <c r="M11" i="4" s="1"/>
  <c r="C351" i="8"/>
  <c r="M41" i="4" s="1"/>
  <c r="D36" i="9"/>
  <c r="D24" i="9"/>
  <c r="D60" i="9"/>
  <c r="D48" i="9"/>
  <c r="C72" i="9"/>
  <c r="C106" i="9"/>
  <c r="C197" i="7"/>
  <c r="C221" i="7"/>
  <c r="C245" i="7"/>
  <c r="C269" i="7"/>
  <c r="C293" i="7"/>
  <c r="C317" i="7"/>
  <c r="E7" i="4" s="1"/>
  <c r="C336" i="7"/>
  <c r="E26" i="4" s="1"/>
  <c r="C360" i="7"/>
  <c r="E50" i="4" s="1"/>
  <c r="C134" i="8"/>
  <c r="C178" i="8"/>
  <c r="D177" i="8"/>
  <c r="C177" i="8"/>
  <c r="D193" i="8"/>
  <c r="C264" i="8"/>
  <c r="D264" i="8"/>
  <c r="C316" i="8"/>
  <c r="M6" i="4" s="1"/>
  <c r="D328" i="8"/>
  <c r="N18" i="4" s="1"/>
  <c r="D70" i="9"/>
  <c r="C59" i="9"/>
  <c r="D58" i="9"/>
  <c r="D125" i="9"/>
  <c r="C125" i="9"/>
  <c r="C44" i="7"/>
  <c r="C92" i="7"/>
  <c r="D192" i="7"/>
  <c r="D197" i="7"/>
  <c r="C202" i="7"/>
  <c r="D216" i="7"/>
  <c r="D221" i="7"/>
  <c r="C226" i="7"/>
  <c r="D240" i="7"/>
  <c r="D245" i="7"/>
  <c r="C250" i="7"/>
  <c r="D264" i="7"/>
  <c r="D269" i="7"/>
  <c r="C274" i="7"/>
  <c r="D288" i="7"/>
  <c r="D293" i="7"/>
  <c r="C298" i="7"/>
  <c r="D312" i="7"/>
  <c r="D317" i="7"/>
  <c r="F7" i="4" s="1"/>
  <c r="C322" i="7"/>
  <c r="E12" i="4" s="1"/>
  <c r="D336" i="7"/>
  <c r="F26" i="4" s="1"/>
  <c r="D341" i="7"/>
  <c r="F31" i="4" s="1"/>
  <c r="C346" i="7"/>
  <c r="E36" i="4" s="1"/>
  <c r="D365" i="7"/>
  <c r="F55" i="4" s="1"/>
  <c r="C370" i="7"/>
  <c r="E60" i="4" s="1"/>
  <c r="C10" i="8"/>
  <c r="D29" i="8"/>
  <c r="C29" i="8"/>
  <c r="D41" i="8"/>
  <c r="C41" i="8"/>
  <c r="D53" i="8"/>
  <c r="C53" i="8"/>
  <c r="D65" i="8"/>
  <c r="C65" i="8"/>
  <c r="D77" i="8"/>
  <c r="C77" i="8"/>
  <c r="D97" i="8"/>
  <c r="C97" i="8"/>
  <c r="C143" i="8"/>
  <c r="D142" i="8"/>
  <c r="C142" i="8"/>
  <c r="D171" i="8"/>
  <c r="D251" i="8"/>
  <c r="C251" i="8"/>
  <c r="C265" i="8"/>
  <c r="D316" i="8"/>
  <c r="N6" i="4" s="1"/>
  <c r="D46" i="9"/>
  <c r="C35" i="9"/>
  <c r="D34" i="9"/>
  <c r="C58" i="9"/>
  <c r="D147" i="9"/>
  <c r="D135" i="9"/>
  <c r="C135" i="9"/>
  <c r="C168" i="9"/>
  <c r="C179" i="9"/>
  <c r="D178" i="9"/>
  <c r="D204" i="9"/>
  <c r="D221" i="9"/>
  <c r="C221" i="9"/>
  <c r="C222" i="9"/>
  <c r="C88" i="7"/>
  <c r="C97" i="7"/>
  <c r="C116" i="7"/>
  <c r="C121" i="7"/>
  <c r="C140" i="7"/>
  <c r="C145" i="7"/>
  <c r="C164" i="7"/>
  <c r="C169" i="7"/>
  <c r="C188" i="7"/>
  <c r="C193" i="7"/>
  <c r="C212" i="7"/>
  <c r="C217" i="7"/>
  <c r="C236" i="7"/>
  <c r="C241" i="7"/>
  <c r="C260" i="7"/>
  <c r="C265" i="7"/>
  <c r="C284" i="7"/>
  <c r="C289" i="7"/>
  <c r="C308" i="7"/>
  <c r="C313" i="7"/>
  <c r="C332" i="7"/>
  <c r="E22" i="4" s="1"/>
  <c r="C356" i="7"/>
  <c r="E46" i="4" s="1"/>
  <c r="C375" i="7"/>
  <c r="E65" i="4" s="1"/>
  <c r="D30" i="8"/>
  <c r="C30" i="8"/>
  <c r="D42" i="8"/>
  <c r="C42" i="8"/>
  <c r="D54" i="8"/>
  <c r="C54" i="8"/>
  <c r="D66" i="8"/>
  <c r="D158" i="8"/>
  <c r="C274" i="8"/>
  <c r="D273" i="8"/>
  <c r="C273" i="8"/>
  <c r="D289" i="8"/>
  <c r="C360" i="8"/>
  <c r="M50" i="4" s="1"/>
  <c r="C361" i="8"/>
  <c r="M51" i="4" s="1"/>
  <c r="D360" i="8"/>
  <c r="N50" i="4" s="1"/>
  <c r="D372" i="8"/>
  <c r="N62" i="4" s="1"/>
  <c r="D101" i="9"/>
  <c r="C101" i="9"/>
  <c r="D260" i="9"/>
  <c r="C260" i="9"/>
  <c r="D272" i="9"/>
  <c r="C36" i="7"/>
  <c r="C84" i="7"/>
  <c r="D88" i="7"/>
  <c r="D97" i="7"/>
  <c r="D116" i="7"/>
  <c r="D121" i="7"/>
  <c r="D140" i="7"/>
  <c r="D145" i="7"/>
  <c r="D164" i="7"/>
  <c r="D169" i="7"/>
  <c r="D188" i="7"/>
  <c r="D193" i="7"/>
  <c r="D212" i="7"/>
  <c r="D217" i="7"/>
  <c r="D236" i="7"/>
  <c r="D241" i="7"/>
  <c r="D260" i="7"/>
  <c r="D265" i="7"/>
  <c r="D284" i="7"/>
  <c r="D289" i="7"/>
  <c r="D308" i="7"/>
  <c r="D313" i="7"/>
  <c r="D332" i="7"/>
  <c r="F22" i="4" s="1"/>
  <c r="D337" i="7"/>
  <c r="F27" i="4" s="1"/>
  <c r="D361" i="7"/>
  <c r="F51" i="4" s="1"/>
  <c r="C11" i="8"/>
  <c r="C130" i="8"/>
  <c r="D129" i="8"/>
  <c r="C129" i="8"/>
  <c r="C172" i="8"/>
  <c r="D184" i="8"/>
  <c r="C194" i="8"/>
  <c r="C230" i="8"/>
  <c r="C239" i="8"/>
  <c r="D238" i="8"/>
  <c r="C238" i="8"/>
  <c r="D267" i="8"/>
  <c r="C326" i="8"/>
  <c r="M16" i="4" s="1"/>
  <c r="D325" i="8"/>
  <c r="N15" i="4" s="1"/>
  <c r="D347" i="8"/>
  <c r="N37" i="4" s="1"/>
  <c r="C347" i="8"/>
  <c r="M37" i="4" s="1"/>
  <c r="D123" i="9"/>
  <c r="D111" i="9"/>
  <c r="C111" i="9"/>
  <c r="C144" i="9"/>
  <c r="D214" i="9"/>
  <c r="C261" i="9"/>
  <c r="D85" i="8"/>
  <c r="C85" i="8"/>
  <c r="D99" i="8"/>
  <c r="D254" i="8"/>
  <c r="C291" i="8"/>
  <c r="D290" i="8"/>
  <c r="D333" i="8"/>
  <c r="N23" i="4" s="1"/>
  <c r="C370" i="8"/>
  <c r="M60" i="4" s="1"/>
  <c r="D369" i="8"/>
  <c r="N59" i="4" s="1"/>
  <c r="C369" i="8"/>
  <c r="M59" i="4" s="1"/>
  <c r="D77" i="9"/>
  <c r="C77" i="9"/>
  <c r="D132" i="9"/>
  <c r="D120" i="9"/>
  <c r="C155" i="9"/>
  <c r="D154" i="9"/>
  <c r="D180" i="9"/>
  <c r="C28" i="7"/>
  <c r="C76" i="7"/>
  <c r="D208" i="7"/>
  <c r="D213" i="7"/>
  <c r="D232" i="7"/>
  <c r="D237" i="7"/>
  <c r="D256" i="7"/>
  <c r="D261" i="7"/>
  <c r="D280" i="7"/>
  <c r="D285" i="7"/>
  <c r="D304" i="7"/>
  <c r="D309" i="7"/>
  <c r="D328" i="7"/>
  <c r="F18" i="4" s="1"/>
  <c r="D333" i="7"/>
  <c r="F23" i="4" s="1"/>
  <c r="D357" i="7"/>
  <c r="F47" i="4" s="1"/>
  <c r="D25" i="8"/>
  <c r="C25" i="8"/>
  <c r="D37" i="8"/>
  <c r="C37" i="8"/>
  <c r="D49" i="8"/>
  <c r="C49" i="8"/>
  <c r="D61" i="8"/>
  <c r="C61" i="8"/>
  <c r="D73" i="8"/>
  <c r="C73" i="8"/>
  <c r="D92" i="8"/>
  <c r="D145" i="8"/>
  <c r="C159" i="8"/>
  <c r="D202" i="8"/>
  <c r="C216" i="8"/>
  <c r="D216" i="8"/>
  <c r="C268" i="8"/>
  <c r="D280" i="8"/>
  <c r="C290" i="8"/>
  <c r="C335" i="8"/>
  <c r="M25" i="4" s="1"/>
  <c r="D334" i="8"/>
  <c r="N24" i="4" s="1"/>
  <c r="C334" i="8"/>
  <c r="M24" i="4" s="1"/>
  <c r="D363" i="8"/>
  <c r="N53" i="4" s="1"/>
  <c r="D99" i="9"/>
  <c r="D87" i="9"/>
  <c r="C87" i="9"/>
  <c r="D219" i="9"/>
  <c r="D207" i="9"/>
  <c r="C207" i="9"/>
  <c r="D26" i="8"/>
  <c r="C26" i="8"/>
  <c r="D38" i="8"/>
  <c r="C38" i="8"/>
  <c r="D50" i="8"/>
  <c r="C50" i="8"/>
  <c r="D62" i="8"/>
  <c r="D93" i="8"/>
  <c r="C93" i="8"/>
  <c r="D203" i="8"/>
  <c r="C203" i="8"/>
  <c r="D311" i="8"/>
  <c r="D350" i="8"/>
  <c r="N40" i="4" s="1"/>
  <c r="D53" i="9"/>
  <c r="C53" i="9"/>
  <c r="D108" i="9"/>
  <c r="D96" i="9"/>
  <c r="D142" i="9"/>
  <c r="C131" i="9"/>
  <c r="D130" i="9"/>
  <c r="C68" i="7"/>
  <c r="D252" i="7"/>
  <c r="D257" i="7"/>
  <c r="D276" i="7"/>
  <c r="D281" i="7"/>
  <c r="D300" i="7"/>
  <c r="D305" i="7"/>
  <c r="D324" i="7"/>
  <c r="F14" i="4" s="1"/>
  <c r="D329" i="7"/>
  <c r="F19" i="4" s="1"/>
  <c r="D353" i="7"/>
  <c r="F43" i="4" s="1"/>
  <c r="D87" i="8"/>
  <c r="C181" i="8"/>
  <c r="C226" i="8"/>
  <c r="D225" i="8"/>
  <c r="C225" i="8"/>
  <c r="C255" i="8"/>
  <c r="C312" i="8"/>
  <c r="C313" i="8"/>
  <c r="D312" i="8"/>
  <c r="D29" i="9"/>
  <c r="C29" i="9"/>
  <c r="D75" i="9"/>
  <c r="D63" i="9"/>
  <c r="C63" i="9"/>
  <c r="C96" i="9"/>
  <c r="C130" i="9"/>
  <c r="D173" i="9"/>
  <c r="C173" i="9"/>
  <c r="D32" i="9"/>
  <c r="D42" i="9"/>
  <c r="D56" i="9"/>
  <c r="D66" i="9"/>
  <c r="D80" i="9"/>
  <c r="D90" i="9"/>
  <c r="D104" i="9"/>
  <c r="D114" i="9"/>
  <c r="D128" i="9"/>
  <c r="D138" i="9"/>
  <c r="D152" i="9"/>
  <c r="D162" i="9"/>
  <c r="D176" i="9"/>
  <c r="D186" i="9"/>
  <c r="D200" i="9"/>
  <c r="D210" i="9"/>
  <c r="C215" i="9"/>
  <c r="D289" i="9"/>
  <c r="D120" i="10"/>
  <c r="C120" i="10"/>
  <c r="D190" i="10"/>
  <c r="D178" i="10"/>
  <c r="C178" i="10"/>
  <c r="C203" i="10"/>
  <c r="D202" i="10"/>
  <c r="C202" i="10"/>
  <c r="D102" i="11"/>
  <c r="C102" i="11"/>
  <c r="D114" i="11"/>
  <c r="C34" i="12"/>
  <c r="D34" i="12"/>
  <c r="C167" i="8"/>
  <c r="D180" i="8"/>
  <c r="C189" i="8"/>
  <c r="C202" i="8"/>
  <c r="C215" i="8"/>
  <c r="D228" i="8"/>
  <c r="C237" i="8"/>
  <c r="C250" i="8"/>
  <c r="C263" i="8"/>
  <c r="D276" i="8"/>
  <c r="C285" i="8"/>
  <c r="C298" i="8"/>
  <c r="C311" i="8"/>
  <c r="D324" i="8"/>
  <c r="N14" i="4" s="1"/>
  <c r="C333" i="8"/>
  <c r="M23" i="4" s="1"/>
  <c r="C346" i="8"/>
  <c r="M36" i="4" s="1"/>
  <c r="C359" i="8"/>
  <c r="M49" i="4" s="1"/>
  <c r="D23" i="9"/>
  <c r="C28" i="9"/>
  <c r="D33" i="9"/>
  <c r="C33" i="9"/>
  <c r="C38" i="9"/>
  <c r="D47" i="9"/>
  <c r="C52" i="9"/>
  <c r="D57" i="9"/>
  <c r="C57" i="9"/>
  <c r="C62" i="9"/>
  <c r="D71" i="9"/>
  <c r="C76" i="9"/>
  <c r="D81" i="9"/>
  <c r="C81" i="9"/>
  <c r="C86" i="9"/>
  <c r="D95" i="9"/>
  <c r="C100" i="9"/>
  <c r="D105" i="9"/>
  <c r="C105" i="9"/>
  <c r="C110" i="9"/>
  <c r="D119" i="9"/>
  <c r="D129" i="9"/>
  <c r="C129" i="9"/>
  <c r="D143" i="9"/>
  <c r="D153" i="9"/>
  <c r="C153" i="9"/>
  <c r="D167" i="9"/>
  <c r="D177" i="9"/>
  <c r="C177" i="9"/>
  <c r="D191" i="9"/>
  <c r="D245" i="9"/>
  <c r="D257" i="9"/>
  <c r="C251" i="9"/>
  <c r="D251" i="9"/>
  <c r="D96" i="10"/>
  <c r="C96" i="10"/>
  <c r="D166" i="10"/>
  <c r="D154" i="10"/>
  <c r="C154" i="10"/>
  <c r="C213" i="10"/>
  <c r="D212" i="10"/>
  <c r="D224" i="10"/>
  <c r="C212" i="10"/>
  <c r="D228" i="9"/>
  <c r="C228" i="9"/>
  <c r="D234" i="9"/>
  <c r="C234" i="9"/>
  <c r="D240" i="9"/>
  <c r="D94" i="10"/>
  <c r="D82" i="10"/>
  <c r="C82" i="10"/>
  <c r="C105" i="8"/>
  <c r="C109" i="8"/>
  <c r="C113" i="8"/>
  <c r="C117" i="8"/>
  <c r="C121" i="8"/>
  <c r="C125" i="8"/>
  <c r="C138" i="8"/>
  <c r="C151" i="8"/>
  <c r="C160" i="8"/>
  <c r="D164" i="8"/>
  <c r="C173" i="8"/>
  <c r="C186" i="8"/>
  <c r="C199" i="8"/>
  <c r="C208" i="8"/>
  <c r="D212" i="8"/>
  <c r="C221" i="8"/>
  <c r="C234" i="8"/>
  <c r="C247" i="8"/>
  <c r="C256" i="8"/>
  <c r="D260" i="8"/>
  <c r="C269" i="8"/>
  <c r="C282" i="8"/>
  <c r="C295" i="8"/>
  <c r="C304" i="8"/>
  <c r="D308" i="8"/>
  <c r="C317" i="8"/>
  <c r="M7" i="4" s="1"/>
  <c r="C330" i="8"/>
  <c r="M20" i="4" s="1"/>
  <c r="C343" i="8"/>
  <c r="M33" i="4" s="1"/>
  <c r="C352" i="8"/>
  <c r="M42" i="4" s="1"/>
  <c r="D356" i="8"/>
  <c r="N46" i="4" s="1"/>
  <c r="C365" i="8"/>
  <c r="M55" i="4" s="1"/>
  <c r="C14" i="9"/>
  <c r="C20" i="9"/>
  <c r="D25" i="9"/>
  <c r="C25" i="9"/>
  <c r="C30" i="9"/>
  <c r="C44" i="9"/>
  <c r="D49" i="9"/>
  <c r="C49" i="9"/>
  <c r="C54" i="9"/>
  <c r="C68" i="9"/>
  <c r="D73" i="9"/>
  <c r="C73" i="9"/>
  <c r="C78" i="9"/>
  <c r="C92" i="9"/>
  <c r="D97" i="9"/>
  <c r="C97" i="9"/>
  <c r="C102" i="9"/>
  <c r="C116" i="9"/>
  <c r="D121" i="9"/>
  <c r="C121" i="9"/>
  <c r="C126" i="9"/>
  <c r="C140" i="9"/>
  <c r="D145" i="9"/>
  <c r="C145" i="9"/>
  <c r="C150" i="9"/>
  <c r="C164" i="9"/>
  <c r="D169" i="9"/>
  <c r="C169" i="9"/>
  <c r="C174" i="9"/>
  <c r="C188" i="9"/>
  <c r="C198" i="9"/>
  <c r="C212" i="9"/>
  <c r="D241" i="9"/>
  <c r="C241" i="9"/>
  <c r="D246" i="9"/>
  <c r="D253" i="9"/>
  <c r="C277" i="9"/>
  <c r="D324" i="9"/>
  <c r="L14" i="4" s="1"/>
  <c r="D70" i="10"/>
  <c r="D58" i="10"/>
  <c r="C58" i="10"/>
  <c r="D255" i="10"/>
  <c r="D105" i="8"/>
  <c r="D109" i="8"/>
  <c r="D113" i="8"/>
  <c r="D117" i="8"/>
  <c r="D121" i="8"/>
  <c r="D125" i="8"/>
  <c r="D138" i="8"/>
  <c r="C156" i="8"/>
  <c r="D160" i="8"/>
  <c r="D173" i="8"/>
  <c r="D186" i="8"/>
  <c r="C204" i="8"/>
  <c r="D208" i="8"/>
  <c r="D221" i="8"/>
  <c r="D234" i="8"/>
  <c r="C252" i="8"/>
  <c r="D256" i="8"/>
  <c r="D269" i="8"/>
  <c r="D282" i="8"/>
  <c r="C300" i="8"/>
  <c r="D304" i="8"/>
  <c r="D317" i="8"/>
  <c r="N7" i="4" s="1"/>
  <c r="D330" i="8"/>
  <c r="N20" i="4" s="1"/>
  <c r="C348" i="8"/>
  <c r="M38" i="4" s="1"/>
  <c r="D352" i="8"/>
  <c r="N42" i="4" s="1"/>
  <c r="D365" i="8"/>
  <c r="N55" i="4" s="1"/>
  <c r="D30" i="9"/>
  <c r="D54" i="9"/>
  <c r="D78" i="9"/>
  <c r="D102" i="9"/>
  <c r="D126" i="9"/>
  <c r="D150" i="9"/>
  <c r="D174" i="9"/>
  <c r="D198" i="9"/>
  <c r="D212" i="9"/>
  <c r="C223" i="9"/>
  <c r="D235" i="9"/>
  <c r="C229" i="9"/>
  <c r="D254" i="9"/>
  <c r="D325" i="9"/>
  <c r="L15" i="4" s="1"/>
  <c r="C325" i="9"/>
  <c r="K15" i="4" s="1"/>
  <c r="D372" i="9"/>
  <c r="L62" i="4" s="1"/>
  <c r="D46" i="10"/>
  <c r="D34" i="10"/>
  <c r="C34" i="10"/>
  <c r="D219" i="10"/>
  <c r="D207" i="10"/>
  <c r="C207" i="10"/>
  <c r="C306" i="10"/>
  <c r="D306" i="10"/>
  <c r="D318" i="10"/>
  <c r="X8" i="4" s="1"/>
  <c r="C307" i="10"/>
  <c r="D134" i="8"/>
  <c r="D147" i="8"/>
  <c r="C152" i="8"/>
  <c r="D156" i="8"/>
  <c r="C165" i="8"/>
  <c r="D169" i="8"/>
  <c r="D182" i="8"/>
  <c r="D195" i="8"/>
  <c r="C200" i="8"/>
  <c r="D204" i="8"/>
  <c r="C213" i="8"/>
  <c r="D217" i="8"/>
  <c r="D230" i="8"/>
  <c r="D243" i="8"/>
  <c r="C248" i="8"/>
  <c r="D252" i="8"/>
  <c r="C261" i="8"/>
  <c r="D265" i="8"/>
  <c r="D278" i="8"/>
  <c r="D291" i="8"/>
  <c r="C296" i="8"/>
  <c r="D300" i="8"/>
  <c r="C309" i="8"/>
  <c r="D313" i="8"/>
  <c r="D326" i="8"/>
  <c r="N16" i="4" s="1"/>
  <c r="D339" i="8"/>
  <c r="N29" i="4" s="1"/>
  <c r="C344" i="8"/>
  <c r="M34" i="4" s="1"/>
  <c r="D348" i="8"/>
  <c r="N38" i="4" s="1"/>
  <c r="C357" i="8"/>
  <c r="M47" i="4" s="1"/>
  <c r="D361" i="8"/>
  <c r="N51" i="4" s="1"/>
  <c r="D374" i="8"/>
  <c r="N64" i="4" s="1"/>
  <c r="C15" i="9"/>
  <c r="D21" i="9"/>
  <c r="C21" i="9"/>
  <c r="D45" i="9"/>
  <c r="C45" i="9"/>
  <c r="D69" i="9"/>
  <c r="C69" i="9"/>
  <c r="D93" i="9"/>
  <c r="C93" i="9"/>
  <c r="D117" i="9"/>
  <c r="C117" i="9"/>
  <c r="C136" i="9"/>
  <c r="D141" i="9"/>
  <c r="C141" i="9"/>
  <c r="C146" i="9"/>
  <c r="C160" i="9"/>
  <c r="D165" i="9"/>
  <c r="C165" i="9"/>
  <c r="C170" i="9"/>
  <c r="C184" i="9"/>
  <c r="D189" i="9"/>
  <c r="C194" i="9"/>
  <c r="C208" i="9"/>
  <c r="C218" i="9"/>
  <c r="D223" i="9"/>
  <c r="C236" i="9"/>
  <c r="D286" i="9"/>
  <c r="C286" i="9"/>
  <c r="D373" i="9"/>
  <c r="L63" i="4" s="1"/>
  <c r="C373" i="9"/>
  <c r="K63" i="4" s="1"/>
  <c r="C62" i="8"/>
  <c r="C66" i="8"/>
  <c r="C70" i="8"/>
  <c r="C74" i="8"/>
  <c r="C78" i="8"/>
  <c r="C82" i="8"/>
  <c r="C86" i="8"/>
  <c r="C90" i="8"/>
  <c r="C94" i="8"/>
  <c r="C98" i="8"/>
  <c r="D152" i="8"/>
  <c r="D200" i="8"/>
  <c r="D248" i="8"/>
  <c r="D296" i="8"/>
  <c r="D344" i="8"/>
  <c r="N34" i="4" s="1"/>
  <c r="D170" i="9"/>
  <c r="D194" i="9"/>
  <c r="C224" i="9"/>
  <c r="D230" i="9"/>
  <c r="D236" i="9"/>
  <c r="C271" i="9"/>
  <c r="D271" i="9"/>
  <c r="D283" i="9"/>
  <c r="D280" i="9"/>
  <c r="C280" i="9"/>
  <c r="D292" i="9"/>
  <c r="C135" i="8"/>
  <c r="D148" i="8"/>
  <c r="C157" i="8"/>
  <c r="C170" i="8"/>
  <c r="C183" i="8"/>
  <c r="D196" i="8"/>
  <c r="C205" i="8"/>
  <c r="C218" i="8"/>
  <c r="C231" i="8"/>
  <c r="D244" i="8"/>
  <c r="C253" i="8"/>
  <c r="C266" i="8"/>
  <c r="C279" i="8"/>
  <c r="D292" i="8"/>
  <c r="C301" i="8"/>
  <c r="C314" i="8"/>
  <c r="M4" i="4" s="1"/>
  <c r="C327" i="8"/>
  <c r="M17" i="4" s="1"/>
  <c r="D340" i="8"/>
  <c r="N30" i="4" s="1"/>
  <c r="C349" i="8"/>
  <c r="M39" i="4" s="1"/>
  <c r="C362" i="8"/>
  <c r="M52" i="4" s="1"/>
  <c r="C375" i="8"/>
  <c r="M65" i="4" s="1"/>
  <c r="C10" i="9"/>
  <c r="D41" i="9"/>
  <c r="C41" i="9"/>
  <c r="D65" i="9"/>
  <c r="C65" i="9"/>
  <c r="D89" i="9"/>
  <c r="C89" i="9"/>
  <c r="D113" i="9"/>
  <c r="C113" i="9"/>
  <c r="D137" i="9"/>
  <c r="C137" i="9"/>
  <c r="C156" i="9"/>
  <c r="D161" i="9"/>
  <c r="C161" i="9"/>
  <c r="C166" i="9"/>
  <c r="C180" i="9"/>
  <c r="D185" i="9"/>
  <c r="C190" i="9"/>
  <c r="C204" i="9"/>
  <c r="C214" i="9"/>
  <c r="C219" i="9"/>
  <c r="C237" i="9"/>
  <c r="C264" i="9"/>
  <c r="C272" i="9"/>
  <c r="D240" i="10"/>
  <c r="C229" i="10"/>
  <c r="D228" i="10"/>
  <c r="C228" i="10"/>
  <c r="D192" i="8"/>
  <c r="D240" i="8"/>
  <c r="D288" i="8"/>
  <c r="D336" i="8"/>
  <c r="N26" i="4" s="1"/>
  <c r="D237" i="9"/>
  <c r="D302" i="9"/>
  <c r="D350" i="9"/>
  <c r="L40" i="4" s="1"/>
  <c r="D168" i="10"/>
  <c r="C168" i="10"/>
  <c r="D243" i="10"/>
  <c r="C243" i="10"/>
  <c r="C244" i="10"/>
  <c r="D37" i="9"/>
  <c r="C37" i="9"/>
  <c r="D61" i="9"/>
  <c r="C61" i="9"/>
  <c r="D85" i="9"/>
  <c r="C85" i="9"/>
  <c r="D109" i="9"/>
  <c r="C109" i="9"/>
  <c r="D133" i="9"/>
  <c r="C133" i="9"/>
  <c r="D157" i="9"/>
  <c r="C157" i="9"/>
  <c r="D258" i="9"/>
  <c r="C258" i="9"/>
  <c r="D270" i="9"/>
  <c r="D273" i="9"/>
  <c r="C273" i="9"/>
  <c r="C303" i="9"/>
  <c r="D303" i="9"/>
  <c r="D312" i="9"/>
  <c r="C312" i="9"/>
  <c r="C351" i="9"/>
  <c r="K41" i="4" s="1"/>
  <c r="D363" i="9"/>
  <c r="L53" i="4" s="1"/>
  <c r="D351" i="9"/>
  <c r="L41" i="4" s="1"/>
  <c r="D360" i="9"/>
  <c r="L50" i="4" s="1"/>
  <c r="C360" i="9"/>
  <c r="K50" i="4" s="1"/>
  <c r="D144" i="10"/>
  <c r="C144" i="10"/>
  <c r="C261" i="10"/>
  <c r="D260" i="10"/>
  <c r="C260" i="10"/>
  <c r="D267" i="10"/>
  <c r="C267" i="10"/>
  <c r="D273" i="10"/>
  <c r="C273" i="10"/>
  <c r="D279" i="10"/>
  <c r="C286" i="10"/>
  <c r="D286" i="10"/>
  <c r="C329" i="10"/>
  <c r="W19" i="4" s="1"/>
  <c r="C29" i="11"/>
  <c r="D28" i="11"/>
  <c r="C28" i="11"/>
  <c r="D40" i="11"/>
  <c r="D204" i="11"/>
  <c r="D299" i="9"/>
  <c r="C308" i="9"/>
  <c r="C321" i="9"/>
  <c r="K11" i="4" s="1"/>
  <c r="C334" i="9"/>
  <c r="K24" i="4" s="1"/>
  <c r="D347" i="9"/>
  <c r="L37" i="4" s="1"/>
  <c r="C356" i="9"/>
  <c r="K46" i="4" s="1"/>
  <c r="C369" i="9"/>
  <c r="K59" i="4" s="1"/>
  <c r="D20" i="10"/>
  <c r="C20" i="10"/>
  <c r="C25" i="10"/>
  <c r="C39" i="10"/>
  <c r="D44" i="10"/>
  <c r="C44" i="10"/>
  <c r="C49" i="10"/>
  <c r="C63" i="10"/>
  <c r="D68" i="10"/>
  <c r="C68" i="10"/>
  <c r="C73" i="10"/>
  <c r="C87" i="10"/>
  <c r="D92" i="10"/>
  <c r="C92" i="10"/>
  <c r="C97" i="10"/>
  <c r="C111" i="10"/>
  <c r="D116" i="10"/>
  <c r="C116" i="10"/>
  <c r="C121" i="10"/>
  <c r="C135" i="10"/>
  <c r="D140" i="10"/>
  <c r="C140" i="10"/>
  <c r="C145" i="10"/>
  <c r="C159" i="10"/>
  <c r="D164" i="10"/>
  <c r="C164" i="10"/>
  <c r="C169" i="10"/>
  <c r="C183" i="10"/>
  <c r="C193" i="10"/>
  <c r="D218" i="10"/>
  <c r="C233" i="10"/>
  <c r="D238" i="10"/>
  <c r="D280" i="10"/>
  <c r="C280" i="10"/>
  <c r="D293" i="10"/>
  <c r="C293" i="10"/>
  <c r="D305" i="10"/>
  <c r="D150" i="11"/>
  <c r="C150" i="11"/>
  <c r="D162" i="11"/>
  <c r="D326" i="11"/>
  <c r="AF16" i="4" s="1"/>
  <c r="C326" i="11"/>
  <c r="AE16" i="4" s="1"/>
  <c r="C355" i="11"/>
  <c r="AE45" i="4" s="1"/>
  <c r="D354" i="11"/>
  <c r="AF44" i="4" s="1"/>
  <c r="C354" i="11"/>
  <c r="AE44" i="4" s="1"/>
  <c r="D366" i="11"/>
  <c r="AF56" i="4" s="1"/>
  <c r="D203" i="12"/>
  <c r="C203" i="12"/>
  <c r="D53" i="13"/>
  <c r="C53" i="13"/>
  <c r="C63" i="13"/>
  <c r="D63" i="13"/>
  <c r="C243" i="9"/>
  <c r="D247" i="9"/>
  <c r="C256" i="9"/>
  <c r="C269" i="9"/>
  <c r="C282" i="9"/>
  <c r="C291" i="9"/>
  <c r="D295" i="9"/>
  <c r="C304" i="9"/>
  <c r="C317" i="9"/>
  <c r="K7" i="4" s="1"/>
  <c r="C330" i="9"/>
  <c r="K20" i="4" s="1"/>
  <c r="C339" i="9"/>
  <c r="K29" i="4" s="1"/>
  <c r="D343" i="9"/>
  <c r="L33" i="4" s="1"/>
  <c r="C352" i="9"/>
  <c r="K42" i="4" s="1"/>
  <c r="C365" i="9"/>
  <c r="K55" i="4" s="1"/>
  <c r="C14" i="10"/>
  <c r="D25" i="10"/>
  <c r="C30" i="10"/>
  <c r="D39" i="10"/>
  <c r="D49" i="10"/>
  <c r="C54" i="10"/>
  <c r="D63" i="10"/>
  <c r="D73" i="10"/>
  <c r="C78" i="10"/>
  <c r="D87" i="10"/>
  <c r="D97" i="10"/>
  <c r="C102" i="10"/>
  <c r="D111" i="10"/>
  <c r="D121" i="10"/>
  <c r="C126" i="10"/>
  <c r="D135" i="10"/>
  <c r="D145" i="10"/>
  <c r="C150" i="10"/>
  <c r="D159" i="10"/>
  <c r="D169" i="10"/>
  <c r="C174" i="10"/>
  <c r="D183" i="10"/>
  <c r="D193" i="10"/>
  <c r="C198" i="10"/>
  <c r="D208" i="10"/>
  <c r="C208" i="10"/>
  <c r="D213" i="10"/>
  <c r="D233" i="10"/>
  <c r="C239" i="10"/>
  <c r="D244" i="10"/>
  <c r="D249" i="10"/>
  <c r="C255" i="10"/>
  <c r="C268" i="10"/>
  <c r="C294" i="10"/>
  <c r="D315" i="10"/>
  <c r="X5" i="4" s="1"/>
  <c r="C315" i="10"/>
  <c r="W5" i="4" s="1"/>
  <c r="D327" i="10"/>
  <c r="X17" i="4" s="1"/>
  <c r="D25" i="11"/>
  <c r="C14" i="11"/>
  <c r="C13" i="11"/>
  <c r="D302" i="11"/>
  <c r="C302" i="11"/>
  <c r="D107" i="12"/>
  <c r="C107" i="12"/>
  <c r="C181" i="9"/>
  <c r="C185" i="9"/>
  <c r="C189" i="9"/>
  <c r="C193" i="9"/>
  <c r="C197" i="9"/>
  <c r="C201" i="9"/>
  <c r="C205" i="9"/>
  <c r="C209" i="9"/>
  <c r="C213" i="9"/>
  <c r="C217" i="9"/>
  <c r="C230" i="9"/>
  <c r="C239" i="9"/>
  <c r="D243" i="9"/>
  <c r="C252" i="9"/>
  <c r="D256" i="9"/>
  <c r="C265" i="9"/>
  <c r="D269" i="9"/>
  <c r="C278" i="9"/>
  <c r="C287" i="9"/>
  <c r="D291" i="9"/>
  <c r="C300" i="9"/>
  <c r="D304" i="9"/>
  <c r="C313" i="9"/>
  <c r="D317" i="9"/>
  <c r="L7" i="4" s="1"/>
  <c r="C326" i="9"/>
  <c r="K16" i="4" s="1"/>
  <c r="C335" i="9"/>
  <c r="K25" i="4" s="1"/>
  <c r="D339" i="9"/>
  <c r="L29" i="4" s="1"/>
  <c r="C348" i="9"/>
  <c r="K38" i="4" s="1"/>
  <c r="D352" i="9"/>
  <c r="L42" i="4" s="1"/>
  <c r="C361" i="9"/>
  <c r="K51" i="4" s="1"/>
  <c r="D365" i="9"/>
  <c r="L55" i="4" s="1"/>
  <c r="C374" i="9"/>
  <c r="K64" i="4" s="1"/>
  <c r="C8" i="10"/>
  <c r="C21" i="10"/>
  <c r="D30" i="10"/>
  <c r="C35" i="10"/>
  <c r="D40" i="10"/>
  <c r="C40" i="10"/>
  <c r="C45" i="10"/>
  <c r="D54" i="10"/>
  <c r="C59" i="10"/>
  <c r="D64" i="10"/>
  <c r="C64" i="10"/>
  <c r="C69" i="10"/>
  <c r="D78" i="10"/>
  <c r="C83" i="10"/>
  <c r="D88" i="10"/>
  <c r="C88" i="10"/>
  <c r="C93" i="10"/>
  <c r="D102" i="10"/>
  <c r="C107" i="10"/>
  <c r="D112" i="10"/>
  <c r="C112" i="10"/>
  <c r="C117" i="10"/>
  <c r="D126" i="10"/>
  <c r="C131" i="10"/>
  <c r="D136" i="10"/>
  <c r="C136" i="10"/>
  <c r="C141" i="10"/>
  <c r="D150" i="10"/>
  <c r="C155" i="10"/>
  <c r="D160" i="10"/>
  <c r="C160" i="10"/>
  <c r="C165" i="10"/>
  <c r="D174" i="10"/>
  <c r="C179" i="10"/>
  <c r="D184" i="10"/>
  <c r="D198" i="10"/>
  <c r="C214" i="10"/>
  <c r="D226" i="10"/>
  <c r="C219" i="10"/>
  <c r="C234" i="10"/>
  <c r="C235" i="10"/>
  <c r="D234" i="10"/>
  <c r="C262" i="10"/>
  <c r="D274" i="10"/>
  <c r="C309" i="10"/>
  <c r="D308" i="10"/>
  <c r="C308" i="10"/>
  <c r="D320" i="10"/>
  <c r="X10" i="4" s="1"/>
  <c r="D369" i="10"/>
  <c r="X59" i="4" s="1"/>
  <c r="C369" i="10"/>
  <c r="W59" i="4" s="1"/>
  <c r="D376" i="10"/>
  <c r="X66" i="4" s="1"/>
  <c r="D89" i="11"/>
  <c r="C89" i="11"/>
  <c r="D101" i="11"/>
  <c r="D278" i="11"/>
  <c r="C278" i="11"/>
  <c r="C235" i="9"/>
  <c r="D239" i="9"/>
  <c r="C283" i="9"/>
  <c r="D287" i="9"/>
  <c r="C331" i="9"/>
  <c r="K21" i="4" s="1"/>
  <c r="D335" i="9"/>
  <c r="L25" i="4" s="1"/>
  <c r="D374" i="9"/>
  <c r="L64" i="4" s="1"/>
  <c r="C209" i="10"/>
  <c r="D214" i="10"/>
  <c r="D250" i="10"/>
  <c r="C296" i="10"/>
  <c r="D295" i="10"/>
  <c r="C295" i="10"/>
  <c r="D67" i="11"/>
  <c r="C67" i="11"/>
  <c r="D182" i="11"/>
  <c r="C182" i="11"/>
  <c r="D254" i="11"/>
  <c r="C254" i="11"/>
  <c r="D312" i="11"/>
  <c r="C312" i="11"/>
  <c r="C27" i="12"/>
  <c r="D27" i="12"/>
  <c r="D39" i="12"/>
  <c r="C76" i="12"/>
  <c r="D76" i="12"/>
  <c r="C77" i="12"/>
  <c r="D331" i="9"/>
  <c r="L21" i="4" s="1"/>
  <c r="D26" i="10"/>
  <c r="D36" i="10"/>
  <c r="C36" i="10"/>
  <c r="D50" i="10"/>
  <c r="D60" i="10"/>
  <c r="C60" i="10"/>
  <c r="D74" i="10"/>
  <c r="D84" i="10"/>
  <c r="C84" i="10"/>
  <c r="D98" i="10"/>
  <c r="D108" i="10"/>
  <c r="C108" i="10"/>
  <c r="D122" i="10"/>
  <c r="D132" i="10"/>
  <c r="C132" i="10"/>
  <c r="D146" i="10"/>
  <c r="D156" i="10"/>
  <c r="C156" i="10"/>
  <c r="D170" i="10"/>
  <c r="D180" i="10"/>
  <c r="D194" i="10"/>
  <c r="D137" i="11"/>
  <c r="C137" i="11"/>
  <c r="D149" i="11"/>
  <c r="D206" i="11"/>
  <c r="C206" i="11"/>
  <c r="D230" i="11"/>
  <c r="C230" i="11"/>
  <c r="D288" i="11"/>
  <c r="C288" i="11"/>
  <c r="C313" i="11"/>
  <c r="D279" i="9"/>
  <c r="D305" i="9"/>
  <c r="D318" i="9"/>
  <c r="L8" i="4" s="1"/>
  <c r="D327" i="9"/>
  <c r="L17" i="4" s="1"/>
  <c r="D340" i="9"/>
  <c r="L30" i="4" s="1"/>
  <c r="D353" i="9"/>
  <c r="L43" i="4" s="1"/>
  <c r="D366" i="9"/>
  <c r="L56" i="4" s="1"/>
  <c r="C251" i="10"/>
  <c r="D276" i="10"/>
  <c r="D289" i="10"/>
  <c r="D363" i="10"/>
  <c r="X53" i="4" s="1"/>
  <c r="C77" i="11"/>
  <c r="D76" i="11"/>
  <c r="C76" i="11"/>
  <c r="D88" i="11"/>
  <c r="C138" i="11"/>
  <c r="C169" i="11"/>
  <c r="D168" i="11"/>
  <c r="C168" i="11"/>
  <c r="D264" i="11"/>
  <c r="C264" i="11"/>
  <c r="C289" i="11"/>
  <c r="D314" i="11"/>
  <c r="AF4" i="4" s="1"/>
  <c r="C20" i="12"/>
  <c r="D20" i="12"/>
  <c r="D32" i="12"/>
  <c r="D32" i="10"/>
  <c r="C32" i="10"/>
  <c r="D56" i="10"/>
  <c r="C56" i="10"/>
  <c r="D80" i="10"/>
  <c r="C80" i="10"/>
  <c r="D104" i="10"/>
  <c r="C104" i="10"/>
  <c r="D128" i="10"/>
  <c r="C128" i="10"/>
  <c r="D152" i="10"/>
  <c r="C152" i="10"/>
  <c r="D271" i="10"/>
  <c r="D283" i="10"/>
  <c r="D284" i="10"/>
  <c r="D296" i="10"/>
  <c r="C357" i="10"/>
  <c r="W47" i="4" s="1"/>
  <c r="D356" i="10"/>
  <c r="X46" i="4" s="1"/>
  <c r="C356" i="10"/>
  <c r="W46" i="4" s="1"/>
  <c r="D368" i="10"/>
  <c r="X58" i="4" s="1"/>
  <c r="C55" i="11"/>
  <c r="D54" i="11"/>
  <c r="C54" i="11"/>
  <c r="D66" i="11"/>
  <c r="C193" i="11"/>
  <c r="D192" i="11"/>
  <c r="C192" i="11"/>
  <c r="D240" i="11"/>
  <c r="C240" i="11"/>
  <c r="C265" i="11"/>
  <c r="D290" i="11"/>
  <c r="C293" i="9"/>
  <c r="C306" i="9"/>
  <c r="D319" i="9"/>
  <c r="L9" i="4" s="1"/>
  <c r="C328" i="9"/>
  <c r="K18" i="4" s="1"/>
  <c r="C341" i="9"/>
  <c r="K31" i="4" s="1"/>
  <c r="C354" i="9"/>
  <c r="K44" i="4" s="1"/>
  <c r="C376" i="9"/>
  <c r="K66" i="4" s="1"/>
  <c r="C42" i="10"/>
  <c r="C66" i="10"/>
  <c r="C90" i="10"/>
  <c r="C114" i="10"/>
  <c r="C138" i="10"/>
  <c r="C162" i="10"/>
  <c r="C186" i="10"/>
  <c r="D221" i="10"/>
  <c r="C221" i="10"/>
  <c r="C248" i="10"/>
  <c r="D247" i="10"/>
  <c r="C252" i="10"/>
  <c r="C258" i="10"/>
  <c r="D258" i="10"/>
  <c r="C264" i="10"/>
  <c r="C271" i="10"/>
  <c r="C277" i="10"/>
  <c r="C284" i="10"/>
  <c r="D290" i="10"/>
  <c r="D311" i="10"/>
  <c r="C334" i="10"/>
  <c r="W24" i="4" s="1"/>
  <c r="D334" i="10"/>
  <c r="X24" i="4" s="1"/>
  <c r="D341" i="10"/>
  <c r="X31" i="4" s="1"/>
  <c r="D364" i="10"/>
  <c r="X54" i="4" s="1"/>
  <c r="D115" i="11"/>
  <c r="C115" i="11"/>
  <c r="D216" i="11"/>
  <c r="C216" i="11"/>
  <c r="C241" i="11"/>
  <c r="D266" i="11"/>
  <c r="D324" i="11"/>
  <c r="AF14" i="4" s="1"/>
  <c r="C54" i="12"/>
  <c r="D54" i="12"/>
  <c r="C254" i="9"/>
  <c r="C263" i="9"/>
  <c r="D267" i="9"/>
  <c r="C276" i="9"/>
  <c r="C289" i="9"/>
  <c r="C302" i="9"/>
  <c r="C311" i="9"/>
  <c r="D315" i="9"/>
  <c r="L5" i="4" s="1"/>
  <c r="C324" i="9"/>
  <c r="K14" i="4" s="1"/>
  <c r="C337" i="9"/>
  <c r="K27" i="4" s="1"/>
  <c r="C350" i="9"/>
  <c r="K40" i="4" s="1"/>
  <c r="C359" i="9"/>
  <c r="K49" i="4" s="1"/>
  <c r="C372" i="9"/>
  <c r="K62" i="4" s="1"/>
  <c r="C23" i="10"/>
  <c r="D28" i="10"/>
  <c r="C28" i="10"/>
  <c r="C33" i="10"/>
  <c r="C47" i="10"/>
  <c r="D52" i="10"/>
  <c r="C52" i="10"/>
  <c r="C57" i="10"/>
  <c r="C71" i="10"/>
  <c r="D76" i="10"/>
  <c r="C76" i="10"/>
  <c r="C81" i="10"/>
  <c r="C95" i="10"/>
  <c r="D100" i="10"/>
  <c r="C100" i="10"/>
  <c r="C105" i="10"/>
  <c r="C119" i="10"/>
  <c r="D124" i="10"/>
  <c r="C124" i="10"/>
  <c r="C129" i="10"/>
  <c r="C143" i="10"/>
  <c r="D148" i="10"/>
  <c r="C148" i="10"/>
  <c r="C153" i="10"/>
  <c r="C167" i="10"/>
  <c r="D172" i="10"/>
  <c r="C172" i="10"/>
  <c r="C177" i="10"/>
  <c r="C191" i="10"/>
  <c r="C201" i="10"/>
  <c r="C211" i="10"/>
  <c r="C216" i="10"/>
  <c r="C247" i="10"/>
  <c r="C265" i="10"/>
  <c r="D298" i="10"/>
  <c r="C335" i="10"/>
  <c r="W25" i="4" s="1"/>
  <c r="C342" i="10"/>
  <c r="W32" i="4" s="1"/>
  <c r="D342" i="10"/>
  <c r="X32" i="4" s="1"/>
  <c r="D124" i="11"/>
  <c r="C124" i="11"/>
  <c r="D136" i="11"/>
  <c r="C217" i="11"/>
  <c r="D242" i="11"/>
  <c r="D300" i="11"/>
  <c r="C259" i="9"/>
  <c r="D263" i="9"/>
  <c r="C307" i="9"/>
  <c r="D311" i="9"/>
  <c r="C355" i="9"/>
  <c r="K45" i="4" s="1"/>
  <c r="D359" i="9"/>
  <c r="L49" i="4" s="1"/>
  <c r="D206" i="10"/>
  <c r="D222" i="10"/>
  <c r="D227" i="10"/>
  <c r="C272" i="10"/>
  <c r="C285" i="10"/>
  <c r="C344" i="10"/>
  <c r="W34" i="4" s="1"/>
  <c r="D343" i="10"/>
  <c r="X33" i="4" s="1"/>
  <c r="C343" i="10"/>
  <c r="W33" i="4" s="1"/>
  <c r="D355" i="10"/>
  <c r="X45" i="4" s="1"/>
  <c r="D19" i="11"/>
  <c r="C19" i="11"/>
  <c r="C42" i="11"/>
  <c r="D41" i="11"/>
  <c r="C41" i="11"/>
  <c r="D53" i="11"/>
  <c r="C125" i="11"/>
  <c r="D163" i="11"/>
  <c r="C163" i="11"/>
  <c r="D194" i="11"/>
  <c r="D218" i="11"/>
  <c r="D276" i="11"/>
  <c r="C46" i="12"/>
  <c r="D46" i="12"/>
  <c r="C82" i="12"/>
  <c r="D82" i="12"/>
  <c r="C285" i="12"/>
  <c r="D285" i="12"/>
  <c r="D149" i="13"/>
  <c r="C149" i="13"/>
  <c r="D245" i="13"/>
  <c r="C245" i="13"/>
  <c r="C27" i="11"/>
  <c r="C75" i="11"/>
  <c r="C123" i="11"/>
  <c r="D167" i="11"/>
  <c r="C167" i="11"/>
  <c r="C172" i="11"/>
  <c r="C186" i="11"/>
  <c r="D191" i="11"/>
  <c r="C191" i="11"/>
  <c r="C196" i="11"/>
  <c r="C210" i="11"/>
  <c r="D215" i="11"/>
  <c r="C215" i="11"/>
  <c r="C220" i="11"/>
  <c r="C234" i="11"/>
  <c r="D239" i="11"/>
  <c r="C239" i="11"/>
  <c r="C244" i="11"/>
  <c r="C258" i="11"/>
  <c r="D263" i="11"/>
  <c r="C263" i="11"/>
  <c r="C268" i="11"/>
  <c r="C282" i="11"/>
  <c r="D287" i="11"/>
  <c r="C287" i="11"/>
  <c r="C292" i="11"/>
  <c r="C306" i="11"/>
  <c r="D311" i="11"/>
  <c r="C311" i="11"/>
  <c r="C316" i="11"/>
  <c r="AE6" i="4" s="1"/>
  <c r="C330" i="11"/>
  <c r="AE20" i="4" s="1"/>
  <c r="C362" i="11"/>
  <c r="AE52" i="4" s="1"/>
  <c r="D19" i="12"/>
  <c r="D33" i="12"/>
  <c r="C33" i="12"/>
  <c r="D75" i="12"/>
  <c r="D83" i="12"/>
  <c r="C83" i="12"/>
  <c r="C106" i="12"/>
  <c r="D106" i="12"/>
  <c r="C130" i="12"/>
  <c r="D130" i="12"/>
  <c r="C154" i="12"/>
  <c r="D154" i="12"/>
  <c r="C178" i="12"/>
  <c r="D178" i="12"/>
  <c r="C282" i="10"/>
  <c r="C330" i="10"/>
  <c r="W20" i="4" s="1"/>
  <c r="D187" i="11"/>
  <c r="C187" i="11"/>
  <c r="D211" i="11"/>
  <c r="C211" i="11"/>
  <c r="D225" i="11"/>
  <c r="D235" i="11"/>
  <c r="C235" i="11"/>
  <c r="D249" i="11"/>
  <c r="D259" i="11"/>
  <c r="C259" i="11"/>
  <c r="D273" i="11"/>
  <c r="D283" i="11"/>
  <c r="C283" i="11"/>
  <c r="D297" i="11"/>
  <c r="D307" i="11"/>
  <c r="C307" i="11"/>
  <c r="D321" i="11"/>
  <c r="AF11" i="4" s="1"/>
  <c r="D343" i="11"/>
  <c r="AF33" i="4" s="1"/>
  <c r="D331" i="11"/>
  <c r="AF21" i="4" s="1"/>
  <c r="C331" i="11"/>
  <c r="AE21" i="4" s="1"/>
  <c r="D358" i="11"/>
  <c r="AF48" i="4" s="1"/>
  <c r="C12" i="12"/>
  <c r="C55" i="12"/>
  <c r="D123" i="12"/>
  <c r="D147" i="12"/>
  <c r="D171" i="12"/>
  <c r="D195" i="12"/>
  <c r="D263" i="12"/>
  <c r="C263" i="12"/>
  <c r="C230" i="10"/>
  <c r="C256" i="10"/>
  <c r="C269" i="10"/>
  <c r="C278" i="10"/>
  <c r="D282" i="10"/>
  <c r="C291" i="10"/>
  <c r="C304" i="10"/>
  <c r="C317" i="10"/>
  <c r="W7" i="4" s="1"/>
  <c r="C326" i="10"/>
  <c r="W16" i="4" s="1"/>
  <c r="D330" i="10"/>
  <c r="X20" i="4" s="1"/>
  <c r="C339" i="10"/>
  <c r="W29" i="4" s="1"/>
  <c r="C352" i="10"/>
  <c r="W42" i="4" s="1"/>
  <c r="C365" i="10"/>
  <c r="W55" i="4" s="1"/>
  <c r="C374" i="10"/>
  <c r="W64" i="4" s="1"/>
  <c r="C24" i="11"/>
  <c r="C37" i="11"/>
  <c r="C50" i="11"/>
  <c r="D59" i="11"/>
  <c r="C63" i="11"/>
  <c r="C72" i="11"/>
  <c r="C85" i="11"/>
  <c r="C98" i="11"/>
  <c r="D107" i="11"/>
  <c r="C111" i="11"/>
  <c r="C120" i="11"/>
  <c r="C133" i="11"/>
  <c r="C146" i="11"/>
  <c r="D155" i="11"/>
  <c r="C159" i="11"/>
  <c r="C173" i="11"/>
  <c r="C197" i="11"/>
  <c r="C221" i="11"/>
  <c r="C245" i="11"/>
  <c r="C269" i="11"/>
  <c r="C293" i="11"/>
  <c r="C317" i="11"/>
  <c r="AE7" i="4" s="1"/>
  <c r="D336" i="11"/>
  <c r="AF26" i="4" s="1"/>
  <c r="C341" i="11"/>
  <c r="AE31" i="4" s="1"/>
  <c r="C350" i="11"/>
  <c r="AE40" i="4" s="1"/>
  <c r="C28" i="12"/>
  <c r="D28" i="12"/>
  <c r="D35" i="12"/>
  <c r="C35" i="12"/>
  <c r="C70" i="12"/>
  <c r="D70" i="12"/>
  <c r="C363" i="12"/>
  <c r="Q53" i="4" s="1"/>
  <c r="D362" i="12"/>
  <c r="R52" i="4" s="1"/>
  <c r="C362" i="12"/>
  <c r="Q52" i="4" s="1"/>
  <c r="D374" i="12"/>
  <c r="R64" i="4" s="1"/>
  <c r="C176" i="10"/>
  <c r="C180" i="10"/>
  <c r="C184" i="10"/>
  <c r="C188" i="10"/>
  <c r="C192" i="10"/>
  <c r="C196" i="10"/>
  <c r="C200" i="10"/>
  <c r="C226" i="10"/>
  <c r="D230" i="10"/>
  <c r="C274" i="10"/>
  <c r="D278" i="10"/>
  <c r="C322" i="10"/>
  <c r="W12" i="4" s="1"/>
  <c r="D326" i="10"/>
  <c r="X16" i="4" s="1"/>
  <c r="C348" i="10"/>
  <c r="W38" i="4" s="1"/>
  <c r="C361" i="10"/>
  <c r="W51" i="4" s="1"/>
  <c r="C370" i="10"/>
  <c r="W60" i="4" s="1"/>
  <c r="D374" i="10"/>
  <c r="X64" i="4" s="1"/>
  <c r="C20" i="11"/>
  <c r="C33" i="11"/>
  <c r="C46" i="11"/>
  <c r="D55" i="11"/>
  <c r="C59" i="11"/>
  <c r="C68" i="11"/>
  <c r="C81" i="11"/>
  <c r="C94" i="11"/>
  <c r="D98" i="11"/>
  <c r="D103" i="11"/>
  <c r="C107" i="11"/>
  <c r="C116" i="11"/>
  <c r="D120" i="11"/>
  <c r="C129" i="11"/>
  <c r="D133" i="11"/>
  <c r="C142" i="11"/>
  <c r="D146" i="11"/>
  <c r="D151" i="11"/>
  <c r="C155" i="11"/>
  <c r="C164" i="11"/>
  <c r="D173" i="11"/>
  <c r="C178" i="11"/>
  <c r="D183" i="11"/>
  <c r="C183" i="11"/>
  <c r="C188" i="11"/>
  <c r="D197" i="11"/>
  <c r="C202" i="11"/>
  <c r="D207" i="11"/>
  <c r="C207" i="11"/>
  <c r="C212" i="11"/>
  <c r="D221" i="11"/>
  <c r="C226" i="11"/>
  <c r="D231" i="11"/>
  <c r="C231" i="11"/>
  <c r="C236" i="11"/>
  <c r="D245" i="11"/>
  <c r="C250" i="11"/>
  <c r="D255" i="11"/>
  <c r="C255" i="11"/>
  <c r="C260" i="11"/>
  <c r="D269" i="11"/>
  <c r="C274" i="11"/>
  <c r="D279" i="11"/>
  <c r="C279" i="11"/>
  <c r="C284" i="11"/>
  <c r="D293" i="11"/>
  <c r="C298" i="11"/>
  <c r="D303" i="11"/>
  <c r="C303" i="11"/>
  <c r="C308" i="11"/>
  <c r="D317" i="11"/>
  <c r="AF7" i="4" s="1"/>
  <c r="C322" i="11"/>
  <c r="AE12" i="4" s="1"/>
  <c r="D339" i="11"/>
  <c r="AF29" i="4" s="1"/>
  <c r="D327" i="11"/>
  <c r="AF17" i="4" s="1"/>
  <c r="C327" i="11"/>
  <c r="AE17" i="4" s="1"/>
  <c r="C332" i="11"/>
  <c r="AE22" i="4" s="1"/>
  <c r="D341" i="11"/>
  <c r="AF31" i="4" s="1"/>
  <c r="C346" i="11"/>
  <c r="AE36" i="4" s="1"/>
  <c r="D350" i="11"/>
  <c r="AF40" i="4" s="1"/>
  <c r="C22" i="12"/>
  <c r="D22" i="12"/>
  <c r="D63" i="12"/>
  <c r="D71" i="12"/>
  <c r="D192" i="10"/>
  <c r="C222" i="10"/>
  <c r="C270" i="10"/>
  <c r="C283" i="10"/>
  <c r="C318" i="10"/>
  <c r="W8" i="4" s="1"/>
  <c r="D322" i="10"/>
  <c r="X12" i="4" s="1"/>
  <c r="C331" i="10"/>
  <c r="W21" i="4" s="1"/>
  <c r="C366" i="10"/>
  <c r="W56" i="4" s="1"/>
  <c r="D370" i="10"/>
  <c r="X60" i="4" s="1"/>
  <c r="D51" i="11"/>
  <c r="C64" i="11"/>
  <c r="D99" i="11"/>
  <c r="C103" i="11"/>
  <c r="D147" i="11"/>
  <c r="C151" i="11"/>
  <c r="D346" i="11"/>
  <c r="AF36" i="4" s="1"/>
  <c r="C14" i="12"/>
  <c r="C29" i="12"/>
  <c r="D42" i="12"/>
  <c r="C71" i="12"/>
  <c r="C78" i="12"/>
  <c r="D78" i="12"/>
  <c r="D215" i="12"/>
  <c r="C224" i="12"/>
  <c r="D236" i="12"/>
  <c r="D224" i="12"/>
  <c r="D309" i="10"/>
  <c r="D331" i="10"/>
  <c r="X21" i="4" s="1"/>
  <c r="D344" i="10"/>
  <c r="X34" i="4" s="1"/>
  <c r="D357" i="10"/>
  <c r="X47" i="4" s="1"/>
  <c r="D366" i="10"/>
  <c r="X56" i="4" s="1"/>
  <c r="D42" i="11"/>
  <c r="D64" i="11"/>
  <c r="D77" i="11"/>
  <c r="D90" i="11"/>
  <c r="D112" i="11"/>
  <c r="D125" i="11"/>
  <c r="D138" i="11"/>
  <c r="D160" i="11"/>
  <c r="D169" i="11"/>
  <c r="D179" i="11"/>
  <c r="C179" i="11"/>
  <c r="D203" i="11"/>
  <c r="C203" i="11"/>
  <c r="D227" i="11"/>
  <c r="C227" i="11"/>
  <c r="D251" i="11"/>
  <c r="C251" i="11"/>
  <c r="D275" i="11"/>
  <c r="C275" i="11"/>
  <c r="D299" i="11"/>
  <c r="C299" i="11"/>
  <c r="D335" i="11"/>
  <c r="AF25" i="4" s="1"/>
  <c r="D323" i="11"/>
  <c r="AF13" i="4" s="1"/>
  <c r="C323" i="11"/>
  <c r="AE13" i="4" s="1"/>
  <c r="D377" i="11"/>
  <c r="D29" i="12"/>
  <c r="D57" i="12"/>
  <c r="C57" i="12"/>
  <c r="C102" i="12"/>
  <c r="D102" i="12"/>
  <c r="D235" i="12"/>
  <c r="C235" i="12"/>
  <c r="D353" i="10"/>
  <c r="X43" i="4" s="1"/>
  <c r="D375" i="10"/>
  <c r="X65" i="4" s="1"/>
  <c r="D38" i="11"/>
  <c r="D60" i="11"/>
  <c r="D73" i="11"/>
  <c r="D86" i="11"/>
  <c r="D108" i="11"/>
  <c r="D121" i="11"/>
  <c r="D134" i="11"/>
  <c r="D156" i="11"/>
  <c r="D373" i="11"/>
  <c r="AF63" i="4" s="1"/>
  <c r="D23" i="12"/>
  <c r="C30" i="12"/>
  <c r="D30" i="12"/>
  <c r="C58" i="12"/>
  <c r="D58" i="12"/>
  <c r="D95" i="12"/>
  <c r="C103" i="12"/>
  <c r="D39" i="11"/>
  <c r="D87" i="11"/>
  <c r="D135" i="11"/>
  <c r="D175" i="11"/>
  <c r="C175" i="11"/>
  <c r="D199" i="11"/>
  <c r="C199" i="11"/>
  <c r="D223" i="11"/>
  <c r="C223" i="11"/>
  <c r="D247" i="11"/>
  <c r="C247" i="11"/>
  <c r="D271" i="11"/>
  <c r="C271" i="11"/>
  <c r="D295" i="11"/>
  <c r="C295" i="11"/>
  <c r="D319" i="11"/>
  <c r="AF9" i="4" s="1"/>
  <c r="C319" i="11"/>
  <c r="AE9" i="4" s="1"/>
  <c r="D59" i="12"/>
  <c r="C59" i="12"/>
  <c r="D87" i="12"/>
  <c r="D119" i="12"/>
  <c r="D135" i="12"/>
  <c r="C135" i="12"/>
  <c r="D159" i="12"/>
  <c r="C159" i="12"/>
  <c r="D183" i="12"/>
  <c r="C183" i="12"/>
  <c r="C208" i="12"/>
  <c r="D208" i="12"/>
  <c r="D301" i="12"/>
  <c r="C301" i="12"/>
  <c r="D313" i="12"/>
  <c r="C302" i="12"/>
  <c r="C302" i="10"/>
  <c r="C341" i="10"/>
  <c r="W31" i="4" s="1"/>
  <c r="C350" i="10"/>
  <c r="W40" i="4" s="1"/>
  <c r="D354" i="10"/>
  <c r="X44" i="4" s="1"/>
  <c r="C363" i="10"/>
  <c r="W53" i="4" s="1"/>
  <c r="C376" i="10"/>
  <c r="W66" i="4" s="1"/>
  <c r="C26" i="11"/>
  <c r="D35" i="11"/>
  <c r="C39" i="11"/>
  <c r="C48" i="11"/>
  <c r="C61" i="11"/>
  <c r="C74" i="11"/>
  <c r="D83" i="11"/>
  <c r="C87" i="11"/>
  <c r="C96" i="11"/>
  <c r="C109" i="11"/>
  <c r="C122" i="11"/>
  <c r="D131" i="11"/>
  <c r="C135" i="11"/>
  <c r="C144" i="11"/>
  <c r="C157" i="11"/>
  <c r="C185" i="11"/>
  <c r="C209" i="11"/>
  <c r="C233" i="11"/>
  <c r="C257" i="11"/>
  <c r="C281" i="11"/>
  <c r="C305" i="11"/>
  <c r="C329" i="11"/>
  <c r="AE19" i="4" s="1"/>
  <c r="D338" i="11"/>
  <c r="AF28" i="4" s="1"/>
  <c r="C361" i="11"/>
  <c r="AE51" i="4" s="1"/>
  <c r="C374" i="11"/>
  <c r="AE64" i="4" s="1"/>
  <c r="C8" i="12"/>
  <c r="D31" i="12"/>
  <c r="C52" i="12"/>
  <c r="D52" i="12"/>
  <c r="D66" i="12"/>
  <c r="D111" i="12"/>
  <c r="C250" i="10"/>
  <c r="D254" i="10"/>
  <c r="C298" i="10"/>
  <c r="D302" i="10"/>
  <c r="C346" i="10"/>
  <c r="W36" i="4" s="1"/>
  <c r="D350" i="10"/>
  <c r="X40" i="4" s="1"/>
  <c r="D31" i="11"/>
  <c r="C35" i="11"/>
  <c r="D79" i="11"/>
  <c r="C83" i="11"/>
  <c r="D127" i="11"/>
  <c r="C131" i="11"/>
  <c r="D171" i="11"/>
  <c r="C171" i="11"/>
  <c r="D195" i="11"/>
  <c r="C195" i="11"/>
  <c r="D219" i="11"/>
  <c r="C219" i="11"/>
  <c r="D243" i="11"/>
  <c r="C243" i="11"/>
  <c r="D267" i="11"/>
  <c r="C267" i="11"/>
  <c r="D291" i="11"/>
  <c r="C291" i="11"/>
  <c r="D315" i="11"/>
  <c r="AF5" i="4" s="1"/>
  <c r="C315" i="11"/>
  <c r="AE5" i="4" s="1"/>
  <c r="C334" i="11"/>
  <c r="AE24" i="4" s="1"/>
  <c r="C370" i="11"/>
  <c r="AE60" i="4" s="1"/>
  <c r="D374" i="11"/>
  <c r="AF64" i="4" s="1"/>
  <c r="C18" i="12"/>
  <c r="D25" i="12"/>
  <c r="D45" i="12"/>
  <c r="C67" i="12"/>
  <c r="D219" i="12"/>
  <c r="C219" i="12"/>
  <c r="C246" i="12"/>
  <c r="D258" i="12"/>
  <c r="D246" i="12"/>
  <c r="D125" i="12"/>
  <c r="D149" i="12"/>
  <c r="D173" i="12"/>
  <c r="C198" i="12"/>
  <c r="C214" i="12"/>
  <c r="C230" i="12"/>
  <c r="D240" i="12"/>
  <c r="C36" i="13"/>
  <c r="D36" i="13"/>
  <c r="D247" i="12"/>
  <c r="C264" i="12"/>
  <c r="C324" i="12"/>
  <c r="Q14" i="4" s="1"/>
  <c r="D324" i="12"/>
  <c r="R14" i="4" s="1"/>
  <c r="C20" i="13"/>
  <c r="D20" i="13"/>
  <c r="D37" i="13"/>
  <c r="C37" i="13"/>
  <c r="D133" i="13"/>
  <c r="C133" i="13"/>
  <c r="D229" i="13"/>
  <c r="C229" i="13"/>
  <c r="C348" i="13"/>
  <c r="O38" i="4" s="1"/>
  <c r="D348" i="13"/>
  <c r="P38" i="4" s="1"/>
  <c r="C19" i="14"/>
  <c r="D19" i="14"/>
  <c r="D31" i="14"/>
  <c r="C86" i="14"/>
  <c r="D86" i="14"/>
  <c r="C192" i="14"/>
  <c r="D192" i="14"/>
  <c r="C204" i="14"/>
  <c r="D204" i="14"/>
  <c r="C216" i="14"/>
  <c r="D216" i="14"/>
  <c r="C228" i="14"/>
  <c r="D228" i="14"/>
  <c r="C240" i="14"/>
  <c r="D240" i="14"/>
  <c r="C40" i="12"/>
  <c r="C64" i="12"/>
  <c r="C88" i="12"/>
  <c r="C112" i="12"/>
  <c r="D126" i="12"/>
  <c r="C131" i="12"/>
  <c r="C136" i="12"/>
  <c r="D150" i="12"/>
  <c r="C155" i="12"/>
  <c r="C160" i="12"/>
  <c r="D174" i="12"/>
  <c r="C179" i="12"/>
  <c r="C184" i="12"/>
  <c r="C204" i="12"/>
  <c r="C209" i="12"/>
  <c r="C220" i="12"/>
  <c r="C225" i="12"/>
  <c r="C236" i="12"/>
  <c r="C247" i="12"/>
  <c r="D259" i="12"/>
  <c r="D275" i="12"/>
  <c r="D309" i="12"/>
  <c r="C340" i="12"/>
  <c r="Q30" i="4" s="1"/>
  <c r="D340" i="12"/>
  <c r="R30" i="4" s="1"/>
  <c r="C348" i="12"/>
  <c r="Q38" i="4" s="1"/>
  <c r="D348" i="12"/>
  <c r="R38" i="4" s="1"/>
  <c r="D21" i="13"/>
  <c r="C21" i="13"/>
  <c r="D47" i="13"/>
  <c r="C294" i="13"/>
  <c r="D294" i="13"/>
  <c r="C306" i="13"/>
  <c r="D306" i="13"/>
  <c r="C318" i="13"/>
  <c r="O8" i="4" s="1"/>
  <c r="D318" i="13"/>
  <c r="P8" i="4" s="1"/>
  <c r="C330" i="13"/>
  <c r="O20" i="4" s="1"/>
  <c r="D342" i="13"/>
  <c r="P32" i="4" s="1"/>
  <c r="D330" i="13"/>
  <c r="P20" i="4" s="1"/>
  <c r="C107" i="14"/>
  <c r="D107" i="14"/>
  <c r="D119" i="14"/>
  <c r="C21" i="12"/>
  <c r="C26" i="12"/>
  <c r="D40" i="12"/>
  <c r="C45" i="12"/>
  <c r="C50" i="12"/>
  <c r="D64" i="12"/>
  <c r="C69" i="12"/>
  <c r="C74" i="12"/>
  <c r="D88" i="12"/>
  <c r="C93" i="12"/>
  <c r="C98" i="12"/>
  <c r="D112" i="12"/>
  <c r="C117" i="12"/>
  <c r="C122" i="12"/>
  <c r="D136" i="12"/>
  <c r="C141" i="12"/>
  <c r="C146" i="12"/>
  <c r="D160" i="12"/>
  <c r="C165" i="12"/>
  <c r="C170" i="12"/>
  <c r="D184" i="12"/>
  <c r="C189" i="12"/>
  <c r="C194" i="12"/>
  <c r="C199" i="12"/>
  <c r="D204" i="12"/>
  <c r="C210" i="12"/>
  <c r="C215" i="12"/>
  <c r="D220" i="12"/>
  <c r="C226" i="12"/>
  <c r="C231" i="12"/>
  <c r="C248" i="12"/>
  <c r="C259" i="12"/>
  <c r="D287" i="12"/>
  <c r="D310" i="12"/>
  <c r="C341" i="12"/>
  <c r="Q31" i="4" s="1"/>
  <c r="C350" i="12"/>
  <c r="Q40" i="4" s="1"/>
  <c r="D349" i="12"/>
  <c r="R39" i="4" s="1"/>
  <c r="C349" i="12"/>
  <c r="Q39" i="4" s="1"/>
  <c r="D361" i="12"/>
  <c r="R51" i="4" s="1"/>
  <c r="D91" i="13"/>
  <c r="D117" i="13"/>
  <c r="C117" i="13"/>
  <c r="D213" i="13"/>
  <c r="C213" i="13"/>
  <c r="D26" i="12"/>
  <c r="C36" i="12"/>
  <c r="D50" i="12"/>
  <c r="C60" i="12"/>
  <c r="D74" i="12"/>
  <c r="C84" i="12"/>
  <c r="D98" i="12"/>
  <c r="C108" i="12"/>
  <c r="D122" i="12"/>
  <c r="C132" i="12"/>
  <c r="D146" i="12"/>
  <c r="C156" i="12"/>
  <c r="D170" i="12"/>
  <c r="C180" i="12"/>
  <c r="D194" i="12"/>
  <c r="D205" i="12"/>
  <c r="D210" i="12"/>
  <c r="D221" i="12"/>
  <c r="D226" i="12"/>
  <c r="D242" i="12"/>
  <c r="D254" i="12"/>
  <c r="C260" i="12"/>
  <c r="D270" i="12"/>
  <c r="D311" i="12"/>
  <c r="C311" i="12"/>
  <c r="D333" i="12"/>
  <c r="R23" i="4" s="1"/>
  <c r="C333" i="12"/>
  <c r="Q23" i="4" s="1"/>
  <c r="D31" i="13"/>
  <c r="D243" i="12"/>
  <c r="D255" i="12"/>
  <c r="D327" i="12"/>
  <c r="R17" i="4" s="1"/>
  <c r="C327" i="12"/>
  <c r="Q17" i="4" s="1"/>
  <c r="D339" i="12"/>
  <c r="R29" i="4" s="1"/>
  <c r="D334" i="12"/>
  <c r="R24" i="4" s="1"/>
  <c r="D75" i="13"/>
  <c r="D101" i="13"/>
  <c r="C101" i="13"/>
  <c r="D197" i="13"/>
  <c r="C197" i="13"/>
  <c r="D94" i="12"/>
  <c r="C99" i="12"/>
  <c r="D118" i="12"/>
  <c r="C123" i="12"/>
  <c r="D142" i="12"/>
  <c r="C147" i="12"/>
  <c r="D166" i="12"/>
  <c r="C171" i="12"/>
  <c r="D190" i="12"/>
  <c r="C195" i="12"/>
  <c r="D200" i="12"/>
  <c r="C211" i="12"/>
  <c r="D216" i="12"/>
  <c r="C227" i="12"/>
  <c r="D232" i="12"/>
  <c r="C84" i="13"/>
  <c r="D84" i="13"/>
  <c r="C100" i="14"/>
  <c r="D100" i="14"/>
  <c r="D112" i="14"/>
  <c r="D201" i="12"/>
  <c r="D245" i="12"/>
  <c r="D233" i="12"/>
  <c r="D290" i="12"/>
  <c r="C290" i="12"/>
  <c r="D302" i="12"/>
  <c r="D297" i="12"/>
  <c r="D352" i="12"/>
  <c r="R42" i="4" s="1"/>
  <c r="D59" i="13"/>
  <c r="D85" i="13"/>
  <c r="C85" i="13"/>
  <c r="D181" i="13"/>
  <c r="C181" i="13"/>
  <c r="D277" i="13"/>
  <c r="C277" i="13"/>
  <c r="D90" i="12"/>
  <c r="C95" i="12"/>
  <c r="C100" i="12"/>
  <c r="D114" i="12"/>
  <c r="C119" i="12"/>
  <c r="C124" i="12"/>
  <c r="D138" i="12"/>
  <c r="C143" i="12"/>
  <c r="D162" i="12"/>
  <c r="C167" i="12"/>
  <c r="D186" i="12"/>
  <c r="C191" i="12"/>
  <c r="C233" i="12"/>
  <c r="D244" i="12"/>
  <c r="D250" i="12"/>
  <c r="D279" i="12"/>
  <c r="D267" i="12"/>
  <c r="D298" i="12"/>
  <c r="C298" i="12"/>
  <c r="D314" i="12"/>
  <c r="R4" i="4" s="1"/>
  <c r="C314" i="12"/>
  <c r="Q4" i="4" s="1"/>
  <c r="D326" i="12"/>
  <c r="R16" i="4" s="1"/>
  <c r="C68" i="13"/>
  <c r="D68" i="13"/>
  <c r="C288" i="13"/>
  <c r="D288" i="13"/>
  <c r="C300" i="13"/>
  <c r="D300" i="13"/>
  <c r="C312" i="13"/>
  <c r="D312" i="13"/>
  <c r="C324" i="13"/>
  <c r="O14" i="4" s="1"/>
  <c r="D324" i="13"/>
  <c r="P14" i="4" s="1"/>
  <c r="C81" i="12"/>
  <c r="D100" i="12"/>
  <c r="C105" i="12"/>
  <c r="D124" i="12"/>
  <c r="C129" i="12"/>
  <c r="D148" i="12"/>
  <c r="C153" i="12"/>
  <c r="D172" i="12"/>
  <c r="C177" i="12"/>
  <c r="D196" i="12"/>
  <c r="C202" i="12"/>
  <c r="C207" i="12"/>
  <c r="D212" i="12"/>
  <c r="C218" i="12"/>
  <c r="C223" i="12"/>
  <c r="D228" i="12"/>
  <c r="C234" i="12"/>
  <c r="C239" i="12"/>
  <c r="D251" i="12"/>
  <c r="C267" i="12"/>
  <c r="C291" i="12"/>
  <c r="D299" i="12"/>
  <c r="D321" i="12"/>
  <c r="R11" i="4" s="1"/>
  <c r="D69" i="13"/>
  <c r="C69" i="13"/>
  <c r="D165" i="13"/>
  <c r="C165" i="13"/>
  <c r="D261" i="13"/>
  <c r="C261" i="13"/>
  <c r="C336" i="13"/>
  <c r="O26" i="4" s="1"/>
  <c r="D336" i="13"/>
  <c r="P26" i="4" s="1"/>
  <c r="C93" i="14"/>
  <c r="D93" i="14"/>
  <c r="D105" i="14"/>
  <c r="C24" i="12"/>
  <c r="D38" i="12"/>
  <c r="C48" i="12"/>
  <c r="D62" i="12"/>
  <c r="C72" i="12"/>
  <c r="D86" i="12"/>
  <c r="C96" i="12"/>
  <c r="D110" i="12"/>
  <c r="C120" i="12"/>
  <c r="D134" i="12"/>
  <c r="C144" i="12"/>
  <c r="D158" i="12"/>
  <c r="C168" i="12"/>
  <c r="D182" i="12"/>
  <c r="C192" i="12"/>
  <c r="D202" i="12"/>
  <c r="D213" i="12"/>
  <c r="D218" i="12"/>
  <c r="D229" i="12"/>
  <c r="D234" i="12"/>
  <c r="C251" i="12"/>
  <c r="D262" i="12"/>
  <c r="C268" i="12"/>
  <c r="C292" i="12"/>
  <c r="D292" i="12"/>
  <c r="C300" i="12"/>
  <c r="D300" i="12"/>
  <c r="C315" i="12"/>
  <c r="Q5" i="4" s="1"/>
  <c r="C52" i="13"/>
  <c r="D52" i="13"/>
  <c r="D79" i="13"/>
  <c r="D299" i="13"/>
  <c r="D305" i="13"/>
  <c r="D311" i="13"/>
  <c r="D317" i="13"/>
  <c r="P7" i="4" s="1"/>
  <c r="D323" i="13"/>
  <c r="P13" i="4" s="1"/>
  <c r="D329" i="13"/>
  <c r="P19" i="4" s="1"/>
  <c r="C342" i="13"/>
  <c r="O32" i="4" s="1"/>
  <c r="D341" i="13"/>
  <c r="P31" i="4" s="1"/>
  <c r="C77" i="14"/>
  <c r="D77" i="14"/>
  <c r="C84" i="14"/>
  <c r="D84" i="14"/>
  <c r="C91" i="14"/>
  <c r="D91" i="14"/>
  <c r="D190" i="14"/>
  <c r="C190" i="14"/>
  <c r="D202" i="14"/>
  <c r="C202" i="14"/>
  <c r="D214" i="14"/>
  <c r="C214" i="14"/>
  <c r="D226" i="14"/>
  <c r="C226" i="14"/>
  <c r="D238" i="14"/>
  <c r="C238" i="14"/>
  <c r="D250" i="14"/>
  <c r="C250" i="14"/>
  <c r="D262" i="14"/>
  <c r="C262" i="14"/>
  <c r="D274" i="14"/>
  <c r="C274" i="14"/>
  <c r="D286" i="14"/>
  <c r="C286" i="14"/>
  <c r="D298" i="14"/>
  <c r="C298" i="14"/>
  <c r="C353" i="15"/>
  <c r="I43" i="4" s="1"/>
  <c r="D352" i="15"/>
  <c r="J42" i="4" s="1"/>
  <c r="C352" i="15"/>
  <c r="I42" i="4" s="1"/>
  <c r="C296" i="12"/>
  <c r="C344" i="12"/>
  <c r="Q34" i="4" s="1"/>
  <c r="D100" i="13"/>
  <c r="D116" i="13"/>
  <c r="D132" i="13"/>
  <c r="D148" i="13"/>
  <c r="D164" i="13"/>
  <c r="D180" i="13"/>
  <c r="D196" i="13"/>
  <c r="D212" i="13"/>
  <c r="D228" i="13"/>
  <c r="D244" i="13"/>
  <c r="D260" i="13"/>
  <c r="D276" i="13"/>
  <c r="C287" i="13"/>
  <c r="C293" i="13"/>
  <c r="C299" i="13"/>
  <c r="C305" i="13"/>
  <c r="C311" i="13"/>
  <c r="C317" i="13"/>
  <c r="O7" i="4" s="1"/>
  <c r="C323" i="13"/>
  <c r="O13" i="4" s="1"/>
  <c r="C329" i="13"/>
  <c r="O19" i="4" s="1"/>
  <c r="C341" i="13"/>
  <c r="O31" i="4" s="1"/>
  <c r="D364" i="13"/>
  <c r="P54" i="4" s="1"/>
  <c r="D90" i="14"/>
  <c r="C78" i="14"/>
  <c r="C85" i="14"/>
  <c r="D85" i="14"/>
  <c r="C92" i="14"/>
  <c r="D92" i="14"/>
  <c r="C99" i="14"/>
  <c r="D99" i="14"/>
  <c r="C191" i="14"/>
  <c r="D191" i="14"/>
  <c r="C203" i="14"/>
  <c r="D203" i="14"/>
  <c r="D310" i="14"/>
  <c r="C310" i="14"/>
  <c r="D109" i="15"/>
  <c r="C109" i="15"/>
  <c r="D271" i="12"/>
  <c r="C288" i="12"/>
  <c r="C336" i="12"/>
  <c r="Q26" i="4" s="1"/>
  <c r="C32" i="13"/>
  <c r="C48" i="13"/>
  <c r="C64" i="13"/>
  <c r="C80" i="13"/>
  <c r="C96" i="13"/>
  <c r="C112" i="13"/>
  <c r="C128" i="13"/>
  <c r="C144" i="13"/>
  <c r="C160" i="13"/>
  <c r="C176" i="13"/>
  <c r="C192" i="13"/>
  <c r="C208" i="13"/>
  <c r="C224" i="13"/>
  <c r="C240" i="13"/>
  <c r="C256" i="13"/>
  <c r="C272" i="13"/>
  <c r="C365" i="13"/>
  <c r="O55" i="4" s="1"/>
  <c r="C20" i="14"/>
  <c r="D20" i="14"/>
  <c r="D106" i="14"/>
  <c r="C94" i="14"/>
  <c r="C101" i="14"/>
  <c r="D101" i="14"/>
  <c r="C108" i="14"/>
  <c r="D108" i="14"/>
  <c r="C115" i="14"/>
  <c r="D115" i="14"/>
  <c r="D130" i="14"/>
  <c r="D322" i="14"/>
  <c r="T12" i="4" s="1"/>
  <c r="C322" i="14"/>
  <c r="S12" i="4" s="1"/>
  <c r="C340" i="14"/>
  <c r="S30" i="4" s="1"/>
  <c r="D352" i="14"/>
  <c r="T42" i="4" s="1"/>
  <c r="D340" i="14"/>
  <c r="T30" i="4" s="1"/>
  <c r="C23" i="15"/>
  <c r="D35" i="15"/>
  <c r="D23" i="15"/>
  <c r="D90" i="15"/>
  <c r="C90" i="15"/>
  <c r="C167" i="15"/>
  <c r="D179" i="15"/>
  <c r="D167" i="15"/>
  <c r="C284" i="12"/>
  <c r="D288" i="12"/>
  <c r="C297" i="12"/>
  <c r="C310" i="12"/>
  <c r="C323" i="12"/>
  <c r="Q13" i="4" s="1"/>
  <c r="C332" i="12"/>
  <c r="Q22" i="4" s="1"/>
  <c r="D336" i="12"/>
  <c r="R26" i="4" s="1"/>
  <c r="C345" i="12"/>
  <c r="Q35" i="4" s="1"/>
  <c r="C358" i="12"/>
  <c r="Q48" i="4" s="1"/>
  <c r="C371" i="12"/>
  <c r="Q61" i="4" s="1"/>
  <c r="C22" i="13"/>
  <c r="C27" i="13"/>
  <c r="D32" i="13"/>
  <c r="C38" i="13"/>
  <c r="C43" i="13"/>
  <c r="D48" i="13"/>
  <c r="C54" i="13"/>
  <c r="C59" i="13"/>
  <c r="D64" i="13"/>
  <c r="C70" i="13"/>
  <c r="C75" i="13"/>
  <c r="D80" i="13"/>
  <c r="C86" i="13"/>
  <c r="C91" i="13"/>
  <c r="D96" i="13"/>
  <c r="C102" i="13"/>
  <c r="C107" i="13"/>
  <c r="D112" i="13"/>
  <c r="C118" i="13"/>
  <c r="C123" i="13"/>
  <c r="D128" i="13"/>
  <c r="C134" i="13"/>
  <c r="C139" i="13"/>
  <c r="D144" i="13"/>
  <c r="C150" i="13"/>
  <c r="C155" i="13"/>
  <c r="D160" i="13"/>
  <c r="C166" i="13"/>
  <c r="C171" i="13"/>
  <c r="D176" i="13"/>
  <c r="C182" i="13"/>
  <c r="C187" i="13"/>
  <c r="D192" i="13"/>
  <c r="C198" i="13"/>
  <c r="C203" i="13"/>
  <c r="D208" i="13"/>
  <c r="C214" i="13"/>
  <c r="C219" i="13"/>
  <c r="D224" i="13"/>
  <c r="C230" i="13"/>
  <c r="C235" i="13"/>
  <c r="D240" i="13"/>
  <c r="C246" i="13"/>
  <c r="C251" i="13"/>
  <c r="D256" i="13"/>
  <c r="C262" i="13"/>
  <c r="C267" i="13"/>
  <c r="D272" i="13"/>
  <c r="C278" i="13"/>
  <c r="C283" i="13"/>
  <c r="D289" i="13"/>
  <c r="D301" i="13"/>
  <c r="D307" i="13"/>
  <c r="D313" i="13"/>
  <c r="D319" i="13"/>
  <c r="P9" i="4" s="1"/>
  <c r="D325" i="13"/>
  <c r="P15" i="4" s="1"/>
  <c r="D331" i="13"/>
  <c r="P21" i="4" s="1"/>
  <c r="C338" i="13"/>
  <c r="O28" i="4" s="1"/>
  <c r="D337" i="13"/>
  <c r="P27" i="4" s="1"/>
  <c r="C350" i="13"/>
  <c r="O40" i="4" s="1"/>
  <c r="D349" i="13"/>
  <c r="P39" i="4" s="1"/>
  <c r="D360" i="13"/>
  <c r="P50" i="4" s="1"/>
  <c r="C21" i="14"/>
  <c r="D21" i="14"/>
  <c r="C27" i="14"/>
  <c r="D27" i="14"/>
  <c r="D94" i="14"/>
  <c r="C102" i="14"/>
  <c r="C109" i="14"/>
  <c r="D109" i="14"/>
  <c r="C116" i="14"/>
  <c r="D116" i="14"/>
  <c r="C123" i="14"/>
  <c r="D123" i="14"/>
  <c r="D194" i="14"/>
  <c r="C194" i="14"/>
  <c r="D206" i="14"/>
  <c r="C206" i="14"/>
  <c r="D218" i="14"/>
  <c r="C218" i="14"/>
  <c r="D230" i="14"/>
  <c r="C230" i="14"/>
  <c r="D242" i="14"/>
  <c r="C242" i="14"/>
  <c r="D254" i="14"/>
  <c r="D284" i="12"/>
  <c r="C328" i="12"/>
  <c r="Q18" i="4" s="1"/>
  <c r="D332" i="12"/>
  <c r="R22" i="4" s="1"/>
  <c r="D22" i="13"/>
  <c r="D33" i="13"/>
  <c r="D38" i="13"/>
  <c r="D49" i="13"/>
  <c r="D54" i="13"/>
  <c r="D65" i="13"/>
  <c r="D70" i="13"/>
  <c r="D81" i="13"/>
  <c r="D86" i="13"/>
  <c r="D97" i="13"/>
  <c r="D102" i="13"/>
  <c r="D113" i="13"/>
  <c r="D118" i="13"/>
  <c r="D129" i="13"/>
  <c r="D134" i="13"/>
  <c r="D145" i="13"/>
  <c r="D150" i="13"/>
  <c r="D161" i="13"/>
  <c r="D166" i="13"/>
  <c r="D177" i="13"/>
  <c r="D182" i="13"/>
  <c r="D193" i="13"/>
  <c r="D198" i="13"/>
  <c r="D209" i="13"/>
  <c r="D214" i="13"/>
  <c r="D225" i="13"/>
  <c r="D230" i="13"/>
  <c r="D241" i="13"/>
  <c r="D246" i="13"/>
  <c r="D257" i="13"/>
  <c r="D262" i="13"/>
  <c r="D273" i="13"/>
  <c r="D278" i="13"/>
  <c r="C289" i="13"/>
  <c r="C295" i="13"/>
  <c r="C301" i="13"/>
  <c r="C307" i="13"/>
  <c r="C313" i="13"/>
  <c r="C319" i="13"/>
  <c r="O9" i="4" s="1"/>
  <c r="C325" i="13"/>
  <c r="O15" i="4" s="1"/>
  <c r="C331" i="13"/>
  <c r="O21" i="4" s="1"/>
  <c r="C337" i="13"/>
  <c r="O27" i="4" s="1"/>
  <c r="C349" i="13"/>
  <c r="O39" i="4" s="1"/>
  <c r="C12" i="14"/>
  <c r="C22" i="14"/>
  <c r="C28" i="14"/>
  <c r="D28" i="14"/>
  <c r="C35" i="14"/>
  <c r="D35" i="14"/>
  <c r="D50" i="14"/>
  <c r="D102" i="14"/>
  <c r="D122" i="14"/>
  <c r="C110" i="14"/>
  <c r="C117" i="14"/>
  <c r="D117" i="14"/>
  <c r="C124" i="14"/>
  <c r="D124" i="14"/>
  <c r="C131" i="14"/>
  <c r="D131" i="14"/>
  <c r="C195" i="14"/>
  <c r="D195" i="14"/>
  <c r="C207" i="14"/>
  <c r="D207" i="14"/>
  <c r="C219" i="14"/>
  <c r="C29" i="14"/>
  <c r="D29" i="14"/>
  <c r="C36" i="14"/>
  <c r="D36" i="14"/>
  <c r="C43" i="14"/>
  <c r="D43" i="14"/>
  <c r="C125" i="14"/>
  <c r="D125" i="14"/>
  <c r="C132" i="14"/>
  <c r="D144" i="14"/>
  <c r="D132" i="14"/>
  <c r="C147" i="14"/>
  <c r="D147" i="14"/>
  <c r="C196" i="14"/>
  <c r="D196" i="14"/>
  <c r="C208" i="14"/>
  <c r="D208" i="14"/>
  <c r="C220" i="14"/>
  <c r="D220" i="14"/>
  <c r="C232" i="14"/>
  <c r="D232" i="14"/>
  <c r="C244" i="14"/>
  <c r="D244" i="14"/>
  <c r="C256" i="14"/>
  <c r="D256" i="14"/>
  <c r="C268" i="14"/>
  <c r="D268" i="14"/>
  <c r="C280" i="14"/>
  <c r="D280" i="14"/>
  <c r="C292" i="14"/>
  <c r="D292" i="14"/>
  <c r="C304" i="14"/>
  <c r="D304" i="14"/>
  <c r="D334" i="14"/>
  <c r="T24" i="4" s="1"/>
  <c r="C334" i="14"/>
  <c r="S24" i="4" s="1"/>
  <c r="D315" i="12"/>
  <c r="R5" i="4" s="1"/>
  <c r="C320" i="12"/>
  <c r="Q10" i="4" s="1"/>
  <c r="D337" i="12"/>
  <c r="R27" i="4" s="1"/>
  <c r="C346" i="12"/>
  <c r="Q36" i="4" s="1"/>
  <c r="D350" i="12"/>
  <c r="R40" i="4" s="1"/>
  <c r="C359" i="12"/>
  <c r="Q49" i="4" s="1"/>
  <c r="D363" i="12"/>
  <c r="R53" i="4" s="1"/>
  <c r="C368" i="12"/>
  <c r="Q58" i="4" s="1"/>
  <c r="D372" i="12"/>
  <c r="R62" i="4" s="1"/>
  <c r="C23" i="13"/>
  <c r="D28" i="13"/>
  <c r="C39" i="13"/>
  <c r="D44" i="13"/>
  <c r="C55" i="13"/>
  <c r="D60" i="13"/>
  <c r="C71" i="13"/>
  <c r="D76" i="13"/>
  <c r="C87" i="13"/>
  <c r="D92" i="13"/>
  <c r="C103" i="13"/>
  <c r="D108" i="13"/>
  <c r="C119" i="13"/>
  <c r="D124" i="13"/>
  <c r="C135" i="13"/>
  <c r="D140" i="13"/>
  <c r="C151" i="13"/>
  <c r="D156" i="13"/>
  <c r="C167" i="13"/>
  <c r="D172" i="13"/>
  <c r="C183" i="13"/>
  <c r="D188" i="13"/>
  <c r="C199" i="13"/>
  <c r="D204" i="13"/>
  <c r="C215" i="13"/>
  <c r="D220" i="13"/>
  <c r="C231" i="13"/>
  <c r="D236" i="13"/>
  <c r="C247" i="13"/>
  <c r="D252" i="13"/>
  <c r="C263" i="13"/>
  <c r="D268" i="13"/>
  <c r="C279" i="13"/>
  <c r="D284" i="13"/>
  <c r="D290" i="13"/>
  <c r="D296" i="13"/>
  <c r="D302" i="13"/>
  <c r="D308" i="13"/>
  <c r="D314" i="13"/>
  <c r="P4" i="4" s="1"/>
  <c r="D320" i="13"/>
  <c r="P10" i="4" s="1"/>
  <c r="D326" i="13"/>
  <c r="P16" i="4" s="1"/>
  <c r="D332" i="13"/>
  <c r="P22" i="4" s="1"/>
  <c r="D338" i="13"/>
  <c r="P28" i="4" s="1"/>
  <c r="D344" i="13"/>
  <c r="P34" i="4" s="1"/>
  <c r="D356" i="13"/>
  <c r="P46" i="4" s="1"/>
  <c r="D376" i="13"/>
  <c r="P66" i="4" s="1"/>
  <c r="D42" i="14"/>
  <c r="C30" i="14"/>
  <c r="C37" i="14"/>
  <c r="D37" i="14"/>
  <c r="C44" i="14"/>
  <c r="D44" i="14"/>
  <c r="C51" i="14"/>
  <c r="D51" i="14"/>
  <c r="D66" i="14"/>
  <c r="D103" i="14"/>
  <c r="D118" i="14"/>
  <c r="D138" i="14"/>
  <c r="C126" i="14"/>
  <c r="C133" i="14"/>
  <c r="D133" i="14"/>
  <c r="C140" i="14"/>
  <c r="D140" i="14"/>
  <c r="C148" i="14"/>
  <c r="D160" i="14"/>
  <c r="D148" i="14"/>
  <c r="C163" i="14"/>
  <c r="D163" i="14"/>
  <c r="C197" i="14"/>
  <c r="D197" i="14"/>
  <c r="C209" i="14"/>
  <c r="D209" i="14"/>
  <c r="C71" i="15"/>
  <c r="D83" i="15"/>
  <c r="D71" i="15"/>
  <c r="D138" i="15"/>
  <c r="C138" i="15"/>
  <c r="D263" i="13"/>
  <c r="D291" i="13"/>
  <c r="D297" i="13"/>
  <c r="D303" i="13"/>
  <c r="D309" i="13"/>
  <c r="D315" i="13"/>
  <c r="P5" i="4" s="1"/>
  <c r="D321" i="13"/>
  <c r="P11" i="4" s="1"/>
  <c r="D327" i="13"/>
  <c r="P17" i="4" s="1"/>
  <c r="C334" i="13"/>
  <c r="O24" i="4" s="1"/>
  <c r="D333" i="13"/>
  <c r="P23" i="4" s="1"/>
  <c r="C346" i="13"/>
  <c r="O36" i="4" s="1"/>
  <c r="D345" i="13"/>
  <c r="P35" i="4" s="1"/>
  <c r="C14" i="14"/>
  <c r="D30" i="14"/>
  <c r="C45" i="14"/>
  <c r="D45" i="14"/>
  <c r="C52" i="14"/>
  <c r="D52" i="14"/>
  <c r="C59" i="14"/>
  <c r="D59" i="14"/>
  <c r="D96" i="14"/>
  <c r="D111" i="14"/>
  <c r="D146" i="14"/>
  <c r="C134" i="14"/>
  <c r="C141" i="14"/>
  <c r="D141" i="14"/>
  <c r="C149" i="14"/>
  <c r="D149" i="14"/>
  <c r="C156" i="14"/>
  <c r="D156" i="14"/>
  <c r="C164" i="14"/>
  <c r="D176" i="14"/>
  <c r="D164" i="14"/>
  <c r="C179" i="14"/>
  <c r="D179" i="14"/>
  <c r="D198" i="14"/>
  <c r="C198" i="14"/>
  <c r="D210" i="14"/>
  <c r="C210" i="14"/>
  <c r="D222" i="14"/>
  <c r="C222" i="14"/>
  <c r="D234" i="14"/>
  <c r="C234" i="14"/>
  <c r="D246" i="14"/>
  <c r="C246" i="14"/>
  <c r="C316" i="14"/>
  <c r="S6" i="4" s="1"/>
  <c r="D316" i="14"/>
  <c r="T6" i="4" s="1"/>
  <c r="D237" i="12"/>
  <c r="D241" i="12"/>
  <c r="D294" i="12"/>
  <c r="C303" i="12"/>
  <c r="D307" i="12"/>
  <c r="C312" i="12"/>
  <c r="D316" i="12"/>
  <c r="R6" i="4" s="1"/>
  <c r="C325" i="12"/>
  <c r="Q15" i="4" s="1"/>
  <c r="D329" i="12"/>
  <c r="R19" i="4" s="1"/>
  <c r="C338" i="12"/>
  <c r="Q28" i="4" s="1"/>
  <c r="D342" i="12"/>
  <c r="R32" i="4" s="1"/>
  <c r="C351" i="12"/>
  <c r="Q41" i="4" s="1"/>
  <c r="D355" i="12"/>
  <c r="R45" i="4" s="1"/>
  <c r="C360" i="12"/>
  <c r="Q50" i="4" s="1"/>
  <c r="D364" i="12"/>
  <c r="R54" i="4" s="1"/>
  <c r="C373" i="12"/>
  <c r="Q63" i="4" s="1"/>
  <c r="D377" i="12"/>
  <c r="C24" i="13"/>
  <c r="C29" i="13"/>
  <c r="C40" i="13"/>
  <c r="C45" i="13"/>
  <c r="C56" i="13"/>
  <c r="C61" i="13"/>
  <c r="C72" i="13"/>
  <c r="C77" i="13"/>
  <c r="C88" i="13"/>
  <c r="C93" i="13"/>
  <c r="C104" i="13"/>
  <c r="C109" i="13"/>
  <c r="C120" i="13"/>
  <c r="C125" i="13"/>
  <c r="C136" i="13"/>
  <c r="C141" i="13"/>
  <c r="C152" i="13"/>
  <c r="C157" i="13"/>
  <c r="C168" i="13"/>
  <c r="C173" i="13"/>
  <c r="C184" i="13"/>
  <c r="C189" i="13"/>
  <c r="C200" i="13"/>
  <c r="C205" i="13"/>
  <c r="C216" i="13"/>
  <c r="C221" i="13"/>
  <c r="C232" i="13"/>
  <c r="C237" i="13"/>
  <c r="C248" i="13"/>
  <c r="C253" i="13"/>
  <c r="C264" i="13"/>
  <c r="C269" i="13"/>
  <c r="C280" i="13"/>
  <c r="C285" i="13"/>
  <c r="C291" i="13"/>
  <c r="C297" i="13"/>
  <c r="C303" i="13"/>
  <c r="C309" i="13"/>
  <c r="C315" i="13"/>
  <c r="O5" i="4" s="1"/>
  <c r="C321" i="13"/>
  <c r="O11" i="4" s="1"/>
  <c r="C327" i="13"/>
  <c r="O17" i="4" s="1"/>
  <c r="C333" i="13"/>
  <c r="O23" i="4" s="1"/>
  <c r="C345" i="13"/>
  <c r="O35" i="4" s="1"/>
  <c r="C357" i="13"/>
  <c r="O47" i="4" s="1"/>
  <c r="D372" i="13"/>
  <c r="P62" i="4" s="1"/>
  <c r="D38" i="14"/>
  <c r="D58" i="14"/>
  <c r="C46" i="14"/>
  <c r="C53" i="14"/>
  <c r="D53" i="14"/>
  <c r="C60" i="14"/>
  <c r="D60" i="14"/>
  <c r="C67" i="14"/>
  <c r="D67" i="14"/>
  <c r="D82" i="14"/>
  <c r="D89" i="14"/>
  <c r="D104" i="14"/>
  <c r="D134" i="14"/>
  <c r="D154" i="14"/>
  <c r="C142" i="14"/>
  <c r="C157" i="14"/>
  <c r="D157" i="14"/>
  <c r="C165" i="14"/>
  <c r="D165" i="14"/>
  <c r="C172" i="14"/>
  <c r="D172" i="14"/>
  <c r="C180" i="14"/>
  <c r="D180" i="14"/>
  <c r="D61" i="15"/>
  <c r="C61" i="15"/>
  <c r="C286" i="12"/>
  <c r="C299" i="12"/>
  <c r="D312" i="12"/>
  <c r="C321" i="12"/>
  <c r="Q11" i="4" s="1"/>
  <c r="C334" i="12"/>
  <c r="Q24" i="4" s="1"/>
  <c r="C347" i="12"/>
  <c r="Q37" i="4" s="1"/>
  <c r="D360" i="12"/>
  <c r="R50" i="4" s="1"/>
  <c r="C369" i="12"/>
  <c r="Q59" i="4" s="1"/>
  <c r="C30" i="13"/>
  <c r="D40" i="13"/>
  <c r="C46" i="13"/>
  <c r="D56" i="13"/>
  <c r="C62" i="13"/>
  <c r="D72" i="13"/>
  <c r="C78" i="13"/>
  <c r="D88" i="13"/>
  <c r="C94" i="13"/>
  <c r="D104" i="13"/>
  <c r="C110" i="13"/>
  <c r="D120" i="13"/>
  <c r="C126" i="13"/>
  <c r="D136" i="13"/>
  <c r="C142" i="13"/>
  <c r="D152" i="13"/>
  <c r="C158" i="13"/>
  <c r="D168" i="13"/>
  <c r="C174" i="13"/>
  <c r="D184" i="13"/>
  <c r="C190" i="13"/>
  <c r="D200" i="13"/>
  <c r="C206" i="13"/>
  <c r="D216" i="13"/>
  <c r="C222" i="13"/>
  <c r="D232" i="13"/>
  <c r="C238" i="13"/>
  <c r="D248" i="13"/>
  <c r="C254" i="13"/>
  <c r="D264" i="13"/>
  <c r="C270" i="13"/>
  <c r="D280" i="13"/>
  <c r="C286" i="13"/>
  <c r="C292" i="13"/>
  <c r="C298" i="13"/>
  <c r="C304" i="13"/>
  <c r="C310" i="13"/>
  <c r="C316" i="13"/>
  <c r="O6" i="4" s="1"/>
  <c r="C322" i="13"/>
  <c r="O12" i="4" s="1"/>
  <c r="C328" i="13"/>
  <c r="O18" i="4" s="1"/>
  <c r="C61" i="14"/>
  <c r="D61" i="14"/>
  <c r="C68" i="14"/>
  <c r="D68" i="14"/>
  <c r="C75" i="14"/>
  <c r="D75" i="14"/>
  <c r="D97" i="14"/>
  <c r="D170" i="14"/>
  <c r="C158" i="14"/>
  <c r="C173" i="14"/>
  <c r="D173" i="14"/>
  <c r="C181" i="14"/>
  <c r="D181" i="14"/>
  <c r="C188" i="14"/>
  <c r="D188" i="14"/>
  <c r="C200" i="14"/>
  <c r="D200" i="14"/>
  <c r="C212" i="14"/>
  <c r="D212" i="14"/>
  <c r="C224" i="14"/>
  <c r="D224" i="14"/>
  <c r="C236" i="14"/>
  <c r="D236" i="14"/>
  <c r="C248" i="14"/>
  <c r="D248" i="14"/>
  <c r="C304" i="12"/>
  <c r="D308" i="12"/>
  <c r="C352" i="12"/>
  <c r="Q42" i="4" s="1"/>
  <c r="D356" i="12"/>
  <c r="R46" i="4" s="1"/>
  <c r="D25" i="13"/>
  <c r="D30" i="13"/>
  <c r="D41" i="13"/>
  <c r="D46" i="13"/>
  <c r="D57" i="13"/>
  <c r="D62" i="13"/>
  <c r="D73" i="13"/>
  <c r="D78" i="13"/>
  <c r="D89" i="13"/>
  <c r="D94" i="13"/>
  <c r="D105" i="13"/>
  <c r="D110" i="13"/>
  <c r="D121" i="13"/>
  <c r="D126" i="13"/>
  <c r="D137" i="13"/>
  <c r="D142" i="13"/>
  <c r="D153" i="13"/>
  <c r="D158" i="13"/>
  <c r="D169" i="13"/>
  <c r="D174" i="13"/>
  <c r="D185" i="13"/>
  <c r="D190" i="13"/>
  <c r="D201" i="13"/>
  <c r="D206" i="13"/>
  <c r="D217" i="13"/>
  <c r="D222" i="13"/>
  <c r="D233" i="13"/>
  <c r="D238" i="13"/>
  <c r="D249" i="13"/>
  <c r="D254" i="13"/>
  <c r="D265" i="13"/>
  <c r="D270" i="13"/>
  <c r="D281" i="13"/>
  <c r="D286" i="13"/>
  <c r="D292" i="13"/>
  <c r="D298" i="13"/>
  <c r="D304" i="13"/>
  <c r="D310" i="13"/>
  <c r="D316" i="13"/>
  <c r="P6" i="4" s="1"/>
  <c r="D322" i="13"/>
  <c r="P12" i="4" s="1"/>
  <c r="D328" i="13"/>
  <c r="P18" i="4" s="1"/>
  <c r="D334" i="13"/>
  <c r="P24" i="4" s="1"/>
  <c r="D340" i="13"/>
  <c r="P30" i="4" s="1"/>
  <c r="D352" i="13"/>
  <c r="P42" i="4" s="1"/>
  <c r="D368" i="13"/>
  <c r="P58" i="4" s="1"/>
  <c r="D54" i="14"/>
  <c r="D74" i="14"/>
  <c r="C62" i="14"/>
  <c r="C69" i="14"/>
  <c r="D69" i="14"/>
  <c r="C76" i="14"/>
  <c r="D76" i="14"/>
  <c r="C83" i="14"/>
  <c r="D83" i="14"/>
  <c r="D98" i="14"/>
  <c r="D158" i="14"/>
  <c r="D186" i="14"/>
  <c r="C174" i="14"/>
  <c r="C189" i="14"/>
  <c r="D189" i="14"/>
  <c r="C201" i="14"/>
  <c r="D201" i="14"/>
  <c r="C213" i="14"/>
  <c r="D213" i="14"/>
  <c r="C328" i="14"/>
  <c r="S18" i="4" s="1"/>
  <c r="D328" i="14"/>
  <c r="T18" i="4" s="1"/>
  <c r="D346" i="14"/>
  <c r="T36" i="4" s="1"/>
  <c r="C346" i="14"/>
  <c r="S36" i="4" s="1"/>
  <c r="D42" i="15"/>
  <c r="C42" i="15"/>
  <c r="C119" i="15"/>
  <c r="D131" i="15"/>
  <c r="D119" i="15"/>
  <c r="C25" i="14"/>
  <c r="C41" i="14"/>
  <c r="C57" i="14"/>
  <c r="C73" i="14"/>
  <c r="C89" i="14"/>
  <c r="C105" i="14"/>
  <c r="C121" i="14"/>
  <c r="C137" i="14"/>
  <c r="C153" i="14"/>
  <c r="C169" i="14"/>
  <c r="C185" i="14"/>
  <c r="C15" i="15"/>
  <c r="C14" i="15"/>
  <c r="D33" i="15"/>
  <c r="C33" i="15"/>
  <c r="C43" i="15"/>
  <c r="D62" i="15"/>
  <c r="C62" i="15"/>
  <c r="D81" i="15"/>
  <c r="C81" i="15"/>
  <c r="C91" i="15"/>
  <c r="D110" i="15"/>
  <c r="C110" i="15"/>
  <c r="C139" i="15"/>
  <c r="C222" i="15"/>
  <c r="D221" i="15"/>
  <c r="C221" i="15"/>
  <c r="D233" i="15"/>
  <c r="C215" i="14"/>
  <c r="C221" i="14"/>
  <c r="C227" i="14"/>
  <c r="C233" i="14"/>
  <c r="C239" i="14"/>
  <c r="C245" i="14"/>
  <c r="C251" i="14"/>
  <c r="C257" i="14"/>
  <c r="C263" i="14"/>
  <c r="C269" i="14"/>
  <c r="C275" i="14"/>
  <c r="C281" i="14"/>
  <c r="C287" i="14"/>
  <c r="C293" i="14"/>
  <c r="C299" i="14"/>
  <c r="C305" i="14"/>
  <c r="C311" i="14"/>
  <c r="C317" i="14"/>
  <c r="S7" i="4" s="1"/>
  <c r="C323" i="14"/>
  <c r="S13" i="4" s="1"/>
  <c r="C329" i="14"/>
  <c r="S19" i="4" s="1"/>
  <c r="C335" i="14"/>
  <c r="S25" i="4" s="1"/>
  <c r="C341" i="14"/>
  <c r="S31" i="4" s="1"/>
  <c r="C347" i="14"/>
  <c r="S37" i="4" s="1"/>
  <c r="D34" i="15"/>
  <c r="C34" i="15"/>
  <c r="D53" i="15"/>
  <c r="C53" i="15"/>
  <c r="D82" i="15"/>
  <c r="C82" i="15"/>
  <c r="D101" i="15"/>
  <c r="C101" i="15"/>
  <c r="D130" i="15"/>
  <c r="C130" i="15"/>
  <c r="C168" i="15"/>
  <c r="C320" i="15"/>
  <c r="I10" i="4" s="1"/>
  <c r="D332" i="15"/>
  <c r="J22" i="4" s="1"/>
  <c r="C321" i="15"/>
  <c r="I11" i="4" s="1"/>
  <c r="D320" i="15"/>
  <c r="J10" i="4" s="1"/>
  <c r="C337" i="15"/>
  <c r="I27" i="4" s="1"/>
  <c r="D336" i="15"/>
  <c r="J26" i="4" s="1"/>
  <c r="C336" i="15"/>
  <c r="I26" i="4" s="1"/>
  <c r="D362" i="15"/>
  <c r="J52" i="4" s="1"/>
  <c r="C362" i="15"/>
  <c r="I52" i="4" s="1"/>
  <c r="C40" i="16"/>
  <c r="D39" i="16"/>
  <c r="C39" i="16"/>
  <c r="D259" i="16"/>
  <c r="C259" i="16"/>
  <c r="D338" i="16"/>
  <c r="V28" i="4" s="1"/>
  <c r="C338" i="16"/>
  <c r="U28" i="4" s="1"/>
  <c r="C36" i="17"/>
  <c r="C37" i="17"/>
  <c r="D36" i="17"/>
  <c r="C71" i="17"/>
  <c r="D71" i="17"/>
  <c r="D353" i="13"/>
  <c r="P43" i="4" s="1"/>
  <c r="D357" i="13"/>
  <c r="P47" i="4" s="1"/>
  <c r="D361" i="13"/>
  <c r="P51" i="4" s="1"/>
  <c r="D365" i="13"/>
  <c r="P55" i="4" s="1"/>
  <c r="D369" i="13"/>
  <c r="P59" i="4" s="1"/>
  <c r="D373" i="13"/>
  <c r="P63" i="4" s="1"/>
  <c r="C31" i="14"/>
  <c r="C47" i="14"/>
  <c r="C63" i="14"/>
  <c r="C79" i="14"/>
  <c r="C95" i="14"/>
  <c r="C111" i="14"/>
  <c r="C127" i="14"/>
  <c r="C143" i="14"/>
  <c r="C159" i="14"/>
  <c r="C175" i="14"/>
  <c r="D215" i="14"/>
  <c r="D221" i="14"/>
  <c r="D227" i="14"/>
  <c r="D233" i="14"/>
  <c r="D239" i="14"/>
  <c r="D245" i="14"/>
  <c r="D251" i="14"/>
  <c r="D257" i="14"/>
  <c r="D263" i="14"/>
  <c r="D269" i="14"/>
  <c r="D275" i="14"/>
  <c r="D281" i="14"/>
  <c r="D287" i="14"/>
  <c r="D293" i="14"/>
  <c r="D299" i="14"/>
  <c r="D305" i="14"/>
  <c r="D311" i="14"/>
  <c r="D317" i="14"/>
  <c r="T7" i="4" s="1"/>
  <c r="D323" i="14"/>
  <c r="T13" i="4" s="1"/>
  <c r="D329" i="14"/>
  <c r="T19" i="4" s="1"/>
  <c r="D341" i="14"/>
  <c r="T31" i="4" s="1"/>
  <c r="D25" i="15"/>
  <c r="C25" i="15"/>
  <c r="C35" i="15"/>
  <c r="D54" i="15"/>
  <c r="C54" i="15"/>
  <c r="D63" i="15"/>
  <c r="D73" i="15"/>
  <c r="C73" i="15"/>
  <c r="C83" i="15"/>
  <c r="D102" i="15"/>
  <c r="C102" i="15"/>
  <c r="D111" i="15"/>
  <c r="D121" i="15"/>
  <c r="C131" i="15"/>
  <c r="D150" i="15"/>
  <c r="C150" i="15"/>
  <c r="D159" i="15"/>
  <c r="D269" i="15"/>
  <c r="C346" i="15"/>
  <c r="I36" i="4" s="1"/>
  <c r="D346" i="15"/>
  <c r="J36" i="4" s="1"/>
  <c r="D258" i="14"/>
  <c r="D270" i="14"/>
  <c r="D282" i="14"/>
  <c r="D294" i="14"/>
  <c r="D306" i="14"/>
  <c r="D318" i="14"/>
  <c r="T8" i="4" s="1"/>
  <c r="D330" i="14"/>
  <c r="T20" i="4" s="1"/>
  <c r="D342" i="14"/>
  <c r="T32" i="4" s="1"/>
  <c r="D26" i="15"/>
  <c r="C26" i="15"/>
  <c r="D45" i="15"/>
  <c r="C45" i="15"/>
  <c r="D74" i="15"/>
  <c r="C74" i="15"/>
  <c r="D93" i="15"/>
  <c r="C93" i="15"/>
  <c r="D122" i="15"/>
  <c r="C122" i="15"/>
  <c r="D252" i="14"/>
  <c r="C258" i="14"/>
  <c r="D264" i="14"/>
  <c r="C270" i="14"/>
  <c r="D276" i="14"/>
  <c r="C282" i="14"/>
  <c r="D288" i="14"/>
  <c r="C294" i="14"/>
  <c r="D300" i="14"/>
  <c r="C306" i="14"/>
  <c r="D312" i="14"/>
  <c r="C318" i="14"/>
  <c r="S8" i="4" s="1"/>
  <c r="D324" i="14"/>
  <c r="T14" i="4" s="1"/>
  <c r="C330" i="14"/>
  <c r="S20" i="4" s="1"/>
  <c r="D336" i="14"/>
  <c r="T26" i="4" s="1"/>
  <c r="C342" i="14"/>
  <c r="S32" i="4" s="1"/>
  <c r="D348" i="14"/>
  <c r="T38" i="4" s="1"/>
  <c r="D360" i="14"/>
  <c r="T50" i="4" s="1"/>
  <c r="D46" i="15"/>
  <c r="C46" i="15"/>
  <c r="D55" i="15"/>
  <c r="D65" i="15"/>
  <c r="C65" i="15"/>
  <c r="D94" i="15"/>
  <c r="C94" i="15"/>
  <c r="D103" i="15"/>
  <c r="D113" i="15"/>
  <c r="D142" i="15"/>
  <c r="C142" i="15"/>
  <c r="D151" i="15"/>
  <c r="C249" i="15"/>
  <c r="D248" i="15"/>
  <c r="C248" i="15"/>
  <c r="D260" i="15"/>
  <c r="C193" i="14"/>
  <c r="C199" i="14"/>
  <c r="C205" i="14"/>
  <c r="C211" i="14"/>
  <c r="C217" i="14"/>
  <c r="C223" i="14"/>
  <c r="C229" i="14"/>
  <c r="C235" i="14"/>
  <c r="C241" i="14"/>
  <c r="C247" i="14"/>
  <c r="C253" i="14"/>
  <c r="C259" i="14"/>
  <c r="C265" i="14"/>
  <c r="C271" i="14"/>
  <c r="C277" i="14"/>
  <c r="C283" i="14"/>
  <c r="C289" i="14"/>
  <c r="C295" i="14"/>
  <c r="C301" i="14"/>
  <c r="C307" i="14"/>
  <c r="C313" i="14"/>
  <c r="C319" i="14"/>
  <c r="S9" i="4" s="1"/>
  <c r="C325" i="14"/>
  <c r="S15" i="4" s="1"/>
  <c r="C331" i="14"/>
  <c r="S21" i="4" s="1"/>
  <c r="C337" i="14"/>
  <c r="S27" i="4" s="1"/>
  <c r="C343" i="14"/>
  <c r="S33" i="4" s="1"/>
  <c r="C349" i="14"/>
  <c r="S39" i="4" s="1"/>
  <c r="C9" i="15"/>
  <c r="C8" i="15"/>
  <c r="D27" i="15"/>
  <c r="D37" i="15"/>
  <c r="C37" i="15"/>
  <c r="C47" i="15"/>
  <c r="D66" i="15"/>
  <c r="C66" i="15"/>
  <c r="D75" i="15"/>
  <c r="D85" i="15"/>
  <c r="C85" i="15"/>
  <c r="C95" i="15"/>
  <c r="D114" i="15"/>
  <c r="C114" i="15"/>
  <c r="D123" i="15"/>
  <c r="C143" i="15"/>
  <c r="D171" i="15"/>
  <c r="C209" i="15"/>
  <c r="D208" i="15"/>
  <c r="C208" i="15"/>
  <c r="D220" i="15"/>
  <c r="D372" i="15"/>
  <c r="J62" i="4" s="1"/>
  <c r="C372" i="15"/>
  <c r="I62" i="4" s="1"/>
  <c r="D57" i="16"/>
  <c r="C57" i="16"/>
  <c r="D69" i="16"/>
  <c r="D139" i="14"/>
  <c r="C150" i="14"/>
  <c r="D155" i="14"/>
  <c r="C166" i="14"/>
  <c r="D171" i="14"/>
  <c r="D187" i="14"/>
  <c r="D193" i="14"/>
  <c r="D199" i="14"/>
  <c r="D205" i="14"/>
  <c r="D211" i="14"/>
  <c r="D217" i="14"/>
  <c r="D223" i="14"/>
  <c r="D229" i="14"/>
  <c r="D235" i="14"/>
  <c r="D241" i="14"/>
  <c r="D247" i="14"/>
  <c r="D253" i="14"/>
  <c r="D259" i="14"/>
  <c r="D265" i="14"/>
  <c r="D271" i="14"/>
  <c r="D277" i="14"/>
  <c r="D283" i="14"/>
  <c r="D289" i="14"/>
  <c r="D295" i="14"/>
  <c r="D301" i="14"/>
  <c r="D38" i="15"/>
  <c r="C38" i="15"/>
  <c r="D57" i="15"/>
  <c r="C57" i="15"/>
  <c r="D86" i="15"/>
  <c r="C86" i="15"/>
  <c r="D105" i="15"/>
  <c r="C105" i="15"/>
  <c r="D134" i="15"/>
  <c r="C134" i="15"/>
  <c r="C172" i="15"/>
  <c r="C315" i="15"/>
  <c r="I5" i="4" s="1"/>
  <c r="D327" i="15"/>
  <c r="J17" i="4" s="1"/>
  <c r="C316" i="15"/>
  <c r="I6" i="4" s="1"/>
  <c r="D315" i="15"/>
  <c r="J5" i="4" s="1"/>
  <c r="D50" i="16"/>
  <c r="C50" i="16"/>
  <c r="D266" i="14"/>
  <c r="D278" i="14"/>
  <c r="D290" i="14"/>
  <c r="D302" i="14"/>
  <c r="D314" i="14"/>
  <c r="T4" i="4" s="1"/>
  <c r="D326" i="14"/>
  <c r="T16" i="4" s="1"/>
  <c r="D338" i="14"/>
  <c r="T28" i="4" s="1"/>
  <c r="D362" i="14"/>
  <c r="T52" i="4" s="1"/>
  <c r="D350" i="14"/>
  <c r="T40" i="4" s="1"/>
  <c r="D19" i="15"/>
  <c r="D29" i="15"/>
  <c r="C29" i="15"/>
  <c r="C39" i="15"/>
  <c r="D58" i="15"/>
  <c r="C58" i="15"/>
  <c r="D67" i="15"/>
  <c r="D77" i="15"/>
  <c r="C77" i="15"/>
  <c r="C87" i="15"/>
  <c r="D106" i="15"/>
  <c r="C106" i="15"/>
  <c r="D115" i="15"/>
  <c r="C135" i="15"/>
  <c r="D154" i="15"/>
  <c r="C154" i="15"/>
  <c r="D163" i="15"/>
  <c r="D353" i="15"/>
  <c r="J43" i="4" s="1"/>
  <c r="C342" i="15"/>
  <c r="I32" i="4" s="1"/>
  <c r="D341" i="15"/>
  <c r="J31" i="4" s="1"/>
  <c r="C341" i="15"/>
  <c r="I31" i="4" s="1"/>
  <c r="D335" i="13"/>
  <c r="P25" i="4" s="1"/>
  <c r="D339" i="13"/>
  <c r="P29" i="4" s="1"/>
  <c r="D343" i="13"/>
  <c r="P33" i="4" s="1"/>
  <c r="C23" i="14"/>
  <c r="C39" i="14"/>
  <c r="C55" i="14"/>
  <c r="C71" i="14"/>
  <c r="C87" i="14"/>
  <c r="C103" i="14"/>
  <c r="C119" i="14"/>
  <c r="C135" i="14"/>
  <c r="C151" i="14"/>
  <c r="C167" i="14"/>
  <c r="C183" i="14"/>
  <c r="C254" i="14"/>
  <c r="D260" i="14"/>
  <c r="C266" i="14"/>
  <c r="D272" i="14"/>
  <c r="C278" i="14"/>
  <c r="D284" i="14"/>
  <c r="C290" i="14"/>
  <c r="D296" i="14"/>
  <c r="C302" i="14"/>
  <c r="D308" i="14"/>
  <c r="C314" i="14"/>
  <c r="S4" i="4" s="1"/>
  <c r="D320" i="14"/>
  <c r="T10" i="4" s="1"/>
  <c r="C326" i="14"/>
  <c r="S16" i="4" s="1"/>
  <c r="D332" i="14"/>
  <c r="T22" i="4" s="1"/>
  <c r="C338" i="14"/>
  <c r="S28" i="4" s="1"/>
  <c r="D344" i="14"/>
  <c r="T34" i="4" s="1"/>
  <c r="C350" i="14"/>
  <c r="S40" i="4" s="1"/>
  <c r="D356" i="14"/>
  <c r="T46" i="4" s="1"/>
  <c r="D30" i="15"/>
  <c r="C30" i="15"/>
  <c r="D39" i="15"/>
  <c r="D49" i="15"/>
  <c r="C49" i="15"/>
  <c r="D78" i="15"/>
  <c r="C78" i="15"/>
  <c r="D87" i="15"/>
  <c r="D97" i="15"/>
  <c r="C97" i="15"/>
  <c r="D126" i="15"/>
  <c r="C126" i="15"/>
  <c r="D135" i="15"/>
  <c r="C164" i="15"/>
  <c r="C258" i="15"/>
  <c r="D257" i="15"/>
  <c r="C257" i="15"/>
  <c r="D85" i="16"/>
  <c r="C85" i="16"/>
  <c r="C225" i="14"/>
  <c r="C231" i="14"/>
  <c r="C237" i="14"/>
  <c r="C243" i="14"/>
  <c r="C249" i="14"/>
  <c r="C255" i="14"/>
  <c r="C261" i="14"/>
  <c r="C267" i="14"/>
  <c r="C273" i="14"/>
  <c r="C279" i="14"/>
  <c r="C285" i="14"/>
  <c r="C291" i="14"/>
  <c r="C297" i="14"/>
  <c r="C303" i="14"/>
  <c r="C309" i="14"/>
  <c r="C315" i="14"/>
  <c r="S5" i="4" s="1"/>
  <c r="C321" i="14"/>
  <c r="S11" i="4" s="1"/>
  <c r="C327" i="14"/>
  <c r="S17" i="4" s="1"/>
  <c r="C333" i="14"/>
  <c r="S23" i="4" s="1"/>
  <c r="C339" i="14"/>
  <c r="S29" i="4" s="1"/>
  <c r="C345" i="14"/>
  <c r="S35" i="4" s="1"/>
  <c r="C351" i="14"/>
  <c r="S41" i="4" s="1"/>
  <c r="C11" i="15"/>
  <c r="D21" i="15"/>
  <c r="C21" i="15"/>
  <c r="C31" i="15"/>
  <c r="D50" i="15"/>
  <c r="C50" i="15"/>
  <c r="D59" i="15"/>
  <c r="D69" i="15"/>
  <c r="C69" i="15"/>
  <c r="C79" i="15"/>
  <c r="D98" i="15"/>
  <c r="C98" i="15"/>
  <c r="D107" i="15"/>
  <c r="D117" i="15"/>
  <c r="D146" i="15"/>
  <c r="C146" i="15"/>
  <c r="D155" i="15"/>
  <c r="D234" i="15"/>
  <c r="C234" i="15"/>
  <c r="C24" i="14"/>
  <c r="C40" i="14"/>
  <c r="C56" i="14"/>
  <c r="C72" i="14"/>
  <c r="C88" i="14"/>
  <c r="C104" i="14"/>
  <c r="C120" i="14"/>
  <c r="C136" i="14"/>
  <c r="D219" i="14"/>
  <c r="D225" i="14"/>
  <c r="D231" i="14"/>
  <c r="D237" i="14"/>
  <c r="D243" i="14"/>
  <c r="D249" i="14"/>
  <c r="D255" i="14"/>
  <c r="D261" i="14"/>
  <c r="D267" i="14"/>
  <c r="D273" i="14"/>
  <c r="D279" i="14"/>
  <c r="D285" i="14"/>
  <c r="D291" i="14"/>
  <c r="D297" i="14"/>
  <c r="D303" i="14"/>
  <c r="D309" i="14"/>
  <c r="D315" i="14"/>
  <c r="T5" i="4" s="1"/>
  <c r="D321" i="14"/>
  <c r="T11" i="4" s="1"/>
  <c r="D333" i="14"/>
  <c r="T23" i="4" s="1"/>
  <c r="D22" i="15"/>
  <c r="C22" i="15"/>
  <c r="D41" i="15"/>
  <c r="C41" i="15"/>
  <c r="D70" i="15"/>
  <c r="C70" i="15"/>
  <c r="D89" i="15"/>
  <c r="C89" i="15"/>
  <c r="D118" i="15"/>
  <c r="C118" i="15"/>
  <c r="C243" i="15"/>
  <c r="C244" i="15"/>
  <c r="D243" i="15"/>
  <c r="D278" i="15"/>
  <c r="D266" i="15"/>
  <c r="C266" i="15"/>
  <c r="D34" i="16"/>
  <c r="D22" i="16"/>
  <c r="C22" i="16"/>
  <c r="D44" i="16"/>
  <c r="C44" i="16"/>
  <c r="D211" i="15"/>
  <c r="D62" i="16"/>
  <c r="D83" i="16"/>
  <c r="C83" i="16"/>
  <c r="C123" i="16"/>
  <c r="D122" i="16"/>
  <c r="D199" i="16"/>
  <c r="D187" i="16"/>
  <c r="C187" i="16"/>
  <c r="D223" i="16"/>
  <c r="D211" i="16"/>
  <c r="C211" i="16"/>
  <c r="D189" i="17"/>
  <c r="C189" i="17"/>
  <c r="D250" i="17"/>
  <c r="C250" i="17"/>
  <c r="C259" i="17"/>
  <c r="D259" i="17"/>
  <c r="D278" i="17"/>
  <c r="C278" i="17"/>
  <c r="D326" i="17"/>
  <c r="AB16" i="4" s="1"/>
  <c r="C326" i="17"/>
  <c r="AA16" i="4" s="1"/>
  <c r="D56" i="18"/>
  <c r="C56" i="18"/>
  <c r="C179" i="15"/>
  <c r="C183" i="15"/>
  <c r="C187" i="15"/>
  <c r="C191" i="15"/>
  <c r="C195" i="15"/>
  <c r="C199" i="15"/>
  <c r="C203" i="15"/>
  <c r="D207" i="15"/>
  <c r="C216" i="15"/>
  <c r="C229" i="15"/>
  <c r="D242" i="15"/>
  <c r="D247" i="15"/>
  <c r="C270" i="15"/>
  <c r="C280" i="15"/>
  <c r="C309" i="15"/>
  <c r="D319" i="15"/>
  <c r="J9" i="4" s="1"/>
  <c r="C335" i="15"/>
  <c r="I25" i="4" s="1"/>
  <c r="D335" i="15"/>
  <c r="J25" i="4" s="1"/>
  <c r="D340" i="15"/>
  <c r="J30" i="4" s="1"/>
  <c r="C351" i="15"/>
  <c r="I41" i="4" s="1"/>
  <c r="D351" i="15"/>
  <c r="J41" i="4" s="1"/>
  <c r="C361" i="15"/>
  <c r="I51" i="4" s="1"/>
  <c r="C366" i="15"/>
  <c r="I56" i="4" s="1"/>
  <c r="D371" i="15"/>
  <c r="J61" i="4" s="1"/>
  <c r="D38" i="16"/>
  <c r="C38" i="16"/>
  <c r="D63" i="16"/>
  <c r="C63" i="16"/>
  <c r="C122" i="16"/>
  <c r="D144" i="16"/>
  <c r="C144" i="16"/>
  <c r="D247" i="16"/>
  <c r="D235" i="16"/>
  <c r="C235" i="16"/>
  <c r="D354" i="14"/>
  <c r="T44" i="4" s="1"/>
  <c r="D358" i="14"/>
  <c r="T48" i="4" s="1"/>
  <c r="D212" i="15"/>
  <c r="D225" i="15"/>
  <c r="D252" i="15"/>
  <c r="D261" i="15"/>
  <c r="C271" i="15"/>
  <c r="D276" i="15"/>
  <c r="D281" i="15"/>
  <c r="C291" i="15"/>
  <c r="D326" i="15"/>
  <c r="J16" i="4" s="1"/>
  <c r="D356" i="15"/>
  <c r="J46" i="4" s="1"/>
  <c r="C8" i="16"/>
  <c r="D28" i="16"/>
  <c r="C28" i="16"/>
  <c r="D51" i="16"/>
  <c r="C51" i="16"/>
  <c r="D86" i="16"/>
  <c r="D175" i="16"/>
  <c r="D163" i="16"/>
  <c r="C163" i="16"/>
  <c r="C20" i="15"/>
  <c r="C24" i="15"/>
  <c r="C28" i="15"/>
  <c r="C32" i="15"/>
  <c r="C36" i="15"/>
  <c r="C40" i="15"/>
  <c r="C44" i="15"/>
  <c r="C48" i="15"/>
  <c r="C52" i="15"/>
  <c r="C56" i="15"/>
  <c r="C60" i="15"/>
  <c r="C64" i="15"/>
  <c r="C68" i="15"/>
  <c r="C72" i="15"/>
  <c r="C76" i="15"/>
  <c r="C80" i="15"/>
  <c r="C84" i="15"/>
  <c r="C88" i="15"/>
  <c r="C92" i="15"/>
  <c r="C96" i="15"/>
  <c r="C100" i="15"/>
  <c r="C104" i="15"/>
  <c r="C108" i="15"/>
  <c r="C112" i="15"/>
  <c r="C116" i="15"/>
  <c r="C120" i="15"/>
  <c r="C124" i="15"/>
  <c r="C128" i="15"/>
  <c r="C132" i="15"/>
  <c r="C136" i="15"/>
  <c r="C140" i="15"/>
  <c r="C144" i="15"/>
  <c r="C148" i="15"/>
  <c r="C152" i="15"/>
  <c r="C156" i="15"/>
  <c r="C160" i="15"/>
  <c r="D271" i="15"/>
  <c r="C276" i="15"/>
  <c r="C281" i="15"/>
  <c r="C286" i="15"/>
  <c r="C296" i="15"/>
  <c r="C310" i="15"/>
  <c r="D316" i="15"/>
  <c r="J6" i="4" s="1"/>
  <c r="C326" i="15"/>
  <c r="I16" i="4" s="1"/>
  <c r="D331" i="15"/>
  <c r="J21" i="4" s="1"/>
  <c r="C373" i="15"/>
  <c r="I63" i="4" s="1"/>
  <c r="D29" i="16"/>
  <c r="C46" i="16"/>
  <c r="C45" i="16"/>
  <c r="C59" i="16"/>
  <c r="C58" i="16"/>
  <c r="C88" i="16"/>
  <c r="D87" i="16"/>
  <c r="C110" i="16"/>
  <c r="D109" i="16"/>
  <c r="D131" i="16"/>
  <c r="C131" i="16"/>
  <c r="D147" i="16"/>
  <c r="D370" i="16"/>
  <c r="V60" i="4" s="1"/>
  <c r="C370" i="16"/>
  <c r="U60" i="4" s="1"/>
  <c r="D152" i="15"/>
  <c r="D156" i="15"/>
  <c r="D160" i="15"/>
  <c r="D217" i="15"/>
  <c r="D230" i="15"/>
  <c r="C235" i="15"/>
  <c r="D239" i="15"/>
  <c r="C262" i="15"/>
  <c r="C267" i="15"/>
  <c r="D286" i="15"/>
  <c r="D310" i="15"/>
  <c r="D337" i="15"/>
  <c r="J27" i="4" s="1"/>
  <c r="D342" i="15"/>
  <c r="J32" i="4" s="1"/>
  <c r="D347" i="15"/>
  <c r="J37" i="4" s="1"/>
  <c r="D357" i="15"/>
  <c r="J47" i="4" s="1"/>
  <c r="C363" i="15"/>
  <c r="I53" i="4" s="1"/>
  <c r="D373" i="15"/>
  <c r="J63" i="4" s="1"/>
  <c r="C23" i="16"/>
  <c r="C29" i="16"/>
  <c r="D45" i="16"/>
  <c r="C52" i="16"/>
  <c r="D58" i="16"/>
  <c r="D65" i="16"/>
  <c r="C87" i="16"/>
  <c r="C109" i="16"/>
  <c r="D322" i="16"/>
  <c r="V12" i="4" s="1"/>
  <c r="C322" i="16"/>
  <c r="U12" i="4" s="1"/>
  <c r="C371" i="16"/>
  <c r="U61" i="4" s="1"/>
  <c r="D213" i="15"/>
  <c r="D226" i="15"/>
  <c r="D235" i="15"/>
  <c r="D253" i="15"/>
  <c r="D301" i="15"/>
  <c r="C311" i="15"/>
  <c r="D311" i="15"/>
  <c r="D348" i="15"/>
  <c r="J38" i="4" s="1"/>
  <c r="D363" i="15"/>
  <c r="J53" i="4" s="1"/>
  <c r="D374" i="15"/>
  <c r="J64" i="4" s="1"/>
  <c r="C374" i="15"/>
  <c r="I64" i="4" s="1"/>
  <c r="D23" i="16"/>
  <c r="D66" i="16"/>
  <c r="C66" i="16"/>
  <c r="D73" i="16"/>
  <c r="D110" i="16"/>
  <c r="C84" i="17"/>
  <c r="C85" i="17"/>
  <c r="D96" i="17"/>
  <c r="D84" i="17"/>
  <c r="C113" i="15"/>
  <c r="C117" i="15"/>
  <c r="C121" i="15"/>
  <c r="C125" i="15"/>
  <c r="C129" i="15"/>
  <c r="C133" i="15"/>
  <c r="C137" i="15"/>
  <c r="C141" i="15"/>
  <c r="C145" i="15"/>
  <c r="C149" i="15"/>
  <c r="C153" i="15"/>
  <c r="C157" i="15"/>
  <c r="C161" i="15"/>
  <c r="C165" i="15"/>
  <c r="C169" i="15"/>
  <c r="C173" i="15"/>
  <c r="C177" i="15"/>
  <c r="D231" i="15"/>
  <c r="D287" i="15"/>
  <c r="D302" i="15"/>
  <c r="C348" i="15"/>
  <c r="I38" i="4" s="1"/>
  <c r="C358" i="15"/>
  <c r="I48" i="4" s="1"/>
  <c r="D364" i="15"/>
  <c r="J54" i="4" s="1"/>
  <c r="D118" i="16"/>
  <c r="C118" i="16"/>
  <c r="D134" i="16"/>
  <c r="D306" i="16"/>
  <c r="C306" i="16"/>
  <c r="D227" i="15"/>
  <c r="D263" i="15"/>
  <c r="C302" i="15"/>
  <c r="D307" i="15"/>
  <c r="D312" i="15"/>
  <c r="D317" i="15"/>
  <c r="J7" i="4" s="1"/>
  <c r="D322" i="15"/>
  <c r="J12" i="4" s="1"/>
  <c r="C328" i="15"/>
  <c r="I18" i="4" s="1"/>
  <c r="D338" i="15"/>
  <c r="J28" i="4" s="1"/>
  <c r="D343" i="15"/>
  <c r="J33" i="4" s="1"/>
  <c r="D358" i="15"/>
  <c r="J48" i="4" s="1"/>
  <c r="D375" i="15"/>
  <c r="J65" i="4" s="1"/>
  <c r="D19" i="16"/>
  <c r="C35" i="16"/>
  <c r="C67" i="16"/>
  <c r="C74" i="16"/>
  <c r="D95" i="16"/>
  <c r="C136" i="16"/>
  <c r="D135" i="16"/>
  <c r="D271" i="16"/>
  <c r="D214" i="15"/>
  <c r="D254" i="15"/>
  <c r="D259" i="15"/>
  <c r="C303" i="15"/>
  <c r="D303" i="15"/>
  <c r="C359" i="15"/>
  <c r="I49" i="4" s="1"/>
  <c r="D359" i="15"/>
  <c r="J49" i="4" s="1"/>
  <c r="D25" i="16"/>
  <c r="C25" i="16"/>
  <c r="D35" i="16"/>
  <c r="D74" i="16"/>
  <c r="D96" i="16"/>
  <c r="C97" i="16"/>
  <c r="C96" i="16"/>
  <c r="C135" i="16"/>
  <c r="D290" i="16"/>
  <c r="C290" i="16"/>
  <c r="C158" i="15"/>
  <c r="C162" i="15"/>
  <c r="C166" i="15"/>
  <c r="C170" i="15"/>
  <c r="C174" i="15"/>
  <c r="C178" i="15"/>
  <c r="C182" i="15"/>
  <c r="C186" i="15"/>
  <c r="C190" i="15"/>
  <c r="C194" i="15"/>
  <c r="C198" i="15"/>
  <c r="C202" i="15"/>
  <c r="C206" i="15"/>
  <c r="D210" i="15"/>
  <c r="C215" i="15"/>
  <c r="D219" i="15"/>
  <c r="C228" i="15"/>
  <c r="C241" i="15"/>
  <c r="D246" i="15"/>
  <c r="C255" i="15"/>
  <c r="D255" i="15"/>
  <c r="D264" i="15"/>
  <c r="C269" i="15"/>
  <c r="C279" i="15"/>
  <c r="D298" i="15"/>
  <c r="C313" i="15"/>
  <c r="D323" i="15"/>
  <c r="J13" i="4" s="1"/>
  <c r="D329" i="15"/>
  <c r="J19" i="4" s="1"/>
  <c r="D339" i="15"/>
  <c r="J29" i="4" s="1"/>
  <c r="D344" i="15"/>
  <c r="J34" i="4" s="1"/>
  <c r="C360" i="15"/>
  <c r="I50" i="4" s="1"/>
  <c r="C365" i="15"/>
  <c r="I55" i="4" s="1"/>
  <c r="D36" i="16"/>
  <c r="C36" i="16"/>
  <c r="D48" i="16"/>
  <c r="D75" i="16"/>
  <c r="D97" i="16"/>
  <c r="D105" i="16"/>
  <c r="C105" i="16"/>
  <c r="D354" i="16"/>
  <c r="V44" i="4" s="1"/>
  <c r="C354" i="16"/>
  <c r="U44" i="4" s="1"/>
  <c r="D215" i="15"/>
  <c r="C246" i="15"/>
  <c r="D279" i="15"/>
  <c r="C304" i="15"/>
  <c r="D324" i="15"/>
  <c r="J14" i="4" s="1"/>
  <c r="D350" i="15"/>
  <c r="J40" i="4" s="1"/>
  <c r="D360" i="15"/>
  <c r="J50" i="4" s="1"/>
  <c r="C20" i="16"/>
  <c r="C37" i="16"/>
  <c r="C48" i="16"/>
  <c r="D76" i="16"/>
  <c r="C77" i="16"/>
  <c r="C76" i="16"/>
  <c r="D82" i="16"/>
  <c r="D98" i="16"/>
  <c r="C98" i="16"/>
  <c r="D274" i="16"/>
  <c r="C274" i="16"/>
  <c r="C24" i="17"/>
  <c r="C25" i="17"/>
  <c r="D24" i="17"/>
  <c r="C149" i="16"/>
  <c r="C173" i="16"/>
  <c r="C197" i="16"/>
  <c r="D216" i="16"/>
  <c r="C221" i="16"/>
  <c r="D240" i="16"/>
  <c r="C245" i="16"/>
  <c r="D264" i="16"/>
  <c r="C269" i="16"/>
  <c r="C285" i="16"/>
  <c r="C301" i="16"/>
  <c r="C317" i="16"/>
  <c r="U7" i="4" s="1"/>
  <c r="D343" i="16"/>
  <c r="V33" i="4" s="1"/>
  <c r="D359" i="16"/>
  <c r="V49" i="4" s="1"/>
  <c r="D375" i="16"/>
  <c r="V65" i="4" s="1"/>
  <c r="C12" i="17"/>
  <c r="C241" i="17"/>
  <c r="D253" i="17"/>
  <c r="D241" i="17"/>
  <c r="C79" i="16"/>
  <c r="D88" i="16"/>
  <c r="C92" i="16"/>
  <c r="C101" i="16"/>
  <c r="C114" i="16"/>
  <c r="C127" i="16"/>
  <c r="D136" i="16"/>
  <c r="C140" i="16"/>
  <c r="D149" i="16"/>
  <c r="C154" i="16"/>
  <c r="C168" i="16"/>
  <c r="D173" i="16"/>
  <c r="C178" i="16"/>
  <c r="C202" i="16"/>
  <c r="D365" i="16"/>
  <c r="V55" i="4" s="1"/>
  <c r="D376" i="16"/>
  <c r="V66" i="4" s="1"/>
  <c r="C30" i="17"/>
  <c r="D42" i="17"/>
  <c r="D48" i="17"/>
  <c r="D54" i="17"/>
  <c r="D60" i="17"/>
  <c r="C72" i="17"/>
  <c r="D78" i="17"/>
  <c r="D90" i="17"/>
  <c r="C102" i="17"/>
  <c r="D117" i="17"/>
  <c r="C117" i="17"/>
  <c r="C145" i="16"/>
  <c r="C159" i="16"/>
  <c r="C169" i="16"/>
  <c r="C183" i="16"/>
  <c r="C193" i="16"/>
  <c r="C207" i="16"/>
  <c r="C217" i="16"/>
  <c r="C231" i="16"/>
  <c r="C241" i="16"/>
  <c r="C255" i="16"/>
  <c r="C265" i="16"/>
  <c r="C275" i="16"/>
  <c r="C280" i="16"/>
  <c r="D286" i="16"/>
  <c r="C291" i="16"/>
  <c r="C296" i="16"/>
  <c r="D302" i="16"/>
  <c r="C307" i="16"/>
  <c r="C312" i="16"/>
  <c r="D318" i="16"/>
  <c r="V8" i="4" s="1"/>
  <c r="C323" i="16"/>
  <c r="U13" i="4" s="1"/>
  <c r="C328" i="16"/>
  <c r="U18" i="4" s="1"/>
  <c r="D334" i="16"/>
  <c r="V24" i="4" s="1"/>
  <c r="C339" i="16"/>
  <c r="U29" i="4" s="1"/>
  <c r="C344" i="16"/>
  <c r="U34" i="4" s="1"/>
  <c r="D350" i="16"/>
  <c r="V40" i="4" s="1"/>
  <c r="C355" i="16"/>
  <c r="U45" i="4" s="1"/>
  <c r="C360" i="16"/>
  <c r="U50" i="4" s="1"/>
  <c r="D366" i="16"/>
  <c r="V56" i="4" s="1"/>
  <c r="C376" i="16"/>
  <c r="U66" i="4" s="1"/>
  <c r="C13" i="17"/>
  <c r="C31" i="17"/>
  <c r="D31" i="17"/>
  <c r="D72" i="17"/>
  <c r="C103" i="17"/>
  <c r="D103" i="17"/>
  <c r="D141" i="17"/>
  <c r="C141" i="17"/>
  <c r="C307" i="15"/>
  <c r="C355" i="15"/>
  <c r="I45" i="4" s="1"/>
  <c r="D32" i="16"/>
  <c r="C71" i="16"/>
  <c r="D80" i="16"/>
  <c r="C84" i="16"/>
  <c r="C93" i="16"/>
  <c r="C106" i="16"/>
  <c r="C119" i="16"/>
  <c r="D128" i="16"/>
  <c r="C132" i="16"/>
  <c r="C141" i="16"/>
  <c r="C150" i="16"/>
  <c r="C164" i="16"/>
  <c r="D169" i="16"/>
  <c r="C174" i="16"/>
  <c r="C188" i="16"/>
  <c r="D193" i="16"/>
  <c r="C198" i="16"/>
  <c r="C212" i="16"/>
  <c r="D217" i="16"/>
  <c r="C222" i="16"/>
  <c r="C236" i="16"/>
  <c r="D241" i="16"/>
  <c r="C246" i="16"/>
  <c r="C260" i="16"/>
  <c r="D265" i="16"/>
  <c r="C270" i="16"/>
  <c r="C281" i="16"/>
  <c r="C286" i="16"/>
  <c r="C297" i="16"/>
  <c r="C302" i="16"/>
  <c r="C313" i="16"/>
  <c r="C318" i="16"/>
  <c r="U8" i="4" s="1"/>
  <c r="C329" i="16"/>
  <c r="U19" i="4" s="1"/>
  <c r="C334" i="16"/>
  <c r="U24" i="4" s="1"/>
  <c r="C345" i="16"/>
  <c r="U35" i="4" s="1"/>
  <c r="C350" i="16"/>
  <c r="U40" i="4" s="1"/>
  <c r="C366" i="16"/>
  <c r="U56" i="4" s="1"/>
  <c r="C43" i="17"/>
  <c r="D43" i="17"/>
  <c r="C49" i="17"/>
  <c r="C55" i="17"/>
  <c r="D55" i="17"/>
  <c r="C61" i="17"/>
  <c r="C79" i="17"/>
  <c r="D79" i="17"/>
  <c r="D85" i="17"/>
  <c r="C119" i="17"/>
  <c r="D119" i="17"/>
  <c r="D213" i="17"/>
  <c r="C202" i="17"/>
  <c r="D201" i="17"/>
  <c r="C201" i="17"/>
  <c r="D234" i="17"/>
  <c r="C234" i="17"/>
  <c r="D160" i="16"/>
  <c r="D184" i="16"/>
  <c r="D208" i="16"/>
  <c r="D232" i="16"/>
  <c r="D256" i="16"/>
  <c r="D292" i="16"/>
  <c r="D308" i="16"/>
  <c r="D324" i="16"/>
  <c r="V14" i="4" s="1"/>
  <c r="D340" i="16"/>
  <c r="V30" i="4" s="1"/>
  <c r="D356" i="16"/>
  <c r="V46" i="4" s="1"/>
  <c r="D361" i="16"/>
  <c r="V51" i="4" s="1"/>
  <c r="D372" i="16"/>
  <c r="V62" i="4" s="1"/>
  <c r="D377" i="16"/>
  <c r="D26" i="17"/>
  <c r="C26" i="17"/>
  <c r="D32" i="17"/>
  <c r="D38" i="17"/>
  <c r="C38" i="17"/>
  <c r="C67" i="17"/>
  <c r="D67" i="17"/>
  <c r="C73" i="17"/>
  <c r="D97" i="17"/>
  <c r="D104" i="17"/>
  <c r="C113" i="17"/>
  <c r="D112" i="17"/>
  <c r="C120" i="17"/>
  <c r="D181" i="17"/>
  <c r="D169" i="17"/>
  <c r="C169" i="17"/>
  <c r="C225" i="17"/>
  <c r="D237" i="17"/>
  <c r="D225" i="17"/>
  <c r="C251" i="15"/>
  <c r="C299" i="15"/>
  <c r="C347" i="15"/>
  <c r="I37" i="4" s="1"/>
  <c r="D24" i="16"/>
  <c r="D72" i="16"/>
  <c r="C111" i="16"/>
  <c r="D120" i="16"/>
  <c r="C124" i="16"/>
  <c r="C133" i="16"/>
  <c r="C146" i="16"/>
  <c r="C160" i="16"/>
  <c r="D165" i="16"/>
  <c r="C170" i="16"/>
  <c r="C184" i="16"/>
  <c r="D189" i="16"/>
  <c r="C194" i="16"/>
  <c r="C208" i="16"/>
  <c r="D213" i="16"/>
  <c r="C218" i="16"/>
  <c r="C232" i="16"/>
  <c r="D237" i="16"/>
  <c r="C242" i="16"/>
  <c r="C256" i="16"/>
  <c r="D261" i="16"/>
  <c r="C266" i="16"/>
  <c r="C271" i="16"/>
  <c r="C276" i="16"/>
  <c r="D282" i="16"/>
  <c r="C287" i="16"/>
  <c r="C292" i="16"/>
  <c r="D298" i="16"/>
  <c r="C303" i="16"/>
  <c r="C308" i="16"/>
  <c r="D314" i="16"/>
  <c r="V4" i="4" s="1"/>
  <c r="C319" i="16"/>
  <c r="U9" i="4" s="1"/>
  <c r="C324" i="16"/>
  <c r="U14" i="4" s="1"/>
  <c r="D330" i="16"/>
  <c r="V20" i="4" s="1"/>
  <c r="C335" i="16"/>
  <c r="U25" i="4" s="1"/>
  <c r="C340" i="16"/>
  <c r="U30" i="4" s="1"/>
  <c r="D346" i="16"/>
  <c r="V36" i="4" s="1"/>
  <c r="C351" i="16"/>
  <c r="U41" i="4" s="1"/>
  <c r="C356" i="16"/>
  <c r="U46" i="4" s="1"/>
  <c r="D362" i="16"/>
  <c r="V52" i="4" s="1"/>
  <c r="C367" i="16"/>
  <c r="U57" i="4" s="1"/>
  <c r="C372" i="16"/>
  <c r="U62" i="4" s="1"/>
  <c r="C21" i="17"/>
  <c r="C27" i="17"/>
  <c r="D27" i="17"/>
  <c r="D33" i="17"/>
  <c r="C39" i="17"/>
  <c r="C44" i="17"/>
  <c r="D50" i="17"/>
  <c r="C50" i="17"/>
  <c r="D56" i="17"/>
  <c r="D62" i="17"/>
  <c r="C62" i="17"/>
  <c r="D80" i="17"/>
  <c r="C92" i="17"/>
  <c r="D98" i="17"/>
  <c r="C98" i="17"/>
  <c r="D105" i="17"/>
  <c r="C112" i="17"/>
  <c r="D153" i="17"/>
  <c r="D156" i="16"/>
  <c r="C161" i="16"/>
  <c r="D180" i="16"/>
  <c r="C185" i="16"/>
  <c r="D204" i="16"/>
  <c r="C209" i="16"/>
  <c r="D228" i="16"/>
  <c r="C233" i="16"/>
  <c r="D252" i="16"/>
  <c r="C257" i="16"/>
  <c r="C277" i="16"/>
  <c r="C282" i="16"/>
  <c r="C293" i="16"/>
  <c r="C298" i="16"/>
  <c r="C309" i="16"/>
  <c r="C314" i="16"/>
  <c r="U4" i="4" s="1"/>
  <c r="C325" i="16"/>
  <c r="U15" i="4" s="1"/>
  <c r="C330" i="16"/>
  <c r="U20" i="4" s="1"/>
  <c r="C341" i="16"/>
  <c r="U31" i="4" s="1"/>
  <c r="C346" i="16"/>
  <c r="U36" i="4" s="1"/>
  <c r="C357" i="16"/>
  <c r="U47" i="4" s="1"/>
  <c r="C362" i="16"/>
  <c r="U52" i="4" s="1"/>
  <c r="C373" i="16"/>
  <c r="U63" i="4" s="1"/>
  <c r="D21" i="17"/>
  <c r="C33" i="17"/>
  <c r="D39" i="17"/>
  <c r="C51" i="17"/>
  <c r="D51" i="17"/>
  <c r="D57" i="17"/>
  <c r="C68" i="17"/>
  <c r="D74" i="17"/>
  <c r="C74" i="17"/>
  <c r="D81" i="17"/>
  <c r="C81" i="17"/>
  <c r="D87" i="17"/>
  <c r="D92" i="17"/>
  <c r="D106" i="17"/>
  <c r="D129" i="17"/>
  <c r="D157" i="17"/>
  <c r="D145" i="17"/>
  <c r="C145" i="17"/>
  <c r="D112" i="16"/>
  <c r="C125" i="16"/>
  <c r="C156" i="16"/>
  <c r="D161" i="16"/>
  <c r="C166" i="16"/>
  <c r="D185" i="16"/>
  <c r="C190" i="16"/>
  <c r="C214" i="16"/>
  <c r="C238" i="16"/>
  <c r="D288" i="16"/>
  <c r="D304" i="16"/>
  <c r="D320" i="16"/>
  <c r="V10" i="4" s="1"/>
  <c r="D336" i="16"/>
  <c r="V26" i="4" s="1"/>
  <c r="D341" i="16"/>
  <c r="V31" i="4" s="1"/>
  <c r="D352" i="16"/>
  <c r="V42" i="4" s="1"/>
  <c r="D357" i="16"/>
  <c r="V47" i="4" s="1"/>
  <c r="D368" i="16"/>
  <c r="V58" i="4" s="1"/>
  <c r="D373" i="16"/>
  <c r="V63" i="4" s="1"/>
  <c r="D45" i="17"/>
  <c r="C57" i="17"/>
  <c r="D63" i="17"/>
  <c r="D68" i="17"/>
  <c r="C75" i="17"/>
  <c r="D75" i="17"/>
  <c r="D93" i="17"/>
  <c r="D100" i="17"/>
  <c r="C106" i="17"/>
  <c r="D121" i="17"/>
  <c r="C15" i="16"/>
  <c r="D60" i="16"/>
  <c r="C64" i="16"/>
  <c r="C73" i="16"/>
  <c r="C86" i="16"/>
  <c r="C99" i="16"/>
  <c r="D108" i="16"/>
  <c r="C112" i="16"/>
  <c r="C121" i="16"/>
  <c r="C134" i="16"/>
  <c r="C147" i="16"/>
  <c r="D152" i="16"/>
  <c r="C157" i="16"/>
  <c r="C171" i="16"/>
  <c r="D176" i="16"/>
  <c r="C181" i="16"/>
  <c r="C195" i="16"/>
  <c r="D200" i="16"/>
  <c r="C205" i="16"/>
  <c r="C219" i="16"/>
  <c r="D224" i="16"/>
  <c r="C229" i="16"/>
  <c r="C243" i="16"/>
  <c r="D248" i="16"/>
  <c r="C253" i="16"/>
  <c r="C267" i="16"/>
  <c r="C272" i="16"/>
  <c r="D278" i="16"/>
  <c r="C283" i="16"/>
  <c r="C288" i="16"/>
  <c r="C299" i="16"/>
  <c r="C304" i="16"/>
  <c r="D310" i="16"/>
  <c r="C315" i="16"/>
  <c r="U5" i="4" s="1"/>
  <c r="C320" i="16"/>
  <c r="U10" i="4" s="1"/>
  <c r="D326" i="16"/>
  <c r="V16" i="4" s="1"/>
  <c r="C331" i="16"/>
  <c r="U21" i="4" s="1"/>
  <c r="C336" i="16"/>
  <c r="U26" i="4" s="1"/>
  <c r="D342" i="16"/>
  <c r="V32" i="4" s="1"/>
  <c r="C347" i="16"/>
  <c r="U37" i="4" s="1"/>
  <c r="C352" i="16"/>
  <c r="U42" i="4" s="1"/>
  <c r="D358" i="16"/>
  <c r="V48" i="4" s="1"/>
  <c r="C363" i="16"/>
  <c r="U53" i="4" s="1"/>
  <c r="C368" i="16"/>
  <c r="U58" i="4" s="1"/>
  <c r="D374" i="16"/>
  <c r="V64" i="4" s="1"/>
  <c r="C17" i="17"/>
  <c r="D28" i="17"/>
  <c r="C34" i="17"/>
  <c r="C40" i="17"/>
  <c r="C45" i="17"/>
  <c r="C52" i="17"/>
  <c r="D69" i="17"/>
  <c r="D76" i="17"/>
  <c r="C82" i="17"/>
  <c r="C88" i="17"/>
  <c r="C107" i="17"/>
  <c r="D114" i="17"/>
  <c r="C114" i="17"/>
  <c r="C331" i="15"/>
  <c r="I21" i="4" s="1"/>
  <c r="C9" i="16"/>
  <c r="D56" i="16"/>
  <c r="C60" i="16"/>
  <c r="D104" i="16"/>
  <c r="C108" i="16"/>
  <c r="C152" i="16"/>
  <c r="D157" i="16"/>
  <c r="C176" i="16"/>
  <c r="D181" i="16"/>
  <c r="C200" i="16"/>
  <c r="D205" i="16"/>
  <c r="C224" i="16"/>
  <c r="D229" i="16"/>
  <c r="C248" i="16"/>
  <c r="D253" i="16"/>
  <c r="C273" i="16"/>
  <c r="C278" i="16"/>
  <c r="C289" i="16"/>
  <c r="C294" i="16"/>
  <c r="C305" i="16"/>
  <c r="C310" i="16"/>
  <c r="C321" i="16"/>
  <c r="U11" i="4" s="1"/>
  <c r="C326" i="16"/>
  <c r="U16" i="4" s="1"/>
  <c r="C337" i="16"/>
  <c r="U27" i="4" s="1"/>
  <c r="C342" i="16"/>
  <c r="U32" i="4" s="1"/>
  <c r="C353" i="16"/>
  <c r="U43" i="4" s="1"/>
  <c r="C358" i="16"/>
  <c r="U48" i="4" s="1"/>
  <c r="C369" i="16"/>
  <c r="U59" i="4" s="1"/>
  <c r="C374" i="16"/>
  <c r="U64" i="4" s="1"/>
  <c r="C35" i="17"/>
  <c r="D46" i="17"/>
  <c r="C46" i="17"/>
  <c r="C58" i="17"/>
  <c r="C64" i="17"/>
  <c r="C69" i="17"/>
  <c r="C76" i="17"/>
  <c r="C83" i="17"/>
  <c r="D94" i="17"/>
  <c r="C94" i="17"/>
  <c r="D107" i="17"/>
  <c r="D138" i="17"/>
  <c r="C138" i="17"/>
  <c r="D196" i="16"/>
  <c r="D220" i="16"/>
  <c r="D244" i="16"/>
  <c r="D268" i="16"/>
  <c r="D273" i="16"/>
  <c r="D284" i="16"/>
  <c r="D300" i="16"/>
  <c r="D316" i="16"/>
  <c r="V6" i="4" s="1"/>
  <c r="D332" i="16"/>
  <c r="V22" i="4" s="1"/>
  <c r="D337" i="16"/>
  <c r="V27" i="4" s="1"/>
  <c r="D348" i="16"/>
  <c r="V38" i="4" s="1"/>
  <c r="D353" i="16"/>
  <c r="V43" i="4" s="1"/>
  <c r="D364" i="16"/>
  <c r="V54" i="4" s="1"/>
  <c r="D369" i="16"/>
  <c r="V59" i="4" s="1"/>
  <c r="C10" i="17"/>
  <c r="D23" i="17"/>
  <c r="D35" i="17"/>
  <c r="C59" i="17"/>
  <c r="D70" i="17"/>
  <c r="C70" i="17"/>
  <c r="D83" i="17"/>
  <c r="C95" i="17"/>
  <c r="C125" i="17"/>
  <c r="D124" i="17"/>
  <c r="C124" i="17"/>
  <c r="D131" i="17"/>
  <c r="D150" i="17"/>
  <c r="D174" i="17"/>
  <c r="C207" i="17"/>
  <c r="D207" i="17"/>
  <c r="D226" i="17"/>
  <c r="C226" i="17"/>
  <c r="D242" i="17"/>
  <c r="C242" i="17"/>
  <c r="C251" i="17"/>
  <c r="C279" i="17"/>
  <c r="D298" i="17"/>
  <c r="D155" i="17"/>
  <c r="C227" i="17"/>
  <c r="D227" i="17"/>
  <c r="C235" i="17"/>
  <c r="C243" i="17"/>
  <c r="D243" i="17"/>
  <c r="D270" i="17"/>
  <c r="C270" i="17"/>
  <c r="C299" i="17"/>
  <c r="D299" i="17"/>
  <c r="D338" i="17"/>
  <c r="AB28" i="4" s="1"/>
  <c r="C347" i="17"/>
  <c r="AA37" i="4" s="1"/>
  <c r="D347" i="17"/>
  <c r="AB37" i="4" s="1"/>
  <c r="D358" i="17"/>
  <c r="AB48" i="4" s="1"/>
  <c r="C358" i="17"/>
  <c r="AA48" i="4" s="1"/>
  <c r="C47" i="18"/>
  <c r="D47" i="18"/>
  <c r="D275" i="19"/>
  <c r="C275" i="19"/>
  <c r="C127" i="17"/>
  <c r="D136" i="17"/>
  <c r="C151" i="17"/>
  <c r="D160" i="17"/>
  <c r="C165" i="17"/>
  <c r="C175" i="17"/>
  <c r="D190" i="17"/>
  <c r="D196" i="17"/>
  <c r="C196" i="17"/>
  <c r="D202" i="17"/>
  <c r="C208" i="17"/>
  <c r="D219" i="17"/>
  <c r="D235" i="17"/>
  <c r="C271" i="17"/>
  <c r="D271" i="17"/>
  <c r="D290" i="17"/>
  <c r="C108" i="17"/>
  <c r="C122" i="17"/>
  <c r="D127" i="17"/>
  <c r="C132" i="17"/>
  <c r="C146" i="17"/>
  <c r="D151" i="17"/>
  <c r="C156" i="17"/>
  <c r="C170" i="17"/>
  <c r="D175" i="17"/>
  <c r="C180" i="17"/>
  <c r="C190" i="17"/>
  <c r="D262" i="17"/>
  <c r="C262" i="17"/>
  <c r="C291" i="17"/>
  <c r="D291" i="17"/>
  <c r="D310" i="17"/>
  <c r="C310" i="17"/>
  <c r="D108" i="17"/>
  <c r="D118" i="17"/>
  <c r="C123" i="17"/>
  <c r="D132" i="17"/>
  <c r="D142" i="17"/>
  <c r="C147" i="17"/>
  <c r="D156" i="17"/>
  <c r="D166" i="17"/>
  <c r="C171" i="17"/>
  <c r="C229" i="17"/>
  <c r="D229" i="17"/>
  <c r="C263" i="17"/>
  <c r="D263" i="17"/>
  <c r="D282" i="17"/>
  <c r="C282" i="17"/>
  <c r="C285" i="18"/>
  <c r="D285" i="18"/>
  <c r="D99" i="17"/>
  <c r="C118" i="17"/>
  <c r="D123" i="17"/>
  <c r="C142" i="17"/>
  <c r="D147" i="17"/>
  <c r="C166" i="17"/>
  <c r="D171" i="17"/>
  <c r="D186" i="17"/>
  <c r="D191" i="17"/>
  <c r="D246" i="17"/>
  <c r="D254" i="17"/>
  <c r="C254" i="17"/>
  <c r="C283" i="17"/>
  <c r="D283" i="17"/>
  <c r="D302" i="17"/>
  <c r="C302" i="17"/>
  <c r="C331" i="17"/>
  <c r="AA21" i="4" s="1"/>
  <c r="D331" i="17"/>
  <c r="AB21" i="4" s="1"/>
  <c r="D370" i="17"/>
  <c r="AB60" i="4" s="1"/>
  <c r="D162" i="17"/>
  <c r="D192" i="17"/>
  <c r="C192" i="17"/>
  <c r="D204" i="17"/>
  <c r="C204" i="17"/>
  <c r="D222" i="17"/>
  <c r="C222" i="17"/>
  <c r="C230" i="17"/>
  <c r="D238" i="17"/>
  <c r="C238" i="17"/>
  <c r="C246" i="17"/>
  <c r="C255" i="17"/>
  <c r="D255" i="17"/>
  <c r="D274" i="17"/>
  <c r="C274" i="17"/>
  <c r="D303" i="17"/>
  <c r="D342" i="17"/>
  <c r="AB32" i="4" s="1"/>
  <c r="C342" i="17"/>
  <c r="AA32" i="4" s="1"/>
  <c r="D143" i="17"/>
  <c r="C148" i="17"/>
  <c r="C162" i="17"/>
  <c r="D167" i="17"/>
  <c r="C198" i="17"/>
  <c r="C215" i="17"/>
  <c r="D215" i="17"/>
  <c r="C231" i="17"/>
  <c r="D231" i="17"/>
  <c r="C239" i="17"/>
  <c r="C247" i="17"/>
  <c r="D247" i="17"/>
  <c r="C275" i="17"/>
  <c r="D275" i="17"/>
  <c r="D294" i="17"/>
  <c r="C294" i="17"/>
  <c r="D86" i="17"/>
  <c r="C91" i="17"/>
  <c r="C105" i="17"/>
  <c r="D110" i="17"/>
  <c r="C115" i="17"/>
  <c r="C129" i="17"/>
  <c r="D134" i="17"/>
  <c r="C139" i="17"/>
  <c r="D148" i="17"/>
  <c r="C153" i="17"/>
  <c r="D158" i="17"/>
  <c r="C163" i="17"/>
  <c r="D172" i="17"/>
  <c r="C177" i="17"/>
  <c r="D182" i="17"/>
  <c r="D187" i="17"/>
  <c r="C193" i="17"/>
  <c r="C199" i="17"/>
  <c r="C205" i="17"/>
  <c r="D216" i="17"/>
  <c r="C216" i="17"/>
  <c r="D223" i="17"/>
  <c r="D239" i="17"/>
  <c r="D266" i="17"/>
  <c r="C266" i="17"/>
  <c r="D314" i="17"/>
  <c r="AB4" i="4" s="1"/>
  <c r="C86" i="17"/>
  <c r="D91" i="17"/>
  <c r="C110" i="17"/>
  <c r="D115" i="17"/>
  <c r="C134" i="17"/>
  <c r="D139" i="17"/>
  <c r="C158" i="17"/>
  <c r="D163" i="17"/>
  <c r="C168" i="17"/>
  <c r="C188" i="17"/>
  <c r="D199" i="17"/>
  <c r="D217" i="17"/>
  <c r="C217" i="17"/>
  <c r="C224" i="17"/>
  <c r="C267" i="17"/>
  <c r="D267" i="17"/>
  <c r="D286" i="17"/>
  <c r="C286" i="17"/>
  <c r="C315" i="17"/>
  <c r="AA5" i="4" s="1"/>
  <c r="D315" i="17"/>
  <c r="AB5" i="4" s="1"/>
  <c r="D354" i="17"/>
  <c r="AB44" i="4" s="1"/>
  <c r="D66" i="18"/>
  <c r="C66" i="18"/>
  <c r="D130" i="17"/>
  <c r="D154" i="17"/>
  <c r="D178" i="17"/>
  <c r="D200" i="17"/>
  <c r="C200" i="17"/>
  <c r="D206" i="17"/>
  <c r="D211" i="17"/>
  <c r="D258" i="17"/>
  <c r="C258" i="17"/>
  <c r="C287" i="17"/>
  <c r="D306" i="17"/>
  <c r="D287" i="17"/>
  <c r="C298" i="17"/>
  <c r="C314" i="17"/>
  <c r="AA4" i="4" s="1"/>
  <c r="C330" i="17"/>
  <c r="AA20" i="4" s="1"/>
  <c r="D335" i="17"/>
  <c r="AB25" i="4" s="1"/>
  <c r="D351" i="17"/>
  <c r="AB41" i="4" s="1"/>
  <c r="D367" i="17"/>
  <c r="AB57" i="4" s="1"/>
  <c r="D26" i="18"/>
  <c r="C26" i="18"/>
  <c r="D64" i="18"/>
  <c r="C64" i="18"/>
  <c r="D100" i="18"/>
  <c r="C101" i="18"/>
  <c r="C154" i="18"/>
  <c r="D153" i="18"/>
  <c r="C153" i="18"/>
  <c r="D202" i="18"/>
  <c r="C203" i="18"/>
  <c r="C228" i="18"/>
  <c r="D228" i="18"/>
  <c r="C30" i="19"/>
  <c r="D42" i="19"/>
  <c r="C31" i="19"/>
  <c r="C240" i="17"/>
  <c r="D245" i="17"/>
  <c r="C256" i="17"/>
  <c r="D261" i="17"/>
  <c r="C272" i="17"/>
  <c r="D277" i="17"/>
  <c r="C288" i="17"/>
  <c r="D293" i="17"/>
  <c r="C304" i="17"/>
  <c r="D309" i="17"/>
  <c r="C320" i="17"/>
  <c r="AA10" i="4" s="1"/>
  <c r="D325" i="17"/>
  <c r="AB15" i="4" s="1"/>
  <c r="C336" i="17"/>
  <c r="AA26" i="4" s="1"/>
  <c r="D341" i="17"/>
  <c r="AB31" i="4" s="1"/>
  <c r="D357" i="17"/>
  <c r="AB47" i="4" s="1"/>
  <c r="D362" i="17"/>
  <c r="AB52" i="4" s="1"/>
  <c r="C27" i="18"/>
  <c r="D36" i="18"/>
  <c r="C36" i="18"/>
  <c r="D46" i="18"/>
  <c r="C46" i="18"/>
  <c r="D55" i="18"/>
  <c r="C85" i="18"/>
  <c r="D84" i="18"/>
  <c r="C84" i="18"/>
  <c r="C100" i="18"/>
  <c r="D199" i="18"/>
  <c r="C188" i="18"/>
  <c r="D187" i="18"/>
  <c r="C187" i="18"/>
  <c r="C202" i="18"/>
  <c r="D30" i="19"/>
  <c r="D28" i="18"/>
  <c r="C28" i="18"/>
  <c r="D38" i="18"/>
  <c r="C38" i="18"/>
  <c r="C67" i="18"/>
  <c r="D76" i="18"/>
  <c r="C76" i="18"/>
  <c r="C119" i="18"/>
  <c r="D118" i="18"/>
  <c r="C118" i="18"/>
  <c r="D148" i="18"/>
  <c r="C149" i="18"/>
  <c r="D183" i="18"/>
  <c r="C172" i="18"/>
  <c r="D171" i="18"/>
  <c r="C171" i="18"/>
  <c r="C286" i="18"/>
  <c r="C287" i="18"/>
  <c r="D286" i="18"/>
  <c r="C354" i="18"/>
  <c r="AC44" i="4" s="1"/>
  <c r="D366" i="18"/>
  <c r="AD56" i="4" s="1"/>
  <c r="C355" i="18"/>
  <c r="AC45" i="4" s="1"/>
  <c r="D252" i="19"/>
  <c r="C252" i="19"/>
  <c r="C211" i="17"/>
  <c r="C220" i="17"/>
  <c r="C236" i="17"/>
  <c r="C252" i="17"/>
  <c r="D257" i="17"/>
  <c r="C268" i="17"/>
  <c r="D273" i="17"/>
  <c r="C284" i="17"/>
  <c r="D289" i="17"/>
  <c r="C300" i="17"/>
  <c r="D305" i="17"/>
  <c r="C316" i="17"/>
  <c r="AA6" i="4" s="1"/>
  <c r="D321" i="17"/>
  <c r="AB11" i="4" s="1"/>
  <c r="C332" i="17"/>
  <c r="AA22" i="4" s="1"/>
  <c r="D337" i="17"/>
  <c r="AB27" i="4" s="1"/>
  <c r="C348" i="17"/>
  <c r="AA38" i="4" s="1"/>
  <c r="D353" i="17"/>
  <c r="AB43" i="4" s="1"/>
  <c r="D369" i="17"/>
  <c r="AB59" i="4" s="1"/>
  <c r="D19" i="18"/>
  <c r="C39" i="18"/>
  <c r="D48" i="18"/>
  <c r="C48" i="18"/>
  <c r="D58" i="18"/>
  <c r="C58" i="18"/>
  <c r="D67" i="18"/>
  <c r="D99" i="18"/>
  <c r="C87" i="18"/>
  <c r="D95" i="18"/>
  <c r="C148" i="18"/>
  <c r="D157" i="18"/>
  <c r="D169" i="18"/>
  <c r="D354" i="18"/>
  <c r="AD44" i="4" s="1"/>
  <c r="D121" i="19"/>
  <c r="C122" i="19"/>
  <c r="D175" i="19"/>
  <c r="C175" i="19"/>
  <c r="C295" i="17"/>
  <c r="C311" i="17"/>
  <c r="C327" i="17"/>
  <c r="AA17" i="4" s="1"/>
  <c r="D332" i="17"/>
  <c r="AB22" i="4" s="1"/>
  <c r="C343" i="17"/>
  <c r="AA33" i="4" s="1"/>
  <c r="D348" i="17"/>
  <c r="AB38" i="4" s="1"/>
  <c r="C359" i="17"/>
  <c r="AA49" i="4" s="1"/>
  <c r="D364" i="17"/>
  <c r="AB54" i="4" s="1"/>
  <c r="D20" i="18"/>
  <c r="C20" i="18"/>
  <c r="D30" i="18"/>
  <c r="C30" i="18"/>
  <c r="D39" i="18"/>
  <c r="D68" i="18"/>
  <c r="C68" i="18"/>
  <c r="D78" i="18"/>
  <c r="D87" i="18"/>
  <c r="D96" i="18"/>
  <c r="C96" i="18"/>
  <c r="D135" i="18"/>
  <c r="D147" i="18"/>
  <c r="D253" i="18"/>
  <c r="C253" i="18"/>
  <c r="C340" i="18"/>
  <c r="AC30" i="4" s="1"/>
  <c r="C341" i="18"/>
  <c r="AC31" i="4" s="1"/>
  <c r="D340" i="18"/>
  <c r="AD30" i="4" s="1"/>
  <c r="C121" i="19"/>
  <c r="C269" i="17"/>
  <c r="D279" i="17"/>
  <c r="C285" i="17"/>
  <c r="C290" i="17"/>
  <c r="D295" i="17"/>
  <c r="C301" i="17"/>
  <c r="C306" i="17"/>
  <c r="D311" i="17"/>
  <c r="C317" i="17"/>
  <c r="AA7" i="4" s="1"/>
  <c r="C322" i="17"/>
  <c r="AA12" i="4" s="1"/>
  <c r="D327" i="17"/>
  <c r="AB17" i="4" s="1"/>
  <c r="C333" i="17"/>
  <c r="AA23" i="4" s="1"/>
  <c r="C338" i="17"/>
  <c r="AA28" i="4" s="1"/>
  <c r="D343" i="17"/>
  <c r="AB33" i="4" s="1"/>
  <c r="C349" i="17"/>
  <c r="AA39" i="4" s="1"/>
  <c r="C354" i="17"/>
  <c r="AA44" i="4" s="1"/>
  <c r="D359" i="17"/>
  <c r="AB49" i="4" s="1"/>
  <c r="C365" i="17"/>
  <c r="AA55" i="4" s="1"/>
  <c r="C370" i="17"/>
  <c r="AA60" i="4" s="1"/>
  <c r="C31" i="18"/>
  <c r="D40" i="18"/>
  <c r="C40" i="18"/>
  <c r="D50" i="18"/>
  <c r="C50" i="18"/>
  <c r="D59" i="18"/>
  <c r="C89" i="18"/>
  <c r="D88" i="18"/>
  <c r="C88" i="18"/>
  <c r="C97" i="18"/>
  <c r="C135" i="18"/>
  <c r="C158" i="18"/>
  <c r="D212" i="18"/>
  <c r="C213" i="18"/>
  <c r="C212" i="18"/>
  <c r="D240" i="18"/>
  <c r="D75" i="19"/>
  <c r="C75" i="19"/>
  <c r="D97" i="19"/>
  <c r="C97" i="19"/>
  <c r="C232" i="17"/>
  <c r="C248" i="17"/>
  <c r="C264" i="17"/>
  <c r="D269" i="17"/>
  <c r="C280" i="17"/>
  <c r="D285" i="17"/>
  <c r="C296" i="17"/>
  <c r="D301" i="17"/>
  <c r="C312" i="17"/>
  <c r="D317" i="17"/>
  <c r="AB7" i="4" s="1"/>
  <c r="C328" i="17"/>
  <c r="AA18" i="4" s="1"/>
  <c r="D333" i="17"/>
  <c r="AB23" i="4" s="1"/>
  <c r="C344" i="17"/>
  <c r="AA34" i="4" s="1"/>
  <c r="D349" i="17"/>
  <c r="AB39" i="4" s="1"/>
  <c r="C360" i="17"/>
  <c r="AA50" i="4" s="1"/>
  <c r="D365" i="17"/>
  <c r="AB55" i="4" s="1"/>
  <c r="D22" i="18"/>
  <c r="C22" i="18"/>
  <c r="D31" i="18"/>
  <c r="D60" i="18"/>
  <c r="C60" i="18"/>
  <c r="D70" i="18"/>
  <c r="D79" i="18"/>
  <c r="C106" i="18"/>
  <c r="D105" i="18"/>
  <c r="C105" i="18"/>
  <c r="D165" i="18"/>
  <c r="D32" i="18"/>
  <c r="C32" i="18"/>
  <c r="D42" i="18"/>
  <c r="C42" i="18"/>
  <c r="C81" i="18"/>
  <c r="D80" i="18"/>
  <c r="C80" i="18"/>
  <c r="D122" i="18"/>
  <c r="D134" i="18"/>
  <c r="D166" i="18"/>
  <c r="C166" i="18"/>
  <c r="D219" i="18"/>
  <c r="C234" i="18"/>
  <c r="C235" i="18"/>
  <c r="C233" i="17"/>
  <c r="C249" i="17"/>
  <c r="C265" i="17"/>
  <c r="C281" i="17"/>
  <c r="C297" i="17"/>
  <c r="D307" i="17"/>
  <c r="C313" i="17"/>
  <c r="C318" i="17"/>
  <c r="AA8" i="4" s="1"/>
  <c r="D323" i="17"/>
  <c r="AB13" i="4" s="1"/>
  <c r="C329" i="17"/>
  <c r="AA19" i="4" s="1"/>
  <c r="C334" i="17"/>
  <c r="AA24" i="4" s="1"/>
  <c r="D339" i="17"/>
  <c r="AB29" i="4" s="1"/>
  <c r="C345" i="17"/>
  <c r="AA35" i="4" s="1"/>
  <c r="C350" i="17"/>
  <c r="AA40" i="4" s="1"/>
  <c r="D355" i="17"/>
  <c r="AB45" i="4" s="1"/>
  <c r="C361" i="17"/>
  <c r="AA51" i="4" s="1"/>
  <c r="C366" i="17"/>
  <c r="AA56" i="4" s="1"/>
  <c r="D371" i="17"/>
  <c r="AB61" i="4" s="1"/>
  <c r="D23" i="18"/>
  <c r="C43" i="18"/>
  <c r="D52" i="18"/>
  <c r="C52" i="18"/>
  <c r="D62" i="18"/>
  <c r="C62" i="18"/>
  <c r="D71" i="18"/>
  <c r="C122" i="18"/>
  <c r="D144" i="18"/>
  <c r="C144" i="18"/>
  <c r="C167" i="18"/>
  <c r="D192" i="18"/>
  <c r="C193" i="18"/>
  <c r="C192" i="18"/>
  <c r="C207" i="18"/>
  <c r="D234" i="18"/>
  <c r="C228" i="17"/>
  <c r="D233" i="17"/>
  <c r="C244" i="17"/>
  <c r="D249" i="17"/>
  <c r="C260" i="17"/>
  <c r="D265" i="17"/>
  <c r="C276" i="17"/>
  <c r="D281" i="17"/>
  <c r="C292" i="17"/>
  <c r="D297" i="17"/>
  <c r="C308" i="17"/>
  <c r="D313" i="17"/>
  <c r="C324" i="17"/>
  <c r="AA14" i="4" s="1"/>
  <c r="D329" i="17"/>
  <c r="AB19" i="4" s="1"/>
  <c r="C340" i="17"/>
  <c r="AA30" i="4" s="1"/>
  <c r="D345" i="17"/>
  <c r="AB35" i="4" s="1"/>
  <c r="C356" i="17"/>
  <c r="AA46" i="4" s="1"/>
  <c r="D361" i="17"/>
  <c r="AB51" i="4" s="1"/>
  <c r="D377" i="17"/>
  <c r="C15" i="18"/>
  <c r="D24" i="18"/>
  <c r="C24" i="18"/>
  <c r="D34" i="18"/>
  <c r="C34" i="18"/>
  <c r="D43" i="18"/>
  <c r="D72" i="18"/>
  <c r="C72" i="18"/>
  <c r="D91" i="18"/>
  <c r="C123" i="18"/>
  <c r="D130" i="18"/>
  <c r="D176" i="18"/>
  <c r="C176" i="18"/>
  <c r="D265" i="18"/>
  <c r="C303" i="17"/>
  <c r="C319" i="17"/>
  <c r="AA9" i="4" s="1"/>
  <c r="C335" i="17"/>
  <c r="AA25" i="4" s="1"/>
  <c r="C351" i="17"/>
  <c r="AA41" i="4" s="1"/>
  <c r="D356" i="17"/>
  <c r="AB46" i="4" s="1"/>
  <c r="C367" i="17"/>
  <c r="AA57" i="4" s="1"/>
  <c r="D372" i="17"/>
  <c r="AB62" i="4" s="1"/>
  <c r="D44" i="18"/>
  <c r="C44" i="18"/>
  <c r="D54" i="18"/>
  <c r="C54" i="18"/>
  <c r="D63" i="18"/>
  <c r="C93" i="18"/>
  <c r="D92" i="18"/>
  <c r="C92" i="18"/>
  <c r="D109" i="18"/>
  <c r="D121" i="18"/>
  <c r="C132" i="18"/>
  <c r="D131" i="18"/>
  <c r="C131" i="18"/>
  <c r="D103" i="18"/>
  <c r="D108" i="18"/>
  <c r="D156" i="18"/>
  <c r="C226" i="18"/>
  <c r="D226" i="18"/>
  <c r="C258" i="18"/>
  <c r="C259" i="18"/>
  <c r="D270" i="18"/>
  <c r="D115" i="19"/>
  <c r="D103" i="19"/>
  <c r="D284" i="19"/>
  <c r="C284" i="19"/>
  <c r="D104" i="18"/>
  <c r="C108" i="18"/>
  <c r="C156" i="18"/>
  <c r="C180" i="18"/>
  <c r="C196" i="18"/>
  <c r="C206" i="18"/>
  <c r="C211" i="18"/>
  <c r="D258" i="18"/>
  <c r="C277" i="18"/>
  <c r="D297" i="18"/>
  <c r="C297" i="18"/>
  <c r="C311" i="18"/>
  <c r="C325" i="18"/>
  <c r="AC15" i="4" s="1"/>
  <c r="D52" i="19"/>
  <c r="C52" i="19"/>
  <c r="C53" i="19"/>
  <c r="D120" i="19"/>
  <c r="C120" i="19"/>
  <c r="C174" i="19"/>
  <c r="D186" i="19"/>
  <c r="D285" i="19"/>
  <c r="C285" i="19"/>
  <c r="D140" i="18"/>
  <c r="D182" i="18"/>
  <c r="D198" i="18"/>
  <c r="C217" i="18"/>
  <c r="C272" i="18"/>
  <c r="D284" i="18"/>
  <c r="D279" i="18"/>
  <c r="C292" i="18"/>
  <c r="C293" i="18"/>
  <c r="D292" i="18"/>
  <c r="C306" i="18"/>
  <c r="D318" i="18"/>
  <c r="AD8" i="4" s="1"/>
  <c r="C307" i="18"/>
  <c r="C320" i="18"/>
  <c r="AC10" i="4" s="1"/>
  <c r="D332" i="18"/>
  <c r="AD22" i="4" s="1"/>
  <c r="C167" i="19"/>
  <c r="D166" i="19"/>
  <c r="D253" i="19"/>
  <c r="C253" i="19"/>
  <c r="D136" i="18"/>
  <c r="D189" i="18"/>
  <c r="D177" i="18"/>
  <c r="C182" i="18"/>
  <c r="D208" i="18"/>
  <c r="D241" i="18"/>
  <c r="C261" i="18"/>
  <c r="D261" i="18"/>
  <c r="D272" i="18"/>
  <c r="C280" i="18"/>
  <c r="D280" i="18"/>
  <c r="D306" i="18"/>
  <c r="D320" i="18"/>
  <c r="AD10" i="4" s="1"/>
  <c r="D32" i="19"/>
  <c r="D110" i="19"/>
  <c r="D98" i="19"/>
  <c r="C98" i="19"/>
  <c r="C166" i="19"/>
  <c r="D243" i="19"/>
  <c r="C243" i="19"/>
  <c r="D371" i="19"/>
  <c r="Z61" i="4" s="1"/>
  <c r="C371" i="19"/>
  <c r="Y61" i="4" s="1"/>
  <c r="D114" i="18"/>
  <c r="D127" i="18"/>
  <c r="D132" i="18"/>
  <c r="C136" i="18"/>
  <c r="D172" i="18"/>
  <c r="C177" i="18"/>
  <c r="D188" i="18"/>
  <c r="C208" i="18"/>
  <c r="D218" i="18"/>
  <c r="C229" i="18"/>
  <c r="C262" i="18"/>
  <c r="C267" i="18"/>
  <c r="D273" i="18"/>
  <c r="C273" i="18"/>
  <c r="D321" i="18"/>
  <c r="AD11" i="4" s="1"/>
  <c r="C321" i="18"/>
  <c r="AC11" i="4" s="1"/>
  <c r="C368" i="18"/>
  <c r="AC58" i="4" s="1"/>
  <c r="C369" i="18"/>
  <c r="AC59" i="4" s="1"/>
  <c r="D25" i="19"/>
  <c r="C25" i="19"/>
  <c r="D46" i="19"/>
  <c r="C63" i="19"/>
  <c r="D92" i="19"/>
  <c r="C92" i="19"/>
  <c r="C93" i="19"/>
  <c r="C158" i="19"/>
  <c r="C159" i="19"/>
  <c r="D220" i="19"/>
  <c r="C220" i="19"/>
  <c r="D348" i="19"/>
  <c r="Z38" i="4" s="1"/>
  <c r="C348" i="19"/>
  <c r="Y38" i="4" s="1"/>
  <c r="C21" i="18"/>
  <c r="C25" i="18"/>
  <c r="C29" i="18"/>
  <c r="C33" i="18"/>
  <c r="C37" i="18"/>
  <c r="C41" i="18"/>
  <c r="C45" i="18"/>
  <c r="C49" i="18"/>
  <c r="C53" i="18"/>
  <c r="C57" i="18"/>
  <c r="C61" i="18"/>
  <c r="C65" i="18"/>
  <c r="C69" i="18"/>
  <c r="C73" i="18"/>
  <c r="C77" i="18"/>
  <c r="D110" i="18"/>
  <c r="D123" i="18"/>
  <c r="D145" i="18"/>
  <c r="D158" i="18"/>
  <c r="D167" i="18"/>
  <c r="D178" i="18"/>
  <c r="D194" i="18"/>
  <c r="C199" i="18"/>
  <c r="D204" i="18"/>
  <c r="C248" i="18"/>
  <c r="D260" i="18"/>
  <c r="D255" i="18"/>
  <c r="C255" i="18"/>
  <c r="D262" i="18"/>
  <c r="C274" i="18"/>
  <c r="C281" i="18"/>
  <c r="D368" i="18"/>
  <c r="AD58" i="4" s="1"/>
  <c r="D19" i="19"/>
  <c r="C41" i="19"/>
  <c r="D64" i="19"/>
  <c r="C64" i="19"/>
  <c r="C65" i="19"/>
  <c r="D221" i="19"/>
  <c r="C221" i="19"/>
  <c r="D349" i="19"/>
  <c r="Z39" i="4" s="1"/>
  <c r="C349" i="19"/>
  <c r="Y39" i="4" s="1"/>
  <c r="D69" i="18"/>
  <c r="D73" i="18"/>
  <c r="D77" i="18"/>
  <c r="C102" i="18"/>
  <c r="D106" i="18"/>
  <c r="C115" i="18"/>
  <c r="D119" i="18"/>
  <c r="C128" i="18"/>
  <c r="C137" i="18"/>
  <c r="D141" i="18"/>
  <c r="C150" i="18"/>
  <c r="D154" i="18"/>
  <c r="C163" i="18"/>
  <c r="D168" i="18"/>
  <c r="D185" i="18"/>
  <c r="D173" i="18"/>
  <c r="C178" i="18"/>
  <c r="D214" i="18"/>
  <c r="D237" i="18"/>
  <c r="C256" i="18"/>
  <c r="D256" i="18"/>
  <c r="C268" i="18"/>
  <c r="D268" i="18"/>
  <c r="D275" i="18"/>
  <c r="C301" i="18"/>
  <c r="D323" i="18"/>
  <c r="AD13" i="4" s="1"/>
  <c r="C19" i="19"/>
  <c r="D41" i="19"/>
  <c r="C86" i="19"/>
  <c r="C87" i="19"/>
  <c r="D199" i="19"/>
  <c r="C199" i="19"/>
  <c r="D211" i="19"/>
  <c r="C211" i="19"/>
  <c r="D339" i="19"/>
  <c r="Z29" i="4" s="1"/>
  <c r="C339" i="19"/>
  <c r="Y29" i="4" s="1"/>
  <c r="D102" i="18"/>
  <c r="D120" i="18"/>
  <c r="C224" i="18"/>
  <c r="D236" i="18"/>
  <c r="D231" i="18"/>
  <c r="C231" i="18"/>
  <c r="D249" i="18"/>
  <c r="C249" i="18"/>
  <c r="C282" i="18"/>
  <c r="C283" i="18"/>
  <c r="C330" i="18"/>
  <c r="AC20" i="4" s="1"/>
  <c r="D342" i="18"/>
  <c r="AD32" i="4" s="1"/>
  <c r="C344" i="18"/>
  <c r="AC34" i="4" s="1"/>
  <c r="D356" i="18"/>
  <c r="AD46" i="4" s="1"/>
  <c r="C345" i="18"/>
  <c r="AC35" i="4" s="1"/>
  <c r="D20" i="19"/>
  <c r="C20" i="19"/>
  <c r="D70" i="19"/>
  <c r="C59" i="19"/>
  <c r="D58" i="19"/>
  <c r="D86" i="19"/>
  <c r="D108" i="19"/>
  <c r="C108" i="19"/>
  <c r="D190" i="19"/>
  <c r="C191" i="19"/>
  <c r="D316" i="19"/>
  <c r="Z6" i="4" s="1"/>
  <c r="C316" i="19"/>
  <c r="Y6" i="4" s="1"/>
  <c r="C70" i="18"/>
  <c r="C74" i="18"/>
  <c r="C78" i="18"/>
  <c r="C82" i="18"/>
  <c r="C86" i="18"/>
  <c r="C90" i="18"/>
  <c r="C94" i="18"/>
  <c r="C107" i="18"/>
  <c r="D116" i="18"/>
  <c r="C120" i="18"/>
  <c r="C129" i="18"/>
  <c r="C142" i="18"/>
  <c r="C155" i="18"/>
  <c r="D164" i="18"/>
  <c r="D174" i="18"/>
  <c r="C179" i="18"/>
  <c r="C184" i="18"/>
  <c r="D190" i="18"/>
  <c r="C195" i="18"/>
  <c r="C200" i="18"/>
  <c r="C205" i="18"/>
  <c r="D210" i="18"/>
  <c r="D224" i="18"/>
  <c r="C232" i="18"/>
  <c r="D232" i="18"/>
  <c r="D238" i="18"/>
  <c r="C250" i="18"/>
  <c r="D250" i="18"/>
  <c r="C257" i="18"/>
  <c r="C269" i="18"/>
  <c r="D282" i="18"/>
  <c r="C316" i="18"/>
  <c r="AC6" i="4" s="1"/>
  <c r="C317" i="18"/>
  <c r="AC7" i="4" s="1"/>
  <c r="D316" i="18"/>
  <c r="AD6" i="4" s="1"/>
  <c r="D330" i="18"/>
  <c r="AD20" i="4" s="1"/>
  <c r="D344" i="18"/>
  <c r="AD34" i="4" s="1"/>
  <c r="C13" i="19"/>
  <c r="C35" i="19"/>
  <c r="C58" i="19"/>
  <c r="D80" i="19"/>
  <c r="C80" i="19"/>
  <c r="C81" i="19"/>
  <c r="D109" i="19"/>
  <c r="C109" i="19"/>
  <c r="D142" i="19"/>
  <c r="D154" i="19"/>
  <c r="C143" i="19"/>
  <c r="C190" i="19"/>
  <c r="D317" i="19"/>
  <c r="Z7" i="4" s="1"/>
  <c r="C317" i="19"/>
  <c r="Y7" i="4" s="1"/>
  <c r="D112" i="18"/>
  <c r="C125" i="18"/>
  <c r="D160" i="18"/>
  <c r="C169" i="18"/>
  <c r="C174" i="18"/>
  <c r="D225" i="18"/>
  <c r="C225" i="18"/>
  <c r="D239" i="18"/>
  <c r="C244" i="18"/>
  <c r="D244" i="18"/>
  <c r="D251" i="18"/>
  <c r="D264" i="18"/>
  <c r="C296" i="18"/>
  <c r="D308" i="18"/>
  <c r="D303" i="18"/>
  <c r="C331" i="18"/>
  <c r="AC21" i="4" s="1"/>
  <c r="C364" i="18"/>
  <c r="AC54" i="4" s="1"/>
  <c r="C365" i="18"/>
  <c r="AC55" i="4" s="1"/>
  <c r="D364" i="18"/>
  <c r="AD54" i="4" s="1"/>
  <c r="D371" i="18"/>
  <c r="AD61" i="4" s="1"/>
  <c r="D36" i="19"/>
  <c r="C36" i="19"/>
  <c r="D307" i="19"/>
  <c r="C307" i="19"/>
  <c r="D309" i="18"/>
  <c r="D333" i="18"/>
  <c r="AD23" i="4" s="1"/>
  <c r="D28" i="19"/>
  <c r="C34" i="19"/>
  <c r="D50" i="19"/>
  <c r="D56" i="19"/>
  <c r="C56" i="19"/>
  <c r="C62" i="19"/>
  <c r="D84" i="19"/>
  <c r="C84" i="19"/>
  <c r="D90" i="19"/>
  <c r="D113" i="19"/>
  <c r="D132" i="19"/>
  <c r="C132" i="19"/>
  <c r="D140" i="19"/>
  <c r="C140" i="19"/>
  <c r="D148" i="19"/>
  <c r="C148" i="19"/>
  <c r="D172" i="19"/>
  <c r="C172" i="19"/>
  <c r="D180" i="19"/>
  <c r="C180" i="19"/>
  <c r="D188" i="19"/>
  <c r="C188" i="19"/>
  <c r="D196" i="19"/>
  <c r="C196" i="19"/>
  <c r="D228" i="19"/>
  <c r="C228" i="19"/>
  <c r="D260" i="19"/>
  <c r="C260" i="19"/>
  <c r="D292" i="19"/>
  <c r="C292" i="19"/>
  <c r="D324" i="19"/>
  <c r="Z14" i="4" s="1"/>
  <c r="C324" i="19"/>
  <c r="Y14" i="4" s="1"/>
  <c r="D356" i="19"/>
  <c r="Z46" i="4" s="1"/>
  <c r="C356" i="19"/>
  <c r="Y46" i="4" s="1"/>
  <c r="D40" i="19"/>
  <c r="C40" i="19"/>
  <c r="D68" i="19"/>
  <c r="C68" i="19"/>
  <c r="D96" i="19"/>
  <c r="C96" i="19"/>
  <c r="D141" i="19"/>
  <c r="C141" i="19"/>
  <c r="D149" i="19"/>
  <c r="C149" i="19"/>
  <c r="D164" i="19"/>
  <c r="C164" i="19"/>
  <c r="D173" i="19"/>
  <c r="C173" i="19"/>
  <c r="D189" i="19"/>
  <c r="C189" i="19"/>
  <c r="D197" i="19"/>
  <c r="C197" i="19"/>
  <c r="D229" i="19"/>
  <c r="C229" i="19"/>
  <c r="D261" i="19"/>
  <c r="C261" i="19"/>
  <c r="D293" i="19"/>
  <c r="C293" i="19"/>
  <c r="D325" i="19"/>
  <c r="Z15" i="4" s="1"/>
  <c r="C325" i="19"/>
  <c r="Y15" i="4" s="1"/>
  <c r="D357" i="19"/>
  <c r="Z47" i="4" s="1"/>
  <c r="C357" i="19"/>
  <c r="Y47" i="4" s="1"/>
  <c r="C230" i="18"/>
  <c r="C254" i="18"/>
  <c r="C278" i="18"/>
  <c r="C302" i="18"/>
  <c r="C326" i="18"/>
  <c r="AC16" i="4" s="1"/>
  <c r="D31" i="19"/>
  <c r="C42" i="19"/>
  <c r="D47" i="19"/>
  <c r="D87" i="19"/>
  <c r="C110" i="19"/>
  <c r="D128" i="19"/>
  <c r="C128" i="19"/>
  <c r="D135" i="19"/>
  <c r="C135" i="19"/>
  <c r="D159" i="19"/>
  <c r="D183" i="19"/>
  <c r="C183" i="19"/>
  <c r="D230" i="18"/>
  <c r="C240" i="18"/>
  <c r="D254" i="18"/>
  <c r="C264" i="18"/>
  <c r="D278" i="18"/>
  <c r="C288" i="18"/>
  <c r="D302" i="18"/>
  <c r="C312" i="18"/>
  <c r="D326" i="18"/>
  <c r="AD16" i="4" s="1"/>
  <c r="C336" i="18"/>
  <c r="AC26" i="4" s="1"/>
  <c r="D345" i="18"/>
  <c r="AD35" i="4" s="1"/>
  <c r="D350" i="18"/>
  <c r="AD40" i="4" s="1"/>
  <c r="C360" i="18"/>
  <c r="AC50" i="4" s="1"/>
  <c r="D374" i="18"/>
  <c r="AD64" i="4" s="1"/>
  <c r="C26" i="19"/>
  <c r="D76" i="19"/>
  <c r="C76" i="19"/>
  <c r="D104" i="19"/>
  <c r="C104" i="19"/>
  <c r="D116" i="19"/>
  <c r="C116" i="19"/>
  <c r="D129" i="19"/>
  <c r="C129" i="19"/>
  <c r="D152" i="19"/>
  <c r="C152" i="19"/>
  <c r="D176" i="19"/>
  <c r="C176" i="19"/>
  <c r="C202" i="19"/>
  <c r="D202" i="19"/>
  <c r="D212" i="19"/>
  <c r="C212" i="19"/>
  <c r="D244" i="19"/>
  <c r="C244" i="19"/>
  <c r="D276" i="19"/>
  <c r="C276" i="19"/>
  <c r="D308" i="19"/>
  <c r="C308" i="19"/>
  <c r="D340" i="19"/>
  <c r="Z30" i="4" s="1"/>
  <c r="C340" i="19"/>
  <c r="Y30" i="4" s="1"/>
  <c r="D372" i="19"/>
  <c r="Z62" i="4" s="1"/>
  <c r="C372" i="19"/>
  <c r="Y62" i="4" s="1"/>
  <c r="D288" i="18"/>
  <c r="C298" i="18"/>
  <c r="D312" i="18"/>
  <c r="C322" i="18"/>
  <c r="AC12" i="4" s="1"/>
  <c r="D336" i="18"/>
  <c r="AD26" i="4" s="1"/>
  <c r="D37" i="19"/>
  <c r="D48" i="19"/>
  <c r="C48" i="19"/>
  <c r="D88" i="19"/>
  <c r="C88" i="19"/>
  <c r="D111" i="19"/>
  <c r="D137" i="19"/>
  <c r="C137" i="19"/>
  <c r="D145" i="19"/>
  <c r="C145" i="19"/>
  <c r="D153" i="19"/>
  <c r="C153" i="19"/>
  <c r="D185" i="19"/>
  <c r="C185" i="19"/>
  <c r="D213" i="19"/>
  <c r="C213" i="19"/>
  <c r="D245" i="19"/>
  <c r="C245" i="19"/>
  <c r="D277" i="19"/>
  <c r="C277" i="19"/>
  <c r="D309" i="19"/>
  <c r="C309" i="19"/>
  <c r="D341" i="19"/>
  <c r="Z31" i="4" s="1"/>
  <c r="C341" i="19"/>
  <c r="Y31" i="4" s="1"/>
  <c r="D373" i="19"/>
  <c r="Z63" i="4" s="1"/>
  <c r="C373" i="19"/>
  <c r="Y63" i="4" s="1"/>
  <c r="D181" i="18"/>
  <c r="D274" i="18"/>
  <c r="C279" i="18"/>
  <c r="D298" i="18"/>
  <c r="C303" i="18"/>
  <c r="D322" i="18"/>
  <c r="AD12" i="4" s="1"/>
  <c r="C327" i="18"/>
  <c r="AC17" i="4" s="1"/>
  <c r="D346" i="18"/>
  <c r="AD36" i="4" s="1"/>
  <c r="C351" i="18"/>
  <c r="AC41" i="4" s="1"/>
  <c r="D370" i="18"/>
  <c r="AD60" i="4" s="1"/>
  <c r="C375" i="18"/>
  <c r="AC65" i="4" s="1"/>
  <c r="C21" i="19"/>
  <c r="C32" i="19"/>
  <c r="C37" i="19"/>
  <c r="D49" i="19"/>
  <c r="D54" i="19"/>
  <c r="C77" i="19"/>
  <c r="C99" i="19"/>
  <c r="C105" i="19"/>
  <c r="C111" i="19"/>
  <c r="C117" i="19"/>
  <c r="D123" i="19"/>
  <c r="C123" i="19"/>
  <c r="D130" i="19"/>
  <c r="D146" i="19"/>
  <c r="D161" i="19"/>
  <c r="C161" i="19"/>
  <c r="D168" i="19"/>
  <c r="C168" i="19"/>
  <c r="D178" i="19"/>
  <c r="D194" i="19"/>
  <c r="C203" i="19"/>
  <c r="C235" i="19"/>
  <c r="C267" i="19"/>
  <c r="C299" i="19"/>
  <c r="C331" i="19"/>
  <c r="Y21" i="4" s="1"/>
  <c r="C363" i="19"/>
  <c r="Y53" i="4" s="1"/>
  <c r="C22" i="19"/>
  <c r="C38" i="19"/>
  <c r="C49" i="19"/>
  <c r="D60" i="19"/>
  <c r="C60" i="19"/>
  <c r="D66" i="19"/>
  <c r="C89" i="19"/>
  <c r="D100" i="19"/>
  <c r="C100" i="19"/>
  <c r="D112" i="19"/>
  <c r="C112" i="19"/>
  <c r="D124" i="19"/>
  <c r="C124" i="19"/>
  <c r="C138" i="19"/>
  <c r="C146" i="19"/>
  <c r="C154" i="19"/>
  <c r="D169" i="19"/>
  <c r="C169" i="19"/>
  <c r="C186" i="19"/>
  <c r="D204" i="19"/>
  <c r="C204" i="19"/>
  <c r="D236" i="19"/>
  <c r="C236" i="19"/>
  <c r="D268" i="19"/>
  <c r="C268" i="19"/>
  <c r="D300" i="19"/>
  <c r="C300" i="19"/>
  <c r="D332" i="19"/>
  <c r="Z22" i="4" s="1"/>
  <c r="C332" i="19"/>
  <c r="Y22" i="4" s="1"/>
  <c r="D364" i="19"/>
  <c r="Z54" i="4" s="1"/>
  <c r="C364" i="19"/>
  <c r="Y54" i="4" s="1"/>
  <c r="D44" i="19"/>
  <c r="C44" i="19"/>
  <c r="D72" i="19"/>
  <c r="C72" i="19"/>
  <c r="D170" i="19"/>
  <c r="C170" i="19"/>
  <c r="D205" i="19"/>
  <c r="C205" i="19"/>
  <c r="D237" i="19"/>
  <c r="C237" i="19"/>
  <c r="D269" i="19"/>
  <c r="C269" i="19"/>
  <c r="D301" i="19"/>
  <c r="C301" i="19"/>
  <c r="D333" i="19"/>
  <c r="Z23" i="4" s="1"/>
  <c r="C333" i="19"/>
  <c r="Y23" i="4" s="1"/>
  <c r="D365" i="19"/>
  <c r="Z55" i="4" s="1"/>
  <c r="C365" i="19"/>
  <c r="Y55" i="4" s="1"/>
  <c r="C242" i="18"/>
  <c r="C266" i="18"/>
  <c r="D304" i="18"/>
  <c r="D328" i="18"/>
  <c r="AD18" i="4" s="1"/>
  <c r="D352" i="18"/>
  <c r="AD42" i="4" s="1"/>
  <c r="C357" i="18"/>
  <c r="AC47" i="4" s="1"/>
  <c r="D376" i="18"/>
  <c r="AD66" i="4" s="1"/>
  <c r="C33" i="19"/>
  <c r="D39" i="19"/>
  <c r="C61" i="19"/>
  <c r="C67" i="19"/>
  <c r="D73" i="19"/>
  <c r="D78" i="19"/>
  <c r="C90" i="19"/>
  <c r="C101" i="19"/>
  <c r="C118" i="19"/>
  <c r="D139" i="19"/>
  <c r="C139" i="19"/>
  <c r="C147" i="19"/>
  <c r="D171" i="19"/>
  <c r="C171" i="19"/>
  <c r="C179" i="19"/>
  <c r="D187" i="19"/>
  <c r="C187" i="19"/>
  <c r="C195" i="19"/>
  <c r="C227" i="19"/>
  <c r="C259" i="19"/>
  <c r="C291" i="19"/>
  <c r="C323" i="19"/>
  <c r="Y13" i="4" s="1"/>
  <c r="C355" i="19"/>
  <c r="Y45" i="4" s="1"/>
  <c r="D133" i="19"/>
  <c r="C133" i="19"/>
  <c r="D160" i="19"/>
  <c r="C160" i="19"/>
  <c r="D167" i="19"/>
  <c r="D181" i="19"/>
  <c r="C181" i="19"/>
  <c r="D210" i="19"/>
  <c r="D218" i="19"/>
  <c r="D226" i="19"/>
  <c r="D234" i="19"/>
  <c r="D242" i="19"/>
  <c r="D250" i="19"/>
  <c r="D258" i="19"/>
  <c r="D266" i="19"/>
  <c r="D274" i="19"/>
  <c r="D282" i="19"/>
  <c r="D290" i="19"/>
  <c r="D298" i="19"/>
  <c r="D306" i="19"/>
  <c r="D314" i="19"/>
  <c r="Z4" i="4" s="1"/>
  <c r="D322" i="19"/>
  <c r="Z12" i="4" s="1"/>
  <c r="D330" i="19"/>
  <c r="Z20" i="4" s="1"/>
  <c r="D338" i="19"/>
  <c r="Z28" i="4" s="1"/>
  <c r="D346" i="19"/>
  <c r="Z36" i="4" s="1"/>
  <c r="D354" i="19"/>
  <c r="Z44" i="4" s="1"/>
  <c r="D362" i="19"/>
  <c r="Z52" i="4" s="1"/>
  <c r="D370" i="19"/>
  <c r="Z60" i="4" s="1"/>
  <c r="D156" i="19"/>
  <c r="C156" i="19"/>
  <c r="D177" i="19"/>
  <c r="C177" i="19"/>
  <c r="C198" i="19"/>
  <c r="C206" i="19"/>
  <c r="C214" i="19"/>
  <c r="C222" i="19"/>
  <c r="C230" i="19"/>
  <c r="C238" i="19"/>
  <c r="C246" i="19"/>
  <c r="C254" i="19"/>
  <c r="C262" i="19"/>
  <c r="C270" i="19"/>
  <c r="C278" i="19"/>
  <c r="C286" i="19"/>
  <c r="C294" i="19"/>
  <c r="C302" i="19"/>
  <c r="C310" i="19"/>
  <c r="C318" i="19"/>
  <c r="Y8" i="4" s="1"/>
  <c r="C326" i="19"/>
  <c r="Y16" i="4" s="1"/>
  <c r="C334" i="19"/>
  <c r="Y24" i="4" s="1"/>
  <c r="C342" i="19"/>
  <c r="Y32" i="4" s="1"/>
  <c r="C350" i="19"/>
  <c r="Y40" i="4" s="1"/>
  <c r="C358" i="19"/>
  <c r="Y48" i="4" s="1"/>
  <c r="C366" i="19"/>
  <c r="Y56" i="4" s="1"/>
  <c r="C374" i="19"/>
  <c r="Y64" i="4" s="1"/>
  <c r="D136" i="19"/>
  <c r="C136" i="19"/>
  <c r="D143" i="19"/>
  <c r="D157" i="19"/>
  <c r="C157" i="19"/>
  <c r="C163" i="19"/>
  <c r="D184" i="19"/>
  <c r="C184" i="19"/>
  <c r="D191" i="19"/>
  <c r="D198" i="19"/>
  <c r="D206" i="19"/>
  <c r="D214" i="19"/>
  <c r="D222" i="19"/>
  <c r="D230" i="19"/>
  <c r="D238" i="19"/>
  <c r="D246" i="19"/>
  <c r="D254" i="19"/>
  <c r="D262" i="19"/>
  <c r="D270" i="19"/>
  <c r="D278" i="19"/>
  <c r="D286" i="19"/>
  <c r="D294" i="19"/>
  <c r="D302" i="19"/>
  <c r="D310" i="19"/>
  <c r="D318" i="19"/>
  <c r="Z8" i="4" s="1"/>
  <c r="D326" i="19"/>
  <c r="Z16" i="4" s="1"/>
  <c r="D334" i="19"/>
  <c r="Z24" i="4" s="1"/>
  <c r="D342" i="19"/>
  <c r="Z32" i="4" s="1"/>
  <c r="D350" i="19"/>
  <c r="Z40" i="4" s="1"/>
  <c r="D358" i="19"/>
  <c r="Z48" i="4" s="1"/>
  <c r="D366" i="19"/>
  <c r="Z56" i="4" s="1"/>
  <c r="D374" i="19"/>
  <c r="Z64" i="4" s="1"/>
  <c r="D207" i="19"/>
  <c r="D215" i="19"/>
  <c r="D223" i="19"/>
  <c r="D231" i="19"/>
  <c r="D239" i="19"/>
  <c r="D247" i="19"/>
  <c r="D255" i="19"/>
  <c r="D263" i="19"/>
  <c r="D271" i="19"/>
  <c r="D279" i="19"/>
  <c r="D287" i="19"/>
  <c r="D295" i="19"/>
  <c r="D303" i="19"/>
  <c r="D311" i="19"/>
  <c r="D319" i="19"/>
  <c r="Z9" i="4" s="1"/>
  <c r="D327" i="19"/>
  <c r="Z17" i="4" s="1"/>
  <c r="D335" i="19"/>
  <c r="Z25" i="4" s="1"/>
  <c r="D343" i="19"/>
  <c r="Z33" i="4" s="1"/>
  <c r="D351" i="19"/>
  <c r="Z41" i="4" s="1"/>
  <c r="D359" i="19"/>
  <c r="Z49" i="4" s="1"/>
  <c r="D367" i="19"/>
  <c r="Z57" i="4" s="1"/>
  <c r="D375" i="19"/>
  <c r="Z65" i="4" s="1"/>
  <c r="D125" i="19"/>
  <c r="C125" i="19"/>
  <c r="D144" i="19"/>
  <c r="C144" i="19"/>
  <c r="D151" i="19"/>
  <c r="D165" i="19"/>
  <c r="C165" i="19"/>
  <c r="D192" i="19"/>
  <c r="C192" i="19"/>
  <c r="C207" i="19"/>
  <c r="C215" i="19"/>
  <c r="C223" i="19"/>
  <c r="C231" i="19"/>
  <c r="C239" i="19"/>
  <c r="C247" i="19"/>
  <c r="C255" i="19"/>
  <c r="C263" i="19"/>
  <c r="C271" i="19"/>
  <c r="C279" i="19"/>
  <c r="C287" i="19"/>
  <c r="C295" i="19"/>
  <c r="C303" i="19"/>
  <c r="C311" i="19"/>
  <c r="C319" i="19"/>
  <c r="Y9" i="4" s="1"/>
  <c r="C327" i="19"/>
  <c r="Y17" i="4" s="1"/>
  <c r="C335" i="19"/>
  <c r="Y25" i="4" s="1"/>
  <c r="C343" i="19"/>
  <c r="Y33" i="4" s="1"/>
  <c r="C351" i="19"/>
  <c r="Y41" i="4" s="1"/>
  <c r="C359" i="19"/>
  <c r="Y49" i="4" s="1"/>
  <c r="C367" i="19"/>
  <c r="Y57" i="4" s="1"/>
  <c r="C375" i="19"/>
  <c r="Y65" i="4" s="1"/>
  <c r="D193" i="19"/>
  <c r="C193" i="19"/>
  <c r="D200" i="19"/>
  <c r="C200" i="19"/>
  <c r="D208" i="19"/>
  <c r="C208" i="19"/>
  <c r="D216" i="19"/>
  <c r="C216" i="19"/>
  <c r="D224" i="19"/>
  <c r="C224" i="19"/>
  <c r="D232" i="19"/>
  <c r="C232" i="19"/>
  <c r="D240" i="19"/>
  <c r="C240" i="19"/>
  <c r="D248" i="19"/>
  <c r="C248" i="19"/>
  <c r="D256" i="19"/>
  <c r="C256" i="19"/>
  <c r="D264" i="19"/>
  <c r="C264" i="19"/>
  <c r="D272" i="19"/>
  <c r="C272" i="19"/>
  <c r="D280" i="19"/>
  <c r="C280" i="19"/>
  <c r="D288" i="19"/>
  <c r="C288" i="19"/>
  <c r="D296" i="19"/>
  <c r="C296" i="19"/>
  <c r="D304" i="19"/>
  <c r="C304" i="19"/>
  <c r="D312" i="19"/>
  <c r="C312" i="19"/>
  <c r="D320" i="19"/>
  <c r="Z10" i="4" s="1"/>
  <c r="C320" i="19"/>
  <c r="Y10" i="4" s="1"/>
  <c r="D328" i="19"/>
  <c r="Z18" i="4" s="1"/>
  <c r="C328" i="19"/>
  <c r="Y18" i="4" s="1"/>
  <c r="D336" i="19"/>
  <c r="Z26" i="4" s="1"/>
  <c r="C336" i="19"/>
  <c r="Y26" i="4" s="1"/>
  <c r="D344" i="19"/>
  <c r="Z34" i="4" s="1"/>
  <c r="C344" i="19"/>
  <c r="Y34" i="4" s="1"/>
  <c r="D352" i="19"/>
  <c r="Z42" i="4" s="1"/>
  <c r="C352" i="19"/>
  <c r="Y42" i="4" s="1"/>
  <c r="D360" i="19"/>
  <c r="Z50" i="4" s="1"/>
  <c r="C360" i="19"/>
  <c r="Y50" i="4" s="1"/>
  <c r="D368" i="19"/>
  <c r="Z58" i="4" s="1"/>
  <c r="C368" i="19"/>
  <c r="Y58" i="4" s="1"/>
  <c r="D376" i="19"/>
  <c r="Z66" i="4" s="1"/>
  <c r="D201" i="19"/>
  <c r="C201" i="19"/>
  <c r="D209" i="19"/>
  <c r="C209" i="19"/>
  <c r="D217" i="19"/>
  <c r="C217" i="19"/>
  <c r="D225" i="19"/>
  <c r="C225" i="19"/>
  <c r="D233" i="19"/>
  <c r="C233" i="19"/>
  <c r="D241" i="19"/>
  <c r="C241" i="19"/>
  <c r="D249" i="19"/>
  <c r="C249" i="19"/>
  <c r="D257" i="19"/>
  <c r="C257" i="19"/>
  <c r="D265" i="19"/>
  <c r="C265" i="19"/>
  <c r="D273" i="19"/>
  <c r="C273" i="19"/>
  <c r="D281" i="19"/>
  <c r="C281" i="19"/>
  <c r="D289" i="19"/>
  <c r="C289" i="19"/>
  <c r="D297" i="19"/>
  <c r="C297" i="19"/>
  <c r="D305" i="19"/>
  <c r="C305" i="19"/>
  <c r="D313" i="19"/>
  <c r="C313" i="19"/>
  <c r="D321" i="19"/>
  <c r="Z11" i="4" s="1"/>
  <c r="C321" i="19"/>
  <c r="Y11" i="4" s="1"/>
  <c r="D329" i="19"/>
  <c r="Z19" i="4" s="1"/>
  <c r="C329" i="19"/>
  <c r="Y19" i="4" s="1"/>
  <c r="D337" i="19"/>
  <c r="Z27" i="4" s="1"/>
  <c r="C337" i="19"/>
  <c r="Y27" i="4" s="1"/>
  <c r="D345" i="19"/>
  <c r="Z35" i="4" s="1"/>
  <c r="C345" i="19"/>
  <c r="Y35" i="4" s="1"/>
  <c r="D353" i="19"/>
  <c r="Z43" i="4" s="1"/>
  <c r="C353" i="19"/>
  <c r="Y43" i="4" s="1"/>
  <c r="D361" i="19"/>
  <c r="Z51" i="4" s="1"/>
  <c r="C361" i="19"/>
  <c r="Y51" i="4" s="1"/>
  <c r="D369" i="19"/>
  <c r="Z59" i="4" s="1"/>
  <c r="C369" i="19"/>
  <c r="Y59" i="4" s="1"/>
  <c r="D377" i="19"/>
  <c r="C376" i="19"/>
  <c r="Y66" i="4" s="1"/>
  <c r="C377" i="19"/>
  <c r="Y67" i="4" s="1"/>
  <c r="AB67" i="4" l="1"/>
  <c r="G19" i="3"/>
  <c r="Q28" i="1" s="1"/>
  <c r="D67" i="4"/>
  <c r="G7" i="3"/>
  <c r="Q16" i="1" s="1"/>
  <c r="L2" i="5"/>
  <c r="G16" i="3"/>
  <c r="Q25" i="1" s="1"/>
  <c r="V67" i="4"/>
  <c r="F16" i="3"/>
  <c r="P25" i="1" s="1"/>
  <c r="AF67" i="4"/>
  <c r="G21" i="3"/>
  <c r="Q30" i="1" s="1"/>
  <c r="H19" i="3"/>
  <c r="F15" i="3"/>
  <c r="P24" i="1" s="1"/>
  <c r="D22" i="3"/>
  <c r="H10" i="3"/>
  <c r="F10" i="3"/>
  <c r="P19" i="1" s="1"/>
  <c r="M3" i="5"/>
  <c r="M2" i="5"/>
  <c r="F17" i="3"/>
  <c r="P26" i="1" s="1"/>
  <c r="R67" i="4"/>
  <c r="G14" i="3"/>
  <c r="Q23" i="1" s="1"/>
  <c r="F12" i="3"/>
  <c r="P21" i="1" s="1"/>
  <c r="H21" i="3"/>
  <c r="F21" i="3"/>
  <c r="P30" i="1" s="1"/>
  <c r="F11" i="3"/>
  <c r="P20" i="1" s="1"/>
  <c r="H11" i="3"/>
  <c r="F13" i="3"/>
  <c r="P22" i="1" s="1"/>
  <c r="H14" i="3"/>
  <c r="G18" i="3"/>
  <c r="Q27" i="1" s="1"/>
  <c r="Z67" i="4"/>
  <c r="F20" i="3"/>
  <c r="P29" i="1" s="1"/>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<sst xmlns="http://schemas.openxmlformats.org/spreadsheetml/2006/main" count="286" uniqueCount="124">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</sst>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3">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0" fillId="2" borderId="0" xfId="0" applyFill="1" applyAlignment="1">
      <alignment wrapText="1"/>
    </xf>
    <xf numFmtId="0" fontId="0" fillId="2" borderId="0" xfId="0" applyFill="1"/>
    <xf numFmtId="0" fontId="5" fillId="2" borderId="0" xfId="1" applyFill="1" applyAlignment="1">
      <alignment wrapText="1"/>
    </xf>
    <xf numFmtId="166" fontId="0" fillId="2" borderId="0" xfId="0" applyNumberFormat="1" applyFill="1" applyAlignment="1">
      <alignment horizontal="left" vertical="center" wrapText="1"/>
    </xf>
    <xf numFmtId="0" fontId="1" fillId="6" borderId="1" xfId="0" applyFont="1" applyFill="1" applyBorder="1" applyAlignment="1">
      <alignment horizontal="center"/>
    </xf>
    <xf numFmtId="0" fontId="0" fillId="0" borderId="29" xfId="0" applyBorder="1"/>
    <xf numFmtId="0" fontId="0" fillId="0" borderId="30" xfId="0" applyBorder="1"/>
    <xf numFmtId="0" fontId="22" fillId="2" borderId="14" xfId="0" applyFont="1" applyFill="1" applyBorder="1" applyAlignment="1">
      <alignment horizontal="center"/>
    </xf>
    <xf numFmtId="0" fontId="0" fillId="0" borderId="34" xfId="0" applyBorder="1"/>
    <xf numFmtId="0" fontId="22" fillId="2" borderId="16" xfId="0" applyFont="1" applyFill="1" applyBorder="1" applyAlignment="1">
      <alignment horizontal="center"/>
    </xf>
    <xf numFmtId="0" fontId="1" fillId="2" borderId="28" xfId="0" applyFont="1" applyFill="1" applyBorder="1" applyAlignment="1">
      <alignment horizontal="center" vertical="center"/>
    </xf>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22" fillId="2" borderId="18" xfId="0" applyFont="1" applyFill="1" applyBorder="1" applyAlignment="1">
      <alignment horizontal="center"/>
    </xf>
    <xf numFmtId="0" fontId="0" fillId="0" borderId="35" xfId="0" applyBorder="1"/>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Gas'!$A$8:$A$383</c:f>
              <c:numCache>
                <c:formatCode>[$-409]mmm\-yy;@</c:formatCode>
                <c:ptCount val="376"/>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'Retail Sales ex Auto and Gas'!$C$8:$C$383</c:f>
              <c:numCache>
                <c:formatCode>0.00%</c:formatCode>
                <c:ptCount val="376"/>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7.7021795162142631E-3</c:v>
                </c:pt>
                <c:pt idx="358">
                  <c:v>-2.0397854479608568E-2</c:v>
                </c:pt>
                <c:pt idx="359">
                  <c:v>2.0311311932458768E-2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7.9629431618956931E-3</c:v>
                </c:pt>
                <c:pt idx="369">
                  <c:v>-2.0615750433331066E-3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2BCF-41A5-BAD5-3DD34C7C06B3}"/>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Gas'!$A$8:$A$380</c:f>
              <c:numCache>
                <c:formatCode>[$-409]mmm\-yy;@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'Retail Sales ex Auto and Gas'!$C$8:$C$380</c:f>
              <c:numCache>
                <c:formatCode>0.00%</c:formatCode>
                <c:ptCount val="373"/>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7.7021795162142631E-3</c:v>
                </c:pt>
                <c:pt idx="358">
                  <c:v>-2.0397854479608568E-2</c:v>
                </c:pt>
                <c:pt idx="359">
                  <c:v>2.0311311932458768E-2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7.9629431618956931E-3</c:v>
                </c:pt>
                <c:pt idx="369">
                  <c:v>-2.0615750433331066E-3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14E-4EFA-923E-96B8B18C25A2}"/>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Gas'!$A$19:$A$380</c:f>
              <c:numCache>
                <c:formatCode>[$-409]mmm\-yy;@</c:formatCode>
                <c:ptCount val="36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numCache>
            </c:numRef>
          </c:cat>
          <c:val>
            <c:numRef>
              <c:f>'Retail Sales ex Auto and Gas'!$D$19:$D$380</c:f>
              <c:numCache>
                <c:formatCode>0.00%</c:formatCode>
                <c:ptCount val="362"/>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0.13499402418534676</c:v>
                </c:pt>
                <c:pt idx="345">
                  <c:v>0.15142762770668131</c:v>
                </c:pt>
                <c:pt idx="346">
                  <c:v>0.17178228003029741</c:v>
                </c:pt>
                <c:pt idx="347">
                  <c:v>0.1658663704933985</c:v>
                </c:pt>
                <c:pt idx="348">
                  <c:v>0.12068080041086093</c:v>
                </c:pt>
                <c:pt idx="349">
                  <c:v>0.15761118556284284</c:v>
                </c:pt>
                <c:pt idx="350">
                  <c:v>6.3102033535497676E-2</c:v>
                </c:pt>
                <c:pt idx="351">
                  <c:v>7.5451325808063047E-2</c:v>
                </c:pt>
                <c:pt idx="352">
                  <c:v>8.5661255607997866E-2</c:v>
                </c:pt>
                <c:pt idx="353">
                  <c:v>7.2643337713188344E-2</c:v>
                </c:pt>
                <c:pt idx="354">
                  <c:v>9.0117529103770952E-2</c:v>
                </c:pt>
                <c:pt idx="355">
                  <c:v>8.3625139133737439E-2</c:v>
                </c:pt>
                <c:pt idx="356">
                  <c:v>8.0637214291320383E-2</c:v>
                </c:pt>
                <c:pt idx="357">
                  <c:v>7.7610620423393409E-2</c:v>
                </c:pt>
                <c:pt idx="358">
                  <c:v>6.7169514090144392E-2</c:v>
                </c:pt>
              </c:numCache>
            </c:numRef>
          </c:val>
          <c:smooth val="0"/>
          <c:extLst>
            <c:ext xmlns:c16="http://schemas.microsoft.com/office/drawing/2014/chart" uri="{C3380CC4-5D6E-409C-BE32-E72D297353CC}">
              <c16:uniqueId val="{00000000-FBAE-434E-9450-D13CB1C08620}"/>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 ex Auto and Gas'!$B$7:$B$380</c:f>
              <c:numCache>
                <c:formatCode>#,##0</c:formatCode>
                <c:ptCount val="374"/>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458684</c:v>
                </c:pt>
                <c:pt idx="357">
                  <c:v>463635</c:v>
                </c:pt>
                <c:pt idx="358">
                  <c:v>467206</c:v>
                </c:pt>
                <c:pt idx="359">
                  <c:v>457676</c:v>
                </c:pt>
                <c:pt idx="360">
                  <c:v>466972</c:v>
                </c:pt>
                <c:pt idx="361">
                  <c:v>472501</c:v>
                </c:pt>
                <c:pt idx="362">
                  <c:v>476780</c:v>
                </c:pt>
                <c:pt idx="363">
                  <c:v>480089</c:v>
                </c:pt>
                <c:pt idx="364">
                  <c:v>483737</c:v>
                </c:pt>
                <c:pt idx="365">
                  <c:v>488175</c:v>
                </c:pt>
                <c:pt idx="366">
                  <c:v>489272</c:v>
                </c:pt>
                <c:pt idx="367">
                  <c:v>493588</c:v>
                </c:pt>
                <c:pt idx="368">
                  <c:v>495671</c:v>
                </c:pt>
                <c:pt idx="369">
                  <c:v>499618</c:v>
                </c:pt>
                <c:pt idx="370">
                  <c:v>498588</c:v>
                </c:pt>
              </c:numCache>
            </c:numRef>
          </c:val>
          <c:smooth val="0"/>
          <c:extLst>
            <c:ext xmlns:c16="http://schemas.microsoft.com/office/drawing/2014/chart" uri="{C3380CC4-5D6E-409C-BE32-E72D297353CC}">
              <c16:uniqueId val="{00000000-91CC-4135-BD4C-8878E4F77E43}"/>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Sales'!$D$7:$D$382</c:f>
              <c:numCache>
                <c:formatCode>General</c:formatCode>
                <c:ptCount val="376"/>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0.14440331164348191</c:v>
                </c:pt>
                <c:pt idx="357" formatCode="0.00%">
                  <c:v>0.16448534585100599</c:v>
                </c:pt>
                <c:pt idx="358" formatCode="0.00%">
                  <c:v>0.19065008807834743</c:v>
                </c:pt>
                <c:pt idx="359" formatCode="0.00%">
                  <c:v>0.16843603920860792</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9.7160951928354153E-2</c:v>
                </c:pt>
                <c:pt idx="368" formatCode="0.00%">
                  <c:v>8.3879201283165727E-2</c:v>
                </c:pt>
                <c:pt idx="369" formatCode="0.00%">
                  <c:v>8.2679181420212203E-2</c:v>
                </c:pt>
                <c:pt idx="370" formatCode="0.00%">
                  <c:v>6.4750523539186672E-2</c:v>
                </c:pt>
              </c:numCache>
            </c:numRef>
          </c:val>
          <c:smooth val="0"/>
          <c:extLst>
            <c:ext xmlns:c16="http://schemas.microsoft.com/office/drawing/2014/chart" uri="{C3380CC4-5D6E-409C-BE32-E72D297353CC}">
              <c16:uniqueId val="{00000000-D9AD-4870-A3C2-A63E92274360}"/>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Sales'!$B$7:$B$385</c:f>
              <c:numCache>
                <c:formatCode>#,##0</c:formatCode>
                <c:ptCount val="379"/>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631563</c:v>
                </c:pt>
                <c:pt idx="357">
                  <c:v>640524</c:v>
                </c:pt>
                <c:pt idx="358">
                  <c:v>647516</c:v>
                </c:pt>
                <c:pt idx="359">
                  <c:v>634393</c:v>
                </c:pt>
                <c:pt idx="360">
                  <c:v>651557</c:v>
                </c:pt>
                <c:pt idx="361">
                  <c:v>662321</c:v>
                </c:pt>
                <c:pt idx="362">
                  <c:v>669958</c:v>
                </c:pt>
                <c:pt idx="363">
                  <c:v>674719</c:v>
                </c:pt>
                <c:pt idx="364">
                  <c:v>677115</c:v>
                </c:pt>
                <c:pt idx="365">
                  <c:v>684084</c:v>
                </c:pt>
                <c:pt idx="366">
                  <c:v>681108</c:v>
                </c:pt>
                <c:pt idx="367">
                  <c:v>685685</c:v>
                </c:pt>
                <c:pt idx="368">
                  <c:v>684538</c:v>
                </c:pt>
                <c:pt idx="369">
                  <c:v>693482</c:v>
                </c:pt>
                <c:pt idx="370">
                  <c:v>689443</c:v>
                </c:pt>
              </c:numCache>
            </c:numRef>
          </c:val>
          <c:smooth val="0"/>
          <c:extLst>
            <c:ext xmlns:c16="http://schemas.microsoft.com/office/drawing/2014/chart" uri="{C3380CC4-5D6E-409C-BE32-E72D297353CC}">
              <c16:uniqueId val="{00000000-B2E9-4DFA-BA81-B517E76B2AD8}"/>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numCache>
            </c:numRef>
          </c:cat>
          <c:val>
            <c:numRef>
              <c:f>'Retail Sales ex Auto'!$C$19:$C$382</c:f>
              <c:numCache>
                <c:formatCode>0.00%</c:formatCode>
                <c:ptCount val="364"/>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1.0139567465523689E-2</c:v>
                </c:pt>
                <c:pt idx="345">
                  <c:v>1.4410221148703843E-2</c:v>
                </c:pt>
                <c:pt idx="346">
                  <c:v>9.1999837783661338E-3</c:v>
                </c:pt>
                <c:pt idx="347">
                  <c:v>-1.7231448685492097E-2</c:v>
                </c:pt>
                <c:pt idx="348">
                  <c:v>1.6170612127277613E-2</c:v>
                </c:pt>
                <c:pt idx="349">
                  <c:v>1.7248812491497265E-2</c:v>
                </c:pt>
                <c:pt idx="350">
                  <c:v>1.9858992301650238E-2</c:v>
                </c:pt>
                <c:pt idx="351">
                  <c:v>4.565636566463996E-3</c:v>
                </c:pt>
                <c:pt idx="352">
                  <c:v>1.2533369613978834E-2</c:v>
                </c:pt>
                <c:pt idx="353">
                  <c:v>1.1357755685687049E-2</c:v>
                </c:pt>
                <c:pt idx="354">
                  <c:v>-7.6304355632159147E-4</c:v>
                </c:pt>
                <c:pt idx="355">
                  <c:v>1.7626290303743566E-3</c:v>
                </c:pt>
                <c:pt idx="356">
                  <c:v>-8.0532916260115934E-4</c:v>
                </c:pt>
                <c:pt idx="357">
                  <c:v>1.2409192819074938E-2</c:v>
                </c:pt>
                <c:pt idx="358">
                  <c:v>-1.8953900709219858E-3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D99-48A2-85CC-1AF627B902DE}"/>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 ex Auto'!$B$7:$B$384</c:f>
              <c:numCache>
                <c:formatCode>#,##0</c:formatCode>
                <c:ptCount val="378"/>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510471</c:v>
                </c:pt>
                <c:pt idx="357">
                  <c:v>517827</c:v>
                </c:pt>
                <c:pt idx="358">
                  <c:v>522591</c:v>
                </c:pt>
                <c:pt idx="359">
                  <c:v>513586</c:v>
                </c:pt>
                <c:pt idx="360">
                  <c:v>521891</c:v>
                </c:pt>
                <c:pt idx="361">
                  <c:v>530893</c:v>
                </c:pt>
                <c:pt idx="362">
                  <c:v>541436</c:v>
                </c:pt>
                <c:pt idx="363">
                  <c:v>543908</c:v>
                </c:pt>
                <c:pt idx="364">
                  <c:v>550725</c:v>
                </c:pt>
                <c:pt idx="365">
                  <c:v>556980</c:v>
                </c:pt>
                <c:pt idx="366">
                  <c:v>556555</c:v>
                </c:pt>
                <c:pt idx="367">
                  <c:v>557536</c:v>
                </c:pt>
                <c:pt idx="368">
                  <c:v>557087</c:v>
                </c:pt>
                <c:pt idx="369">
                  <c:v>564000</c:v>
                </c:pt>
                <c:pt idx="370">
                  <c:v>562931</c:v>
                </c:pt>
              </c:numCache>
            </c:numRef>
          </c:val>
          <c:smooth val="0"/>
          <c:extLst>
            <c:ext xmlns:c16="http://schemas.microsoft.com/office/drawing/2014/chart" uri="{C3380CC4-5D6E-409C-BE32-E72D297353CC}">
              <c16:uniqueId val="{00000000-D89A-4EEE-A74B-1907330D3BCC}"/>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'Retail Sales ex Auto'!$D$7:$D$385</c:f>
              <c:numCache>
                <c:formatCode>General</c:formatCode>
                <c:ptCount val="379"/>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0.15794285040252426</c:v>
                </c:pt>
                <c:pt idx="357" formatCode="0.00%">
                  <c:v>0.17798524524155629</c:v>
                </c:pt>
                <c:pt idx="358" formatCode="0.00%">
                  <c:v>0.20161551780035733</c:v>
                </c:pt>
                <c:pt idx="359" formatCode="0.00%">
                  <c:v>0.18925289911451965</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0.10327359220496016</c:v>
                </c:pt>
                <c:pt idx="368" formatCode="0.00%">
                  <c:v>9.1319585245782819E-2</c:v>
                </c:pt>
                <c:pt idx="369" formatCode="0.00%">
                  <c:v>8.9166845297753886E-2</c:v>
                </c:pt>
                <c:pt idx="370" formatCode="0.00%">
                  <c:v>7.719229760941157E-2</c:v>
                </c:pt>
              </c:numCache>
            </c:numRef>
          </c:val>
          <c:smooth val="0"/>
          <c:extLst>
            <c:ext xmlns:c16="http://schemas.microsoft.com/office/drawing/2014/chart" uri="{C3380CC4-5D6E-409C-BE32-E72D297353CC}">
              <c16:uniqueId val="{00000000-0839-46E2-90B8-BDB59984A0AD}"/>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6.6264114313448391E-2</c:v>
                </c:pt>
                <c:pt idx="345">
                  <c:v>8.1021740690248978E-2</c:v>
                </c:pt>
                <c:pt idx="346">
                  <c:v>7.2036784741144416E-2</c:v>
                </c:pt>
                <c:pt idx="347">
                  <c:v>8.8650100738750834E-2</c:v>
                </c:pt>
                <c:pt idx="348">
                  <c:v>8.0117313630659465E-2</c:v>
                </c:pt>
                <c:pt idx="349">
                  <c:v>7.8400428356042773E-2</c:v>
                </c:pt>
                <c:pt idx="350">
                  <c:v>8.3565889298685997E-2</c:v>
                </c:pt>
                <c:pt idx="351">
                  <c:v>7.3432985107801732E-2</c:v>
                </c:pt>
                <c:pt idx="352">
                  <c:v>7.6947470012408661E-2</c:v>
                </c:pt>
                <c:pt idx="353">
                  <c:v>8.0474861863340449E-2</c:v>
                </c:pt>
                <c:pt idx="354">
                  <c:v>8.3088739541900977E-2</c:v>
                </c:pt>
                <c:pt idx="355">
                  <c:v>7.0621583316460818E-2</c:v>
                </c:pt>
                <c:pt idx="356">
                  <c:v>7.0807952339514021E-2</c:v>
                </c:pt>
                <c:pt idx="357">
                  <c:v>7.5374016009345415E-2</c:v>
                </c:pt>
                <c:pt idx="358">
                  <c:v>8.0593063277733648E-2</c:v>
                </c:pt>
              </c:numCache>
            </c:numRef>
          </c:val>
          <c:smooth val="0"/>
          <c:extLst>
            <c:ext xmlns:c16="http://schemas.microsoft.com/office/drawing/2014/chart" uri="{C3380CC4-5D6E-409C-BE32-E72D297353CC}">
              <c16:uniqueId val="{00000000-62A3-4476-99B1-23286A466797}"/>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'Food and Beverage'!$B$7:$B$381</c:f>
              <c:numCache>
                <c:formatCode>#,##0</c:formatCode>
                <c:ptCount val="375"/>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74695</c:v>
                </c:pt>
                <c:pt idx="357">
                  <c:v>75331</c:v>
                </c:pt>
                <c:pt idx="358">
                  <c:v>75540</c:v>
                </c:pt>
                <c:pt idx="359">
                  <c:v>76187</c:v>
                </c:pt>
                <c:pt idx="360">
                  <c:v>76603</c:v>
                </c:pt>
                <c:pt idx="361">
                  <c:v>76533</c:v>
                </c:pt>
                <c:pt idx="362">
                  <c:v>77268</c:v>
                </c:pt>
                <c:pt idx="363">
                  <c:v>77270</c:v>
                </c:pt>
                <c:pt idx="364">
                  <c:v>78111</c:v>
                </c:pt>
                <c:pt idx="365">
                  <c:v>79000</c:v>
                </c:pt>
                <c:pt idx="366">
                  <c:v>78968</c:v>
                </c:pt>
                <c:pt idx="367">
                  <c:v>79317</c:v>
                </c:pt>
                <c:pt idx="368">
                  <c:v>79984</c:v>
                </c:pt>
                <c:pt idx="369">
                  <c:v>81009</c:v>
                </c:pt>
                <c:pt idx="370">
                  <c:v>81628</c:v>
                </c:pt>
              </c:numCache>
            </c:numRef>
          </c:val>
          <c:smooth val="0"/>
          <c:extLst>
            <c:ext xmlns:c16="http://schemas.microsoft.com/office/drawing/2014/chart" uri="{C3380CC4-5D6E-409C-BE32-E72D297353CC}">
              <c16:uniqueId val="{00000000-98E7-423B-824E-CCBC2C0ACA33}"/>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'Non Store Retail'!$B$7:$B$380</c:f>
              <c:numCache>
                <c:formatCode>#,##0</c:formatCode>
                <c:ptCount val="37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97674</c:v>
                </c:pt>
                <c:pt idx="357">
                  <c:v>99875</c:v>
                </c:pt>
                <c:pt idx="358">
                  <c:v>101265</c:v>
                </c:pt>
                <c:pt idx="359">
                  <c:v>95958</c:v>
                </c:pt>
                <c:pt idx="360">
                  <c:v>102773</c:v>
                </c:pt>
                <c:pt idx="361">
                  <c:v>104095</c:v>
                </c:pt>
                <c:pt idx="362">
                  <c:v>102895</c:v>
                </c:pt>
                <c:pt idx="363">
                  <c:v>104003</c:v>
                </c:pt>
                <c:pt idx="364">
                  <c:v>106789</c:v>
                </c:pt>
                <c:pt idx="365">
                  <c:v>107157</c:v>
                </c:pt>
                <c:pt idx="366">
                  <c:v>108939</c:v>
                </c:pt>
                <c:pt idx="367">
                  <c:v>109557</c:v>
                </c:pt>
                <c:pt idx="368">
                  <c:v>109410</c:v>
                </c:pt>
                <c:pt idx="369">
                  <c:v>110124</c:v>
                </c:pt>
                <c:pt idx="370">
                  <c:v>109084</c:v>
                </c:pt>
              </c:numCache>
            </c:numRef>
          </c:val>
          <c:smooth val="0"/>
          <c:extLst>
            <c:ext xmlns:c16="http://schemas.microsoft.com/office/drawing/2014/chart" uri="{C3380CC4-5D6E-409C-BE32-E72D297353CC}">
              <c16:uniqueId val="{00000000-D0D3-4C79-AB98-AFFA75D6BD94}"/>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'Non Store Retail'!$D$7:$D$383</c:f>
              <c:numCache>
                <c:formatCode>General</c:formatCode>
                <c:ptCount val="377"/>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0.10965440458067301</c:v>
                </c:pt>
                <c:pt idx="357" formatCode="0.00%">
                  <c:v>0.12607533852727948</c:v>
                </c:pt>
                <c:pt idx="358" formatCode="0.00%">
                  <c:v>0.14468999039168032</c:v>
                </c:pt>
                <c:pt idx="359" formatCode="0.00%">
                  <c:v>0.12757781929707054</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0.12729199678966105</c:v>
                </c:pt>
                <c:pt idx="368" formatCode="0.00%">
                  <c:v>0.12015480066343141</c:v>
                </c:pt>
                <c:pt idx="369" formatCode="0.00%">
                  <c:v>0.10261827284105131</c:v>
                </c:pt>
                <c:pt idx="370" formatCode="0.00%">
                  <c:v>7.7213252357675399E-2</c:v>
                </c:pt>
              </c:numCache>
            </c:numRef>
          </c:val>
          <c:smooth val="0"/>
          <c:extLst>
            <c:ext xmlns:c16="http://schemas.microsoft.com/office/drawing/2014/chart" uri="{C3380CC4-5D6E-409C-BE32-E72D297353CC}">
              <c16:uniqueId val="{00000000-B0CE-448A-9C54-795C17B994D8}"/>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Health!$B$7:$B$384</c:f>
              <c:numCache>
                <c:formatCode>#,##0</c:formatCode>
                <c:ptCount val="378"/>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32611</c:v>
                </c:pt>
                <c:pt idx="357">
                  <c:v>32444</c:v>
                </c:pt>
                <c:pt idx="358">
                  <c:v>32694</c:v>
                </c:pt>
                <c:pt idx="359">
                  <c:v>32797</c:v>
                </c:pt>
                <c:pt idx="360">
                  <c:v>32815</c:v>
                </c:pt>
                <c:pt idx="361">
                  <c:v>32445</c:v>
                </c:pt>
                <c:pt idx="362">
                  <c:v>32763</c:v>
                </c:pt>
                <c:pt idx="363">
                  <c:v>32962</c:v>
                </c:pt>
                <c:pt idx="364">
                  <c:v>32985</c:v>
                </c:pt>
                <c:pt idx="365">
                  <c:v>33426</c:v>
                </c:pt>
                <c:pt idx="366">
                  <c:v>33641</c:v>
                </c:pt>
                <c:pt idx="367">
                  <c:v>33649</c:v>
                </c:pt>
                <c:pt idx="368">
                  <c:v>33932</c:v>
                </c:pt>
                <c:pt idx="369">
                  <c:v>33928</c:v>
                </c:pt>
                <c:pt idx="370">
                  <c:v>34168</c:v>
                </c:pt>
              </c:numCache>
            </c:numRef>
          </c:val>
          <c:smooth val="0"/>
          <c:extLst>
            <c:ext xmlns:c16="http://schemas.microsoft.com/office/drawing/2014/chart" uri="{C3380CC4-5D6E-409C-BE32-E72D297353CC}">
              <c16:uniqueId val="{00000000-6295-4327-A2FC-0B9C8DF9A833}"/>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7.7194952764748623E-2</c:v>
                </c:pt>
                <c:pt idx="357" formatCode="0.00%">
                  <c:v>7.5372886973815043E-2</c:v>
                </c:pt>
                <c:pt idx="358" formatCode="0.00%">
                  <c:v>0.10088221429052462</c:v>
                </c:pt>
                <c:pt idx="359" formatCode="0.00%">
                  <c:v>9.5131561373046611E-2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2.5915424250739352E-2</c:v>
                </c:pt>
                <c:pt idx="368" formatCode="0.00%">
                  <c:v>4.0507804115175863E-2</c:v>
                </c:pt>
                <c:pt idx="369" formatCode="0.00%">
                  <c:v>4.5740352607569965E-2</c:v>
                </c:pt>
                <c:pt idx="370" formatCode="0.00%">
                  <c:v>4.5084725025998654E-2</c:v>
                </c:pt>
              </c:numCache>
            </c:numRef>
          </c:val>
          <c:smooth val="0"/>
          <c:extLst>
            <c:ext xmlns:c16="http://schemas.microsoft.com/office/drawing/2014/chart" uri="{C3380CC4-5D6E-409C-BE32-E72D297353CC}">
              <c16:uniqueId val="{00000000-A644-42BF-8678-E8BC1F2D1222}"/>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'Sporting Goods'!$B$7:$B$383</c:f>
              <c:numCache>
                <c:formatCode>#,##0</c:formatCode>
                <c:ptCount val="377"/>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8954</c:v>
                </c:pt>
                <c:pt idx="358">
                  <c:v>9136</c:v>
                </c:pt>
                <c:pt idx="359">
                  <c:v>8968</c:v>
                </c:pt>
                <c:pt idx="360">
                  <c:v>8877</c:v>
                </c:pt>
                <c:pt idx="361">
                  <c:v>8916</c:v>
                </c:pt>
                <c:pt idx="362">
                  <c:v>9009</c:v>
                </c:pt>
                <c:pt idx="363">
                  <c:v>9069</c:v>
                </c:pt>
                <c:pt idx="364">
                  <c:v>9153</c:v>
                </c:pt>
                <c:pt idx="365">
                  <c:v>9233</c:v>
                </c:pt>
                <c:pt idx="366">
                  <c:v>9236</c:v>
                </c:pt>
                <c:pt idx="367">
                  <c:v>9335</c:v>
                </c:pt>
                <c:pt idx="368">
                  <c:v>9295</c:v>
                </c:pt>
                <c:pt idx="369">
                  <c:v>9357</c:v>
                </c:pt>
                <c:pt idx="370">
                  <c:v>9303</c:v>
                </c:pt>
              </c:numCache>
            </c:numRef>
          </c:val>
          <c:smooth val="0"/>
          <c:extLst>
            <c:ext xmlns:c16="http://schemas.microsoft.com/office/drawing/2014/chart" uri="{C3380CC4-5D6E-409C-BE32-E72D297353CC}">
              <c16:uniqueId val="{00000000-00E9-4BF0-84CC-6A96646CE9C5}"/>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'Sporting Goods'!$D$7:$D$384</c:f>
              <c:numCache>
                <c:formatCode>General</c:formatCode>
                <c:ptCount val="378"/>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0.1532715095311695</c:v>
                </c:pt>
                <c:pt idx="358" formatCode="0.00%">
                  <c:v>0.19206680584551147</c:v>
                </c:pt>
                <c:pt idx="359" formatCode="0.00%">
                  <c:v>0.16301387628063804</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6.067492330416998E-2</c:v>
                </c:pt>
                <c:pt idx="368" formatCode="0.00%">
                  <c:v>4.3912848158131179E-2</c:v>
                </c:pt>
                <c:pt idx="369" formatCode="0.00%">
                  <c:v>4.5007817735090459E-2</c:v>
                </c:pt>
                <c:pt idx="370" formatCode="0.00%">
                  <c:v>1.8279334500875658E-2</c:v>
                </c:pt>
              </c:numCache>
            </c:numRef>
          </c:val>
          <c:smooth val="0"/>
          <c:extLst>
            <c:ext xmlns:c16="http://schemas.microsoft.com/office/drawing/2014/chart" uri="{C3380CC4-5D6E-409C-BE32-E72D297353CC}">
              <c16:uniqueId val="{00000000-5A92-4123-8977-5ABB4049D410}"/>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'General Merchandising'!$B$7:$B$379</c:f>
              <c:numCache>
                <c:formatCode>#,##0</c:formatCode>
                <c:ptCount val="373"/>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67541</c:v>
                </c:pt>
                <c:pt idx="357">
                  <c:v>68323</c:v>
                </c:pt>
                <c:pt idx="358">
                  <c:v>68109</c:v>
                </c:pt>
                <c:pt idx="359">
                  <c:v>67197</c:v>
                </c:pt>
                <c:pt idx="360">
                  <c:v>69233</c:v>
                </c:pt>
                <c:pt idx="361">
                  <c:v>67568</c:v>
                </c:pt>
                <c:pt idx="362">
                  <c:v>68468</c:v>
                </c:pt>
                <c:pt idx="363">
                  <c:v>68026</c:v>
                </c:pt>
                <c:pt idx="364">
                  <c:v>68053</c:v>
                </c:pt>
                <c:pt idx="365">
                  <c:v>69621</c:v>
                </c:pt>
                <c:pt idx="366">
                  <c:v>69346</c:v>
                </c:pt>
                <c:pt idx="367">
                  <c:v>69558</c:v>
                </c:pt>
                <c:pt idx="368">
                  <c:v>70343</c:v>
                </c:pt>
                <c:pt idx="369">
                  <c:v>70145</c:v>
                </c:pt>
                <c:pt idx="370">
                  <c:v>70070</c:v>
                </c:pt>
              </c:numCache>
            </c:numRef>
          </c:val>
          <c:smooth val="0"/>
          <c:extLst>
            <c:ext xmlns:c16="http://schemas.microsoft.com/office/drawing/2014/chart" uri="{C3380CC4-5D6E-409C-BE32-E72D297353CC}">
              <c16:uniqueId val="{00000000-DA5F-4378-A2C9-0985D869BF8F}"/>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'General Merchandising'!$D$7:$D$385</c:f>
              <c:numCache>
                <c:formatCode>General</c:formatCode>
                <c:ptCount val="379"/>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8.4316653020597543E-2</c:v>
                </c:pt>
                <c:pt idx="357" formatCode="0.00%">
                  <c:v>0.11157569348409664</c:v>
                </c:pt>
                <c:pt idx="358" formatCode="0.00%">
                  <c:v>0.10850883760294261</c:v>
                </c:pt>
                <c:pt idx="359" formatCode="0.00%">
                  <c:v>0.11082273982113633</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3.3336304483465549E-2</c:v>
                </c:pt>
                <c:pt idx="368" formatCode="0.00%">
                  <c:v>4.1485912260700905E-2</c:v>
                </c:pt>
                <c:pt idx="369" formatCode="0.00%">
                  <c:v>2.6667447272514379E-2</c:v>
                </c:pt>
                <c:pt idx="370" formatCode="0.00%">
                  <c:v>2.8792083278274531E-2</c:v>
                </c:pt>
              </c:numCache>
            </c:numRef>
          </c:val>
          <c:smooth val="0"/>
          <c:extLst>
            <c:ext xmlns:c16="http://schemas.microsoft.com/office/drawing/2014/chart" uri="{C3380CC4-5D6E-409C-BE32-E72D297353CC}">
              <c16:uniqueId val="{00000000-11FA-484F-A2B3-C965D4FC0554}"/>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'Food Services'!$B$7:$B$382</c:f>
              <c:numCache>
                <c:formatCode>#,##0</c:formatCode>
                <c:ptCount val="376"/>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78449</c:v>
                </c:pt>
                <c:pt idx="358">
                  <c:v>79218</c:v>
                </c:pt>
                <c:pt idx="359">
                  <c:v>77583</c:v>
                </c:pt>
                <c:pt idx="360">
                  <c:v>75557</c:v>
                </c:pt>
                <c:pt idx="361">
                  <c:v>80553</c:v>
                </c:pt>
                <c:pt idx="362">
                  <c:v>82388</c:v>
                </c:pt>
                <c:pt idx="363">
                  <c:v>84481</c:v>
                </c:pt>
                <c:pt idx="364">
                  <c:v>85322</c:v>
                </c:pt>
                <c:pt idx="365">
                  <c:v>85939</c:v>
                </c:pt>
                <c:pt idx="366">
                  <c:v>85214</c:v>
                </c:pt>
                <c:pt idx="367">
                  <c:v>87305</c:v>
                </c:pt>
                <c:pt idx="368">
                  <c:v>88196</c:v>
                </c:pt>
                <c:pt idx="369">
                  <c:v>89613</c:v>
                </c:pt>
                <c:pt idx="370">
                  <c:v>90391</c:v>
                </c:pt>
              </c:numCache>
            </c:numRef>
          </c:val>
          <c:smooth val="0"/>
          <c:extLst>
            <c:ext xmlns:c16="http://schemas.microsoft.com/office/drawing/2014/chart" uri="{C3380CC4-5D6E-409C-BE32-E72D297353CC}">
              <c16:uniqueId val="{00000000-723E-408F-BA7E-EEA675E4F227}"/>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'Food Services'!$D$7:$D$384</c:f>
              <c:numCache>
                <c:formatCode>General</c:formatCode>
                <c:ptCount val="378"/>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0.32463738750147747</c:v>
                </c:pt>
                <c:pt idx="358" formatCode="0.00%">
                  <c:v>0.38976509184049402</c:v>
                </c:pt>
                <c:pt idx="359" formatCode="0.00%">
                  <c:v>0.43496837198979027</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0.12558661234593368</c:v>
                </c:pt>
                <c:pt idx="368" formatCode="0.00%">
                  <c:v>0.12655834866135296</c:v>
                </c:pt>
                <c:pt idx="369" formatCode="0.00%">
                  <c:v>0.14230901604864307</c:v>
                </c:pt>
                <c:pt idx="370" formatCode="0.00%">
                  <c:v>0.14104117751016182</c:v>
                </c:pt>
              </c:numCache>
            </c:numRef>
          </c:val>
          <c:smooth val="0"/>
          <c:extLst>
            <c:ext xmlns:c16="http://schemas.microsoft.com/office/drawing/2014/chart" uri="{C3380CC4-5D6E-409C-BE32-E72D297353CC}">
              <c16:uniqueId val="{00000000-1605-4654-8E32-452B3C79C0D5}"/>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'Gas Station'!$B$7:$B$382</c:f>
              <c:numCache>
                <c:formatCode>#,##0</c:formatCode>
                <c:ptCount val="376"/>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51787</c:v>
                </c:pt>
                <c:pt idx="357">
                  <c:v>54192</c:v>
                </c:pt>
                <c:pt idx="358">
                  <c:v>55385</c:v>
                </c:pt>
                <c:pt idx="359">
                  <c:v>55910</c:v>
                </c:pt>
                <c:pt idx="360">
                  <c:v>54919</c:v>
                </c:pt>
                <c:pt idx="361">
                  <c:v>58392</c:v>
                </c:pt>
                <c:pt idx="362">
                  <c:v>64656</c:v>
                </c:pt>
                <c:pt idx="363">
                  <c:v>63819</c:v>
                </c:pt>
                <c:pt idx="364">
                  <c:v>66988</c:v>
                </c:pt>
                <c:pt idx="365">
                  <c:v>68805</c:v>
                </c:pt>
                <c:pt idx="366">
                  <c:v>67283</c:v>
                </c:pt>
                <c:pt idx="367">
                  <c:v>63948</c:v>
                </c:pt>
                <c:pt idx="368">
                  <c:v>61416</c:v>
                </c:pt>
                <c:pt idx="369">
                  <c:v>64382</c:v>
                </c:pt>
                <c:pt idx="370">
                  <c:v>64343</c:v>
                </c:pt>
              </c:numCache>
            </c:numRef>
          </c:val>
          <c:smooth val="0"/>
          <c:extLst>
            <c:ext xmlns:c16="http://schemas.microsoft.com/office/drawing/2014/chart" uri="{C3380CC4-5D6E-409C-BE32-E72D297353CC}">
              <c16:uniqueId val="{00000000-062B-4429-B3D7-0CD8B750B187}"/>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0.41055183308819526</c:v>
                </c:pt>
                <c:pt idx="357" formatCode="0.00%">
                  <c:v>0.4675838162812111</c:v>
                </c:pt>
                <c:pt idx="358" formatCode="0.00%">
                  <c:v>0.53026828392230541</c:v>
                </c:pt>
                <c:pt idx="359" formatCode="0.00%">
                  <c:v>0.42289975313669104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0.2828084252758275</c:v>
                </c:pt>
                <c:pt idx="368" formatCode="0.00%">
                  <c:v>0.18593469403518256</c:v>
                </c:pt>
                <c:pt idx="369" formatCode="0.00%">
                  <c:v>0.18803513433717153</c:v>
                </c:pt>
                <c:pt idx="370" formatCode="0.00%">
                  <c:v>0.16174054346844813</c:v>
                </c:pt>
              </c:numCache>
            </c:numRef>
          </c:val>
          <c:smooth val="0"/>
          <c:extLst>
            <c:ext xmlns:c16="http://schemas.microsoft.com/office/drawing/2014/chart" uri="{C3380CC4-5D6E-409C-BE32-E72D297353CC}">
              <c16:uniqueId val="{00000000-91F8-4429-92A3-4D7B199B4D66}"/>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Motor!$B$7:$B$381</c:f>
              <c:numCache>
                <c:formatCode>#,##0</c:formatCode>
                <c:ptCount val="375"/>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121092</c:v>
                </c:pt>
                <c:pt idx="357">
                  <c:v>122697</c:v>
                </c:pt>
                <c:pt idx="358">
                  <c:v>124925</c:v>
                </c:pt>
                <c:pt idx="359">
                  <c:v>120807</c:v>
                </c:pt>
                <c:pt idx="360">
                  <c:v>129666</c:v>
                </c:pt>
                <c:pt idx="361">
                  <c:v>131428</c:v>
                </c:pt>
                <c:pt idx="362">
                  <c:v>128522</c:v>
                </c:pt>
                <c:pt idx="363">
                  <c:v>130811</c:v>
                </c:pt>
                <c:pt idx="364">
                  <c:v>126390</c:v>
                </c:pt>
                <c:pt idx="365">
                  <c:v>127104</c:v>
                </c:pt>
                <c:pt idx="366">
                  <c:v>124553</c:v>
                </c:pt>
                <c:pt idx="367">
                  <c:v>128149</c:v>
                </c:pt>
                <c:pt idx="368">
                  <c:v>127451</c:v>
                </c:pt>
                <c:pt idx="369">
                  <c:v>129482</c:v>
                </c:pt>
                <c:pt idx="370">
                  <c:v>126512</c:v>
                </c:pt>
              </c:numCache>
            </c:numRef>
          </c:val>
          <c:smooth val="0"/>
          <c:extLst>
            <c:ext xmlns:c16="http://schemas.microsoft.com/office/drawing/2014/chart" uri="{C3380CC4-5D6E-409C-BE32-E72D297353CC}">
              <c16:uniqueId val="{00000000-B221-4627-91FD-FA1D3955AF6F}"/>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Motor!$D$7:$D$386</c:f>
              <c:numCache>
                <c:formatCode>General</c:formatCode>
                <c:ptCount val="38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9.0643801563569548E-2</c:v>
                </c:pt>
                <c:pt idx="357" formatCode="0.00%">
                  <c:v>0.1107620720247687</c:v>
                </c:pt>
                <c:pt idx="358" formatCode="0.00%">
                  <c:v>0.14686900401186115</c:v>
                </c:pt>
                <c:pt idx="359" formatCode="0.00%">
                  <c:v>8.7508776983598296E-2</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7.1336610486891383E-2</c:v>
                </c:pt>
                <c:pt idx="368" formatCode="0.00%">
                  <c:v>5.251379116704654E-2</c:v>
                </c:pt>
                <c:pt idx="369" formatCode="0.00%">
                  <c:v>5.5298825562157185E-2</c:v>
                </c:pt>
                <c:pt idx="370" formatCode="0.00%">
                  <c:v>1.2703622173303982E-2</c:v>
                </c:pt>
              </c:numCache>
            </c:numRef>
          </c:val>
          <c:smooth val="0"/>
          <c:extLst>
            <c:ext xmlns:c16="http://schemas.microsoft.com/office/drawing/2014/chart" uri="{C3380CC4-5D6E-409C-BE32-E72D297353CC}">
              <c16:uniqueId val="{00000000-210D-4801-B8CE-477625BE1ED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Housing!$B$7:$B$385</c:f>
              <c:numCache>
                <c:formatCode>#,##0</c:formatCode>
                <c:ptCount val="379"/>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39261</c:v>
                </c:pt>
                <c:pt idx="357">
                  <c:v>39895</c:v>
                </c:pt>
                <c:pt idx="358">
                  <c:v>41016</c:v>
                </c:pt>
                <c:pt idx="359">
                  <c:v>41207</c:v>
                </c:pt>
                <c:pt idx="360">
                  <c:v>42170</c:v>
                </c:pt>
                <c:pt idx="361">
                  <c:v>42307</c:v>
                </c:pt>
                <c:pt idx="362">
                  <c:v>42572</c:v>
                </c:pt>
                <c:pt idx="363">
                  <c:v>42168</c:v>
                </c:pt>
                <c:pt idx="364">
                  <c:v>42257</c:v>
                </c:pt>
                <c:pt idx="365">
                  <c:v>42131</c:v>
                </c:pt>
                <c:pt idx="366">
                  <c:v>42597</c:v>
                </c:pt>
                <c:pt idx="367">
                  <c:v>43314</c:v>
                </c:pt>
                <c:pt idx="368">
                  <c:v>43000</c:v>
                </c:pt>
                <c:pt idx="369">
                  <c:v>43578</c:v>
                </c:pt>
                <c:pt idx="370">
                  <c:v>42485</c:v>
                </c:pt>
              </c:numCache>
            </c:numRef>
          </c:val>
          <c:smooth val="0"/>
          <c:extLst>
            <c:ext xmlns:c16="http://schemas.microsoft.com/office/drawing/2014/chart" uri="{C3380CC4-5D6E-409C-BE32-E72D297353CC}">
              <c16:uniqueId val="{00000000-43E4-450B-8232-A020DD5680A7}"/>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Housing!$D$7:$D$384</c:f>
              <c:numCache>
                <c:formatCode>General</c:formatCode>
                <c:ptCount val="378"/>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6.3695475480899488E-2</c:v>
                </c:pt>
                <c:pt idx="357" formatCode="0.00%">
                  <c:v>9.3073593073593072E-2</c:v>
                </c:pt>
                <c:pt idx="358" formatCode="0.00%">
                  <c:v>0.12197390376672046</c:v>
                </c:pt>
                <c:pt idx="359" formatCode="0.00%">
                  <c:v>0.12809351730179588</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0.11309845038933004</c:v>
                </c:pt>
                <c:pt idx="368" formatCode="0.00%">
                  <c:v>9.5234456585415558E-2</c:v>
                </c:pt>
                <c:pt idx="369" formatCode="0.00%">
                  <c:v>9.2317332999122703E-2</c:v>
                </c:pt>
                <c:pt idx="370" formatCode="0.00%">
                  <c:v>3.5815291593524479E-2</c:v>
                </c:pt>
              </c:numCache>
            </c:numRef>
          </c:val>
          <c:smooth val="0"/>
          <c:extLst>
            <c:ext xmlns:c16="http://schemas.microsoft.com/office/drawing/2014/chart" uri="{C3380CC4-5D6E-409C-BE32-E72D297353CC}">
              <c16:uniqueId val="{00000000-7A79-4FA5-A8F2-4690AF5D5612}"/>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'Furniture Home'!$B$7:$B$383</c:f>
              <c:numCache>
                <c:formatCode>#,##0</c:formatCode>
                <c:ptCount val="377"/>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20043</c:v>
                </c:pt>
                <c:pt idx="357">
                  <c:v>20328</c:v>
                </c:pt>
                <c:pt idx="358">
                  <c:v>19570</c:v>
                </c:pt>
                <c:pt idx="359">
                  <c:v>18443</c:v>
                </c:pt>
                <c:pt idx="360">
                  <c:v>19257</c:v>
                </c:pt>
                <c:pt idx="361">
                  <c:v>19617</c:v>
                </c:pt>
                <c:pt idx="362">
                  <c:v>19770</c:v>
                </c:pt>
                <c:pt idx="363">
                  <c:v>20080</c:v>
                </c:pt>
                <c:pt idx="364">
                  <c:v>19740</c:v>
                </c:pt>
                <c:pt idx="365">
                  <c:v>19554</c:v>
                </c:pt>
                <c:pt idx="366">
                  <c:v>19544</c:v>
                </c:pt>
                <c:pt idx="367">
                  <c:v>19474</c:v>
                </c:pt>
                <c:pt idx="368">
                  <c:v>19116</c:v>
                </c:pt>
                <c:pt idx="369">
                  <c:v>19279</c:v>
                </c:pt>
                <c:pt idx="370">
                  <c:v>18857</c:v>
                </c:pt>
              </c:numCache>
            </c:numRef>
          </c:val>
          <c:smooth val="0"/>
          <c:extLst>
            <c:ext xmlns:c16="http://schemas.microsoft.com/office/drawing/2014/chart" uri="{C3380CC4-5D6E-409C-BE32-E72D297353CC}">
              <c16:uniqueId val="{00000000-20FC-46B4-B46E-712165F7DFCC}"/>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'Furniture Home'!$D$7:$D$384</c:f>
              <c:numCache>
                <c:formatCode>General</c:formatCode>
                <c:ptCount val="378"/>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0.14335424985738734</c:v>
                </c:pt>
                <c:pt idx="357" formatCode="0.00%">
                  <c:v>0.15185856754306437</c:v>
                </c:pt>
                <c:pt idx="358" formatCode="0.00%">
                  <c:v>0.13931419921988705</c:v>
                </c:pt>
                <c:pt idx="359" formatCode="0.00%">
                  <c:v>8.9754195225714956E-2</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-2.0816572807723251E-2</c:v>
                </c:pt>
                <c:pt idx="368" formatCode="0.00%">
                  <c:v>-4.6250561293219576E-2</c:v>
                </c:pt>
                <c:pt idx="369" formatCode="0.00%">
                  <c:v>-5.1603699330972058E-2</c:v>
                </c:pt>
                <c:pt idx="370" formatCode="0.00%">
                  <c:v>-3.6433316300459886E-2</c:v>
                </c:pt>
              </c:numCache>
            </c:numRef>
          </c:val>
          <c:smooth val="0"/>
          <c:extLst>
            <c:ext xmlns:c16="http://schemas.microsoft.com/office/drawing/2014/chart" uri="{C3380CC4-5D6E-409C-BE32-E72D297353CC}">
              <c16:uniqueId val="{00000000-41D7-4F2E-8D1E-C9FBFCBF08F9}"/>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'Miscellaneous stores retailers'!$B$7:$B$382</c:f>
              <c:numCache>
                <c:formatCode>#,##0</c:formatCode>
                <c:ptCount val="376"/>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14403</c:v>
                </c:pt>
                <c:pt idx="357">
                  <c:v>14616</c:v>
                </c:pt>
                <c:pt idx="358">
                  <c:v>14493</c:v>
                </c:pt>
                <c:pt idx="359">
                  <c:v>14285</c:v>
                </c:pt>
                <c:pt idx="360">
                  <c:v>14527</c:v>
                </c:pt>
                <c:pt idx="361">
                  <c:v>14986</c:v>
                </c:pt>
                <c:pt idx="362">
                  <c:v>15490</c:v>
                </c:pt>
                <c:pt idx="363">
                  <c:v>15864</c:v>
                </c:pt>
                <c:pt idx="364">
                  <c:v>15515</c:v>
                </c:pt>
                <c:pt idx="365">
                  <c:v>16110</c:v>
                </c:pt>
                <c:pt idx="366">
                  <c:v>15898</c:v>
                </c:pt>
                <c:pt idx="367">
                  <c:v>15934</c:v>
                </c:pt>
                <c:pt idx="368">
                  <c:v>15992</c:v>
                </c:pt>
                <c:pt idx="369">
                  <c:v>16176</c:v>
                </c:pt>
                <c:pt idx="370">
                  <c:v>16249</c:v>
                </c:pt>
              </c:numCache>
            </c:numRef>
          </c:val>
          <c:smooth val="0"/>
          <c:extLst>
            <c:ext xmlns:c16="http://schemas.microsoft.com/office/drawing/2014/chart" uri="{C3380CC4-5D6E-409C-BE32-E72D297353CC}">
              <c16:uniqueId val="{00000000-85DE-45D4-B86F-8B39A5B2B654}"/>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'Miscellaneous stores retailers'!$D$7:$D$382</c:f>
              <c:numCache>
                <c:formatCode>General</c:formatCode>
                <c:ptCount val="376"/>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0.28621182353991786</c:v>
                </c:pt>
                <c:pt idx="357" formatCode="0.00%">
                  <c:v>0.30360328219764537</c:v>
                </c:pt>
                <c:pt idx="358" formatCode="0.00%">
                  <c:v>0.29067592839967943</c:v>
                </c:pt>
                <c:pt idx="359" formatCode="0.00%">
                  <c:v>0.21038806981867481</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0.13223903929510411</c:v>
                </c:pt>
                <c:pt idx="368" formatCode="0.00%">
                  <c:v>0.11032423800597098</c:v>
                </c:pt>
                <c:pt idx="369" formatCode="0.00%">
                  <c:v>0.10673234811165845</c:v>
                </c:pt>
                <c:pt idx="370" formatCode="0.00%">
                  <c:v>0.12116194024701581</c:v>
                </c:pt>
              </c:numCache>
            </c:numRef>
          </c:val>
          <c:smooth val="0"/>
          <c:extLst>
            <c:ext xmlns:c16="http://schemas.microsoft.com/office/drawing/2014/chart" uri="{C3380CC4-5D6E-409C-BE32-E72D297353CC}">
              <c16:uniqueId val="{00000000-0A88-439B-8B83-7B79775C2AEF}"/>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'Clothing and clothing access'!$B$7:$B$383</c:f>
              <c:numCache>
                <c:formatCode>#,##0</c:formatCode>
                <c:ptCount val="377"/>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25264</c:v>
                </c:pt>
                <c:pt idx="357">
                  <c:v>25420</c:v>
                </c:pt>
                <c:pt idx="358">
                  <c:v>26165</c:v>
                </c:pt>
                <c:pt idx="359">
                  <c:v>25051</c:v>
                </c:pt>
                <c:pt idx="360">
                  <c:v>25160</c:v>
                </c:pt>
                <c:pt idx="361">
                  <c:v>25481</c:v>
                </c:pt>
                <c:pt idx="362">
                  <c:v>26157</c:v>
                </c:pt>
                <c:pt idx="363">
                  <c:v>26166</c:v>
                </c:pt>
                <c:pt idx="364">
                  <c:v>25812</c:v>
                </c:pt>
                <c:pt idx="365">
                  <c:v>26004</c:v>
                </c:pt>
                <c:pt idx="366">
                  <c:v>25889</c:v>
                </c:pt>
                <c:pt idx="367">
                  <c:v>26145</c:v>
                </c:pt>
                <c:pt idx="368">
                  <c:v>26403</c:v>
                </c:pt>
                <c:pt idx="369">
                  <c:v>26409</c:v>
                </c:pt>
                <c:pt idx="370">
                  <c:v>26353</c:v>
                </c:pt>
              </c:numCache>
            </c:numRef>
          </c:val>
          <c:smooth val="0"/>
          <c:extLst>
            <c:ext xmlns:c16="http://schemas.microsoft.com/office/drawing/2014/chart" uri="{C3380CC4-5D6E-409C-BE32-E72D297353CC}">
              <c16:uniqueId val="{00000000-0DD5-4D46-A02F-E6807B17AF39}"/>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access'!$A$19:$A$384</c:f>
              <c:numCache>
                <c:formatCode>[$-409]mmm\-yy;@</c:formatCode>
                <c:ptCount val="366"/>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numCache>
            </c:numRef>
          </c:cat>
          <c:val>
            <c:numRef>
              <c:f>'Clothing and clothing access'!$D$19:$D$384</c:f>
              <c:numCache>
                <c:formatCode>0.00%</c:formatCode>
                <c:ptCount val="366"/>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0.21304076439237529</c:v>
                </c:pt>
                <c:pt idx="345">
                  <c:v>0.25203171945032754</c:v>
                </c:pt>
                <c:pt idx="346">
                  <c:v>0.37587421780512176</c:v>
                </c:pt>
                <c:pt idx="347">
                  <c:v>0.25211176088369069</c:v>
                </c:pt>
                <c:pt idx="348">
                  <c:v>0.19281278149149006</c:v>
                </c:pt>
                <c:pt idx="349">
                  <c:v>0.28019493569131831</c:v>
                </c:pt>
                <c:pt idx="350">
                  <c:v>8.9012864815354517E-2</c:v>
                </c:pt>
                <c:pt idx="351">
                  <c:v>8.70793518903199E-2</c:v>
                </c:pt>
                <c:pt idx="352">
                  <c:v>4.1268304489894714E-2</c:v>
                </c:pt>
                <c:pt idx="353">
                  <c:v>7.9460444203263685E-3</c:v>
                </c:pt>
                <c:pt idx="354">
                  <c:v>1.9372366814978146E-2</c:v>
                </c:pt>
                <c:pt idx="355">
                  <c:v>5.1097531559057649E-2</c:v>
                </c:pt>
                <c:pt idx="356">
                  <c:v>4.5083913869537681E-2</c:v>
                </c:pt>
                <c:pt idx="357">
                  <c:v>3.8906372934697092E-2</c:v>
                </c:pt>
                <c:pt idx="358">
                  <c:v>7.1851710300019113E-3</c:v>
                </c:pt>
              </c:numCache>
            </c:numRef>
          </c:val>
          <c:smooth val="0"/>
          <c:extLst>
            <c:ext xmlns:c16="http://schemas.microsoft.com/office/drawing/2014/chart" uri="{C3380CC4-5D6E-409C-BE32-E72D297353CC}">
              <c16:uniqueId val="{00000000-DE49-47AA-B866-36CEBC809A9C}"/>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264706</xdr:colOff>
      <xdr:row>346</xdr:row>
      <xdr:rowOff>48993</xdr:rowOff>
    </xdr:from>
    <xdr:to>
      <xdr:col>11</xdr:col>
      <xdr:colOff>521883</xdr:colOff>
      <xdr:row>363</xdr:row>
      <xdr:rowOff>29943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259943</xdr:colOff>
      <xdr:row>363</xdr:row>
      <xdr:rowOff>48993</xdr:rowOff>
    </xdr:from>
    <xdr:to>
      <xdr:col>11</xdr:col>
      <xdr:colOff>531407</xdr:colOff>
      <xdr:row>379</xdr:row>
      <xdr:rowOff>138453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26582</xdr:colOff>
      <xdr:row>363</xdr:row>
      <xdr:rowOff>11453</xdr:rowOff>
    </xdr:from>
    <xdr:to>
      <xdr:col>20</xdr:col>
      <xdr:colOff>148166</xdr:colOff>
      <xdr:row>379</xdr:row>
      <xdr:rowOff>190498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358</xdr:row>
      <xdr:rowOff>177800</xdr:rowOff>
    </xdr:from>
    <xdr:to>
      <xdr:col>16</xdr:col>
      <xdr:colOff>571499</xdr:colOff>
      <xdr:row>380</xdr:row>
      <xdr:rowOff>144461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346074</xdr:colOff>
      <xdr:row>335</xdr:row>
      <xdr:rowOff>63500</xdr:rowOff>
    </xdr:from>
    <xdr:to>
      <xdr:col>16</xdr:col>
      <xdr:colOff>558800</xdr:colOff>
      <xdr:row>358</xdr:row>
      <xdr:rowOff>23811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197907</xdr:colOff>
      <xdr:row>361</xdr:row>
      <xdr:rowOff>18520</xdr:rowOff>
    </xdr:from>
    <xdr:to>
      <xdr:col>14</xdr:col>
      <xdr:colOff>542396</xdr:colOff>
      <xdr:row>384</xdr:row>
      <xdr:rowOff>153458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223570</xdr:colOff>
      <xdr:row>360</xdr:row>
      <xdr:rowOff>181503</xdr:rowOff>
    </xdr:from>
    <xdr:to>
      <xdr:col>26</xdr:col>
      <xdr:colOff>71437</xdr:colOff>
      <xdr:row>384</xdr:row>
      <xdr:rowOff>174625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614362</xdr:colOff>
      <xdr:row>354</xdr:row>
      <xdr:rowOff>34925</xdr:rowOff>
    </xdr:from>
    <xdr:to>
      <xdr:col>29</xdr:col>
      <xdr:colOff>301625</xdr:colOff>
      <xdr:row>380</xdr:row>
      <xdr:rowOff>15875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190499</xdr:colOff>
      <xdr:row>354</xdr:row>
      <xdr:rowOff>44449</xdr:rowOff>
    </xdr:from>
    <xdr:to>
      <xdr:col>16</xdr:col>
      <xdr:colOff>365124</xdr:colOff>
      <xdr:row>379</xdr:row>
      <xdr:rowOff>174625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16</xdr:col>
      <xdr:colOff>398462</xdr:colOff>
      <xdr:row>356</xdr:row>
      <xdr:rowOff>158750</xdr:rowOff>
    </xdr:from>
    <xdr:to>
      <xdr:col>28</xdr:col>
      <xdr:colOff>7938</xdr:colOff>
      <xdr:row>379</xdr:row>
      <xdr:rowOff>84138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196850</xdr:colOff>
      <xdr:row>356</xdr:row>
      <xdr:rowOff>123825</xdr:rowOff>
    </xdr:from>
    <xdr:to>
      <xdr:col>16</xdr:col>
      <xdr:colOff>31750</xdr:colOff>
      <xdr:row>379</xdr:row>
      <xdr:rowOff>79374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18</xdr:col>
      <xdr:colOff>96307</xdr:colOff>
      <xdr:row>351</xdr:row>
      <xdr:rowOff>42334</xdr:rowOff>
    </xdr:from>
    <xdr:to>
      <xdr:col>30</xdr:col>
      <xdr:colOff>554729</xdr:colOff>
      <xdr:row>379</xdr:row>
      <xdr:rowOff>118535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550333</xdr:colOff>
      <xdr:row>379</xdr:row>
      <xdr:rowOff>84667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113769</xdr:colOff>
      <xdr:row>357</xdr:row>
      <xdr:rowOff>142725</xdr:rowOff>
    </xdr:from>
    <xdr:to>
      <xdr:col>24</xdr:col>
      <xdr:colOff>344714</xdr:colOff>
      <xdr:row>379</xdr:row>
      <xdr:rowOff>9072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150737</xdr:colOff>
      <xdr:row>357</xdr:row>
      <xdr:rowOff>145748</xdr:rowOff>
    </xdr:from>
    <xdr:to>
      <xdr:col>13</xdr:col>
      <xdr:colOff>625928</xdr:colOff>
      <xdr:row>379</xdr:row>
      <xdr:rowOff>9071</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462883</xdr:colOff>
      <xdr:row>359</xdr:row>
      <xdr:rowOff>131596</xdr:rowOff>
    </xdr:from>
    <xdr:to>
      <xdr:col>23</xdr:col>
      <xdr:colOff>78846</xdr:colOff>
      <xdr:row>380</xdr:row>
      <xdr:rowOff>24343</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143990</xdr:colOff>
      <xdr:row>359</xdr:row>
      <xdr:rowOff>176490</xdr:rowOff>
    </xdr:from>
    <xdr:to>
      <xdr:col>13</xdr:col>
      <xdr:colOff>291042</xdr:colOff>
      <xdr:row>380</xdr:row>
      <xdr:rowOff>17464</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28572</xdr:colOff>
      <xdr:row>349</xdr:row>
      <xdr:rowOff>29482</xdr:rowOff>
    </xdr:from>
    <xdr:to>
      <xdr:col>27</xdr:col>
      <xdr:colOff>523875</xdr:colOff>
      <xdr:row>374</xdr:row>
      <xdr:rowOff>142875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88229</xdr:colOff>
      <xdr:row>349</xdr:row>
      <xdr:rowOff>55143</xdr:rowOff>
    </xdr:from>
    <xdr:to>
      <xdr:col>15</xdr:col>
      <xdr:colOff>390070</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212724</xdr:colOff>
      <xdr:row>354</xdr:row>
      <xdr:rowOff>186872</xdr:rowOff>
    </xdr:from>
    <xdr:to>
      <xdr:col>28</xdr:col>
      <xdr:colOff>266700</xdr:colOff>
      <xdr:row>379</xdr:row>
      <xdr:rowOff>177800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120648</xdr:colOff>
      <xdr:row>355</xdr:row>
      <xdr:rowOff>34924</xdr:rowOff>
    </xdr:from>
    <xdr:to>
      <xdr:col>15</xdr:col>
      <xdr:colOff>556986</xdr:colOff>
      <xdr:row>379</xdr:row>
      <xdr:rowOff>157843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450850</xdr:colOff>
      <xdr:row>355</xdr:row>
      <xdr:rowOff>69852</xdr:rowOff>
    </xdr:from>
    <xdr:to>
      <xdr:col>25</xdr:col>
      <xdr:colOff>74083</xdr:colOff>
      <xdr:row>377</xdr:row>
      <xdr:rowOff>105833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230715</xdr:colOff>
      <xdr:row>355</xdr:row>
      <xdr:rowOff>88900</xdr:rowOff>
    </xdr:from>
    <xdr:to>
      <xdr:col>14</xdr:col>
      <xdr:colOff>306917</xdr:colOff>
      <xdr:row>377</xdr:row>
      <xdr:rowOff>127001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209474</xdr:colOff>
      <xdr:row>353</xdr:row>
      <xdr:rowOff>149678</xdr:rowOff>
    </xdr:from>
    <xdr:to>
      <xdr:col>26</xdr:col>
      <xdr:colOff>95250</xdr:colOff>
      <xdr:row>376</xdr:row>
      <xdr:rowOff>148166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181579</xdr:colOff>
      <xdr:row>353</xdr:row>
      <xdr:rowOff>159052</xdr:rowOff>
    </xdr:from>
    <xdr:to>
      <xdr:col>15</xdr:col>
      <xdr:colOff>74084</xdr:colOff>
      <xdr:row>376</xdr:row>
      <xdr:rowOff>158751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345035</xdr:colOff>
      <xdr:row>360</xdr:row>
      <xdr:rowOff>1014</xdr:rowOff>
    </xdr:from>
    <xdr:to>
      <xdr:col>20</xdr:col>
      <xdr:colOff>371928</xdr:colOff>
      <xdr:row>377</xdr:row>
      <xdr:rowOff>127000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191195</xdr:colOff>
      <xdr:row>360</xdr:row>
      <xdr:rowOff>9071</xdr:rowOff>
    </xdr:from>
    <xdr:to>
      <xdr:col>12</xdr:col>
      <xdr:colOff>254000</xdr:colOff>
      <xdr:row>377</xdr:row>
      <xdr:rowOff>127000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414458</xdr:colOff>
      <xdr:row>366</xdr:row>
      <xdr:rowOff>105036</xdr:rowOff>
    </xdr:from>
    <xdr:to>
      <xdr:col>25</xdr:col>
      <xdr:colOff>625928</xdr:colOff>
      <xdr:row>388</xdr:row>
      <xdr:rowOff>27214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150393</xdr:colOff>
      <xdr:row>366</xdr:row>
      <xdr:rowOff>90714</xdr:rowOff>
    </xdr:from>
    <xdr:to>
      <xdr:col>15</xdr:col>
      <xdr:colOff>290284</xdr:colOff>
      <xdr:row>388</xdr:row>
      <xdr:rowOff>54428</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7" totalsRowShown="0" headerRowDxfId="50" dataDxfId="48" headerRowBorderDxfId="49" tableBorderDxfId="47">
  <autoFilter ref="A6:D377"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7" totalsRowShown="0" headerRowDxfId="42" dataDxfId="40" headerRowBorderDxfId="41" tableBorderDxfId="39">
  <autoFilter ref="A6:D377"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7" totalsRowShown="0" headerRowDxfId="34" dataDxfId="32" headerRowBorderDxfId="33" tableBorderDxfId="31">
  <autoFilter ref="A6:D377"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7" totalsRowShown="0" headerRowDxfId="26" headerRowBorderDxfId="25" tableBorderDxfId="24">
  <autoFilter ref="A6:D377"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7" totalsRowShown="0" headerRowDxfId="19" tableBorderDxfId="18">
  <autoFilter ref="A6:D377"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7" totalsRowShown="0" headerRowDxfId="13" headerRowBorderDxfId="12" tableBorderDxfId="11">
  <autoFilter ref="A6:D377"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7" totalsRowShown="0" headerRowDxfId="6" headerRowBorderDxfId="5" tableBorderDxfId="4">
  <autoFilter ref="A6:D377"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zoomScale="120" zoomScaleNormal="120" workbookViewId="0">
      <selection activeCell="T23" sqref="T23"/>
    </sheetView>
  </sheetViews>
  <sheetFormatPr defaultColWidth="9.1796875" defaultRowHeight="14.5" x14ac:dyDescent="0.35"/>
  <cols>
    <col min="1" max="1" width="9.1796875" style="109" customWidth="1"/>
    <col min="2" max="10" width="12.81640625" style="109" customWidth="1"/>
    <col min="11" max="13" width="3.36328125" style="109" customWidth="1"/>
    <col min="14" max="14" width="18.6328125" style="109" customWidth="1"/>
    <col min="15" max="15" width="30.36328125" style="109" customWidth="1"/>
    <col min="16" max="19" width="12.36328125" style="109" customWidth="1"/>
    <col min="20" max="37" width="9.1796875" style="109" customWidth="1"/>
    <col min="38" max="16384" width="9.1796875" style="109"/>
  </cols>
  <sheetData>
    <row r="1" spans="2:19" x14ac:dyDescent="0.35">
      <c r="B1" s="122"/>
      <c r="C1" s="113"/>
      <c r="D1" s="113"/>
      <c r="E1" s="113"/>
      <c r="F1" s="113"/>
      <c r="G1" s="113"/>
      <c r="H1" s="113"/>
      <c r="I1" s="113"/>
      <c r="J1" s="113"/>
    </row>
    <row r="2" spans="2:19" ht="16" customHeight="1" thickBot="1" x14ac:dyDescent="0.4">
      <c r="B2" s="123"/>
      <c r="C2" s="123"/>
      <c r="D2" s="123"/>
      <c r="E2" s="123"/>
      <c r="F2" s="123"/>
      <c r="G2" s="123"/>
      <c r="H2" s="123"/>
      <c r="I2" s="123"/>
      <c r="J2" s="123"/>
    </row>
    <row r="3" spans="2:19" ht="16" customHeight="1" thickBot="1" x14ac:dyDescent="0.4">
      <c r="B3" s="124" t="s">
        <v>0</v>
      </c>
      <c r="C3" s="125"/>
      <c r="D3" s="125"/>
      <c r="E3" s="125"/>
      <c r="F3" s="125"/>
      <c r="G3" s="125"/>
      <c r="H3" s="125"/>
      <c r="I3" s="125"/>
      <c r="J3" s="126"/>
    </row>
    <row r="5" spans="2:19" x14ac:dyDescent="0.35">
      <c r="B5" s="116" t="s">
        <v>1</v>
      </c>
      <c r="C5" s="117"/>
      <c r="D5" s="117"/>
      <c r="E5" s="117"/>
      <c r="F5" s="117"/>
      <c r="G5" s="117"/>
      <c r="H5" s="117"/>
      <c r="I5" s="117"/>
      <c r="J5" s="118"/>
    </row>
    <row r="7" spans="2:19" ht="147.75" customHeight="1" x14ac:dyDescent="0.35">
      <c r="B7" s="127" t="s">
        <v>2</v>
      </c>
      <c r="C7" s="113"/>
      <c r="D7" s="113"/>
      <c r="E7" s="113"/>
      <c r="F7" s="113"/>
      <c r="G7" s="113"/>
      <c r="H7" s="113"/>
      <c r="I7" s="113"/>
      <c r="J7" s="113"/>
    </row>
    <row r="8" spans="2:19" ht="33.75" customHeight="1" x14ac:dyDescent="0.35">
      <c r="B8" s="128" t="s">
        <v>3</v>
      </c>
      <c r="C8" s="113"/>
      <c r="D8" s="113"/>
      <c r="E8" s="113"/>
      <c r="F8" s="113"/>
      <c r="G8" s="113"/>
      <c r="H8" s="113"/>
      <c r="I8" s="113"/>
      <c r="J8" s="113"/>
    </row>
    <row r="9" spans="2:19" x14ac:dyDescent="0.35">
      <c r="B9" s="65"/>
      <c r="C9" s="65"/>
      <c r="D9" s="65"/>
      <c r="E9" s="65"/>
    </row>
    <row r="10" spans="2:19" x14ac:dyDescent="0.35">
      <c r="B10" s="116" t="s">
        <v>4</v>
      </c>
      <c r="C10" s="117"/>
      <c r="D10" s="117"/>
      <c r="E10" s="117"/>
      <c r="F10" s="117"/>
      <c r="G10" s="117"/>
      <c r="H10" s="117"/>
      <c r="I10" s="117"/>
      <c r="J10" s="118"/>
      <c r="N10" s="116" t="s">
        <v>5</v>
      </c>
      <c r="O10" s="117"/>
      <c r="P10" s="117"/>
      <c r="Q10" s="118"/>
    </row>
    <row r="12" spans="2:19" x14ac:dyDescent="0.35">
      <c r="B12" s="116" t="s">
        <v>6</v>
      </c>
      <c r="C12" s="117"/>
      <c r="D12" s="117"/>
      <c r="E12" s="117"/>
      <c r="F12" s="118"/>
      <c r="G12" s="116" t="s">
        <v>7</v>
      </c>
      <c r="H12" s="117"/>
      <c r="I12" s="117"/>
      <c r="J12" s="118"/>
      <c r="N12" s="8" t="s">
        <v>8</v>
      </c>
    </row>
    <row r="13" spans="2:19" ht="16" customHeight="1" thickBot="1" x14ac:dyDescent="0.4"/>
    <row r="14" spans="2:19" x14ac:dyDescent="0.35">
      <c r="B14" s="109" t="s">
        <v>9</v>
      </c>
      <c r="G14" s="113"/>
      <c r="H14" s="113"/>
      <c r="I14" s="113"/>
      <c r="J14" s="113"/>
      <c r="P14" s="68">
        <v>44866</v>
      </c>
      <c r="Q14" s="69"/>
    </row>
    <row r="15" spans="2:19" ht="16" customHeight="1" thickBot="1" x14ac:dyDescent="0.4">
      <c r="B15" s="109" t="s">
        <v>10</v>
      </c>
      <c r="G15" s="113"/>
      <c r="H15" s="113"/>
      <c r="I15" s="113"/>
      <c r="J15" s="113"/>
      <c r="N15" s="110" t="s">
        <v>11</v>
      </c>
      <c r="P15" s="70" t="s">
        <v>12</v>
      </c>
      <c r="Q15" s="70" t="s">
        <v>13</v>
      </c>
    </row>
    <row r="16" spans="2:19" ht="15.75" customHeight="1" x14ac:dyDescent="0.35">
      <c r="B16" s="109" t="s">
        <v>14</v>
      </c>
      <c r="G16" s="115"/>
      <c r="H16" s="113"/>
      <c r="I16" s="113"/>
      <c r="J16" s="113"/>
      <c r="N16" s="119" t="s">
        <v>0</v>
      </c>
      <c r="O16" s="120"/>
      <c r="P16" s="95">
        <f>Recap!F7</f>
        <v>-5.8242319195018757E-3</v>
      </c>
      <c r="Q16" s="96">
        <f>Recap!G7</f>
        <v>6.4750523539186672E-2</v>
      </c>
      <c r="S16" s="71"/>
    </row>
    <row r="17" spans="2:19" ht="15.75" customHeight="1" x14ac:dyDescent="0.35">
      <c r="G17" s="115"/>
      <c r="H17" s="113"/>
      <c r="I17" s="113"/>
      <c r="J17" s="113"/>
      <c r="N17" s="121" t="s">
        <v>15</v>
      </c>
      <c r="O17" s="118"/>
      <c r="P17" s="97">
        <f>Recap!F8</f>
        <v>-1.8953900709219858E-3</v>
      </c>
      <c r="Q17" s="98">
        <f>Recap!G8</f>
        <v>7.719229760941157E-2</v>
      </c>
      <c r="S17" s="71"/>
    </row>
    <row r="18" spans="2:19" ht="15.75" customHeight="1" x14ac:dyDescent="0.35">
      <c r="B18" s="109" t="s">
        <v>16</v>
      </c>
      <c r="G18" s="99" t="s">
        <v>0</v>
      </c>
      <c r="H18" s="67"/>
      <c r="I18" s="67"/>
      <c r="J18" s="67"/>
      <c r="N18" s="121" t="s">
        <v>17</v>
      </c>
      <c r="O18" s="118"/>
      <c r="P18" s="97">
        <f>Recap!F9</f>
        <v>-2.0615750433331066E-3</v>
      </c>
      <c r="Q18" s="98">
        <f>Recap!G9</f>
        <v>6.7169514090144392E-2</v>
      </c>
      <c r="S18" s="71"/>
    </row>
    <row r="19" spans="2:19" ht="15.75" customHeight="1" x14ac:dyDescent="0.35">
      <c r="B19" s="109" t="s">
        <v>18</v>
      </c>
      <c r="G19" s="99" t="s">
        <v>15</v>
      </c>
      <c r="H19" s="67"/>
      <c r="I19" s="67"/>
      <c r="J19" s="67"/>
      <c r="N19" s="121" t="s">
        <v>19</v>
      </c>
      <c r="O19" s="118"/>
      <c r="P19" s="97">
        <f>Recap!F10</f>
        <v>-2.2937551165412955E-2</v>
      </c>
      <c r="Q19" s="98">
        <f>Recap!G10</f>
        <v>1.2703622173303982E-2</v>
      </c>
      <c r="S19" s="71"/>
    </row>
    <row r="20" spans="2:19" ht="15.75" customHeight="1" x14ac:dyDescent="0.35">
      <c r="B20" s="109" t="s">
        <v>20</v>
      </c>
      <c r="G20" s="99" t="s">
        <v>17</v>
      </c>
      <c r="H20" s="67"/>
      <c r="I20" s="67"/>
      <c r="J20" s="67"/>
      <c r="N20" s="121" t="s">
        <v>21</v>
      </c>
      <c r="O20" s="118"/>
      <c r="P20" s="97">
        <f>Recap!F11</f>
        <v>-9.4438996040826697E-3</v>
      </c>
      <c r="Q20" s="98">
        <f>Recap!G11</f>
        <v>7.7213252357675399E-2</v>
      </c>
    </row>
    <row r="21" spans="2:19" ht="15.75" customHeight="1" x14ac:dyDescent="0.35">
      <c r="B21" s="109" t="s">
        <v>22</v>
      </c>
      <c r="G21" s="99" t="s">
        <v>23</v>
      </c>
      <c r="H21" s="67"/>
      <c r="I21" s="67"/>
      <c r="J21" s="67"/>
      <c r="N21" s="121" t="s">
        <v>24</v>
      </c>
      <c r="O21" s="118"/>
      <c r="P21" s="97">
        <f>Recap!F12</f>
        <v>7.6411262946092413E-3</v>
      </c>
      <c r="Q21" s="98">
        <f>Recap!G12</f>
        <v>8.0593063277733648E-2</v>
      </c>
    </row>
    <row r="22" spans="2:19" ht="15.75" customHeight="1" x14ac:dyDescent="0.35">
      <c r="B22" s="109" t="s">
        <v>25</v>
      </c>
      <c r="G22" s="99" t="s">
        <v>26</v>
      </c>
      <c r="H22" s="67"/>
      <c r="I22" s="67"/>
      <c r="J22" s="67"/>
      <c r="N22" s="121" t="s">
        <v>27</v>
      </c>
      <c r="O22" s="118"/>
      <c r="P22" s="97">
        <f>Recap!F13</f>
        <v>8.6817760815953039E-3</v>
      </c>
      <c r="Q22" s="98">
        <f>Recap!G13</f>
        <v>0.14104117751016182</v>
      </c>
    </row>
    <row r="23" spans="2:19" ht="15.75" customHeight="1" x14ac:dyDescent="0.35">
      <c r="B23" s="109" t="s">
        <v>28</v>
      </c>
      <c r="G23" s="99" t="s">
        <v>29</v>
      </c>
      <c r="H23" s="67"/>
      <c r="I23" s="67"/>
      <c r="J23" s="67"/>
      <c r="N23" s="121" t="s">
        <v>30</v>
      </c>
      <c r="O23" s="118"/>
      <c r="P23" s="97">
        <f>Recap!F14</f>
        <v>-1.0692137714733766E-3</v>
      </c>
      <c r="Q23" s="98">
        <f>Recap!G14</f>
        <v>2.8792083278274531E-2</v>
      </c>
    </row>
    <row r="24" spans="2:19" ht="15.75" customHeight="1" x14ac:dyDescent="0.35">
      <c r="B24" s="109" t="s">
        <v>31</v>
      </c>
      <c r="G24" s="99" t="s">
        <v>32</v>
      </c>
      <c r="H24" s="67"/>
      <c r="I24" s="67"/>
      <c r="J24" s="67"/>
      <c r="N24" s="121" t="s">
        <v>33</v>
      </c>
      <c r="O24" s="118"/>
      <c r="P24" s="97">
        <f>Recap!F15</f>
        <v>-6.0575937373800125E-4</v>
      </c>
      <c r="Q24" s="98">
        <f>Recap!G15</f>
        <v>0.16174054346844813</v>
      </c>
    </row>
    <row r="25" spans="2:19" ht="15.75" customHeight="1" x14ac:dyDescent="0.35">
      <c r="B25" s="109" t="s">
        <v>34</v>
      </c>
      <c r="G25" s="99" t="s">
        <v>35</v>
      </c>
      <c r="H25" s="67"/>
      <c r="I25" s="67"/>
      <c r="J25" s="67"/>
      <c r="N25" s="121" t="s">
        <v>36</v>
      </c>
      <c r="O25" s="118"/>
      <c r="P25" s="97">
        <f>Recap!F16</f>
        <v>-2.5081463123594473E-2</v>
      </c>
      <c r="Q25" s="98">
        <f>Recap!G16</f>
        <v>3.5815291593524479E-2</v>
      </c>
    </row>
    <row r="26" spans="2:19" ht="15.75" customHeight="1" x14ac:dyDescent="0.35">
      <c r="B26" s="109" t="s">
        <v>37</v>
      </c>
      <c r="G26" s="100" t="s">
        <v>38</v>
      </c>
      <c r="H26" s="67"/>
      <c r="I26" s="67"/>
      <c r="J26" s="67"/>
      <c r="N26" s="121" t="s">
        <v>29</v>
      </c>
      <c r="O26" s="118"/>
      <c r="P26" s="97">
        <f>Recap!F17</f>
        <v>7.0738033482669179E-3</v>
      </c>
      <c r="Q26" s="98">
        <f>Recap!G17</f>
        <v>4.5084725025998654E-2</v>
      </c>
    </row>
    <row r="27" spans="2:19" ht="15.75" customHeight="1" x14ac:dyDescent="0.35">
      <c r="B27" s="109" t="s">
        <v>39</v>
      </c>
      <c r="G27" s="99" t="s">
        <v>40</v>
      </c>
      <c r="H27" s="67"/>
      <c r="I27" s="67"/>
      <c r="J27" s="67"/>
      <c r="N27" s="121" t="s">
        <v>41</v>
      </c>
      <c r="O27" s="118"/>
      <c r="P27" s="97">
        <f>Recap!F18</f>
        <v>-2.1204892271574085E-3</v>
      </c>
      <c r="Q27" s="98">
        <f>Recap!G18</f>
        <v>7.1851710300019113E-3</v>
      </c>
    </row>
    <row r="28" spans="2:19" ht="15.75" customHeight="1" x14ac:dyDescent="0.35">
      <c r="B28" s="109" t="s">
        <v>42</v>
      </c>
      <c r="G28" s="99" t="s">
        <v>19</v>
      </c>
      <c r="H28" s="67"/>
      <c r="I28" s="67"/>
      <c r="J28" s="67"/>
      <c r="N28" s="121" t="s">
        <v>43</v>
      </c>
      <c r="O28" s="118"/>
      <c r="P28" s="97">
        <f>Recap!F19</f>
        <v>-2.1889102131853314E-2</v>
      </c>
      <c r="Q28" s="98">
        <f>Recap!G19</f>
        <v>-3.6433316300459886E-2</v>
      </c>
    </row>
    <row r="29" spans="2:19" ht="15.75" customHeight="1" x14ac:dyDescent="0.35">
      <c r="B29" s="109" t="s">
        <v>44</v>
      </c>
      <c r="G29" s="99" t="s">
        <v>36</v>
      </c>
      <c r="H29" s="67"/>
      <c r="I29" s="67"/>
      <c r="J29" s="67"/>
      <c r="N29" s="121" t="s">
        <v>45</v>
      </c>
      <c r="O29" s="118"/>
      <c r="P29" s="97">
        <f>Recap!F20</f>
        <v>4.5128585558852621E-3</v>
      </c>
      <c r="Q29" s="98">
        <f>Recap!G20</f>
        <v>0.12116194024701581</v>
      </c>
    </row>
    <row r="30" spans="2:19" ht="15.75" customHeight="1" thickBot="1" x14ac:dyDescent="0.4">
      <c r="B30" s="109" t="s">
        <v>46</v>
      </c>
      <c r="G30" s="99" t="s">
        <v>43</v>
      </c>
      <c r="H30" s="67"/>
      <c r="I30" s="67"/>
      <c r="J30" s="67"/>
      <c r="N30" s="129" t="s">
        <v>32</v>
      </c>
      <c r="O30" s="130"/>
      <c r="P30" s="101">
        <f>Recap!F21</f>
        <v>-5.7710804745110611E-3</v>
      </c>
      <c r="Q30" s="102">
        <f>Recap!G21</f>
        <v>1.8279334500875658E-2</v>
      </c>
    </row>
    <row r="31" spans="2:19" ht="15.75" customHeight="1" x14ac:dyDescent="0.35">
      <c r="B31" s="109" t="s">
        <v>47</v>
      </c>
      <c r="G31" s="99" t="s">
        <v>41</v>
      </c>
      <c r="H31" s="67"/>
      <c r="I31" s="67"/>
      <c r="J31" s="67"/>
    </row>
    <row r="32" spans="2:19" ht="15.75" customHeight="1" x14ac:dyDescent="0.35">
      <c r="B32" s="109" t="s">
        <v>48</v>
      </c>
      <c r="G32" s="99" t="s">
        <v>45</v>
      </c>
      <c r="H32" s="67"/>
      <c r="I32" s="67"/>
      <c r="J32" s="67"/>
    </row>
    <row r="33" spans="2:14" ht="14.25" customHeight="1" thickBot="1" x14ac:dyDescent="0.4">
      <c r="B33" s="114"/>
      <c r="C33" s="113"/>
      <c r="D33" s="113"/>
      <c r="E33" s="113"/>
      <c r="F33" s="113"/>
      <c r="G33" s="115"/>
      <c r="H33" s="113"/>
      <c r="I33" s="113"/>
      <c r="J33" s="113"/>
    </row>
    <row r="34" spans="2:14" ht="16" customHeight="1" thickBot="1" x14ac:dyDescent="0.4">
      <c r="B34" s="27"/>
      <c r="N34" s="69">
        <f>DATE(YEAR($P$14),MONTH($P$14)-1,DAY($P$14))</f>
        <v>44835</v>
      </c>
    </row>
    <row r="35" spans="2:14" ht="33.75" customHeight="1" thickBot="1" x14ac:dyDescent="0.4">
      <c r="B35" s="112"/>
      <c r="C35" s="113"/>
      <c r="D35" s="113"/>
      <c r="E35" s="113"/>
      <c r="F35" s="113"/>
      <c r="G35" s="113"/>
      <c r="H35" s="113"/>
      <c r="I35" s="113"/>
      <c r="J35" s="113"/>
      <c r="N35" s="72">
        <f>DATE(YEAR($P$14)-1,MONTH($P$14),DAY($P$14))</f>
        <v>44501</v>
      </c>
    </row>
    <row r="36" spans="2:14" x14ac:dyDescent="0.35">
      <c r="B36" s="66"/>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2"/>
  <sheetViews>
    <sheetView topLeftCell="A347" zoomScale="110" zoomScaleNormal="110" workbookViewId="0">
      <selection activeCell="W366" sqref="W366"/>
    </sheetView>
  </sheetViews>
  <sheetFormatPr defaultColWidth="8.81640625" defaultRowHeight="14.5" x14ac:dyDescent="0.35"/>
  <cols>
    <col min="1" max="1" width="12.6328125" customWidth="1"/>
    <col min="2" max="2" width="15.6328125" customWidth="1"/>
    <col min="3" max="3" width="9.6328125" customWidth="1"/>
    <col min="4" max="6" width="8.6328125" customWidth="1"/>
    <col min="7" max="7" width="7.6328125" customWidth="1"/>
    <col min="8" max="9" width="8.6328125" customWidth="1"/>
    <col min="10" max="10" width="9.6328125" customWidth="1"/>
    <col min="11" max="14" width="8.6328125" customWidth="1"/>
    <col min="15" max="15" width="9.6328125" customWidth="1"/>
    <col min="16" max="17" width="8.6328125" customWidth="1"/>
    <col min="18" max="256" width="9.1796875" customWidth="1"/>
    <col min="257" max="257" width="12.6328125" customWidth="1"/>
    <col min="258" max="258" width="15.6328125" customWidth="1"/>
    <col min="259" max="259" width="9.6328125" customWidth="1"/>
    <col min="260" max="262" width="8.6328125" customWidth="1"/>
    <col min="263" max="263" width="7.6328125" customWidth="1"/>
    <col min="264" max="265" width="8.6328125" customWidth="1"/>
    <col min="266" max="266" width="9.6328125" customWidth="1"/>
    <col min="267" max="270" width="8.6328125" customWidth="1"/>
    <col min="271" max="271" width="9.6328125" customWidth="1"/>
    <col min="272" max="273" width="8.6328125" customWidth="1"/>
    <col min="274" max="512" width="9.1796875" customWidth="1"/>
    <col min="513" max="513" width="12.6328125" customWidth="1"/>
    <col min="514" max="514" width="15.6328125" customWidth="1"/>
    <col min="515" max="515" width="9.6328125" customWidth="1"/>
    <col min="516" max="518" width="8.6328125" customWidth="1"/>
    <col min="519" max="519" width="7.6328125" customWidth="1"/>
    <col min="520" max="521" width="8.6328125" customWidth="1"/>
    <col min="522" max="522" width="9.6328125" customWidth="1"/>
    <col min="523" max="526" width="8.6328125" customWidth="1"/>
    <col min="527" max="527" width="9.6328125" customWidth="1"/>
    <col min="528" max="529" width="8.6328125" customWidth="1"/>
    <col min="530" max="768" width="9.1796875" customWidth="1"/>
    <col min="769" max="769" width="12.6328125" customWidth="1"/>
    <col min="770" max="770" width="15.6328125" customWidth="1"/>
    <col min="771" max="771" width="9.6328125" customWidth="1"/>
    <col min="772" max="774" width="8.6328125" customWidth="1"/>
    <col min="775" max="775" width="7.6328125" customWidth="1"/>
    <col min="776" max="777" width="8.6328125" customWidth="1"/>
    <col min="778" max="778" width="9.6328125" customWidth="1"/>
    <col min="779" max="782" width="8.6328125" customWidth="1"/>
    <col min="783" max="783" width="9.6328125" customWidth="1"/>
    <col min="784" max="785" width="8.6328125" customWidth="1"/>
    <col min="786" max="1024" width="9.1796875" customWidth="1"/>
    <col min="1025" max="1025" width="12.6328125" customWidth="1"/>
    <col min="1026" max="1026" width="15.6328125" customWidth="1"/>
    <col min="1027" max="1027" width="9.6328125" customWidth="1"/>
    <col min="1028" max="1030" width="8.6328125" customWidth="1"/>
    <col min="1031" max="1031" width="7.6328125" customWidth="1"/>
    <col min="1032" max="1033" width="8.6328125" customWidth="1"/>
    <col min="1034" max="1034" width="9.6328125" customWidth="1"/>
    <col min="1035" max="1038" width="8.6328125" customWidth="1"/>
    <col min="1039" max="1039" width="9.6328125" customWidth="1"/>
    <col min="1040" max="1041" width="8.6328125" customWidth="1"/>
    <col min="1042" max="1280" width="9.1796875" customWidth="1"/>
    <col min="1281" max="1281" width="12.6328125" customWidth="1"/>
    <col min="1282" max="1282" width="15.6328125" customWidth="1"/>
    <col min="1283" max="1283" width="9.6328125" customWidth="1"/>
    <col min="1284" max="1286" width="8.6328125" customWidth="1"/>
    <col min="1287" max="1287" width="7.6328125" customWidth="1"/>
    <col min="1288" max="1289" width="8.6328125" customWidth="1"/>
    <col min="1290" max="1290" width="9.6328125" customWidth="1"/>
    <col min="1291" max="1294" width="8.6328125" customWidth="1"/>
    <col min="1295" max="1295" width="9.6328125" customWidth="1"/>
    <col min="1296" max="1297" width="8.6328125" customWidth="1"/>
    <col min="1298" max="1536" width="9.1796875" customWidth="1"/>
    <col min="1537" max="1537" width="12.6328125" customWidth="1"/>
    <col min="1538" max="1538" width="15.6328125" customWidth="1"/>
    <col min="1539" max="1539" width="9.6328125" customWidth="1"/>
    <col min="1540" max="1542" width="8.6328125" customWidth="1"/>
    <col min="1543" max="1543" width="7.6328125" customWidth="1"/>
    <col min="1544" max="1545" width="8.6328125" customWidth="1"/>
    <col min="1546" max="1546" width="9.6328125" customWidth="1"/>
    <col min="1547" max="1550" width="8.6328125" customWidth="1"/>
    <col min="1551" max="1551" width="9.6328125" customWidth="1"/>
    <col min="1552" max="1553" width="8.6328125" customWidth="1"/>
    <col min="1554" max="1792" width="9.1796875" customWidth="1"/>
    <col min="1793" max="1793" width="12.6328125" customWidth="1"/>
    <col min="1794" max="1794" width="15.6328125" customWidth="1"/>
    <col min="1795" max="1795" width="9.6328125" customWidth="1"/>
    <col min="1796" max="1798" width="8.6328125" customWidth="1"/>
    <col min="1799" max="1799" width="7.6328125" customWidth="1"/>
    <col min="1800" max="1801" width="8.6328125" customWidth="1"/>
    <col min="1802" max="1802" width="9.6328125" customWidth="1"/>
    <col min="1803" max="1806" width="8.6328125" customWidth="1"/>
    <col min="1807" max="1807" width="9.6328125" customWidth="1"/>
    <col min="1808" max="1809" width="8.6328125" customWidth="1"/>
    <col min="1810" max="2048" width="9.1796875" customWidth="1"/>
    <col min="2049" max="2049" width="12.6328125" customWidth="1"/>
    <col min="2050" max="2050" width="15.6328125" customWidth="1"/>
    <col min="2051" max="2051" width="9.6328125" customWidth="1"/>
    <col min="2052" max="2054" width="8.6328125" customWidth="1"/>
    <col min="2055" max="2055" width="7.6328125" customWidth="1"/>
    <col min="2056" max="2057" width="8.6328125" customWidth="1"/>
    <col min="2058" max="2058" width="9.6328125" customWidth="1"/>
    <col min="2059" max="2062" width="8.6328125" customWidth="1"/>
    <col min="2063" max="2063" width="9.6328125" customWidth="1"/>
    <col min="2064" max="2065" width="8.6328125" customWidth="1"/>
    <col min="2066" max="2304" width="9.1796875" customWidth="1"/>
    <col min="2305" max="2305" width="12.6328125" customWidth="1"/>
    <col min="2306" max="2306" width="15.6328125" customWidth="1"/>
    <col min="2307" max="2307" width="9.6328125" customWidth="1"/>
    <col min="2308" max="2310" width="8.6328125" customWidth="1"/>
    <col min="2311" max="2311" width="7.6328125" customWidth="1"/>
    <col min="2312" max="2313" width="8.6328125" customWidth="1"/>
    <col min="2314" max="2314" width="9.6328125" customWidth="1"/>
    <col min="2315" max="2318" width="8.6328125" customWidth="1"/>
    <col min="2319" max="2319" width="9.6328125" customWidth="1"/>
    <col min="2320" max="2321" width="8.6328125" customWidth="1"/>
    <col min="2322" max="2560" width="9.1796875" customWidth="1"/>
    <col min="2561" max="2561" width="12.6328125" customWidth="1"/>
    <col min="2562" max="2562" width="15.6328125" customWidth="1"/>
    <col min="2563" max="2563" width="9.6328125" customWidth="1"/>
    <col min="2564" max="2566" width="8.6328125" customWidth="1"/>
    <col min="2567" max="2567" width="7.6328125" customWidth="1"/>
    <col min="2568" max="2569" width="8.6328125" customWidth="1"/>
    <col min="2570" max="2570" width="9.6328125" customWidth="1"/>
    <col min="2571" max="2574" width="8.6328125" customWidth="1"/>
    <col min="2575" max="2575" width="9.6328125" customWidth="1"/>
    <col min="2576" max="2577" width="8.6328125" customWidth="1"/>
    <col min="2578" max="2816" width="9.1796875" customWidth="1"/>
    <col min="2817" max="2817" width="12.6328125" customWidth="1"/>
    <col min="2818" max="2818" width="15.6328125" customWidth="1"/>
    <col min="2819" max="2819" width="9.6328125" customWidth="1"/>
    <col min="2820" max="2822" width="8.6328125" customWidth="1"/>
    <col min="2823" max="2823" width="7.6328125" customWidth="1"/>
    <col min="2824" max="2825" width="8.6328125" customWidth="1"/>
    <col min="2826" max="2826" width="9.6328125" customWidth="1"/>
    <col min="2827" max="2830" width="8.6328125" customWidth="1"/>
    <col min="2831" max="2831" width="9.6328125" customWidth="1"/>
    <col min="2832" max="2833" width="8.6328125" customWidth="1"/>
    <col min="2834" max="3072" width="9.1796875" customWidth="1"/>
    <col min="3073" max="3073" width="12.6328125" customWidth="1"/>
    <col min="3074" max="3074" width="15.6328125" customWidth="1"/>
    <col min="3075" max="3075" width="9.6328125" customWidth="1"/>
    <col min="3076" max="3078" width="8.6328125" customWidth="1"/>
    <col min="3079" max="3079" width="7.6328125" customWidth="1"/>
    <col min="3080" max="3081" width="8.6328125" customWidth="1"/>
    <col min="3082" max="3082" width="9.6328125" customWidth="1"/>
    <col min="3083" max="3086" width="8.6328125" customWidth="1"/>
    <col min="3087" max="3087" width="9.6328125" customWidth="1"/>
    <col min="3088" max="3089" width="8.6328125" customWidth="1"/>
    <col min="3090" max="3328" width="9.1796875" customWidth="1"/>
    <col min="3329" max="3329" width="12.6328125" customWidth="1"/>
    <col min="3330" max="3330" width="15.6328125" customWidth="1"/>
    <col min="3331" max="3331" width="9.6328125" customWidth="1"/>
    <col min="3332" max="3334" width="8.6328125" customWidth="1"/>
    <col min="3335" max="3335" width="7.6328125" customWidth="1"/>
    <col min="3336" max="3337" width="8.6328125" customWidth="1"/>
    <col min="3338" max="3338" width="9.6328125" customWidth="1"/>
    <col min="3339" max="3342" width="8.6328125" customWidth="1"/>
    <col min="3343" max="3343" width="9.6328125" customWidth="1"/>
    <col min="3344" max="3345" width="8.6328125" customWidth="1"/>
    <col min="3346" max="3584" width="9.1796875" customWidth="1"/>
    <col min="3585" max="3585" width="12.6328125" customWidth="1"/>
    <col min="3586" max="3586" width="15.6328125" customWidth="1"/>
    <col min="3587" max="3587" width="9.6328125" customWidth="1"/>
    <col min="3588" max="3590" width="8.6328125" customWidth="1"/>
    <col min="3591" max="3591" width="7.6328125" customWidth="1"/>
    <col min="3592" max="3593" width="8.6328125" customWidth="1"/>
    <col min="3594" max="3594" width="9.6328125" customWidth="1"/>
    <col min="3595" max="3598" width="8.6328125" customWidth="1"/>
    <col min="3599" max="3599" width="9.6328125" customWidth="1"/>
    <col min="3600" max="3601" width="8.6328125" customWidth="1"/>
    <col min="3602" max="3840" width="9.1796875" customWidth="1"/>
    <col min="3841" max="3841" width="12.6328125" customWidth="1"/>
    <col min="3842" max="3842" width="15.6328125" customWidth="1"/>
    <col min="3843" max="3843" width="9.6328125" customWidth="1"/>
    <col min="3844" max="3846" width="8.6328125" customWidth="1"/>
    <col min="3847" max="3847" width="7.6328125" customWidth="1"/>
    <col min="3848" max="3849" width="8.6328125" customWidth="1"/>
    <col min="3850" max="3850" width="9.6328125" customWidth="1"/>
    <col min="3851" max="3854" width="8.6328125" customWidth="1"/>
    <col min="3855" max="3855" width="9.6328125" customWidth="1"/>
    <col min="3856" max="3857" width="8.6328125" customWidth="1"/>
    <col min="3858" max="4096" width="9.1796875" customWidth="1"/>
    <col min="4097" max="4097" width="12.6328125" customWidth="1"/>
    <col min="4098" max="4098" width="15.6328125" customWidth="1"/>
    <col min="4099" max="4099" width="9.6328125" customWidth="1"/>
    <col min="4100" max="4102" width="8.6328125" customWidth="1"/>
    <col min="4103" max="4103" width="7.6328125" customWidth="1"/>
    <col min="4104" max="4105" width="8.6328125" customWidth="1"/>
    <col min="4106" max="4106" width="9.6328125" customWidth="1"/>
    <col min="4107" max="4110" width="8.6328125" customWidth="1"/>
    <col min="4111" max="4111" width="9.6328125" customWidth="1"/>
    <col min="4112" max="4113" width="8.6328125" customWidth="1"/>
    <col min="4114" max="4352" width="9.1796875" customWidth="1"/>
    <col min="4353" max="4353" width="12.6328125" customWidth="1"/>
    <col min="4354" max="4354" width="15.6328125" customWidth="1"/>
    <col min="4355" max="4355" width="9.6328125" customWidth="1"/>
    <col min="4356" max="4358" width="8.6328125" customWidth="1"/>
    <col min="4359" max="4359" width="7.6328125" customWidth="1"/>
    <col min="4360" max="4361" width="8.6328125" customWidth="1"/>
    <col min="4362" max="4362" width="9.6328125" customWidth="1"/>
    <col min="4363" max="4366" width="8.6328125" customWidth="1"/>
    <col min="4367" max="4367" width="9.6328125" customWidth="1"/>
    <col min="4368" max="4369" width="8.6328125" customWidth="1"/>
    <col min="4370" max="4608" width="9.1796875" customWidth="1"/>
    <col min="4609" max="4609" width="12.6328125" customWidth="1"/>
    <col min="4610" max="4610" width="15.6328125" customWidth="1"/>
    <col min="4611" max="4611" width="9.6328125" customWidth="1"/>
    <col min="4612" max="4614" width="8.6328125" customWidth="1"/>
    <col min="4615" max="4615" width="7.6328125" customWidth="1"/>
    <col min="4616" max="4617" width="8.6328125" customWidth="1"/>
    <col min="4618" max="4618" width="9.6328125" customWidth="1"/>
    <col min="4619" max="4622" width="8.6328125" customWidth="1"/>
    <col min="4623" max="4623" width="9.6328125" customWidth="1"/>
    <col min="4624" max="4625" width="8.6328125" customWidth="1"/>
    <col min="4626" max="4864" width="9.1796875" customWidth="1"/>
    <col min="4865" max="4865" width="12.6328125" customWidth="1"/>
    <col min="4866" max="4866" width="15.6328125" customWidth="1"/>
    <col min="4867" max="4867" width="9.6328125" customWidth="1"/>
    <col min="4868" max="4870" width="8.6328125" customWidth="1"/>
    <col min="4871" max="4871" width="7.6328125" customWidth="1"/>
    <col min="4872" max="4873" width="8.6328125" customWidth="1"/>
    <col min="4874" max="4874" width="9.6328125" customWidth="1"/>
    <col min="4875" max="4878" width="8.6328125" customWidth="1"/>
    <col min="4879" max="4879" width="9.6328125" customWidth="1"/>
    <col min="4880" max="4881" width="8.6328125" customWidth="1"/>
    <col min="4882" max="5120" width="9.1796875" customWidth="1"/>
    <col min="5121" max="5121" width="12.6328125" customWidth="1"/>
    <col min="5122" max="5122" width="15.6328125" customWidth="1"/>
    <col min="5123" max="5123" width="9.6328125" customWidth="1"/>
    <col min="5124" max="5126" width="8.6328125" customWidth="1"/>
    <col min="5127" max="5127" width="7.6328125" customWidth="1"/>
    <col min="5128" max="5129" width="8.6328125" customWidth="1"/>
    <col min="5130" max="5130" width="9.6328125" customWidth="1"/>
    <col min="5131" max="5134" width="8.6328125" customWidth="1"/>
    <col min="5135" max="5135" width="9.6328125" customWidth="1"/>
    <col min="5136" max="5137" width="8.6328125" customWidth="1"/>
    <col min="5138" max="5376" width="9.1796875" customWidth="1"/>
    <col min="5377" max="5377" width="12.6328125" customWidth="1"/>
    <col min="5378" max="5378" width="15.6328125" customWidth="1"/>
    <col min="5379" max="5379" width="9.6328125" customWidth="1"/>
    <col min="5380" max="5382" width="8.6328125" customWidth="1"/>
    <col min="5383" max="5383" width="7.6328125" customWidth="1"/>
    <col min="5384" max="5385" width="8.6328125" customWidth="1"/>
    <col min="5386" max="5386" width="9.6328125" customWidth="1"/>
    <col min="5387" max="5390" width="8.6328125" customWidth="1"/>
    <col min="5391" max="5391" width="9.6328125" customWidth="1"/>
    <col min="5392" max="5393" width="8.6328125" customWidth="1"/>
    <col min="5394" max="5632" width="9.1796875" customWidth="1"/>
    <col min="5633" max="5633" width="12.6328125" customWidth="1"/>
    <col min="5634" max="5634" width="15.6328125" customWidth="1"/>
    <col min="5635" max="5635" width="9.6328125" customWidth="1"/>
    <col min="5636" max="5638" width="8.6328125" customWidth="1"/>
    <col min="5639" max="5639" width="7.6328125" customWidth="1"/>
    <col min="5640" max="5641" width="8.6328125" customWidth="1"/>
    <col min="5642" max="5642" width="9.6328125" customWidth="1"/>
    <col min="5643" max="5646" width="8.6328125" customWidth="1"/>
    <col min="5647" max="5647" width="9.6328125" customWidth="1"/>
    <col min="5648" max="5649" width="8.6328125" customWidth="1"/>
    <col min="5650" max="5888" width="9.1796875" customWidth="1"/>
    <col min="5889" max="5889" width="12.6328125" customWidth="1"/>
    <col min="5890" max="5890" width="15.6328125" customWidth="1"/>
    <col min="5891" max="5891" width="9.6328125" customWidth="1"/>
    <col min="5892" max="5894" width="8.6328125" customWidth="1"/>
    <col min="5895" max="5895" width="7.6328125" customWidth="1"/>
    <col min="5896" max="5897" width="8.6328125" customWidth="1"/>
    <col min="5898" max="5898" width="9.6328125" customWidth="1"/>
    <col min="5899" max="5902" width="8.6328125" customWidth="1"/>
    <col min="5903" max="5903" width="9.6328125" customWidth="1"/>
    <col min="5904" max="5905" width="8.6328125" customWidth="1"/>
    <col min="5906" max="6144" width="9.1796875" customWidth="1"/>
    <col min="6145" max="6145" width="12.6328125" customWidth="1"/>
    <col min="6146" max="6146" width="15.6328125" customWidth="1"/>
    <col min="6147" max="6147" width="9.6328125" customWidth="1"/>
    <col min="6148" max="6150" width="8.6328125" customWidth="1"/>
    <col min="6151" max="6151" width="7.6328125" customWidth="1"/>
    <col min="6152" max="6153" width="8.6328125" customWidth="1"/>
    <col min="6154" max="6154" width="9.6328125" customWidth="1"/>
    <col min="6155" max="6158" width="8.6328125" customWidth="1"/>
    <col min="6159" max="6159" width="9.6328125" customWidth="1"/>
    <col min="6160" max="6161" width="8.6328125" customWidth="1"/>
    <col min="6162" max="6400" width="9.1796875" customWidth="1"/>
    <col min="6401" max="6401" width="12.6328125" customWidth="1"/>
    <col min="6402" max="6402" width="15.6328125" customWidth="1"/>
    <col min="6403" max="6403" width="9.6328125" customWidth="1"/>
    <col min="6404" max="6406" width="8.6328125" customWidth="1"/>
    <col min="6407" max="6407" width="7.6328125" customWidth="1"/>
    <col min="6408" max="6409" width="8.6328125" customWidth="1"/>
    <col min="6410" max="6410" width="9.6328125" customWidth="1"/>
    <col min="6411" max="6414" width="8.6328125" customWidth="1"/>
    <col min="6415" max="6415" width="9.6328125" customWidth="1"/>
    <col min="6416" max="6417" width="8.6328125" customWidth="1"/>
    <col min="6418" max="6656" width="9.1796875" customWidth="1"/>
    <col min="6657" max="6657" width="12.6328125" customWidth="1"/>
    <col min="6658" max="6658" width="15.6328125" customWidth="1"/>
    <col min="6659" max="6659" width="9.6328125" customWidth="1"/>
    <col min="6660" max="6662" width="8.6328125" customWidth="1"/>
    <col min="6663" max="6663" width="7.6328125" customWidth="1"/>
    <col min="6664" max="6665" width="8.6328125" customWidth="1"/>
    <col min="6666" max="6666" width="9.6328125" customWidth="1"/>
    <col min="6667" max="6670" width="8.6328125" customWidth="1"/>
    <col min="6671" max="6671" width="9.6328125" customWidth="1"/>
    <col min="6672" max="6673" width="8.6328125" customWidth="1"/>
    <col min="6674" max="6912" width="9.1796875" customWidth="1"/>
    <col min="6913" max="6913" width="12.6328125" customWidth="1"/>
    <col min="6914" max="6914" width="15.6328125" customWidth="1"/>
    <col min="6915" max="6915" width="9.6328125" customWidth="1"/>
    <col min="6916" max="6918" width="8.6328125" customWidth="1"/>
    <col min="6919" max="6919" width="7.6328125" customWidth="1"/>
    <col min="6920" max="6921" width="8.6328125" customWidth="1"/>
    <col min="6922" max="6922" width="9.6328125" customWidth="1"/>
    <col min="6923" max="6926" width="8.6328125" customWidth="1"/>
    <col min="6927" max="6927" width="9.6328125" customWidth="1"/>
    <col min="6928" max="6929" width="8.6328125" customWidth="1"/>
    <col min="6930" max="7168" width="9.1796875" customWidth="1"/>
    <col min="7169" max="7169" width="12.6328125" customWidth="1"/>
    <col min="7170" max="7170" width="15.6328125" customWidth="1"/>
    <col min="7171" max="7171" width="9.6328125" customWidth="1"/>
    <col min="7172" max="7174" width="8.6328125" customWidth="1"/>
    <col min="7175" max="7175" width="7.6328125" customWidth="1"/>
    <col min="7176" max="7177" width="8.6328125" customWidth="1"/>
    <col min="7178" max="7178" width="9.6328125" customWidth="1"/>
    <col min="7179" max="7182" width="8.6328125" customWidth="1"/>
    <col min="7183" max="7183" width="9.6328125" customWidth="1"/>
    <col min="7184" max="7185" width="8.6328125" customWidth="1"/>
    <col min="7186" max="7424" width="9.1796875" customWidth="1"/>
    <col min="7425" max="7425" width="12.6328125" customWidth="1"/>
    <col min="7426" max="7426" width="15.6328125" customWidth="1"/>
    <col min="7427" max="7427" width="9.6328125" customWidth="1"/>
    <col min="7428" max="7430" width="8.6328125" customWidth="1"/>
    <col min="7431" max="7431" width="7.6328125" customWidth="1"/>
    <col min="7432" max="7433" width="8.6328125" customWidth="1"/>
    <col min="7434" max="7434" width="9.6328125" customWidth="1"/>
    <col min="7435" max="7438" width="8.6328125" customWidth="1"/>
    <col min="7439" max="7439" width="9.6328125" customWidth="1"/>
    <col min="7440" max="7441" width="8.6328125" customWidth="1"/>
    <col min="7442" max="7680" width="9.1796875" customWidth="1"/>
    <col min="7681" max="7681" width="12.6328125" customWidth="1"/>
    <col min="7682" max="7682" width="15.6328125" customWidth="1"/>
    <col min="7683" max="7683" width="9.6328125" customWidth="1"/>
    <col min="7684" max="7686" width="8.6328125" customWidth="1"/>
    <col min="7687" max="7687" width="7.6328125" customWidth="1"/>
    <col min="7688" max="7689" width="8.6328125" customWidth="1"/>
    <col min="7690" max="7690" width="9.6328125" customWidth="1"/>
    <col min="7691" max="7694" width="8.6328125" customWidth="1"/>
    <col min="7695" max="7695" width="9.6328125" customWidth="1"/>
    <col min="7696" max="7697" width="8.6328125" customWidth="1"/>
    <col min="7698" max="7936" width="9.1796875" customWidth="1"/>
    <col min="7937" max="7937" width="12.6328125" customWidth="1"/>
    <col min="7938" max="7938" width="15.6328125" customWidth="1"/>
    <col min="7939" max="7939" width="9.6328125" customWidth="1"/>
    <col min="7940" max="7942" width="8.6328125" customWidth="1"/>
    <col min="7943" max="7943" width="7.6328125" customWidth="1"/>
    <col min="7944" max="7945" width="8.6328125" customWidth="1"/>
    <col min="7946" max="7946" width="9.6328125" customWidth="1"/>
    <col min="7947" max="7950" width="8.6328125" customWidth="1"/>
    <col min="7951" max="7951" width="9.6328125" customWidth="1"/>
    <col min="7952" max="7953" width="8.6328125" customWidth="1"/>
    <col min="7954" max="8192" width="9.1796875" customWidth="1"/>
    <col min="8193" max="8193" width="12.6328125" customWidth="1"/>
    <col min="8194" max="8194" width="15.6328125" customWidth="1"/>
    <col min="8195" max="8195" width="9.6328125" customWidth="1"/>
    <col min="8196" max="8198" width="8.6328125" customWidth="1"/>
    <col min="8199" max="8199" width="7.6328125" customWidth="1"/>
    <col min="8200" max="8201" width="8.6328125" customWidth="1"/>
    <col min="8202" max="8202" width="9.6328125" customWidth="1"/>
    <col min="8203" max="8206" width="8.6328125" customWidth="1"/>
    <col min="8207" max="8207" width="9.6328125" customWidth="1"/>
    <col min="8208" max="8209" width="8.6328125" customWidth="1"/>
    <col min="8210" max="8448" width="9.1796875" customWidth="1"/>
    <col min="8449" max="8449" width="12.6328125" customWidth="1"/>
    <col min="8450" max="8450" width="15.6328125" customWidth="1"/>
    <col min="8451" max="8451" width="9.6328125" customWidth="1"/>
    <col min="8452" max="8454" width="8.6328125" customWidth="1"/>
    <col min="8455" max="8455" width="7.6328125" customWidth="1"/>
    <col min="8456" max="8457" width="8.6328125" customWidth="1"/>
    <col min="8458" max="8458" width="9.6328125" customWidth="1"/>
    <col min="8459" max="8462" width="8.6328125" customWidth="1"/>
    <col min="8463" max="8463" width="9.6328125" customWidth="1"/>
    <col min="8464" max="8465" width="8.6328125" customWidth="1"/>
    <col min="8466" max="8704" width="9.1796875" customWidth="1"/>
    <col min="8705" max="8705" width="12.6328125" customWidth="1"/>
    <col min="8706" max="8706" width="15.6328125" customWidth="1"/>
    <col min="8707" max="8707" width="9.6328125" customWidth="1"/>
    <col min="8708" max="8710" width="8.6328125" customWidth="1"/>
    <col min="8711" max="8711" width="7.6328125" customWidth="1"/>
    <col min="8712" max="8713" width="8.6328125" customWidth="1"/>
    <col min="8714" max="8714" width="9.6328125" customWidth="1"/>
    <col min="8715" max="8718" width="8.6328125" customWidth="1"/>
    <col min="8719" max="8719" width="9.6328125" customWidth="1"/>
    <col min="8720" max="8721" width="8.6328125" customWidth="1"/>
    <col min="8722" max="8960" width="9.1796875" customWidth="1"/>
    <col min="8961" max="8961" width="12.6328125" customWidth="1"/>
    <col min="8962" max="8962" width="15.6328125" customWidth="1"/>
    <col min="8963" max="8963" width="9.6328125" customWidth="1"/>
    <col min="8964" max="8966" width="8.6328125" customWidth="1"/>
    <col min="8967" max="8967" width="7.6328125" customWidth="1"/>
    <col min="8968" max="8969" width="8.6328125" customWidth="1"/>
    <col min="8970" max="8970" width="9.6328125" customWidth="1"/>
    <col min="8971" max="8974" width="8.6328125" customWidth="1"/>
    <col min="8975" max="8975" width="9.6328125" customWidth="1"/>
    <col min="8976" max="8977" width="8.6328125" customWidth="1"/>
    <col min="8978" max="9216" width="9.1796875" customWidth="1"/>
    <col min="9217" max="9217" width="12.6328125" customWidth="1"/>
    <col min="9218" max="9218" width="15.6328125" customWidth="1"/>
    <col min="9219" max="9219" width="9.6328125" customWidth="1"/>
    <col min="9220" max="9222" width="8.6328125" customWidth="1"/>
    <col min="9223" max="9223" width="7.6328125" customWidth="1"/>
    <col min="9224" max="9225" width="8.6328125" customWidth="1"/>
    <col min="9226" max="9226" width="9.6328125" customWidth="1"/>
    <col min="9227" max="9230" width="8.6328125" customWidth="1"/>
    <col min="9231" max="9231" width="9.6328125" customWidth="1"/>
    <col min="9232" max="9233" width="8.6328125" customWidth="1"/>
    <col min="9234" max="9472" width="9.1796875" customWidth="1"/>
    <col min="9473" max="9473" width="12.6328125" customWidth="1"/>
    <col min="9474" max="9474" width="15.6328125" customWidth="1"/>
    <col min="9475" max="9475" width="9.6328125" customWidth="1"/>
    <col min="9476" max="9478" width="8.6328125" customWidth="1"/>
    <col min="9479" max="9479" width="7.6328125" customWidth="1"/>
    <col min="9480" max="9481" width="8.6328125" customWidth="1"/>
    <col min="9482" max="9482" width="9.6328125" customWidth="1"/>
    <col min="9483" max="9486" width="8.6328125" customWidth="1"/>
    <col min="9487" max="9487" width="9.6328125" customWidth="1"/>
    <col min="9488" max="9489" width="8.6328125" customWidth="1"/>
    <col min="9490" max="9728" width="9.1796875" customWidth="1"/>
    <col min="9729" max="9729" width="12.6328125" customWidth="1"/>
    <col min="9730" max="9730" width="15.6328125" customWidth="1"/>
    <col min="9731" max="9731" width="9.6328125" customWidth="1"/>
    <col min="9732" max="9734" width="8.6328125" customWidth="1"/>
    <col min="9735" max="9735" width="7.6328125" customWidth="1"/>
    <col min="9736" max="9737" width="8.6328125" customWidth="1"/>
    <col min="9738" max="9738" width="9.6328125" customWidth="1"/>
    <col min="9739" max="9742" width="8.6328125" customWidth="1"/>
    <col min="9743" max="9743" width="9.6328125" customWidth="1"/>
    <col min="9744" max="9745" width="8.6328125" customWidth="1"/>
    <col min="9746" max="9984" width="9.1796875" customWidth="1"/>
    <col min="9985" max="9985" width="12.6328125" customWidth="1"/>
    <col min="9986" max="9986" width="15.6328125" customWidth="1"/>
    <col min="9987" max="9987" width="9.6328125" customWidth="1"/>
    <col min="9988" max="9990" width="8.6328125" customWidth="1"/>
    <col min="9991" max="9991" width="7.6328125" customWidth="1"/>
    <col min="9992" max="9993" width="8.6328125" customWidth="1"/>
    <col min="9994" max="9994" width="9.6328125" customWidth="1"/>
    <col min="9995" max="9998" width="8.6328125" customWidth="1"/>
    <col min="9999" max="9999" width="9.6328125" customWidth="1"/>
    <col min="10000" max="10001" width="8.6328125" customWidth="1"/>
    <col min="10002" max="10240" width="9.1796875" customWidth="1"/>
    <col min="10241" max="10241" width="12.6328125" customWidth="1"/>
    <col min="10242" max="10242" width="15.6328125" customWidth="1"/>
    <col min="10243" max="10243" width="9.6328125" customWidth="1"/>
    <col min="10244" max="10246" width="8.6328125" customWidth="1"/>
    <col min="10247" max="10247" width="7.6328125" customWidth="1"/>
    <col min="10248" max="10249" width="8.6328125" customWidth="1"/>
    <col min="10250" max="10250" width="9.6328125" customWidth="1"/>
    <col min="10251" max="10254" width="8.6328125" customWidth="1"/>
    <col min="10255" max="10255" width="9.6328125" customWidth="1"/>
    <col min="10256" max="10257" width="8.6328125" customWidth="1"/>
    <col min="10258" max="10496" width="9.1796875" customWidth="1"/>
    <col min="10497" max="10497" width="12.6328125" customWidth="1"/>
    <col min="10498" max="10498" width="15.6328125" customWidth="1"/>
    <col min="10499" max="10499" width="9.6328125" customWidth="1"/>
    <col min="10500" max="10502" width="8.6328125" customWidth="1"/>
    <col min="10503" max="10503" width="7.6328125" customWidth="1"/>
    <col min="10504" max="10505" width="8.6328125" customWidth="1"/>
    <col min="10506" max="10506" width="9.6328125" customWidth="1"/>
    <col min="10507" max="10510" width="8.6328125" customWidth="1"/>
    <col min="10511" max="10511" width="9.6328125" customWidth="1"/>
    <col min="10512" max="10513" width="8.6328125" customWidth="1"/>
    <col min="10514" max="10752" width="9.1796875" customWidth="1"/>
    <col min="10753" max="10753" width="12.6328125" customWidth="1"/>
    <col min="10754" max="10754" width="15.6328125" customWidth="1"/>
    <col min="10755" max="10755" width="9.6328125" customWidth="1"/>
    <col min="10756" max="10758" width="8.6328125" customWidth="1"/>
    <col min="10759" max="10759" width="7.6328125" customWidth="1"/>
    <col min="10760" max="10761" width="8.6328125" customWidth="1"/>
    <col min="10762" max="10762" width="9.6328125" customWidth="1"/>
    <col min="10763" max="10766" width="8.6328125" customWidth="1"/>
    <col min="10767" max="10767" width="9.6328125" customWidth="1"/>
    <col min="10768" max="10769" width="8.6328125" customWidth="1"/>
    <col min="10770" max="11008" width="9.1796875" customWidth="1"/>
    <col min="11009" max="11009" width="12.6328125" customWidth="1"/>
    <col min="11010" max="11010" width="15.6328125" customWidth="1"/>
    <col min="11011" max="11011" width="9.6328125" customWidth="1"/>
    <col min="11012" max="11014" width="8.6328125" customWidth="1"/>
    <col min="11015" max="11015" width="7.6328125" customWidth="1"/>
    <col min="11016" max="11017" width="8.6328125" customWidth="1"/>
    <col min="11018" max="11018" width="9.6328125" customWidth="1"/>
    <col min="11019" max="11022" width="8.6328125" customWidth="1"/>
    <col min="11023" max="11023" width="9.6328125" customWidth="1"/>
    <col min="11024" max="11025" width="8.6328125" customWidth="1"/>
    <col min="11026" max="11264" width="9.1796875" customWidth="1"/>
    <col min="11265" max="11265" width="12.6328125" customWidth="1"/>
    <col min="11266" max="11266" width="15.6328125" customWidth="1"/>
    <col min="11267" max="11267" width="9.6328125" customWidth="1"/>
    <col min="11268" max="11270" width="8.6328125" customWidth="1"/>
    <col min="11271" max="11271" width="7.6328125" customWidth="1"/>
    <col min="11272" max="11273" width="8.6328125" customWidth="1"/>
    <col min="11274" max="11274" width="9.6328125" customWidth="1"/>
    <col min="11275" max="11278" width="8.6328125" customWidth="1"/>
    <col min="11279" max="11279" width="9.6328125" customWidth="1"/>
    <col min="11280" max="11281" width="8.6328125" customWidth="1"/>
    <col min="11282" max="11520" width="9.1796875" customWidth="1"/>
    <col min="11521" max="11521" width="12.6328125" customWidth="1"/>
    <col min="11522" max="11522" width="15.6328125" customWidth="1"/>
    <col min="11523" max="11523" width="9.6328125" customWidth="1"/>
    <col min="11524" max="11526" width="8.6328125" customWidth="1"/>
    <col min="11527" max="11527" width="7.6328125" customWidth="1"/>
    <col min="11528" max="11529" width="8.6328125" customWidth="1"/>
    <col min="11530" max="11530" width="9.6328125" customWidth="1"/>
    <col min="11531" max="11534" width="8.6328125" customWidth="1"/>
    <col min="11535" max="11535" width="9.6328125" customWidth="1"/>
    <col min="11536" max="11537" width="8.6328125" customWidth="1"/>
    <col min="11538" max="11776" width="9.1796875" customWidth="1"/>
    <col min="11777" max="11777" width="12.6328125" customWidth="1"/>
    <col min="11778" max="11778" width="15.6328125" customWidth="1"/>
    <col min="11779" max="11779" width="9.6328125" customWidth="1"/>
    <col min="11780" max="11782" width="8.6328125" customWidth="1"/>
    <col min="11783" max="11783" width="7.6328125" customWidth="1"/>
    <col min="11784" max="11785" width="8.6328125" customWidth="1"/>
    <col min="11786" max="11786" width="9.6328125" customWidth="1"/>
    <col min="11787" max="11790" width="8.6328125" customWidth="1"/>
    <col min="11791" max="11791" width="9.6328125" customWidth="1"/>
    <col min="11792" max="11793" width="8.6328125" customWidth="1"/>
    <col min="11794" max="12032" width="9.1796875" customWidth="1"/>
    <col min="12033" max="12033" width="12.6328125" customWidth="1"/>
    <col min="12034" max="12034" width="15.6328125" customWidth="1"/>
    <col min="12035" max="12035" width="9.6328125" customWidth="1"/>
    <col min="12036" max="12038" width="8.6328125" customWidth="1"/>
    <col min="12039" max="12039" width="7.6328125" customWidth="1"/>
    <col min="12040" max="12041" width="8.6328125" customWidth="1"/>
    <col min="12042" max="12042" width="9.6328125" customWidth="1"/>
    <col min="12043" max="12046" width="8.6328125" customWidth="1"/>
    <col min="12047" max="12047" width="9.6328125" customWidth="1"/>
    <col min="12048" max="12049" width="8.6328125" customWidth="1"/>
    <col min="12050" max="12288" width="9.1796875" customWidth="1"/>
    <col min="12289" max="12289" width="12.6328125" customWidth="1"/>
    <col min="12290" max="12290" width="15.6328125" customWidth="1"/>
    <col min="12291" max="12291" width="9.6328125" customWidth="1"/>
    <col min="12292" max="12294" width="8.6328125" customWidth="1"/>
    <col min="12295" max="12295" width="7.6328125" customWidth="1"/>
    <col min="12296" max="12297" width="8.6328125" customWidth="1"/>
    <col min="12298" max="12298" width="9.6328125" customWidth="1"/>
    <col min="12299" max="12302" width="8.6328125" customWidth="1"/>
    <col min="12303" max="12303" width="9.6328125" customWidth="1"/>
    <col min="12304" max="12305" width="8.6328125" customWidth="1"/>
    <col min="12306" max="12544" width="9.1796875" customWidth="1"/>
    <col min="12545" max="12545" width="12.6328125" customWidth="1"/>
    <col min="12546" max="12546" width="15.6328125" customWidth="1"/>
    <col min="12547" max="12547" width="9.6328125" customWidth="1"/>
    <col min="12548" max="12550" width="8.6328125" customWidth="1"/>
    <col min="12551" max="12551" width="7.6328125" customWidth="1"/>
    <col min="12552" max="12553" width="8.6328125" customWidth="1"/>
    <col min="12554" max="12554" width="9.6328125" customWidth="1"/>
    <col min="12555" max="12558" width="8.6328125" customWidth="1"/>
    <col min="12559" max="12559" width="9.6328125" customWidth="1"/>
    <col min="12560" max="12561" width="8.6328125" customWidth="1"/>
    <col min="12562" max="12800" width="9.1796875" customWidth="1"/>
    <col min="12801" max="12801" width="12.6328125" customWidth="1"/>
    <col min="12802" max="12802" width="15.6328125" customWidth="1"/>
    <col min="12803" max="12803" width="9.6328125" customWidth="1"/>
    <col min="12804" max="12806" width="8.6328125" customWidth="1"/>
    <col min="12807" max="12807" width="7.6328125" customWidth="1"/>
    <col min="12808" max="12809" width="8.6328125" customWidth="1"/>
    <col min="12810" max="12810" width="9.6328125" customWidth="1"/>
    <col min="12811" max="12814" width="8.6328125" customWidth="1"/>
    <col min="12815" max="12815" width="9.6328125" customWidth="1"/>
    <col min="12816" max="12817" width="8.6328125" customWidth="1"/>
    <col min="12818" max="13056" width="9.1796875" customWidth="1"/>
    <col min="13057" max="13057" width="12.6328125" customWidth="1"/>
    <col min="13058" max="13058" width="15.6328125" customWidth="1"/>
    <col min="13059" max="13059" width="9.6328125" customWidth="1"/>
    <col min="13060" max="13062" width="8.6328125" customWidth="1"/>
    <col min="13063" max="13063" width="7.6328125" customWidth="1"/>
    <col min="13064" max="13065" width="8.6328125" customWidth="1"/>
    <col min="13066" max="13066" width="9.6328125" customWidth="1"/>
    <col min="13067" max="13070" width="8.6328125" customWidth="1"/>
    <col min="13071" max="13071" width="9.6328125" customWidth="1"/>
    <col min="13072" max="13073" width="8.6328125" customWidth="1"/>
    <col min="13074" max="13312" width="9.1796875" customWidth="1"/>
    <col min="13313" max="13313" width="12.6328125" customWidth="1"/>
    <col min="13314" max="13314" width="15.6328125" customWidth="1"/>
    <col min="13315" max="13315" width="9.6328125" customWidth="1"/>
    <col min="13316" max="13318" width="8.6328125" customWidth="1"/>
    <col min="13319" max="13319" width="7.6328125" customWidth="1"/>
    <col min="13320" max="13321" width="8.6328125" customWidth="1"/>
    <col min="13322" max="13322" width="9.6328125" customWidth="1"/>
    <col min="13323" max="13326" width="8.6328125" customWidth="1"/>
    <col min="13327" max="13327" width="9.6328125" customWidth="1"/>
    <col min="13328" max="13329" width="8.6328125" customWidth="1"/>
    <col min="13330" max="13568" width="9.1796875" customWidth="1"/>
    <col min="13569" max="13569" width="12.6328125" customWidth="1"/>
    <col min="13570" max="13570" width="15.6328125" customWidth="1"/>
    <col min="13571" max="13571" width="9.6328125" customWidth="1"/>
    <col min="13572" max="13574" width="8.6328125" customWidth="1"/>
    <col min="13575" max="13575" width="7.6328125" customWidth="1"/>
    <col min="13576" max="13577" width="8.6328125" customWidth="1"/>
    <col min="13578" max="13578" width="9.6328125" customWidth="1"/>
    <col min="13579" max="13582" width="8.6328125" customWidth="1"/>
    <col min="13583" max="13583" width="9.6328125" customWidth="1"/>
    <col min="13584" max="13585" width="8.6328125" customWidth="1"/>
    <col min="13586" max="13824" width="9.1796875" customWidth="1"/>
    <col min="13825" max="13825" width="12.6328125" customWidth="1"/>
    <col min="13826" max="13826" width="15.6328125" customWidth="1"/>
    <col min="13827" max="13827" width="9.6328125" customWidth="1"/>
    <col min="13828" max="13830" width="8.6328125" customWidth="1"/>
    <col min="13831" max="13831" width="7.6328125" customWidth="1"/>
    <col min="13832" max="13833" width="8.6328125" customWidth="1"/>
    <col min="13834" max="13834" width="9.6328125" customWidth="1"/>
    <col min="13835" max="13838" width="8.6328125" customWidth="1"/>
    <col min="13839" max="13839" width="9.6328125" customWidth="1"/>
    <col min="13840" max="13841" width="8.6328125" customWidth="1"/>
    <col min="13842" max="14080" width="9.1796875" customWidth="1"/>
    <col min="14081" max="14081" width="12.6328125" customWidth="1"/>
    <col min="14082" max="14082" width="15.6328125" customWidth="1"/>
    <col min="14083" max="14083" width="9.6328125" customWidth="1"/>
    <col min="14084" max="14086" width="8.6328125" customWidth="1"/>
    <col min="14087" max="14087" width="7.6328125" customWidth="1"/>
    <col min="14088" max="14089" width="8.6328125" customWidth="1"/>
    <col min="14090" max="14090" width="9.6328125" customWidth="1"/>
    <col min="14091" max="14094" width="8.6328125" customWidth="1"/>
    <col min="14095" max="14095" width="9.6328125" customWidth="1"/>
    <col min="14096" max="14097" width="8.6328125" customWidth="1"/>
    <col min="14098" max="14336" width="9.1796875" customWidth="1"/>
    <col min="14337" max="14337" width="12.6328125" customWidth="1"/>
    <col min="14338" max="14338" width="15.6328125" customWidth="1"/>
    <col min="14339" max="14339" width="9.6328125" customWidth="1"/>
    <col min="14340" max="14342" width="8.6328125" customWidth="1"/>
    <col min="14343" max="14343" width="7.6328125" customWidth="1"/>
    <col min="14344" max="14345" width="8.6328125" customWidth="1"/>
    <col min="14346" max="14346" width="9.6328125" customWidth="1"/>
    <col min="14347" max="14350" width="8.6328125" customWidth="1"/>
    <col min="14351" max="14351" width="9.6328125" customWidth="1"/>
    <col min="14352" max="14353" width="8.6328125" customWidth="1"/>
    <col min="14354" max="14592" width="9.1796875" customWidth="1"/>
    <col min="14593" max="14593" width="12.6328125" customWidth="1"/>
    <col min="14594" max="14594" width="15.6328125" customWidth="1"/>
    <col min="14595" max="14595" width="9.6328125" customWidth="1"/>
    <col min="14596" max="14598" width="8.6328125" customWidth="1"/>
    <col min="14599" max="14599" width="7.6328125" customWidth="1"/>
    <col min="14600" max="14601" width="8.6328125" customWidth="1"/>
    <col min="14602" max="14602" width="9.6328125" customWidth="1"/>
    <col min="14603" max="14606" width="8.6328125" customWidth="1"/>
    <col min="14607" max="14607" width="9.6328125" customWidth="1"/>
    <col min="14608" max="14609" width="8.6328125" customWidth="1"/>
    <col min="14610" max="14848" width="9.1796875" customWidth="1"/>
    <col min="14849" max="14849" width="12.6328125" customWidth="1"/>
    <col min="14850" max="14850" width="15.6328125" customWidth="1"/>
    <col min="14851" max="14851" width="9.6328125" customWidth="1"/>
    <col min="14852" max="14854" width="8.6328125" customWidth="1"/>
    <col min="14855" max="14855" width="7.6328125" customWidth="1"/>
    <col min="14856" max="14857" width="8.6328125" customWidth="1"/>
    <col min="14858" max="14858" width="9.6328125" customWidth="1"/>
    <col min="14859" max="14862" width="8.6328125" customWidth="1"/>
    <col min="14863" max="14863" width="9.6328125" customWidth="1"/>
    <col min="14864" max="14865" width="8.6328125" customWidth="1"/>
    <col min="14866" max="15104" width="9.1796875" customWidth="1"/>
    <col min="15105" max="15105" width="12.6328125" customWidth="1"/>
    <col min="15106" max="15106" width="15.6328125" customWidth="1"/>
    <col min="15107" max="15107" width="9.6328125" customWidth="1"/>
    <col min="15108" max="15110" width="8.6328125" customWidth="1"/>
    <col min="15111" max="15111" width="7.6328125" customWidth="1"/>
    <col min="15112" max="15113" width="8.6328125" customWidth="1"/>
    <col min="15114" max="15114" width="9.6328125" customWidth="1"/>
    <col min="15115" max="15118" width="8.6328125" customWidth="1"/>
    <col min="15119" max="15119" width="9.6328125" customWidth="1"/>
    <col min="15120" max="15121" width="8.6328125" customWidth="1"/>
    <col min="15122" max="15360" width="9.1796875" customWidth="1"/>
    <col min="15361" max="15361" width="12.6328125" customWidth="1"/>
    <col min="15362" max="15362" width="15.6328125" customWidth="1"/>
    <col min="15363" max="15363" width="9.6328125" customWidth="1"/>
    <col min="15364" max="15366" width="8.6328125" customWidth="1"/>
    <col min="15367" max="15367" width="7.6328125" customWidth="1"/>
    <col min="15368" max="15369" width="8.6328125" customWidth="1"/>
    <col min="15370" max="15370" width="9.6328125" customWidth="1"/>
    <col min="15371" max="15374" width="8.6328125" customWidth="1"/>
    <col min="15375" max="15375" width="9.6328125" customWidth="1"/>
    <col min="15376" max="15377" width="8.6328125" customWidth="1"/>
    <col min="15378" max="15616" width="9.1796875" customWidth="1"/>
    <col min="15617" max="15617" width="12.6328125" customWidth="1"/>
    <col min="15618" max="15618" width="15.6328125" customWidth="1"/>
    <col min="15619" max="15619" width="9.6328125" customWidth="1"/>
    <col min="15620" max="15622" width="8.6328125" customWidth="1"/>
    <col min="15623" max="15623" width="7.6328125" customWidth="1"/>
    <col min="15624" max="15625" width="8.6328125" customWidth="1"/>
    <col min="15626" max="15626" width="9.6328125" customWidth="1"/>
    <col min="15627" max="15630" width="8.6328125" customWidth="1"/>
    <col min="15631" max="15631" width="9.6328125" customWidth="1"/>
    <col min="15632" max="15633" width="8.6328125" customWidth="1"/>
    <col min="15634" max="15872" width="9.1796875" customWidth="1"/>
    <col min="15873" max="15873" width="12.6328125" customWidth="1"/>
    <col min="15874" max="15874" width="15.6328125" customWidth="1"/>
    <col min="15875" max="15875" width="9.6328125" customWidth="1"/>
    <col min="15876" max="15878" width="8.6328125" customWidth="1"/>
    <col min="15879" max="15879" width="7.6328125" customWidth="1"/>
    <col min="15880" max="15881" width="8.6328125" customWidth="1"/>
    <col min="15882" max="15882" width="9.6328125" customWidth="1"/>
    <col min="15883" max="15886" width="8.6328125" customWidth="1"/>
    <col min="15887" max="15887" width="9.6328125" customWidth="1"/>
    <col min="15888" max="15889" width="8.6328125" customWidth="1"/>
    <col min="15890" max="16128" width="9.1796875" customWidth="1"/>
    <col min="16129" max="16129" width="12.6328125" customWidth="1"/>
    <col min="16130" max="16130" width="15.6328125" customWidth="1"/>
    <col min="16131" max="16131" width="9.6328125" customWidth="1"/>
    <col min="16132" max="16134" width="8.6328125" customWidth="1"/>
    <col min="16135" max="16135" width="7.6328125" customWidth="1"/>
    <col min="16136" max="16137" width="8.6328125" customWidth="1"/>
    <col min="16138" max="16138" width="9.6328125" customWidth="1"/>
    <col min="16139" max="16142" width="8.6328125" customWidth="1"/>
    <col min="16143" max="16143" width="9.6328125" customWidth="1"/>
    <col min="16144" max="16145" width="8.6328125" customWidth="1"/>
    <col min="16146" max="16384" width="9.1796875" customWidth="1"/>
  </cols>
  <sheetData>
    <row r="1" spans="1:17" x14ac:dyDescent="0.35">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35">
      <c r="A2" s="111">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35">
      <c r="A3" s="111">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35">
      <c r="A4" s="111">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35">
      <c r="A5" s="111">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35">
      <c r="A6" s="111">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35">
      <c r="A7" s="111">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35">
      <c r="A8" s="111">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35">
      <c r="A9" s="111">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35">
      <c r="A10" s="111">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35">
      <c r="A11" s="111">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35">
      <c r="A12" s="111">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35">
      <c r="A13" s="111">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35">
      <c r="A14" s="111">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35">
      <c r="A15" s="111">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35">
      <c r="A16" s="111">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35">
      <c r="A17" s="111">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35">
      <c r="A18" s="111">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35">
      <c r="A19" s="111">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35">
      <c r="A20" s="111">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35">
      <c r="A21" s="111">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35">
      <c r="A22" s="111">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35">
      <c r="A23" s="111">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35">
      <c r="A24" s="111">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35">
      <c r="A25" s="111">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35">
      <c r="A26" s="111">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35">
      <c r="A27" s="111">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35">
      <c r="A28" s="111">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35">
      <c r="A29" s="111">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35">
      <c r="A30" s="111">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35">
      <c r="A31" s="111">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35">
      <c r="A32" s="111">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35">
      <c r="A33" s="111">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35">
      <c r="A34" s="111">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35">
      <c r="A35" s="111">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35">
      <c r="A36" s="111">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35">
      <c r="A37" s="111">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35">
      <c r="A38" s="111">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35">
      <c r="A39" s="111">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35">
      <c r="A40" s="111">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35">
      <c r="A41" s="111">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35">
      <c r="A42" s="111">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35">
      <c r="A43" s="111">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35">
      <c r="A44" s="111">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35">
      <c r="A45" s="111">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35">
      <c r="A46" s="111">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35">
      <c r="A47" s="111">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35">
      <c r="A48" s="111">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35">
      <c r="A49" s="111">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35">
      <c r="A50" s="111">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35">
      <c r="A51" s="111">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35">
      <c r="A52" s="111">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35">
      <c r="A53" s="111">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35">
      <c r="A54" s="111">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35">
      <c r="A55" s="111">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35">
      <c r="A56" s="111">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35">
      <c r="A57" s="111">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35">
      <c r="A58" s="111">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35">
      <c r="A59" s="111">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35">
      <c r="A60" s="111">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35">
      <c r="A61" s="111">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35">
      <c r="A62" s="111">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35">
      <c r="A63" s="111">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35">
      <c r="A64" s="111">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35">
      <c r="A65" s="111">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35">
      <c r="A66" s="111">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35">
      <c r="A67" s="111">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35">
      <c r="A68" s="111">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35">
      <c r="A69" s="111">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35">
      <c r="A70" s="111">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35">
      <c r="A71" s="111">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35">
      <c r="A72" s="111">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35">
      <c r="A73" s="111">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35">
      <c r="A74" s="111">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35">
      <c r="A75" s="111">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35">
      <c r="A76" s="111">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35">
      <c r="A77" s="111">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35">
      <c r="A78" s="111">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35">
      <c r="A79" s="111">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35">
      <c r="A80" s="111">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35">
      <c r="A81" s="111">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35">
      <c r="A82" s="111">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35">
      <c r="A83" s="111">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35">
      <c r="A84" s="111">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35">
      <c r="A85" s="111">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35">
      <c r="A86" s="111">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35">
      <c r="A87" s="111">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35">
      <c r="A88" s="111">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35">
      <c r="A89" s="111">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35">
      <c r="A90" s="111">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35">
      <c r="A91" s="111">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35">
      <c r="A92" s="111">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35">
      <c r="A93" s="111">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35">
      <c r="A94" s="111">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35">
      <c r="A95" s="111">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35">
      <c r="A96" s="111">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35">
      <c r="A97" s="111">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35">
      <c r="A98" s="111">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35">
      <c r="A99" s="111">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35">
      <c r="A100" s="111">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35">
      <c r="A101" s="111">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35">
      <c r="A102" s="111">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35">
      <c r="A103" s="111">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35">
      <c r="A104" s="111">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35">
      <c r="A105" s="111">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35">
      <c r="A106" s="111">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35">
      <c r="A107" s="111">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35">
      <c r="A108" s="111">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35">
      <c r="A109" s="111">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35">
      <c r="A110" s="111">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35">
      <c r="A111" s="111">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35">
      <c r="A112" s="111">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35">
      <c r="A113" s="111">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35">
      <c r="A114" s="111">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35">
      <c r="A115" s="111">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35">
      <c r="A116" s="111">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35">
      <c r="A117" s="111">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35">
      <c r="A118" s="111">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35">
      <c r="A119" s="111">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35">
      <c r="A120" s="111">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35">
      <c r="A121" s="111">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35">
      <c r="A122" s="111">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35">
      <c r="A123" s="111">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35">
      <c r="A124" s="111">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35">
      <c r="A125" s="111">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35">
      <c r="A126" s="111">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35">
      <c r="A127" s="111">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35">
      <c r="A128" s="111">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35">
      <c r="A129" s="111">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35">
      <c r="A130" s="111">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35">
      <c r="A131" s="111">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35">
      <c r="A132" s="111">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35">
      <c r="A133" s="111">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35">
      <c r="A134" s="111">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35">
      <c r="A135" s="111">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35">
      <c r="A136" s="111">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35">
      <c r="A137" s="111">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35">
      <c r="A138" s="111">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35">
      <c r="A139" s="111">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35">
      <c r="A140" s="111">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35">
      <c r="A141" s="111">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35">
      <c r="A142" s="111">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35">
      <c r="A143" s="111">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35">
      <c r="A144" s="111">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35">
      <c r="A145" s="111">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35">
      <c r="A146" s="111">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35">
      <c r="A147" s="111">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35">
      <c r="A148" s="111">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35">
      <c r="A149" s="111">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35">
      <c r="A150" s="111">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35">
      <c r="A151" s="111">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35">
      <c r="A152" s="111">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35">
      <c r="A153" s="111">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35">
      <c r="A154" s="111">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35">
      <c r="A155" s="111">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35">
      <c r="A156" s="111">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35">
      <c r="A157" s="111">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35">
      <c r="A158" s="111">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35">
      <c r="A159" s="111">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35">
      <c r="A160" s="111">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35">
      <c r="A161" s="111">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35">
      <c r="A162" s="111">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35">
      <c r="A163" s="111">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35">
      <c r="A164" s="111">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35">
      <c r="A165" s="111">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35">
      <c r="A166" s="111">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35">
      <c r="A167" s="111">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35">
      <c r="A168" s="111">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35">
      <c r="A169" s="111">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35">
      <c r="A170" s="111">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35">
      <c r="A171" s="111">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35">
      <c r="A172" s="111">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35">
      <c r="A173" s="111">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35">
      <c r="A174" s="111">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35">
      <c r="A175" s="111">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35">
      <c r="A176" s="111">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35">
      <c r="A177" s="111">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35">
      <c r="A178" s="111">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35">
      <c r="A179" s="111">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35">
      <c r="A180" s="111">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35">
      <c r="A181" s="111">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35">
      <c r="A182" s="111">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35">
      <c r="A183" s="111">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35">
      <c r="A184" s="111">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35">
      <c r="A185" s="111">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35">
      <c r="A186" s="111">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35">
      <c r="A187" s="111">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35">
      <c r="A188" s="111">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35">
      <c r="A189" s="111">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35">
      <c r="A190" s="111">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35">
      <c r="A191" s="111">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35">
      <c r="A192" s="111">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35">
      <c r="A193" s="111">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35">
      <c r="A194" s="111">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35">
      <c r="A195" s="111">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35">
      <c r="A196" s="111">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35">
      <c r="A197" s="111">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35">
      <c r="A198" s="111">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35">
      <c r="A199" s="111">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35">
      <c r="A200" s="111">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35">
      <c r="A201" s="111">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35">
      <c r="A202" s="111">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35">
      <c r="A203" s="111">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35">
      <c r="A204" s="111">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35">
      <c r="A205" s="111">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35">
      <c r="A206" s="111">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35">
      <c r="A207" s="111">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35">
      <c r="A208" s="111">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35">
      <c r="A209" s="111">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35">
      <c r="A210" s="111">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35">
      <c r="A211" s="111">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35">
      <c r="A212" s="111">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35">
      <c r="A213" s="111">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35">
      <c r="A214" s="111">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35">
      <c r="A215" s="111">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35">
      <c r="A216" s="111">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35">
      <c r="A217" s="111">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35">
      <c r="A218" s="111">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35">
      <c r="A219" s="111">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35">
      <c r="A220" s="111">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35">
      <c r="A221" s="111">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35">
      <c r="A222" s="111">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35">
      <c r="A223" s="111">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35">
      <c r="A224" s="111">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35">
      <c r="A225" s="111">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35">
      <c r="A226" s="111">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35">
      <c r="A227" s="111">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35">
      <c r="A228" s="111">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35">
      <c r="A229" s="111">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35">
      <c r="A230" s="111">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35">
      <c r="A231" s="111">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35">
      <c r="A232" s="111">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35">
      <c r="A233" s="111">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35">
      <c r="A234" s="111">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35">
      <c r="A235" s="111">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35">
      <c r="A236" s="111">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35">
      <c r="A237" s="111">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35">
      <c r="A238" s="111">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35">
      <c r="A239" s="111">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35">
      <c r="A240" s="111">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35">
      <c r="A241" s="111">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35">
      <c r="A242" s="111">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35">
      <c r="A243" s="111">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35">
      <c r="A244" s="111">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35">
      <c r="A245" s="111">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35">
      <c r="A246" s="111">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35">
      <c r="A247" s="111">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35">
      <c r="A248" s="111">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35">
      <c r="A249" s="111">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35">
      <c r="A250" s="111">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35">
      <c r="A251" s="111">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35">
      <c r="A252" s="111">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35">
      <c r="A253" s="111">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35">
      <c r="A254" s="111">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35">
      <c r="A255" s="111">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35">
      <c r="A256" s="111">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35">
      <c r="A257" s="111">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35">
      <c r="A258" s="111">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35">
      <c r="A259" s="111">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35">
      <c r="A260" s="111">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35">
      <c r="A261" s="111">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35">
      <c r="A262" s="111">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35">
      <c r="A263" s="111">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35">
      <c r="A264" s="111">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35">
      <c r="A265" s="111">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35">
      <c r="A266" s="111">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35">
      <c r="A267" s="111">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35">
      <c r="A268" s="111">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35">
      <c r="A269" s="111">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35">
      <c r="A270" s="111">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35">
      <c r="A271" s="111">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35">
      <c r="A272" s="111">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35">
      <c r="A273" s="111">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35">
      <c r="A274" s="111">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35">
      <c r="A275" s="111">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35">
      <c r="A276" s="111">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35">
      <c r="A277" s="111">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35">
      <c r="A278" s="111">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35">
      <c r="A279" s="111">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35">
      <c r="A280" s="111">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35">
      <c r="A281" s="111">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35">
      <c r="A282" s="111">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35">
      <c r="A283" s="111">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35">
      <c r="A284" s="111">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35">
      <c r="A285" s="111">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35">
      <c r="A286" s="111">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35">
      <c r="A287" s="111">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35">
      <c r="A288" s="111">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35">
      <c r="A289" s="111">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35">
      <c r="A290" s="111">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35">
      <c r="A291" s="111">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35">
      <c r="A292" s="111">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35">
      <c r="A293" s="111">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35">
      <c r="A294" s="111">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35">
      <c r="A295" s="111">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35">
      <c r="A296" s="111">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35">
      <c r="A297" s="111">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35">
      <c r="A298" s="111">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35">
      <c r="A299" s="111">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35">
      <c r="A300" s="111">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35">
      <c r="A301" s="111">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35">
      <c r="A302" s="111">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35">
      <c r="A303" s="111">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35">
      <c r="A304" s="111">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35">
      <c r="A305" s="111">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35">
      <c r="A306" s="111">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35">
      <c r="A307" s="111">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35">
      <c r="A308" s="111">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35">
      <c r="A309" s="111">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35">
      <c r="A310" s="111">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35">
      <c r="A311" s="111">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35">
      <c r="A312" s="111">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35">
      <c r="A313" s="111">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35">
      <c r="A314" s="111">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35">
      <c r="A315" s="111">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35">
      <c r="A316" s="111">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35">
      <c r="A317" s="111">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35">
      <c r="A318" s="111">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35">
      <c r="A319" s="111">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35">
      <c r="A320" s="111">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35">
      <c r="A321" s="111">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35">
      <c r="A322" s="111">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35">
      <c r="A323" s="111">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35">
      <c r="A324" s="111">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35">
      <c r="A325" s="111">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35">
      <c r="A326" s="111">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35">
      <c r="A327" s="111">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35">
      <c r="A328" s="111">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35">
      <c r="A329" s="111">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35">
      <c r="A330" s="111">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35">
      <c r="A331" s="111">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35">
      <c r="A332" s="111">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35">
      <c r="A333" s="111">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35">
      <c r="A334" s="111">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35">
      <c r="A335" s="111">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35">
      <c r="A336" s="111">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35">
      <c r="A337" s="111">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35">
      <c r="A338" s="111">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35">
      <c r="A339" s="111">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35">
      <c r="A340" s="111">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35">
      <c r="A341" s="111">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35">
      <c r="A342" s="111">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35">
      <c r="A343" s="111">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35">
      <c r="A344" s="111">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35">
      <c r="A345" s="111">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35">
      <c r="A346" s="111">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35">
      <c r="A347" s="111">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35">
      <c r="A348" s="111">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35">
      <c r="A349" s="111">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35">
      <c r="A350" s="111">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35">
      <c r="A351" s="111">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35">
      <c r="A352" s="111">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35">
      <c r="A353" s="111">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35">
      <c r="A354" s="111">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35">
      <c r="A355" s="111">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35">
      <c r="A356" s="111">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35">
      <c r="A357" s="111">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35">
      <c r="A358" s="111">
        <v>44440</v>
      </c>
      <c r="B358">
        <v>458684</v>
      </c>
      <c r="C358">
        <v>631563</v>
      </c>
      <c r="D358">
        <v>39261</v>
      </c>
      <c r="E358">
        <v>25264</v>
      </c>
      <c r="F358">
        <v>74695</v>
      </c>
      <c r="G358">
        <v>8081</v>
      </c>
      <c r="H358">
        <v>11962</v>
      </c>
      <c r="I358">
        <v>78288</v>
      </c>
      <c r="J358">
        <v>510471</v>
      </c>
      <c r="K358">
        <v>51787</v>
      </c>
      <c r="L358">
        <v>67541</v>
      </c>
      <c r="M358">
        <v>32611</v>
      </c>
      <c r="N358">
        <v>14403</v>
      </c>
      <c r="O358">
        <v>121092</v>
      </c>
      <c r="P358">
        <v>97674</v>
      </c>
      <c r="Q358">
        <v>8904</v>
      </c>
    </row>
    <row r="359" spans="1:17" x14ac:dyDescent="0.35">
      <c r="A359" s="111">
        <v>44470</v>
      </c>
      <c r="B359">
        <v>463635</v>
      </c>
      <c r="C359">
        <v>640524</v>
      </c>
      <c r="D359">
        <v>39895</v>
      </c>
      <c r="E359">
        <v>25420</v>
      </c>
      <c r="F359">
        <v>75331</v>
      </c>
      <c r="G359">
        <v>8312</v>
      </c>
      <c r="H359">
        <v>12016</v>
      </c>
      <c r="I359">
        <v>78449</v>
      </c>
      <c r="J359">
        <v>517827</v>
      </c>
      <c r="K359">
        <v>54192</v>
      </c>
      <c r="L359">
        <v>68323</v>
      </c>
      <c r="M359">
        <v>32444</v>
      </c>
      <c r="N359">
        <v>14616</v>
      </c>
      <c r="O359">
        <v>122697</v>
      </c>
      <c r="P359">
        <v>99875</v>
      </c>
      <c r="Q359">
        <v>8954</v>
      </c>
    </row>
    <row r="360" spans="1:17" x14ac:dyDescent="0.35">
      <c r="A360" s="111">
        <v>44501</v>
      </c>
      <c r="B360">
        <v>467206</v>
      </c>
      <c r="C360">
        <v>647516</v>
      </c>
      <c r="D360">
        <v>41016</v>
      </c>
      <c r="E360">
        <v>26165</v>
      </c>
      <c r="F360">
        <v>75540</v>
      </c>
      <c r="G360">
        <v>7431</v>
      </c>
      <c r="H360">
        <v>12139</v>
      </c>
      <c r="I360">
        <v>79218</v>
      </c>
      <c r="J360">
        <v>522591</v>
      </c>
      <c r="K360">
        <v>55385</v>
      </c>
      <c r="L360">
        <v>68109</v>
      </c>
      <c r="M360">
        <v>32694</v>
      </c>
      <c r="N360">
        <v>14493</v>
      </c>
      <c r="O360">
        <v>124925</v>
      </c>
      <c r="P360">
        <v>101265</v>
      </c>
      <c r="Q360">
        <v>9136</v>
      </c>
    </row>
    <row r="361" spans="1:17" x14ac:dyDescent="0.35">
      <c r="A361" s="111">
        <v>44531</v>
      </c>
      <c r="B361">
        <v>457676</v>
      </c>
      <c r="C361">
        <v>634393</v>
      </c>
      <c r="D361">
        <v>41207</v>
      </c>
      <c r="E361">
        <v>25051</v>
      </c>
      <c r="F361">
        <v>76187</v>
      </c>
      <c r="G361">
        <v>7224</v>
      </c>
      <c r="H361">
        <v>11219</v>
      </c>
      <c r="I361">
        <v>77583</v>
      </c>
      <c r="J361">
        <v>513586</v>
      </c>
      <c r="K361">
        <v>55910</v>
      </c>
      <c r="L361">
        <v>67197</v>
      </c>
      <c r="M361">
        <v>32797</v>
      </c>
      <c r="N361">
        <v>14285</v>
      </c>
      <c r="O361">
        <v>120807</v>
      </c>
      <c r="P361">
        <v>95958</v>
      </c>
      <c r="Q361">
        <v>8968</v>
      </c>
    </row>
    <row r="362" spans="1:17" x14ac:dyDescent="0.35">
      <c r="A362" s="111">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35">
      <c r="A363" s="111">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35">
      <c r="A364" s="111">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35">
      <c r="A365" s="111">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35">
      <c r="A366" s="111">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35">
      <c r="A367" s="111">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35">
      <c r="A368" s="111">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35">
      <c r="A369" s="111">
        <v>44774</v>
      </c>
      <c r="B369">
        <v>493588</v>
      </c>
      <c r="C369">
        <v>685685</v>
      </c>
      <c r="D369">
        <v>43314</v>
      </c>
      <c r="E369">
        <v>26145</v>
      </c>
      <c r="F369">
        <v>79317</v>
      </c>
      <c r="G369">
        <v>7387</v>
      </c>
      <c r="H369">
        <v>12087</v>
      </c>
      <c r="I369">
        <v>87305</v>
      </c>
      <c r="J369">
        <v>557536</v>
      </c>
      <c r="K369">
        <v>63948</v>
      </c>
      <c r="L369">
        <v>69558</v>
      </c>
      <c r="M369">
        <v>33649</v>
      </c>
      <c r="N369">
        <v>15934</v>
      </c>
      <c r="O369">
        <v>128149</v>
      </c>
      <c r="P369">
        <v>109557</v>
      </c>
      <c r="Q369">
        <v>9335</v>
      </c>
    </row>
    <row r="370" spans="1:17" x14ac:dyDescent="0.35">
      <c r="A370" s="111">
        <v>44805</v>
      </c>
      <c r="B370">
        <v>495671</v>
      </c>
      <c r="C370">
        <v>684538</v>
      </c>
      <c r="D370">
        <v>43000</v>
      </c>
      <c r="E370">
        <v>26403</v>
      </c>
      <c r="F370">
        <v>79984</v>
      </c>
      <c r="G370">
        <v>7285</v>
      </c>
      <c r="H370">
        <v>11831</v>
      </c>
      <c r="I370">
        <v>88196</v>
      </c>
      <c r="J370">
        <v>557087</v>
      </c>
      <c r="K370">
        <v>61416</v>
      </c>
      <c r="L370">
        <v>70343</v>
      </c>
      <c r="M370">
        <v>33932</v>
      </c>
      <c r="N370">
        <v>15992</v>
      </c>
      <c r="O370">
        <v>127451</v>
      </c>
      <c r="P370">
        <v>109410</v>
      </c>
      <c r="Q370">
        <v>9295</v>
      </c>
    </row>
    <row r="371" spans="1:17" x14ac:dyDescent="0.35">
      <c r="A371" s="111">
        <v>44835</v>
      </c>
      <c r="B371">
        <v>499618</v>
      </c>
      <c r="C371">
        <v>693482</v>
      </c>
      <c r="D371">
        <v>43578</v>
      </c>
      <c r="E371">
        <v>26409</v>
      </c>
      <c r="F371">
        <v>81009</v>
      </c>
      <c r="G371">
        <v>7217</v>
      </c>
      <c r="H371">
        <v>12062</v>
      </c>
      <c r="I371">
        <v>89613</v>
      </c>
      <c r="J371">
        <v>564000</v>
      </c>
      <c r="K371">
        <v>64382</v>
      </c>
      <c r="L371">
        <v>70145</v>
      </c>
      <c r="M371">
        <v>33928</v>
      </c>
      <c r="N371">
        <v>16176</v>
      </c>
      <c r="O371">
        <v>129482</v>
      </c>
      <c r="P371">
        <v>110124</v>
      </c>
      <c r="Q371">
        <v>9357</v>
      </c>
    </row>
    <row r="372" spans="1:17" x14ac:dyDescent="0.35">
      <c r="A372" s="111">
        <v>44866</v>
      </c>
      <c r="B372">
        <v>498588</v>
      </c>
      <c r="C372">
        <v>689443</v>
      </c>
      <c r="D372">
        <v>42485</v>
      </c>
      <c r="E372">
        <v>26353</v>
      </c>
      <c r="F372">
        <v>81628</v>
      </c>
      <c r="G372">
        <v>7106</v>
      </c>
      <c r="H372">
        <v>11751</v>
      </c>
      <c r="I372">
        <v>90391</v>
      </c>
      <c r="J372">
        <v>562931</v>
      </c>
      <c r="K372">
        <v>64343</v>
      </c>
      <c r="L372">
        <v>70070</v>
      </c>
      <c r="M372">
        <v>34168</v>
      </c>
      <c r="N372">
        <v>16249</v>
      </c>
      <c r="O372">
        <v>126512</v>
      </c>
      <c r="P372">
        <v>109084</v>
      </c>
      <c r="Q372">
        <v>9303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10" zoomScaleNormal="110" workbookViewId="0">
      <selection activeCell="Q13" sqref="Q13"/>
    </sheetView>
  </sheetViews>
  <sheetFormatPr defaultColWidth="9.1796875" defaultRowHeight="14.5" x14ac:dyDescent="0.35"/>
  <cols>
    <col min="1" max="1" width="5.81640625" style="109" customWidth="1"/>
    <col min="2" max="2" width="14.6328125" style="109" customWidth="1"/>
    <col min="3" max="3" width="63.1796875" style="109" customWidth="1"/>
    <col min="4" max="4" width="16.36328125" style="109" bestFit="1" customWidth="1"/>
    <col min="5" max="8" width="16.36328125" style="109" customWidth="1"/>
    <col min="9" max="9" width="21.81640625" style="109" customWidth="1"/>
    <col min="10" max="10" width="52.36328125" style="109" customWidth="1"/>
    <col min="11" max="12" width="9.1796875" style="109" customWidth="1"/>
    <col min="13" max="13" width="9.81640625" style="109" customWidth="1"/>
    <col min="14" max="31" width="9.1796875" style="109" customWidth="1"/>
    <col min="32" max="16384" width="9.1796875" style="109"/>
  </cols>
  <sheetData>
    <row r="1" spans="2:10" ht="16" customHeight="1" thickBot="1" x14ac:dyDescent="0.4"/>
    <row r="2" spans="2:10" x14ac:dyDescent="0.35">
      <c r="D2" s="4" t="s">
        <v>66</v>
      </c>
      <c r="E2" s="6">
        <f>DATE(YEAR(E3),MONTH(E3)-1,DAY(E3))</f>
        <v>44835</v>
      </c>
    </row>
    <row r="3" spans="2:10" ht="16" customHeight="1" thickBot="1" x14ac:dyDescent="0.4">
      <c r="D3" s="5" t="s">
        <v>67</v>
      </c>
      <c r="E3" s="7">
        <v>44866</v>
      </c>
      <c r="F3" s="8" t="s">
        <v>68</v>
      </c>
    </row>
    <row r="5" spans="2:10" ht="16" customHeight="1" thickBot="1" x14ac:dyDescent="0.4"/>
    <row r="6" spans="2:10" ht="21" customHeight="1" thickBot="1" x14ac:dyDescent="0.5">
      <c r="B6" s="73" t="s">
        <v>69</v>
      </c>
      <c r="C6" s="74" t="s">
        <v>70</v>
      </c>
      <c r="D6" s="74" t="s">
        <v>66</v>
      </c>
      <c r="E6" s="74" t="s">
        <v>67</v>
      </c>
      <c r="F6" s="74" t="s">
        <v>71</v>
      </c>
      <c r="G6" s="74" t="s">
        <v>13</v>
      </c>
      <c r="H6" s="74" t="s">
        <v>72</v>
      </c>
      <c r="I6" s="74" t="s">
        <v>73</v>
      </c>
      <c r="J6" s="75" t="s">
        <v>74</v>
      </c>
    </row>
    <row r="7" spans="2:10" ht="25.5" customHeight="1" x14ac:dyDescent="0.45">
      <c r="B7" s="59"/>
      <c r="C7" s="60" t="s">
        <v>0</v>
      </c>
      <c r="D7" s="61">
        <f>VLOOKUP($E$2,'Retail Sales'!A:B,2,)</f>
        <v>693482</v>
      </c>
      <c r="E7" s="61">
        <f>VLOOKUP($E$3,'Retail Sales'!A:B,2,)</f>
        <v>689443</v>
      </c>
      <c r="F7" s="103">
        <f t="shared" ref="F7:F21" si="0">(E7-D7)/D7</f>
        <v>-5.8242319195018757E-3</v>
      </c>
      <c r="G7" s="103">
        <f>VLOOKUP($E$3,'Retail Sales'!A:D,4,)</f>
        <v>6.4750523539186672E-2</v>
      </c>
      <c r="H7" s="62"/>
      <c r="I7" s="63" t="s">
        <v>51</v>
      </c>
      <c r="J7" s="64" t="s">
        <v>16</v>
      </c>
    </row>
    <row r="8" spans="2:10" ht="25.5" customHeight="1" x14ac:dyDescent="0.45">
      <c r="B8" s="38"/>
      <c r="C8" s="34" t="s">
        <v>15</v>
      </c>
      <c r="D8" s="35">
        <f>VLOOKUP($E$2,'Retail Sales ex Auto'!A:B,2,)</f>
        <v>564000</v>
      </c>
      <c r="E8" s="35">
        <f>VLOOKUP($E$3,'Retail Sales ex Auto'!A:B,2,)</f>
        <v>562931</v>
      </c>
      <c r="F8" s="104">
        <f t="shared" si="0"/>
        <v>-1.8953900709219858E-3</v>
      </c>
      <c r="G8" s="104">
        <f>VLOOKUP($E$3,'Retail Sales ex Auto'!A:D,4,)</f>
        <v>7.719229760941157E-2</v>
      </c>
      <c r="H8" s="3"/>
      <c r="I8" s="36" t="s">
        <v>58</v>
      </c>
      <c r="J8" s="39" t="s">
        <v>18</v>
      </c>
    </row>
    <row r="9" spans="2:10" ht="25.5" customHeight="1" x14ac:dyDescent="0.45">
      <c r="B9" s="38"/>
      <c r="C9" s="34" t="s">
        <v>17</v>
      </c>
      <c r="D9" s="35">
        <f>VLOOKUP($E$2,'Retail Sales ex Auto and Gas'!A:B,2,)</f>
        <v>499618</v>
      </c>
      <c r="E9" s="35">
        <f>VLOOKUP($E$3,'Retail Sales ex Auto and Gas'!A:B,2,)</f>
        <v>498588</v>
      </c>
      <c r="F9" s="104">
        <f t="shared" si="0"/>
        <v>-2.0615750433331066E-3</v>
      </c>
      <c r="G9" s="104">
        <f>VLOOKUP($E$3,'Retail Sales ex Auto and Gas'!A:D,4,)</f>
        <v>6.7169514090144392E-2</v>
      </c>
      <c r="H9" s="3"/>
      <c r="I9" s="36" t="s">
        <v>50</v>
      </c>
      <c r="J9" s="39" t="s">
        <v>20</v>
      </c>
    </row>
    <row r="10" spans="2:10" ht="25.5" customHeight="1" x14ac:dyDescent="0.45">
      <c r="B10" s="40">
        <v>441</v>
      </c>
      <c r="C10" s="34" t="s">
        <v>75</v>
      </c>
      <c r="D10" s="35">
        <f>VLOOKUP($E$2,Motor!A:B,2,)</f>
        <v>129482</v>
      </c>
      <c r="E10" s="35">
        <f>VLOOKUP($E$3,Motor!A:B,2,)</f>
        <v>126512</v>
      </c>
      <c r="F10" s="104">
        <f t="shared" si="0"/>
        <v>-2.2937551165412955E-2</v>
      </c>
      <c r="G10" s="104">
        <f>VLOOKUP($E$3,Motor!A:D,4,)</f>
        <v>1.2703622173303982E-2</v>
      </c>
      <c r="H10" s="105">
        <f t="shared" ref="H10:H21" si="1">D10/$D$7</f>
        <v>0.18671284907178556</v>
      </c>
      <c r="I10" s="36" t="s">
        <v>63</v>
      </c>
      <c r="J10" s="39" t="s">
        <v>42</v>
      </c>
    </row>
    <row r="11" spans="2:10" ht="25.5" customHeight="1" x14ac:dyDescent="0.45">
      <c r="B11" s="40">
        <v>454</v>
      </c>
      <c r="C11" s="34" t="s">
        <v>21</v>
      </c>
      <c r="D11" s="35">
        <f>VLOOKUP($E$2,'Non Store Retail'!A:B,2,)</f>
        <v>110124</v>
      </c>
      <c r="E11" s="35">
        <f>VLOOKUP($E$3,'Non Store Retail'!A:B,2,)</f>
        <v>109084</v>
      </c>
      <c r="F11" s="104">
        <f t="shared" si="0"/>
        <v>-9.4438996040826697E-3</v>
      </c>
      <c r="G11" s="104">
        <f>VLOOKUP($E$3,'Non Store Retail'!A:D,4,)</f>
        <v>7.7213252357675399E-2</v>
      </c>
      <c r="H11" s="105">
        <f t="shared" si="1"/>
        <v>0.15879864221421752</v>
      </c>
      <c r="I11" s="36" t="s">
        <v>64</v>
      </c>
      <c r="J11" s="39" t="s">
        <v>25</v>
      </c>
    </row>
    <row r="12" spans="2:10" ht="25.5" customHeight="1" x14ac:dyDescent="0.45">
      <c r="B12" s="40">
        <v>445</v>
      </c>
      <c r="C12" s="34" t="s">
        <v>24</v>
      </c>
      <c r="D12" s="35">
        <f>VLOOKUP($E$2,'Food and Beverage'!A:B,2,)</f>
        <v>81009</v>
      </c>
      <c r="E12" s="35">
        <f>VLOOKUP($E$3,'Food and Beverage'!A:B,2,)</f>
        <v>81628</v>
      </c>
      <c r="F12" s="104">
        <f t="shared" si="0"/>
        <v>7.6411262946092413E-3</v>
      </c>
      <c r="G12" s="104">
        <f>VLOOKUP($E$3,'Food and Beverage'!A:D,4,)</f>
        <v>8.0593063277733648E-2</v>
      </c>
      <c r="H12" s="105">
        <f t="shared" si="1"/>
        <v>0.11681485604529029</v>
      </c>
      <c r="I12" s="36" t="s">
        <v>54</v>
      </c>
      <c r="J12" s="39" t="s">
        <v>22</v>
      </c>
    </row>
    <row r="13" spans="2:10" ht="25.5" customHeight="1" x14ac:dyDescent="0.45">
      <c r="B13" s="40">
        <v>722</v>
      </c>
      <c r="C13" s="34" t="s">
        <v>27</v>
      </c>
      <c r="D13" s="35">
        <f>VLOOKUP($E$2,'Food Services'!A:B,2,)</f>
        <v>89613</v>
      </c>
      <c r="E13" s="35">
        <f>VLOOKUP($E$3,'Food Services'!A:B,2,)</f>
        <v>90391</v>
      </c>
      <c r="F13" s="104">
        <f t="shared" si="0"/>
        <v>8.6817760815953039E-3</v>
      </c>
      <c r="G13" s="104">
        <f>VLOOKUP($E$3,'Food Services'!A:D,4,)</f>
        <v>0.14104117751016182</v>
      </c>
      <c r="H13" s="105">
        <f t="shared" si="1"/>
        <v>0.12922181109242922</v>
      </c>
      <c r="I13" s="36" t="s">
        <v>57</v>
      </c>
      <c r="J13" s="39" t="s">
        <v>37</v>
      </c>
    </row>
    <row r="14" spans="2:10" ht="25.5" customHeight="1" x14ac:dyDescent="0.45">
      <c r="B14" s="40">
        <v>452</v>
      </c>
      <c r="C14" s="34" t="s">
        <v>30</v>
      </c>
      <c r="D14" s="35">
        <f>VLOOKUP($E$2,'General Merchandising'!A:B,2,)</f>
        <v>70145</v>
      </c>
      <c r="E14" s="35">
        <f>VLOOKUP($E$3,'General Merchandising'!A:B,2,)</f>
        <v>70070</v>
      </c>
      <c r="F14" s="104">
        <f t="shared" si="0"/>
        <v>-1.0692137714733766E-3</v>
      </c>
      <c r="G14" s="104">
        <f>VLOOKUP($E$3,'General Merchandising'!A:D,4,)</f>
        <v>2.8792083278274531E-2</v>
      </c>
      <c r="H14" s="105">
        <f t="shared" si="1"/>
        <v>0.10114898440046029</v>
      </c>
      <c r="I14" s="36" t="s">
        <v>60</v>
      </c>
      <c r="J14" s="39" t="s">
        <v>34</v>
      </c>
    </row>
    <row r="15" spans="2:10" ht="25.5" customHeight="1" x14ac:dyDescent="0.45">
      <c r="B15" s="40">
        <v>447</v>
      </c>
      <c r="C15" s="34" t="s">
        <v>33</v>
      </c>
      <c r="D15" s="35">
        <f>VLOOKUP($E$2,'Gas Station'!A:B,2,)</f>
        <v>64382</v>
      </c>
      <c r="E15" s="35">
        <f>VLOOKUP($E$3,'Gas Station'!A:B,2,)</f>
        <v>64343</v>
      </c>
      <c r="F15" s="104">
        <f t="shared" si="0"/>
        <v>-6.0575937373800125E-4</v>
      </c>
      <c r="G15" s="104">
        <f>VLOOKUP($E$3,'Gas Station'!A:D,4,)</f>
        <v>0.16174054346844813</v>
      </c>
      <c r="H15" s="105">
        <f t="shared" si="1"/>
        <v>9.2838747076348052E-2</v>
      </c>
      <c r="I15" s="36" t="s">
        <v>59</v>
      </c>
      <c r="J15" s="39" t="s">
        <v>39</v>
      </c>
    </row>
    <row r="16" spans="2:10" ht="25.5" customHeight="1" x14ac:dyDescent="0.45">
      <c r="B16" s="40">
        <v>444</v>
      </c>
      <c r="C16" s="34" t="s">
        <v>36</v>
      </c>
      <c r="D16" s="35">
        <f>VLOOKUP($E$2,Housing!A:B,2,)</f>
        <v>43578</v>
      </c>
      <c r="E16" s="35">
        <f>VLOOKUP($E$3,Housing!A:B,2,)</f>
        <v>42485</v>
      </c>
      <c r="F16" s="104">
        <f t="shared" si="0"/>
        <v>-2.5081463123594473E-2</v>
      </c>
      <c r="G16" s="104">
        <f>VLOOKUP($E$3,Housing!A:D,4,)</f>
        <v>3.5815291593524479E-2</v>
      </c>
      <c r="H16" s="105">
        <f t="shared" si="1"/>
        <v>6.2839410395655548E-2</v>
      </c>
      <c r="I16" s="36" t="s">
        <v>52</v>
      </c>
      <c r="J16" s="39" t="s">
        <v>44</v>
      </c>
    </row>
    <row r="17" spans="2:10" ht="25.5" customHeight="1" x14ac:dyDescent="0.45">
      <c r="B17" s="40">
        <v>446</v>
      </c>
      <c r="C17" s="34" t="s">
        <v>29</v>
      </c>
      <c r="D17" s="35">
        <f>VLOOKUP($E$2,Health!A:B,2,)</f>
        <v>33928</v>
      </c>
      <c r="E17" s="35">
        <f>VLOOKUP($E$3,Health!A:B,2,)</f>
        <v>34168</v>
      </c>
      <c r="F17" s="104">
        <f t="shared" si="0"/>
        <v>7.0738033482669179E-3</v>
      </c>
      <c r="G17" s="104">
        <f>VLOOKUP($E$3,Health!A:D,4,)</f>
        <v>4.5084725025998654E-2</v>
      </c>
      <c r="H17" s="105">
        <f t="shared" si="1"/>
        <v>4.8924124923213581E-2</v>
      </c>
      <c r="I17" s="36" t="s">
        <v>61</v>
      </c>
      <c r="J17" s="39" t="s">
        <v>28</v>
      </c>
    </row>
    <row r="18" spans="2:10" ht="25.5" customHeight="1" x14ac:dyDescent="0.45">
      <c r="B18" s="40">
        <v>448</v>
      </c>
      <c r="C18" s="34" t="s">
        <v>41</v>
      </c>
      <c r="D18" s="35">
        <f>VLOOKUP($E$2,'Clothing and clothing access'!A:B,2,0)</f>
        <v>26409</v>
      </c>
      <c r="E18" s="35">
        <f>VLOOKUP($E$3,'Clothing and clothing access'!A:B,2,)</f>
        <v>26353</v>
      </c>
      <c r="F18" s="104">
        <f t="shared" si="0"/>
        <v>-2.1204892271574085E-3</v>
      </c>
      <c r="G18" s="104">
        <f>VLOOKUP($E$3,'Clothing and clothing access'!A:D,4,)</f>
        <v>7.1851710300019113E-3</v>
      </c>
      <c r="H18" s="105">
        <f t="shared" si="1"/>
        <v>3.8081738242665274E-2</v>
      </c>
      <c r="I18" s="37" t="s">
        <v>53</v>
      </c>
      <c r="J18" s="41" t="s">
        <v>47</v>
      </c>
    </row>
    <row r="19" spans="2:10" ht="25.5" customHeight="1" x14ac:dyDescent="0.45">
      <c r="B19" s="40" t="s">
        <v>76</v>
      </c>
      <c r="C19" s="34" t="s">
        <v>43</v>
      </c>
      <c r="D19" s="35">
        <f>VLOOKUP($E$2,'Furniture Home'!A:B,2,)</f>
        <v>19279</v>
      </c>
      <c r="E19" s="35">
        <f>VLOOKUP($E$3,'Furniture Home'!A:B,2,)</f>
        <v>18857</v>
      </c>
      <c r="F19" s="104">
        <f t="shared" si="0"/>
        <v>-2.1889102131853314E-2</v>
      </c>
      <c r="G19" s="104">
        <f>VLOOKUP($E$3,'Furniture Home'!A:D,4,)</f>
        <v>-3.6433316300459886E-2</v>
      </c>
      <c r="H19" s="105">
        <f t="shared" si="1"/>
        <v>2.7800288976498309E-2</v>
      </c>
      <c r="I19" s="37" t="s">
        <v>77</v>
      </c>
      <c r="J19" s="41" t="s">
        <v>46</v>
      </c>
    </row>
    <row r="20" spans="2:10" ht="25.5" customHeight="1" x14ac:dyDescent="0.45">
      <c r="B20" s="40">
        <v>453</v>
      </c>
      <c r="C20" s="34" t="s">
        <v>45</v>
      </c>
      <c r="D20" s="35">
        <f>VLOOKUP($E$2,'Miscellaneous stores retailers'!A:B,2,)</f>
        <v>16176</v>
      </c>
      <c r="E20" s="35">
        <f>VLOOKUP($E$3,'Miscellaneous stores retailers'!A:B,2,)</f>
        <v>16249</v>
      </c>
      <c r="F20" s="104">
        <f t="shared" si="0"/>
        <v>4.5128585558852621E-3</v>
      </c>
      <c r="G20" s="104">
        <f>VLOOKUP($E$3,'Miscellaneous stores retailers'!A:D,4,)</f>
        <v>0.12116194024701581</v>
      </c>
      <c r="H20" s="105">
        <f t="shared" si="1"/>
        <v>2.3325767647898576E-2</v>
      </c>
      <c r="I20" s="37" t="s">
        <v>62</v>
      </c>
      <c r="J20" s="41" t="s">
        <v>48</v>
      </c>
    </row>
    <row r="21" spans="2:10" ht="25.5" customHeight="1" thickBot="1" x14ac:dyDescent="0.5">
      <c r="B21" s="42">
        <v>451</v>
      </c>
      <c r="C21" s="43" t="s">
        <v>32</v>
      </c>
      <c r="D21" s="44">
        <f>VLOOKUP($E$2,'Sporting Goods'!A:B,2,)</f>
        <v>9357</v>
      </c>
      <c r="E21" s="44">
        <f>VLOOKUP($E$3,'Sporting Goods'!A:B,2,)</f>
        <v>9303</v>
      </c>
      <c r="F21" s="106">
        <f t="shared" si="0"/>
        <v>-5.7710804745110611E-3</v>
      </c>
      <c r="G21" s="106">
        <f>VLOOKUP($E$3,'Sporting Goods'!A:D,4,)</f>
        <v>1.8279334500875658E-2</v>
      </c>
      <c r="H21" s="107">
        <f t="shared" si="1"/>
        <v>1.349277991353777E-2</v>
      </c>
      <c r="I21" s="47" t="s">
        <v>65</v>
      </c>
      <c r="J21" s="48" t="s">
        <v>31</v>
      </c>
    </row>
    <row r="22" spans="2:10" ht="25.5" customHeight="1" thickBot="1" x14ac:dyDescent="0.5">
      <c r="D22" s="45">
        <f>SUM(D10:D21)</f>
        <v>693482</v>
      </c>
      <c r="E22" s="46">
        <f>SUM(E10:E21)</f>
        <v>689443</v>
      </c>
      <c r="H22" s="108">
        <f>SUM(H10:H21)</f>
        <v>1.0000000000000002</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7"/>
  <sheetViews>
    <sheetView topLeftCell="B1" zoomScale="130" zoomScaleNormal="130" workbookViewId="0">
      <pane ySplit="3" topLeftCell="A52" activePane="bottomLeft" state="frozen"/>
      <selection activeCell="P14" sqref="P14"/>
      <selection pane="bottomLeft" activeCell="AJ62" sqref="AJ62"/>
    </sheetView>
  </sheetViews>
  <sheetFormatPr defaultColWidth="9.1796875" defaultRowHeight="14.5" x14ac:dyDescent="0.35"/>
  <cols>
    <col min="1" max="1" width="3" style="109" customWidth="1"/>
    <col min="2" max="2" width="8.81640625" style="109" bestFit="1" customWidth="1"/>
    <col min="3" max="32" width="7.6328125" style="109" customWidth="1"/>
    <col min="33" max="50" width="9.1796875" style="109" customWidth="1"/>
    <col min="51" max="16384" width="9.1796875" style="109"/>
  </cols>
  <sheetData>
    <row r="1" spans="2:32" ht="16" customHeight="1" thickBot="1" x14ac:dyDescent="0.4"/>
    <row r="2" spans="2:32" ht="87" customHeight="1" thickBot="1" x14ac:dyDescent="0.4">
      <c r="B2" s="54"/>
      <c r="C2" s="131" t="s">
        <v>0</v>
      </c>
      <c r="D2" s="126"/>
      <c r="E2" s="132" t="s">
        <v>15</v>
      </c>
      <c r="F2" s="126"/>
      <c r="G2" s="131" t="s">
        <v>17</v>
      </c>
      <c r="H2" s="126"/>
      <c r="I2" s="131" t="s">
        <v>19</v>
      </c>
      <c r="J2" s="126"/>
      <c r="K2" s="131" t="s">
        <v>21</v>
      </c>
      <c r="L2" s="126"/>
      <c r="M2" s="131" t="s">
        <v>24</v>
      </c>
      <c r="N2" s="126"/>
      <c r="O2" s="131" t="s">
        <v>27</v>
      </c>
      <c r="P2" s="126"/>
      <c r="Q2" s="131" t="s">
        <v>78</v>
      </c>
      <c r="R2" s="126"/>
      <c r="S2" s="131" t="s">
        <v>33</v>
      </c>
      <c r="T2" s="126"/>
      <c r="U2" s="131" t="s">
        <v>36</v>
      </c>
      <c r="V2" s="126"/>
      <c r="W2" s="131" t="s">
        <v>29</v>
      </c>
      <c r="X2" s="126"/>
      <c r="Y2" s="131" t="s">
        <v>79</v>
      </c>
      <c r="Z2" s="126"/>
      <c r="AA2" s="131" t="s">
        <v>80</v>
      </c>
      <c r="AB2" s="126"/>
      <c r="AC2" s="131" t="s">
        <v>81</v>
      </c>
      <c r="AD2" s="126"/>
      <c r="AE2" s="131" t="s">
        <v>32</v>
      </c>
      <c r="AF2" s="126"/>
    </row>
    <row r="3" spans="2:32" s="49" customFormat="1" ht="22.5" customHeight="1" x14ac:dyDescent="0.3">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35">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35">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35">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35">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35">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35">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35">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35">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35">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35">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35">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35">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35">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35">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35">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35">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35">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35">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35">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35">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35">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35">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35">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35">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35">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35">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35">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35">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35">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35">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35">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35">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35">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35">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35">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35">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35">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35">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35">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35">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35">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35">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35">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35">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35">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35">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35">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35">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35">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35">
      <c r="B53" s="56">
        <v>44440</v>
      </c>
      <c r="C53" s="52">
        <f>VLOOKUP(B53,'Retail Sales'!A:D,3,)</f>
        <v>1.0560625189011189E-2</v>
      </c>
      <c r="D53" s="53">
        <f>VLOOKUP(B53,'Retail Sales'!A:D,4,)</f>
        <v>0.14440331164348191</v>
      </c>
      <c r="E53" s="52">
        <f>VLOOKUP(B53,'Retail Sales ex Auto'!$A:$D,3,)</f>
        <v>1.0139567465523689E-2</v>
      </c>
      <c r="F53" s="53">
        <f>VLOOKUP(B53,'Retail Sales ex Auto'!$A:$D,4,)</f>
        <v>0.15794285040252426</v>
      </c>
      <c r="G53" s="52">
        <f>VLOOKUP(B53,'Retail Sales ex Auto and Gas'!$A:$D,3,)</f>
        <v>6.9967529972755037E-3</v>
      </c>
      <c r="H53" s="53">
        <f>VLOOKUP(B53,'Retail Sales ex Auto and Gas'!$A:$D,4,)</f>
        <v>0.13499402418534676</v>
      </c>
      <c r="I53" s="52">
        <f>VLOOKUP(B53,Motor!$A:$D,3,)</f>
        <v>1.2339486356340289E-2</v>
      </c>
      <c r="J53" s="53">
        <f>VLOOKUP(B53,Motor!$A:$D,4,)</f>
        <v>9.0643801563569548E-2</v>
      </c>
      <c r="K53" s="52">
        <f>VLOOKUP(B53,'Non Store Retail'!$A:$D,3,)</f>
        <v>5.0212993641059415E-3</v>
      </c>
      <c r="L53" s="53">
        <f>VLOOKUP(B53,'Non Store Retail'!$A:$D,4,)</f>
        <v>0.10965440458067301</v>
      </c>
      <c r="M53" s="52">
        <f>VLOOKUP(B53,'Food and Beverage'!$A:$D,3,)</f>
        <v>8.2337855166362967E-3</v>
      </c>
      <c r="N53" s="52">
        <f>VLOOKUP(B53,'Food and Beverage'!$A:$D,4,)</f>
        <v>6.6264114313448391E-2</v>
      </c>
      <c r="O53" s="52">
        <f>VLOOKUP(B53,'Food Services'!$A:$D,3,)</f>
        <v>9.334227218812852E-3</v>
      </c>
      <c r="P53" s="53">
        <f>VLOOKUP(B53,'Food Services'!$A:$D,4,)</f>
        <v>0.32308056311368744</v>
      </c>
      <c r="Q53" s="52">
        <f>VLOOKUP(B53,'General Merchandising'!$A:$D,3,)</f>
        <v>3.3722554000653652E-3</v>
      </c>
      <c r="R53" s="53">
        <f>VLOOKUP(B53,'General Merchandising'!$A:$D,4,)</f>
        <v>8.4316653020597543E-2</v>
      </c>
      <c r="S53" s="52">
        <f>VLOOKUP(B53,'Gas Station'!$A:$D,3,)</f>
        <v>3.8856569709127382E-2</v>
      </c>
      <c r="T53" s="53">
        <f>VLOOKUP(B53,'Gas Station'!$A:$D,4,)</f>
        <v>0.41055183308819526</v>
      </c>
      <c r="U53" s="52">
        <f>VLOOKUP(B53,Housing!$A:$D,3,)</f>
        <v>8.9430267519851978E-3</v>
      </c>
      <c r="V53" s="53">
        <f>VLOOKUP(B53,Housing!$A:$D,4,)</f>
        <v>6.3695475480899488E-2</v>
      </c>
      <c r="W53" s="52">
        <f>VLOOKUP(B53,Health!$A:$D,3,)</f>
        <v>-5.7318820695752924E-3</v>
      </c>
      <c r="X53" s="53">
        <f>VLOOKUP(B53,Health!$A:$D,4,)</f>
        <v>7.7194952764748623E-2</v>
      </c>
      <c r="Y53" s="52">
        <f>VLOOKUP(B53,'Clothing and clothing access'!$A:$D,3,)</f>
        <v>1.5679022272252152E-2</v>
      </c>
      <c r="Z53" s="53">
        <f>VLOOKUP(B53,'Clothing and clothing access'!$A:$D,4,)</f>
        <v>0.21304076439237529</v>
      </c>
      <c r="AA53" s="52">
        <f>VLOOKUP(B53,'Furniture Home'!$A:$D,3,)</f>
        <v>7.7936444086886564E-3</v>
      </c>
      <c r="AB53" s="53">
        <f>VLOOKUP(B53,'Furniture Home'!$A:$D,4,)</f>
        <v>0.14335424985738734</v>
      </c>
      <c r="AC53" s="52">
        <f>VLOOKUP(B53,'Miscellaneous stores retailers'!$A:$D,3,)</f>
        <v>2.3449157962055E-2</v>
      </c>
      <c r="AD53" s="53">
        <f>VLOOKUP(B53,'Miscellaneous stores retailers'!$A:$D,4,)</f>
        <v>0.28621182353991786</v>
      </c>
      <c r="AE53" s="52">
        <f>VLOOKUP(B53,'Sporting Goods'!$A:$D,3,)</f>
        <v>1.1703215543688217E-2</v>
      </c>
      <c r="AF53" s="53">
        <f>VLOOKUP(B53,'Sporting Goods'!$A:$D,4,)</f>
        <v>0.13354551241247614</v>
      </c>
    </row>
    <row r="54" spans="2:32" x14ac:dyDescent="0.35">
      <c r="B54" s="56">
        <v>44470</v>
      </c>
      <c r="C54" s="52">
        <f>VLOOKUP(B54,'Retail Sales'!A:D,3,)</f>
        <v>1.4188608262358625E-2</v>
      </c>
      <c r="D54" s="53">
        <f>VLOOKUP(B54,'Retail Sales'!A:D,4,)</f>
        <v>0.16448534585100599</v>
      </c>
      <c r="E54" s="52">
        <f>VLOOKUP(B54,'Retail Sales ex Auto'!$A:$D,3,)</f>
        <v>1.4410221148703843E-2</v>
      </c>
      <c r="F54" s="53">
        <f>VLOOKUP(B54,'Retail Sales ex Auto'!$A:$D,4,)</f>
        <v>0.17798524524155629</v>
      </c>
      <c r="G54" s="52">
        <f>VLOOKUP(B54,'Retail Sales ex Auto and Gas'!$A:$D,3,)</f>
        <v>1.0793923485449677E-2</v>
      </c>
      <c r="H54" s="53">
        <f>VLOOKUP(B54,'Retail Sales ex Auto and Gas'!$A:$D,4,)</f>
        <v>0.15142762770668131</v>
      </c>
      <c r="I54" s="52">
        <f>VLOOKUP(B54,Motor!$A:$D,3,)</f>
        <v>1.3254385095629768E-2</v>
      </c>
      <c r="J54" s="53">
        <f>VLOOKUP(B54,Motor!$A:$D,4,)</f>
        <v>0.1107620720247687</v>
      </c>
      <c r="K54" s="52">
        <f>VLOOKUP(B54,'Non Store Retail'!$A:$D,3,)</f>
        <v>2.2534144193951309E-2</v>
      </c>
      <c r="L54" s="53">
        <f>VLOOKUP(B54,'Non Store Retail'!$A:$D,4,)</f>
        <v>0.12607533852727948</v>
      </c>
      <c r="M54" s="52">
        <f>VLOOKUP(B54,'Food and Beverage'!$A:$D,3,)</f>
        <v>8.5146261463284016E-3</v>
      </c>
      <c r="N54" s="52">
        <f>VLOOKUP(B54,'Food and Beverage'!$A:$D,4,)</f>
        <v>8.1021740690248978E-2</v>
      </c>
      <c r="O54" s="52">
        <f>VLOOKUP(B54,'Food Services'!$A:$D,3,)</f>
        <v>2.0565092989985696E-3</v>
      </c>
      <c r="P54" s="53">
        <f>VLOOKUP(B54,'Food Services'!$A:$D,4,)</f>
        <v>0.32463738750147747</v>
      </c>
      <c r="Q54" s="52">
        <f>VLOOKUP(B54,'General Merchandising'!$A:$D,3,)</f>
        <v>1.1578152529574628E-2</v>
      </c>
      <c r="R54" s="53">
        <f>VLOOKUP(B54,'General Merchandising'!$A:$D,4,)</f>
        <v>0.11157569348409664</v>
      </c>
      <c r="S54" s="52">
        <f>VLOOKUP(B54,'Gas Station'!$A:$D,3,)</f>
        <v>4.6440226311622611E-2</v>
      </c>
      <c r="T54" s="53">
        <f>VLOOKUP(B54,'Gas Station'!$A:$D,4,)</f>
        <v>0.4675838162812111</v>
      </c>
      <c r="U54" s="52">
        <f>VLOOKUP(B54,Housing!$A:$D,3,)</f>
        <v>1.614834059244543E-2</v>
      </c>
      <c r="V54" s="53">
        <f>VLOOKUP(B54,Housing!$A:$D,4,)</f>
        <v>9.3073593073593072E-2</v>
      </c>
      <c r="W54" s="52">
        <f>VLOOKUP(B54,Health!$A:$D,3,)</f>
        <v>-5.1209714513507712E-3</v>
      </c>
      <c r="X54" s="53">
        <f>VLOOKUP(B54,Health!$A:$D,4,)</f>
        <v>7.5372886973815043E-2</v>
      </c>
      <c r="Y54" s="52">
        <f>VLOOKUP(B54,'Clothing and clothing access'!$A:$D,3,)</f>
        <v>6.174794173527549E-3</v>
      </c>
      <c r="Z54" s="53">
        <f>VLOOKUP(B54,'Clothing and clothing access'!$A:$D,4,)</f>
        <v>0.25203171945032754</v>
      </c>
      <c r="AA54" s="52">
        <f>VLOOKUP(B54,'Furniture Home'!$A:$D,3,)</f>
        <v>1.4219428229306989E-2</v>
      </c>
      <c r="AB54" s="53">
        <f>VLOOKUP(B54,'Furniture Home'!$A:$D,4,)</f>
        <v>0.15185856754306437</v>
      </c>
      <c r="AC54" s="52">
        <f>VLOOKUP(B54,'Miscellaneous stores retailers'!$A:$D,3,)</f>
        <v>1.4788585711310144E-2</v>
      </c>
      <c r="AD54" s="53">
        <f>VLOOKUP(B54,'Miscellaneous stores retailers'!$A:$D,4,)</f>
        <v>0.30360328219764537</v>
      </c>
      <c r="AE54" s="52">
        <f>VLOOKUP(B54,'Sporting Goods'!$A:$D,3,)</f>
        <v>5.6154537286612757E-3</v>
      </c>
      <c r="AF54" s="53">
        <f>VLOOKUP(B54,'Sporting Goods'!$A:$D,4,)</f>
        <v>0.1532715095311695</v>
      </c>
    </row>
    <row r="55" spans="2:32" x14ac:dyDescent="0.35">
      <c r="B55" s="56">
        <v>44501</v>
      </c>
      <c r="C55" s="52">
        <f>VLOOKUP(B55,'Retail Sales'!A:D,3,)</f>
        <v>1.0916062473849535E-2</v>
      </c>
      <c r="D55" s="53">
        <f>VLOOKUP(B55,'Retail Sales'!A:D,4,)</f>
        <v>0.19065008807834743</v>
      </c>
      <c r="E55" s="52">
        <f>VLOOKUP(B55,'Retail Sales ex Auto'!$A:$D,3,)</f>
        <v>9.1999837783661338E-3</v>
      </c>
      <c r="F55" s="53">
        <f>VLOOKUP(B55,'Retail Sales ex Auto'!$A:$D,4,)</f>
        <v>0.20161551780035733</v>
      </c>
      <c r="G55" s="52">
        <f>VLOOKUP(B55,'Retail Sales ex Auto and Gas'!$A:$D,3,)</f>
        <v>7.7021795162142631E-3</v>
      </c>
      <c r="H55" s="53">
        <f>VLOOKUP(B55,'Retail Sales ex Auto and Gas'!$A:$D,4,)</f>
        <v>0.17178228003029741</v>
      </c>
      <c r="I55" s="52">
        <f>VLOOKUP(B55,Motor!$A:$D,3,)</f>
        <v>1.8158553183859425E-2</v>
      </c>
      <c r="J55" s="53">
        <f>VLOOKUP(B55,Motor!$A:$D,4,)</f>
        <v>0.14686900401186115</v>
      </c>
      <c r="K55" s="52">
        <f>VLOOKUP(B55,'Non Store Retail'!$A:$D,3,)</f>
        <v>1.3917396745932415E-2</v>
      </c>
      <c r="L55" s="53">
        <f>VLOOKUP(B55,'Non Store Retail'!$A:$D,4,)</f>
        <v>0.14468999039168032</v>
      </c>
      <c r="M55" s="52">
        <f>VLOOKUP(B55,'Food and Beverage'!$A:$D,3,)</f>
        <v>2.774422216617329E-3</v>
      </c>
      <c r="N55" s="52">
        <f>VLOOKUP(B55,'Food and Beverage'!$A:$D,4,)</f>
        <v>7.2036784741144416E-2</v>
      </c>
      <c r="O55" s="52">
        <f>VLOOKUP(B55,'Food Services'!$A:$D,3,)</f>
        <v>9.8025468775892622E-3</v>
      </c>
      <c r="P55" s="53">
        <f>VLOOKUP(B55,'Food Services'!$A:$D,4,)</f>
        <v>0.38976509184049402</v>
      </c>
      <c r="Q55" s="52">
        <f>VLOOKUP(B55,'General Merchandising'!$A:$D,3,)</f>
        <v>-3.1321809639506463E-3</v>
      </c>
      <c r="R55" s="53">
        <f>VLOOKUP(B55,'General Merchandising'!$A:$D,4,)</f>
        <v>0.10850883760294261</v>
      </c>
      <c r="S55" s="52">
        <f>VLOOKUP(B55,'Gas Station'!$A:$D,3,)</f>
        <v>2.2014319456746385E-2</v>
      </c>
      <c r="T55" s="53">
        <f>VLOOKUP(B55,'Gas Station'!$A:$D,4,)</f>
        <v>0.53026828392230541</v>
      </c>
      <c r="U55" s="52">
        <f>VLOOKUP(B55,Housing!$A:$D,3,)</f>
        <v>2.8098759243012909E-2</v>
      </c>
      <c r="V55" s="53">
        <f>VLOOKUP(B55,Housing!$A:$D,4,)</f>
        <v>0.12197390376672046</v>
      </c>
      <c r="W55" s="52">
        <f>VLOOKUP(B55,Health!$A:$D,3,)</f>
        <v>7.7055850080138084E-3</v>
      </c>
      <c r="X55" s="53">
        <f>VLOOKUP(B55,Health!$A:$D,4,)</f>
        <v>0.10088221429052462</v>
      </c>
      <c r="Y55" s="52">
        <f>VLOOKUP(B55,'Clothing and clothing access'!$A:$D,3,)</f>
        <v>2.930763178599528E-2</v>
      </c>
      <c r="Z55" s="53">
        <f>VLOOKUP(B55,'Clothing and clothing access'!$A:$D,4,)</f>
        <v>0.37587421780512176</v>
      </c>
      <c r="AA55" s="52">
        <f>VLOOKUP(B55,'Furniture Home'!$A:$D,3,)</f>
        <v>-3.7288469106650922E-2</v>
      </c>
      <c r="AB55" s="53">
        <f>VLOOKUP(B55,'Furniture Home'!$A:$D,4,)</f>
        <v>0.13931419921988705</v>
      </c>
      <c r="AC55" s="52">
        <f>VLOOKUP(B55,'Miscellaneous stores retailers'!$A:$D,3,)</f>
        <v>-8.4154351395730707E-3</v>
      </c>
      <c r="AD55" s="53">
        <f>VLOOKUP(B55,'Miscellaneous stores retailers'!$A:$D,4,)</f>
        <v>0.29067592839967943</v>
      </c>
      <c r="AE55" s="52">
        <f>VLOOKUP(B55,'Sporting Goods'!$A:$D,3,)</f>
        <v>2.0326111235202143E-2</v>
      </c>
      <c r="AF55" s="53">
        <f>VLOOKUP(B55,'Sporting Goods'!$A:$D,4,)</f>
        <v>0.19206680584551147</v>
      </c>
    </row>
    <row r="56" spans="2:32" x14ac:dyDescent="0.35">
      <c r="B56" s="56">
        <v>44531</v>
      </c>
      <c r="C56" s="52">
        <f>VLOOKUP(B56,'Retail Sales'!A:D,3,)</f>
        <v>-2.0266680668894668E-2</v>
      </c>
      <c r="D56" s="53">
        <f>VLOOKUP(B56,'Retail Sales'!A:D,4,)</f>
        <v>0.16843603920860792</v>
      </c>
      <c r="E56" s="52">
        <f>VLOOKUP(B56,'Retail Sales ex Auto'!$A:$D,3,)</f>
        <v>-1.7231448685492097E-2</v>
      </c>
      <c r="F56" s="53">
        <f>VLOOKUP(B56,'Retail Sales ex Auto'!$A:$D,4,)</f>
        <v>0.18925289911451965</v>
      </c>
      <c r="G56" s="52">
        <f>VLOOKUP(B56,'Retail Sales ex Auto and Gas'!$A:$D,3,)</f>
        <v>-2.0397854479608568E-2</v>
      </c>
      <c r="H56" s="53">
        <f>VLOOKUP(B56,'Retail Sales ex Auto and Gas'!$A:$D,4,)</f>
        <v>0.1658663704933985</v>
      </c>
      <c r="I56" s="52">
        <f>VLOOKUP(B56,Motor!$A:$D,3,)</f>
        <v>-3.2963778266960175E-2</v>
      </c>
      <c r="J56" s="53">
        <f>VLOOKUP(B56,Motor!$A:$D,4,)</f>
        <v>8.7508776983598296E-2</v>
      </c>
      <c r="K56" s="52">
        <f>VLOOKUP(B56,'Non Store Retail'!$A:$D,3,)</f>
        <v>-5.240705080728781E-2</v>
      </c>
      <c r="L56" s="53">
        <f>VLOOKUP(B56,'Non Store Retail'!$A:$D,4,)</f>
        <v>0.12757781929707054</v>
      </c>
      <c r="M56" s="52">
        <f>VLOOKUP(B56,'Food and Beverage'!$A:$D,3,)</f>
        <v>8.564998676198041E-3</v>
      </c>
      <c r="N56" s="52">
        <f>VLOOKUP(B56,'Food and Beverage'!$A:$D,4,)</f>
        <v>8.8650100738750834E-2</v>
      </c>
      <c r="O56" s="52">
        <f>VLOOKUP(B56,'Food Services'!$A:$D,3,)</f>
        <v>-2.0639248655608573E-2</v>
      </c>
      <c r="P56" s="53">
        <f>VLOOKUP(B56,'Food Services'!$A:$D,4,)</f>
        <v>0.43496837198979027</v>
      </c>
      <c r="Q56" s="52">
        <f>VLOOKUP(B56,'General Merchandising'!$A:$D,3,)</f>
        <v>-1.3390300841298507E-2</v>
      </c>
      <c r="R56" s="53">
        <f>VLOOKUP(B56,'General Merchandising'!$A:$D,4,)</f>
        <v>0.11082273982113633</v>
      </c>
      <c r="S56" s="52">
        <f>VLOOKUP(B56,'Gas Station'!$A:$D,3,)</f>
        <v>9.4791008395775037E-3</v>
      </c>
      <c r="T56" s="53">
        <f>VLOOKUP(B56,'Gas Station'!$A:$D,4,)</f>
        <v>0.42289975313669104</v>
      </c>
      <c r="U56" s="52">
        <f>VLOOKUP(B56,Housing!$A:$D,3,)</f>
        <v>4.6567193290423248E-3</v>
      </c>
      <c r="V56" s="53">
        <f>VLOOKUP(B56,Housing!$A:$D,4,)</f>
        <v>0.12809351730179588</v>
      </c>
      <c r="W56" s="52">
        <f>VLOOKUP(B56,Health!$A:$D,3,)</f>
        <v>3.1504251544625926E-3</v>
      </c>
      <c r="X56" s="53">
        <f>VLOOKUP(B56,Health!$A:$D,4,)</f>
        <v>9.5131561373046611E-2</v>
      </c>
      <c r="Y56" s="52">
        <f>VLOOKUP(B56,'Clothing and clothing access'!$A:$D,3,)</f>
        <v>-4.2575960252245366E-2</v>
      </c>
      <c r="Z56" s="53">
        <f>VLOOKUP(B56,'Clothing and clothing access'!$A:$D,4,)</f>
        <v>0.25211176088369069</v>
      </c>
      <c r="AA56" s="52">
        <f>VLOOKUP(B56,'Furniture Home'!$A:$D,3,)</f>
        <v>-5.7588145120081757E-2</v>
      </c>
      <c r="AB56" s="53">
        <f>VLOOKUP(B56,'Furniture Home'!$A:$D,4,)</f>
        <v>8.9754195225714956E-2</v>
      </c>
      <c r="AC56" s="52">
        <f>VLOOKUP(B56,'Miscellaneous stores retailers'!$A:$D,3,)</f>
        <v>-1.4351756020147658E-2</v>
      </c>
      <c r="AD56" s="53">
        <f>VLOOKUP(B56,'Miscellaneous stores retailers'!$A:$D,4,)</f>
        <v>0.21038806981867481</v>
      </c>
      <c r="AE56" s="52">
        <f>VLOOKUP(B56,'Sporting Goods'!$A:$D,3,)</f>
        <v>-1.8388791593695272E-2</v>
      </c>
      <c r="AF56" s="53">
        <f>VLOOKUP(B56,'Sporting Goods'!$A:$D,4,)</f>
        <v>0.16301387628063804</v>
      </c>
    </row>
    <row r="57" spans="2:32" x14ac:dyDescent="0.35">
      <c r="B57" s="56">
        <v>44562</v>
      </c>
      <c r="C57" s="52">
        <f>VLOOKUP(B57,'Retail Sales'!A:D,3,)</f>
        <v>2.7055784032925963E-2</v>
      </c>
      <c r="D57" s="53">
        <f>VLOOKUP(B57,'Retail Sales'!A:D,4,)</f>
        <v>0.13745107555226579</v>
      </c>
      <c r="E57" s="52">
        <f>VLOOKUP(B57,'Retail Sales ex Auto'!$A:$D,3,)</f>
        <v>1.6170612127277613E-2</v>
      </c>
      <c r="F57" s="53">
        <f>VLOOKUP(B57,'Retail Sales ex Auto'!$A:$D,4,)</f>
        <v>0.14002271784005768</v>
      </c>
      <c r="G57" s="52">
        <f>VLOOKUP(B57,'Retail Sales ex Auto and Gas'!$A:$D,3,)</f>
        <v>2.0311311932458768E-2</v>
      </c>
      <c r="H57" s="53">
        <f>VLOOKUP(B57,'Retail Sales ex Auto and Gas'!$A:$D,4,)</f>
        <v>0.12068080041086093</v>
      </c>
      <c r="I57" s="52">
        <f>VLOOKUP(B57,Motor!$A:$D,3,)</f>
        <v>7.3331843353448056E-2</v>
      </c>
      <c r="J57" s="53">
        <f>VLOOKUP(B57,Motor!$A:$D,4,)</f>
        <v>0.1272167744627582</v>
      </c>
      <c r="K57" s="52">
        <f>VLOOKUP(B57,'Non Store Retail'!$A:$D,3,)</f>
        <v>7.1020654869838884E-2</v>
      </c>
      <c r="L57" s="53">
        <f>VLOOKUP(B57,'Non Store Retail'!$A:$D,4,)</f>
        <v>0.12836925374117544</v>
      </c>
      <c r="M57" s="52">
        <f>VLOOKUP(B57,'Food and Beverage'!$A:$D,3,)</f>
        <v>5.4602491238662761E-3</v>
      </c>
      <c r="N57" s="52">
        <f>VLOOKUP(B57,'Food and Beverage'!$A:$D,4,)</f>
        <v>8.0117313630659465E-2</v>
      </c>
      <c r="O57" s="52">
        <f>VLOOKUP(B57,'Food Services'!$A:$D,3,)</f>
        <v>-2.6113968266243893E-2</v>
      </c>
      <c r="P57" s="53">
        <f>VLOOKUP(B57,'Food Services'!$A:$D,4,)</f>
        <v>0.26873541215387975</v>
      </c>
      <c r="Q57" s="52">
        <f>VLOOKUP(B57,'General Merchandising'!$A:$D,3,)</f>
        <v>3.0298971680283344E-2</v>
      </c>
      <c r="R57" s="53">
        <f>VLOOKUP(B57,'General Merchandising'!$A:$D,4,)</f>
        <v>5.2781241446428026E-2</v>
      </c>
      <c r="S57" s="52">
        <f>VLOOKUP(B57,'Gas Station'!$A:$D,3,)</f>
        <v>-1.7724915042031837E-2</v>
      </c>
      <c r="T57" s="53">
        <f>VLOOKUP(B57,'Gas Station'!$A:$D,4,)</f>
        <v>0.33609867652783182</v>
      </c>
      <c r="U57" s="52">
        <f>VLOOKUP(B57,Housing!$A:$D,3,)</f>
        <v>2.3369815807993789E-2</v>
      </c>
      <c r="V57" s="53">
        <f>VLOOKUP(B57,Housing!$A:$D,4,)</f>
        <v>9.0171139031073891E-2</v>
      </c>
      <c r="W57" s="52">
        <f>VLOOKUP(B57,Health!$A:$D,3,)</f>
        <v>5.4883068573345118E-4</v>
      </c>
      <c r="X57" s="53">
        <f>VLOOKUP(B57,Health!$A:$D,4,)</f>
        <v>9.4672582313106712E-2</v>
      </c>
      <c r="Y57" s="52">
        <f>VLOOKUP(B57,'Clothing and clothing access'!$A:$D,3,)</f>
        <v>4.3511237076364218E-3</v>
      </c>
      <c r="Z57" s="53">
        <f>VLOOKUP(B57,'Clothing and clothing access'!$A:$D,4,)</f>
        <v>0.19281278149149006</v>
      </c>
      <c r="AA57" s="52">
        <f>VLOOKUP(B57,'Furniture Home'!$A:$D,3,)</f>
        <v>4.4135986553163802E-2</v>
      </c>
      <c r="AB57" s="53">
        <f>VLOOKUP(B57,'Furniture Home'!$A:$D,4,)</f>
        <v>1.0396631491396788E-3</v>
      </c>
      <c r="AC57" s="52">
        <f>VLOOKUP(B57,'Miscellaneous stores retailers'!$A:$D,3,)</f>
        <v>1.6940847042352117E-2</v>
      </c>
      <c r="AD57" s="53">
        <f>VLOOKUP(B57,'Miscellaneous stores retailers'!$A:$D,4,)</f>
        <v>0.22746092099704268</v>
      </c>
      <c r="AE57" s="52">
        <f>VLOOKUP(B57,'Sporting Goods'!$A:$D,3,)</f>
        <v>-1.0147190008920606E-2</v>
      </c>
      <c r="AF57" s="53">
        <f>VLOOKUP(B57,'Sporting Goods'!$A:$D,4,)</f>
        <v>3.8853130485664134E-2</v>
      </c>
    </row>
    <row r="58" spans="2:32" x14ac:dyDescent="0.35">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35">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35">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35">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35">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35">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35">
      <c r="B64" s="56">
        <v>44774</v>
      </c>
      <c r="C64" s="52">
        <f>VLOOKUP(B64,'Retail Sales'!A:D,3,)</f>
        <v>6.7199328153538058E-3</v>
      </c>
      <c r="D64" s="53">
        <f>VLOOKUP(B64,'Retail Sales'!A:D,4,)</f>
        <v>9.7160951928354153E-2</v>
      </c>
      <c r="E64" s="52">
        <f>VLOOKUP(B64,'Retail Sales ex Auto'!$A:$D,3,)</f>
        <v>1.7626290303743566E-3</v>
      </c>
      <c r="F64" s="53">
        <f>VLOOKUP(B64,'Retail Sales ex Auto'!$A:$D,4,)</f>
        <v>0.10327359220496016</v>
      </c>
      <c r="G64" s="52">
        <f>VLOOKUP(B64,'Retail Sales ex Auto and Gas'!$A:$D,3,)</f>
        <v>8.8212691509017473E-3</v>
      </c>
      <c r="H64" s="53">
        <f>VLOOKUP(B64,'Retail Sales ex Auto and Gas'!$A:$D,4,)</f>
        <v>8.3625139133737439E-2</v>
      </c>
      <c r="I64" s="52">
        <f>VLOOKUP(B64,Motor!$A:$D,3,)</f>
        <v>2.8871243566995577E-2</v>
      </c>
      <c r="J64" s="53">
        <f>VLOOKUP(B64,Motor!$A:$D,4,)</f>
        <v>7.1336610486891383E-2</v>
      </c>
      <c r="K64" s="52">
        <f>VLOOKUP(B64,'Non Store Retail'!$A:$D,3,)</f>
        <v>5.6728995125712557E-3</v>
      </c>
      <c r="L64" s="53">
        <f>VLOOKUP(B64,'Non Store Retail'!$A:$D,4,)</f>
        <v>0.12729199678966105</v>
      </c>
      <c r="M64" s="52">
        <f>VLOOKUP(B64,'Food and Beverage'!$A:$D,3,)</f>
        <v>4.4195117009421534E-3</v>
      </c>
      <c r="N64" s="52">
        <f>VLOOKUP(B64,'Food and Beverage'!$A:$D,4,)</f>
        <v>7.0621583316460818E-2</v>
      </c>
      <c r="O64" s="52">
        <f>VLOOKUP(B64,'Food Services'!$A:$D,3,)</f>
        <v>2.4538221419015654E-2</v>
      </c>
      <c r="P64" s="53">
        <f>VLOOKUP(B64,'Food Services'!$A:$D,4,)</f>
        <v>0.12558661234593368</v>
      </c>
      <c r="Q64" s="52">
        <f>VLOOKUP(B64,'General Merchandising'!$A:$D,3,)</f>
        <v>3.0571337928647652E-3</v>
      </c>
      <c r="R64" s="53">
        <f>VLOOKUP(B64,'General Merchandising'!$A:$D,4,)</f>
        <v>3.3336304483465549E-2</v>
      </c>
      <c r="S64" s="52">
        <f>VLOOKUP(B64,'Gas Station'!$A:$D,3,)</f>
        <v>-4.9566755346818661E-2</v>
      </c>
      <c r="T64" s="53">
        <f>VLOOKUP(B64,'Gas Station'!$A:$D,4,)</f>
        <v>0.2828084252758275</v>
      </c>
      <c r="U64" s="52">
        <f>VLOOKUP(B64,Housing!$A:$D,3,)</f>
        <v>1.6832171279667581E-2</v>
      </c>
      <c r="V64" s="53">
        <f>VLOOKUP(B64,Housing!$A:$D,4,)</f>
        <v>0.11309845038933004</v>
      </c>
      <c r="W64" s="52">
        <f>VLOOKUP(B64,Health!$A:$D,3,)</f>
        <v>2.3780505930263667E-4</v>
      </c>
      <c r="X64" s="53">
        <f>VLOOKUP(B64,Health!$A:$D,4,)</f>
        <v>2.5915424250739352E-2</v>
      </c>
      <c r="Y64" s="52">
        <f>VLOOKUP(B64,'Clothing and clothing access'!$A:$D,3,)</f>
        <v>9.8883695778129704E-3</v>
      </c>
      <c r="Z64" s="53">
        <f>VLOOKUP(B64,'Clothing and clothing access'!$A:$D,4,)</f>
        <v>5.1097531559057649E-2</v>
      </c>
      <c r="AA64" s="52">
        <f>VLOOKUP(B64,'Furniture Home'!$A:$D,3,)</f>
        <v>-3.5816618911174787E-3</v>
      </c>
      <c r="AB64" s="53">
        <f>VLOOKUP(B64,'Furniture Home'!$A:$D,4,)</f>
        <v>-2.0816572807723251E-2</v>
      </c>
      <c r="AC64" s="52">
        <f>VLOOKUP(B64,'Miscellaneous stores retailers'!$A:$D,3,)</f>
        <v>2.2644357780852937E-3</v>
      </c>
      <c r="AD64" s="53">
        <f>VLOOKUP(B64,'Miscellaneous stores retailers'!$A:$D,4,)</f>
        <v>0.13223903929510411</v>
      </c>
      <c r="AE64" s="52">
        <f>VLOOKUP(B64,'Sporting Goods'!$A:$D,3,)</f>
        <v>1.0718925941966219E-2</v>
      </c>
      <c r="AF64" s="53">
        <f>VLOOKUP(B64,'Sporting Goods'!$A:$D,4,)</f>
        <v>6.067492330416998E-2</v>
      </c>
    </row>
    <row r="65" spans="2:32" x14ac:dyDescent="0.35">
      <c r="B65" s="56">
        <v>44805</v>
      </c>
      <c r="C65" s="52">
        <f>VLOOKUP(B65,'Retail Sales'!A:D,3,)</f>
        <v>-1.6727797749695561E-3</v>
      </c>
      <c r="D65" s="53">
        <f>VLOOKUP(B65,'Retail Sales'!A:D,4,)</f>
        <v>8.3879201283165727E-2</v>
      </c>
      <c r="E65" s="52">
        <f>VLOOKUP(B65,'Retail Sales ex Auto'!$A:$D,3,)</f>
        <v>-8.0532916260115934E-4</v>
      </c>
      <c r="F65" s="53">
        <f>VLOOKUP(B65,'Retail Sales ex Auto'!$A:$D,4,)</f>
        <v>9.1319585245782819E-2</v>
      </c>
      <c r="G65" s="52">
        <f>VLOOKUP(B65,'Retail Sales ex Auto and Gas'!$A:$D,3,)</f>
        <v>4.2201188035365525E-3</v>
      </c>
      <c r="H65" s="53">
        <f>VLOOKUP(B65,'Retail Sales ex Auto and Gas'!$A:$D,4,)</f>
        <v>8.0637214291320383E-2</v>
      </c>
      <c r="I65" s="52">
        <f>VLOOKUP(B65,Motor!$A:$D,3,)</f>
        <v>-5.4467846022988866E-3</v>
      </c>
      <c r="J65" s="53">
        <f>VLOOKUP(B65,Motor!$A:$D,4,)</f>
        <v>5.251379116704654E-2</v>
      </c>
      <c r="K65" s="52">
        <f>VLOOKUP(B65,'Non Store Retail'!$A:$D,3,)</f>
        <v>-1.3417672992141077E-3</v>
      </c>
      <c r="L65" s="53">
        <f>VLOOKUP(B65,'Non Store Retail'!$A:$D,4,)</f>
        <v>0.12015480066343141</v>
      </c>
      <c r="M65" s="52">
        <f>VLOOKUP(B65,'Food and Beverage'!$A:$D,3,)</f>
        <v>8.4092943505175433E-3</v>
      </c>
      <c r="N65" s="52">
        <f>VLOOKUP(B65,'Food and Beverage'!$A:$D,4,)</f>
        <v>7.0807952339514021E-2</v>
      </c>
      <c r="O65" s="52">
        <f>VLOOKUP(B65,'Food Services'!$A:$D,3,)</f>
        <v>1.0205601053776988E-2</v>
      </c>
      <c r="P65" s="53">
        <f>VLOOKUP(B65,'Food Services'!$A:$D,4,)</f>
        <v>0.12655834866135296</v>
      </c>
      <c r="Q65" s="52">
        <f>VLOOKUP(B65,'General Merchandising'!$A:$D,3,)</f>
        <v>1.1285545875384571E-2</v>
      </c>
      <c r="R65" s="53">
        <f>VLOOKUP(B65,'General Merchandising'!$A:$D,4,)</f>
        <v>4.1485912260700905E-2</v>
      </c>
      <c r="S65" s="52">
        <f>VLOOKUP(B65,'Gas Station'!$A:$D,3,)</f>
        <v>-3.9594670669919306E-2</v>
      </c>
      <c r="T65" s="53">
        <f>VLOOKUP(B65,'Gas Station'!$A:$D,4,)</f>
        <v>0.18593469403518256</v>
      </c>
      <c r="U65" s="52">
        <f>VLOOKUP(B65,Housing!$A:$D,3,)</f>
        <v>-7.2493881885764416E-3</v>
      </c>
      <c r="V65" s="53">
        <f>VLOOKUP(B65,Housing!$A:$D,4,)</f>
        <v>9.5234456585415558E-2</v>
      </c>
      <c r="W65" s="52">
        <f>VLOOKUP(B65,Health!$A:$D,3,)</f>
        <v>8.4103539481113852E-3</v>
      </c>
      <c r="X65" s="53">
        <f>VLOOKUP(B65,Health!$A:$D,4,)</f>
        <v>4.0507804115175863E-2</v>
      </c>
      <c r="Y65" s="52">
        <f>VLOOKUP(B65,'Clothing and clothing access'!$A:$D,3,)</f>
        <v>9.8680436029833628E-3</v>
      </c>
      <c r="Z65" s="53">
        <f>VLOOKUP(B65,'Clothing and clothing access'!$A:$D,4,)</f>
        <v>4.5083913869537681E-2</v>
      </c>
      <c r="AA65" s="52">
        <f>VLOOKUP(B65,'Furniture Home'!$A:$D,3,)</f>
        <v>-1.8383485673205299E-2</v>
      </c>
      <c r="AB65" s="53">
        <f>VLOOKUP(B65,'Furniture Home'!$A:$D,4,)</f>
        <v>-4.6250561293219576E-2</v>
      </c>
      <c r="AC65" s="52">
        <f>VLOOKUP(B65,'Miscellaneous stores retailers'!$A:$D,3,)</f>
        <v>3.6400150621312918E-3</v>
      </c>
      <c r="AD65" s="53">
        <f>VLOOKUP(B65,'Miscellaneous stores retailers'!$A:$D,4,)</f>
        <v>0.11032423800597098</v>
      </c>
      <c r="AE65" s="52">
        <f>VLOOKUP(B65,'Sporting Goods'!$A:$D,3,)</f>
        <v>-4.2849491162292447E-3</v>
      </c>
      <c r="AF65" s="53">
        <f>VLOOKUP(B65,'Sporting Goods'!$A:$D,4,)</f>
        <v>4.3912848158131179E-2</v>
      </c>
    </row>
    <row r="66" spans="2:32" x14ac:dyDescent="0.35">
      <c r="B66" s="56">
        <v>44835</v>
      </c>
      <c r="C66" s="52">
        <f>VLOOKUP(B66,'Retail Sales'!A:D,3,)</f>
        <v>1.3065746532697965E-2</v>
      </c>
      <c r="D66" s="53">
        <f>VLOOKUP(B66,'Retail Sales'!A:D,4,)</f>
        <v>8.2679181420212203E-2</v>
      </c>
      <c r="E66" s="52">
        <f>VLOOKUP(B66,'Retail Sales ex Auto'!$A:$D,3,)</f>
        <v>1.2409192819074938E-2</v>
      </c>
      <c r="F66" s="53">
        <f>VLOOKUP(B66,'Retail Sales ex Auto'!$A:$D,4,)</f>
        <v>8.9166845297753886E-2</v>
      </c>
      <c r="G66" s="52">
        <f>VLOOKUP(B66,'Retail Sales ex Auto and Gas'!$A:$D,3,)</f>
        <v>7.9629431618956931E-3</v>
      </c>
      <c r="H66" s="53">
        <f>VLOOKUP(B66,'Retail Sales ex Auto and Gas'!$A:$D,4,)</f>
        <v>7.7610620423393409E-2</v>
      </c>
      <c r="I66" s="52">
        <f>VLOOKUP(B66,Motor!$A:$D,3,)</f>
        <v>1.5935536009917536E-2</v>
      </c>
      <c r="J66" s="53">
        <f>VLOOKUP(B66,Motor!$A:$D,4,)</f>
        <v>5.5298825562157185E-2</v>
      </c>
      <c r="K66" s="52">
        <f>VLOOKUP(B66,'Non Store Retail'!$A:$D,3,)</f>
        <v>6.5259117082533593E-3</v>
      </c>
      <c r="L66" s="53">
        <f>VLOOKUP(B66,'Non Store Retail'!$A:$D,4,)</f>
        <v>0.10261827284105131</v>
      </c>
      <c r="M66" s="52">
        <f>VLOOKUP(B66,'Food and Beverage'!$A:$D,3,)</f>
        <v>1.2815063012602521E-2</v>
      </c>
      <c r="N66" s="52">
        <f>VLOOKUP(B66,'Food and Beverage'!$A:$D,4,)</f>
        <v>7.5374016009345415E-2</v>
      </c>
      <c r="O66" s="52">
        <f>VLOOKUP(B66,'Food Services'!$A:$D,3,)</f>
        <v>1.6066488276112297E-2</v>
      </c>
      <c r="P66" s="53">
        <f>VLOOKUP(B66,'Food Services'!$A:$D,4,)</f>
        <v>0.14230901604864307</v>
      </c>
      <c r="Q66" s="52">
        <f>VLOOKUP(B66,'General Merchandising'!$A:$D,3,)</f>
        <v>-2.8147790114154926E-3</v>
      </c>
      <c r="R66" s="53">
        <f>VLOOKUP(B66,'General Merchandising'!$A:$D,4,)</f>
        <v>2.6667447272514379E-2</v>
      </c>
      <c r="S66" s="52">
        <f>VLOOKUP(B66,'Gas Station'!$A:$D,3,)</f>
        <v>4.8293604272502282E-2</v>
      </c>
      <c r="T66" s="53">
        <f>VLOOKUP(B66,'Gas Station'!$A:$D,4,)</f>
        <v>0.18803513433717153</v>
      </c>
      <c r="U66" s="52">
        <f>VLOOKUP(B66,Housing!$A:$D,3,)</f>
        <v>1.3441860465116279E-2</v>
      </c>
      <c r="V66" s="53">
        <f>VLOOKUP(B66,Housing!$A:$D,4,)</f>
        <v>9.2317332999122703E-2</v>
      </c>
      <c r="W66" s="52">
        <f>VLOOKUP(B66,Health!$A:$D,3,)</f>
        <v>-1.1788282447247436E-4</v>
      </c>
      <c r="X66" s="53">
        <f>VLOOKUP(B66,Health!$A:$D,4,)</f>
        <v>4.5740352607569965E-2</v>
      </c>
      <c r="Y66" s="52">
        <f>VLOOKUP(B66,'Clothing and clothing access'!$A:$D,3,)</f>
        <v>2.2724690376093625E-4</v>
      </c>
      <c r="Z66" s="53">
        <f>VLOOKUP(B66,'Clothing and clothing access'!$A:$D,4,)</f>
        <v>3.8906372934697092E-2</v>
      </c>
      <c r="AA66" s="52">
        <f>VLOOKUP(B66,'Furniture Home'!$A:$D,3,)</f>
        <v>8.5268884703912952E-3</v>
      </c>
      <c r="AB66" s="53">
        <f>VLOOKUP(B66,'Furniture Home'!$A:$D,4,)</f>
        <v>-5.1603699330972058E-2</v>
      </c>
      <c r="AC66" s="52">
        <f>VLOOKUP(B66,'Miscellaneous stores retailers'!$A:$D,3,)</f>
        <v>1.150575287643822E-2</v>
      </c>
      <c r="AD66" s="53">
        <f>VLOOKUP(B66,'Miscellaneous stores retailers'!$A:$D,4,)</f>
        <v>0.10673234811165845</v>
      </c>
      <c r="AE66" s="52">
        <f>VLOOKUP(B66,'Sporting Goods'!$A:$D,3,)</f>
        <v>6.6702528240989781E-3</v>
      </c>
      <c r="AF66" s="53">
        <f>VLOOKUP(B66,'Sporting Goods'!$A:$D,4,)</f>
        <v>4.5007817735090459E-2</v>
      </c>
    </row>
    <row r="67" spans="2:32" x14ac:dyDescent="0.35">
      <c r="B67" s="56">
        <v>44866</v>
      </c>
      <c r="C67" s="52">
        <f>VLOOKUP(B67,'Retail Sales'!A:D,3,)</f>
        <v>-5.8242319195018757E-3</v>
      </c>
      <c r="D67" s="53">
        <f>VLOOKUP(B67,'Retail Sales'!A:D,4,)</f>
        <v>6.4750523539186672E-2</v>
      </c>
      <c r="E67" s="52">
        <f>VLOOKUP(B67,'Retail Sales ex Auto'!$A:$D,3,)</f>
        <v>-1.8953900709219858E-3</v>
      </c>
      <c r="F67" s="53">
        <f>VLOOKUP(B67,'Retail Sales ex Auto'!$A:$D,4,)</f>
        <v>7.719229760941157E-2</v>
      </c>
      <c r="G67" s="52">
        <f>VLOOKUP(B67,'Retail Sales ex Auto and Gas'!$A:$D,3,)</f>
        <v>-2.0615750433331066E-3</v>
      </c>
      <c r="H67" s="53">
        <f>VLOOKUP(B67,'Retail Sales ex Auto and Gas'!$A:$D,4,)</f>
        <v>6.7169514090144392E-2</v>
      </c>
      <c r="I67" s="52">
        <f>VLOOKUP(B67,Motor!$A:$D,3,)</f>
        <v>-2.2937551165412955E-2</v>
      </c>
      <c r="J67" s="53">
        <f>VLOOKUP(B67,Motor!$A:$D,4,)</f>
        <v>1.2703622173303982E-2</v>
      </c>
      <c r="K67" s="52">
        <f>VLOOKUP(B67,'Non Store Retail'!$A:$D,3,)</f>
        <v>-9.4438996040826697E-3</v>
      </c>
      <c r="L67" s="53">
        <f>VLOOKUP(B67,'Non Store Retail'!$A:$D,4,)</f>
        <v>7.7213252357675399E-2</v>
      </c>
      <c r="M67" s="52">
        <f>VLOOKUP(B67,'Food and Beverage'!$A:$D,3,)</f>
        <v>7.6411262946092413E-3</v>
      </c>
      <c r="N67" s="52">
        <f>VLOOKUP(B67,'Food and Beverage'!$A:$D,4,)</f>
        <v>8.0593063277733648E-2</v>
      </c>
      <c r="O67" s="52">
        <f>VLOOKUP(B67,'Food Services'!$A:$D,3,)</f>
        <v>8.6817760815953039E-3</v>
      </c>
      <c r="P67" s="53">
        <f>VLOOKUP(B67,'Food Services'!$A:$D,4,)</f>
        <v>0.14104117751016182</v>
      </c>
      <c r="Q67" s="52">
        <f>VLOOKUP(B67,'General Merchandising'!$A:$D,3,)</f>
        <v>-1.0692137714733766E-3</v>
      </c>
      <c r="R67" s="53">
        <f>VLOOKUP(B67,'General Merchandising'!$A:$D,4,)</f>
        <v>2.8792083278274531E-2</v>
      </c>
      <c r="S67" s="52">
        <f>VLOOKUP(B67,'Gas Station'!$A:$D,3,)</f>
        <v>-6.0575937373800125E-4</v>
      </c>
      <c r="T67" s="53">
        <f>VLOOKUP(B67,'Gas Station'!$A:$D,4,)</f>
        <v>0.16174054346844813</v>
      </c>
      <c r="U67" s="52">
        <f>VLOOKUP(B67,Housing!$A:$D,3,)</f>
        <v>-2.5081463123594473E-2</v>
      </c>
      <c r="V67" s="53">
        <f>VLOOKUP(B67,Housing!$A:$D,4,)</f>
        <v>3.5815291593524479E-2</v>
      </c>
      <c r="W67" s="52">
        <f>VLOOKUP(B67,Health!$A:$D,3,)</f>
        <v>7.0738033482669179E-3</v>
      </c>
      <c r="X67" s="53">
        <f>VLOOKUP(B67,Health!$A:$D,4,)</f>
        <v>4.5084725025998654E-2</v>
      </c>
      <c r="Y67" s="52">
        <f>VLOOKUP(B67,'Clothing and clothing access'!$A:$D,3,)</f>
        <v>-2.1204892271574085E-3</v>
      </c>
      <c r="Z67" s="53">
        <f>VLOOKUP(B67,'Clothing and clothing access'!$A:$D,4,)</f>
        <v>7.1851710300019113E-3</v>
      </c>
      <c r="AA67" s="52">
        <f>VLOOKUP(B67,'Furniture Home'!$A:$D,3,)</f>
        <v>-2.1889102131853314E-2</v>
      </c>
      <c r="AB67" s="53">
        <f>VLOOKUP(B67,'Furniture Home'!$A:$D,4,)</f>
        <v>-3.6433316300459886E-2</v>
      </c>
      <c r="AC67" s="52">
        <f>VLOOKUP(B67,'Miscellaneous stores retailers'!$A:$D,3,)</f>
        <v>4.5128585558852621E-3</v>
      </c>
      <c r="AD67" s="53">
        <f>VLOOKUP(B67,'Miscellaneous stores retailers'!$A:$D,4,)</f>
        <v>0.12116194024701581</v>
      </c>
      <c r="AE67" s="52">
        <f>VLOOKUP(B67,'Sporting Goods'!$A:$D,3,)</f>
        <v>-5.7710804745110611E-3</v>
      </c>
      <c r="AF67" s="53">
        <f>VLOOKUP(B67,'Sporting Goods'!$A:$D,4,)</f>
        <v>1.8279334500875658E-2</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7">
    <cfRule type="colorScale" priority="243">
      <colorScale>
        <cfvo type="min"/>
        <cfvo type="percentile" val="50"/>
        <cfvo type="max"/>
        <color rgb="FFF8696B"/>
        <color rgb="FFFFEB84"/>
        <color rgb="FF63BE7B"/>
      </colorScale>
    </cfRule>
  </conditionalFormatting>
  <conditionalFormatting sqref="D4:D67">
    <cfRule type="colorScale" priority="244">
      <colorScale>
        <cfvo type="min"/>
        <cfvo type="percentile" val="50"/>
        <cfvo type="max"/>
        <color rgb="FFF8696B"/>
        <color rgb="FFFFEB84"/>
        <color rgb="FF63BE7B"/>
      </colorScale>
    </cfRule>
  </conditionalFormatting>
  <conditionalFormatting sqref="E4:E67">
    <cfRule type="colorScale" priority="245">
      <colorScale>
        <cfvo type="min"/>
        <cfvo type="percentile" val="50"/>
        <cfvo type="max"/>
        <color rgb="FFF8696B"/>
        <color rgb="FFFFEB84"/>
        <color rgb="FF63BE7B"/>
      </colorScale>
    </cfRule>
  </conditionalFormatting>
  <conditionalFormatting sqref="F4:F67">
    <cfRule type="colorScale" priority="246">
      <colorScale>
        <cfvo type="min"/>
        <cfvo type="percentile" val="50"/>
        <cfvo type="max"/>
        <color rgb="FFF8696B"/>
        <color rgb="FFFFEB84"/>
        <color rgb="FF63BE7B"/>
      </colorScale>
    </cfRule>
  </conditionalFormatting>
  <conditionalFormatting sqref="G4:G67">
    <cfRule type="colorScale" priority="247">
      <colorScale>
        <cfvo type="min"/>
        <cfvo type="percentile" val="50"/>
        <cfvo type="max"/>
        <color rgb="FFF8696B"/>
        <color rgb="FFFFEB84"/>
        <color rgb="FF63BE7B"/>
      </colorScale>
    </cfRule>
  </conditionalFormatting>
  <conditionalFormatting sqref="H4:H67">
    <cfRule type="colorScale" priority="248">
      <colorScale>
        <cfvo type="min"/>
        <cfvo type="percentile" val="50"/>
        <cfvo type="max"/>
        <color rgb="FFF8696B"/>
        <color rgb="FFFFEB84"/>
        <color rgb="FF63BE7B"/>
      </colorScale>
    </cfRule>
  </conditionalFormatting>
  <conditionalFormatting sqref="I4:I67">
    <cfRule type="colorScale" priority="249">
      <colorScale>
        <cfvo type="min"/>
        <cfvo type="percentile" val="50"/>
        <cfvo type="max"/>
        <color rgb="FFF8696B"/>
        <color rgb="FFFFEB84"/>
        <color rgb="FF63BE7B"/>
      </colorScale>
    </cfRule>
  </conditionalFormatting>
  <conditionalFormatting sqref="J4:J67">
    <cfRule type="colorScale" priority="250">
      <colorScale>
        <cfvo type="min"/>
        <cfvo type="percentile" val="50"/>
        <cfvo type="max"/>
        <color rgb="FFF8696B"/>
        <color rgb="FFFFEB84"/>
        <color rgb="FF63BE7B"/>
      </colorScale>
    </cfRule>
  </conditionalFormatting>
  <conditionalFormatting sqref="K4:K67">
    <cfRule type="colorScale" priority="251">
      <colorScale>
        <cfvo type="min"/>
        <cfvo type="percentile" val="50"/>
        <cfvo type="max"/>
        <color rgb="FFF8696B"/>
        <color rgb="FFFFEB84"/>
        <color rgb="FF63BE7B"/>
      </colorScale>
    </cfRule>
  </conditionalFormatting>
  <conditionalFormatting sqref="L4:L67">
    <cfRule type="colorScale" priority="252">
      <colorScale>
        <cfvo type="min"/>
        <cfvo type="percentile" val="50"/>
        <cfvo type="max"/>
        <color rgb="FFF8696B"/>
        <color rgb="FFFFEB84"/>
        <color rgb="FF63BE7B"/>
      </colorScale>
    </cfRule>
  </conditionalFormatting>
  <conditionalFormatting sqref="M4:M67">
    <cfRule type="colorScale" priority="253">
      <colorScale>
        <cfvo type="min"/>
        <cfvo type="percentile" val="50"/>
        <cfvo type="max"/>
        <color rgb="FFF8696B"/>
        <color rgb="FFFFEB84"/>
        <color rgb="FF63BE7B"/>
      </colorScale>
    </cfRule>
  </conditionalFormatting>
  <conditionalFormatting sqref="O4:O67">
    <cfRule type="colorScale" priority="254">
      <colorScale>
        <cfvo type="min"/>
        <cfvo type="percentile" val="50"/>
        <cfvo type="max"/>
        <color rgb="FFF8696B"/>
        <color rgb="FFFFEB84"/>
        <color rgb="FF63BE7B"/>
      </colorScale>
    </cfRule>
  </conditionalFormatting>
  <conditionalFormatting sqref="P4:P67">
    <cfRule type="colorScale" priority="255">
      <colorScale>
        <cfvo type="min"/>
        <cfvo type="percentile" val="50"/>
        <cfvo type="max"/>
        <color rgb="FFF8696B"/>
        <color rgb="FFFFEB84"/>
        <color rgb="FF63BE7B"/>
      </colorScale>
    </cfRule>
  </conditionalFormatting>
  <conditionalFormatting sqref="Q4:Q67">
    <cfRule type="colorScale" priority="256">
      <colorScale>
        <cfvo type="min"/>
        <cfvo type="percentile" val="50"/>
        <cfvo type="max"/>
        <color rgb="FFF8696B"/>
        <color rgb="FFFFEB84"/>
        <color rgb="FF63BE7B"/>
      </colorScale>
    </cfRule>
  </conditionalFormatting>
  <conditionalFormatting sqref="R4:R67">
    <cfRule type="colorScale" priority="257">
      <colorScale>
        <cfvo type="min"/>
        <cfvo type="percentile" val="50"/>
        <cfvo type="max"/>
        <color rgb="FFF8696B"/>
        <color rgb="FFFFEB84"/>
        <color rgb="FF63BE7B"/>
      </colorScale>
    </cfRule>
  </conditionalFormatting>
  <conditionalFormatting sqref="S4:S67">
    <cfRule type="colorScale" priority="258">
      <colorScale>
        <cfvo type="min"/>
        <cfvo type="percentile" val="50"/>
        <cfvo type="max"/>
        <color rgb="FFF8696B"/>
        <color rgb="FFFFEB84"/>
        <color rgb="FF63BE7B"/>
      </colorScale>
    </cfRule>
  </conditionalFormatting>
  <conditionalFormatting sqref="T4:T67">
    <cfRule type="colorScale" priority="259">
      <colorScale>
        <cfvo type="min"/>
        <cfvo type="percentile" val="50"/>
        <cfvo type="max"/>
        <color rgb="FFF8696B"/>
        <color rgb="FFFFEB84"/>
        <color rgb="FF63BE7B"/>
      </colorScale>
    </cfRule>
  </conditionalFormatting>
  <conditionalFormatting sqref="U4:U67">
    <cfRule type="colorScale" priority="260">
      <colorScale>
        <cfvo type="min"/>
        <cfvo type="percentile" val="50"/>
        <cfvo type="max"/>
        <color rgb="FFF8696B"/>
        <color rgb="FFFFEB84"/>
        <color rgb="FF63BE7B"/>
      </colorScale>
    </cfRule>
  </conditionalFormatting>
  <conditionalFormatting sqref="V4:V67">
    <cfRule type="colorScale" priority="261">
      <colorScale>
        <cfvo type="min"/>
        <cfvo type="percentile" val="50"/>
        <cfvo type="max"/>
        <color rgb="FFF8696B"/>
        <color rgb="FFFFEB84"/>
        <color rgb="FF63BE7B"/>
      </colorScale>
    </cfRule>
  </conditionalFormatting>
  <conditionalFormatting sqref="W4:W67">
    <cfRule type="colorScale" priority="262">
      <colorScale>
        <cfvo type="min"/>
        <cfvo type="percentile" val="50"/>
        <cfvo type="max"/>
        <color rgb="FFF8696B"/>
        <color rgb="FFFFEB84"/>
        <color rgb="FF63BE7B"/>
      </colorScale>
    </cfRule>
  </conditionalFormatting>
  <conditionalFormatting sqref="X4:X67">
    <cfRule type="colorScale" priority="265">
      <colorScale>
        <cfvo type="min"/>
        <cfvo type="percentile" val="50"/>
        <cfvo type="max"/>
        <color rgb="FFF8696B"/>
        <color rgb="FFFFEB84"/>
        <color rgb="FF63BE7B"/>
      </colorScale>
    </cfRule>
  </conditionalFormatting>
  <conditionalFormatting sqref="Y4:Y67">
    <cfRule type="colorScale" priority="268">
      <colorScale>
        <cfvo type="min"/>
        <cfvo type="percentile" val="50"/>
        <cfvo type="max"/>
        <color rgb="FFF8696B"/>
        <color rgb="FFFFEB84"/>
        <color rgb="FF63BE7B"/>
      </colorScale>
    </cfRule>
  </conditionalFormatting>
  <conditionalFormatting sqref="Z4:Z67">
    <cfRule type="colorScale" priority="269">
      <colorScale>
        <cfvo type="min"/>
        <cfvo type="percentile" val="50"/>
        <cfvo type="max"/>
        <color rgb="FFF8696B"/>
        <color rgb="FFFFEB84"/>
        <color rgb="FF63BE7B"/>
      </colorScale>
    </cfRule>
  </conditionalFormatting>
  <conditionalFormatting sqref="AA4:AA67">
    <cfRule type="colorScale" priority="270">
      <colorScale>
        <cfvo type="min"/>
        <cfvo type="percentile" val="50"/>
        <cfvo type="max"/>
        <color rgb="FFF8696B"/>
        <color rgb="FFFFEB84"/>
        <color rgb="FF63BE7B"/>
      </colorScale>
    </cfRule>
  </conditionalFormatting>
  <conditionalFormatting sqref="AB4:AB67">
    <cfRule type="colorScale" priority="271">
      <colorScale>
        <cfvo type="min"/>
        <cfvo type="percentile" val="50"/>
        <cfvo type="max"/>
        <color rgb="FFF8696B"/>
        <color rgb="FFFFEB84"/>
        <color rgb="FF63BE7B"/>
      </colorScale>
    </cfRule>
  </conditionalFormatting>
  <conditionalFormatting sqref="AC4:AC67">
    <cfRule type="colorScale" priority="272">
      <colorScale>
        <cfvo type="min"/>
        <cfvo type="percentile" val="50"/>
        <cfvo type="max"/>
        <color rgb="FFF8696B"/>
        <color rgb="FFFFEB84"/>
        <color rgb="FF63BE7B"/>
      </colorScale>
    </cfRule>
  </conditionalFormatting>
  <conditionalFormatting sqref="AD4:AD67">
    <cfRule type="colorScale" priority="273">
      <colorScale>
        <cfvo type="min"/>
        <cfvo type="percentile" val="50"/>
        <cfvo type="max"/>
        <color rgb="FFF8696B"/>
        <color rgb="FFFFEB84"/>
        <color rgb="FF63BE7B"/>
      </colorScale>
    </cfRule>
  </conditionalFormatting>
  <conditionalFormatting sqref="AE4:AE67">
    <cfRule type="colorScale" priority="274">
      <colorScale>
        <cfvo type="min"/>
        <cfvo type="percentile" val="50"/>
        <cfvo type="max"/>
        <color rgb="FFF8696B"/>
        <color rgb="FFFFEB84"/>
        <color rgb="FF63BE7B"/>
      </colorScale>
    </cfRule>
  </conditionalFormatting>
  <conditionalFormatting sqref="AF4:AF67">
    <cfRule type="colorScale" priority="275">
      <colorScale>
        <cfvo type="min"/>
        <cfvo type="percentile" val="50"/>
        <cfvo type="max"/>
        <color rgb="FFF8696B"/>
        <color rgb="FFFFEB84"/>
        <color rgb="FF63BE7B"/>
      </colorScale>
    </cfRule>
  </conditionalFormatting>
  <conditionalFormatting sqref="N4:N6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4"/>
  <sheetViews>
    <sheetView zoomScale="140" zoomScaleNormal="140" workbookViewId="0">
      <pane ySplit="6" topLeftCell="A361" activePane="bottomLeft" state="frozen"/>
      <selection pane="bottomLeft" activeCell="X369" sqref="X369"/>
    </sheetView>
  </sheetViews>
  <sheetFormatPr defaultColWidth="8.81640625" defaultRowHeight="14.5" x14ac:dyDescent="0.35"/>
  <cols>
    <col min="1" max="1" width="14" customWidth="1"/>
    <col min="2" max="2" width="17.6328125" customWidth="1"/>
    <col min="3" max="3" width="14.36328125" customWidth="1"/>
    <col min="4" max="4" width="14.1796875" customWidth="1"/>
    <col min="5" max="53" width="9.1796875" style="109" customWidth="1"/>
  </cols>
  <sheetData>
    <row r="1" spans="1:13" s="109" customFormat="1" x14ac:dyDescent="0.35">
      <c r="A1" s="26" t="s">
        <v>50</v>
      </c>
      <c r="B1" s="27" t="s">
        <v>83</v>
      </c>
      <c r="I1" s="21"/>
      <c r="J1" s="21"/>
      <c r="L1" s="109" t="s">
        <v>12</v>
      </c>
      <c r="M1" s="109" t="s">
        <v>13</v>
      </c>
    </row>
    <row r="2" spans="1:13" s="109" customFormat="1" x14ac:dyDescent="0.35">
      <c r="A2" s="110" t="s">
        <v>84</v>
      </c>
      <c r="I2" s="21"/>
      <c r="J2" s="21"/>
      <c r="L2" s="28">
        <f>MAX(C8:C335)</f>
        <v>2.312135511730401E-2</v>
      </c>
      <c r="M2" s="28">
        <f>MAX(D8:D335)</f>
        <v>8.4068563615054048E-2</v>
      </c>
    </row>
    <row r="3" spans="1:13" s="109" customFormat="1" x14ac:dyDescent="0.35">
      <c r="A3" s="110"/>
      <c r="I3" s="21"/>
      <c r="J3" s="21"/>
      <c r="L3" s="28">
        <f>MIN(C8:C335)</f>
        <v>-2.0234938312826131E-2</v>
      </c>
      <c r="M3" s="28">
        <f>MIN(D8:D335)</f>
        <v>-5.3538669132919936E-2</v>
      </c>
    </row>
    <row r="4" spans="1:13" s="109" customFormat="1" x14ac:dyDescent="0.35">
      <c r="A4" s="110"/>
      <c r="I4" s="21"/>
      <c r="J4" s="21"/>
      <c r="L4" s="28"/>
      <c r="M4" s="28"/>
    </row>
    <row r="5" spans="1:13" s="109" customFormat="1" x14ac:dyDescent="0.35">
      <c r="C5" s="109" t="s">
        <v>85</v>
      </c>
      <c r="D5" s="109" t="s">
        <v>86</v>
      </c>
      <c r="I5" s="21"/>
      <c r="J5" s="21"/>
    </row>
    <row r="6" spans="1:13" x14ac:dyDescent="0.35">
      <c r="A6" s="76" t="s">
        <v>82</v>
      </c>
      <c r="B6" s="76" t="s">
        <v>87</v>
      </c>
      <c r="C6" s="77" t="s">
        <v>12</v>
      </c>
      <c r="D6" s="77" t="s">
        <v>13</v>
      </c>
      <c r="I6" s="21"/>
      <c r="J6" s="21"/>
    </row>
    <row r="7" spans="1:13" x14ac:dyDescent="0.35">
      <c r="A7" s="10">
        <v>33604</v>
      </c>
      <c r="B7" s="15">
        <f>VLOOKUP(A7,Database!A:M,MATCH($A$1,Database!$A$1:$M$1,),)</f>
        <v>117814</v>
      </c>
      <c r="C7" s="1"/>
      <c r="D7" s="1"/>
    </row>
    <row r="8" spans="1:13" x14ac:dyDescent="0.35">
      <c r="A8" s="11">
        <v>33635</v>
      </c>
      <c r="B8" s="15">
        <f>VLOOKUP(A8,Database!A:M,MATCH($A$1,Database!$A$1:$M$1,),)</f>
        <v>117795</v>
      </c>
      <c r="C8" s="12">
        <f t="shared" ref="C8:C71" si="0">(B8-B7)/B7</f>
        <v>-1.612711562293106E-4</v>
      </c>
      <c r="D8" s="1"/>
    </row>
    <row r="9" spans="1:13" x14ac:dyDescent="0.35">
      <c r="A9" s="10">
        <v>33664</v>
      </c>
      <c r="B9" s="15">
        <f>VLOOKUP(A9,Database!A:M,MATCH($A$1,Database!$A$1:$M$1,),)</f>
        <v>117746</v>
      </c>
      <c r="C9" s="12">
        <f t="shared" si="0"/>
        <v>-4.1597690903688611E-4</v>
      </c>
      <c r="D9" s="1"/>
    </row>
    <row r="10" spans="1:13" x14ac:dyDescent="0.35">
      <c r="A10" s="11">
        <v>33695</v>
      </c>
      <c r="B10" s="15">
        <f>VLOOKUP(A10,Database!A:M,MATCH($A$1,Database!$A$1:$M$1,),)</f>
        <v>118223</v>
      </c>
      <c r="C10" s="12">
        <f t="shared" si="0"/>
        <v>4.0510930307611302E-3</v>
      </c>
      <c r="D10" s="1"/>
    </row>
    <row r="11" spans="1:13" x14ac:dyDescent="0.35">
      <c r="A11" s="10">
        <v>33725</v>
      </c>
      <c r="B11" s="15">
        <f>VLOOKUP(A11,Database!A:M,MATCH($A$1,Database!$A$1:$M$1,),)</f>
        <v>118385</v>
      </c>
      <c r="C11" s="12">
        <f t="shared" si="0"/>
        <v>1.3702917368024834E-3</v>
      </c>
      <c r="D11" s="1"/>
    </row>
    <row r="12" spans="1:13" x14ac:dyDescent="0.35">
      <c r="A12" s="11">
        <v>33756</v>
      </c>
      <c r="B12" s="15">
        <f>VLOOKUP(A12,Database!A:M,MATCH($A$1,Database!$A$1:$M$1,),)</f>
        <v>118410</v>
      </c>
      <c r="C12" s="12">
        <f t="shared" si="0"/>
        <v>2.1117540228914137E-4</v>
      </c>
      <c r="D12" s="1"/>
    </row>
    <row r="13" spans="1:13" x14ac:dyDescent="0.35">
      <c r="A13" s="10">
        <v>33786</v>
      </c>
      <c r="B13" s="15">
        <f>VLOOKUP(A13,Database!A:M,MATCH($A$1,Database!$A$1:$M$1,),)</f>
        <v>119092</v>
      </c>
      <c r="C13" s="12">
        <f t="shared" si="0"/>
        <v>5.7596486783210877E-3</v>
      </c>
      <c r="D13" s="1"/>
    </row>
    <row r="14" spans="1:13" x14ac:dyDescent="0.35">
      <c r="A14" s="11">
        <v>33817</v>
      </c>
      <c r="B14" s="15">
        <f>VLOOKUP(A14,Database!A:M,MATCH($A$1,Database!$A$1:$M$1,),)</f>
        <v>120123</v>
      </c>
      <c r="C14" s="12">
        <f t="shared" si="0"/>
        <v>8.6571726060524629E-3</v>
      </c>
      <c r="D14" s="1"/>
    </row>
    <row r="15" spans="1:13" x14ac:dyDescent="0.35">
      <c r="A15" s="10">
        <v>33848</v>
      </c>
      <c r="B15" s="15">
        <f>VLOOKUP(A15,Database!A:M,MATCH($A$1,Database!$A$1:$M$1,),)</f>
        <v>120264</v>
      </c>
      <c r="C15" s="12">
        <f t="shared" si="0"/>
        <v>1.1737968582203242E-3</v>
      </c>
      <c r="D15" s="1"/>
    </row>
    <row r="16" spans="1:13" x14ac:dyDescent="0.35">
      <c r="A16" s="11">
        <v>33878</v>
      </c>
      <c r="B16" s="15">
        <f>VLOOKUP(A16,Database!A:M,MATCH($A$1,Database!$A$1:$M$1,),)</f>
        <v>121349</v>
      </c>
      <c r="C16" s="12">
        <f t="shared" si="0"/>
        <v>9.0218186656023415E-3</v>
      </c>
      <c r="D16" s="1"/>
    </row>
    <row r="17" spans="1:4" x14ac:dyDescent="0.35">
      <c r="A17" s="10">
        <v>33909</v>
      </c>
      <c r="B17" s="15">
        <f>VLOOKUP(A17,Database!A:M,MATCH($A$1,Database!$A$1:$M$1,),)</f>
        <v>121717</v>
      </c>
      <c r="C17" s="12">
        <f t="shared" si="0"/>
        <v>3.0325754641571008E-3</v>
      </c>
      <c r="D17" s="1"/>
    </row>
    <row r="18" spans="1:4" x14ac:dyDescent="0.35">
      <c r="A18" s="11">
        <v>33939</v>
      </c>
      <c r="B18" s="15">
        <f>VLOOKUP(A18,Database!A:M,MATCH($A$1,Database!$A$1:$M$1,),)</f>
        <v>123358</v>
      </c>
      <c r="C18" s="12">
        <f t="shared" si="0"/>
        <v>1.3482093709177847E-2</v>
      </c>
      <c r="D18" s="1"/>
    </row>
    <row r="19" spans="1:4" x14ac:dyDescent="0.35">
      <c r="A19" s="10">
        <v>33970</v>
      </c>
      <c r="B19" s="15">
        <f>VLOOKUP(A19,Database!A:M,MATCH($A$1,Database!$A$1:$M$1,),)</f>
        <v>124089</v>
      </c>
      <c r="C19" s="12">
        <f t="shared" si="0"/>
        <v>5.9258418586552956E-3</v>
      </c>
      <c r="D19" s="13">
        <f t="shared" ref="D19:D82" si="1">(B19-B7)/B7</f>
        <v>5.3261921333627581E-2</v>
      </c>
    </row>
    <row r="20" spans="1:4" x14ac:dyDescent="0.35">
      <c r="A20" s="11">
        <v>34001</v>
      </c>
      <c r="B20" s="15">
        <f>VLOOKUP(A20,Database!A:M,MATCH($A$1,Database!$A$1:$M$1,),)</f>
        <v>123425</v>
      </c>
      <c r="C20" s="12">
        <f t="shared" si="0"/>
        <v>-5.3509980739630423E-3</v>
      </c>
      <c r="D20" s="13">
        <f t="shared" si="1"/>
        <v>4.7794897915870792E-2</v>
      </c>
    </row>
    <row r="21" spans="1:4" x14ac:dyDescent="0.35">
      <c r="A21" s="10">
        <v>34029</v>
      </c>
      <c r="B21" s="15">
        <f>VLOOKUP(A21,Database!A:M,MATCH($A$1,Database!$A$1:$M$1,),)</f>
        <v>122864</v>
      </c>
      <c r="C21" s="12">
        <f t="shared" si="0"/>
        <v>-4.5452704071298356E-3</v>
      </c>
      <c r="D21" s="13">
        <f t="shared" si="1"/>
        <v>4.3466444719990491E-2</v>
      </c>
    </row>
    <row r="22" spans="1:4" x14ac:dyDescent="0.35">
      <c r="A22" s="11">
        <v>34060</v>
      </c>
      <c r="B22" s="15">
        <f>VLOOKUP(A22,Database!A:M,MATCH($A$1,Database!$A$1:$M$1,),)</f>
        <v>124689</v>
      </c>
      <c r="C22" s="12">
        <f t="shared" si="0"/>
        <v>1.48538221122542E-2</v>
      </c>
      <c r="D22" s="13">
        <f t="shared" si="1"/>
        <v>5.4693249198548503E-2</v>
      </c>
    </row>
    <row r="23" spans="1:4" x14ac:dyDescent="0.35">
      <c r="A23" s="10">
        <v>34090</v>
      </c>
      <c r="B23" s="15">
        <f>VLOOKUP(A23,Database!A:M,MATCH($A$1,Database!$A$1:$M$1,),)</f>
        <v>125899</v>
      </c>
      <c r="C23" s="12">
        <f t="shared" si="0"/>
        <v>9.7041439100482001E-3</v>
      </c>
      <c r="D23" s="13">
        <f t="shared" si="1"/>
        <v>6.3470878912024326E-2</v>
      </c>
    </row>
    <row r="24" spans="1:4" x14ac:dyDescent="0.35">
      <c r="A24" s="11">
        <v>34121</v>
      </c>
      <c r="B24" s="15">
        <f>VLOOKUP(A24,Database!A:M,MATCH($A$1,Database!$A$1:$M$1,),)</f>
        <v>125804</v>
      </c>
      <c r="C24" s="12">
        <f t="shared" si="0"/>
        <v>-7.5457311019150276E-4</v>
      </c>
      <c r="D24" s="13">
        <f t="shared" si="1"/>
        <v>6.2444050333586687E-2</v>
      </c>
    </row>
    <row r="25" spans="1:4" x14ac:dyDescent="0.35">
      <c r="A25" s="10">
        <v>34151</v>
      </c>
      <c r="B25" s="15">
        <f>VLOOKUP(A25,Database!A:M,MATCH($A$1,Database!$A$1:$M$1,),)</f>
        <v>126951</v>
      </c>
      <c r="C25" s="12">
        <f t="shared" si="0"/>
        <v>9.117357158754889E-3</v>
      </c>
      <c r="D25" s="13">
        <f t="shared" si="1"/>
        <v>6.5990998555738423E-2</v>
      </c>
    </row>
    <row r="26" spans="1:4" x14ac:dyDescent="0.35">
      <c r="A26" s="11">
        <v>34182</v>
      </c>
      <c r="B26" s="15">
        <f>VLOOKUP(A26,Database!A:M,MATCH($A$1,Database!$A$1:$M$1,),)</f>
        <v>126831</v>
      </c>
      <c r="C26" s="12">
        <f t="shared" si="0"/>
        <v>-9.4524659120448051E-4</v>
      </c>
      <c r="D26" s="13">
        <f t="shared" si="1"/>
        <v>5.5842761169800956E-2</v>
      </c>
    </row>
    <row r="27" spans="1:4" x14ac:dyDescent="0.35">
      <c r="A27" s="10">
        <v>34213</v>
      </c>
      <c r="B27" s="15">
        <f>VLOOKUP(A27,Database!A:M,MATCH($A$1,Database!$A$1:$M$1,),)</f>
        <v>128154</v>
      </c>
      <c r="C27" s="12">
        <f t="shared" si="0"/>
        <v>1.0431203727795255E-2</v>
      </c>
      <c r="D27" s="13">
        <f t="shared" si="1"/>
        <v>6.560566753143085E-2</v>
      </c>
    </row>
    <row r="28" spans="1:4" x14ac:dyDescent="0.35">
      <c r="A28" s="11">
        <v>34243</v>
      </c>
      <c r="B28" s="15">
        <f>VLOOKUP(A28,Database!A:M,MATCH($A$1,Database!$A$1:$M$1,),)</f>
        <v>128272</v>
      </c>
      <c r="C28" s="12">
        <f t="shared" si="0"/>
        <v>9.2076720196014171E-4</v>
      </c>
      <c r="D28" s="13">
        <f t="shared" si="1"/>
        <v>5.7050325919455455E-2</v>
      </c>
    </row>
    <row r="29" spans="1:4" x14ac:dyDescent="0.35">
      <c r="A29" s="10">
        <v>34274</v>
      </c>
      <c r="B29" s="15">
        <f>VLOOKUP(A29,Database!A:M,MATCH($A$1,Database!$A$1:$M$1,),)</f>
        <v>128916</v>
      </c>
      <c r="C29" s="12">
        <f t="shared" si="0"/>
        <v>5.0205812648122742E-3</v>
      </c>
      <c r="D29" s="13">
        <f t="shared" si="1"/>
        <v>5.91453946449551E-2</v>
      </c>
    </row>
    <row r="30" spans="1:4" x14ac:dyDescent="0.35">
      <c r="A30" s="11">
        <v>34304</v>
      </c>
      <c r="B30" s="15">
        <f>VLOOKUP(A30,Database!A:M,MATCH($A$1,Database!$A$1:$M$1,),)</f>
        <v>129976</v>
      </c>
      <c r="C30" s="12">
        <f t="shared" si="0"/>
        <v>8.2224083899593535E-3</v>
      </c>
      <c r="D30" s="13">
        <f t="shared" si="1"/>
        <v>5.3648729713516759E-2</v>
      </c>
    </row>
    <row r="31" spans="1:4" x14ac:dyDescent="0.35">
      <c r="A31" s="10">
        <v>34335</v>
      </c>
      <c r="B31" s="15">
        <f>VLOOKUP(A31,Database!A:M,MATCH($A$1,Database!$A$1:$M$1,),)</f>
        <v>128826</v>
      </c>
      <c r="C31" s="12">
        <f t="shared" si="0"/>
        <v>-8.8477872838062417E-3</v>
      </c>
      <c r="D31" s="13">
        <f t="shared" si="1"/>
        <v>3.8174213669221288E-2</v>
      </c>
    </row>
    <row r="32" spans="1:4" x14ac:dyDescent="0.35">
      <c r="A32" s="11">
        <v>34366</v>
      </c>
      <c r="B32" s="15">
        <f>VLOOKUP(A32,Database!A:M,MATCH($A$1,Database!$A$1:$M$1,),)</f>
        <v>130514</v>
      </c>
      <c r="C32" s="12">
        <f t="shared" si="0"/>
        <v>1.3102945057674693E-2</v>
      </c>
      <c r="D32" s="13">
        <f t="shared" si="1"/>
        <v>5.7435689690095201E-2</v>
      </c>
    </row>
    <row r="33" spans="1:4" x14ac:dyDescent="0.35">
      <c r="A33" s="10">
        <v>34394</v>
      </c>
      <c r="B33" s="15">
        <f>VLOOKUP(A33,Database!A:M,MATCH($A$1,Database!$A$1:$M$1,),)</f>
        <v>133193</v>
      </c>
      <c r="C33" s="12">
        <f t="shared" si="0"/>
        <v>2.0526533551956112E-2</v>
      </c>
      <c r="D33" s="13">
        <f t="shared" si="1"/>
        <v>8.4068563615054048E-2</v>
      </c>
    </row>
    <row r="34" spans="1:4" x14ac:dyDescent="0.35">
      <c r="A34" s="11">
        <v>34425</v>
      </c>
      <c r="B34" s="15">
        <f>VLOOKUP(A34,Database!A:M,MATCH($A$1,Database!$A$1:$M$1,),)</f>
        <v>132700</v>
      </c>
      <c r="C34" s="12">
        <f t="shared" si="0"/>
        <v>-3.7013957189942414E-3</v>
      </c>
      <c r="D34" s="13">
        <f t="shared" si="1"/>
        <v>6.4247848647434824E-2</v>
      </c>
    </row>
    <row r="35" spans="1:4" x14ac:dyDescent="0.35">
      <c r="A35" s="10">
        <v>34455</v>
      </c>
      <c r="B35" s="15">
        <f>VLOOKUP(A35,Database!A:M,MATCH($A$1,Database!$A$1:$M$1,),)</f>
        <v>133058</v>
      </c>
      <c r="C35" s="12">
        <f t="shared" si="0"/>
        <v>2.6978146194423513E-3</v>
      </c>
      <c r="D35" s="13">
        <f t="shared" si="1"/>
        <v>5.6863041009062823E-2</v>
      </c>
    </row>
    <row r="36" spans="1:4" x14ac:dyDescent="0.35">
      <c r="A36" s="11">
        <v>34486</v>
      </c>
      <c r="B36" s="15">
        <f>VLOOKUP(A36,Database!A:M,MATCH($A$1,Database!$A$1:$M$1,),)</f>
        <v>134530</v>
      </c>
      <c r="C36" s="12">
        <f t="shared" si="0"/>
        <v>1.1062844774459258E-2</v>
      </c>
      <c r="D36" s="13">
        <f t="shared" si="1"/>
        <v>6.9361864487615651E-2</v>
      </c>
    </row>
    <row r="37" spans="1:4" x14ac:dyDescent="0.35">
      <c r="A37" s="10">
        <v>34516</v>
      </c>
      <c r="B37" s="15">
        <f>VLOOKUP(A37,Database!A:M,MATCH($A$1,Database!$A$1:$M$1,),)</f>
        <v>134944</v>
      </c>
      <c r="C37" s="12">
        <f t="shared" si="0"/>
        <v>3.077380509923437E-3</v>
      </c>
      <c r="D37" s="13">
        <f t="shared" si="1"/>
        <v>6.2961300029145101E-2</v>
      </c>
    </row>
    <row r="38" spans="1:4" x14ac:dyDescent="0.35">
      <c r="A38" s="11">
        <v>34547</v>
      </c>
      <c r="B38" s="15">
        <f>VLOOKUP(A38,Database!A:M,MATCH($A$1,Database!$A$1:$M$1,),)</f>
        <v>136246</v>
      </c>
      <c r="C38" s="12">
        <f t="shared" si="0"/>
        <v>9.6484467631017309E-3</v>
      </c>
      <c r="D38" s="13">
        <f t="shared" si="1"/>
        <v>7.4232640285103804E-2</v>
      </c>
    </row>
    <row r="39" spans="1:4" x14ac:dyDescent="0.35">
      <c r="A39" s="10">
        <v>34578</v>
      </c>
      <c r="B39" s="15">
        <f>VLOOKUP(A39,Database!A:M,MATCH($A$1,Database!$A$1:$M$1,),)</f>
        <v>136802</v>
      </c>
      <c r="C39" s="12">
        <f t="shared" si="0"/>
        <v>4.0808537498348571E-3</v>
      </c>
      <c r="D39" s="13">
        <f t="shared" si="1"/>
        <v>6.7481311547044967E-2</v>
      </c>
    </row>
    <row r="40" spans="1:4" x14ac:dyDescent="0.35">
      <c r="A40" s="11">
        <v>34608</v>
      </c>
      <c r="B40" s="15">
        <f>VLOOKUP(A40,Database!A:M,MATCH($A$1,Database!$A$1:$M$1,),)</f>
        <v>137821</v>
      </c>
      <c r="C40" s="12">
        <f t="shared" si="0"/>
        <v>7.4487215099194454E-3</v>
      </c>
      <c r="D40" s="13">
        <f t="shared" si="1"/>
        <v>7.4443370338031681E-2</v>
      </c>
    </row>
    <row r="41" spans="1:4" x14ac:dyDescent="0.35">
      <c r="A41" s="10">
        <v>34639</v>
      </c>
      <c r="B41" s="15">
        <f>VLOOKUP(A41,Database!A:M,MATCH($A$1,Database!$A$1:$M$1,),)</f>
        <v>137650</v>
      </c>
      <c r="C41" s="12">
        <f t="shared" si="0"/>
        <v>-1.2407398001755901E-3</v>
      </c>
      <c r="D41" s="13">
        <f t="shared" si="1"/>
        <v>6.7749542337646212E-2</v>
      </c>
    </row>
    <row r="42" spans="1:4" x14ac:dyDescent="0.35">
      <c r="A42" s="11">
        <v>34669</v>
      </c>
      <c r="B42" s="15">
        <f>VLOOKUP(A42,Database!A:M,MATCH($A$1,Database!$A$1:$M$1,),)</f>
        <v>138876</v>
      </c>
      <c r="C42" s="12">
        <f t="shared" si="0"/>
        <v>8.9066472938612428E-3</v>
      </c>
      <c r="D42" s="13">
        <f t="shared" si="1"/>
        <v>6.8474179848587433E-2</v>
      </c>
    </row>
    <row r="43" spans="1:4" x14ac:dyDescent="0.35">
      <c r="A43" s="10">
        <v>34700</v>
      </c>
      <c r="B43" s="15">
        <f>VLOOKUP(A43,Database!A:M,MATCH($A$1,Database!$A$1:$M$1,),)</f>
        <v>139434</v>
      </c>
      <c r="C43" s="12">
        <f t="shared" si="0"/>
        <v>4.0179728678821393E-3</v>
      </c>
      <c r="D43" s="13">
        <f t="shared" si="1"/>
        <v>8.2343626286619162E-2</v>
      </c>
    </row>
    <row r="44" spans="1:4" x14ac:dyDescent="0.35">
      <c r="A44" s="11">
        <v>34731</v>
      </c>
      <c r="B44" s="15">
        <f>VLOOKUP(A44,Database!A:M,MATCH($A$1,Database!$A$1:$M$1,),)</f>
        <v>137534</v>
      </c>
      <c r="C44" s="12">
        <f t="shared" si="0"/>
        <v>-1.3626518639643129E-2</v>
      </c>
      <c r="D44" s="13">
        <f t="shared" si="1"/>
        <v>5.3787333159661034E-2</v>
      </c>
    </row>
    <row r="45" spans="1:4" x14ac:dyDescent="0.35">
      <c r="A45" s="10">
        <v>34759</v>
      </c>
      <c r="B45" s="15">
        <f>VLOOKUP(A45,Database!A:M,MATCH($A$1,Database!$A$1:$M$1,),)</f>
        <v>138645</v>
      </c>
      <c r="C45" s="12">
        <f t="shared" si="0"/>
        <v>8.0780025302834204E-3</v>
      </c>
      <c r="D45" s="13">
        <f t="shared" si="1"/>
        <v>4.0933082068877497E-2</v>
      </c>
    </row>
    <row r="46" spans="1:4" x14ac:dyDescent="0.35">
      <c r="A46" s="11">
        <v>34790</v>
      </c>
      <c r="B46" s="15">
        <f>VLOOKUP(A46,Database!A:M,MATCH($A$1,Database!$A$1:$M$1,),)</f>
        <v>138955</v>
      </c>
      <c r="C46" s="12">
        <f t="shared" si="0"/>
        <v>2.2359262865591979E-3</v>
      </c>
      <c r="D46" s="13">
        <f t="shared" si="1"/>
        <v>4.7136397889977394E-2</v>
      </c>
    </row>
    <row r="47" spans="1:4" x14ac:dyDescent="0.35">
      <c r="A47" s="10">
        <v>34820</v>
      </c>
      <c r="B47" s="15">
        <f>VLOOKUP(A47,Database!A:M,MATCH($A$1,Database!$A$1:$M$1,),)</f>
        <v>140053</v>
      </c>
      <c r="C47" s="12">
        <f t="shared" si="0"/>
        <v>7.9018387247670116E-3</v>
      </c>
      <c r="D47" s="13">
        <f t="shared" si="1"/>
        <v>5.257105923732508E-2</v>
      </c>
    </row>
    <row r="48" spans="1:4" x14ac:dyDescent="0.35">
      <c r="A48" s="11">
        <v>34851</v>
      </c>
      <c r="B48" s="15">
        <f>VLOOKUP(A48,Database!A:M,MATCH($A$1,Database!$A$1:$M$1,),)</f>
        <v>140515</v>
      </c>
      <c r="C48" s="12">
        <f t="shared" si="0"/>
        <v>3.2987511870506167E-3</v>
      </c>
      <c r="D48" s="13">
        <f t="shared" si="1"/>
        <v>4.4488218241284475E-2</v>
      </c>
    </row>
    <row r="49" spans="1:4" x14ac:dyDescent="0.35">
      <c r="A49" s="10">
        <v>34881</v>
      </c>
      <c r="B49" s="15">
        <f>VLOOKUP(A49,Database!A:M,MATCH($A$1,Database!$A$1:$M$1,),)</f>
        <v>140839</v>
      </c>
      <c r="C49" s="12">
        <f t="shared" si="0"/>
        <v>2.3058036508557807E-3</v>
      </c>
      <c r="D49" s="13">
        <f t="shared" si="1"/>
        <v>4.368478776381314E-2</v>
      </c>
    </row>
    <row r="50" spans="1:4" x14ac:dyDescent="0.35">
      <c r="A50" s="11">
        <v>34912</v>
      </c>
      <c r="B50" s="15">
        <f>VLOOKUP(A50,Database!A:M,MATCH($A$1,Database!$A$1:$M$1,),)</f>
        <v>141546</v>
      </c>
      <c r="C50" s="12">
        <f t="shared" si="0"/>
        <v>5.0199163583950464E-3</v>
      </c>
      <c r="D50" s="13">
        <f t="shared" si="1"/>
        <v>3.890022459374954E-2</v>
      </c>
    </row>
    <row r="51" spans="1:4" x14ac:dyDescent="0.35">
      <c r="A51" s="10">
        <v>34943</v>
      </c>
      <c r="B51" s="15">
        <f>VLOOKUP(A51,Database!A:M,MATCH($A$1,Database!$A$1:$M$1,),)</f>
        <v>142624</v>
      </c>
      <c r="C51" s="12">
        <f t="shared" si="0"/>
        <v>7.6158987184378225E-3</v>
      </c>
      <c r="D51" s="13">
        <f t="shared" si="1"/>
        <v>4.2557857341266943E-2</v>
      </c>
    </row>
    <row r="52" spans="1:4" x14ac:dyDescent="0.35">
      <c r="A52" s="11">
        <v>34973</v>
      </c>
      <c r="B52" s="15">
        <f>VLOOKUP(A52,Database!A:M,MATCH($A$1,Database!$A$1:$M$1,),)</f>
        <v>141898</v>
      </c>
      <c r="C52" s="12">
        <f t="shared" si="0"/>
        <v>-5.0903073816468474E-3</v>
      </c>
      <c r="D52" s="13">
        <f t="shared" si="1"/>
        <v>2.9581848919975912E-2</v>
      </c>
    </row>
    <row r="53" spans="1:4" x14ac:dyDescent="0.35">
      <c r="A53" s="10">
        <v>35004</v>
      </c>
      <c r="B53" s="15">
        <f>VLOOKUP(A53,Database!A:M,MATCH($A$1,Database!$A$1:$M$1,),)</f>
        <v>143820</v>
      </c>
      <c r="C53" s="12">
        <f t="shared" si="0"/>
        <v>1.3544940732075152E-2</v>
      </c>
      <c r="D53" s="13">
        <f t="shared" si="1"/>
        <v>4.4823828550671997E-2</v>
      </c>
    </row>
    <row r="54" spans="1:4" x14ac:dyDescent="0.35">
      <c r="A54" s="11">
        <v>35034</v>
      </c>
      <c r="B54" s="15">
        <f>VLOOKUP(A54,Database!A:M,MATCH($A$1,Database!$A$1:$M$1,),)</f>
        <v>144990</v>
      </c>
      <c r="C54" s="12">
        <f t="shared" si="0"/>
        <v>8.135168961201502E-3</v>
      </c>
      <c r="D54" s="13">
        <f t="shared" si="1"/>
        <v>4.4024885509375271E-2</v>
      </c>
    </row>
    <row r="55" spans="1:4" x14ac:dyDescent="0.35">
      <c r="A55" s="10">
        <v>35065</v>
      </c>
      <c r="B55" s="15">
        <f>VLOOKUP(A55,Database!A:M,MATCH($A$1,Database!$A$1:$M$1,),)</f>
        <v>142871</v>
      </c>
      <c r="C55" s="12">
        <f t="shared" si="0"/>
        <v>-1.4614801020760052E-2</v>
      </c>
      <c r="D55" s="13">
        <f t="shared" si="1"/>
        <v>2.4649655033922861E-2</v>
      </c>
    </row>
    <row r="56" spans="1:4" x14ac:dyDescent="0.35">
      <c r="A56" s="11">
        <v>35096</v>
      </c>
      <c r="B56" s="15">
        <f>VLOOKUP(A56,Database!A:M,MATCH($A$1,Database!$A$1:$M$1,),)</f>
        <v>144263</v>
      </c>
      <c r="C56" s="12">
        <f t="shared" si="0"/>
        <v>9.7430549236724034E-3</v>
      </c>
      <c r="D56" s="13">
        <f t="shared" si="1"/>
        <v>4.8926083732022625E-2</v>
      </c>
    </row>
    <row r="57" spans="1:4" x14ac:dyDescent="0.35">
      <c r="A57" s="10">
        <v>35125</v>
      </c>
      <c r="B57" s="15">
        <f>VLOOKUP(A57,Database!A:M,MATCH($A$1,Database!$A$1:$M$1,),)</f>
        <v>145592</v>
      </c>
      <c r="C57" s="12">
        <f t="shared" si="0"/>
        <v>9.2123413487865905E-3</v>
      </c>
      <c r="D57" s="13">
        <f t="shared" si="1"/>
        <v>5.0106386815247574E-2</v>
      </c>
    </row>
    <row r="58" spans="1:4" x14ac:dyDescent="0.35">
      <c r="A58" s="11">
        <v>35156</v>
      </c>
      <c r="B58" s="15">
        <f>VLOOKUP(A58,Database!A:M,MATCH($A$1,Database!$A$1:$M$1,),)</f>
        <v>146893</v>
      </c>
      <c r="C58" s="12">
        <f t="shared" si="0"/>
        <v>8.9359305456343761E-3</v>
      </c>
      <c r="D58" s="13">
        <f t="shared" si="1"/>
        <v>5.712640782987298E-2</v>
      </c>
    </row>
    <row r="59" spans="1:4" x14ac:dyDescent="0.35">
      <c r="A59" s="10">
        <v>35186</v>
      </c>
      <c r="B59" s="15">
        <f>VLOOKUP(A59,Database!A:M,MATCH($A$1,Database!$A$1:$M$1,),)</f>
        <v>147611</v>
      </c>
      <c r="C59" s="12">
        <f t="shared" si="0"/>
        <v>4.8879116091304553E-3</v>
      </c>
      <c r="D59" s="13">
        <f t="shared" si="1"/>
        <v>5.3965284570841036E-2</v>
      </c>
    </row>
    <row r="60" spans="1:4" x14ac:dyDescent="0.35">
      <c r="A60" s="11">
        <v>35217</v>
      </c>
      <c r="B60" s="15">
        <f>VLOOKUP(A60,Database!A:M,MATCH($A$1,Database!$A$1:$M$1,),)</f>
        <v>147918</v>
      </c>
      <c r="C60" s="12">
        <f t="shared" si="0"/>
        <v>2.0797908014985331E-3</v>
      </c>
      <c r="D60" s="13">
        <f t="shared" si="1"/>
        <v>5.2684766750880692E-2</v>
      </c>
    </row>
    <row r="61" spans="1:4" x14ac:dyDescent="0.35">
      <c r="A61" s="10">
        <v>35247</v>
      </c>
      <c r="B61" s="15">
        <f>VLOOKUP(A61,Database!A:M,MATCH($A$1,Database!$A$1:$M$1,),)</f>
        <v>148253</v>
      </c>
      <c r="C61" s="12">
        <f t="shared" si="0"/>
        <v>2.2647683175813626E-3</v>
      </c>
      <c r="D61" s="13">
        <f t="shared" si="1"/>
        <v>5.2641668855927692E-2</v>
      </c>
    </row>
    <row r="62" spans="1:4" x14ac:dyDescent="0.35">
      <c r="A62" s="11">
        <v>35278</v>
      </c>
      <c r="B62" s="15">
        <f>VLOOKUP(A62,Database!A:M,MATCH($A$1,Database!$A$1:$M$1,),)</f>
        <v>148820</v>
      </c>
      <c r="C62" s="12">
        <f t="shared" si="0"/>
        <v>3.8245431795646632E-3</v>
      </c>
      <c r="D62" s="13">
        <f t="shared" si="1"/>
        <v>5.1389654246675992E-2</v>
      </c>
    </row>
    <row r="63" spans="1:4" x14ac:dyDescent="0.35">
      <c r="A63" s="10">
        <v>35309</v>
      </c>
      <c r="B63" s="15">
        <f>VLOOKUP(A63,Database!A:M,MATCH($A$1,Database!$A$1:$M$1,),)</f>
        <v>149984</v>
      </c>
      <c r="C63" s="12">
        <f t="shared" si="0"/>
        <v>7.8215293643327504E-3</v>
      </c>
      <c r="D63" s="13">
        <f t="shared" si="1"/>
        <v>5.1604218083912946E-2</v>
      </c>
    </row>
    <row r="64" spans="1:4" x14ac:dyDescent="0.35">
      <c r="A64" s="11">
        <v>35339</v>
      </c>
      <c r="B64" s="15">
        <f>VLOOKUP(A64,Database!A:M,MATCH($A$1,Database!$A$1:$M$1,),)</f>
        <v>151250</v>
      </c>
      <c r="C64" s="12">
        <f t="shared" si="0"/>
        <v>8.4409003627053548E-3</v>
      </c>
      <c r="D64" s="13">
        <f t="shared" si="1"/>
        <v>6.5906496215591484E-2</v>
      </c>
    </row>
    <row r="65" spans="1:4" x14ac:dyDescent="0.35">
      <c r="A65" s="10">
        <v>35370</v>
      </c>
      <c r="B65" s="15">
        <f>VLOOKUP(A65,Database!A:M,MATCH($A$1,Database!$A$1:$M$1,),)</f>
        <v>151651</v>
      </c>
      <c r="C65" s="12">
        <f t="shared" si="0"/>
        <v>2.6512396694214875E-3</v>
      </c>
      <c r="D65" s="13">
        <f t="shared" si="1"/>
        <v>5.4450006953135864E-2</v>
      </c>
    </row>
    <row r="66" spans="1:4" x14ac:dyDescent="0.35">
      <c r="A66" s="11">
        <v>35400</v>
      </c>
      <c r="B66" s="15">
        <f>VLOOKUP(A66,Database!A:M,MATCH($A$1,Database!$A$1:$M$1,),)</f>
        <v>152397</v>
      </c>
      <c r="C66" s="12">
        <f t="shared" si="0"/>
        <v>4.9191894547348843E-3</v>
      </c>
      <c r="D66" s="13">
        <f t="shared" si="1"/>
        <v>5.1086281812538797E-2</v>
      </c>
    </row>
    <row r="67" spans="1:4" x14ac:dyDescent="0.35">
      <c r="A67" s="10">
        <v>35431</v>
      </c>
      <c r="B67" s="15">
        <f>VLOOKUP(A67,Database!A:M,MATCH($A$1,Database!$A$1:$M$1,),)</f>
        <v>152533</v>
      </c>
      <c r="C67" s="12">
        <f t="shared" si="0"/>
        <v>8.9240601849117766E-4</v>
      </c>
      <c r="D67" s="13">
        <f t="shared" si="1"/>
        <v>6.7627440138306585E-2</v>
      </c>
    </row>
    <row r="68" spans="1:4" x14ac:dyDescent="0.35">
      <c r="A68" s="11">
        <v>35462</v>
      </c>
      <c r="B68" s="15">
        <f>VLOOKUP(A68,Database!A:M,MATCH($A$1,Database!$A$1:$M$1,),)</f>
        <v>153837</v>
      </c>
      <c r="C68" s="12">
        <f t="shared" si="0"/>
        <v>8.5489697311401467E-3</v>
      </c>
      <c r="D68" s="13">
        <f t="shared" si="1"/>
        <v>6.6364902989678579E-2</v>
      </c>
    </row>
    <row r="69" spans="1:4" x14ac:dyDescent="0.35">
      <c r="A69" s="10">
        <v>35490</v>
      </c>
      <c r="B69" s="15">
        <f>VLOOKUP(A69,Database!A:M,MATCH($A$1,Database!$A$1:$M$1,),)</f>
        <v>154959</v>
      </c>
      <c r="C69" s="12">
        <f t="shared" si="0"/>
        <v>7.2934339593205798E-3</v>
      </c>
      <c r="D69" s="13">
        <f t="shared" si="1"/>
        <v>6.4337326226715758E-2</v>
      </c>
    </row>
    <row r="70" spans="1:4" x14ac:dyDescent="0.35">
      <c r="A70" s="11">
        <v>35521</v>
      </c>
      <c r="B70" s="15">
        <f>VLOOKUP(A70,Database!A:M,MATCH($A$1,Database!$A$1:$M$1,),)</f>
        <v>154141</v>
      </c>
      <c r="C70" s="12">
        <f t="shared" si="0"/>
        <v>-5.2788156867300384E-3</v>
      </c>
      <c r="D70" s="13">
        <f t="shared" si="1"/>
        <v>4.9342038082141423E-2</v>
      </c>
    </row>
    <row r="71" spans="1:4" x14ac:dyDescent="0.35">
      <c r="A71" s="10">
        <v>35551</v>
      </c>
      <c r="B71" s="15">
        <f>VLOOKUP(A71,Database!A:M,MATCH($A$1,Database!$A$1:$M$1,),)</f>
        <v>154371</v>
      </c>
      <c r="C71" s="12">
        <f t="shared" si="0"/>
        <v>1.4921403130899631E-3</v>
      </c>
      <c r="D71" s="13">
        <f t="shared" si="1"/>
        <v>4.579604501019572E-2</v>
      </c>
    </row>
    <row r="72" spans="1:4" x14ac:dyDescent="0.35">
      <c r="A72" s="11">
        <v>35582</v>
      </c>
      <c r="B72" s="15">
        <f>VLOOKUP(A72,Database!A:M,MATCH($A$1,Database!$A$1:$M$1,),)</f>
        <v>155613</v>
      </c>
      <c r="C72" s="12">
        <f t="shared" ref="C72:C135" si="2">(B72-B71)/B71</f>
        <v>8.0455525973142632E-3</v>
      </c>
      <c r="D72" s="13">
        <f t="shared" si="1"/>
        <v>5.2022066279965924E-2</v>
      </c>
    </row>
    <row r="73" spans="1:4" x14ac:dyDescent="0.35">
      <c r="A73" s="10">
        <v>35612</v>
      </c>
      <c r="B73" s="15">
        <f>VLOOKUP(A73,Database!A:M,MATCH($A$1,Database!$A$1:$M$1,),)</f>
        <v>157052</v>
      </c>
      <c r="C73" s="12">
        <f t="shared" si="2"/>
        <v>9.2472993901537796E-3</v>
      </c>
      <c r="D73" s="13">
        <f t="shared" si="1"/>
        <v>5.9351244156947917E-2</v>
      </c>
    </row>
    <row r="74" spans="1:4" x14ac:dyDescent="0.35">
      <c r="A74" s="11">
        <v>35643</v>
      </c>
      <c r="B74" s="15">
        <f>VLOOKUP(A74,Database!A:M,MATCH($A$1,Database!$A$1:$M$1,),)</f>
        <v>157139</v>
      </c>
      <c r="C74" s="12">
        <f t="shared" si="2"/>
        <v>5.5395665130020635E-4</v>
      </c>
      <c r="D74" s="13">
        <f t="shared" si="1"/>
        <v>5.5899744657976078E-2</v>
      </c>
    </row>
    <row r="75" spans="1:4" x14ac:dyDescent="0.35">
      <c r="A75" s="10">
        <v>35674</v>
      </c>
      <c r="B75" s="15">
        <f>VLOOKUP(A75,Database!A:M,MATCH($A$1,Database!$A$1:$M$1,),)</f>
        <v>158221</v>
      </c>
      <c r="C75" s="12">
        <f t="shared" si="2"/>
        <v>6.8856235562145618E-3</v>
      </c>
      <c r="D75" s="13">
        <f t="shared" si="1"/>
        <v>5.4919191380413908E-2</v>
      </c>
    </row>
    <row r="76" spans="1:4" x14ac:dyDescent="0.35">
      <c r="A76" s="11">
        <v>35704</v>
      </c>
      <c r="B76" s="15">
        <f>VLOOKUP(A76,Database!A:M,MATCH($A$1,Database!$A$1:$M$1,),)</f>
        <v>158269</v>
      </c>
      <c r="C76" s="12">
        <f t="shared" si="2"/>
        <v>3.0337312998906591E-4</v>
      </c>
      <c r="D76" s="13">
        <f t="shared" si="1"/>
        <v>4.6406611570247933E-2</v>
      </c>
    </row>
    <row r="77" spans="1:4" x14ac:dyDescent="0.35">
      <c r="A77" s="10">
        <v>35735</v>
      </c>
      <c r="B77" s="15">
        <f>VLOOKUP(A77,Database!A:M,MATCH($A$1,Database!$A$1:$M$1,),)</f>
        <v>158488</v>
      </c>
      <c r="C77" s="12">
        <f t="shared" si="2"/>
        <v>1.3837201220706519E-3</v>
      </c>
      <c r="D77" s="13">
        <f t="shared" si="1"/>
        <v>4.5083777884748537E-2</v>
      </c>
    </row>
    <row r="78" spans="1:4" x14ac:dyDescent="0.35">
      <c r="A78" s="11">
        <v>35765</v>
      </c>
      <c r="B78" s="15">
        <f>VLOOKUP(A78,Database!A:M,MATCH($A$1,Database!$A$1:$M$1,),)</f>
        <v>158882</v>
      </c>
      <c r="C78" s="12">
        <f t="shared" si="2"/>
        <v>2.4859926303568724E-3</v>
      </c>
      <c r="D78" s="13">
        <f t="shared" si="1"/>
        <v>4.2553331102318286E-2</v>
      </c>
    </row>
    <row r="79" spans="1:4" x14ac:dyDescent="0.35">
      <c r="A79" s="10">
        <v>35796</v>
      </c>
      <c r="B79" s="15">
        <f>VLOOKUP(A79,Database!A:M,MATCH($A$1,Database!$A$1:$M$1,),)</f>
        <v>159868</v>
      </c>
      <c r="C79" s="12">
        <f t="shared" si="2"/>
        <v>6.2058634710036378E-3</v>
      </c>
      <c r="D79" s="13">
        <f t="shared" si="1"/>
        <v>4.8087954737663328E-2</v>
      </c>
    </row>
    <row r="80" spans="1:4" x14ac:dyDescent="0.35">
      <c r="A80" s="11">
        <v>35827</v>
      </c>
      <c r="B80" s="15">
        <f>VLOOKUP(A80,Database!A:M,MATCH($A$1,Database!$A$1:$M$1,),)</f>
        <v>160789</v>
      </c>
      <c r="C80" s="12">
        <f t="shared" si="2"/>
        <v>5.7610028273325491E-3</v>
      </c>
      <c r="D80" s="13">
        <f t="shared" si="1"/>
        <v>4.5190688845986336E-2</v>
      </c>
    </row>
    <row r="81" spans="1:4" x14ac:dyDescent="0.35">
      <c r="A81" s="10">
        <v>35855</v>
      </c>
      <c r="B81" s="15">
        <f>VLOOKUP(A81,Database!A:M,MATCH($A$1,Database!$A$1:$M$1,),)</f>
        <v>161245</v>
      </c>
      <c r="C81" s="12">
        <f t="shared" si="2"/>
        <v>2.836014901516895E-3</v>
      </c>
      <c r="D81" s="13">
        <f t="shared" si="1"/>
        <v>4.0565568956949904E-2</v>
      </c>
    </row>
    <row r="82" spans="1:4" x14ac:dyDescent="0.35">
      <c r="A82" s="11">
        <v>35886</v>
      </c>
      <c r="B82" s="15">
        <f>VLOOKUP(A82,Database!A:M,MATCH($A$1,Database!$A$1:$M$1,),)</f>
        <v>162724</v>
      </c>
      <c r="C82" s="12">
        <f t="shared" si="2"/>
        <v>9.1723774380600941E-3</v>
      </c>
      <c r="D82" s="13">
        <f t="shared" si="1"/>
        <v>5.5682783944570234E-2</v>
      </c>
    </row>
    <row r="83" spans="1:4" x14ac:dyDescent="0.35">
      <c r="A83" s="10">
        <v>35916</v>
      </c>
      <c r="B83" s="15">
        <f>VLOOKUP(A83,Database!A:M,MATCH($A$1,Database!$A$1:$M$1,),)</f>
        <v>163136</v>
      </c>
      <c r="C83" s="12">
        <f t="shared" si="2"/>
        <v>2.5318944962021582E-3</v>
      </c>
      <c r="D83" s="13">
        <f t="shared" ref="D83:D146" si="3">(B83-B71)/B71</f>
        <v>5.6778799126778995E-2</v>
      </c>
    </row>
    <row r="84" spans="1:4" x14ac:dyDescent="0.35">
      <c r="A84" s="11">
        <v>35947</v>
      </c>
      <c r="B84" s="15">
        <f>VLOOKUP(A84,Database!A:M,MATCH($A$1,Database!$A$1:$M$1,),)</f>
        <v>163774</v>
      </c>
      <c r="C84" s="12">
        <f t="shared" si="2"/>
        <v>3.9108473911337776E-3</v>
      </c>
      <c r="D84" s="13">
        <f t="shared" si="3"/>
        <v>5.2444204533040301E-2</v>
      </c>
    </row>
    <row r="85" spans="1:4" x14ac:dyDescent="0.35">
      <c r="A85" s="10">
        <v>35977</v>
      </c>
      <c r="B85" s="15">
        <f>VLOOKUP(A85,Database!A:M,MATCH($A$1,Database!$A$1:$M$1,),)</f>
        <v>165004</v>
      </c>
      <c r="C85" s="12">
        <f t="shared" si="2"/>
        <v>7.5103496281461041E-3</v>
      </c>
      <c r="D85" s="13">
        <f t="shared" si="3"/>
        <v>5.0632911392405063E-2</v>
      </c>
    </row>
    <row r="86" spans="1:4" x14ac:dyDescent="0.35">
      <c r="A86" s="11">
        <v>36008</v>
      </c>
      <c r="B86" s="15">
        <f>VLOOKUP(A86,Database!A:M,MATCH($A$1,Database!$A$1:$M$1,),)</f>
        <v>165531</v>
      </c>
      <c r="C86" s="12">
        <f t="shared" si="2"/>
        <v>3.1938619669826186E-3</v>
      </c>
      <c r="D86" s="13">
        <f t="shared" si="3"/>
        <v>5.3404947212340667E-2</v>
      </c>
    </row>
    <row r="87" spans="1:4" x14ac:dyDescent="0.35">
      <c r="A87" s="10">
        <v>36039</v>
      </c>
      <c r="B87" s="15">
        <f>VLOOKUP(A87,Database!A:M,MATCH($A$1,Database!$A$1:$M$1,),)</f>
        <v>165542</v>
      </c>
      <c r="C87" s="12">
        <f t="shared" si="2"/>
        <v>6.6452809443548342E-5</v>
      </c>
      <c r="D87" s="13">
        <f t="shared" si="3"/>
        <v>4.6270722596873995E-2</v>
      </c>
    </row>
    <row r="88" spans="1:4" x14ac:dyDescent="0.35">
      <c r="A88" s="11">
        <v>36069</v>
      </c>
      <c r="B88" s="15">
        <f>VLOOKUP(A88,Database!A:M,MATCH($A$1,Database!$A$1:$M$1,),)</f>
        <v>167307</v>
      </c>
      <c r="C88" s="12">
        <f t="shared" si="2"/>
        <v>1.0661946817121938E-2</v>
      </c>
      <c r="D88" s="13">
        <f t="shared" si="3"/>
        <v>5.7105308051481972E-2</v>
      </c>
    </row>
    <row r="89" spans="1:4" x14ac:dyDescent="0.35">
      <c r="A89" s="10">
        <v>36100</v>
      </c>
      <c r="B89" s="15">
        <f>VLOOKUP(A89,Database!A:M,MATCH($A$1,Database!$A$1:$M$1,),)</f>
        <v>168460</v>
      </c>
      <c r="C89" s="12">
        <f t="shared" si="2"/>
        <v>6.891522769519506E-3</v>
      </c>
      <c r="D89" s="13">
        <f t="shared" si="3"/>
        <v>6.2919590126697289E-2</v>
      </c>
    </row>
    <row r="90" spans="1:4" x14ac:dyDescent="0.35">
      <c r="A90" s="11">
        <v>36130</v>
      </c>
      <c r="B90" s="15">
        <f>VLOOKUP(A90,Database!A:M,MATCH($A$1,Database!$A$1:$M$1,),)</f>
        <v>169658</v>
      </c>
      <c r="C90" s="12">
        <f t="shared" si="2"/>
        <v>7.11148047014128E-3</v>
      </c>
      <c r="D90" s="13">
        <f t="shared" si="3"/>
        <v>6.782391963847384E-2</v>
      </c>
    </row>
    <row r="91" spans="1:4" x14ac:dyDescent="0.35">
      <c r="A91" s="10">
        <v>36161</v>
      </c>
      <c r="B91" s="15">
        <f>VLOOKUP(A91,Database!A:M,MATCH($A$1,Database!$A$1:$M$1,),)</f>
        <v>169939</v>
      </c>
      <c r="C91" s="12">
        <f t="shared" si="2"/>
        <v>1.6562732084546559E-3</v>
      </c>
      <c r="D91" s="13">
        <f t="shared" si="3"/>
        <v>6.2995721470212929E-2</v>
      </c>
    </row>
    <row r="92" spans="1:4" x14ac:dyDescent="0.35">
      <c r="A92" s="11">
        <v>36192</v>
      </c>
      <c r="B92" s="15">
        <f>VLOOKUP(A92,Database!A:M,MATCH($A$1,Database!$A$1:$M$1,),)</f>
        <v>171951</v>
      </c>
      <c r="C92" s="12">
        <f t="shared" si="2"/>
        <v>1.1839542424046275E-2</v>
      </c>
      <c r="D92" s="13">
        <f t="shared" si="3"/>
        <v>6.9420171777920134E-2</v>
      </c>
    </row>
    <row r="93" spans="1:4" x14ac:dyDescent="0.35">
      <c r="A93" s="10">
        <v>36220</v>
      </c>
      <c r="B93" s="15">
        <f>VLOOKUP(A93,Database!A:M,MATCH($A$1,Database!$A$1:$M$1,),)</f>
        <v>172497</v>
      </c>
      <c r="C93" s="12">
        <f t="shared" si="2"/>
        <v>3.1753232025402587E-3</v>
      </c>
      <c r="D93" s="13">
        <f t="shared" si="3"/>
        <v>6.9782008744457197E-2</v>
      </c>
    </row>
    <row r="94" spans="1:4" x14ac:dyDescent="0.35">
      <c r="A94" s="11">
        <v>36251</v>
      </c>
      <c r="B94" s="15">
        <f>VLOOKUP(A94,Database!A:M,MATCH($A$1,Database!$A$1:$M$1,),)</f>
        <v>173212</v>
      </c>
      <c r="C94" s="12">
        <f t="shared" si="2"/>
        <v>4.1449996231818524E-3</v>
      </c>
      <c r="D94" s="13">
        <f t="shared" si="3"/>
        <v>6.4452692903320966E-2</v>
      </c>
    </row>
    <row r="95" spans="1:4" x14ac:dyDescent="0.35">
      <c r="A95" s="10">
        <v>36281</v>
      </c>
      <c r="B95" s="15">
        <f>VLOOKUP(A95,Database!A:M,MATCH($A$1,Database!$A$1:$M$1,),)</f>
        <v>174338</v>
      </c>
      <c r="C95" s="12">
        <f t="shared" si="2"/>
        <v>6.5007043391912805E-3</v>
      </c>
      <c r="D95" s="13">
        <f t="shared" si="3"/>
        <v>6.8666633974107494E-2</v>
      </c>
    </row>
    <row r="96" spans="1:4" x14ac:dyDescent="0.35">
      <c r="A96" s="11">
        <v>36312</v>
      </c>
      <c r="B96" s="15">
        <f>VLOOKUP(A96,Database!A:M,MATCH($A$1,Database!$A$1:$M$1,),)</f>
        <v>174927</v>
      </c>
      <c r="C96" s="12">
        <f t="shared" si="2"/>
        <v>3.3784946483268134E-3</v>
      </c>
      <c r="D96" s="13">
        <f t="shared" si="3"/>
        <v>6.8099942603832106E-2</v>
      </c>
    </row>
    <row r="97" spans="1:4" x14ac:dyDescent="0.35">
      <c r="A97" s="10">
        <v>36342</v>
      </c>
      <c r="B97" s="15">
        <f>VLOOKUP(A97,Database!A:M,MATCH($A$1,Database!$A$1:$M$1,),)</f>
        <v>175243</v>
      </c>
      <c r="C97" s="12">
        <f t="shared" si="2"/>
        <v>1.8064678408707632E-3</v>
      </c>
      <c r="D97" s="13">
        <f t="shared" si="3"/>
        <v>6.2053041138396645E-2</v>
      </c>
    </row>
    <row r="98" spans="1:4" x14ac:dyDescent="0.35">
      <c r="A98" s="11">
        <v>36373</v>
      </c>
      <c r="B98" s="15">
        <f>VLOOKUP(A98,Database!A:M,MATCH($A$1,Database!$A$1:$M$1,),)</f>
        <v>176382</v>
      </c>
      <c r="C98" s="12">
        <f t="shared" si="2"/>
        <v>6.4995463442191698E-3</v>
      </c>
      <c r="D98" s="13">
        <f t="shared" si="3"/>
        <v>6.5552675933813004E-2</v>
      </c>
    </row>
    <row r="99" spans="1:4" x14ac:dyDescent="0.35">
      <c r="A99" s="10">
        <v>36404</v>
      </c>
      <c r="B99" s="15">
        <f>VLOOKUP(A99,Database!A:M,MATCH($A$1,Database!$A$1:$M$1,),)</f>
        <v>177828</v>
      </c>
      <c r="C99" s="12">
        <f t="shared" si="2"/>
        <v>8.1981154539578875E-3</v>
      </c>
      <c r="D99" s="13">
        <f t="shared" si="3"/>
        <v>7.4216815068079395E-2</v>
      </c>
    </row>
    <row r="100" spans="1:4" x14ac:dyDescent="0.35">
      <c r="A100" s="11">
        <v>36434</v>
      </c>
      <c r="B100" s="15">
        <f>VLOOKUP(A100,Database!A:M,MATCH($A$1,Database!$A$1:$M$1,),)</f>
        <v>178667</v>
      </c>
      <c r="C100" s="12">
        <f t="shared" si="2"/>
        <v>4.7180421530917515E-3</v>
      </c>
      <c r="D100" s="13">
        <f t="shared" si="3"/>
        <v>6.7899131536636237E-2</v>
      </c>
    </row>
    <row r="101" spans="1:4" x14ac:dyDescent="0.35">
      <c r="A101" s="10">
        <v>36465</v>
      </c>
      <c r="B101" s="15">
        <f>VLOOKUP(A101,Database!A:M,MATCH($A$1,Database!$A$1:$M$1,),)</f>
        <v>179704</v>
      </c>
      <c r="C101" s="12">
        <f t="shared" si="2"/>
        <v>5.8040936490790125E-3</v>
      </c>
      <c r="D101" s="13">
        <f t="shared" si="3"/>
        <v>6.6745815030274255E-2</v>
      </c>
    </row>
    <row r="102" spans="1:4" x14ac:dyDescent="0.35">
      <c r="A102" s="11">
        <v>36495</v>
      </c>
      <c r="B102" s="15">
        <f>VLOOKUP(A102,Database!A:M,MATCH($A$1,Database!$A$1:$M$1,),)</f>
        <v>183859</v>
      </c>
      <c r="C102" s="12">
        <f t="shared" si="2"/>
        <v>2.312135511730401E-2</v>
      </c>
      <c r="D102" s="13">
        <f t="shared" si="3"/>
        <v>8.3703686239375685E-2</v>
      </c>
    </row>
    <row r="103" spans="1:4" x14ac:dyDescent="0.35">
      <c r="A103" s="10">
        <v>36526</v>
      </c>
      <c r="B103" s="15">
        <f>VLOOKUP(A103,Database!A:M,MATCH($A$1,Database!$A$1:$M$1,),)</f>
        <v>181007</v>
      </c>
      <c r="C103" s="12">
        <f t="shared" si="2"/>
        <v>-1.5511886826317994E-2</v>
      </c>
      <c r="D103" s="13">
        <f t="shared" si="3"/>
        <v>6.5129252261105455E-2</v>
      </c>
    </row>
    <row r="104" spans="1:4" x14ac:dyDescent="0.35">
      <c r="A104" s="11">
        <v>36557</v>
      </c>
      <c r="B104" s="15">
        <f>VLOOKUP(A104,Database!A:M,MATCH($A$1,Database!$A$1:$M$1,),)</f>
        <v>182721</v>
      </c>
      <c r="C104" s="12">
        <f t="shared" si="2"/>
        <v>9.469247045694365E-3</v>
      </c>
      <c r="D104" s="13">
        <f t="shared" si="3"/>
        <v>6.2634122511645754E-2</v>
      </c>
    </row>
    <row r="105" spans="1:4" x14ac:dyDescent="0.35">
      <c r="A105" s="10">
        <v>36586</v>
      </c>
      <c r="B105" s="15">
        <f>VLOOKUP(A105,Database!A:M,MATCH($A$1,Database!$A$1:$M$1,),)</f>
        <v>185940</v>
      </c>
      <c r="C105" s="12">
        <f t="shared" si="2"/>
        <v>1.7617022673912686E-2</v>
      </c>
      <c r="D105" s="13">
        <f t="shared" si="3"/>
        <v>7.7931790118089012E-2</v>
      </c>
    </row>
    <row r="106" spans="1:4" x14ac:dyDescent="0.35">
      <c r="A106" s="11">
        <v>36617</v>
      </c>
      <c r="B106" s="15">
        <f>VLOOKUP(A106,Database!A:M,MATCH($A$1,Database!$A$1:$M$1,),)</f>
        <v>185327</v>
      </c>
      <c r="C106" s="12">
        <f t="shared" si="2"/>
        <v>-3.2967623964719802E-3</v>
      </c>
      <c r="D106" s="13">
        <f t="shared" si="3"/>
        <v>6.9943191002932822E-2</v>
      </c>
    </row>
    <row r="107" spans="1:4" x14ac:dyDescent="0.35">
      <c r="A107" s="10">
        <v>36647</v>
      </c>
      <c r="B107" s="15">
        <f>VLOOKUP(A107,Database!A:M,MATCH($A$1,Database!$A$1:$M$1,),)</f>
        <v>185371</v>
      </c>
      <c r="C107" s="12">
        <f t="shared" si="2"/>
        <v>2.374181851538092E-4</v>
      </c>
      <c r="D107" s="13">
        <f t="shared" si="3"/>
        <v>6.3285112826807696E-2</v>
      </c>
    </row>
    <row r="108" spans="1:4" x14ac:dyDescent="0.35">
      <c r="A108" s="11">
        <v>36678</v>
      </c>
      <c r="B108" s="15">
        <f>VLOOKUP(A108,Database!A:M,MATCH($A$1,Database!$A$1:$M$1,),)</f>
        <v>185899</v>
      </c>
      <c r="C108" s="12">
        <f t="shared" si="2"/>
        <v>2.8483419736636257E-3</v>
      </c>
      <c r="D108" s="13">
        <f t="shared" si="3"/>
        <v>6.2723307436816506E-2</v>
      </c>
    </row>
    <row r="109" spans="1:4" x14ac:dyDescent="0.35">
      <c r="A109" s="10">
        <v>36708</v>
      </c>
      <c r="B109" s="15">
        <f>VLOOKUP(A109,Database!A:M,MATCH($A$1,Database!$A$1:$M$1,),)</f>
        <v>186520</v>
      </c>
      <c r="C109" s="12">
        <f t="shared" si="2"/>
        <v>3.3405236176633547E-3</v>
      </c>
      <c r="D109" s="13">
        <f t="shared" si="3"/>
        <v>6.4350644533590504E-2</v>
      </c>
    </row>
    <row r="110" spans="1:4" x14ac:dyDescent="0.35">
      <c r="A110" s="11">
        <v>36739</v>
      </c>
      <c r="B110" s="15">
        <f>VLOOKUP(A110,Database!A:M,MATCH($A$1,Database!$A$1:$M$1,),)</f>
        <v>187033</v>
      </c>
      <c r="C110" s="12">
        <f t="shared" si="2"/>
        <v>2.7503752948745443E-3</v>
      </c>
      <c r="D110" s="13">
        <f t="shared" si="3"/>
        <v>6.0385980428841947E-2</v>
      </c>
    </row>
    <row r="111" spans="1:4" x14ac:dyDescent="0.35">
      <c r="A111" s="10">
        <v>36770</v>
      </c>
      <c r="B111" s="15">
        <f>VLOOKUP(A111,Database!A:M,MATCH($A$1,Database!$A$1:$M$1,),)</f>
        <v>189371</v>
      </c>
      <c r="C111" s="12">
        <f t="shared" si="2"/>
        <v>1.2500467831879936E-2</v>
      </c>
      <c r="D111" s="13">
        <f t="shared" si="3"/>
        <v>6.4911037631868992E-2</v>
      </c>
    </row>
    <row r="112" spans="1:4" x14ac:dyDescent="0.35">
      <c r="A112" s="11">
        <v>36800</v>
      </c>
      <c r="B112" s="15">
        <f>VLOOKUP(A112,Database!A:M,MATCH($A$1,Database!$A$1:$M$1,),)</f>
        <v>189307</v>
      </c>
      <c r="C112" s="12">
        <f t="shared" si="2"/>
        <v>-3.3796093382830526E-4</v>
      </c>
      <c r="D112" s="13">
        <f t="shared" si="3"/>
        <v>5.9552127701254287E-2</v>
      </c>
    </row>
    <row r="113" spans="1:4" x14ac:dyDescent="0.35">
      <c r="A113" s="10">
        <v>36831</v>
      </c>
      <c r="B113" s="15">
        <f>VLOOKUP(A113,Database!A:M,MATCH($A$1,Database!$A$1:$M$1,),)</f>
        <v>189478</v>
      </c>
      <c r="C113" s="12">
        <f t="shared" si="2"/>
        <v>9.0329464837539029E-4</v>
      </c>
      <c r="D113" s="13">
        <f t="shared" si="3"/>
        <v>5.4389440413123803E-2</v>
      </c>
    </row>
    <row r="114" spans="1:4" x14ac:dyDescent="0.35">
      <c r="A114" s="11">
        <v>36861</v>
      </c>
      <c r="B114" s="15">
        <f>VLOOKUP(A114,Database!A:M,MATCH($A$1,Database!$A$1:$M$1,),)</f>
        <v>190143</v>
      </c>
      <c r="C114" s="12">
        <f t="shared" si="2"/>
        <v>3.5096422803702803E-3</v>
      </c>
      <c r="D114" s="13">
        <f t="shared" si="3"/>
        <v>3.4178364942700656E-2</v>
      </c>
    </row>
    <row r="115" spans="1:4" x14ac:dyDescent="0.35">
      <c r="A115" s="10">
        <v>36892</v>
      </c>
      <c r="B115" s="15">
        <f>VLOOKUP(A115,Database!A:M,MATCH($A$1,Database!$A$1:$M$1,),)</f>
        <v>190977</v>
      </c>
      <c r="C115" s="12">
        <f t="shared" si="2"/>
        <v>4.3861725122670836E-3</v>
      </c>
      <c r="D115" s="13">
        <f t="shared" si="3"/>
        <v>5.5080742733706431E-2</v>
      </c>
    </row>
    <row r="116" spans="1:4" x14ac:dyDescent="0.35">
      <c r="A116" s="11">
        <v>36923</v>
      </c>
      <c r="B116" s="15">
        <f>VLOOKUP(A116,Database!A:M,MATCH($A$1,Database!$A$1:$M$1,),)</f>
        <v>190970</v>
      </c>
      <c r="C116" s="12">
        <f t="shared" si="2"/>
        <v>-3.665362844740466E-5</v>
      </c>
      <c r="D116" s="13">
        <f t="shared" si="3"/>
        <v>4.5145330859616577E-2</v>
      </c>
    </row>
    <row r="117" spans="1:4" x14ac:dyDescent="0.35">
      <c r="A117" s="10">
        <v>36951</v>
      </c>
      <c r="B117" s="15">
        <f>VLOOKUP(A117,Database!A:M,MATCH($A$1,Database!$A$1:$M$1,),)</f>
        <v>190127</v>
      </c>
      <c r="C117" s="12">
        <f t="shared" si="2"/>
        <v>-4.4143059119233384E-3</v>
      </c>
      <c r="D117" s="13">
        <f t="shared" si="3"/>
        <v>2.2518016564483167E-2</v>
      </c>
    </row>
    <row r="118" spans="1:4" x14ac:dyDescent="0.35">
      <c r="A118" s="11">
        <v>36982</v>
      </c>
      <c r="B118" s="15">
        <f>VLOOKUP(A118,Database!A:M,MATCH($A$1,Database!$A$1:$M$1,),)</f>
        <v>192257</v>
      </c>
      <c r="C118" s="12">
        <f t="shared" si="2"/>
        <v>1.1203037969357324E-2</v>
      </c>
      <c r="D118" s="13">
        <f t="shared" si="3"/>
        <v>3.7393364161724951E-2</v>
      </c>
    </row>
    <row r="119" spans="1:4" x14ac:dyDescent="0.35">
      <c r="A119" s="10">
        <v>37012</v>
      </c>
      <c r="B119" s="15">
        <f>VLOOKUP(A119,Database!A:M,MATCH($A$1,Database!$A$1:$M$1,),)</f>
        <v>191829</v>
      </c>
      <c r="C119" s="12">
        <f t="shared" si="2"/>
        <v>-2.2261868228465025E-3</v>
      </c>
      <c r="D119" s="13">
        <f t="shared" si="3"/>
        <v>3.4838243306666093E-2</v>
      </c>
    </row>
    <row r="120" spans="1:4" x14ac:dyDescent="0.35">
      <c r="A120" s="11">
        <v>37043</v>
      </c>
      <c r="B120" s="15">
        <f>VLOOKUP(A120,Database!A:M,MATCH($A$1,Database!$A$1:$M$1,),)</f>
        <v>191763</v>
      </c>
      <c r="C120" s="12">
        <f t="shared" si="2"/>
        <v>-3.4405642525374159E-4</v>
      </c>
      <c r="D120" s="13">
        <f t="shared" si="3"/>
        <v>3.1544010457291327E-2</v>
      </c>
    </row>
    <row r="121" spans="1:4" x14ac:dyDescent="0.35">
      <c r="A121" s="10">
        <v>37073</v>
      </c>
      <c r="B121" s="15">
        <f>VLOOKUP(A121,Database!A:M,MATCH($A$1,Database!$A$1:$M$1,),)</f>
        <v>192751</v>
      </c>
      <c r="C121" s="12">
        <f t="shared" si="2"/>
        <v>5.1521930716561587E-3</v>
      </c>
      <c r="D121" s="13">
        <f t="shared" si="3"/>
        <v>3.340660518979198E-2</v>
      </c>
    </row>
    <row r="122" spans="1:4" x14ac:dyDescent="0.35">
      <c r="A122" s="11">
        <v>37104</v>
      </c>
      <c r="B122" s="15">
        <f>VLOOKUP(A122,Database!A:M,MATCH($A$1,Database!$A$1:$M$1,),)</f>
        <v>194185</v>
      </c>
      <c r="C122" s="12">
        <f t="shared" si="2"/>
        <v>7.4396501185467262E-3</v>
      </c>
      <c r="D122" s="13">
        <f t="shared" si="3"/>
        <v>3.8239241203423993E-2</v>
      </c>
    </row>
    <row r="123" spans="1:4" x14ac:dyDescent="0.35">
      <c r="A123" s="10">
        <v>37135</v>
      </c>
      <c r="B123" s="15">
        <f>VLOOKUP(A123,Database!A:M,MATCH($A$1,Database!$A$1:$M$1,),)</f>
        <v>190819</v>
      </c>
      <c r="C123" s="12">
        <f t="shared" si="2"/>
        <v>-1.7333985632257898E-2</v>
      </c>
      <c r="D123" s="13">
        <f t="shared" si="3"/>
        <v>7.6463661278654074E-3</v>
      </c>
    </row>
    <row r="124" spans="1:4" x14ac:dyDescent="0.35">
      <c r="A124" s="11">
        <v>37165</v>
      </c>
      <c r="B124" s="15">
        <f>VLOOKUP(A124,Database!A:M,MATCH($A$1,Database!$A$1:$M$1,),)</f>
        <v>194052</v>
      </c>
      <c r="C124" s="12">
        <f t="shared" si="2"/>
        <v>1.6942757272598641E-2</v>
      </c>
      <c r="D124" s="13">
        <f t="shared" si="3"/>
        <v>2.5065105886206005E-2</v>
      </c>
    </row>
    <row r="125" spans="1:4" x14ac:dyDescent="0.35">
      <c r="A125" s="10">
        <v>37196</v>
      </c>
      <c r="B125" s="15">
        <f>VLOOKUP(A125,Database!A:M,MATCH($A$1,Database!$A$1:$M$1,),)</f>
        <v>195453</v>
      </c>
      <c r="C125" s="12">
        <f t="shared" si="2"/>
        <v>7.2197143033825989E-3</v>
      </c>
      <c r="D125" s="13">
        <f t="shared" si="3"/>
        <v>3.1534003947687857E-2</v>
      </c>
    </row>
    <row r="126" spans="1:4" x14ac:dyDescent="0.35">
      <c r="A126" s="11">
        <v>37226</v>
      </c>
      <c r="B126" s="15">
        <f>VLOOKUP(A126,Database!A:M,MATCH($A$1,Database!$A$1:$M$1,),)</f>
        <v>196535</v>
      </c>
      <c r="C126" s="12">
        <f t="shared" si="2"/>
        <v>5.5358577253866656E-3</v>
      </c>
      <c r="D126" s="13">
        <f t="shared" si="3"/>
        <v>3.3616804194737643E-2</v>
      </c>
    </row>
    <row r="127" spans="1:4" x14ac:dyDescent="0.35">
      <c r="A127" s="10">
        <v>37257</v>
      </c>
      <c r="B127" s="15">
        <f>VLOOKUP(A127,Database!A:M,MATCH($A$1,Database!$A$1:$M$1,),)</f>
        <v>196713</v>
      </c>
      <c r="C127" s="12">
        <f t="shared" si="2"/>
        <v>9.0569109827766045E-4</v>
      </c>
      <c r="D127" s="13">
        <f t="shared" si="3"/>
        <v>3.0035030396330448E-2</v>
      </c>
    </row>
    <row r="128" spans="1:4" x14ac:dyDescent="0.35">
      <c r="A128" s="11">
        <v>37288</v>
      </c>
      <c r="B128" s="15">
        <f>VLOOKUP(A128,Database!A:M,MATCH($A$1,Database!$A$1:$M$1,),)</f>
        <v>197818</v>
      </c>
      <c r="C128" s="12">
        <f t="shared" si="2"/>
        <v>5.6173206651314355E-3</v>
      </c>
      <c r="D128" s="13">
        <f t="shared" si="3"/>
        <v>3.5859035450594337E-2</v>
      </c>
    </row>
    <row r="129" spans="1:4" x14ac:dyDescent="0.35">
      <c r="A129" s="10">
        <v>37316</v>
      </c>
      <c r="B129" s="15">
        <f>VLOOKUP(A129,Database!A:M,MATCH($A$1,Database!$A$1:$M$1,),)</f>
        <v>197879</v>
      </c>
      <c r="C129" s="12">
        <f t="shared" si="2"/>
        <v>3.0836425401126286E-4</v>
      </c>
      <c r="D129" s="13">
        <f t="shared" si="3"/>
        <v>4.0772746637773701E-2</v>
      </c>
    </row>
    <row r="130" spans="1:4" x14ac:dyDescent="0.35">
      <c r="A130" s="11">
        <v>37347</v>
      </c>
      <c r="B130" s="15">
        <f>VLOOKUP(A130,Database!A:M,MATCH($A$1,Database!$A$1:$M$1,),)</f>
        <v>199726</v>
      </c>
      <c r="C130" s="12">
        <f t="shared" si="2"/>
        <v>9.3339869314075768E-3</v>
      </c>
      <c r="D130" s="13">
        <f t="shared" si="3"/>
        <v>3.8849040607104035E-2</v>
      </c>
    </row>
    <row r="131" spans="1:4" x14ac:dyDescent="0.35">
      <c r="A131" s="10">
        <v>37377</v>
      </c>
      <c r="B131" s="15">
        <f>VLOOKUP(A131,Database!A:M,MATCH($A$1,Database!$A$1:$M$1,),)</f>
        <v>198959</v>
      </c>
      <c r="C131" s="12">
        <f t="shared" si="2"/>
        <v>-3.8402611577861671E-3</v>
      </c>
      <c r="D131" s="13">
        <f t="shared" si="3"/>
        <v>3.716851987968451E-2</v>
      </c>
    </row>
    <row r="132" spans="1:4" x14ac:dyDescent="0.35">
      <c r="A132" s="11">
        <v>37408</v>
      </c>
      <c r="B132" s="15">
        <f>VLOOKUP(A132,Database!A:M,MATCH($A$1,Database!$A$1:$M$1,),)</f>
        <v>199285</v>
      </c>
      <c r="C132" s="12">
        <f t="shared" si="2"/>
        <v>1.6385285410561974E-3</v>
      </c>
      <c r="D132" s="13">
        <f t="shared" si="3"/>
        <v>3.9225502312750633E-2</v>
      </c>
    </row>
    <row r="133" spans="1:4" x14ac:dyDescent="0.35">
      <c r="A133" s="10">
        <v>37438</v>
      </c>
      <c r="B133" s="15">
        <f>VLOOKUP(A133,Database!A:M,MATCH($A$1,Database!$A$1:$M$1,),)</f>
        <v>199003</v>
      </c>
      <c r="C133" s="12">
        <f t="shared" si="2"/>
        <v>-1.4150588353363273E-3</v>
      </c>
      <c r="D133" s="13">
        <f t="shared" si="3"/>
        <v>3.2435629387136775E-2</v>
      </c>
    </row>
    <row r="134" spans="1:4" x14ac:dyDescent="0.35">
      <c r="A134" s="11">
        <v>37469</v>
      </c>
      <c r="B134" s="15">
        <f>VLOOKUP(A134,Database!A:M,MATCH($A$1,Database!$A$1:$M$1,),)</f>
        <v>199264</v>
      </c>
      <c r="C134" s="12">
        <f t="shared" si="2"/>
        <v>1.3115380170148189E-3</v>
      </c>
      <c r="D134" s="13">
        <f t="shared" si="3"/>
        <v>2.6155470298941729E-2</v>
      </c>
    </row>
    <row r="135" spans="1:4" x14ac:dyDescent="0.35">
      <c r="A135" s="10">
        <v>37500</v>
      </c>
      <c r="B135" s="15">
        <f>VLOOKUP(A135,Database!A:M,MATCH($A$1,Database!$A$1:$M$1,),)</f>
        <v>199072</v>
      </c>
      <c r="C135" s="12">
        <f t="shared" si="2"/>
        <v>-9.6354584872330171E-4</v>
      </c>
      <c r="D135" s="13">
        <f t="shared" si="3"/>
        <v>4.3250410074468476E-2</v>
      </c>
    </row>
    <row r="136" spans="1:4" x14ac:dyDescent="0.35">
      <c r="A136" s="11">
        <v>37530</v>
      </c>
      <c r="B136" s="15">
        <f>VLOOKUP(A136,Database!A:M,MATCH($A$1,Database!$A$1:$M$1,),)</f>
        <v>200364</v>
      </c>
      <c r="C136" s="12">
        <f t="shared" ref="C136:C199" si="4">(B136-B135)/B135</f>
        <v>6.4901141295611638E-3</v>
      </c>
      <c r="D136" s="13">
        <f t="shared" si="3"/>
        <v>3.2527363799393978E-2</v>
      </c>
    </row>
    <row r="137" spans="1:4" x14ac:dyDescent="0.35">
      <c r="A137" s="10">
        <v>37561</v>
      </c>
      <c r="B137" s="15">
        <f>VLOOKUP(A137,Database!A:M,MATCH($A$1,Database!$A$1:$M$1,),)</f>
        <v>201544</v>
      </c>
      <c r="C137" s="12">
        <f t="shared" si="4"/>
        <v>5.8892815076560662E-3</v>
      </c>
      <c r="D137" s="13">
        <f t="shared" si="3"/>
        <v>3.1163502223040835E-2</v>
      </c>
    </row>
    <row r="138" spans="1:4" x14ac:dyDescent="0.35">
      <c r="A138" s="11">
        <v>37591</v>
      </c>
      <c r="B138" s="15">
        <f>VLOOKUP(A138,Database!A:M,MATCH($A$1,Database!$A$1:$M$1,),)</f>
        <v>201689</v>
      </c>
      <c r="C138" s="12">
        <f t="shared" si="4"/>
        <v>7.1944587782320484E-4</v>
      </c>
      <c r="D138" s="13">
        <f t="shared" si="3"/>
        <v>2.6224336632152033E-2</v>
      </c>
    </row>
    <row r="139" spans="1:4" x14ac:dyDescent="0.35">
      <c r="A139" s="10">
        <v>37622</v>
      </c>
      <c r="B139" s="15">
        <f>VLOOKUP(A139,Database!A:M,MATCH($A$1,Database!$A$1:$M$1,),)</f>
        <v>202502</v>
      </c>
      <c r="C139" s="12">
        <f t="shared" si="4"/>
        <v>4.0309585550029996E-3</v>
      </c>
      <c r="D139" s="13">
        <f t="shared" si="3"/>
        <v>2.942866002755283E-2</v>
      </c>
    </row>
    <row r="140" spans="1:4" x14ac:dyDescent="0.35">
      <c r="A140" s="11">
        <v>37653</v>
      </c>
      <c r="B140" s="15">
        <f>VLOOKUP(A140,Database!A:M,MATCH($A$1,Database!$A$1:$M$1,),)</f>
        <v>200747</v>
      </c>
      <c r="C140" s="12">
        <f t="shared" si="4"/>
        <v>-8.6665810708042388E-3</v>
      </c>
      <c r="D140" s="13">
        <f t="shared" si="3"/>
        <v>1.4806539344245721E-2</v>
      </c>
    </row>
    <row r="141" spans="1:4" x14ac:dyDescent="0.35">
      <c r="A141" s="10">
        <v>37681</v>
      </c>
      <c r="B141" s="15">
        <f>VLOOKUP(A141,Database!A:M,MATCH($A$1,Database!$A$1:$M$1,),)</f>
        <v>203729</v>
      </c>
      <c r="C141" s="12">
        <f t="shared" si="4"/>
        <v>1.4854518373873582E-2</v>
      </c>
      <c r="D141" s="13">
        <f t="shared" si="3"/>
        <v>2.9563521141707811E-2</v>
      </c>
    </row>
    <row r="142" spans="1:4" x14ac:dyDescent="0.35">
      <c r="A142" s="11">
        <v>37712</v>
      </c>
      <c r="B142" s="15">
        <f>VLOOKUP(A142,Database!A:M,MATCH($A$1,Database!$A$1:$M$1,),)</f>
        <v>203439</v>
      </c>
      <c r="C142" s="12">
        <f t="shared" si="4"/>
        <v>-1.4234595958356445E-3</v>
      </c>
      <c r="D142" s="13">
        <f t="shared" si="3"/>
        <v>1.8590468942451158E-2</v>
      </c>
    </row>
    <row r="143" spans="1:4" x14ac:dyDescent="0.35">
      <c r="A143" s="10">
        <v>37742</v>
      </c>
      <c r="B143" s="15">
        <f>VLOOKUP(A143,Database!A:M,MATCH($A$1,Database!$A$1:$M$1,),)</f>
        <v>204940</v>
      </c>
      <c r="C143" s="12">
        <f t="shared" si="4"/>
        <v>7.3781330030131881E-3</v>
      </c>
      <c r="D143" s="13">
        <f t="shared" si="3"/>
        <v>3.0061469951095453E-2</v>
      </c>
    </row>
    <row r="144" spans="1:4" x14ac:dyDescent="0.35">
      <c r="A144" s="11">
        <v>37773</v>
      </c>
      <c r="B144" s="15">
        <f>VLOOKUP(A144,Database!A:M,MATCH($A$1,Database!$A$1:$M$1,),)</f>
        <v>207524</v>
      </c>
      <c r="C144" s="12">
        <f t="shared" si="4"/>
        <v>1.260856836147165E-2</v>
      </c>
      <c r="D144" s="13">
        <f t="shared" si="3"/>
        <v>4.1342800511829793E-2</v>
      </c>
    </row>
    <row r="145" spans="1:4" x14ac:dyDescent="0.35">
      <c r="A145" s="10">
        <v>37803</v>
      </c>
      <c r="B145" s="15">
        <f>VLOOKUP(A145,Database!A:M,MATCH($A$1,Database!$A$1:$M$1,),)</f>
        <v>209502</v>
      </c>
      <c r="C145" s="12">
        <f t="shared" si="4"/>
        <v>9.5314276902912429E-3</v>
      </c>
      <c r="D145" s="13">
        <f t="shared" si="3"/>
        <v>5.2757998623136335E-2</v>
      </c>
    </row>
    <row r="146" spans="1:4" x14ac:dyDescent="0.35">
      <c r="A146" s="11">
        <v>37834</v>
      </c>
      <c r="B146" s="15">
        <f>VLOOKUP(A146,Database!A:M,MATCH($A$1,Database!$A$1:$M$1,),)</f>
        <v>211817</v>
      </c>
      <c r="C146" s="12">
        <f t="shared" si="4"/>
        <v>1.1050013842349953E-2</v>
      </c>
      <c r="D146" s="13">
        <f t="shared" si="3"/>
        <v>6.2996828328247947E-2</v>
      </c>
    </row>
    <row r="147" spans="1:4" x14ac:dyDescent="0.35">
      <c r="A147" s="10">
        <v>37865</v>
      </c>
      <c r="B147" s="15">
        <f>VLOOKUP(A147,Database!A:M,MATCH($A$1,Database!$A$1:$M$1,),)</f>
        <v>211535</v>
      </c>
      <c r="C147" s="12">
        <f t="shared" si="4"/>
        <v>-1.3313379001685416E-3</v>
      </c>
      <c r="D147" s="13">
        <f t="shared" ref="D147:D210" si="5">(B147-B135)/B135</f>
        <v>6.2605489471146122E-2</v>
      </c>
    </row>
    <row r="148" spans="1:4" x14ac:dyDescent="0.35">
      <c r="A148" s="11">
        <v>37895</v>
      </c>
      <c r="B148" s="15">
        <f>VLOOKUP(A148,Database!A:M,MATCH($A$1,Database!$A$1:$M$1,),)</f>
        <v>212278</v>
      </c>
      <c r="C148" s="12">
        <f t="shared" si="4"/>
        <v>3.5124211123454749E-3</v>
      </c>
      <c r="D148" s="13">
        <f t="shared" si="5"/>
        <v>5.9461779561198622E-2</v>
      </c>
    </row>
    <row r="149" spans="1:4" x14ac:dyDescent="0.35">
      <c r="A149" s="10">
        <v>37926</v>
      </c>
      <c r="B149" s="15">
        <f>VLOOKUP(A149,Database!A:M,MATCH($A$1,Database!$A$1:$M$1,),)</f>
        <v>213317</v>
      </c>
      <c r="C149" s="12">
        <f t="shared" si="4"/>
        <v>4.8945251038732228E-3</v>
      </c>
      <c r="D149" s="13">
        <f t="shared" si="5"/>
        <v>5.8414043583535108E-2</v>
      </c>
    </row>
    <row r="150" spans="1:4" x14ac:dyDescent="0.35">
      <c r="A150" s="11">
        <v>37956</v>
      </c>
      <c r="B150" s="15">
        <f>VLOOKUP(A150,Database!A:M,MATCH($A$1,Database!$A$1:$M$1,),)</f>
        <v>213310</v>
      </c>
      <c r="C150" s="12">
        <f t="shared" si="4"/>
        <v>-3.2815012399386825E-5</v>
      </c>
      <c r="D150" s="13">
        <f t="shared" si="5"/>
        <v>5.7618412506383589E-2</v>
      </c>
    </row>
    <row r="151" spans="1:4" x14ac:dyDescent="0.35">
      <c r="A151" s="10">
        <v>37987</v>
      </c>
      <c r="B151" s="15">
        <f>VLOOKUP(A151,Database!A:M,MATCH($A$1,Database!$A$1:$M$1,),)</f>
        <v>215095</v>
      </c>
      <c r="C151" s="12">
        <f t="shared" si="4"/>
        <v>8.3681027612395112E-3</v>
      </c>
      <c r="D151" s="13">
        <f t="shared" si="5"/>
        <v>6.2187040127998736E-2</v>
      </c>
    </row>
    <row r="152" spans="1:4" x14ac:dyDescent="0.35">
      <c r="A152" s="11">
        <v>38018</v>
      </c>
      <c r="B152" s="15">
        <f>VLOOKUP(A152,Database!A:M,MATCH($A$1,Database!$A$1:$M$1,),)</f>
        <v>215044</v>
      </c>
      <c r="C152" s="12">
        <f t="shared" si="4"/>
        <v>-2.3710453520537438E-4</v>
      </c>
      <c r="D152" s="13">
        <f t="shared" si="5"/>
        <v>7.1218997046033072E-2</v>
      </c>
    </row>
    <row r="153" spans="1:4" x14ac:dyDescent="0.35">
      <c r="A153" s="10">
        <v>38047</v>
      </c>
      <c r="B153" s="15">
        <f>VLOOKUP(A153,Database!A:M,MATCH($A$1,Database!$A$1:$M$1,),)</f>
        <v>219096</v>
      </c>
      <c r="C153" s="12">
        <f t="shared" si="4"/>
        <v>1.8842655456557729E-2</v>
      </c>
      <c r="D153" s="13">
        <f t="shared" si="5"/>
        <v>7.5428633135194309E-2</v>
      </c>
    </row>
    <row r="154" spans="1:4" x14ac:dyDescent="0.35">
      <c r="A154" s="11">
        <v>38078</v>
      </c>
      <c r="B154" s="15">
        <f>VLOOKUP(A154,Database!A:M,MATCH($A$1,Database!$A$1:$M$1,),)</f>
        <v>218034</v>
      </c>
      <c r="C154" s="12">
        <f t="shared" si="4"/>
        <v>-4.8471902727571479E-3</v>
      </c>
      <c r="D154" s="13">
        <f t="shared" si="5"/>
        <v>7.1741406514975001E-2</v>
      </c>
    </row>
    <row r="155" spans="1:4" x14ac:dyDescent="0.35">
      <c r="A155" s="10">
        <v>38108</v>
      </c>
      <c r="B155" s="15">
        <f>VLOOKUP(A155,Database!A:M,MATCH($A$1,Database!$A$1:$M$1,),)</f>
        <v>219132</v>
      </c>
      <c r="C155" s="12">
        <f t="shared" si="4"/>
        <v>5.0359118302650049E-3</v>
      </c>
      <c r="D155" s="13">
        <f t="shared" si="5"/>
        <v>6.9249536449692589E-2</v>
      </c>
    </row>
    <row r="156" spans="1:4" x14ac:dyDescent="0.35">
      <c r="A156" s="11">
        <v>38139</v>
      </c>
      <c r="B156" s="15">
        <f>VLOOKUP(A156,Database!A:M,MATCH($A$1,Database!$A$1:$M$1,),)</f>
        <v>218917</v>
      </c>
      <c r="C156" s="12">
        <f t="shared" si="4"/>
        <v>-9.8114378548089741E-4</v>
      </c>
      <c r="D156" s="13">
        <f t="shared" si="5"/>
        <v>5.4899674254544055E-2</v>
      </c>
    </row>
    <row r="157" spans="1:4" x14ac:dyDescent="0.35">
      <c r="A157" s="10">
        <v>38169</v>
      </c>
      <c r="B157" s="15">
        <f>VLOOKUP(A157,Database!A:M,MATCH($A$1,Database!$A$1:$M$1,),)</f>
        <v>220566</v>
      </c>
      <c r="C157" s="12">
        <f t="shared" si="4"/>
        <v>7.5325351617279608E-3</v>
      </c>
      <c r="D157" s="13">
        <f t="shared" si="5"/>
        <v>5.281095168542544E-2</v>
      </c>
    </row>
    <row r="158" spans="1:4" x14ac:dyDescent="0.35">
      <c r="A158" s="11">
        <v>38200</v>
      </c>
      <c r="B158" s="15">
        <f>VLOOKUP(A158,Database!A:M,MATCH($A$1,Database!$A$1:$M$1,),)</f>
        <v>221060</v>
      </c>
      <c r="C158" s="12">
        <f t="shared" si="4"/>
        <v>2.2396924276633749E-3</v>
      </c>
      <c r="D158" s="13">
        <f t="shared" si="5"/>
        <v>4.3636724153396561E-2</v>
      </c>
    </row>
    <row r="159" spans="1:4" x14ac:dyDescent="0.35">
      <c r="A159" s="10">
        <v>38231</v>
      </c>
      <c r="B159" s="15">
        <f>VLOOKUP(A159,Database!A:M,MATCH($A$1,Database!$A$1:$M$1,),)</f>
        <v>222679</v>
      </c>
      <c r="C159" s="12">
        <f t="shared" si="4"/>
        <v>7.3238034922645436E-3</v>
      </c>
      <c r="D159" s="13">
        <f t="shared" si="5"/>
        <v>5.2681589335098214E-2</v>
      </c>
    </row>
    <row r="160" spans="1:4" x14ac:dyDescent="0.35">
      <c r="A160" s="11">
        <v>38261</v>
      </c>
      <c r="B160" s="15">
        <f>VLOOKUP(A160,Database!A:M,MATCH($A$1,Database!$A$1:$M$1,),)</f>
        <v>224226</v>
      </c>
      <c r="C160" s="12">
        <f t="shared" si="4"/>
        <v>6.9472199893119693E-3</v>
      </c>
      <c r="D160" s="13">
        <f t="shared" si="5"/>
        <v>5.6284683292663396E-2</v>
      </c>
    </row>
    <row r="161" spans="1:4" x14ac:dyDescent="0.35">
      <c r="A161" s="10">
        <v>38292</v>
      </c>
      <c r="B161" s="15">
        <f>VLOOKUP(A161,Database!A:M,MATCH($A$1,Database!$A$1:$M$1,),)</f>
        <v>225080</v>
      </c>
      <c r="C161" s="12">
        <f t="shared" si="4"/>
        <v>3.8086573367941273E-3</v>
      </c>
      <c r="D161" s="13">
        <f t="shared" si="5"/>
        <v>5.5143284407712469E-2</v>
      </c>
    </row>
    <row r="162" spans="1:4" x14ac:dyDescent="0.35">
      <c r="A162" s="11">
        <v>38322</v>
      </c>
      <c r="B162" s="15">
        <f>VLOOKUP(A162,Database!A:M,MATCH($A$1,Database!$A$1:$M$1,),)</f>
        <v>227441</v>
      </c>
      <c r="C162" s="12">
        <f t="shared" si="4"/>
        <v>1.0489603696463479E-2</v>
      </c>
      <c r="D162" s="13">
        <f t="shared" si="5"/>
        <v>6.6246308189958275E-2</v>
      </c>
    </row>
    <row r="163" spans="1:4" x14ac:dyDescent="0.35">
      <c r="A163" s="10">
        <v>38353</v>
      </c>
      <c r="B163" s="15">
        <f>VLOOKUP(A163,Database!A:M,MATCH($A$1,Database!$A$1:$M$1,),)</f>
        <v>228238</v>
      </c>
      <c r="C163" s="12">
        <f t="shared" si="4"/>
        <v>3.5042054862579747E-3</v>
      </c>
      <c r="D163" s="13">
        <f t="shared" si="5"/>
        <v>6.1103233454985008E-2</v>
      </c>
    </row>
    <row r="164" spans="1:4" x14ac:dyDescent="0.35">
      <c r="A164" s="11">
        <v>38384</v>
      </c>
      <c r="B164" s="15">
        <f>VLOOKUP(A164,Database!A:M,MATCH($A$1,Database!$A$1:$M$1,),)</f>
        <v>230238</v>
      </c>
      <c r="C164" s="12">
        <f t="shared" si="4"/>
        <v>8.762782709277158E-3</v>
      </c>
      <c r="D164" s="13">
        <f t="shared" si="5"/>
        <v>7.0655307750971896E-2</v>
      </c>
    </row>
    <row r="165" spans="1:4" x14ac:dyDescent="0.35">
      <c r="A165" s="10">
        <v>38412</v>
      </c>
      <c r="B165" s="15">
        <f>VLOOKUP(A165,Database!A:M,MATCH($A$1,Database!$A$1:$M$1,),)</f>
        <v>229936</v>
      </c>
      <c r="C165" s="12">
        <f t="shared" si="4"/>
        <v>-1.3116861682259228E-3</v>
      </c>
      <c r="D165" s="13">
        <f t="shared" si="5"/>
        <v>4.9476028772775404E-2</v>
      </c>
    </row>
    <row r="166" spans="1:4" x14ac:dyDescent="0.35">
      <c r="A166" s="11">
        <v>38443</v>
      </c>
      <c r="B166" s="15">
        <f>VLOOKUP(A166,Database!A:M,MATCH($A$1,Database!$A$1:$M$1,),)</f>
        <v>232925</v>
      </c>
      <c r="C166" s="12">
        <f t="shared" si="4"/>
        <v>1.2999269361909401E-2</v>
      </c>
      <c r="D166" s="13">
        <f t="shared" si="5"/>
        <v>6.8296687672564832E-2</v>
      </c>
    </row>
    <row r="167" spans="1:4" x14ac:dyDescent="0.35">
      <c r="A167" s="10">
        <v>38473</v>
      </c>
      <c r="B167" s="15">
        <f>VLOOKUP(A167,Database!A:M,MATCH($A$1,Database!$A$1:$M$1,),)</f>
        <v>232157</v>
      </c>
      <c r="C167" s="12">
        <f t="shared" si="4"/>
        <v>-3.2971986690994957E-3</v>
      </c>
      <c r="D167" s="13">
        <f t="shared" si="5"/>
        <v>5.9439059562272967E-2</v>
      </c>
    </row>
    <row r="168" spans="1:4" x14ac:dyDescent="0.35">
      <c r="A168" s="11">
        <v>38504</v>
      </c>
      <c r="B168" s="15">
        <f>VLOOKUP(A168,Database!A:M,MATCH($A$1,Database!$A$1:$M$1,),)</f>
        <v>234470</v>
      </c>
      <c r="C168" s="12">
        <f t="shared" si="4"/>
        <v>9.9630853258786088E-3</v>
      </c>
      <c r="D168" s="13">
        <f t="shared" si="5"/>
        <v>7.1045190643029096E-2</v>
      </c>
    </row>
    <row r="169" spans="1:4" x14ac:dyDescent="0.35">
      <c r="A169" s="10">
        <v>38534</v>
      </c>
      <c r="B169" s="15">
        <f>VLOOKUP(A169,Database!A:M,MATCH($A$1,Database!$A$1:$M$1,),)</f>
        <v>233995</v>
      </c>
      <c r="C169" s="12">
        <f t="shared" si="4"/>
        <v>-2.0258455239476267E-3</v>
      </c>
      <c r="D169" s="13">
        <f t="shared" si="5"/>
        <v>6.0884270467796486E-2</v>
      </c>
    </row>
    <row r="170" spans="1:4" x14ac:dyDescent="0.35">
      <c r="A170" s="11">
        <v>38565</v>
      </c>
      <c r="B170" s="15">
        <f>VLOOKUP(A170,Database!A:M,MATCH($A$1,Database!$A$1:$M$1,),)</f>
        <v>236121</v>
      </c>
      <c r="C170" s="12">
        <f t="shared" si="4"/>
        <v>9.0856642235945216E-3</v>
      </c>
      <c r="D170" s="13">
        <f t="shared" si="5"/>
        <v>6.8130824210621554E-2</v>
      </c>
    </row>
    <row r="171" spans="1:4" x14ac:dyDescent="0.35">
      <c r="A171" s="10">
        <v>38596</v>
      </c>
      <c r="B171" s="15">
        <f>VLOOKUP(A171,Database!A:M,MATCH($A$1,Database!$A$1:$M$1,),)</f>
        <v>237213</v>
      </c>
      <c r="C171" s="12">
        <f t="shared" si="4"/>
        <v>4.6247474811643187E-3</v>
      </c>
      <c r="D171" s="13">
        <f t="shared" si="5"/>
        <v>6.5268839899586401E-2</v>
      </c>
    </row>
    <row r="172" spans="1:4" x14ac:dyDescent="0.35">
      <c r="A172" s="11">
        <v>38626</v>
      </c>
      <c r="B172" s="15">
        <f>VLOOKUP(A172,Database!A:M,MATCH($A$1,Database!$A$1:$M$1,),)</f>
        <v>240333</v>
      </c>
      <c r="C172" s="12">
        <f t="shared" si="4"/>
        <v>1.3152736148524743E-2</v>
      </c>
      <c r="D172" s="13">
        <f t="shared" si="5"/>
        <v>7.1833774852158097E-2</v>
      </c>
    </row>
    <row r="173" spans="1:4" x14ac:dyDescent="0.35">
      <c r="A173" s="10">
        <v>38657</v>
      </c>
      <c r="B173" s="15">
        <f>VLOOKUP(A173,Database!A:M,MATCH($A$1,Database!$A$1:$M$1,),)</f>
        <v>240929</v>
      </c>
      <c r="C173" s="12">
        <f t="shared" si="4"/>
        <v>2.4798924825138453E-3</v>
      </c>
      <c r="D173" s="13">
        <f t="shared" si="5"/>
        <v>7.0414963568508973E-2</v>
      </c>
    </row>
    <row r="174" spans="1:4" x14ac:dyDescent="0.35">
      <c r="A174" s="11">
        <v>38687</v>
      </c>
      <c r="B174" s="15">
        <f>VLOOKUP(A174,Database!A:M,MATCH($A$1,Database!$A$1:$M$1,),)</f>
        <v>240919</v>
      </c>
      <c r="C174" s="12">
        <f t="shared" si="4"/>
        <v>-4.1506003843455954E-5</v>
      </c>
      <c r="D174" s="13">
        <f t="shared" si="5"/>
        <v>5.925932439621704E-2</v>
      </c>
    </row>
    <row r="175" spans="1:4" x14ac:dyDescent="0.35">
      <c r="A175" s="10">
        <v>38718</v>
      </c>
      <c r="B175" s="15">
        <f>VLOOKUP(A175,Database!A:M,MATCH($A$1,Database!$A$1:$M$1,),)</f>
        <v>246276</v>
      </c>
      <c r="C175" s="12">
        <f t="shared" si="4"/>
        <v>2.2235689173539654E-2</v>
      </c>
      <c r="D175" s="13">
        <f t="shared" si="5"/>
        <v>7.9031537254970682E-2</v>
      </c>
    </row>
    <row r="176" spans="1:4" x14ac:dyDescent="0.35">
      <c r="A176" s="11">
        <v>38749</v>
      </c>
      <c r="B176" s="15">
        <f>VLOOKUP(A176,Database!A:M,MATCH($A$1,Database!$A$1:$M$1,),)</f>
        <v>246424</v>
      </c>
      <c r="C176" s="12">
        <f t="shared" si="4"/>
        <v>6.0095177768032613E-4</v>
      </c>
      <c r="D176" s="13">
        <f t="shared" si="5"/>
        <v>7.0301166618890021E-2</v>
      </c>
    </row>
    <row r="177" spans="1:4" x14ac:dyDescent="0.35">
      <c r="A177" s="10">
        <v>38777</v>
      </c>
      <c r="B177" s="15">
        <f>VLOOKUP(A177,Database!A:M,MATCH($A$1,Database!$A$1:$M$1,),)</f>
        <v>246861</v>
      </c>
      <c r="C177" s="12">
        <f t="shared" si="4"/>
        <v>1.7733662305619582E-3</v>
      </c>
      <c r="D177" s="13">
        <f t="shared" si="5"/>
        <v>7.3607438591608093E-2</v>
      </c>
    </row>
    <row r="178" spans="1:4" x14ac:dyDescent="0.35">
      <c r="A178" s="11">
        <v>38808</v>
      </c>
      <c r="B178" s="15">
        <f>VLOOKUP(A178,Database!A:M,MATCH($A$1,Database!$A$1:$M$1,),)</f>
        <v>246879</v>
      </c>
      <c r="C178" s="12">
        <f t="shared" si="4"/>
        <v>7.2915527361551647E-5</v>
      </c>
      <c r="D178" s="13">
        <f t="shared" si="5"/>
        <v>5.9907695610174949E-2</v>
      </c>
    </row>
    <row r="179" spans="1:4" x14ac:dyDescent="0.35">
      <c r="A179" s="10">
        <v>38838</v>
      </c>
      <c r="B179" s="15">
        <f>VLOOKUP(A179,Database!A:M,MATCH($A$1,Database!$A$1:$M$1,),)</f>
        <v>246464</v>
      </c>
      <c r="C179" s="12">
        <f t="shared" si="4"/>
        <v>-1.6809854220083522E-3</v>
      </c>
      <c r="D179" s="13">
        <f t="shared" si="5"/>
        <v>6.1626399376284155E-2</v>
      </c>
    </row>
    <row r="180" spans="1:4" x14ac:dyDescent="0.35">
      <c r="A180" s="11">
        <v>38869</v>
      </c>
      <c r="B180" s="15">
        <f>VLOOKUP(A180,Database!A:M,MATCH($A$1,Database!$A$1:$M$1,),)</f>
        <v>246282</v>
      </c>
      <c r="C180" s="12">
        <f t="shared" si="4"/>
        <v>-7.3844455985458326E-4</v>
      </c>
      <c r="D180" s="13">
        <f t="shared" si="5"/>
        <v>5.0377447008146031E-2</v>
      </c>
    </row>
    <row r="181" spans="1:4" x14ac:dyDescent="0.35">
      <c r="A181" s="10">
        <v>38899</v>
      </c>
      <c r="B181" s="15">
        <f>VLOOKUP(A181,Database!A:M,MATCH($A$1,Database!$A$1:$M$1,),)</f>
        <v>246079</v>
      </c>
      <c r="C181" s="12">
        <f t="shared" si="4"/>
        <v>-8.2425837048586575E-4</v>
      </c>
      <c r="D181" s="13">
        <f t="shared" si="5"/>
        <v>5.1642129105322766E-2</v>
      </c>
    </row>
    <row r="182" spans="1:4" x14ac:dyDescent="0.35">
      <c r="A182" s="11">
        <v>38930</v>
      </c>
      <c r="B182" s="15">
        <f>VLOOKUP(A182,Database!A:M,MATCH($A$1,Database!$A$1:$M$1,),)</f>
        <v>247808</v>
      </c>
      <c r="C182" s="12">
        <f t="shared" si="4"/>
        <v>7.0261989036041273E-3</v>
      </c>
      <c r="D182" s="13">
        <f t="shared" si="5"/>
        <v>4.949580935198479E-2</v>
      </c>
    </row>
    <row r="183" spans="1:4" x14ac:dyDescent="0.35">
      <c r="A183" s="10">
        <v>38961</v>
      </c>
      <c r="B183" s="15">
        <f>VLOOKUP(A183,Database!A:M,MATCH($A$1,Database!$A$1:$M$1,),)</f>
        <v>249447</v>
      </c>
      <c r="C183" s="12">
        <f t="shared" si="4"/>
        <v>6.613991477272727E-3</v>
      </c>
      <c r="D183" s="13">
        <f t="shared" si="5"/>
        <v>5.1573901936234526E-2</v>
      </c>
    </row>
    <row r="184" spans="1:4" x14ac:dyDescent="0.35">
      <c r="A184" s="11">
        <v>38991</v>
      </c>
      <c r="B184" s="15">
        <f>VLOOKUP(A184,Database!A:M,MATCH($A$1,Database!$A$1:$M$1,),)</f>
        <v>250103</v>
      </c>
      <c r="C184" s="12">
        <f t="shared" si="4"/>
        <v>2.6298171555480723E-3</v>
      </c>
      <c r="D184" s="13">
        <f t="shared" si="5"/>
        <v>4.06519287821481E-2</v>
      </c>
    </row>
    <row r="185" spans="1:4" x14ac:dyDescent="0.35">
      <c r="A185" s="10">
        <v>39022</v>
      </c>
      <c r="B185" s="15">
        <f>VLOOKUP(A185,Database!A:M,MATCH($A$1,Database!$A$1:$M$1,),)</f>
        <v>249880</v>
      </c>
      <c r="C185" s="12">
        <f t="shared" si="4"/>
        <v>-8.9163264734929207E-4</v>
      </c>
      <c r="D185" s="13">
        <f t="shared" si="5"/>
        <v>3.7152024040277426E-2</v>
      </c>
    </row>
    <row r="186" spans="1:4" x14ac:dyDescent="0.35">
      <c r="A186" s="11">
        <v>39052</v>
      </c>
      <c r="B186" s="15">
        <f>VLOOKUP(A186,Database!A:M,MATCH($A$1,Database!$A$1:$M$1,),)</f>
        <v>253397</v>
      </c>
      <c r="C186" s="12">
        <f t="shared" si="4"/>
        <v>1.4074755882823755E-2</v>
      </c>
      <c r="D186" s="13">
        <f t="shared" si="5"/>
        <v>5.1793341330488671E-2</v>
      </c>
    </row>
    <row r="187" spans="1:4" x14ac:dyDescent="0.35">
      <c r="A187" s="10">
        <v>39083</v>
      </c>
      <c r="B187" s="15">
        <f>VLOOKUP(A187,Database!A:M,MATCH($A$1,Database!$A$1:$M$1,),)</f>
        <v>253973</v>
      </c>
      <c r="C187" s="12">
        <f t="shared" si="4"/>
        <v>2.273112941352897E-3</v>
      </c>
      <c r="D187" s="13">
        <f t="shared" si="5"/>
        <v>3.1253552924361286E-2</v>
      </c>
    </row>
    <row r="188" spans="1:4" x14ac:dyDescent="0.35">
      <c r="A188" s="11">
        <v>39114</v>
      </c>
      <c r="B188" s="15">
        <f>VLOOKUP(A188,Database!A:M,MATCH($A$1,Database!$A$1:$M$1,),)</f>
        <v>253233</v>
      </c>
      <c r="C188" s="12">
        <f t="shared" si="4"/>
        <v>-2.9136955503144034E-3</v>
      </c>
      <c r="D188" s="13">
        <f t="shared" si="5"/>
        <v>2.7631237217154173E-2</v>
      </c>
    </row>
    <row r="189" spans="1:4" x14ac:dyDescent="0.35">
      <c r="A189" s="10">
        <v>39142</v>
      </c>
      <c r="B189" s="15">
        <f>VLOOKUP(A189,Database!A:M,MATCH($A$1,Database!$A$1:$M$1,),)</f>
        <v>255687</v>
      </c>
      <c r="C189" s="12">
        <f t="shared" si="4"/>
        <v>9.6906801246283061E-3</v>
      </c>
      <c r="D189" s="13">
        <f t="shared" si="5"/>
        <v>3.5752913582947486E-2</v>
      </c>
    </row>
    <row r="190" spans="1:4" x14ac:dyDescent="0.35">
      <c r="A190" s="11">
        <v>39173</v>
      </c>
      <c r="B190" s="15">
        <f>VLOOKUP(A190,Database!A:M,MATCH($A$1,Database!$A$1:$M$1,),)</f>
        <v>253632</v>
      </c>
      <c r="C190" s="12">
        <f t="shared" si="4"/>
        <v>-8.037170446678947E-3</v>
      </c>
      <c r="D190" s="13">
        <f t="shared" si="5"/>
        <v>2.7353480854993742E-2</v>
      </c>
    </row>
    <row r="191" spans="1:4" x14ac:dyDescent="0.35">
      <c r="A191" s="10">
        <v>39203</v>
      </c>
      <c r="B191" s="15">
        <f>VLOOKUP(A191,Database!A:M,MATCH($A$1,Database!$A$1:$M$1,),)</f>
        <v>255752</v>
      </c>
      <c r="C191" s="12">
        <f t="shared" si="4"/>
        <v>8.3585667423668932E-3</v>
      </c>
      <c r="D191" s="13">
        <f t="shared" si="5"/>
        <v>3.7685016878732797E-2</v>
      </c>
    </row>
    <row r="192" spans="1:4" x14ac:dyDescent="0.35">
      <c r="A192" s="11">
        <v>39234</v>
      </c>
      <c r="B192" s="15">
        <f>VLOOKUP(A192,Database!A:M,MATCH($A$1,Database!$A$1:$M$1,),)</f>
        <v>256050</v>
      </c>
      <c r="C192" s="12">
        <f t="shared" si="4"/>
        <v>1.1651912790515812E-3</v>
      </c>
      <c r="D192" s="13">
        <f t="shared" si="5"/>
        <v>3.9661851048797721E-2</v>
      </c>
    </row>
    <row r="193" spans="1:4" x14ac:dyDescent="0.35">
      <c r="A193" s="10">
        <v>39264</v>
      </c>
      <c r="B193" s="15">
        <f>VLOOKUP(A193,Database!A:M,MATCH($A$1,Database!$A$1:$M$1,),)</f>
        <v>257719</v>
      </c>
      <c r="C193" s="12">
        <f t="shared" si="4"/>
        <v>6.5182581527045503E-3</v>
      </c>
      <c r="D193" s="13">
        <f t="shared" si="5"/>
        <v>4.7301882728717201E-2</v>
      </c>
    </row>
    <row r="194" spans="1:4" x14ac:dyDescent="0.35">
      <c r="A194" s="11">
        <v>39295</v>
      </c>
      <c r="B194" s="15">
        <f>VLOOKUP(A194,Database!A:M,MATCH($A$1,Database!$A$1:$M$1,),)</f>
        <v>257586</v>
      </c>
      <c r="C194" s="12">
        <f t="shared" si="4"/>
        <v>-5.1606594779585516E-4</v>
      </c>
      <c r="D194" s="13">
        <f t="shared" si="5"/>
        <v>3.9457967458677683E-2</v>
      </c>
    </row>
    <row r="195" spans="1:4" x14ac:dyDescent="0.35">
      <c r="A195" s="10">
        <v>39326</v>
      </c>
      <c r="B195" s="15">
        <f>VLOOKUP(A195,Database!A:M,MATCH($A$1,Database!$A$1:$M$1,),)</f>
        <v>257483</v>
      </c>
      <c r="C195" s="12">
        <f t="shared" si="4"/>
        <v>-3.9986645236930578E-4</v>
      </c>
      <c r="D195" s="13">
        <f t="shared" si="5"/>
        <v>3.2215260155463887E-2</v>
      </c>
    </row>
    <row r="196" spans="1:4" x14ac:dyDescent="0.35">
      <c r="A196" s="11">
        <v>39356</v>
      </c>
      <c r="B196" s="15">
        <f>VLOOKUP(A196,Database!A:M,MATCH($A$1,Database!$A$1:$M$1,),)</f>
        <v>258365</v>
      </c>
      <c r="C196" s="12">
        <f t="shared" si="4"/>
        <v>3.4254688659057101E-3</v>
      </c>
      <c r="D196" s="13">
        <f t="shared" si="5"/>
        <v>3.3034389831389468E-2</v>
      </c>
    </row>
    <row r="197" spans="1:4" x14ac:dyDescent="0.35">
      <c r="A197" s="10">
        <v>39387</v>
      </c>
      <c r="B197" s="15">
        <f>VLOOKUP(A197,Database!A:M,MATCH($A$1,Database!$A$1:$M$1,),)</f>
        <v>260954</v>
      </c>
      <c r="C197" s="12">
        <f t="shared" si="4"/>
        <v>1.0020707139124882E-2</v>
      </c>
      <c r="D197" s="13">
        <f t="shared" si="5"/>
        <v>4.4317272290699539E-2</v>
      </c>
    </row>
    <row r="198" spans="1:4" x14ac:dyDescent="0.35">
      <c r="A198" s="11">
        <v>39417</v>
      </c>
      <c r="B198" s="15">
        <f>VLOOKUP(A198,Database!A:M,MATCH($A$1,Database!$A$1:$M$1,),)</f>
        <v>259360</v>
      </c>
      <c r="C198" s="12">
        <f t="shared" si="4"/>
        <v>-6.1083562620231919E-3</v>
      </c>
      <c r="D198" s="13">
        <f t="shared" si="5"/>
        <v>2.3532243870290494E-2</v>
      </c>
    </row>
    <row r="199" spans="1:4" x14ac:dyDescent="0.35">
      <c r="A199" s="10">
        <v>39448</v>
      </c>
      <c r="B199" s="15">
        <f>VLOOKUP(A199,Database!A:M,MATCH($A$1,Database!$A$1:$M$1,),)</f>
        <v>258979</v>
      </c>
      <c r="C199" s="12">
        <f t="shared" si="4"/>
        <v>-1.4690006169031462E-3</v>
      </c>
      <c r="D199" s="13">
        <f t="shared" si="5"/>
        <v>1.9710756655235005E-2</v>
      </c>
    </row>
    <row r="200" spans="1:4" x14ac:dyDescent="0.35">
      <c r="A200" s="11">
        <v>39479</v>
      </c>
      <c r="B200" s="15">
        <f>VLOOKUP(A200,Database!A:M,MATCH($A$1,Database!$A$1:$M$1,),)</f>
        <v>257123</v>
      </c>
      <c r="C200" s="12">
        <f t="shared" ref="C200:C263" si="6">(B200-B199)/B199</f>
        <v>-7.1666042420427912E-3</v>
      </c>
      <c r="D200" s="13">
        <f t="shared" si="5"/>
        <v>1.5361347059822377E-2</v>
      </c>
    </row>
    <row r="201" spans="1:4" x14ac:dyDescent="0.35">
      <c r="A201" s="10">
        <v>39508</v>
      </c>
      <c r="B201" s="15">
        <f>VLOOKUP(A201,Database!A:M,MATCH($A$1,Database!$A$1:$M$1,),)</f>
        <v>257927</v>
      </c>
      <c r="C201" s="12">
        <f t="shared" si="6"/>
        <v>3.1269081334614171E-3</v>
      </c>
      <c r="D201" s="13">
        <f t="shared" si="5"/>
        <v>8.7607113384724298E-3</v>
      </c>
    </row>
    <row r="202" spans="1:4" x14ac:dyDescent="0.35">
      <c r="A202" s="11">
        <v>39539</v>
      </c>
      <c r="B202" s="15">
        <f>VLOOKUP(A202,Database!A:M,MATCH($A$1,Database!$A$1:$M$1,),)</f>
        <v>259587</v>
      </c>
      <c r="C202" s="12">
        <f t="shared" si="6"/>
        <v>6.4359295459568014E-3</v>
      </c>
      <c r="D202" s="13">
        <f t="shared" si="5"/>
        <v>2.3478898561695685E-2</v>
      </c>
    </row>
    <row r="203" spans="1:4" x14ac:dyDescent="0.35">
      <c r="A203" s="10">
        <v>39569</v>
      </c>
      <c r="B203" s="15">
        <f>VLOOKUP(A203,Database!A:M,MATCH($A$1,Database!$A$1:$M$1,),)</f>
        <v>262549</v>
      </c>
      <c r="C203" s="12">
        <f t="shared" si="6"/>
        <v>1.1410432725829875E-2</v>
      </c>
      <c r="D203" s="13">
        <f t="shared" si="5"/>
        <v>2.6576527260783883E-2</v>
      </c>
    </row>
    <row r="204" spans="1:4" x14ac:dyDescent="0.35">
      <c r="A204" s="11">
        <v>39600</v>
      </c>
      <c r="B204" s="15">
        <f>VLOOKUP(A204,Database!A:M,MATCH($A$1,Database!$A$1:$M$1,),)</f>
        <v>262747</v>
      </c>
      <c r="C204" s="12">
        <f t="shared" si="6"/>
        <v>7.5414494056347573E-4</v>
      </c>
      <c r="D204" s="13">
        <f t="shared" si="5"/>
        <v>2.6155047842218317E-2</v>
      </c>
    </row>
    <row r="205" spans="1:4" x14ac:dyDescent="0.35">
      <c r="A205" s="10">
        <v>39630</v>
      </c>
      <c r="B205" s="15">
        <f>VLOOKUP(A205,Database!A:M,MATCH($A$1,Database!$A$1:$M$1,),)</f>
        <v>263828</v>
      </c>
      <c r="C205" s="12">
        <f t="shared" si="6"/>
        <v>4.1142239492743971E-3</v>
      </c>
      <c r="D205" s="13">
        <f t="shared" si="5"/>
        <v>2.3704111842743455E-2</v>
      </c>
    </row>
    <row r="206" spans="1:4" x14ac:dyDescent="0.35">
      <c r="A206" s="11">
        <v>39661</v>
      </c>
      <c r="B206" s="15">
        <f>VLOOKUP(A206,Database!A:M,MATCH($A$1,Database!$A$1:$M$1,),)</f>
        <v>261654</v>
      </c>
      <c r="C206" s="12">
        <f t="shared" si="6"/>
        <v>-8.2402171111481716E-3</v>
      </c>
      <c r="D206" s="13">
        <f t="shared" si="5"/>
        <v>1.5792783769304233E-2</v>
      </c>
    </row>
    <row r="207" spans="1:4" x14ac:dyDescent="0.35">
      <c r="A207" s="10">
        <v>39692</v>
      </c>
      <c r="B207" s="15">
        <f>VLOOKUP(A207,Database!A:M,MATCH($A$1,Database!$A$1:$M$1,),)</f>
        <v>258403</v>
      </c>
      <c r="C207" s="12">
        <f t="shared" si="6"/>
        <v>-1.2424805277198131E-2</v>
      </c>
      <c r="D207" s="13">
        <f t="shared" si="5"/>
        <v>3.5730514247542555E-3</v>
      </c>
    </row>
    <row r="208" spans="1:4" x14ac:dyDescent="0.35">
      <c r="A208" s="11">
        <v>39722</v>
      </c>
      <c r="B208" s="15">
        <f>VLOOKUP(A208,Database!A:M,MATCH($A$1,Database!$A$1:$M$1,),)</f>
        <v>255767</v>
      </c>
      <c r="C208" s="12">
        <f t="shared" si="6"/>
        <v>-1.0201119956037662E-2</v>
      </c>
      <c r="D208" s="13">
        <f t="shared" si="5"/>
        <v>-1.0055541578774215E-2</v>
      </c>
    </row>
    <row r="209" spans="1:4" x14ac:dyDescent="0.35">
      <c r="A209" s="10">
        <v>39753</v>
      </c>
      <c r="B209" s="15">
        <f>VLOOKUP(A209,Database!A:M,MATCH($A$1,Database!$A$1:$M$1,),)</f>
        <v>252590</v>
      </c>
      <c r="C209" s="12">
        <f t="shared" si="6"/>
        <v>-1.2421461721019522E-2</v>
      </c>
      <c r="D209" s="13">
        <f t="shared" si="5"/>
        <v>-3.2051625957065233E-2</v>
      </c>
    </row>
    <row r="210" spans="1:4" x14ac:dyDescent="0.35">
      <c r="A210" s="11">
        <v>39783</v>
      </c>
      <c r="B210" s="15">
        <f>VLOOKUP(A210,Database!A:M,MATCH($A$1,Database!$A$1:$M$1,),)</f>
        <v>249969</v>
      </c>
      <c r="C210" s="12">
        <f t="shared" si="6"/>
        <v>-1.0376499465537037E-2</v>
      </c>
      <c r="D210" s="13">
        <f t="shared" si="5"/>
        <v>-3.6208359037631095E-2</v>
      </c>
    </row>
    <row r="211" spans="1:4" x14ac:dyDescent="0.35">
      <c r="A211" s="10">
        <v>39814</v>
      </c>
      <c r="B211" s="15">
        <f>VLOOKUP(A211,Database!A:M,MATCH($A$1,Database!$A$1:$M$1,),)</f>
        <v>252321</v>
      </c>
      <c r="C211" s="12">
        <f t="shared" si="6"/>
        <v>9.4091667366753475E-3</v>
      </c>
      <c r="D211" s="13">
        <f t="shared" ref="D211:D274" si="7">(B211-B199)/B199</f>
        <v>-2.5708648191552212E-2</v>
      </c>
    </row>
    <row r="212" spans="1:4" x14ac:dyDescent="0.35">
      <c r="A212" s="11">
        <v>39845</v>
      </c>
      <c r="B212" s="15">
        <f>VLOOKUP(A212,Database!A:M,MATCH($A$1,Database!$A$1:$M$1,),)</f>
        <v>251528</v>
      </c>
      <c r="C212" s="12">
        <f t="shared" si="6"/>
        <v>-3.1428220401789782E-3</v>
      </c>
      <c r="D212" s="13">
        <f t="shared" si="7"/>
        <v>-2.1760013689946057E-2</v>
      </c>
    </row>
    <row r="213" spans="1:4" x14ac:dyDescent="0.35">
      <c r="A213" s="10">
        <v>39873</v>
      </c>
      <c r="B213" s="15">
        <f>VLOOKUP(A213,Database!A:M,MATCH($A$1,Database!$A$1:$M$1,),)</f>
        <v>247822</v>
      </c>
      <c r="C213" s="12">
        <f t="shared" si="6"/>
        <v>-1.4733946121306574E-2</v>
      </c>
      <c r="D213" s="13">
        <f t="shared" si="7"/>
        <v>-3.9177751844514143E-2</v>
      </c>
    </row>
    <row r="214" spans="1:4" x14ac:dyDescent="0.35">
      <c r="A214" s="11">
        <v>39904</v>
      </c>
      <c r="B214" s="15">
        <f>VLOOKUP(A214,Database!A:M,MATCH($A$1,Database!$A$1:$M$1,),)</f>
        <v>249048</v>
      </c>
      <c r="C214" s="12">
        <f t="shared" si="6"/>
        <v>4.9470991275996478E-3</v>
      </c>
      <c r="D214" s="13">
        <f t="shared" si="7"/>
        <v>-4.0599105502201575E-2</v>
      </c>
    </row>
    <row r="215" spans="1:4" x14ac:dyDescent="0.35">
      <c r="A215" s="10">
        <v>39934</v>
      </c>
      <c r="B215" s="15">
        <f>VLOOKUP(A215,Database!A:M,MATCH($A$1,Database!$A$1:$M$1,),)</f>
        <v>249679</v>
      </c>
      <c r="C215" s="12">
        <f t="shared" si="6"/>
        <v>2.5336481320869871E-3</v>
      </c>
      <c r="D215" s="13">
        <f t="shared" si="7"/>
        <v>-4.9019421136625926E-2</v>
      </c>
    </row>
    <row r="216" spans="1:4" x14ac:dyDescent="0.35">
      <c r="A216" s="11">
        <v>39965</v>
      </c>
      <c r="B216" s="15">
        <f>VLOOKUP(A216,Database!A:M,MATCH($A$1,Database!$A$1:$M$1,),)</f>
        <v>249897</v>
      </c>
      <c r="C216" s="12">
        <f t="shared" si="6"/>
        <v>8.7312108747631962E-4</v>
      </c>
      <c r="D216" s="13">
        <f t="shared" si="7"/>
        <v>-4.890636239424237E-2</v>
      </c>
    </row>
    <row r="217" spans="1:4" x14ac:dyDescent="0.35">
      <c r="A217" s="10">
        <v>39995</v>
      </c>
      <c r="B217" s="15">
        <f>VLOOKUP(A217,Database!A:M,MATCH($A$1,Database!$A$1:$M$1,),)</f>
        <v>249703</v>
      </c>
      <c r="C217" s="12">
        <f t="shared" si="6"/>
        <v>-7.7631984377563555E-4</v>
      </c>
      <c r="D217" s="13">
        <f t="shared" si="7"/>
        <v>-5.3538669132919936E-2</v>
      </c>
    </row>
    <row r="218" spans="1:4" x14ac:dyDescent="0.35">
      <c r="A218" s="11">
        <v>40026</v>
      </c>
      <c r="B218" s="15">
        <f>VLOOKUP(A218,Database!A:M,MATCH($A$1,Database!$A$1:$M$1,),)</f>
        <v>249747</v>
      </c>
      <c r="C218" s="12">
        <f t="shared" si="6"/>
        <v>1.7620933669199008E-4</v>
      </c>
      <c r="D218" s="13">
        <f t="shared" si="7"/>
        <v>-4.5506661468962831E-2</v>
      </c>
    </row>
    <row r="219" spans="1:4" x14ac:dyDescent="0.35">
      <c r="A219" s="10">
        <v>40057</v>
      </c>
      <c r="B219" s="15">
        <f>VLOOKUP(A219,Database!A:M,MATCH($A$1,Database!$A$1:$M$1,),)</f>
        <v>250173</v>
      </c>
      <c r="C219" s="12">
        <f t="shared" si="6"/>
        <v>1.7057261949092481E-3</v>
      </c>
      <c r="D219" s="13">
        <f t="shared" si="7"/>
        <v>-3.1849475431786782E-2</v>
      </c>
    </row>
    <row r="220" spans="1:4" x14ac:dyDescent="0.35">
      <c r="A220" s="11">
        <v>40087</v>
      </c>
      <c r="B220" s="15">
        <f>VLOOKUP(A220,Database!A:M,MATCH($A$1,Database!$A$1:$M$1,),)</f>
        <v>250300</v>
      </c>
      <c r="C220" s="12">
        <f t="shared" si="6"/>
        <v>5.076487070946905E-4</v>
      </c>
      <c r="D220" s="13">
        <f t="shared" si="7"/>
        <v>-2.1374923270007468E-2</v>
      </c>
    </row>
    <row r="221" spans="1:4" x14ac:dyDescent="0.35">
      <c r="A221" s="10">
        <v>40118</v>
      </c>
      <c r="B221" s="15">
        <f>VLOOKUP(A221,Database!A:M,MATCH($A$1,Database!$A$1:$M$1,),)</f>
        <v>250447</v>
      </c>
      <c r="C221" s="12">
        <f t="shared" si="6"/>
        <v>5.8729524570515386E-4</v>
      </c>
      <c r="D221" s="13">
        <f t="shared" si="7"/>
        <v>-8.4841046755611861E-3</v>
      </c>
    </row>
    <row r="222" spans="1:4" x14ac:dyDescent="0.35">
      <c r="A222" s="11">
        <v>40148</v>
      </c>
      <c r="B222" s="15">
        <f>VLOOKUP(A222,Database!A:M,MATCH($A$1,Database!$A$1:$M$1,),)</f>
        <v>251811</v>
      </c>
      <c r="C222" s="12">
        <f t="shared" si="6"/>
        <v>5.4462620833948903E-3</v>
      </c>
      <c r="D222" s="13">
        <f t="shared" si="7"/>
        <v>7.3689137453044175E-3</v>
      </c>
    </row>
    <row r="223" spans="1:4" x14ac:dyDescent="0.35">
      <c r="A223" s="10">
        <v>40179</v>
      </c>
      <c r="B223" s="15">
        <f>VLOOKUP(A223,Database!A:M,MATCH($A$1,Database!$A$1:$M$1,),)</f>
        <v>251846</v>
      </c>
      <c r="C223" s="12">
        <f t="shared" si="6"/>
        <v>1.3899313373919329E-4</v>
      </c>
      <c r="D223" s="13">
        <f t="shared" si="7"/>
        <v>-1.8825226596280134E-3</v>
      </c>
    </row>
    <row r="224" spans="1:4" x14ac:dyDescent="0.35">
      <c r="A224" s="11">
        <v>40210</v>
      </c>
      <c r="B224" s="15">
        <f>VLOOKUP(A224,Database!A:M,MATCH($A$1,Database!$A$1:$M$1,),)</f>
        <v>254082</v>
      </c>
      <c r="C224" s="12">
        <f t="shared" si="6"/>
        <v>8.878441587319234E-3</v>
      </c>
      <c r="D224" s="13">
        <f t="shared" si="7"/>
        <v>1.0153939124073662E-2</v>
      </c>
    </row>
    <row r="225" spans="1:4" x14ac:dyDescent="0.35">
      <c r="A225" s="10">
        <v>40238</v>
      </c>
      <c r="B225" s="15">
        <f>VLOOKUP(A225,Database!A:M,MATCH($A$1,Database!$A$1:$M$1,),)</f>
        <v>256340</v>
      </c>
      <c r="C225" s="12">
        <f t="shared" si="6"/>
        <v>8.8868947819995114E-3</v>
      </c>
      <c r="D225" s="13">
        <f t="shared" si="7"/>
        <v>3.4371444020304898E-2</v>
      </c>
    </row>
    <row r="226" spans="1:4" x14ac:dyDescent="0.35">
      <c r="A226" s="11">
        <v>40269</v>
      </c>
      <c r="B226" s="15">
        <f>VLOOKUP(A226,Database!A:M,MATCH($A$1,Database!$A$1:$M$1,),)</f>
        <v>258420</v>
      </c>
      <c r="C226" s="12">
        <f t="shared" si="6"/>
        <v>8.1142232971834274E-3</v>
      </c>
      <c r="D226" s="13">
        <f t="shared" si="7"/>
        <v>3.7631299990363305E-2</v>
      </c>
    </row>
    <row r="227" spans="1:4" x14ac:dyDescent="0.35">
      <c r="A227" s="10">
        <v>40299</v>
      </c>
      <c r="B227" s="15">
        <f>VLOOKUP(A227,Database!A:M,MATCH($A$1,Database!$A$1:$M$1,),)</f>
        <v>256078</v>
      </c>
      <c r="C227" s="12">
        <f t="shared" si="6"/>
        <v>-9.0627660397802033E-3</v>
      </c>
      <c r="D227" s="13">
        <f t="shared" si="7"/>
        <v>2.562890751725215E-2</v>
      </c>
    </row>
    <row r="228" spans="1:4" x14ac:dyDescent="0.35">
      <c r="A228" s="11">
        <v>40330</v>
      </c>
      <c r="B228" s="15">
        <f>VLOOKUP(A228,Database!A:M,MATCH($A$1,Database!$A$1:$M$1,),)</f>
        <v>256732</v>
      </c>
      <c r="C228" s="12">
        <f t="shared" si="6"/>
        <v>2.5539093557431719E-3</v>
      </c>
      <c r="D228" s="13">
        <f t="shared" si="7"/>
        <v>2.7351268722713758E-2</v>
      </c>
    </row>
    <row r="229" spans="1:4" x14ac:dyDescent="0.35">
      <c r="A229" s="10">
        <v>40360</v>
      </c>
      <c r="B229" s="15">
        <f>VLOOKUP(A229,Database!A:M,MATCH($A$1,Database!$A$1:$M$1,),)</f>
        <v>256401</v>
      </c>
      <c r="C229" s="12">
        <f t="shared" si="6"/>
        <v>-1.2892822086845426E-3</v>
      </c>
      <c r="D229" s="13">
        <f t="shared" si="7"/>
        <v>2.68238667537034E-2</v>
      </c>
    </row>
    <row r="230" spans="1:4" x14ac:dyDescent="0.35">
      <c r="A230" s="11">
        <v>40391</v>
      </c>
      <c r="B230" s="15">
        <f>VLOOKUP(A230,Database!A:M,MATCH($A$1,Database!$A$1:$M$1,),)</f>
        <v>257842</v>
      </c>
      <c r="C230" s="12">
        <f t="shared" si="6"/>
        <v>5.620102885714174E-3</v>
      </c>
      <c r="D230" s="13">
        <f t="shared" si="7"/>
        <v>3.241280175537644E-2</v>
      </c>
    </row>
    <row r="231" spans="1:4" x14ac:dyDescent="0.35">
      <c r="A231" s="10">
        <v>40422</v>
      </c>
      <c r="B231" s="15">
        <f>VLOOKUP(A231,Database!A:M,MATCH($A$1,Database!$A$1:$M$1,),)</f>
        <v>259029</v>
      </c>
      <c r="C231" s="12">
        <f t="shared" si="6"/>
        <v>4.6035944493139211E-3</v>
      </c>
      <c r="D231" s="13">
        <f t="shared" si="7"/>
        <v>3.5399503543547865E-2</v>
      </c>
    </row>
    <row r="232" spans="1:4" x14ac:dyDescent="0.35">
      <c r="A232" s="11">
        <v>40452</v>
      </c>
      <c r="B232" s="15">
        <f>VLOOKUP(A232,Database!A:M,MATCH($A$1,Database!$A$1:$M$1,),)</f>
        <v>260142</v>
      </c>
      <c r="C232" s="12">
        <f t="shared" si="6"/>
        <v>4.2968161866045887E-3</v>
      </c>
      <c r="D232" s="13">
        <f t="shared" si="7"/>
        <v>3.9320815021973633E-2</v>
      </c>
    </row>
    <row r="233" spans="1:4" x14ac:dyDescent="0.35">
      <c r="A233" s="10">
        <v>40483</v>
      </c>
      <c r="B233" s="15">
        <f>VLOOKUP(A233,Database!A:M,MATCH($A$1,Database!$A$1:$M$1,),)</f>
        <v>262546</v>
      </c>
      <c r="C233" s="12">
        <f t="shared" si="6"/>
        <v>9.2411067801431521E-3</v>
      </c>
      <c r="D233" s="13">
        <f t="shared" si="7"/>
        <v>4.8309622395157459E-2</v>
      </c>
    </row>
    <row r="234" spans="1:4" x14ac:dyDescent="0.35">
      <c r="A234" s="11">
        <v>40513</v>
      </c>
      <c r="B234" s="15">
        <f>VLOOKUP(A234,Database!A:M,MATCH($A$1,Database!$A$1:$M$1,),)</f>
        <v>262654</v>
      </c>
      <c r="C234" s="12">
        <f t="shared" si="6"/>
        <v>4.1135648610148316E-4</v>
      </c>
      <c r="D234" s="13">
        <f t="shared" si="7"/>
        <v>4.3060072832402083E-2</v>
      </c>
    </row>
    <row r="235" spans="1:4" x14ac:dyDescent="0.35">
      <c r="A235" s="10">
        <v>40544</v>
      </c>
      <c r="B235" s="15">
        <f>VLOOKUP(A235,Database!A:M,MATCH($A$1,Database!$A$1:$M$1,),)</f>
        <v>264029</v>
      </c>
      <c r="C235" s="12">
        <f t="shared" si="6"/>
        <v>5.2350240240011574E-3</v>
      </c>
      <c r="D235" s="13">
        <f t="shared" si="7"/>
        <v>4.8374800473305113E-2</v>
      </c>
    </row>
    <row r="236" spans="1:4" x14ac:dyDescent="0.35">
      <c r="A236" s="11">
        <v>40575</v>
      </c>
      <c r="B236" s="15">
        <f>VLOOKUP(A236,Database!A:M,MATCH($A$1,Database!$A$1:$M$1,),)</f>
        <v>265515</v>
      </c>
      <c r="C236" s="12">
        <f t="shared" si="6"/>
        <v>5.6281696328812367E-3</v>
      </c>
      <c r="D236" s="13">
        <f t="shared" si="7"/>
        <v>4.4997284341275652E-2</v>
      </c>
    </row>
    <row r="237" spans="1:4" x14ac:dyDescent="0.35">
      <c r="A237" s="10">
        <v>40603</v>
      </c>
      <c r="B237" s="15">
        <f>VLOOKUP(A237,Database!A:M,MATCH($A$1,Database!$A$1:$M$1,),)</f>
        <v>267215</v>
      </c>
      <c r="C237" s="12">
        <f t="shared" si="6"/>
        <v>6.4026514509538069E-3</v>
      </c>
      <c r="D237" s="13">
        <f t="shared" si="7"/>
        <v>4.2424124210033547E-2</v>
      </c>
    </row>
    <row r="238" spans="1:4" x14ac:dyDescent="0.35">
      <c r="A238" s="11">
        <v>40634</v>
      </c>
      <c r="B238" s="15">
        <f>VLOOKUP(A238,Database!A:M,MATCH($A$1,Database!$A$1:$M$1,),)</f>
        <v>269116</v>
      </c>
      <c r="C238" s="12">
        <f t="shared" si="6"/>
        <v>7.1141215874857321E-3</v>
      </c>
      <c r="D238" s="13">
        <f t="shared" si="7"/>
        <v>4.1389985295255782E-2</v>
      </c>
    </row>
    <row r="239" spans="1:4" x14ac:dyDescent="0.35">
      <c r="A239" s="10">
        <v>40664</v>
      </c>
      <c r="B239" s="15">
        <f>VLOOKUP(A239,Database!A:M,MATCH($A$1,Database!$A$1:$M$1,),)</f>
        <v>269064</v>
      </c>
      <c r="C239" s="12">
        <f t="shared" si="6"/>
        <v>-1.9322522629646694E-4</v>
      </c>
      <c r="D239" s="13">
        <f t="shared" si="7"/>
        <v>5.071111145822757E-2</v>
      </c>
    </row>
    <row r="240" spans="1:4" x14ac:dyDescent="0.35">
      <c r="A240" s="11">
        <v>40695</v>
      </c>
      <c r="B240" s="15">
        <f>VLOOKUP(A240,Database!A:M,MATCH($A$1,Database!$A$1:$M$1,),)</f>
        <v>271930</v>
      </c>
      <c r="C240" s="12">
        <f t="shared" si="6"/>
        <v>1.0651740849760652E-2</v>
      </c>
      <c r="D240" s="13">
        <f t="shared" si="7"/>
        <v>5.9197918451926519E-2</v>
      </c>
    </row>
    <row r="241" spans="1:4" x14ac:dyDescent="0.35">
      <c r="A241" s="10">
        <v>40725</v>
      </c>
      <c r="B241" s="15">
        <f>VLOOKUP(A241,Database!A:M,MATCH($A$1,Database!$A$1:$M$1,),)</f>
        <v>271622</v>
      </c>
      <c r="C241" s="12">
        <f t="shared" si="6"/>
        <v>-1.1326444305519803E-3</v>
      </c>
      <c r="D241" s="13">
        <f t="shared" si="7"/>
        <v>5.9364043041953814E-2</v>
      </c>
    </row>
    <row r="242" spans="1:4" x14ac:dyDescent="0.35">
      <c r="A242" s="11">
        <v>40756</v>
      </c>
      <c r="B242" s="15">
        <f>VLOOKUP(A242,Database!A:M,MATCH($A$1,Database!$A$1:$M$1,),)</f>
        <v>273001</v>
      </c>
      <c r="C242" s="12">
        <f t="shared" si="6"/>
        <v>5.0769083505754322E-3</v>
      </c>
      <c r="D242" s="13">
        <f t="shared" si="7"/>
        <v>5.8791818245281992E-2</v>
      </c>
    </row>
    <row r="243" spans="1:4" x14ac:dyDescent="0.35">
      <c r="A243" s="10">
        <v>40787</v>
      </c>
      <c r="B243" s="15">
        <f>VLOOKUP(A243,Database!A:M,MATCH($A$1,Database!$A$1:$M$1,),)</f>
        <v>273860</v>
      </c>
      <c r="C243" s="12">
        <f t="shared" si="6"/>
        <v>3.1465086208475428E-3</v>
      </c>
      <c r="D243" s="13">
        <f t="shared" si="7"/>
        <v>5.7256137343695106E-2</v>
      </c>
    </row>
    <row r="244" spans="1:4" x14ac:dyDescent="0.35">
      <c r="A244" s="11">
        <v>40817</v>
      </c>
      <c r="B244" s="15">
        <f>VLOOKUP(A244,Database!A:M,MATCH($A$1,Database!$A$1:$M$1,),)</f>
        <v>275378</v>
      </c>
      <c r="C244" s="12">
        <f t="shared" si="6"/>
        <v>5.5429781640254144E-3</v>
      </c>
      <c r="D244" s="13">
        <f t="shared" si="7"/>
        <v>5.8568012854517917E-2</v>
      </c>
    </row>
    <row r="245" spans="1:4" x14ac:dyDescent="0.35">
      <c r="A245" s="10">
        <v>40848</v>
      </c>
      <c r="B245" s="15">
        <f>VLOOKUP(A245,Database!A:M,MATCH($A$1,Database!$A$1:$M$1,),)</f>
        <v>275548</v>
      </c>
      <c r="C245" s="12">
        <f t="shared" si="6"/>
        <v>6.1733326554771985E-4</v>
      </c>
      <c r="D245" s="13">
        <f t="shared" si="7"/>
        <v>4.9522750298995222E-2</v>
      </c>
    </row>
    <row r="246" spans="1:4" x14ac:dyDescent="0.35">
      <c r="A246" s="11">
        <v>40878</v>
      </c>
      <c r="B246" s="15">
        <f>VLOOKUP(A246,Database!A:M,MATCH($A$1,Database!$A$1:$M$1,),)</f>
        <v>274874</v>
      </c>
      <c r="C246" s="12">
        <f t="shared" si="6"/>
        <v>-2.4460348106319046E-3</v>
      </c>
      <c r="D246" s="13">
        <f t="shared" si="7"/>
        <v>4.6525086235123012E-2</v>
      </c>
    </row>
    <row r="247" spans="1:4" x14ac:dyDescent="0.35">
      <c r="A247" s="10">
        <v>40909</v>
      </c>
      <c r="B247" s="15">
        <f>VLOOKUP(A247,Database!A:M,MATCH($A$1,Database!$A$1:$M$1,),)</f>
        <v>278169</v>
      </c>
      <c r="C247" s="12">
        <f t="shared" si="6"/>
        <v>1.1987310549560889E-2</v>
      </c>
      <c r="D247" s="13">
        <f t="shared" si="7"/>
        <v>5.355472315541096E-2</v>
      </c>
    </row>
    <row r="248" spans="1:4" x14ac:dyDescent="0.35">
      <c r="A248" s="11">
        <v>40940</v>
      </c>
      <c r="B248" s="15">
        <f>VLOOKUP(A248,Database!A:M,MATCH($A$1,Database!$A$1:$M$1,),)</f>
        <v>280557</v>
      </c>
      <c r="C248" s="12">
        <f t="shared" si="6"/>
        <v>8.5847092954283184E-3</v>
      </c>
      <c r="D248" s="13">
        <f t="shared" si="7"/>
        <v>5.6652166544263034E-2</v>
      </c>
    </row>
    <row r="249" spans="1:4" x14ac:dyDescent="0.35">
      <c r="A249" s="10">
        <v>40969</v>
      </c>
      <c r="B249" s="15">
        <f>VLOOKUP(A249,Database!A:M,MATCH($A$1,Database!$A$1:$M$1,),)</f>
        <v>281567</v>
      </c>
      <c r="C249" s="12">
        <f t="shared" si="6"/>
        <v>3.5999814654419601E-3</v>
      </c>
      <c r="D249" s="13">
        <f t="shared" si="7"/>
        <v>5.3709559717830209E-2</v>
      </c>
    </row>
    <row r="250" spans="1:4" x14ac:dyDescent="0.35">
      <c r="A250" s="11">
        <v>41000</v>
      </c>
      <c r="B250" s="15">
        <f>VLOOKUP(A250,Database!A:M,MATCH($A$1,Database!$A$1:$M$1,),)</f>
        <v>280229</v>
      </c>
      <c r="C250" s="12">
        <f t="shared" si="6"/>
        <v>-4.7519773268884496E-3</v>
      </c>
      <c r="D250" s="13">
        <f t="shared" si="7"/>
        <v>4.1294460381396871E-2</v>
      </c>
    </row>
    <row r="251" spans="1:4" x14ac:dyDescent="0.35">
      <c r="A251" s="10">
        <v>41030</v>
      </c>
      <c r="B251" s="15">
        <f>VLOOKUP(A251,Database!A:M,MATCH($A$1,Database!$A$1:$M$1,),)</f>
        <v>279955</v>
      </c>
      <c r="C251" s="12">
        <f t="shared" si="6"/>
        <v>-9.7777175096082141E-4</v>
      </c>
      <c r="D251" s="13">
        <f t="shared" si="7"/>
        <v>4.0477358546665475E-2</v>
      </c>
    </row>
    <row r="252" spans="1:4" x14ac:dyDescent="0.35">
      <c r="A252" s="11">
        <v>41061</v>
      </c>
      <c r="B252" s="15">
        <f>VLOOKUP(A252,Database!A:M,MATCH($A$1,Database!$A$1:$M$1,),)</f>
        <v>279583</v>
      </c>
      <c r="C252" s="12">
        <f t="shared" si="6"/>
        <v>-1.3287849833008877E-3</v>
      </c>
      <c r="D252" s="13">
        <f t="shared" si="7"/>
        <v>2.814327216563086E-2</v>
      </c>
    </row>
    <row r="253" spans="1:4" x14ac:dyDescent="0.35">
      <c r="A253" s="10">
        <v>41091</v>
      </c>
      <c r="B253" s="15">
        <f>VLOOKUP(A253,Database!A:M,MATCH($A$1,Database!$A$1:$M$1,),)</f>
        <v>280969</v>
      </c>
      <c r="C253" s="12">
        <f t="shared" si="6"/>
        <v>4.9573829596220084E-3</v>
      </c>
      <c r="D253" s="13">
        <f t="shared" si="7"/>
        <v>3.4411792859194025E-2</v>
      </c>
    </row>
    <row r="254" spans="1:4" x14ac:dyDescent="0.35">
      <c r="A254" s="11">
        <v>41122</v>
      </c>
      <c r="B254" s="15">
        <f>VLOOKUP(A254,Database!A:M,MATCH($A$1,Database!$A$1:$M$1,),)</f>
        <v>281920</v>
      </c>
      <c r="C254" s="12">
        <f t="shared" si="6"/>
        <v>3.3847150397374797E-3</v>
      </c>
      <c r="D254" s="13">
        <f t="shared" si="7"/>
        <v>3.2670209999230773E-2</v>
      </c>
    </row>
    <row r="255" spans="1:4" x14ac:dyDescent="0.35">
      <c r="A255" s="10">
        <v>41153</v>
      </c>
      <c r="B255" s="15">
        <f>VLOOKUP(A255,Database!A:M,MATCH($A$1,Database!$A$1:$M$1,),)</f>
        <v>283225</v>
      </c>
      <c r="C255" s="12">
        <f t="shared" si="6"/>
        <v>4.6289727582292852E-3</v>
      </c>
      <c r="D255" s="13">
        <f t="shared" si="7"/>
        <v>3.4196304681223984E-2</v>
      </c>
    </row>
    <row r="256" spans="1:4" x14ac:dyDescent="0.35">
      <c r="A256" s="11">
        <v>41183</v>
      </c>
      <c r="B256" s="15">
        <f>VLOOKUP(A256,Database!A:M,MATCH($A$1,Database!$A$1:$M$1,),)</f>
        <v>282776</v>
      </c>
      <c r="C256" s="12">
        <f t="shared" si="6"/>
        <v>-1.5853120310707035E-3</v>
      </c>
      <c r="D256" s="13">
        <f t="shared" si="7"/>
        <v>2.6864891167776656E-2</v>
      </c>
    </row>
    <row r="257" spans="1:4" x14ac:dyDescent="0.35">
      <c r="A257" s="10">
        <v>41214</v>
      </c>
      <c r="B257" s="15">
        <f>VLOOKUP(A257,Database!A:M,MATCH($A$1,Database!$A$1:$M$1,),)</f>
        <v>284657</v>
      </c>
      <c r="C257" s="12">
        <f t="shared" si="6"/>
        <v>6.6519082241774411E-3</v>
      </c>
      <c r="D257" s="13">
        <f t="shared" si="7"/>
        <v>3.3057761261195868E-2</v>
      </c>
    </row>
    <row r="258" spans="1:4" x14ac:dyDescent="0.35">
      <c r="A258" s="11">
        <v>41244</v>
      </c>
      <c r="B258" s="15">
        <f>VLOOKUP(A258,Database!A:M,MATCH($A$1,Database!$A$1:$M$1,),)</f>
        <v>286300</v>
      </c>
      <c r="C258" s="12">
        <f t="shared" si="6"/>
        <v>5.7718587633537903E-3</v>
      </c>
      <c r="D258" s="13">
        <f t="shared" si="7"/>
        <v>4.1568136673530418E-2</v>
      </c>
    </row>
    <row r="259" spans="1:4" x14ac:dyDescent="0.35">
      <c r="A259" s="10">
        <v>41275</v>
      </c>
      <c r="B259" s="15">
        <f>VLOOKUP(A259,Database!A:M,MATCH($A$1,Database!$A$1:$M$1,),)</f>
        <v>288670</v>
      </c>
      <c r="C259" s="12">
        <f t="shared" si="6"/>
        <v>8.2780300384212371E-3</v>
      </c>
      <c r="D259" s="13">
        <f t="shared" si="7"/>
        <v>3.775043229116113E-2</v>
      </c>
    </row>
    <row r="260" spans="1:4" x14ac:dyDescent="0.35">
      <c r="A260" s="11">
        <v>41306</v>
      </c>
      <c r="B260" s="15">
        <f>VLOOKUP(A260,Database!A:M,MATCH($A$1,Database!$A$1:$M$1,),)</f>
        <v>289387</v>
      </c>
      <c r="C260" s="12">
        <f t="shared" si="6"/>
        <v>2.4838050368933386E-3</v>
      </c>
      <c r="D260" s="13">
        <f t="shared" si="7"/>
        <v>3.1473105286982682E-2</v>
      </c>
    </row>
    <row r="261" spans="1:4" x14ac:dyDescent="0.35">
      <c r="A261" s="10">
        <v>41334</v>
      </c>
      <c r="B261" s="15">
        <f>VLOOKUP(A261,Database!A:M,MATCH($A$1,Database!$A$1:$M$1,),)</f>
        <v>288566</v>
      </c>
      <c r="C261" s="12">
        <f t="shared" si="6"/>
        <v>-2.8370313801241937E-3</v>
      </c>
      <c r="D261" s="13">
        <f t="shared" si="7"/>
        <v>2.4857316375853703E-2</v>
      </c>
    </row>
    <row r="262" spans="1:4" x14ac:dyDescent="0.35">
      <c r="A262" s="11">
        <v>41365</v>
      </c>
      <c r="B262" s="15">
        <f>VLOOKUP(A262,Database!A:M,MATCH($A$1,Database!$A$1:$M$1,),)</f>
        <v>287580</v>
      </c>
      <c r="C262" s="12">
        <f t="shared" si="6"/>
        <v>-3.416895961409175E-3</v>
      </c>
      <c r="D262" s="13">
        <f t="shared" si="7"/>
        <v>2.6232117304062035E-2</v>
      </c>
    </row>
    <row r="263" spans="1:4" x14ac:dyDescent="0.35">
      <c r="A263" s="10">
        <v>41395</v>
      </c>
      <c r="B263" s="15">
        <f>VLOOKUP(A263,Database!A:M,MATCH($A$1,Database!$A$1:$M$1,),)</f>
        <v>289106</v>
      </c>
      <c r="C263" s="12">
        <f t="shared" si="6"/>
        <v>5.3063495375199948E-3</v>
      </c>
      <c r="D263" s="13">
        <f t="shared" si="7"/>
        <v>3.2687396188673182E-2</v>
      </c>
    </row>
    <row r="264" spans="1:4" x14ac:dyDescent="0.35">
      <c r="A264" s="11">
        <v>41426</v>
      </c>
      <c r="B264" s="15">
        <f>VLOOKUP(A264,Database!A:M,MATCH($A$1,Database!$A$1:$M$1,),)</f>
        <v>288417</v>
      </c>
      <c r="C264" s="12">
        <f t="shared" ref="C264:C327" si="8">(B264-B263)/B263</f>
        <v>-2.3832089268296056E-3</v>
      </c>
      <c r="D264" s="13">
        <f t="shared" si="7"/>
        <v>3.1597057045671589E-2</v>
      </c>
    </row>
    <row r="265" spans="1:4" x14ac:dyDescent="0.35">
      <c r="A265" s="10">
        <v>41456</v>
      </c>
      <c r="B265" s="15">
        <f>VLOOKUP(A265,Database!A:M,MATCH($A$1,Database!$A$1:$M$1,),)</f>
        <v>290835</v>
      </c>
      <c r="C265" s="12">
        <f t="shared" si="8"/>
        <v>8.3836944424219104E-3</v>
      </c>
      <c r="D265" s="13">
        <f t="shared" si="7"/>
        <v>3.5114194092586724E-2</v>
      </c>
    </row>
    <row r="266" spans="1:4" x14ac:dyDescent="0.35">
      <c r="A266" s="11">
        <v>41487</v>
      </c>
      <c r="B266" s="15">
        <f>VLOOKUP(A266,Database!A:M,MATCH($A$1,Database!$A$1:$M$1,),)</f>
        <v>290649</v>
      </c>
      <c r="C266" s="12">
        <f t="shared" si="8"/>
        <v>-6.3953788230439938E-4</v>
      </c>
      <c r="D266" s="13">
        <f t="shared" si="7"/>
        <v>3.0962684449489217E-2</v>
      </c>
    </row>
    <row r="267" spans="1:4" x14ac:dyDescent="0.35">
      <c r="A267" s="10">
        <v>41518</v>
      </c>
      <c r="B267" s="15">
        <f>VLOOKUP(A267,Database!A:M,MATCH($A$1,Database!$A$1:$M$1,),)</f>
        <v>291937</v>
      </c>
      <c r="C267" s="12">
        <f t="shared" si="8"/>
        <v>4.4314620039979493E-3</v>
      </c>
      <c r="D267" s="13">
        <f t="shared" si="7"/>
        <v>3.075999646923824E-2</v>
      </c>
    </row>
    <row r="268" spans="1:4" x14ac:dyDescent="0.35">
      <c r="A268" s="11">
        <v>41548</v>
      </c>
      <c r="B268" s="15">
        <f>VLOOKUP(A268,Database!A:M,MATCH($A$1,Database!$A$1:$M$1,),)</f>
        <v>292928</v>
      </c>
      <c r="C268" s="12">
        <f t="shared" si="8"/>
        <v>3.3945680061109075E-3</v>
      </c>
      <c r="D268" s="13">
        <f t="shared" si="7"/>
        <v>3.5901208023311738E-2</v>
      </c>
    </row>
    <row r="269" spans="1:4" x14ac:dyDescent="0.35">
      <c r="A269" s="10">
        <v>41579</v>
      </c>
      <c r="B269" s="15">
        <f>VLOOKUP(A269,Database!A:M,MATCH($A$1,Database!$A$1:$M$1,),)</f>
        <v>294169</v>
      </c>
      <c r="C269" s="12">
        <f t="shared" si="8"/>
        <v>4.2365359405724277E-3</v>
      </c>
      <c r="D269" s="13">
        <f t="shared" si="7"/>
        <v>3.3415654629958158E-2</v>
      </c>
    </row>
    <row r="270" spans="1:4" x14ac:dyDescent="0.35">
      <c r="A270" s="11">
        <v>41609</v>
      </c>
      <c r="B270" s="15">
        <f>VLOOKUP(A270,Database!A:M,MATCH($A$1,Database!$A$1:$M$1,),)</f>
        <v>294842</v>
      </c>
      <c r="C270" s="12">
        <f t="shared" si="8"/>
        <v>2.2878005500239656E-3</v>
      </c>
      <c r="D270" s="13">
        <f t="shared" si="7"/>
        <v>2.9835836535103039E-2</v>
      </c>
    </row>
    <row r="271" spans="1:4" x14ac:dyDescent="0.35">
      <c r="A271" s="10">
        <v>41640</v>
      </c>
      <c r="B271" s="15">
        <f>VLOOKUP(A271,Database!A:M,MATCH($A$1,Database!$A$1:$M$1,),)</f>
        <v>293000</v>
      </c>
      <c r="C271" s="12">
        <f t="shared" si="8"/>
        <v>-6.2474138691231236E-3</v>
      </c>
      <c r="D271" s="13">
        <f t="shared" si="7"/>
        <v>1.4999826791838431E-2</v>
      </c>
    </row>
    <row r="272" spans="1:4" x14ac:dyDescent="0.35">
      <c r="A272" s="11">
        <v>41671</v>
      </c>
      <c r="B272" s="15">
        <f>VLOOKUP(A272,Database!A:M,MATCH($A$1,Database!$A$1:$M$1,),)</f>
        <v>295884</v>
      </c>
      <c r="C272" s="12">
        <f t="shared" si="8"/>
        <v>9.8430034129692832E-3</v>
      </c>
      <c r="D272" s="13">
        <f t="shared" si="7"/>
        <v>2.2450904843686826E-2</v>
      </c>
    </row>
    <row r="273" spans="1:4" x14ac:dyDescent="0.35">
      <c r="A273" s="10">
        <v>41699</v>
      </c>
      <c r="B273" s="15">
        <f>VLOOKUP(A273,Database!A:M,MATCH($A$1,Database!$A$1:$M$1,),)</f>
        <v>298199</v>
      </c>
      <c r="C273" s="12">
        <f t="shared" si="8"/>
        <v>7.8240121128550378E-3</v>
      </c>
      <c r="D273" s="13">
        <f t="shared" si="7"/>
        <v>3.3382311152388017E-2</v>
      </c>
    </row>
    <row r="274" spans="1:4" x14ac:dyDescent="0.35">
      <c r="A274" s="11">
        <v>41730</v>
      </c>
      <c r="B274" s="15">
        <f>VLOOKUP(A274,Database!A:M,MATCH($A$1,Database!$A$1:$M$1,),)</f>
        <v>300773</v>
      </c>
      <c r="C274" s="12">
        <f t="shared" si="8"/>
        <v>8.6318196908775676E-3</v>
      </c>
      <c r="D274" s="13">
        <f t="shared" si="7"/>
        <v>4.5875930175951041E-2</v>
      </c>
    </row>
    <row r="275" spans="1:4" x14ac:dyDescent="0.35">
      <c r="A275" s="10">
        <v>41760</v>
      </c>
      <c r="B275" s="15">
        <f>VLOOKUP(A275,Database!A:M,MATCH($A$1,Database!$A$1:$M$1,),)</f>
        <v>301802</v>
      </c>
      <c r="C275" s="12">
        <f t="shared" si="8"/>
        <v>3.4211847473011206E-3</v>
      </c>
      <c r="D275" s="13">
        <f t="shared" ref="D275:D338" si="9">(B275-B263)/B263</f>
        <v>4.3914688730085159E-2</v>
      </c>
    </row>
    <row r="276" spans="1:4" x14ac:dyDescent="0.35">
      <c r="A276" s="11">
        <v>41791</v>
      </c>
      <c r="B276" s="15">
        <f>VLOOKUP(A276,Database!A:M,MATCH($A$1,Database!$A$1:$M$1,),)</f>
        <v>303565</v>
      </c>
      <c r="C276" s="12">
        <f t="shared" si="8"/>
        <v>5.8415782532918936E-3</v>
      </c>
      <c r="D276" s="13">
        <f t="shared" si="9"/>
        <v>5.2521175936231221E-2</v>
      </c>
    </row>
    <row r="277" spans="1:4" x14ac:dyDescent="0.35">
      <c r="A277" s="10">
        <v>41821</v>
      </c>
      <c r="B277" s="15">
        <f>VLOOKUP(A277,Database!A:M,MATCH($A$1,Database!$A$1:$M$1,),)</f>
        <v>304082</v>
      </c>
      <c r="C277" s="12">
        <f t="shared" si="8"/>
        <v>1.703094889068239E-3</v>
      </c>
      <c r="D277" s="13">
        <f t="shared" si="9"/>
        <v>4.554816304777623E-2</v>
      </c>
    </row>
    <row r="278" spans="1:4" x14ac:dyDescent="0.35">
      <c r="A278" s="11">
        <v>41852</v>
      </c>
      <c r="B278" s="15">
        <f>VLOOKUP(A278,Database!A:M,MATCH($A$1,Database!$A$1:$M$1,),)</f>
        <v>306418</v>
      </c>
      <c r="C278" s="12">
        <f t="shared" si="8"/>
        <v>7.6821383705710962E-3</v>
      </c>
      <c r="D278" s="13">
        <f t="shared" si="9"/>
        <v>5.4254444364164336E-2</v>
      </c>
    </row>
    <row r="279" spans="1:4" x14ac:dyDescent="0.35">
      <c r="A279" s="10">
        <v>41883</v>
      </c>
      <c r="B279" s="15">
        <f>VLOOKUP(A279,Database!A:M,MATCH($A$1,Database!$A$1:$M$1,),)</f>
        <v>306872</v>
      </c>
      <c r="C279" s="12">
        <f t="shared" si="8"/>
        <v>1.4816361963070055E-3</v>
      </c>
      <c r="D279" s="13">
        <f t="shared" si="9"/>
        <v>5.1158297851933807E-2</v>
      </c>
    </row>
    <row r="280" spans="1:4" x14ac:dyDescent="0.35">
      <c r="A280" s="11">
        <v>41913</v>
      </c>
      <c r="B280" s="15">
        <f>VLOOKUP(A280,Database!A:M,MATCH($A$1,Database!$A$1:$M$1,),)</f>
        <v>308869</v>
      </c>
      <c r="C280" s="12">
        <f t="shared" si="8"/>
        <v>6.5075992596261636E-3</v>
      </c>
      <c r="D280" s="13">
        <f t="shared" si="9"/>
        <v>5.4419516058553635E-2</v>
      </c>
    </row>
    <row r="281" spans="1:4" x14ac:dyDescent="0.35">
      <c r="A281" s="10">
        <v>41944</v>
      </c>
      <c r="B281" s="15">
        <f>VLOOKUP(A281,Database!A:M,MATCH($A$1,Database!$A$1:$M$1,),)</f>
        <v>309991</v>
      </c>
      <c r="C281" s="12">
        <f t="shared" si="8"/>
        <v>3.6326079988603581E-3</v>
      </c>
      <c r="D281" s="13">
        <f t="shared" si="9"/>
        <v>5.3785409067576798E-2</v>
      </c>
    </row>
    <row r="282" spans="1:4" x14ac:dyDescent="0.35">
      <c r="A282" s="11">
        <v>41974</v>
      </c>
      <c r="B282" s="15">
        <f>VLOOKUP(A282,Database!A:M,MATCH($A$1,Database!$A$1:$M$1,),)</f>
        <v>310800</v>
      </c>
      <c r="C282" s="12">
        <f t="shared" si="8"/>
        <v>2.6097531863828304E-3</v>
      </c>
      <c r="D282" s="13">
        <f t="shared" si="9"/>
        <v>5.4123903650090559E-2</v>
      </c>
    </row>
    <row r="283" spans="1:4" x14ac:dyDescent="0.35">
      <c r="A283" s="10">
        <v>42005</v>
      </c>
      <c r="B283" s="15">
        <f>VLOOKUP(A283,Database!A:M,MATCH($A$1,Database!$A$1:$M$1,),)</f>
        <v>311426</v>
      </c>
      <c r="C283" s="12">
        <f t="shared" si="8"/>
        <v>2.014157014157014E-3</v>
      </c>
      <c r="D283" s="13">
        <f t="shared" si="9"/>
        <v>6.2887372013651882E-2</v>
      </c>
    </row>
    <row r="284" spans="1:4" x14ac:dyDescent="0.35">
      <c r="A284" s="11">
        <v>42036</v>
      </c>
      <c r="B284" s="15">
        <f>VLOOKUP(A284,Database!A:M,MATCH($A$1,Database!$A$1:$M$1,),)</f>
        <v>310560</v>
      </c>
      <c r="C284" s="12">
        <f t="shared" si="8"/>
        <v>-2.7807569053322459E-3</v>
      </c>
      <c r="D284" s="13">
        <f t="shared" si="9"/>
        <v>4.9600519122358765E-2</v>
      </c>
    </row>
    <row r="285" spans="1:4" x14ac:dyDescent="0.35">
      <c r="A285" s="10">
        <v>42064</v>
      </c>
      <c r="B285" s="15">
        <f>VLOOKUP(A285,Database!A:M,MATCH($A$1,Database!$A$1:$M$1,),)</f>
        <v>312662</v>
      </c>
      <c r="C285" s="12">
        <f t="shared" si="8"/>
        <v>6.7684183410613085E-3</v>
      </c>
      <c r="D285" s="13">
        <f t="shared" si="9"/>
        <v>4.8501168682658226E-2</v>
      </c>
    </row>
    <row r="286" spans="1:4" x14ac:dyDescent="0.35">
      <c r="A286" s="11">
        <v>42095</v>
      </c>
      <c r="B286" s="15">
        <f>VLOOKUP(A286,Database!A:M,MATCH($A$1,Database!$A$1:$M$1,),)</f>
        <v>313559</v>
      </c>
      <c r="C286" s="12">
        <f t="shared" si="8"/>
        <v>2.8689127556274828E-3</v>
      </c>
      <c r="D286" s="13">
        <f t="shared" si="9"/>
        <v>4.2510464702616262E-2</v>
      </c>
    </row>
    <row r="287" spans="1:4" x14ac:dyDescent="0.35">
      <c r="A287" s="10">
        <v>42125</v>
      </c>
      <c r="B287" s="15">
        <f>VLOOKUP(A287,Database!A:M,MATCH($A$1,Database!$A$1:$M$1,),)</f>
        <v>314627</v>
      </c>
      <c r="C287" s="12">
        <f t="shared" si="8"/>
        <v>3.4060575521672157E-3</v>
      </c>
      <c r="D287" s="13">
        <f t="shared" si="9"/>
        <v>4.2494748212404156E-2</v>
      </c>
    </row>
    <row r="288" spans="1:4" x14ac:dyDescent="0.35">
      <c r="A288" s="11">
        <v>42156</v>
      </c>
      <c r="B288" s="15">
        <f>VLOOKUP(A288,Database!A:M,MATCH($A$1,Database!$A$1:$M$1,),)</f>
        <v>314660</v>
      </c>
      <c r="C288" s="12">
        <f t="shared" si="8"/>
        <v>1.0488610322699577E-4</v>
      </c>
      <c r="D288" s="13">
        <f t="shared" si="9"/>
        <v>3.6549009273137548E-2</v>
      </c>
    </row>
    <row r="289" spans="1:4" x14ac:dyDescent="0.35">
      <c r="A289" s="10">
        <v>42186</v>
      </c>
      <c r="B289" s="15">
        <f>VLOOKUP(A289,Database!A:M,MATCH($A$1,Database!$A$1:$M$1,),)</f>
        <v>317432</v>
      </c>
      <c r="C289" s="12">
        <f t="shared" si="8"/>
        <v>8.8095086760312715E-3</v>
      </c>
      <c r="D289" s="13">
        <f t="shared" si="9"/>
        <v>4.3902631527022319E-2</v>
      </c>
    </row>
    <row r="290" spans="1:4" x14ac:dyDescent="0.35">
      <c r="A290" s="11">
        <v>42217</v>
      </c>
      <c r="B290" s="15">
        <f>VLOOKUP(A290,Database!A:M,MATCH($A$1,Database!$A$1:$M$1,),)</f>
        <v>317922</v>
      </c>
      <c r="C290" s="12">
        <f t="shared" si="8"/>
        <v>1.5436376924821693E-3</v>
      </c>
      <c r="D290" s="13">
        <f t="shared" si="9"/>
        <v>3.7543486348713198E-2</v>
      </c>
    </row>
    <row r="291" spans="1:4" x14ac:dyDescent="0.35">
      <c r="A291" s="10">
        <v>42248</v>
      </c>
      <c r="B291" s="15">
        <f>VLOOKUP(A291,Database!A:M,MATCH($A$1,Database!$A$1:$M$1,),)</f>
        <v>318035</v>
      </c>
      <c r="C291" s="12">
        <f t="shared" si="8"/>
        <v>3.5543309365190204E-4</v>
      </c>
      <c r="D291" s="13">
        <f t="shared" si="9"/>
        <v>3.6376730363148153E-2</v>
      </c>
    </row>
    <row r="292" spans="1:4" x14ac:dyDescent="0.35">
      <c r="A292" s="11">
        <v>42278</v>
      </c>
      <c r="B292" s="15">
        <f>VLOOKUP(A292,Database!A:M,MATCH($A$1,Database!$A$1:$M$1,),)</f>
        <v>317870</v>
      </c>
      <c r="C292" s="12">
        <f t="shared" si="8"/>
        <v>-5.1881082270819245E-4</v>
      </c>
      <c r="D292" s="13">
        <f t="shared" si="9"/>
        <v>2.9141804454315582E-2</v>
      </c>
    </row>
    <row r="293" spans="1:4" x14ac:dyDescent="0.35">
      <c r="A293" s="10">
        <v>42309</v>
      </c>
      <c r="B293" s="15">
        <f>VLOOKUP(A293,Database!A:M,MATCH($A$1,Database!$A$1:$M$1,),)</f>
        <v>318918</v>
      </c>
      <c r="C293" s="12">
        <f t="shared" si="8"/>
        <v>3.2969452921005442E-3</v>
      </c>
      <c r="D293" s="13">
        <f t="shared" si="9"/>
        <v>2.8797610253200899E-2</v>
      </c>
    </row>
    <row r="294" spans="1:4" x14ac:dyDescent="0.35">
      <c r="A294" s="11">
        <v>42339</v>
      </c>
      <c r="B294" s="15">
        <f>VLOOKUP(A294,Database!A:M,MATCH($A$1,Database!$A$1:$M$1,),)</f>
        <v>321533</v>
      </c>
      <c r="C294" s="12">
        <f t="shared" si="8"/>
        <v>8.1995998971522467E-3</v>
      </c>
      <c r="D294" s="13">
        <f t="shared" si="9"/>
        <v>3.4533462033462033E-2</v>
      </c>
    </row>
    <row r="295" spans="1:4" x14ac:dyDescent="0.35">
      <c r="A295" s="10">
        <v>42370</v>
      </c>
      <c r="B295" s="15">
        <f>VLOOKUP(A295,Database!A:M,MATCH($A$1,Database!$A$1:$M$1,),)</f>
        <v>320002</v>
      </c>
      <c r="C295" s="12">
        <f t="shared" si="8"/>
        <v>-4.7615641318309474E-3</v>
      </c>
      <c r="D295" s="13">
        <f t="shared" si="9"/>
        <v>2.7537842055576606E-2</v>
      </c>
    </row>
    <row r="296" spans="1:4" x14ac:dyDescent="0.35">
      <c r="A296" s="11">
        <v>42401</v>
      </c>
      <c r="B296" s="15">
        <f>VLOOKUP(A296,Database!A:M,MATCH($A$1,Database!$A$1:$M$1,),)</f>
        <v>323925</v>
      </c>
      <c r="C296" s="12">
        <f t="shared" si="8"/>
        <v>1.2259298379385129E-2</v>
      </c>
      <c r="D296" s="13">
        <f t="shared" si="9"/>
        <v>4.303516228748068E-2</v>
      </c>
    </row>
    <row r="297" spans="1:4" x14ac:dyDescent="0.35">
      <c r="A297" s="10">
        <v>42430</v>
      </c>
      <c r="B297" s="15">
        <f>VLOOKUP(A297,Database!A:M,MATCH($A$1,Database!$A$1:$M$1,),)</f>
        <v>323162</v>
      </c>
      <c r="C297" s="12">
        <f t="shared" si="8"/>
        <v>-2.3554835224203134E-3</v>
      </c>
      <c r="D297" s="13">
        <f t="shared" si="9"/>
        <v>3.358259078493709E-2</v>
      </c>
    </row>
    <row r="298" spans="1:4" x14ac:dyDescent="0.35">
      <c r="A298" s="11">
        <v>42461</v>
      </c>
      <c r="B298" s="15">
        <f>VLOOKUP(A298,Database!A:M,MATCH($A$1,Database!$A$1:$M$1,),)</f>
        <v>323507</v>
      </c>
      <c r="C298" s="12">
        <f t="shared" si="8"/>
        <v>1.0675760145066561E-3</v>
      </c>
      <c r="D298" s="13">
        <f t="shared" si="9"/>
        <v>3.1726086637602492E-2</v>
      </c>
    </row>
    <row r="299" spans="1:4" x14ac:dyDescent="0.35">
      <c r="A299" s="10">
        <v>42491</v>
      </c>
      <c r="B299" s="15">
        <f>VLOOKUP(A299,Database!A:M,MATCH($A$1,Database!$A$1:$M$1,),)</f>
        <v>324094</v>
      </c>
      <c r="C299" s="12">
        <f t="shared" si="8"/>
        <v>1.8144893309882011E-3</v>
      </c>
      <c r="D299" s="13">
        <f t="shared" si="9"/>
        <v>3.0089598159089969E-2</v>
      </c>
    </row>
    <row r="300" spans="1:4" x14ac:dyDescent="0.35">
      <c r="A300" s="11">
        <v>42522</v>
      </c>
      <c r="B300" s="15">
        <f>VLOOKUP(A300,Database!A:M,MATCH($A$1,Database!$A$1:$M$1,),)</f>
        <v>327149</v>
      </c>
      <c r="C300" s="12">
        <f t="shared" si="8"/>
        <v>9.4262775614482215E-3</v>
      </c>
      <c r="D300" s="13">
        <f t="shared" si="9"/>
        <v>3.9690459543634399E-2</v>
      </c>
    </row>
    <row r="301" spans="1:4" x14ac:dyDescent="0.35">
      <c r="A301" s="10">
        <v>42552</v>
      </c>
      <c r="B301" s="15">
        <f>VLOOKUP(A301,Database!A:M,MATCH($A$1,Database!$A$1:$M$1,),)</f>
        <v>325258</v>
      </c>
      <c r="C301" s="12">
        <f t="shared" si="8"/>
        <v>-5.7802408077053573E-3</v>
      </c>
      <c r="D301" s="13">
        <f t="shared" si="9"/>
        <v>2.4654099145643791E-2</v>
      </c>
    </row>
    <row r="302" spans="1:4" x14ac:dyDescent="0.35">
      <c r="A302" s="11">
        <v>42583</v>
      </c>
      <c r="B302" s="15">
        <f>VLOOKUP(A302,Database!A:M,MATCH($A$1,Database!$A$1:$M$1,),)</f>
        <v>326388</v>
      </c>
      <c r="C302" s="12">
        <f t="shared" si="8"/>
        <v>3.474165124301324E-3</v>
      </c>
      <c r="D302" s="13">
        <f t="shared" si="9"/>
        <v>2.6629173193424803E-2</v>
      </c>
    </row>
    <row r="303" spans="1:4" x14ac:dyDescent="0.35">
      <c r="A303" s="10">
        <v>42614</v>
      </c>
      <c r="B303" s="15">
        <f>VLOOKUP(A303,Database!A:M,MATCH($A$1,Database!$A$1:$M$1,),)</f>
        <v>327568</v>
      </c>
      <c r="C303" s="12">
        <f t="shared" si="8"/>
        <v>3.6153289949385392E-3</v>
      </c>
      <c r="D303" s="13">
        <f t="shared" si="9"/>
        <v>2.9974688320467874E-2</v>
      </c>
    </row>
    <row r="304" spans="1:4" x14ac:dyDescent="0.35">
      <c r="A304" s="11">
        <v>42644</v>
      </c>
      <c r="B304" s="15">
        <f>VLOOKUP(A304,Database!A:M,MATCH($A$1,Database!$A$1:$M$1,),)</f>
        <v>327777</v>
      </c>
      <c r="C304" s="12">
        <f t="shared" si="8"/>
        <v>6.3803546133932494E-4</v>
      </c>
      <c r="D304" s="13">
        <f t="shared" si="9"/>
        <v>3.1166829206908483E-2</v>
      </c>
    </row>
    <row r="305" spans="1:4" x14ac:dyDescent="0.35">
      <c r="A305" s="10">
        <v>42675</v>
      </c>
      <c r="B305" s="15">
        <f>VLOOKUP(A305,Database!A:M,MATCH($A$1,Database!$A$1:$M$1,),)</f>
        <v>328051</v>
      </c>
      <c r="C305" s="12">
        <f t="shared" si="8"/>
        <v>8.3593418696247749E-4</v>
      </c>
      <c r="D305" s="13">
        <f t="shared" si="9"/>
        <v>2.8637455396057922E-2</v>
      </c>
    </row>
    <row r="306" spans="1:4" x14ac:dyDescent="0.35">
      <c r="A306" s="11">
        <v>42705</v>
      </c>
      <c r="B306" s="15">
        <f>VLOOKUP(A306,Database!A:M,MATCH($A$1,Database!$A$1:$M$1,),)</f>
        <v>329807</v>
      </c>
      <c r="C306" s="12">
        <f t="shared" si="8"/>
        <v>5.3528262373838216E-3</v>
      </c>
      <c r="D306" s="13">
        <f t="shared" si="9"/>
        <v>2.5732972976335245E-2</v>
      </c>
    </row>
    <row r="307" spans="1:4" x14ac:dyDescent="0.35">
      <c r="A307" s="10">
        <v>42736</v>
      </c>
      <c r="B307" s="15">
        <f>VLOOKUP(A307,Database!A:M,MATCH($A$1,Database!$A$1:$M$1,),)</f>
        <v>334024</v>
      </c>
      <c r="C307" s="12">
        <f t="shared" si="8"/>
        <v>1.2786265907030475E-2</v>
      </c>
      <c r="D307" s="13">
        <f t="shared" si="9"/>
        <v>4.3818476134524158E-2</v>
      </c>
    </row>
    <row r="308" spans="1:4" x14ac:dyDescent="0.35">
      <c r="A308" s="11">
        <v>42767</v>
      </c>
      <c r="B308" s="15">
        <f>VLOOKUP(A308,Database!A:M,MATCH($A$1,Database!$A$1:$M$1,),)</f>
        <v>334252</v>
      </c>
      <c r="C308" s="12">
        <f t="shared" si="8"/>
        <v>6.8258568246593054E-4</v>
      </c>
      <c r="D308" s="13">
        <f t="shared" si="9"/>
        <v>3.18808366134136E-2</v>
      </c>
    </row>
    <row r="309" spans="1:4" x14ac:dyDescent="0.35">
      <c r="A309" s="10">
        <v>42795</v>
      </c>
      <c r="B309" s="15">
        <f>VLOOKUP(A309,Database!A:M,MATCH($A$1,Database!$A$1:$M$1,),)</f>
        <v>335564</v>
      </c>
      <c r="C309" s="12">
        <f t="shared" si="8"/>
        <v>3.9251821978626908E-3</v>
      </c>
      <c r="D309" s="13">
        <f t="shared" si="9"/>
        <v>3.8377036904091444E-2</v>
      </c>
    </row>
    <row r="310" spans="1:4" x14ac:dyDescent="0.35">
      <c r="A310" s="11">
        <v>42826</v>
      </c>
      <c r="B310" s="15">
        <f>VLOOKUP(A310,Database!A:M,MATCH($A$1,Database!$A$1:$M$1,),)</f>
        <v>337124</v>
      </c>
      <c r="C310" s="12">
        <f t="shared" si="8"/>
        <v>4.6488896305920775E-3</v>
      </c>
      <c r="D310" s="13">
        <f t="shared" si="9"/>
        <v>4.2091824906416248E-2</v>
      </c>
    </row>
    <row r="311" spans="1:4" x14ac:dyDescent="0.35">
      <c r="A311" s="10">
        <v>42856</v>
      </c>
      <c r="B311" s="15">
        <f>VLOOKUP(A311,Database!A:M,MATCH($A$1,Database!$A$1:$M$1,),)</f>
        <v>335922</v>
      </c>
      <c r="C311" s="12">
        <f t="shared" si="8"/>
        <v>-3.5654536609674779E-3</v>
      </c>
      <c r="D311" s="13">
        <f t="shared" si="9"/>
        <v>3.6495584614340285E-2</v>
      </c>
    </row>
    <row r="312" spans="1:4" x14ac:dyDescent="0.35">
      <c r="A312" s="11">
        <v>42887</v>
      </c>
      <c r="B312" s="15">
        <f>VLOOKUP(A312,Database!A:M,MATCH($A$1,Database!$A$1:$M$1,),)</f>
        <v>337523</v>
      </c>
      <c r="C312" s="12">
        <f t="shared" si="8"/>
        <v>4.7659873422997009E-3</v>
      </c>
      <c r="D312" s="13">
        <f t="shared" si="9"/>
        <v>3.1710321596581374E-2</v>
      </c>
    </row>
    <row r="313" spans="1:4" x14ac:dyDescent="0.35">
      <c r="A313" s="10">
        <v>42917</v>
      </c>
      <c r="B313" s="15">
        <f>VLOOKUP(A313,Database!A:M,MATCH($A$1,Database!$A$1:$M$1,),)</f>
        <v>337497</v>
      </c>
      <c r="C313" s="12">
        <f t="shared" si="8"/>
        <v>-7.7031787463372871E-5</v>
      </c>
      <c r="D313" s="13">
        <f t="shared" si="9"/>
        <v>3.7628590226835311E-2</v>
      </c>
    </row>
    <row r="314" spans="1:4" x14ac:dyDescent="0.35">
      <c r="A314" s="11">
        <v>42948</v>
      </c>
      <c r="B314" s="15">
        <f>VLOOKUP(A314,Database!A:M,MATCH($A$1,Database!$A$1:$M$1,),)</f>
        <v>339220</v>
      </c>
      <c r="C314" s="12">
        <f t="shared" si="8"/>
        <v>5.1052305650124297E-3</v>
      </c>
      <c r="D314" s="13">
        <f t="shared" si="9"/>
        <v>3.9315170900890963E-2</v>
      </c>
    </row>
    <row r="315" spans="1:4" x14ac:dyDescent="0.35">
      <c r="A315" s="10">
        <v>42979</v>
      </c>
      <c r="B315" s="15">
        <f>VLOOKUP(A315,Database!A:M,MATCH($A$1,Database!$A$1:$M$1,),)</f>
        <v>342630</v>
      </c>
      <c r="C315" s="12">
        <f t="shared" si="8"/>
        <v>1.0052473321148517E-2</v>
      </c>
      <c r="D315" s="13">
        <f t="shared" si="9"/>
        <v>4.5981292433937379E-2</v>
      </c>
    </row>
    <row r="316" spans="1:4" x14ac:dyDescent="0.35">
      <c r="A316" s="11">
        <v>43009</v>
      </c>
      <c r="B316" s="15">
        <f>VLOOKUP(A316,Database!A:M,MATCH($A$1,Database!$A$1:$M$1,),)</f>
        <v>342475</v>
      </c>
      <c r="C316" s="12">
        <f t="shared" si="8"/>
        <v>-4.5238303709540904E-4</v>
      </c>
      <c r="D316" s="13">
        <f t="shared" si="9"/>
        <v>4.4841462335673342E-2</v>
      </c>
    </row>
    <row r="317" spans="1:4" x14ac:dyDescent="0.35">
      <c r="A317" s="10">
        <v>43040</v>
      </c>
      <c r="B317" s="15">
        <f>VLOOKUP(A317,Database!A:M,MATCH($A$1,Database!$A$1:$M$1,),)</f>
        <v>347166</v>
      </c>
      <c r="C317" s="12">
        <f t="shared" si="8"/>
        <v>1.3697350171545369E-2</v>
      </c>
      <c r="D317" s="13">
        <f t="shared" si="9"/>
        <v>5.8268379002045415E-2</v>
      </c>
    </row>
    <row r="318" spans="1:4" x14ac:dyDescent="0.35">
      <c r="A318" s="11">
        <v>43070</v>
      </c>
      <c r="B318" s="15">
        <f>VLOOKUP(A318,Database!A:M,MATCH($A$1,Database!$A$1:$M$1,),)</f>
        <v>350018</v>
      </c>
      <c r="C318" s="12">
        <f t="shared" si="8"/>
        <v>8.2150901874031446E-3</v>
      </c>
      <c r="D318" s="13">
        <f t="shared" si="9"/>
        <v>6.1281294817878335E-2</v>
      </c>
    </row>
    <row r="319" spans="1:4" x14ac:dyDescent="0.35">
      <c r="A319" s="10">
        <v>43101</v>
      </c>
      <c r="B319" s="15">
        <f>VLOOKUP(A319,Database!A:M,MATCH($A$1,Database!$A$1:$M$1,),)</f>
        <v>348057</v>
      </c>
      <c r="C319" s="12">
        <f t="shared" si="8"/>
        <v>-5.6025690107365904E-3</v>
      </c>
      <c r="D319" s="13">
        <f t="shared" si="9"/>
        <v>4.2011951237036861E-2</v>
      </c>
    </row>
    <row r="320" spans="1:4" x14ac:dyDescent="0.35">
      <c r="A320" s="11">
        <v>43132</v>
      </c>
      <c r="B320" s="15">
        <f>VLOOKUP(A320,Database!A:M,MATCH($A$1,Database!$A$1:$M$1,),)</f>
        <v>350974</v>
      </c>
      <c r="C320" s="12">
        <f t="shared" si="8"/>
        <v>8.3808111889719216E-3</v>
      </c>
      <c r="D320" s="13">
        <f t="shared" si="9"/>
        <v>5.0028122494405421E-2</v>
      </c>
    </row>
    <row r="321" spans="1:4" x14ac:dyDescent="0.35">
      <c r="A321" s="10">
        <v>43160</v>
      </c>
      <c r="B321" s="15">
        <f>VLOOKUP(A321,Database!A:M,MATCH($A$1,Database!$A$1:$M$1,),)</f>
        <v>350675</v>
      </c>
      <c r="C321" s="12">
        <f t="shared" si="8"/>
        <v>-8.5191495666345652E-4</v>
      </c>
      <c r="D321" s="13">
        <f t="shared" si="9"/>
        <v>4.5031648210177494E-2</v>
      </c>
    </row>
    <row r="322" spans="1:4" x14ac:dyDescent="0.35">
      <c r="A322" s="11">
        <v>43191</v>
      </c>
      <c r="B322" s="15">
        <f>VLOOKUP(A322,Database!A:M,MATCH($A$1,Database!$A$1:$M$1,),)</f>
        <v>351691</v>
      </c>
      <c r="C322" s="12">
        <f t="shared" si="8"/>
        <v>2.8972695515790976E-3</v>
      </c>
      <c r="D322" s="13">
        <f t="shared" si="9"/>
        <v>4.3209620199095883E-2</v>
      </c>
    </row>
    <row r="323" spans="1:4" x14ac:dyDescent="0.35">
      <c r="A323" s="10">
        <v>43221</v>
      </c>
      <c r="B323" s="15">
        <f>VLOOKUP(A323,Database!A:M,MATCH($A$1,Database!$A$1:$M$1,),)</f>
        <v>356250</v>
      </c>
      <c r="C323" s="12">
        <f t="shared" si="8"/>
        <v>1.2963084070960019E-2</v>
      </c>
      <c r="D323" s="13">
        <f t="shared" si="9"/>
        <v>6.0514047903977707E-2</v>
      </c>
    </row>
    <row r="324" spans="1:4" x14ac:dyDescent="0.35">
      <c r="A324" s="11">
        <v>43252</v>
      </c>
      <c r="B324" s="15">
        <f>VLOOKUP(A324,Database!A:M,MATCH($A$1,Database!$A$1:$M$1,),)</f>
        <v>355188</v>
      </c>
      <c r="C324" s="12">
        <f t="shared" si="8"/>
        <v>-2.9810526315789472E-3</v>
      </c>
      <c r="D324" s="13">
        <f t="shared" si="9"/>
        <v>5.2337174059249293E-2</v>
      </c>
    </row>
    <row r="325" spans="1:4" x14ac:dyDescent="0.35">
      <c r="A325" s="10">
        <v>43282</v>
      </c>
      <c r="B325" s="15">
        <f>VLOOKUP(A325,Database!A:M,MATCH($A$1,Database!$A$1:$M$1,),)</f>
        <v>357794</v>
      </c>
      <c r="C325" s="12">
        <f t="shared" si="8"/>
        <v>7.336959581967859E-3</v>
      </c>
      <c r="D325" s="13">
        <f t="shared" si="9"/>
        <v>6.0139793835204458E-2</v>
      </c>
    </row>
    <row r="326" spans="1:4" x14ac:dyDescent="0.35">
      <c r="A326" s="11">
        <v>43313</v>
      </c>
      <c r="B326" s="15">
        <f>VLOOKUP(A326,Database!A:M,MATCH($A$1,Database!$A$1:$M$1,),)</f>
        <v>357814</v>
      </c>
      <c r="C326" s="12">
        <f t="shared" si="8"/>
        <v>5.5898086608495392E-5</v>
      </c>
      <c r="D326" s="13">
        <f t="shared" si="9"/>
        <v>5.4813985024467896E-2</v>
      </c>
    </row>
    <row r="327" spans="1:4" x14ac:dyDescent="0.35">
      <c r="A327" s="10">
        <v>43344</v>
      </c>
      <c r="B327" s="15">
        <f>VLOOKUP(A327,Database!A:M,MATCH($A$1,Database!$A$1:$M$1,),)</f>
        <v>356908</v>
      </c>
      <c r="C327" s="12">
        <f t="shared" si="8"/>
        <v>-2.5320417870737309E-3</v>
      </c>
      <c r="D327" s="13">
        <f t="shared" si="9"/>
        <v>4.1671774217085483E-2</v>
      </c>
    </row>
    <row r="328" spans="1:4" x14ac:dyDescent="0.35">
      <c r="A328" s="11">
        <v>43374</v>
      </c>
      <c r="B328" s="15">
        <f>VLOOKUP(A328,Database!A:M,MATCH($A$1,Database!$A$1:$M$1,),)</f>
        <v>359990</v>
      </c>
      <c r="C328" s="12">
        <f t="shared" ref="C328:C391" si="10">(B328-B327)/B327</f>
        <v>8.6352785591805176E-3</v>
      </c>
      <c r="D328" s="13">
        <f t="shared" si="9"/>
        <v>5.1142419154682824E-2</v>
      </c>
    </row>
    <row r="329" spans="1:4" x14ac:dyDescent="0.35">
      <c r="A329" s="10">
        <v>43405</v>
      </c>
      <c r="B329" s="15">
        <f>VLOOKUP(A329,Database!A:M,MATCH($A$1,Database!$A$1:$M$1,),)</f>
        <v>362393</v>
      </c>
      <c r="C329" s="12">
        <f t="shared" si="10"/>
        <v>6.6751854218172731E-3</v>
      </c>
      <c r="D329" s="13">
        <f t="shared" si="9"/>
        <v>4.386086195076707E-2</v>
      </c>
    </row>
    <row r="330" spans="1:4" x14ac:dyDescent="0.35">
      <c r="A330" s="11">
        <v>43435</v>
      </c>
      <c r="B330" s="15">
        <f>VLOOKUP(A330,Database!A:M,MATCH($A$1,Database!$A$1:$M$1,),)</f>
        <v>355060</v>
      </c>
      <c r="C330" s="12">
        <f t="shared" si="10"/>
        <v>-2.0234938312826131E-2</v>
      </c>
      <c r="D330" s="13">
        <f t="shared" si="9"/>
        <v>1.4404973458507848E-2</v>
      </c>
    </row>
    <row r="331" spans="1:4" x14ac:dyDescent="0.35">
      <c r="A331" s="10">
        <v>43466</v>
      </c>
      <c r="B331" s="15">
        <f>VLOOKUP(A331,Database!A:M,MATCH($A$1,Database!$A$1:$M$1,),)</f>
        <v>361550</v>
      </c>
      <c r="C331" s="12">
        <f t="shared" si="10"/>
        <v>1.8278600799864812E-2</v>
      </c>
      <c r="D331" s="13">
        <f t="shared" si="9"/>
        <v>3.8766638797668201E-2</v>
      </c>
    </row>
    <row r="332" spans="1:4" x14ac:dyDescent="0.35">
      <c r="A332" s="11">
        <v>43497</v>
      </c>
      <c r="B332" s="15">
        <f>VLOOKUP(A332,Database!A:M,MATCH($A$1,Database!$A$1:$M$1,),)</f>
        <v>360089</v>
      </c>
      <c r="C332" s="12">
        <f t="shared" si="10"/>
        <v>-4.040934863780943E-3</v>
      </c>
      <c r="D332" s="13">
        <f t="shared" si="9"/>
        <v>2.5970584715676946E-2</v>
      </c>
    </row>
    <row r="333" spans="1:4" x14ac:dyDescent="0.35">
      <c r="A333" s="10">
        <v>43525</v>
      </c>
      <c r="B333" s="15">
        <f>VLOOKUP(A333,Database!A:M,MATCH($A$1,Database!$A$1:$M$1,),)</f>
        <v>362979</v>
      </c>
      <c r="C333" s="12">
        <f t="shared" si="10"/>
        <v>8.0257936232431427E-3</v>
      </c>
      <c r="D333" s="13">
        <f t="shared" si="9"/>
        <v>3.5086618664005136E-2</v>
      </c>
    </row>
    <row r="334" spans="1:4" x14ac:dyDescent="0.35">
      <c r="A334" s="11">
        <v>43556</v>
      </c>
      <c r="B334" s="15">
        <f>VLOOKUP(A334,Database!A:M,MATCH($A$1,Database!$A$1:$M$1,),)</f>
        <v>364387</v>
      </c>
      <c r="C334" s="12">
        <f t="shared" si="10"/>
        <v>3.8790122844572276E-3</v>
      </c>
      <c r="D334" s="13">
        <f t="shared" si="9"/>
        <v>3.6099871762427814E-2</v>
      </c>
    </row>
    <row r="335" spans="1:4" x14ac:dyDescent="0.35">
      <c r="A335" s="10">
        <v>43586</v>
      </c>
      <c r="B335" s="15">
        <f>VLOOKUP(A335,Database!A:M,MATCH($A$1,Database!$A$1:$M$1,),)</f>
        <v>366381</v>
      </c>
      <c r="C335" s="12">
        <f t="shared" si="10"/>
        <v>5.47220400288704E-3</v>
      </c>
      <c r="D335" s="13">
        <f t="shared" si="9"/>
        <v>2.8437894736842106E-2</v>
      </c>
    </row>
    <row r="336" spans="1:4" s="109" customFormat="1" x14ac:dyDescent="0.35">
      <c r="A336" s="11">
        <v>43617</v>
      </c>
      <c r="B336" s="15">
        <f>VLOOKUP(A336,Database!A:M,MATCH($A$1,Database!$A$1:$M$1,),)</f>
        <v>368578</v>
      </c>
      <c r="C336" s="12">
        <f t="shared" si="10"/>
        <v>5.9964899926579166E-3</v>
      </c>
      <c r="D336" s="13">
        <f t="shared" si="9"/>
        <v>3.7698345664831018E-2</v>
      </c>
    </row>
    <row r="337" spans="1:4" s="109" customFormat="1" x14ac:dyDescent="0.35">
      <c r="A337" s="10">
        <v>43647</v>
      </c>
      <c r="B337" s="15">
        <f>VLOOKUP(A337,Database!A:M,MATCH($A$1,Database!$A$1:$M$1,),)</f>
        <v>372475</v>
      </c>
      <c r="C337" s="12">
        <f t="shared" si="10"/>
        <v>1.0573067301900819E-2</v>
      </c>
      <c r="D337" s="13">
        <f t="shared" si="9"/>
        <v>4.1031990474966043E-2</v>
      </c>
    </row>
    <row r="338" spans="1:4" s="109" customFormat="1" x14ac:dyDescent="0.35">
      <c r="A338" s="11">
        <v>43678</v>
      </c>
      <c r="B338" s="15">
        <f>VLOOKUP(A338,Database!A:M,MATCH($A$1,Database!$A$1:$M$1,),)</f>
        <v>372691</v>
      </c>
      <c r="C338" s="12">
        <f t="shared" si="10"/>
        <v>5.7990469159003959E-4</v>
      </c>
      <c r="D338" s="13">
        <f t="shared" si="9"/>
        <v>4.1577467622843152E-2</v>
      </c>
    </row>
    <row r="339" spans="1:4" s="109" customFormat="1" x14ac:dyDescent="0.35">
      <c r="A339" s="10">
        <v>43709</v>
      </c>
      <c r="B339" s="15">
        <f>VLOOKUP(A339,Database!A:M,MATCH($A$1,Database!$A$1:$M$1,),)</f>
        <v>371681</v>
      </c>
      <c r="C339" s="12">
        <f t="shared" si="10"/>
        <v>-2.7100198287589453E-3</v>
      </c>
      <c r="D339" s="13">
        <f t="shared" ref="D339:D402" si="11">(B339-B327)/B327</f>
        <v>4.1391619128739059E-2</v>
      </c>
    </row>
    <row r="340" spans="1:4" s="109" customFormat="1" x14ac:dyDescent="0.35">
      <c r="A340" s="11">
        <v>43739</v>
      </c>
      <c r="B340" s="15">
        <f>VLOOKUP(A340,Database!A:M,MATCH($A$1,Database!$A$1:$M$1,),)</f>
        <v>372925</v>
      </c>
      <c r="C340" s="12">
        <f t="shared" si="10"/>
        <v>3.3469561263556654E-3</v>
      </c>
      <c r="D340" s="13">
        <f t="shared" si="11"/>
        <v>3.5931553654268172E-2</v>
      </c>
    </row>
    <row r="341" spans="1:4" s="109" customFormat="1" x14ac:dyDescent="0.35">
      <c r="A341" s="10">
        <v>43770</v>
      </c>
      <c r="B341" s="15">
        <f>VLOOKUP(A341,Database!A:M,MATCH($A$1,Database!$A$1:$M$1,),)</f>
        <v>372809</v>
      </c>
      <c r="C341" s="12">
        <f t="shared" si="10"/>
        <v>-3.1105450157538377E-4</v>
      </c>
      <c r="D341" s="13">
        <f t="shared" si="11"/>
        <v>2.874227703073735E-2</v>
      </c>
    </row>
    <row r="342" spans="1:4" s="109" customFormat="1" x14ac:dyDescent="0.35">
      <c r="A342" s="11">
        <v>43800</v>
      </c>
      <c r="B342" s="15">
        <f>VLOOKUP(A342,Database!A:M,MATCH($A$1,Database!$A$1:$M$1,),)</f>
        <v>377694</v>
      </c>
      <c r="C342" s="12">
        <f t="shared" si="10"/>
        <v>1.3103224439324159E-2</v>
      </c>
      <c r="D342" s="13">
        <f t="shared" si="11"/>
        <v>6.3746972342702643E-2</v>
      </c>
    </row>
    <row r="343" spans="1:4" s="109" customFormat="1" x14ac:dyDescent="0.35">
      <c r="A343" s="10">
        <v>43831</v>
      </c>
      <c r="B343" s="15">
        <f>VLOOKUP(A343,Database!A:M,MATCH($A$1,Database!$A$1:$M$1,),)</f>
        <v>377782</v>
      </c>
      <c r="C343" s="12">
        <f t="shared" si="10"/>
        <v>2.3299284606056756E-4</v>
      </c>
      <c r="D343" s="13">
        <f t="shared" si="11"/>
        <v>4.4895588438666853E-2</v>
      </c>
    </row>
    <row r="344" spans="1:4" s="109" customFormat="1" x14ac:dyDescent="0.35">
      <c r="A344" s="11">
        <v>43862</v>
      </c>
      <c r="B344" s="15">
        <f>VLOOKUP(A344,Database!A:M,MATCH($A$1,Database!$A$1:$M$1,),)</f>
        <v>380669</v>
      </c>
      <c r="C344" s="12">
        <f t="shared" si="10"/>
        <v>7.6419734132383227E-3</v>
      </c>
      <c r="D344" s="13">
        <f t="shared" si="11"/>
        <v>5.7152537289392347E-2</v>
      </c>
    </row>
    <row r="345" spans="1:4" s="109" customFormat="1" x14ac:dyDescent="0.35">
      <c r="A345" s="10">
        <v>43891</v>
      </c>
      <c r="B345" s="15">
        <f>VLOOKUP(A345,Database!A:M,MATCH($A$1,Database!$A$1:$M$1,),)</f>
        <v>369456</v>
      </c>
      <c r="C345" s="12">
        <f t="shared" si="10"/>
        <v>-2.9456036609232693E-2</v>
      </c>
      <c r="D345" s="13">
        <f t="shared" si="11"/>
        <v>1.784400750456638E-2</v>
      </c>
    </row>
    <row r="346" spans="1:4" s="109" customFormat="1" x14ac:dyDescent="0.35">
      <c r="A346" s="11">
        <v>43922</v>
      </c>
      <c r="B346" s="15">
        <f>VLOOKUP(A346,Database!A:M,MATCH($A$1,Database!$A$1:$M$1,),)</f>
        <v>314716</v>
      </c>
      <c r="C346" s="12">
        <f t="shared" si="10"/>
        <v>-0.14816378675674505</v>
      </c>
      <c r="D346" s="13">
        <f t="shared" si="11"/>
        <v>-0.13631386410601914</v>
      </c>
    </row>
    <row r="347" spans="1:4" s="109" customFormat="1" x14ac:dyDescent="0.35">
      <c r="A347" s="10">
        <v>43952</v>
      </c>
      <c r="B347" s="15">
        <f>VLOOKUP(A347,Database!A:M,MATCH($A$1,Database!$A$1:$M$1,),)</f>
        <v>355568</v>
      </c>
      <c r="C347" s="12">
        <f t="shared" si="10"/>
        <v>0.1298059202582646</v>
      </c>
      <c r="D347" s="13">
        <f t="shared" si="11"/>
        <v>-2.9512993304783817E-2</v>
      </c>
    </row>
    <row r="348" spans="1:4" s="109" customFormat="1" x14ac:dyDescent="0.35">
      <c r="A348" s="11">
        <v>43983</v>
      </c>
      <c r="B348" s="15">
        <f>VLOOKUP(A348,Database!A:M,MATCH($A$1,Database!$A$1:$M$1,),)</f>
        <v>384455</v>
      </c>
      <c r="C348" s="12">
        <f t="shared" si="10"/>
        <v>8.1241844035458755E-2</v>
      </c>
      <c r="D348" s="13">
        <f t="shared" si="11"/>
        <v>4.3076363754754758E-2</v>
      </c>
    </row>
    <row r="349" spans="1:4" s="109" customFormat="1" x14ac:dyDescent="0.35">
      <c r="A349" s="10">
        <v>44013</v>
      </c>
      <c r="B349" s="15">
        <f>VLOOKUP(A349,Database!A:M,MATCH($A$1,Database!$A$1:$M$1,),)</f>
        <v>394807</v>
      </c>
      <c r="C349" s="12">
        <f t="shared" si="10"/>
        <v>2.6926428320609694E-2</v>
      </c>
      <c r="D349" s="13">
        <f t="shared" si="11"/>
        <v>5.9955701724947984E-2</v>
      </c>
    </row>
    <row r="350" spans="1:4" s="109" customFormat="1" x14ac:dyDescent="0.35">
      <c r="A350" s="11">
        <v>44044</v>
      </c>
      <c r="B350" s="15">
        <f>VLOOKUP(A350,Database!A:M,MATCH($A$1,Database!$A$1:$M$1,),)</f>
        <v>396649</v>
      </c>
      <c r="C350" s="12">
        <f t="shared" si="10"/>
        <v>4.6655707725546912E-3</v>
      </c>
      <c r="D350" s="13">
        <f t="shared" si="11"/>
        <v>6.4283816888521597E-2</v>
      </c>
    </row>
    <row r="351" spans="1:4" s="109" customFormat="1" x14ac:dyDescent="0.35">
      <c r="A351" s="10">
        <v>44075</v>
      </c>
      <c r="B351" s="15">
        <f>VLOOKUP(A351,Database!A:M,MATCH($A$1,Database!$A$1:$M$1,),)</f>
        <v>404129</v>
      </c>
      <c r="C351" s="12">
        <f t="shared" si="10"/>
        <v>1.8857982750492251E-2</v>
      </c>
      <c r="D351" s="13">
        <f t="shared" si="11"/>
        <v>8.7300669122177349E-2</v>
      </c>
    </row>
    <row r="352" spans="1:4" s="109" customFormat="1" x14ac:dyDescent="0.35">
      <c r="A352" s="11">
        <v>44105</v>
      </c>
      <c r="B352" s="15">
        <f>VLOOKUP(A352,Database!A:M,MATCH($A$1,Database!$A$1:$M$1,),)</f>
        <v>402661</v>
      </c>
      <c r="C352" s="12">
        <f t="shared" si="10"/>
        <v>-3.6325034827988092E-3</v>
      </c>
      <c r="D352" s="13">
        <f t="shared" si="11"/>
        <v>7.9737212576255281E-2</v>
      </c>
    </row>
    <row r="353" spans="1:4" s="109" customFormat="1" x14ac:dyDescent="0.35">
      <c r="A353" s="10">
        <v>44136</v>
      </c>
      <c r="B353" s="15">
        <f>VLOOKUP(A353,Database!A:M,MATCH($A$1,Database!$A$1:$M$1,),)</f>
        <v>398714</v>
      </c>
      <c r="C353" s="12">
        <f t="shared" si="10"/>
        <v>-9.802290264018616E-3</v>
      </c>
      <c r="D353" s="13">
        <f t="shared" si="11"/>
        <v>6.9485983439241006E-2</v>
      </c>
    </row>
    <row r="354" spans="1:4" s="109" customFormat="1" x14ac:dyDescent="0.35">
      <c r="A354" s="11">
        <v>44166</v>
      </c>
      <c r="B354" s="15">
        <f>VLOOKUP(A354,Database!A:M,MATCH($A$1,Database!$A$1:$M$1,),)</f>
        <v>392563</v>
      </c>
      <c r="C354" s="12">
        <f t="shared" si="10"/>
        <v>-1.5427098120457269E-2</v>
      </c>
      <c r="D354" s="13">
        <f t="shared" si="11"/>
        <v>3.9367848046302036E-2</v>
      </c>
    </row>
    <row r="355" spans="1:4" s="109" customFormat="1" x14ac:dyDescent="0.35">
      <c r="A355" s="10">
        <v>44197</v>
      </c>
      <c r="B355" s="15">
        <f>VLOOKUP(A355,Database!A:M,MATCH($A$1,Database!$A$1:$M$1,),)</f>
        <v>416686</v>
      </c>
      <c r="C355" s="12">
        <f t="shared" si="10"/>
        <v>6.1450009297870659E-2</v>
      </c>
      <c r="D355" s="13">
        <f t="shared" si="11"/>
        <v>0.10298002551736186</v>
      </c>
    </row>
    <row r="356" spans="1:4" s="109" customFormat="1" x14ac:dyDescent="0.35">
      <c r="A356" s="11">
        <v>44228</v>
      </c>
      <c r="B356" s="15">
        <f>VLOOKUP(A356,Database!A:M,MATCH($A$1,Database!$A$1:$M$1,),)</f>
        <v>408169</v>
      </c>
      <c r="C356" s="12">
        <f t="shared" si="10"/>
        <v>-2.0439851590886182E-2</v>
      </c>
      <c r="D356" s="13">
        <f t="shared" si="11"/>
        <v>7.2241238451252923E-2</v>
      </c>
    </row>
    <row r="357" spans="1:4" s="109" customFormat="1" x14ac:dyDescent="0.35">
      <c r="A357" s="10">
        <v>44256</v>
      </c>
      <c r="B357" s="15">
        <f>VLOOKUP(A357,Database!A:M,MATCH($A$1,Database!$A$1:$M$1,),)</f>
        <v>448480</v>
      </c>
      <c r="C357" s="12">
        <f t="shared" si="10"/>
        <v>9.8760562414098085E-2</v>
      </c>
      <c r="D357" s="13">
        <f t="shared" si="11"/>
        <v>0.21389285868953273</v>
      </c>
    </row>
    <row r="358" spans="1:4" s="109" customFormat="1" x14ac:dyDescent="0.35">
      <c r="A358" s="11">
        <v>44287</v>
      </c>
      <c r="B358" s="15">
        <f>VLOOKUP(A358,Database!A:M,MATCH($A$1,Database!$A$1:$M$1,),)</f>
        <v>446407</v>
      </c>
      <c r="C358" s="12">
        <f t="shared" si="10"/>
        <v>-4.6222797003210849E-3</v>
      </c>
      <c r="D358" s="13">
        <f t="shared" si="11"/>
        <v>0.41844393040074224</v>
      </c>
    </row>
    <row r="359" spans="1:4" s="109" customFormat="1" x14ac:dyDescent="0.35">
      <c r="A359" s="10">
        <v>44317</v>
      </c>
      <c r="B359" s="15">
        <f>VLOOKUP(A359,Database!A:M,MATCH($A$1,Database!$A$1:$M$1,),)</f>
        <v>445569</v>
      </c>
      <c r="C359" s="12">
        <f t="shared" si="10"/>
        <v>-1.8772107068213536E-3</v>
      </c>
      <c r="D359" s="13">
        <f t="shared" si="11"/>
        <v>0.2531189533366332</v>
      </c>
    </row>
    <row r="360" spans="1:4" s="109" customFormat="1" x14ac:dyDescent="0.35">
      <c r="A360" s="11">
        <v>44348</v>
      </c>
      <c r="B360" s="15">
        <f>VLOOKUP(A360,Database!A:M,MATCH($A$1,Database!$A$1:$M$1,),)</f>
        <v>455114</v>
      </c>
      <c r="C360" s="12">
        <f t="shared" si="10"/>
        <v>2.1422046865917511E-2</v>
      </c>
      <c r="D360" s="13">
        <f t="shared" si="11"/>
        <v>0.18379004044686634</v>
      </c>
    </row>
    <row r="361" spans="1:4" s="109" customFormat="1" x14ac:dyDescent="0.35">
      <c r="A361" s="10">
        <v>44378</v>
      </c>
      <c r="B361" s="15">
        <f>VLOOKUP(A361,Database!A:M,MATCH($A$1,Database!$A$1:$M$1,),)</f>
        <v>448825</v>
      </c>
      <c r="C361" s="12">
        <f t="shared" si="10"/>
        <v>-1.3818515800436814E-2</v>
      </c>
      <c r="D361" s="13">
        <f t="shared" si="11"/>
        <v>0.13682128229742635</v>
      </c>
    </row>
    <row r="362" spans="1:4" s="109" customFormat="1" x14ac:dyDescent="0.35">
      <c r="A362" s="11">
        <v>44409</v>
      </c>
      <c r="B362" s="15">
        <f>VLOOKUP(A362,Database!A:M,MATCH($A$1,Database!$A$1:$M$1,),)</f>
        <v>455497</v>
      </c>
      <c r="C362" s="12">
        <f t="shared" si="10"/>
        <v>1.4865482092129449E-2</v>
      </c>
      <c r="D362" s="13">
        <f t="shared" si="11"/>
        <v>0.14836291028087806</v>
      </c>
    </row>
    <row r="363" spans="1:4" s="109" customFormat="1" x14ac:dyDescent="0.35">
      <c r="A363" s="11">
        <v>44440</v>
      </c>
      <c r="B363" s="15">
        <f>VLOOKUP(A363,Database!A:M,MATCH($A$1,Database!$A$1:$M$1,),)</f>
        <v>458684</v>
      </c>
      <c r="C363" s="12">
        <f t="shared" si="10"/>
        <v>6.9967529972755037E-3</v>
      </c>
      <c r="D363" s="13">
        <f t="shared" si="11"/>
        <v>0.13499402418534676</v>
      </c>
    </row>
    <row r="364" spans="1:4" s="109" customFormat="1" x14ac:dyDescent="0.35">
      <c r="A364" s="10">
        <v>44470</v>
      </c>
      <c r="B364" s="15">
        <f>VLOOKUP(A364,Database!A:M,MATCH($A$1,Database!$A$1:$M$1,),)</f>
        <v>463635</v>
      </c>
      <c r="C364" s="12">
        <f t="shared" si="10"/>
        <v>1.0793923485449677E-2</v>
      </c>
      <c r="D364" s="13">
        <f t="shared" si="11"/>
        <v>0.15142762770668131</v>
      </c>
    </row>
    <row r="365" spans="1:4" s="109" customFormat="1" x14ac:dyDescent="0.35">
      <c r="A365" s="11">
        <v>44501</v>
      </c>
      <c r="B365" s="15">
        <f>VLOOKUP(A365,Database!A:M,MATCH($A$1,Database!$A$1:$M$1,),)</f>
        <v>467206</v>
      </c>
      <c r="C365" s="12">
        <f t="shared" si="10"/>
        <v>7.7021795162142631E-3</v>
      </c>
      <c r="D365" s="13">
        <f t="shared" si="11"/>
        <v>0.17178228003029741</v>
      </c>
    </row>
    <row r="366" spans="1:4" s="109" customFormat="1" x14ac:dyDescent="0.35">
      <c r="A366" s="11">
        <v>44531</v>
      </c>
      <c r="B366" s="15">
        <f>VLOOKUP(A366,Database!A:M,MATCH($A$1,Database!$A$1:$M$1,),)</f>
        <v>457676</v>
      </c>
      <c r="C366" s="12">
        <f t="shared" si="10"/>
        <v>-2.0397854479608568E-2</v>
      </c>
      <c r="D366" s="13">
        <f t="shared" si="11"/>
        <v>0.1658663704933985</v>
      </c>
    </row>
    <row r="367" spans="1:4" s="109" customFormat="1" x14ac:dyDescent="0.35">
      <c r="A367" s="11">
        <v>44562</v>
      </c>
      <c r="B367" s="15">
        <f>VLOOKUP(A367,Database!A:M,MATCH($A$1,Database!$A$1:$M$1,),)</f>
        <v>466972</v>
      </c>
      <c r="C367" s="12">
        <f t="shared" si="10"/>
        <v>2.0311311932458768E-2</v>
      </c>
      <c r="D367" s="13">
        <f t="shared" si="11"/>
        <v>0.12068080041086093</v>
      </c>
    </row>
    <row r="368" spans="1:4" s="109" customFormat="1" x14ac:dyDescent="0.35">
      <c r="A368" s="11">
        <v>44593</v>
      </c>
      <c r="B368" s="15">
        <f>VLOOKUP(A368,Database!A:M,MATCH($A$1,Database!$A$1:$M$1,),)</f>
        <v>472501</v>
      </c>
      <c r="C368" s="12">
        <f t="shared" si="10"/>
        <v>1.1840110327814088E-2</v>
      </c>
      <c r="D368" s="13">
        <f t="shared" si="11"/>
        <v>0.15761118556284284</v>
      </c>
    </row>
    <row r="369" spans="1:4" s="109" customFormat="1" x14ac:dyDescent="0.35">
      <c r="A369" s="11">
        <v>44621</v>
      </c>
      <c r="B369" s="15">
        <f>VLOOKUP(A369,Database!A:M,MATCH($A$1,Database!$A$1:$M$1,),)</f>
        <v>476780</v>
      </c>
      <c r="C369" s="12">
        <f t="shared" si="10"/>
        <v>9.0560654898084875E-3</v>
      </c>
      <c r="D369" s="13">
        <f t="shared" si="11"/>
        <v>6.3102033535497676E-2</v>
      </c>
    </row>
    <row r="370" spans="1:4" s="109" customFormat="1" x14ac:dyDescent="0.35">
      <c r="A370" s="10">
        <v>44652</v>
      </c>
      <c r="B370" s="15">
        <f>VLOOKUP(A370,Database!A:M,MATCH($A$1,Database!$A$1:$M$1,),)</f>
        <v>480089</v>
      </c>
      <c r="C370" s="12">
        <f t="shared" si="10"/>
        <v>6.9403078988212593E-3</v>
      </c>
      <c r="D370" s="13">
        <f t="shared" si="11"/>
        <v>7.5451325808063047E-2</v>
      </c>
    </row>
    <row r="371" spans="1:4" s="109" customFormat="1" x14ac:dyDescent="0.35">
      <c r="A371" s="11">
        <v>44682</v>
      </c>
      <c r="B371" s="15">
        <f>VLOOKUP(A371,Database!A:M,MATCH($A$1,Database!$A$1:$M$1,),)</f>
        <v>483737</v>
      </c>
      <c r="C371" s="12">
        <f t="shared" si="10"/>
        <v>7.5985910945678822E-3</v>
      </c>
      <c r="D371" s="13">
        <f t="shared" si="11"/>
        <v>8.5661255607997866E-2</v>
      </c>
    </row>
    <row r="372" spans="1:4" s="109" customFormat="1" x14ac:dyDescent="0.35">
      <c r="A372" s="11">
        <v>44713</v>
      </c>
      <c r="B372" s="15">
        <f>VLOOKUP(A372,Database!A:M,MATCH($A$1,Database!$A$1:$M$1,),)</f>
        <v>488175</v>
      </c>
      <c r="C372" s="12">
        <f t="shared" si="10"/>
        <v>9.1744067540833144E-3</v>
      </c>
      <c r="D372" s="13">
        <f t="shared" si="11"/>
        <v>7.2643337713188344E-2</v>
      </c>
    </row>
    <row r="373" spans="1:4" s="109" customFormat="1" x14ac:dyDescent="0.35">
      <c r="A373" s="11">
        <v>44743</v>
      </c>
      <c r="B373" s="15">
        <f>VLOOKUP(A373,Database!A:M,MATCH($A$1,Database!$A$1:$M$1,),)</f>
        <v>489272</v>
      </c>
      <c r="C373" s="12">
        <f t="shared" si="10"/>
        <v>2.2471449787473756E-3</v>
      </c>
      <c r="D373" s="13">
        <f t="shared" si="11"/>
        <v>9.0117529103770952E-2</v>
      </c>
    </row>
    <row r="374" spans="1:4" s="109" customFormat="1" x14ac:dyDescent="0.35">
      <c r="A374" s="11">
        <v>44774</v>
      </c>
      <c r="B374" s="15">
        <f>VLOOKUP(A374,Database!A:M,MATCH($A$1,Database!$A$1:$M$1,),)</f>
        <v>493588</v>
      </c>
      <c r="C374" s="12">
        <f t="shared" si="10"/>
        <v>8.8212691509017473E-3</v>
      </c>
      <c r="D374" s="13">
        <f t="shared" si="11"/>
        <v>8.3625139133737439E-2</v>
      </c>
    </row>
    <row r="375" spans="1:4" s="109" customFormat="1" x14ac:dyDescent="0.35">
      <c r="A375" s="11">
        <v>44805</v>
      </c>
      <c r="B375" s="15">
        <f>VLOOKUP(A375,Database!A:M,MATCH($A$1,Database!$A$1:$M$1,),)</f>
        <v>495671</v>
      </c>
      <c r="C375" s="12">
        <f t="shared" si="10"/>
        <v>4.2201188035365525E-3</v>
      </c>
      <c r="D375" s="13">
        <f t="shared" si="11"/>
        <v>8.0637214291320383E-2</v>
      </c>
    </row>
    <row r="376" spans="1:4" s="109" customFormat="1" x14ac:dyDescent="0.35">
      <c r="A376" s="11">
        <v>44835</v>
      </c>
      <c r="B376" s="15">
        <f>VLOOKUP(A376,Database!A:M,MATCH($A$1,Database!$A$1:$M$1,),)</f>
        <v>499618</v>
      </c>
      <c r="C376" s="12">
        <f t="shared" si="10"/>
        <v>7.9629431618956931E-3</v>
      </c>
      <c r="D376" s="13">
        <f t="shared" si="11"/>
        <v>7.7610620423393409E-2</v>
      </c>
    </row>
    <row r="377" spans="1:4" s="109" customFormat="1" x14ac:dyDescent="0.35">
      <c r="A377" s="11">
        <v>44866</v>
      </c>
      <c r="B377" s="15">
        <f>VLOOKUP(A377,Database!A:M,MATCH($A$1,Database!$A$1:$M$1,),)</f>
        <v>498588</v>
      </c>
      <c r="C377" s="12">
        <f t="shared" si="10"/>
        <v>-2.0615750433331066E-3</v>
      </c>
      <c r="D377" s="13">
        <f t="shared" si="11"/>
        <v>6.7169514090144392E-2</v>
      </c>
    </row>
    <row r="378" spans="1:4" s="109" customFormat="1" x14ac:dyDescent="0.35"/>
    <row r="379" spans="1:4" s="109" customFormat="1" x14ac:dyDescent="0.35"/>
    <row r="380" spans="1:4" s="109" customFormat="1" x14ac:dyDescent="0.35"/>
    <row r="381" spans="1:4" s="109" customFormat="1" x14ac:dyDescent="0.35"/>
    <row r="382" spans="1:4" s="109" customFormat="1" x14ac:dyDescent="0.35"/>
    <row r="383" spans="1:4" s="109" customFormat="1" x14ac:dyDescent="0.35"/>
    <row r="384" spans="1:4" s="109" customFormat="1" x14ac:dyDescent="0.35"/>
    <row r="385" s="109" customFormat="1" x14ac:dyDescent="0.35"/>
    <row r="386" s="109" customFormat="1" x14ac:dyDescent="0.35"/>
    <row r="387" s="109" customFormat="1" x14ac:dyDescent="0.35"/>
    <row r="388" s="109" customFormat="1" x14ac:dyDescent="0.35"/>
    <row r="389" s="109" customFormat="1" x14ac:dyDescent="0.35"/>
    <row r="390" s="109" customFormat="1" x14ac:dyDescent="0.35"/>
    <row r="391" s="109" customFormat="1" x14ac:dyDescent="0.35"/>
    <row r="392" s="109" customFormat="1" x14ac:dyDescent="0.35"/>
    <row r="393" s="109" customFormat="1" x14ac:dyDescent="0.35"/>
    <row r="394" s="109" customFormat="1" x14ac:dyDescent="0.35"/>
    <row r="395" s="109" customFormat="1" x14ac:dyDescent="0.35"/>
    <row r="396" s="109" customFormat="1" x14ac:dyDescent="0.35"/>
    <row r="397" s="109" customFormat="1" x14ac:dyDescent="0.35"/>
    <row r="398" s="109" customFormat="1" x14ac:dyDescent="0.35"/>
    <row r="399" s="109" customFormat="1" x14ac:dyDescent="0.35"/>
    <row r="400" s="109" customFormat="1" x14ac:dyDescent="0.35"/>
    <row r="401" s="109" customFormat="1" x14ac:dyDescent="0.35"/>
    <row r="402" s="109" customFormat="1" x14ac:dyDescent="0.35"/>
    <row r="403" s="109" customFormat="1" x14ac:dyDescent="0.35"/>
    <row r="404" s="109" customFormat="1" x14ac:dyDescent="0.35"/>
    <row r="405" s="109" customFormat="1" x14ac:dyDescent="0.35"/>
    <row r="406" s="109" customFormat="1" x14ac:dyDescent="0.35"/>
    <row r="407" s="109" customFormat="1" x14ac:dyDescent="0.35"/>
    <row r="408" s="109" customFormat="1" x14ac:dyDescent="0.35"/>
    <row r="409" s="109" customFormat="1" x14ac:dyDescent="0.35"/>
    <row r="410" s="109" customFormat="1" x14ac:dyDescent="0.35"/>
    <row r="411" s="109" customFormat="1" x14ac:dyDescent="0.35"/>
    <row r="412" s="109" customFormat="1" x14ac:dyDescent="0.35"/>
    <row r="413" s="109" customFormat="1" x14ac:dyDescent="0.35"/>
    <row r="414" s="109" customFormat="1" x14ac:dyDescent="0.35"/>
    <row r="415" s="109" customFormat="1" x14ac:dyDescent="0.35"/>
    <row r="416" s="109" customFormat="1" x14ac:dyDescent="0.35"/>
    <row r="417" s="109" customFormat="1" x14ac:dyDescent="0.35"/>
    <row r="418" s="109" customFormat="1" x14ac:dyDescent="0.35"/>
    <row r="419" s="109" customFormat="1" x14ac:dyDescent="0.35"/>
    <row r="420" s="109" customFormat="1" x14ac:dyDescent="0.35"/>
    <row r="421" s="109" customFormat="1" x14ac:dyDescent="0.35"/>
    <row r="422" s="109" customFormat="1" x14ac:dyDescent="0.35"/>
    <row r="423" s="109" customFormat="1" x14ac:dyDescent="0.35"/>
    <row r="424" s="109" customFormat="1" x14ac:dyDescent="0.35"/>
    <row r="425" s="109" customFormat="1" x14ac:dyDescent="0.35"/>
    <row r="426" s="109" customFormat="1" x14ac:dyDescent="0.35"/>
    <row r="427" s="109" customFormat="1" x14ac:dyDescent="0.35"/>
    <row r="428" s="109" customFormat="1" x14ac:dyDescent="0.35"/>
    <row r="429" s="109" customFormat="1" x14ac:dyDescent="0.35"/>
    <row r="430" s="109" customFormat="1" x14ac:dyDescent="0.35"/>
    <row r="431" s="109" customFormat="1" x14ac:dyDescent="0.35"/>
    <row r="432" s="109" customFormat="1" x14ac:dyDescent="0.35"/>
    <row r="433" s="109" customFormat="1" x14ac:dyDescent="0.35"/>
    <row r="434" s="109" customFormat="1" x14ac:dyDescent="0.35"/>
    <row r="435" s="109" customFormat="1" x14ac:dyDescent="0.35"/>
    <row r="436" s="109" customFormat="1" x14ac:dyDescent="0.35"/>
    <row r="437" s="109" customFormat="1" x14ac:dyDescent="0.35"/>
    <row r="438" s="109" customFormat="1" x14ac:dyDescent="0.35"/>
    <row r="439" s="109" customFormat="1" x14ac:dyDescent="0.35"/>
    <row r="440" s="109" customFormat="1" x14ac:dyDescent="0.35"/>
    <row r="441" s="109" customFormat="1" x14ac:dyDescent="0.35"/>
    <row r="442" s="109" customFormat="1" x14ac:dyDescent="0.35"/>
    <row r="443" s="109" customFormat="1" x14ac:dyDescent="0.35"/>
    <row r="444" s="109" customFormat="1" x14ac:dyDescent="0.35"/>
    <row r="445" s="109" customFormat="1" x14ac:dyDescent="0.35"/>
    <row r="446" s="109" customFormat="1" x14ac:dyDescent="0.35"/>
    <row r="447" s="109" customFormat="1" x14ac:dyDescent="0.35"/>
    <row r="448" s="109" customFormat="1" x14ac:dyDescent="0.35"/>
    <row r="449" s="109" customFormat="1" x14ac:dyDescent="0.35"/>
    <row r="450" s="109" customFormat="1" x14ac:dyDescent="0.35"/>
    <row r="451" s="109" customFormat="1" x14ac:dyDescent="0.35"/>
    <row r="452" s="109" customFormat="1" x14ac:dyDescent="0.35"/>
    <row r="453" s="109" customFormat="1" x14ac:dyDescent="0.35"/>
    <row r="454" s="109" customFormat="1" x14ac:dyDescent="0.35"/>
    <row r="455" s="109" customFormat="1" x14ac:dyDescent="0.35"/>
    <row r="456" s="109" customFormat="1" x14ac:dyDescent="0.35"/>
    <row r="457" s="109" customFormat="1" x14ac:dyDescent="0.35"/>
    <row r="458" s="109" customFormat="1" x14ac:dyDescent="0.35"/>
    <row r="459" s="109" customFormat="1" x14ac:dyDescent="0.35"/>
    <row r="460" s="109" customFormat="1" x14ac:dyDescent="0.35"/>
    <row r="461" s="109" customFormat="1" x14ac:dyDescent="0.35"/>
    <row r="462" s="109" customFormat="1" x14ac:dyDescent="0.35"/>
    <row r="463" s="109" customFormat="1" x14ac:dyDescent="0.35"/>
    <row r="464" s="109" customFormat="1" x14ac:dyDescent="0.35"/>
    <row r="465" s="109" customFormat="1" x14ac:dyDescent="0.35"/>
    <row r="466" s="109" customFormat="1" x14ac:dyDescent="0.35"/>
    <row r="467" s="109" customFormat="1" x14ac:dyDescent="0.35"/>
    <row r="468" s="109" customFormat="1" x14ac:dyDescent="0.35"/>
    <row r="469" s="109" customFormat="1" x14ac:dyDescent="0.35"/>
    <row r="470" s="109" customFormat="1" x14ac:dyDescent="0.35"/>
    <row r="471" s="109" customFormat="1" x14ac:dyDescent="0.35"/>
    <row r="472" s="109" customFormat="1" x14ac:dyDescent="0.35"/>
    <row r="473" s="109" customFormat="1" x14ac:dyDescent="0.35"/>
    <row r="474" s="109" customFormat="1" x14ac:dyDescent="0.35"/>
    <row r="475" s="109" customFormat="1" x14ac:dyDescent="0.35"/>
    <row r="476" s="109" customFormat="1" x14ac:dyDescent="0.35"/>
    <row r="477" s="109" customFormat="1" x14ac:dyDescent="0.35"/>
    <row r="478" s="109" customFormat="1" x14ac:dyDescent="0.35"/>
    <row r="479" s="109" customFormat="1" x14ac:dyDescent="0.35"/>
    <row r="480" s="109" customFormat="1" x14ac:dyDescent="0.35"/>
    <row r="481" s="109" customFormat="1" x14ac:dyDescent="0.35"/>
    <row r="482" s="109" customFormat="1" x14ac:dyDescent="0.35"/>
    <row r="483" s="109" customFormat="1" x14ac:dyDescent="0.35"/>
    <row r="484" s="109" customFormat="1" x14ac:dyDescent="0.35"/>
    <row r="485" s="109" customFormat="1" x14ac:dyDescent="0.35"/>
    <row r="486" s="109" customFormat="1" x14ac:dyDescent="0.35"/>
    <row r="487" s="109" customFormat="1" x14ac:dyDescent="0.35"/>
    <row r="488" s="109" customFormat="1" x14ac:dyDescent="0.35"/>
    <row r="489" s="109" customFormat="1" x14ac:dyDescent="0.35"/>
    <row r="490" s="109" customFormat="1" x14ac:dyDescent="0.35"/>
    <row r="491" s="109" customFormat="1" x14ac:dyDescent="0.35"/>
    <row r="492" s="109" customFormat="1" x14ac:dyDescent="0.35"/>
    <row r="493" s="109" customFormat="1" x14ac:dyDescent="0.35"/>
    <row r="494" s="109" customFormat="1" x14ac:dyDescent="0.35"/>
    <row r="495" s="109" customFormat="1" x14ac:dyDescent="0.35"/>
    <row r="496" s="109" customFormat="1" x14ac:dyDescent="0.35"/>
    <row r="497" s="109" customFormat="1" x14ac:dyDescent="0.35"/>
    <row r="498" s="109" customFormat="1" x14ac:dyDescent="0.35"/>
    <row r="499" s="109" customFormat="1" x14ac:dyDescent="0.35"/>
    <row r="500" s="109" customFormat="1" x14ac:dyDescent="0.35"/>
    <row r="501" s="109" customFormat="1" x14ac:dyDescent="0.35"/>
    <row r="502" s="109" customFormat="1" x14ac:dyDescent="0.35"/>
    <row r="503" s="109" customFormat="1" x14ac:dyDescent="0.35"/>
    <row r="504" s="109" customFormat="1" x14ac:dyDescent="0.35"/>
    <row r="505" s="109" customFormat="1" x14ac:dyDescent="0.35"/>
    <row r="506" s="109" customFormat="1" x14ac:dyDescent="0.35"/>
    <row r="507" s="109" customFormat="1" x14ac:dyDescent="0.35"/>
    <row r="508" s="109" customFormat="1" x14ac:dyDescent="0.35"/>
    <row r="509" s="109" customFormat="1" x14ac:dyDescent="0.35"/>
    <row r="510" s="109" customFormat="1" x14ac:dyDescent="0.35"/>
    <row r="511" s="109" customFormat="1" x14ac:dyDescent="0.35"/>
    <row r="512" s="109" customFormat="1" x14ac:dyDescent="0.35"/>
    <row r="513" s="109" customFormat="1" x14ac:dyDescent="0.35"/>
    <row r="514" s="109" customFormat="1" x14ac:dyDescent="0.35"/>
    <row r="515" s="109" customFormat="1" x14ac:dyDescent="0.35"/>
    <row r="516" s="109" customFormat="1" x14ac:dyDescent="0.35"/>
    <row r="517" s="109" customFormat="1" x14ac:dyDescent="0.35"/>
    <row r="518" s="109" customFormat="1" x14ac:dyDescent="0.35"/>
    <row r="519" s="109" customFormat="1" x14ac:dyDescent="0.35"/>
    <row r="520" s="109" customFormat="1" x14ac:dyDescent="0.35"/>
    <row r="521" s="109" customFormat="1" x14ac:dyDescent="0.35"/>
    <row r="522" s="109" customFormat="1" x14ac:dyDescent="0.35"/>
    <row r="523" s="109" customFormat="1" x14ac:dyDescent="0.35"/>
    <row r="524" s="109" customFormat="1" x14ac:dyDescent="0.35"/>
    <row r="525" s="109" customFormat="1" x14ac:dyDescent="0.35"/>
    <row r="526" s="109" customFormat="1" x14ac:dyDescent="0.35"/>
    <row r="527" s="109" customFormat="1" x14ac:dyDescent="0.35"/>
    <row r="528" s="109" customFormat="1" x14ac:dyDescent="0.35"/>
    <row r="529" s="109" customFormat="1" x14ac:dyDescent="0.35"/>
    <row r="530" s="109" customFormat="1" x14ac:dyDescent="0.35"/>
    <row r="531" s="109" customFormat="1" x14ac:dyDescent="0.35"/>
    <row r="532" s="109" customFormat="1" x14ac:dyDescent="0.35"/>
    <row r="533" s="109" customFormat="1" x14ac:dyDescent="0.35"/>
    <row r="534" s="109" customFormat="1" x14ac:dyDescent="0.35"/>
    <row r="535" s="109" customFormat="1" x14ac:dyDescent="0.35"/>
    <row r="536" s="109" customFormat="1" x14ac:dyDescent="0.35"/>
    <row r="537" s="109" customFormat="1" x14ac:dyDescent="0.35"/>
    <row r="538" s="109" customFormat="1" x14ac:dyDescent="0.35"/>
    <row r="539" s="109" customFormat="1" x14ac:dyDescent="0.35"/>
    <row r="540" s="109" customFormat="1" x14ac:dyDescent="0.35"/>
    <row r="541" s="109" customFormat="1" x14ac:dyDescent="0.35"/>
    <row r="542" s="109" customFormat="1" x14ac:dyDescent="0.35"/>
    <row r="543" s="109" customFormat="1" x14ac:dyDescent="0.35"/>
    <row r="544" s="109" customFormat="1" x14ac:dyDescent="0.35"/>
    <row r="545" s="109" customFormat="1" x14ac:dyDescent="0.35"/>
    <row r="546" s="109" customFormat="1" x14ac:dyDescent="0.35"/>
    <row r="547" s="109" customFormat="1" x14ac:dyDescent="0.35"/>
    <row r="548" s="109" customFormat="1" x14ac:dyDescent="0.35"/>
    <row r="549" s="109" customFormat="1" x14ac:dyDescent="0.35"/>
    <row r="550" s="109" customFormat="1" x14ac:dyDescent="0.35"/>
    <row r="551" s="109" customFormat="1" x14ac:dyDescent="0.35"/>
    <row r="552" s="109" customFormat="1" x14ac:dyDescent="0.35"/>
    <row r="553" s="109" customFormat="1" x14ac:dyDescent="0.35"/>
    <row r="554" s="109" customFormat="1" x14ac:dyDescent="0.35"/>
    <row r="555" s="109" customFormat="1" x14ac:dyDescent="0.35"/>
    <row r="556" s="109" customFormat="1" x14ac:dyDescent="0.35"/>
    <row r="557" s="109" customFormat="1" x14ac:dyDescent="0.35"/>
    <row r="558" s="109" customFormat="1" x14ac:dyDescent="0.35"/>
    <row r="559" s="109" customFormat="1" x14ac:dyDescent="0.35"/>
    <row r="560" s="109" customFormat="1" x14ac:dyDescent="0.35"/>
    <row r="561" s="109" customFormat="1" x14ac:dyDescent="0.35"/>
    <row r="562" s="109" customFormat="1" x14ac:dyDescent="0.35"/>
    <row r="563" s="109" customFormat="1" x14ac:dyDescent="0.35"/>
    <row r="564" s="109" customFormat="1" x14ac:dyDescent="0.35"/>
    <row r="565" s="109" customFormat="1" x14ac:dyDescent="0.35"/>
    <row r="566" s="109" customFormat="1" x14ac:dyDescent="0.35"/>
    <row r="567" s="109" customFormat="1" x14ac:dyDescent="0.35"/>
    <row r="568" s="109" customFormat="1" x14ac:dyDescent="0.35"/>
    <row r="569" s="109" customFormat="1" x14ac:dyDescent="0.35"/>
    <row r="570" s="109" customFormat="1" x14ac:dyDescent="0.35"/>
    <row r="571" s="109" customFormat="1" x14ac:dyDescent="0.35"/>
    <row r="572" s="109" customFormat="1" x14ac:dyDescent="0.35"/>
    <row r="573" s="109" customFormat="1" x14ac:dyDescent="0.35"/>
    <row r="574" s="109" customFormat="1" x14ac:dyDescent="0.35"/>
    <row r="575" s="109" customFormat="1" x14ac:dyDescent="0.35"/>
    <row r="576" s="109" customFormat="1" x14ac:dyDescent="0.35"/>
    <row r="577" s="109" customFormat="1" x14ac:dyDescent="0.35"/>
    <row r="578" s="109" customFormat="1" x14ac:dyDescent="0.35"/>
    <row r="579" s="109" customFormat="1" x14ac:dyDescent="0.35"/>
    <row r="580" s="109" customFormat="1" x14ac:dyDescent="0.35"/>
    <row r="581" s="109" customFormat="1" x14ac:dyDescent="0.35"/>
    <row r="582" s="109" customFormat="1" x14ac:dyDescent="0.35"/>
    <row r="583" s="109" customFormat="1" x14ac:dyDescent="0.35"/>
    <row r="584" s="109" customFormat="1" x14ac:dyDescent="0.35"/>
    <row r="585" s="109" customFormat="1" x14ac:dyDescent="0.35"/>
    <row r="586" s="109" customFormat="1" x14ac:dyDescent="0.35"/>
    <row r="587" s="109" customFormat="1" x14ac:dyDescent="0.35"/>
    <row r="588" s="109" customFormat="1" x14ac:dyDescent="0.35"/>
    <row r="589" s="109" customFormat="1" x14ac:dyDescent="0.35"/>
    <row r="590" s="109" customFormat="1" x14ac:dyDescent="0.35"/>
    <row r="591" s="109" customFormat="1" x14ac:dyDescent="0.35"/>
    <row r="592" s="109" customFormat="1" x14ac:dyDescent="0.35"/>
    <row r="593" s="109" customFormat="1" x14ac:dyDescent="0.35"/>
    <row r="594" s="109" customFormat="1" x14ac:dyDescent="0.35"/>
    <row r="595" s="109" customFormat="1" x14ac:dyDescent="0.35"/>
    <row r="596" s="109" customFormat="1" x14ac:dyDescent="0.35"/>
    <row r="597" s="109" customFormat="1" x14ac:dyDescent="0.35"/>
    <row r="598" s="109" customFormat="1" x14ac:dyDescent="0.35"/>
    <row r="599" s="109" customFormat="1" x14ac:dyDescent="0.35"/>
    <row r="600" s="109" customFormat="1" x14ac:dyDescent="0.35"/>
    <row r="601" s="109" customFormat="1" x14ac:dyDescent="0.35"/>
    <row r="602" s="109" customFormat="1" x14ac:dyDescent="0.35"/>
    <row r="603" s="109" customFormat="1" x14ac:dyDescent="0.35"/>
    <row r="604" s="109" customFormat="1" x14ac:dyDescent="0.35"/>
    <row r="605" s="109" customFormat="1" x14ac:dyDescent="0.35"/>
    <row r="606" s="109" customFormat="1" x14ac:dyDescent="0.35"/>
    <row r="607" s="109" customFormat="1" x14ac:dyDescent="0.35"/>
    <row r="608" s="109" customFormat="1" x14ac:dyDescent="0.35"/>
    <row r="609" s="109" customFormat="1" x14ac:dyDescent="0.35"/>
    <row r="610" s="109" customFormat="1" x14ac:dyDescent="0.35"/>
    <row r="611" s="109" customFormat="1" x14ac:dyDescent="0.35"/>
    <row r="612" s="109" customFormat="1" x14ac:dyDescent="0.35"/>
    <row r="613" s="109" customFormat="1" x14ac:dyDescent="0.35"/>
    <row r="614" s="109" customFormat="1" x14ac:dyDescent="0.35"/>
    <row r="615" s="109" customFormat="1" x14ac:dyDescent="0.35"/>
    <row r="616" s="109" customFormat="1" x14ac:dyDescent="0.35"/>
    <row r="617" s="109" customFormat="1" x14ac:dyDescent="0.35"/>
    <row r="618" s="109" customFormat="1" x14ac:dyDescent="0.35"/>
    <row r="619" s="109" customFormat="1" x14ac:dyDescent="0.35"/>
    <row r="620" s="109" customFormat="1" x14ac:dyDescent="0.35"/>
    <row r="621" s="109" customFormat="1" x14ac:dyDescent="0.35"/>
    <row r="622" s="109" customFormat="1" x14ac:dyDescent="0.35"/>
    <row r="623" s="109" customFormat="1" x14ac:dyDescent="0.35"/>
    <row r="624" s="109" customFormat="1" x14ac:dyDescent="0.35"/>
    <row r="625" spans="1:4" s="109" customFormat="1" x14ac:dyDescent="0.35"/>
    <row r="626" spans="1:4" s="109" customFormat="1" x14ac:dyDescent="0.35"/>
    <row r="627" spans="1:4" s="109" customFormat="1" x14ac:dyDescent="0.35"/>
    <row r="628" spans="1:4" s="109" customFormat="1" x14ac:dyDescent="0.35"/>
    <row r="629" spans="1:4" s="109" customFormat="1" x14ac:dyDescent="0.35"/>
    <row r="630" spans="1:4" s="109" customFormat="1" x14ac:dyDescent="0.35"/>
    <row r="631" spans="1:4" s="109" customFormat="1" x14ac:dyDescent="0.35"/>
    <row r="632" spans="1:4" s="109" customFormat="1" x14ac:dyDescent="0.35"/>
    <row r="633" spans="1:4" x14ac:dyDescent="0.35">
      <c r="A633" s="109"/>
      <c r="B633" s="109"/>
      <c r="C633" s="109"/>
      <c r="D633" s="109"/>
    </row>
    <row r="634" spans="1:4" x14ac:dyDescent="0.35">
      <c r="A634" s="109"/>
      <c r="B634" s="109"/>
      <c r="C634" s="109"/>
      <c r="D634" s="109"/>
    </row>
    <row r="635" spans="1:4" x14ac:dyDescent="0.35">
      <c r="A635" s="109"/>
      <c r="B635" s="109"/>
      <c r="C635" s="109"/>
      <c r="D635" s="109"/>
    </row>
    <row r="636" spans="1:4" x14ac:dyDescent="0.35">
      <c r="A636" s="109"/>
      <c r="B636" s="109"/>
      <c r="C636" s="109"/>
      <c r="D636" s="109"/>
    </row>
    <row r="637" spans="1:4" x14ac:dyDescent="0.35">
      <c r="A637" s="109"/>
      <c r="B637" s="109"/>
      <c r="C637" s="109"/>
      <c r="D637" s="109"/>
    </row>
    <row r="638" spans="1:4" x14ac:dyDescent="0.35">
      <c r="A638" s="109"/>
      <c r="B638" s="109"/>
      <c r="C638" s="109"/>
      <c r="D638" s="109"/>
    </row>
    <row r="639" spans="1:4" x14ac:dyDescent="0.35">
      <c r="A639" s="109"/>
      <c r="B639" s="109"/>
      <c r="C639" s="109"/>
      <c r="D639" s="109"/>
    </row>
    <row r="640" spans="1:4" x14ac:dyDescent="0.35">
      <c r="A640" s="109"/>
      <c r="B640" s="109"/>
      <c r="C640" s="109"/>
      <c r="D640" s="109"/>
    </row>
    <row r="641" spans="1:4" x14ac:dyDescent="0.35">
      <c r="A641" s="109"/>
      <c r="B641" s="109"/>
      <c r="C641" s="109"/>
      <c r="D641" s="109"/>
    </row>
    <row r="642" spans="1:4" x14ac:dyDescent="0.35">
      <c r="A642" s="109"/>
      <c r="B642" s="109"/>
      <c r="C642" s="109"/>
      <c r="D642" s="109"/>
    </row>
    <row r="643" spans="1:4" x14ac:dyDescent="0.35">
      <c r="A643" s="109"/>
      <c r="B643" s="109"/>
      <c r="C643" s="109"/>
      <c r="D643" s="109"/>
    </row>
    <row r="644" spans="1:4" x14ac:dyDescent="0.35">
      <c r="A644" s="109"/>
      <c r="B644" s="109"/>
      <c r="C644" s="109"/>
      <c r="D644" s="109"/>
    </row>
    <row r="645" spans="1:4" x14ac:dyDescent="0.35">
      <c r="A645" s="109"/>
      <c r="B645" s="109"/>
      <c r="C645" s="109"/>
      <c r="D645" s="109"/>
    </row>
    <row r="646" spans="1:4" x14ac:dyDescent="0.35">
      <c r="A646" s="109"/>
      <c r="B646" s="109"/>
      <c r="C646" s="109"/>
      <c r="D646" s="109"/>
    </row>
    <row r="647" spans="1:4" x14ac:dyDescent="0.35">
      <c r="A647" s="109"/>
      <c r="B647" s="109"/>
      <c r="C647" s="109"/>
      <c r="D647" s="109"/>
    </row>
    <row r="648" spans="1:4" x14ac:dyDescent="0.35">
      <c r="A648" s="109"/>
      <c r="B648" s="109"/>
      <c r="C648" s="109"/>
      <c r="D648" s="109"/>
    </row>
    <row r="649" spans="1:4" x14ac:dyDescent="0.35">
      <c r="A649" s="109"/>
      <c r="B649" s="109"/>
      <c r="C649" s="109"/>
      <c r="D649" s="109"/>
    </row>
    <row r="650" spans="1:4" x14ac:dyDescent="0.35">
      <c r="A650" s="109"/>
      <c r="B650" s="109"/>
      <c r="C650" s="109"/>
      <c r="D650" s="109"/>
    </row>
    <row r="651" spans="1:4" x14ac:dyDescent="0.35">
      <c r="A651" s="109"/>
      <c r="B651" s="109"/>
      <c r="C651" s="109"/>
      <c r="D651" s="109"/>
    </row>
    <row r="652" spans="1:4" x14ac:dyDescent="0.35">
      <c r="A652" s="109"/>
      <c r="B652" s="109"/>
      <c r="C652" s="109"/>
      <c r="D652" s="109"/>
    </row>
    <row r="653" spans="1:4" x14ac:dyDescent="0.35">
      <c r="A653" s="109"/>
      <c r="B653" s="109"/>
      <c r="C653" s="109"/>
      <c r="D653" s="109"/>
    </row>
    <row r="654" spans="1:4" x14ac:dyDescent="0.35">
      <c r="A654" s="109"/>
      <c r="B654" s="109"/>
      <c r="C654" s="109"/>
      <c r="D654" s="109"/>
    </row>
    <row r="655" spans="1:4" x14ac:dyDescent="0.35">
      <c r="A655" s="109"/>
      <c r="B655" s="109"/>
      <c r="C655" s="109"/>
      <c r="D655" s="109"/>
    </row>
    <row r="656" spans="1:4" x14ac:dyDescent="0.35">
      <c r="A656" s="109"/>
      <c r="B656" s="109"/>
      <c r="C656" s="109"/>
      <c r="D656" s="109"/>
    </row>
    <row r="657" spans="1:4" x14ac:dyDescent="0.35">
      <c r="A657" s="109"/>
      <c r="B657" s="109"/>
      <c r="C657" s="109"/>
      <c r="D657" s="109"/>
    </row>
    <row r="658" spans="1:4" x14ac:dyDescent="0.35">
      <c r="A658" s="109"/>
      <c r="B658" s="109"/>
      <c r="C658" s="109"/>
      <c r="D658" s="109"/>
    </row>
    <row r="659" spans="1:4" x14ac:dyDescent="0.35">
      <c r="A659" s="109"/>
      <c r="B659" s="109"/>
      <c r="C659" s="109"/>
      <c r="D659" s="109"/>
    </row>
    <row r="660" spans="1:4" x14ac:dyDescent="0.35">
      <c r="A660" s="109"/>
      <c r="B660" s="109"/>
      <c r="C660" s="109"/>
      <c r="D660" s="109"/>
    </row>
    <row r="661" spans="1:4" x14ac:dyDescent="0.35">
      <c r="A661" s="109"/>
      <c r="B661" s="109"/>
      <c r="C661" s="109"/>
      <c r="D661" s="109"/>
    </row>
    <row r="662" spans="1:4" x14ac:dyDescent="0.35">
      <c r="A662" s="109"/>
      <c r="B662" s="109"/>
      <c r="C662" s="109"/>
      <c r="D662" s="109"/>
    </row>
    <row r="663" spans="1:4" x14ac:dyDescent="0.35">
      <c r="A663" s="109"/>
      <c r="B663" s="109"/>
      <c r="C663" s="109"/>
      <c r="D663" s="109"/>
    </row>
    <row r="664" spans="1:4" x14ac:dyDescent="0.35">
      <c r="A664" s="109"/>
      <c r="B664" s="109"/>
      <c r="C664" s="109"/>
      <c r="D664" s="109"/>
    </row>
    <row r="665" spans="1:4" x14ac:dyDescent="0.35">
      <c r="A665" s="109"/>
      <c r="B665" s="109"/>
      <c r="C665" s="109"/>
      <c r="D665" s="109"/>
    </row>
    <row r="666" spans="1:4" x14ac:dyDescent="0.35">
      <c r="A666" s="109"/>
      <c r="B666" s="109"/>
      <c r="C666" s="109"/>
      <c r="D666" s="109"/>
    </row>
    <row r="667" spans="1:4" x14ac:dyDescent="0.35">
      <c r="A667" s="109"/>
      <c r="B667" s="109"/>
      <c r="C667" s="109"/>
      <c r="D667" s="109"/>
    </row>
    <row r="668" spans="1:4" x14ac:dyDescent="0.35">
      <c r="A668" s="109"/>
      <c r="B668" s="109"/>
      <c r="C668" s="109"/>
      <c r="D668" s="109"/>
    </row>
    <row r="669" spans="1:4" x14ac:dyDescent="0.35">
      <c r="A669" s="109"/>
      <c r="B669" s="109"/>
      <c r="C669" s="109"/>
      <c r="D669" s="109"/>
    </row>
    <row r="670" spans="1:4" x14ac:dyDescent="0.35">
      <c r="A670" s="109"/>
      <c r="B670" s="109"/>
      <c r="C670" s="109"/>
      <c r="D670" s="109"/>
    </row>
    <row r="671" spans="1:4" x14ac:dyDescent="0.35">
      <c r="A671" s="109"/>
      <c r="B671" s="109"/>
      <c r="C671" s="109"/>
      <c r="D671" s="109"/>
    </row>
    <row r="672" spans="1:4" x14ac:dyDescent="0.35">
      <c r="A672" s="109"/>
      <c r="B672" s="109"/>
      <c r="C672" s="109"/>
      <c r="D672" s="109"/>
    </row>
    <row r="673" spans="1:4" x14ac:dyDescent="0.35">
      <c r="A673" s="109"/>
      <c r="B673" s="109"/>
      <c r="C673" s="109"/>
      <c r="D673" s="109"/>
    </row>
    <row r="674" spans="1:4" x14ac:dyDescent="0.35">
      <c r="A674" s="109"/>
      <c r="B674" s="109"/>
      <c r="C674" s="109"/>
      <c r="D674" s="109"/>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49"/>
  <sheetViews>
    <sheetView zoomScale="150" zoomScaleNormal="150" workbookViewId="0">
      <pane ySplit="6" topLeftCell="A362" activePane="bottomLeft" state="frozen"/>
      <selection pane="bottomLeft" activeCell="D384" sqref="D384"/>
    </sheetView>
  </sheetViews>
  <sheetFormatPr defaultColWidth="8.81640625" defaultRowHeight="14.5" x14ac:dyDescent="0.35"/>
  <cols>
    <col min="1" max="1" width="14" style="2" customWidth="1"/>
    <col min="2" max="2" width="21.36328125" style="16" customWidth="1"/>
    <col min="3" max="4" width="21.36328125" style="2" customWidth="1"/>
    <col min="5" max="140" width="9.1796875" style="109" customWidth="1"/>
  </cols>
  <sheetData>
    <row r="1" spans="1:4" s="109" customFormat="1" x14ac:dyDescent="0.35">
      <c r="A1" s="27" t="s">
        <v>51</v>
      </c>
      <c r="B1" s="25" t="s">
        <v>88</v>
      </c>
      <c r="C1" s="54"/>
      <c r="D1" s="54"/>
    </row>
    <row r="2" spans="1:4" s="109" customFormat="1" x14ac:dyDescent="0.35">
      <c r="A2" s="9" t="s">
        <v>89</v>
      </c>
      <c r="B2" s="14"/>
      <c r="C2" s="54"/>
      <c r="D2" s="54"/>
    </row>
    <row r="3" spans="1:4" s="109" customFormat="1" x14ac:dyDescent="0.35">
      <c r="A3" s="9"/>
      <c r="B3" s="14"/>
      <c r="C3" s="54"/>
      <c r="D3" s="54"/>
    </row>
    <row r="4" spans="1:4" s="109" customFormat="1" x14ac:dyDescent="0.35">
      <c r="A4" s="9"/>
      <c r="B4" s="14"/>
      <c r="C4" s="54"/>
      <c r="D4" s="54"/>
    </row>
    <row r="5" spans="1:4" s="109" customFormat="1" ht="16" customHeight="1" thickBot="1" x14ac:dyDescent="0.4">
      <c r="A5" s="54"/>
      <c r="B5" s="14"/>
      <c r="C5" s="54"/>
      <c r="D5" s="54"/>
    </row>
    <row r="6" spans="1:4" ht="33" customHeight="1" thickBot="1" x14ac:dyDescent="0.4">
      <c r="A6" s="78" t="s">
        <v>82</v>
      </c>
      <c r="B6" s="79" t="s">
        <v>90</v>
      </c>
      <c r="C6" s="80" t="s">
        <v>91</v>
      </c>
      <c r="D6" s="81" t="s">
        <v>92</v>
      </c>
    </row>
    <row r="7" spans="1:4" x14ac:dyDescent="0.35">
      <c r="A7" s="17">
        <v>33604</v>
      </c>
      <c r="B7" s="18">
        <f>VLOOKUP(A7,Database!A:K,MATCH('Retail Sales'!$A$1,Database!$A$1:$K$1,),)</f>
        <v>164095</v>
      </c>
      <c r="C7" s="19"/>
      <c r="D7" s="19"/>
    </row>
    <row r="8" spans="1:4" x14ac:dyDescent="0.35">
      <c r="A8" s="11">
        <v>33635</v>
      </c>
      <c r="B8" s="15">
        <f>VLOOKUP(A8,Database!A:K,MATCH('Retail Sales'!$A$1,Database!$A$1:$K$1,),)</f>
        <v>164213</v>
      </c>
      <c r="C8" s="12">
        <f t="shared" ref="C8:C71" si="0">(B8-B7)/B7</f>
        <v>7.1909564581492432E-4</v>
      </c>
      <c r="D8" s="1"/>
    </row>
    <row r="9" spans="1:4" x14ac:dyDescent="0.35">
      <c r="A9" s="10">
        <v>33664</v>
      </c>
      <c r="B9" s="15">
        <f>VLOOKUP(A9,Database!A:K,MATCH('Retail Sales'!$A$1,Database!$A$1:$K$1,),)</f>
        <v>163721</v>
      </c>
      <c r="C9" s="12">
        <f t="shared" si="0"/>
        <v>-2.9961087124649082E-3</v>
      </c>
      <c r="D9" s="1"/>
    </row>
    <row r="10" spans="1:4" x14ac:dyDescent="0.35">
      <c r="A10" s="11">
        <v>33695</v>
      </c>
      <c r="B10" s="15">
        <f>VLOOKUP(A10,Database!A:K,MATCH('Retail Sales'!$A$1,Database!$A$1:$K$1,),)</f>
        <v>164709</v>
      </c>
      <c r="C10" s="12">
        <f t="shared" si="0"/>
        <v>6.0346565193225062E-3</v>
      </c>
      <c r="D10" s="1"/>
    </row>
    <row r="11" spans="1:4" x14ac:dyDescent="0.35">
      <c r="A11" s="10">
        <v>33725</v>
      </c>
      <c r="B11" s="15">
        <f>VLOOKUP(A11,Database!A:K,MATCH('Retail Sales'!$A$1,Database!$A$1:$K$1,),)</f>
        <v>165612</v>
      </c>
      <c r="C11" s="12">
        <f t="shared" si="0"/>
        <v>5.4823962260714355E-3</v>
      </c>
      <c r="D11" s="1"/>
    </row>
    <row r="12" spans="1:4" x14ac:dyDescent="0.35">
      <c r="A12" s="11">
        <v>33756</v>
      </c>
      <c r="B12" s="15">
        <f>VLOOKUP(A12,Database!A:K,MATCH('Retail Sales'!$A$1,Database!$A$1:$K$1,),)</f>
        <v>166077</v>
      </c>
      <c r="C12" s="12">
        <f t="shared" si="0"/>
        <v>2.8077675530758643E-3</v>
      </c>
      <c r="D12" s="1"/>
    </row>
    <row r="13" spans="1:4" x14ac:dyDescent="0.35">
      <c r="A13" s="10">
        <v>33786</v>
      </c>
      <c r="B13" s="15">
        <f>VLOOKUP(A13,Database!A:K,MATCH('Retail Sales'!$A$1,Database!$A$1:$K$1,),)</f>
        <v>167257</v>
      </c>
      <c r="C13" s="12">
        <f t="shared" si="0"/>
        <v>7.1051379781667543E-3</v>
      </c>
      <c r="D13" s="1"/>
    </row>
    <row r="14" spans="1:4" x14ac:dyDescent="0.35">
      <c r="A14" s="11">
        <v>33817</v>
      </c>
      <c r="B14" s="15">
        <f>VLOOKUP(A14,Database!A:K,MATCH('Retail Sales'!$A$1,Database!$A$1:$K$1,),)</f>
        <v>167800</v>
      </c>
      <c r="C14" s="12">
        <f t="shared" si="0"/>
        <v>3.24650089383404E-3</v>
      </c>
      <c r="D14" s="1"/>
    </row>
    <row r="15" spans="1:4" x14ac:dyDescent="0.35">
      <c r="A15" s="10">
        <v>33848</v>
      </c>
      <c r="B15" s="15">
        <f>VLOOKUP(A15,Database!A:K,MATCH('Retail Sales'!$A$1,Database!$A$1:$K$1,),)</f>
        <v>169400</v>
      </c>
      <c r="C15" s="12">
        <f t="shared" si="0"/>
        <v>9.5351609058402856E-3</v>
      </c>
      <c r="D15" s="1"/>
    </row>
    <row r="16" spans="1:4" x14ac:dyDescent="0.35">
      <c r="A16" s="11">
        <v>33878</v>
      </c>
      <c r="B16" s="15">
        <f>VLOOKUP(A16,Database!A:K,MATCH('Retail Sales'!$A$1,Database!$A$1:$K$1,),)</f>
        <v>170625</v>
      </c>
      <c r="C16" s="12">
        <f t="shared" si="0"/>
        <v>7.2314049586776862E-3</v>
      </c>
      <c r="D16" s="1"/>
    </row>
    <row r="17" spans="1:4" x14ac:dyDescent="0.35">
      <c r="A17" s="10">
        <v>33909</v>
      </c>
      <c r="B17" s="15">
        <f>VLOOKUP(A17,Database!A:K,MATCH('Retail Sales'!$A$1,Database!$A$1:$K$1,),)</f>
        <v>171003</v>
      </c>
      <c r="C17" s="12">
        <f t="shared" si="0"/>
        <v>2.2153846153846156E-3</v>
      </c>
      <c r="D17" s="1"/>
    </row>
    <row r="18" spans="1:4" x14ac:dyDescent="0.35">
      <c r="A18" s="11">
        <v>33939</v>
      </c>
      <c r="B18" s="15">
        <f>VLOOKUP(A18,Database!A:K,MATCH('Retail Sales'!$A$1,Database!$A$1:$K$1,),)</f>
        <v>173105</v>
      </c>
      <c r="C18" s="12">
        <f t="shared" si="0"/>
        <v>1.2292182008502775E-2</v>
      </c>
      <c r="D18" s="1"/>
    </row>
    <row r="19" spans="1:4" x14ac:dyDescent="0.35">
      <c r="A19" s="10">
        <v>33970</v>
      </c>
      <c r="B19" s="15">
        <f>VLOOKUP(A19,Database!A:K,MATCH('Retail Sales'!$A$1,Database!$A$1:$K$1,),)</f>
        <v>175108</v>
      </c>
      <c r="C19" s="12">
        <f t="shared" si="0"/>
        <v>1.157101181363912E-2</v>
      </c>
      <c r="D19" s="13">
        <f t="shared" ref="D19:D82" si="1">(B19-B7)/B7</f>
        <v>6.7113562265760693E-2</v>
      </c>
    </row>
    <row r="20" spans="1:4" x14ac:dyDescent="0.35">
      <c r="A20" s="11">
        <v>34001</v>
      </c>
      <c r="B20" s="15">
        <f>VLOOKUP(A20,Database!A:K,MATCH('Retail Sales'!$A$1,Database!$A$1:$K$1,),)</f>
        <v>173744</v>
      </c>
      <c r="C20" s="12">
        <f t="shared" si="0"/>
        <v>-7.7894784932727229E-3</v>
      </c>
      <c r="D20" s="13">
        <f t="shared" si="1"/>
        <v>5.8040471826225695E-2</v>
      </c>
    </row>
    <row r="21" spans="1:4" x14ac:dyDescent="0.35">
      <c r="A21" s="10">
        <v>34029</v>
      </c>
      <c r="B21" s="15">
        <f>VLOOKUP(A21,Database!A:K,MATCH('Retail Sales'!$A$1,Database!$A$1:$K$1,),)</f>
        <v>172306</v>
      </c>
      <c r="C21" s="12">
        <f t="shared" si="0"/>
        <v>-8.2765448015471033E-3</v>
      </c>
      <c r="D21" s="13">
        <f t="shared" si="1"/>
        <v>5.2436767427513881E-2</v>
      </c>
    </row>
    <row r="22" spans="1:4" x14ac:dyDescent="0.35">
      <c r="A22" s="11">
        <v>34060</v>
      </c>
      <c r="B22" s="15">
        <f>VLOOKUP(A22,Database!A:K,MATCH('Retail Sales'!$A$1,Database!$A$1:$K$1,),)</f>
        <v>176749</v>
      </c>
      <c r="C22" s="12">
        <f t="shared" si="0"/>
        <v>2.5785521107796593E-2</v>
      </c>
      <c r="D22" s="13">
        <f t="shared" si="1"/>
        <v>7.3098616347619133E-2</v>
      </c>
    </row>
    <row r="23" spans="1:4" x14ac:dyDescent="0.35">
      <c r="A23" s="10">
        <v>34090</v>
      </c>
      <c r="B23" s="15">
        <f>VLOOKUP(A23,Database!A:K,MATCH('Retail Sales'!$A$1,Database!$A$1:$K$1,),)</f>
        <v>178426</v>
      </c>
      <c r="C23" s="12">
        <f t="shared" si="0"/>
        <v>9.4880310496806199E-3</v>
      </c>
      <c r="D23" s="13">
        <f t="shared" si="1"/>
        <v>7.7373620269062623E-2</v>
      </c>
    </row>
    <row r="24" spans="1:4" x14ac:dyDescent="0.35">
      <c r="A24" s="11">
        <v>34121</v>
      </c>
      <c r="B24" s="15">
        <f>VLOOKUP(A24,Database!A:K,MATCH('Retail Sales'!$A$1,Database!$A$1:$K$1,),)</f>
        <v>178157</v>
      </c>
      <c r="C24" s="12">
        <f t="shared" si="0"/>
        <v>-1.5076278120901663E-3</v>
      </c>
      <c r="D24" s="13">
        <f t="shared" si="1"/>
        <v>7.2737344725639308E-2</v>
      </c>
    </row>
    <row r="25" spans="1:4" x14ac:dyDescent="0.35">
      <c r="A25" s="10">
        <v>34151</v>
      </c>
      <c r="B25" s="15">
        <f>VLOOKUP(A25,Database!A:K,MATCH('Retail Sales'!$A$1,Database!$A$1:$K$1,),)</f>
        <v>180743</v>
      </c>
      <c r="C25" s="12">
        <f t="shared" si="0"/>
        <v>1.4515287078251206E-2</v>
      </c>
      <c r="D25" s="13">
        <f t="shared" si="1"/>
        <v>8.0630407098058673E-2</v>
      </c>
    </row>
    <row r="26" spans="1:4" x14ac:dyDescent="0.35">
      <c r="A26" s="11">
        <v>34182</v>
      </c>
      <c r="B26" s="15">
        <f>VLOOKUP(A26,Database!A:K,MATCH('Retail Sales'!$A$1,Database!$A$1:$K$1,),)</f>
        <v>180707</v>
      </c>
      <c r="C26" s="12">
        <f t="shared" si="0"/>
        <v>-1.9917783814587563E-4</v>
      </c>
      <c r="D26" s="13">
        <f t="shared" si="1"/>
        <v>7.6918951132300364E-2</v>
      </c>
    </row>
    <row r="27" spans="1:4" x14ac:dyDescent="0.35">
      <c r="A27" s="10">
        <v>34213</v>
      </c>
      <c r="B27" s="15">
        <f>VLOOKUP(A27,Database!A:K,MATCH('Retail Sales'!$A$1,Database!$A$1:$K$1,),)</f>
        <v>181773</v>
      </c>
      <c r="C27" s="12">
        <f t="shared" si="0"/>
        <v>5.8990520566441808E-3</v>
      </c>
      <c r="D27" s="13">
        <f t="shared" si="1"/>
        <v>7.3040141676505313E-2</v>
      </c>
    </row>
    <row r="28" spans="1:4" x14ac:dyDescent="0.35">
      <c r="A28" s="11">
        <v>34243</v>
      </c>
      <c r="B28" s="15">
        <f>VLOOKUP(A28,Database!A:K,MATCH('Retail Sales'!$A$1,Database!$A$1:$K$1,),)</f>
        <v>182884</v>
      </c>
      <c r="C28" s="12">
        <f t="shared" si="0"/>
        <v>6.112018836680915E-3</v>
      </c>
      <c r="D28" s="13">
        <f t="shared" si="1"/>
        <v>7.1847619047619049E-2</v>
      </c>
    </row>
    <row r="29" spans="1:4" x14ac:dyDescent="0.35">
      <c r="A29" s="10">
        <v>34274</v>
      </c>
      <c r="B29" s="15">
        <f>VLOOKUP(A29,Database!A:K,MATCH('Retail Sales'!$A$1,Database!$A$1:$K$1,),)</f>
        <v>184747</v>
      </c>
      <c r="C29" s="12">
        <f t="shared" si="0"/>
        <v>1.018678506594344E-2</v>
      </c>
      <c r="D29" s="13">
        <f t="shared" si="1"/>
        <v>8.0372858955690837E-2</v>
      </c>
    </row>
    <row r="30" spans="1:4" x14ac:dyDescent="0.35">
      <c r="A30" s="11">
        <v>34304</v>
      </c>
      <c r="B30" s="15">
        <f>VLOOKUP(A30,Database!A:K,MATCH('Retail Sales'!$A$1,Database!$A$1:$K$1,),)</f>
        <v>186399</v>
      </c>
      <c r="C30" s="12">
        <f t="shared" si="0"/>
        <v>8.9419584621130525E-3</v>
      </c>
      <c r="D30" s="13">
        <f t="shared" si="1"/>
        <v>7.6797319545940324E-2</v>
      </c>
    </row>
    <row r="31" spans="1:4" x14ac:dyDescent="0.35">
      <c r="A31" s="10">
        <v>34335</v>
      </c>
      <c r="B31" s="15">
        <f>VLOOKUP(A31,Database!A:K,MATCH('Retail Sales'!$A$1,Database!$A$1:$K$1,),)</f>
        <v>185142</v>
      </c>
      <c r="C31" s="12">
        <f t="shared" si="0"/>
        <v>-6.743598409862714E-3</v>
      </c>
      <c r="D31" s="13">
        <f t="shared" si="1"/>
        <v>5.7301779473239375E-2</v>
      </c>
    </row>
    <row r="32" spans="1:4" x14ac:dyDescent="0.35">
      <c r="A32" s="11">
        <v>34366</v>
      </c>
      <c r="B32" s="15">
        <f>VLOOKUP(A32,Database!A:K,MATCH('Retail Sales'!$A$1,Database!$A$1:$K$1,),)</f>
        <v>188074</v>
      </c>
      <c r="C32" s="12">
        <f t="shared" si="0"/>
        <v>1.5836493070183966E-2</v>
      </c>
      <c r="D32" s="13">
        <f t="shared" si="1"/>
        <v>8.2477668293581358E-2</v>
      </c>
    </row>
    <row r="33" spans="1:4" x14ac:dyDescent="0.35">
      <c r="A33" s="10">
        <v>34394</v>
      </c>
      <c r="B33" s="15">
        <f>VLOOKUP(A33,Database!A:K,MATCH('Retail Sales'!$A$1,Database!$A$1:$K$1,),)</f>
        <v>191579</v>
      </c>
      <c r="C33" s="12">
        <f t="shared" si="0"/>
        <v>1.863628146367919E-2</v>
      </c>
      <c r="D33" s="13">
        <f t="shared" si="1"/>
        <v>0.11185333070235512</v>
      </c>
    </row>
    <row r="34" spans="1:4" x14ac:dyDescent="0.35">
      <c r="A34" s="11">
        <v>34425</v>
      </c>
      <c r="B34" s="15">
        <f>VLOOKUP(A34,Database!A:K,MATCH('Retail Sales'!$A$1,Database!$A$1:$K$1,),)</f>
        <v>191639</v>
      </c>
      <c r="C34" s="12">
        <f t="shared" si="0"/>
        <v>3.1318672714650351E-4</v>
      </c>
      <c r="D34" s="13">
        <f t="shared" si="1"/>
        <v>8.4243758097641286E-2</v>
      </c>
    </row>
    <row r="35" spans="1:4" x14ac:dyDescent="0.35">
      <c r="A35" s="10">
        <v>34455</v>
      </c>
      <c r="B35" s="15">
        <f>VLOOKUP(A35,Database!A:K,MATCH('Retail Sales'!$A$1,Database!$A$1:$K$1,),)</f>
        <v>190929</v>
      </c>
      <c r="C35" s="12">
        <f t="shared" si="0"/>
        <v>-3.704882617838749E-3</v>
      </c>
      <c r="D35" s="13">
        <f t="shared" si="1"/>
        <v>7.0073868158228067E-2</v>
      </c>
    </row>
    <row r="36" spans="1:4" x14ac:dyDescent="0.35">
      <c r="A36" s="11">
        <v>34486</v>
      </c>
      <c r="B36" s="15">
        <f>VLOOKUP(A36,Database!A:K,MATCH('Retail Sales'!$A$1,Database!$A$1:$K$1,),)</f>
        <v>193130</v>
      </c>
      <c r="C36" s="12">
        <f t="shared" si="0"/>
        <v>1.1527845429452833E-2</v>
      </c>
      <c r="D36" s="13">
        <f t="shared" si="1"/>
        <v>8.4043848964677217E-2</v>
      </c>
    </row>
    <row r="37" spans="1:4" x14ac:dyDescent="0.35">
      <c r="A37" s="10">
        <v>34516</v>
      </c>
      <c r="B37" s="15">
        <f>VLOOKUP(A37,Database!A:K,MATCH('Retail Sales'!$A$1,Database!$A$1:$K$1,),)</f>
        <v>193743</v>
      </c>
      <c r="C37" s="12">
        <f t="shared" si="0"/>
        <v>3.1740278568839642E-3</v>
      </c>
      <c r="D37" s="13">
        <f t="shared" si="1"/>
        <v>7.1925330441566196E-2</v>
      </c>
    </row>
    <row r="38" spans="1:4" x14ac:dyDescent="0.35">
      <c r="A38" s="11">
        <v>34547</v>
      </c>
      <c r="B38" s="15">
        <f>VLOOKUP(A38,Database!A:K,MATCH('Retail Sales'!$A$1,Database!$A$1:$K$1,),)</f>
        <v>196163</v>
      </c>
      <c r="C38" s="12">
        <f t="shared" si="0"/>
        <v>1.2490773860216886E-2</v>
      </c>
      <c r="D38" s="13">
        <f t="shared" si="1"/>
        <v>8.5530721001400051E-2</v>
      </c>
    </row>
    <row r="39" spans="1:4" x14ac:dyDescent="0.35">
      <c r="A39" s="10">
        <v>34578</v>
      </c>
      <c r="B39" s="15">
        <f>VLOOKUP(A39,Database!A:K,MATCH('Retail Sales'!$A$1,Database!$A$1:$K$1,),)</f>
        <v>197765</v>
      </c>
      <c r="C39" s="12">
        <f t="shared" si="0"/>
        <v>8.1666777119028568E-3</v>
      </c>
      <c r="D39" s="13">
        <f t="shared" si="1"/>
        <v>8.7977862498830953E-2</v>
      </c>
    </row>
    <row r="40" spans="1:4" x14ac:dyDescent="0.35">
      <c r="A40" s="11">
        <v>34608</v>
      </c>
      <c r="B40" s="15">
        <f>VLOOKUP(A40,Database!A:K,MATCH('Retail Sales'!$A$1,Database!$A$1:$K$1,),)</f>
        <v>199571</v>
      </c>
      <c r="C40" s="12">
        <f t="shared" si="0"/>
        <v>9.1320506661947253E-3</v>
      </c>
      <c r="D40" s="13">
        <f t="shared" si="1"/>
        <v>9.1243629841866972E-2</v>
      </c>
    </row>
    <row r="41" spans="1:4" x14ac:dyDescent="0.35">
      <c r="A41" s="10">
        <v>34639</v>
      </c>
      <c r="B41" s="15">
        <f>VLOOKUP(A41,Database!A:K,MATCH('Retail Sales'!$A$1,Database!$A$1:$K$1,),)</f>
        <v>199731</v>
      </c>
      <c r="C41" s="12">
        <f t="shared" si="0"/>
        <v>8.0171968873233082E-4</v>
      </c>
      <c r="D41" s="13">
        <f t="shared" si="1"/>
        <v>8.1105511862168259E-2</v>
      </c>
    </row>
    <row r="42" spans="1:4" x14ac:dyDescent="0.35">
      <c r="A42" s="11">
        <v>34669</v>
      </c>
      <c r="B42" s="15">
        <f>VLOOKUP(A42,Database!A:K,MATCH('Retail Sales'!$A$1,Database!$A$1:$K$1,),)</f>
        <v>200702</v>
      </c>
      <c r="C42" s="12">
        <f t="shared" si="0"/>
        <v>4.8615387696451726E-3</v>
      </c>
      <c r="D42" s="13">
        <f t="shared" si="1"/>
        <v>7.6733244277061574E-2</v>
      </c>
    </row>
    <row r="43" spans="1:4" x14ac:dyDescent="0.35">
      <c r="A43" s="10">
        <v>34700</v>
      </c>
      <c r="B43" s="15">
        <f>VLOOKUP(A43,Database!A:K,MATCH('Retail Sales'!$A$1,Database!$A$1:$K$1,),)</f>
        <v>201573</v>
      </c>
      <c r="C43" s="12">
        <f t="shared" si="0"/>
        <v>4.339767416368546E-3</v>
      </c>
      <c r="D43" s="13">
        <f t="shared" si="1"/>
        <v>8.8748096056000259E-2</v>
      </c>
    </row>
    <row r="44" spans="1:4" x14ac:dyDescent="0.35">
      <c r="A44" s="11">
        <v>34731</v>
      </c>
      <c r="B44" s="15">
        <f>VLOOKUP(A44,Database!A:K,MATCH('Retail Sales'!$A$1,Database!$A$1:$K$1,),)</f>
        <v>198399</v>
      </c>
      <c r="C44" s="12">
        <f t="shared" si="0"/>
        <v>-1.5746156479290382E-2</v>
      </c>
      <c r="D44" s="13">
        <f t="shared" si="1"/>
        <v>5.4898603741080639E-2</v>
      </c>
    </row>
    <row r="45" spans="1:4" x14ac:dyDescent="0.35">
      <c r="A45" s="10">
        <v>34759</v>
      </c>
      <c r="B45" s="15">
        <f>VLOOKUP(A45,Database!A:K,MATCH('Retail Sales'!$A$1,Database!$A$1:$K$1,),)</f>
        <v>200247</v>
      </c>
      <c r="C45" s="12">
        <f t="shared" si="0"/>
        <v>9.3145630774348655E-3</v>
      </c>
      <c r="D45" s="13">
        <f t="shared" si="1"/>
        <v>4.5245042515098213E-2</v>
      </c>
    </row>
    <row r="46" spans="1:4" x14ac:dyDescent="0.35">
      <c r="A46" s="11">
        <v>34790</v>
      </c>
      <c r="B46" s="15">
        <f>VLOOKUP(A46,Database!A:K,MATCH('Retail Sales'!$A$1,Database!$A$1:$K$1,),)</f>
        <v>201032</v>
      </c>
      <c r="C46" s="12">
        <f t="shared" si="0"/>
        <v>3.9201586041239071E-3</v>
      </c>
      <c r="D46" s="13">
        <f t="shared" si="1"/>
        <v>4.9014031590646996E-2</v>
      </c>
    </row>
    <row r="47" spans="1:4" x14ac:dyDescent="0.35">
      <c r="A47" s="10">
        <v>34820</v>
      </c>
      <c r="B47" s="15">
        <f>VLOOKUP(A47,Database!A:K,MATCH('Retail Sales'!$A$1,Database!$A$1:$K$1,),)</f>
        <v>202986</v>
      </c>
      <c r="C47" s="12">
        <f t="shared" si="0"/>
        <v>9.7198455967209205E-3</v>
      </c>
      <c r="D47" s="13">
        <f t="shared" si="1"/>
        <v>6.3149128733717766E-2</v>
      </c>
    </row>
    <row r="48" spans="1:4" x14ac:dyDescent="0.35">
      <c r="A48" s="11">
        <v>34851</v>
      </c>
      <c r="B48" s="15">
        <f>VLOOKUP(A48,Database!A:K,MATCH('Retail Sales'!$A$1,Database!$A$1:$K$1,),)</f>
        <v>205500</v>
      </c>
      <c r="C48" s="12">
        <f t="shared" si="0"/>
        <v>1.2385090597381101E-2</v>
      </c>
      <c r="D48" s="13">
        <f t="shared" si="1"/>
        <v>6.4050121679697619E-2</v>
      </c>
    </row>
    <row r="49" spans="1:4" x14ac:dyDescent="0.35">
      <c r="A49" s="10">
        <v>34881</v>
      </c>
      <c r="B49" s="15">
        <f>VLOOKUP(A49,Database!A:K,MATCH('Retail Sales'!$A$1,Database!$A$1:$K$1,),)</f>
        <v>204920</v>
      </c>
      <c r="C49" s="12">
        <f t="shared" si="0"/>
        <v>-2.8223844282238442E-3</v>
      </c>
      <c r="D49" s="13">
        <f t="shared" si="1"/>
        <v>5.7689826213076084E-2</v>
      </c>
    </row>
    <row r="50" spans="1:4" x14ac:dyDescent="0.35">
      <c r="A50" s="11">
        <v>34912</v>
      </c>
      <c r="B50" s="15">
        <f>VLOOKUP(A50,Database!A:K,MATCH('Retail Sales'!$A$1,Database!$A$1:$K$1,),)</f>
        <v>206521</v>
      </c>
      <c r="C50" s="12">
        <f t="shared" si="0"/>
        <v>7.8128049970720287E-3</v>
      </c>
      <c r="D50" s="13">
        <f t="shared" si="1"/>
        <v>5.2803026054862541E-2</v>
      </c>
    </row>
    <row r="51" spans="1:4" x14ac:dyDescent="0.35">
      <c r="A51" s="10">
        <v>34943</v>
      </c>
      <c r="B51" s="15">
        <f>VLOOKUP(A51,Database!A:K,MATCH('Retail Sales'!$A$1,Database!$A$1:$K$1,),)</f>
        <v>207006</v>
      </c>
      <c r="C51" s="12">
        <f t="shared" si="0"/>
        <v>2.3484294575370061E-3</v>
      </c>
      <c r="D51" s="13">
        <f t="shared" si="1"/>
        <v>4.6727176193967587E-2</v>
      </c>
    </row>
    <row r="52" spans="1:4" x14ac:dyDescent="0.35">
      <c r="A52" s="11">
        <v>34973</v>
      </c>
      <c r="B52" s="15">
        <f>VLOOKUP(A52,Database!A:K,MATCH('Retail Sales'!$A$1,Database!$A$1:$K$1,),)</f>
        <v>206176</v>
      </c>
      <c r="C52" s="12">
        <f t="shared" si="0"/>
        <v>-4.0095456170352551E-3</v>
      </c>
      <c r="D52" s="13">
        <f t="shared" si="1"/>
        <v>3.3095990900481535E-2</v>
      </c>
    </row>
    <row r="53" spans="1:4" x14ac:dyDescent="0.35">
      <c r="A53" s="10">
        <v>35004</v>
      </c>
      <c r="B53" s="15">
        <f>VLOOKUP(A53,Database!A:K,MATCH('Retail Sales'!$A$1,Database!$A$1:$K$1,),)</f>
        <v>208664</v>
      </c>
      <c r="C53" s="12">
        <f t="shared" si="0"/>
        <v>1.2067359925500544E-2</v>
      </c>
      <c r="D53" s="13">
        <f t="shared" si="1"/>
        <v>4.4725155333924127E-2</v>
      </c>
    </row>
    <row r="54" spans="1:4" x14ac:dyDescent="0.35">
      <c r="A54" s="11">
        <v>35034</v>
      </c>
      <c r="B54" s="15">
        <f>VLOOKUP(A54,Database!A:K,MATCH('Retail Sales'!$A$1,Database!$A$1:$K$1,),)</f>
        <v>210399</v>
      </c>
      <c r="C54" s="12">
        <f t="shared" si="0"/>
        <v>8.3148027450830036E-3</v>
      </c>
      <c r="D54" s="13">
        <f t="shared" si="1"/>
        <v>4.8315412900718481E-2</v>
      </c>
    </row>
    <row r="55" spans="1:4" x14ac:dyDescent="0.35">
      <c r="A55" s="10">
        <v>35065</v>
      </c>
      <c r="B55" s="15">
        <f>VLOOKUP(A55,Database!A:K,MATCH('Retail Sales'!$A$1,Database!$A$1:$K$1,),)</f>
        <v>208699</v>
      </c>
      <c r="C55" s="12">
        <f t="shared" si="0"/>
        <v>-8.079886311246726E-3</v>
      </c>
      <c r="D55" s="13">
        <f t="shared" si="1"/>
        <v>3.5351956859301592E-2</v>
      </c>
    </row>
    <row r="56" spans="1:4" x14ac:dyDescent="0.35">
      <c r="A56" s="11">
        <v>35096</v>
      </c>
      <c r="B56" s="15">
        <f>VLOOKUP(A56,Database!A:K,MATCH('Retail Sales'!$A$1,Database!$A$1:$K$1,),)</f>
        <v>212008</v>
      </c>
      <c r="C56" s="12">
        <f t="shared" si="0"/>
        <v>1.58553706534291E-2</v>
      </c>
      <c r="D56" s="13">
        <f t="shared" si="1"/>
        <v>6.859409573636964E-2</v>
      </c>
    </row>
    <row r="57" spans="1:4" x14ac:dyDescent="0.35">
      <c r="A57" s="10">
        <v>35125</v>
      </c>
      <c r="B57" s="15">
        <f>VLOOKUP(A57,Database!A:K,MATCH('Retail Sales'!$A$1,Database!$A$1:$K$1,),)</f>
        <v>213891</v>
      </c>
      <c r="C57" s="12">
        <f t="shared" si="0"/>
        <v>8.8817403116863512E-3</v>
      </c>
      <c r="D57" s="13">
        <f t="shared" si="1"/>
        <v>6.8135852222505205E-2</v>
      </c>
    </row>
    <row r="58" spans="1:4" x14ac:dyDescent="0.35">
      <c r="A58" s="11">
        <v>35156</v>
      </c>
      <c r="B58" s="15">
        <f>VLOOKUP(A58,Database!A:K,MATCH('Retail Sales'!$A$1,Database!$A$1:$K$1,),)</f>
        <v>214676</v>
      </c>
      <c r="C58" s="12">
        <f t="shared" si="0"/>
        <v>3.6700936458289504E-3</v>
      </c>
      <c r="D58" s="13">
        <f t="shared" si="1"/>
        <v>6.7869791873930524E-2</v>
      </c>
    </row>
    <row r="59" spans="1:4" x14ac:dyDescent="0.35">
      <c r="A59" s="10">
        <v>35186</v>
      </c>
      <c r="B59" s="15">
        <f>VLOOKUP(A59,Database!A:K,MATCH('Retail Sales'!$A$1,Database!$A$1:$K$1,),)</f>
        <v>216299</v>
      </c>
      <c r="C59" s="12">
        <f t="shared" si="0"/>
        <v>7.5602303005459391E-3</v>
      </c>
      <c r="D59" s="13">
        <f t="shared" si="1"/>
        <v>6.558580394707024E-2</v>
      </c>
    </row>
    <row r="60" spans="1:4" x14ac:dyDescent="0.35">
      <c r="A60" s="11">
        <v>35217</v>
      </c>
      <c r="B60" s="15">
        <f>VLOOKUP(A60,Database!A:K,MATCH('Retail Sales'!$A$1,Database!$A$1:$K$1,),)</f>
        <v>216068</v>
      </c>
      <c r="C60" s="12">
        <f t="shared" si="0"/>
        <v>-1.0679661024785136E-3</v>
      </c>
      <c r="D60" s="13">
        <f t="shared" si="1"/>
        <v>5.1425790754257905E-2</v>
      </c>
    </row>
    <row r="61" spans="1:4" x14ac:dyDescent="0.35">
      <c r="A61" s="10">
        <v>35247</v>
      </c>
      <c r="B61" s="15">
        <f>VLOOKUP(A61,Database!A:K,MATCH('Retail Sales'!$A$1,Database!$A$1:$K$1,),)</f>
        <v>216332</v>
      </c>
      <c r="C61" s="12">
        <f t="shared" si="0"/>
        <v>1.2218375696539977E-3</v>
      </c>
      <c r="D61" s="13">
        <f t="shared" si="1"/>
        <v>5.5690025375756395E-2</v>
      </c>
    </row>
    <row r="62" spans="1:4" x14ac:dyDescent="0.35">
      <c r="A62" s="11">
        <v>35278</v>
      </c>
      <c r="B62" s="15">
        <f>VLOOKUP(A62,Database!A:K,MATCH('Retail Sales'!$A$1,Database!$A$1:$K$1,),)</f>
        <v>216358</v>
      </c>
      <c r="C62" s="12">
        <f t="shared" si="0"/>
        <v>1.2018564058946434E-4</v>
      </c>
      <c r="D62" s="13">
        <f t="shared" si="1"/>
        <v>4.7631959945961914E-2</v>
      </c>
    </row>
    <row r="63" spans="1:4" x14ac:dyDescent="0.35">
      <c r="A63" s="10">
        <v>35309</v>
      </c>
      <c r="B63" s="15">
        <f>VLOOKUP(A63,Database!A:K,MATCH('Retail Sales'!$A$1,Database!$A$1:$K$1,),)</f>
        <v>219256</v>
      </c>
      <c r="C63" s="12">
        <f t="shared" si="0"/>
        <v>1.3394466578541122E-2</v>
      </c>
      <c r="D63" s="13">
        <f t="shared" si="1"/>
        <v>5.9177028685158888E-2</v>
      </c>
    </row>
    <row r="64" spans="1:4" x14ac:dyDescent="0.35">
      <c r="A64" s="11">
        <v>35339</v>
      </c>
      <c r="B64" s="15">
        <f>VLOOKUP(A64,Database!A:K,MATCH('Retail Sales'!$A$1,Database!$A$1:$K$1,),)</f>
        <v>221060</v>
      </c>
      <c r="C64" s="12">
        <f t="shared" si="0"/>
        <v>8.2278250082095817E-3</v>
      </c>
      <c r="D64" s="13">
        <f t="shared" si="1"/>
        <v>7.21907496507838E-2</v>
      </c>
    </row>
    <row r="65" spans="1:4" x14ac:dyDescent="0.35">
      <c r="A65" s="10">
        <v>35370</v>
      </c>
      <c r="B65" s="15">
        <f>VLOOKUP(A65,Database!A:K,MATCH('Retail Sales'!$A$1,Database!$A$1:$K$1,),)</f>
        <v>220963</v>
      </c>
      <c r="C65" s="12">
        <f t="shared" si="0"/>
        <v>-4.3879489731294671E-4</v>
      </c>
      <c r="D65" s="13">
        <f t="shared" si="1"/>
        <v>5.8941647816585514E-2</v>
      </c>
    </row>
    <row r="66" spans="1:4" x14ac:dyDescent="0.35">
      <c r="A66" s="11">
        <v>35400</v>
      </c>
      <c r="B66" s="15">
        <f>VLOOKUP(A66,Database!A:K,MATCH('Retail Sales'!$A$1,Database!$A$1:$K$1,),)</f>
        <v>221991</v>
      </c>
      <c r="C66" s="12">
        <f t="shared" si="0"/>
        <v>4.6523626127451204E-3</v>
      </c>
      <c r="D66" s="13">
        <f t="shared" si="1"/>
        <v>5.5095318894101207E-2</v>
      </c>
    </row>
    <row r="67" spans="1:4" x14ac:dyDescent="0.35">
      <c r="A67" s="10">
        <v>35431</v>
      </c>
      <c r="B67" s="15">
        <f>VLOOKUP(A67,Database!A:K,MATCH('Retail Sales'!$A$1,Database!$A$1:$K$1,),)</f>
        <v>223481</v>
      </c>
      <c r="C67" s="12">
        <f t="shared" si="0"/>
        <v>6.7119838191638395E-3</v>
      </c>
      <c r="D67" s="13">
        <f t="shared" si="1"/>
        <v>7.0829280446959492E-2</v>
      </c>
    </row>
    <row r="68" spans="1:4" x14ac:dyDescent="0.35">
      <c r="A68" s="11">
        <v>35462</v>
      </c>
      <c r="B68" s="15">
        <f>VLOOKUP(A68,Database!A:K,MATCH('Retail Sales'!$A$1,Database!$A$1:$K$1,),)</f>
        <v>225422</v>
      </c>
      <c r="C68" s="12">
        <f t="shared" si="0"/>
        <v>8.6853021062193204E-3</v>
      </c>
      <c r="D68" s="13">
        <f t="shared" si="1"/>
        <v>6.3271197313308936E-2</v>
      </c>
    </row>
    <row r="69" spans="1:4" x14ac:dyDescent="0.35">
      <c r="A69" s="10">
        <v>35490</v>
      </c>
      <c r="B69" s="15">
        <f>VLOOKUP(A69,Database!A:K,MATCH('Retail Sales'!$A$1,Database!$A$1:$K$1,),)</f>
        <v>226161</v>
      </c>
      <c r="C69" s="12">
        <f t="shared" si="0"/>
        <v>3.2782958185092847E-3</v>
      </c>
      <c r="D69" s="13">
        <f t="shared" si="1"/>
        <v>5.7365667559644867E-2</v>
      </c>
    </row>
    <row r="70" spans="1:4" x14ac:dyDescent="0.35">
      <c r="A70" s="11">
        <v>35521</v>
      </c>
      <c r="B70" s="15">
        <f>VLOOKUP(A70,Database!A:K,MATCH('Retail Sales'!$A$1,Database!$A$1:$K$1,),)</f>
        <v>224615</v>
      </c>
      <c r="C70" s="12">
        <f t="shared" si="0"/>
        <v>-6.8358381860709845E-3</v>
      </c>
      <c r="D70" s="13">
        <f t="shared" si="1"/>
        <v>4.6297676498537332E-2</v>
      </c>
    </row>
    <row r="71" spans="1:4" x14ac:dyDescent="0.35">
      <c r="A71" s="10">
        <v>35551</v>
      </c>
      <c r="B71" s="15">
        <f>VLOOKUP(A71,Database!A:K,MATCH('Retail Sales'!$A$1,Database!$A$1:$K$1,),)</f>
        <v>222929</v>
      </c>
      <c r="C71" s="12">
        <f t="shared" si="0"/>
        <v>-7.5061772366048574E-3</v>
      </c>
      <c r="D71" s="13">
        <f t="shared" si="1"/>
        <v>3.0652014110097596E-2</v>
      </c>
    </row>
    <row r="72" spans="1:4" x14ac:dyDescent="0.35">
      <c r="A72" s="11">
        <v>35582</v>
      </c>
      <c r="B72" s="15">
        <f>VLOOKUP(A72,Database!A:K,MATCH('Retail Sales'!$A$1,Database!$A$1:$K$1,),)</f>
        <v>226057</v>
      </c>
      <c r="C72" s="12">
        <f t="shared" ref="C72:C135" si="2">(B72-B71)/B71</f>
        <v>1.40313732174818E-2</v>
      </c>
      <c r="D72" s="13">
        <f t="shared" si="1"/>
        <v>4.6230816224521909E-2</v>
      </c>
    </row>
    <row r="73" spans="1:4" x14ac:dyDescent="0.35">
      <c r="A73" s="10">
        <v>35612</v>
      </c>
      <c r="B73" s="15">
        <f>VLOOKUP(A73,Database!A:K,MATCH('Retail Sales'!$A$1,Database!$A$1:$K$1,),)</f>
        <v>228703</v>
      </c>
      <c r="C73" s="12">
        <f t="shared" si="2"/>
        <v>1.170501245261151E-2</v>
      </c>
      <c r="D73" s="13">
        <f t="shared" si="1"/>
        <v>5.7185252297394747E-2</v>
      </c>
    </row>
    <row r="74" spans="1:4" x14ac:dyDescent="0.35">
      <c r="A74" s="11">
        <v>35643</v>
      </c>
      <c r="B74" s="15">
        <f>VLOOKUP(A74,Database!A:K,MATCH('Retail Sales'!$A$1,Database!$A$1:$K$1,),)</f>
        <v>229309</v>
      </c>
      <c r="C74" s="12">
        <f t="shared" si="2"/>
        <v>2.6497247521895207E-3</v>
      </c>
      <c r="D74" s="13">
        <f t="shared" si="1"/>
        <v>5.9859122380498987E-2</v>
      </c>
    </row>
    <row r="75" spans="1:4" x14ac:dyDescent="0.35">
      <c r="A75" s="10">
        <v>35674</v>
      </c>
      <c r="B75" s="15">
        <f>VLOOKUP(A75,Database!A:K,MATCH('Retail Sales'!$A$1,Database!$A$1:$K$1,),)</f>
        <v>230312</v>
      </c>
      <c r="C75" s="12">
        <f t="shared" si="2"/>
        <v>4.3740106144983405E-3</v>
      </c>
      <c r="D75" s="13">
        <f t="shared" si="1"/>
        <v>5.0425073886233442E-2</v>
      </c>
    </row>
    <row r="76" spans="1:4" x14ac:dyDescent="0.35">
      <c r="A76" s="11">
        <v>35704</v>
      </c>
      <c r="B76" s="15">
        <f>VLOOKUP(A76,Database!A:K,MATCH('Retail Sales'!$A$1,Database!$A$1:$K$1,),)</f>
        <v>229836</v>
      </c>
      <c r="C76" s="12">
        <f t="shared" si="2"/>
        <v>-2.0667616103372814E-3</v>
      </c>
      <c r="D76" s="13">
        <f t="shared" si="1"/>
        <v>3.9699629059983713E-2</v>
      </c>
    </row>
    <row r="77" spans="1:4" x14ac:dyDescent="0.35">
      <c r="A77" s="10">
        <v>35735</v>
      </c>
      <c r="B77" s="15">
        <f>VLOOKUP(A77,Database!A:K,MATCH('Retail Sales'!$A$1,Database!$A$1:$K$1,),)</f>
        <v>230440</v>
      </c>
      <c r="C77" s="12">
        <f t="shared" si="2"/>
        <v>2.627960806836179E-3</v>
      </c>
      <c r="D77" s="13">
        <f t="shared" si="1"/>
        <v>4.2889533541814691E-2</v>
      </c>
    </row>
    <row r="78" spans="1:4" x14ac:dyDescent="0.35">
      <c r="A78" s="11">
        <v>35765</v>
      </c>
      <c r="B78" s="15">
        <f>VLOOKUP(A78,Database!A:K,MATCH('Retail Sales'!$A$1,Database!$A$1:$K$1,),)</f>
        <v>231181</v>
      </c>
      <c r="C78" s="12">
        <f t="shared" si="2"/>
        <v>3.2155875716021525E-3</v>
      </c>
      <c r="D78" s="13">
        <f t="shared" si="1"/>
        <v>4.1398074696721937E-2</v>
      </c>
    </row>
    <row r="79" spans="1:4" x14ac:dyDescent="0.35">
      <c r="A79" s="10">
        <v>35796</v>
      </c>
      <c r="B79" s="15">
        <f>VLOOKUP(A79,Database!A:K,MATCH('Retail Sales'!$A$1,Database!$A$1:$K$1,),)</f>
        <v>231587</v>
      </c>
      <c r="C79" s="12">
        <f t="shared" si="2"/>
        <v>1.7561996876905973E-3</v>
      </c>
      <c r="D79" s="13">
        <f t="shared" si="1"/>
        <v>3.6271539862449159E-2</v>
      </c>
    </row>
    <row r="80" spans="1:4" x14ac:dyDescent="0.35">
      <c r="A80" s="11">
        <v>35827</v>
      </c>
      <c r="B80" s="15">
        <f>VLOOKUP(A80,Database!A:K,MATCH('Retail Sales'!$A$1,Database!$A$1:$K$1,),)</f>
        <v>231684</v>
      </c>
      <c r="C80" s="12">
        <f t="shared" si="2"/>
        <v>4.1884907183909289E-4</v>
      </c>
      <c r="D80" s="13">
        <f t="shared" si="1"/>
        <v>2.7779010034513045E-2</v>
      </c>
    </row>
    <row r="81" spans="1:4" x14ac:dyDescent="0.35">
      <c r="A81" s="10">
        <v>35855</v>
      </c>
      <c r="B81" s="15">
        <f>VLOOKUP(A81,Database!A:K,MATCH('Retail Sales'!$A$1,Database!$A$1:$K$1,),)</f>
        <v>233083</v>
      </c>
      <c r="C81" s="12">
        <f t="shared" si="2"/>
        <v>6.0383971271214237E-3</v>
      </c>
      <c r="D81" s="13">
        <f t="shared" si="1"/>
        <v>3.0606514827932314E-2</v>
      </c>
    </row>
    <row r="82" spans="1:4" x14ac:dyDescent="0.35">
      <c r="A82" s="11">
        <v>35886</v>
      </c>
      <c r="B82" s="15">
        <f>VLOOKUP(A82,Database!A:K,MATCH('Retail Sales'!$A$1,Database!$A$1:$K$1,),)</f>
        <v>235986</v>
      </c>
      <c r="C82" s="12">
        <f t="shared" si="2"/>
        <v>1.2454790782682563E-2</v>
      </c>
      <c r="D82" s="13">
        <f t="shared" si="1"/>
        <v>5.0624401754112591E-2</v>
      </c>
    </row>
    <row r="83" spans="1:4" x14ac:dyDescent="0.35">
      <c r="A83" s="10">
        <v>35916</v>
      </c>
      <c r="B83" s="15">
        <f>VLOOKUP(A83,Database!A:K,MATCH('Retail Sales'!$A$1,Database!$A$1:$K$1,),)</f>
        <v>237075</v>
      </c>
      <c r="C83" s="12">
        <f t="shared" si="2"/>
        <v>4.6146805318959599E-3</v>
      </c>
      <c r="D83" s="13">
        <f t="shared" ref="D83:D146" si="3">(B83-B71)/B71</f>
        <v>6.3455180797473629E-2</v>
      </c>
    </row>
    <row r="84" spans="1:4" x14ac:dyDescent="0.35">
      <c r="A84" s="11">
        <v>35947</v>
      </c>
      <c r="B84" s="15">
        <f>VLOOKUP(A84,Database!A:K,MATCH('Retail Sales'!$A$1,Database!$A$1:$K$1,),)</f>
        <v>238971</v>
      </c>
      <c r="C84" s="12">
        <f t="shared" si="2"/>
        <v>7.9974691553305922E-3</v>
      </c>
      <c r="D84" s="13">
        <f t="shared" si="3"/>
        <v>5.7127184736592986E-2</v>
      </c>
    </row>
    <row r="85" spans="1:4" x14ac:dyDescent="0.35">
      <c r="A85" s="10">
        <v>35977</v>
      </c>
      <c r="B85" s="15">
        <f>VLOOKUP(A85,Database!A:K,MATCH('Retail Sales'!$A$1,Database!$A$1:$K$1,),)</f>
        <v>237411</v>
      </c>
      <c r="C85" s="12">
        <f t="shared" si="2"/>
        <v>-6.5279887517732281E-3</v>
      </c>
      <c r="D85" s="13">
        <f t="shared" si="3"/>
        <v>3.8075582742683745E-2</v>
      </c>
    </row>
    <row r="86" spans="1:4" x14ac:dyDescent="0.35">
      <c r="A86" s="11">
        <v>36008</v>
      </c>
      <c r="B86" s="15">
        <f>VLOOKUP(A86,Database!A:K,MATCH('Retail Sales'!$A$1,Database!$A$1:$K$1,),)</f>
        <v>236379</v>
      </c>
      <c r="C86" s="12">
        <f t="shared" si="2"/>
        <v>-4.3468920985127056E-3</v>
      </c>
      <c r="D86" s="13">
        <f t="shared" si="3"/>
        <v>3.0831759765207644E-2</v>
      </c>
    </row>
    <row r="87" spans="1:4" x14ac:dyDescent="0.35">
      <c r="A87" s="10">
        <v>36039</v>
      </c>
      <c r="B87" s="15">
        <f>VLOOKUP(A87,Database!A:K,MATCH('Retail Sales'!$A$1,Database!$A$1:$K$1,),)</f>
        <v>238550</v>
      </c>
      <c r="C87" s="12">
        <f t="shared" si="2"/>
        <v>9.1844030138041027E-3</v>
      </c>
      <c r="D87" s="13">
        <f t="shared" si="3"/>
        <v>3.5768870054534718E-2</v>
      </c>
    </row>
    <row r="88" spans="1:4" x14ac:dyDescent="0.35">
      <c r="A88" s="11">
        <v>36069</v>
      </c>
      <c r="B88" s="15">
        <f>VLOOKUP(A88,Database!A:K,MATCH('Retail Sales'!$A$1,Database!$A$1:$K$1,),)</f>
        <v>242549</v>
      </c>
      <c r="C88" s="12">
        <f t="shared" si="2"/>
        <v>1.6763781177950115E-2</v>
      </c>
      <c r="D88" s="13">
        <f t="shared" si="3"/>
        <v>5.5313353869715795E-2</v>
      </c>
    </row>
    <row r="89" spans="1:4" x14ac:dyDescent="0.35">
      <c r="A89" s="10">
        <v>36100</v>
      </c>
      <c r="B89" s="15">
        <f>VLOOKUP(A89,Database!A:K,MATCH('Retail Sales'!$A$1,Database!$A$1:$K$1,),)</f>
        <v>244291</v>
      </c>
      <c r="C89" s="12">
        <f t="shared" si="2"/>
        <v>7.1820539354934465E-3</v>
      </c>
      <c r="D89" s="13">
        <f t="shared" si="3"/>
        <v>6.0106752299947927E-2</v>
      </c>
    </row>
    <row r="90" spans="1:4" x14ac:dyDescent="0.35">
      <c r="A90" s="11">
        <v>36130</v>
      </c>
      <c r="B90" s="15">
        <f>VLOOKUP(A90,Database!A:K,MATCH('Retail Sales'!$A$1,Database!$A$1:$K$1,),)</f>
        <v>246530</v>
      </c>
      <c r="C90" s="12">
        <f t="shared" si="2"/>
        <v>9.1652987625413952E-3</v>
      </c>
      <c r="D90" s="13">
        <f t="shared" si="3"/>
        <v>6.6393864547692069E-2</v>
      </c>
    </row>
    <row r="91" spans="1:4" x14ac:dyDescent="0.35">
      <c r="A91" s="10">
        <v>36161</v>
      </c>
      <c r="B91" s="15">
        <f>VLOOKUP(A91,Database!A:K,MATCH('Retail Sales'!$A$1,Database!$A$1:$K$1,),)</f>
        <v>246868</v>
      </c>
      <c r="C91" s="12">
        <f t="shared" si="2"/>
        <v>1.3710298949417921E-3</v>
      </c>
      <c r="D91" s="13">
        <f t="shared" si="3"/>
        <v>6.5983841925496681E-2</v>
      </c>
    </row>
    <row r="92" spans="1:4" x14ac:dyDescent="0.35">
      <c r="A92" s="11">
        <v>36192</v>
      </c>
      <c r="B92" s="15">
        <f>VLOOKUP(A92,Database!A:K,MATCH('Retail Sales'!$A$1,Database!$A$1:$K$1,),)</f>
        <v>249520</v>
      </c>
      <c r="C92" s="12">
        <f t="shared" si="2"/>
        <v>1.0742583080836723E-2</v>
      </c>
      <c r="D92" s="13">
        <f t="shared" si="3"/>
        <v>7.698416809102053E-2</v>
      </c>
    </row>
    <row r="93" spans="1:4" x14ac:dyDescent="0.35">
      <c r="A93" s="10">
        <v>36220</v>
      </c>
      <c r="B93" s="15">
        <f>VLOOKUP(A93,Database!A:K,MATCH('Retail Sales'!$A$1,Database!$A$1:$K$1,),)</f>
        <v>250667</v>
      </c>
      <c r="C93" s="12">
        <f t="shared" si="2"/>
        <v>4.5968259057390191E-3</v>
      </c>
      <c r="D93" s="13">
        <f t="shared" si="3"/>
        <v>7.5440937348498174E-2</v>
      </c>
    </row>
    <row r="94" spans="1:4" x14ac:dyDescent="0.35">
      <c r="A94" s="11">
        <v>36251</v>
      </c>
      <c r="B94" s="15">
        <f>VLOOKUP(A94,Database!A:K,MATCH('Retail Sales'!$A$1,Database!$A$1:$K$1,),)</f>
        <v>252477</v>
      </c>
      <c r="C94" s="12">
        <f t="shared" si="2"/>
        <v>7.2207350788097355E-3</v>
      </c>
      <c r="D94" s="13">
        <f t="shared" si="3"/>
        <v>6.9881264142788127E-2</v>
      </c>
    </row>
    <row r="95" spans="1:4" x14ac:dyDescent="0.35">
      <c r="A95" s="10">
        <v>36281</v>
      </c>
      <c r="B95" s="15">
        <f>VLOOKUP(A95,Database!A:K,MATCH('Retail Sales'!$A$1,Database!$A$1:$K$1,),)</f>
        <v>254735</v>
      </c>
      <c r="C95" s="12">
        <f t="shared" si="2"/>
        <v>8.9433889027515385E-3</v>
      </c>
      <c r="D95" s="13">
        <f t="shared" si="3"/>
        <v>7.4491194769587682E-2</v>
      </c>
    </row>
    <row r="96" spans="1:4" x14ac:dyDescent="0.35">
      <c r="A96" s="11">
        <v>36312</v>
      </c>
      <c r="B96" s="15">
        <f>VLOOKUP(A96,Database!A:K,MATCH('Retail Sales'!$A$1,Database!$A$1:$K$1,),)</f>
        <v>255449</v>
      </c>
      <c r="C96" s="12">
        <f t="shared" si="2"/>
        <v>2.802912830981216E-3</v>
      </c>
      <c r="D96" s="13">
        <f t="shared" si="3"/>
        <v>6.8953973494691831E-2</v>
      </c>
    </row>
    <row r="97" spans="1:4" x14ac:dyDescent="0.35">
      <c r="A97" s="10">
        <v>36342</v>
      </c>
      <c r="B97" s="15">
        <f>VLOOKUP(A97,Database!A:K,MATCH('Retail Sales'!$A$1,Database!$A$1:$K$1,),)</f>
        <v>257456</v>
      </c>
      <c r="C97" s="12">
        <f t="shared" si="2"/>
        <v>7.8567541857670221E-3</v>
      </c>
      <c r="D97" s="13">
        <f t="shared" si="3"/>
        <v>8.4431639646014717E-2</v>
      </c>
    </row>
    <row r="98" spans="1:4" x14ac:dyDescent="0.35">
      <c r="A98" s="11">
        <v>36373</v>
      </c>
      <c r="B98" s="15">
        <f>VLOOKUP(A98,Database!A:K,MATCH('Retail Sales'!$A$1,Database!$A$1:$K$1,),)</f>
        <v>260230</v>
      </c>
      <c r="C98" s="12">
        <f t="shared" si="2"/>
        <v>1.0774656640357963E-2</v>
      </c>
      <c r="D98" s="13">
        <f t="shared" si="3"/>
        <v>0.10090151832438583</v>
      </c>
    </row>
    <row r="99" spans="1:4" x14ac:dyDescent="0.35">
      <c r="A99" s="10">
        <v>36404</v>
      </c>
      <c r="B99" s="15">
        <f>VLOOKUP(A99,Database!A:K,MATCH('Retail Sales'!$A$1,Database!$A$1:$K$1,),)</f>
        <v>261317</v>
      </c>
      <c r="C99" s="12">
        <f t="shared" si="2"/>
        <v>4.1770741267340428E-3</v>
      </c>
      <c r="D99" s="13">
        <f t="shared" si="3"/>
        <v>9.5439111297421927E-2</v>
      </c>
    </row>
    <row r="100" spans="1:4" x14ac:dyDescent="0.35">
      <c r="A100" s="11">
        <v>36434</v>
      </c>
      <c r="B100" s="15">
        <f>VLOOKUP(A100,Database!A:K,MATCH('Retail Sales'!$A$1,Database!$A$1:$K$1,),)</f>
        <v>261818</v>
      </c>
      <c r="C100" s="12">
        <f t="shared" si="2"/>
        <v>1.9172116624635979E-3</v>
      </c>
      <c r="D100" s="13">
        <f t="shared" si="3"/>
        <v>7.9443741264651674E-2</v>
      </c>
    </row>
    <row r="101" spans="1:4" x14ac:dyDescent="0.35">
      <c r="A101" s="10">
        <v>36465</v>
      </c>
      <c r="B101" s="15">
        <f>VLOOKUP(A101,Database!A:K,MATCH('Retail Sales'!$A$1,Database!$A$1:$K$1,),)</f>
        <v>264965</v>
      </c>
      <c r="C101" s="12">
        <f t="shared" si="2"/>
        <v>1.2019800013750009E-2</v>
      </c>
      <c r="D101" s="13">
        <f t="shared" si="3"/>
        <v>8.4628578212050387E-2</v>
      </c>
    </row>
    <row r="102" spans="1:4" x14ac:dyDescent="0.35">
      <c r="A102" s="11">
        <v>36495</v>
      </c>
      <c r="B102" s="15">
        <f>VLOOKUP(A102,Database!A:K,MATCH('Retail Sales'!$A$1,Database!$A$1:$K$1,),)</f>
        <v>269863</v>
      </c>
      <c r="C102" s="12">
        <f t="shared" si="2"/>
        <v>1.8485460343818996E-2</v>
      </c>
      <c r="D102" s="13">
        <f t="shared" si="3"/>
        <v>9.464568206709123E-2</v>
      </c>
    </row>
    <row r="103" spans="1:4" x14ac:dyDescent="0.35">
      <c r="A103" s="10">
        <v>36526</v>
      </c>
      <c r="B103" s="15">
        <f>VLOOKUP(A103,Database!A:K,MATCH('Retail Sales'!$A$1,Database!$A$1:$K$1,),)</f>
        <v>268044</v>
      </c>
      <c r="C103" s="12">
        <f t="shared" si="2"/>
        <v>-6.7404571949470655E-3</v>
      </c>
      <c r="D103" s="13">
        <f t="shared" si="3"/>
        <v>8.5778634735972262E-2</v>
      </c>
    </row>
    <row r="104" spans="1:4" x14ac:dyDescent="0.35">
      <c r="A104" s="11">
        <v>36557</v>
      </c>
      <c r="B104" s="15">
        <f>VLOOKUP(A104,Database!A:K,MATCH('Retail Sales'!$A$1,Database!$A$1:$K$1,),)</f>
        <v>272020</v>
      </c>
      <c r="C104" s="12">
        <f t="shared" si="2"/>
        <v>1.4833385563564191E-2</v>
      </c>
      <c r="D104" s="13">
        <f t="shared" si="3"/>
        <v>9.017313241423533E-2</v>
      </c>
    </row>
    <row r="105" spans="1:4" x14ac:dyDescent="0.35">
      <c r="A105" s="10">
        <v>36586</v>
      </c>
      <c r="B105" s="15">
        <f>VLOOKUP(A105,Database!A:K,MATCH('Retail Sales'!$A$1,Database!$A$1:$K$1,),)</f>
        <v>275192</v>
      </c>
      <c r="C105" s="12">
        <f t="shared" si="2"/>
        <v>1.1660907286228954E-2</v>
      </c>
      <c r="D105" s="13">
        <f t="shared" si="3"/>
        <v>9.7838965639673356E-2</v>
      </c>
    </row>
    <row r="106" spans="1:4" x14ac:dyDescent="0.35">
      <c r="A106" s="11">
        <v>36617</v>
      </c>
      <c r="B106" s="15">
        <f>VLOOKUP(A106,Database!A:K,MATCH('Retail Sales'!$A$1,Database!$A$1:$K$1,),)</f>
        <v>271046</v>
      </c>
      <c r="C106" s="12">
        <f t="shared" si="2"/>
        <v>-1.5065844937352831E-2</v>
      </c>
      <c r="D106" s="13">
        <f t="shared" si="3"/>
        <v>7.3547293416826087E-2</v>
      </c>
    </row>
    <row r="107" spans="1:4" x14ac:dyDescent="0.35">
      <c r="A107" s="10">
        <v>36647</v>
      </c>
      <c r="B107" s="15">
        <f>VLOOKUP(A107,Database!A:K,MATCH('Retail Sales'!$A$1,Database!$A$1:$K$1,),)</f>
        <v>271394</v>
      </c>
      <c r="C107" s="12">
        <f t="shared" si="2"/>
        <v>1.2839149074326866E-3</v>
      </c>
      <c r="D107" s="13">
        <f t="shared" si="3"/>
        <v>6.539737374133904E-2</v>
      </c>
    </row>
    <row r="108" spans="1:4" x14ac:dyDescent="0.35">
      <c r="A108" s="11">
        <v>36678</v>
      </c>
      <c r="B108" s="15">
        <f>VLOOKUP(A108,Database!A:K,MATCH('Retail Sales'!$A$1,Database!$A$1:$K$1,),)</f>
        <v>273422</v>
      </c>
      <c r="C108" s="12">
        <f t="shared" si="2"/>
        <v>7.4725307118064513E-3</v>
      </c>
      <c r="D108" s="13">
        <f t="shared" si="3"/>
        <v>7.0358466856397947E-2</v>
      </c>
    </row>
    <row r="109" spans="1:4" x14ac:dyDescent="0.35">
      <c r="A109" s="10">
        <v>36708</v>
      </c>
      <c r="B109" s="15">
        <f>VLOOKUP(A109,Database!A:K,MATCH('Retail Sales'!$A$1,Database!$A$1:$K$1,),)</f>
        <v>272630</v>
      </c>
      <c r="C109" s="12">
        <f t="shared" si="2"/>
        <v>-2.8966213399068109E-3</v>
      </c>
      <c r="D109" s="13">
        <f t="shared" si="3"/>
        <v>5.8938226337704305E-2</v>
      </c>
    </row>
    <row r="110" spans="1:4" x14ac:dyDescent="0.35">
      <c r="A110" s="11">
        <v>36739</v>
      </c>
      <c r="B110" s="15">
        <f>VLOOKUP(A110,Database!A:K,MATCH('Retail Sales'!$A$1,Database!$A$1:$K$1,),)</f>
        <v>272918</v>
      </c>
      <c r="C110" s="12">
        <f t="shared" si="2"/>
        <v>1.0563767743828633E-3</v>
      </c>
      <c r="D110" s="13">
        <f t="shared" si="3"/>
        <v>4.8756868923644468E-2</v>
      </c>
    </row>
    <row r="111" spans="1:4" x14ac:dyDescent="0.35">
      <c r="A111" s="10">
        <v>36770</v>
      </c>
      <c r="B111" s="15">
        <f>VLOOKUP(A111,Database!A:K,MATCH('Retail Sales'!$A$1,Database!$A$1:$K$1,),)</f>
        <v>277548</v>
      </c>
      <c r="C111" s="12">
        <f t="shared" si="2"/>
        <v>1.6964802614704785E-2</v>
      </c>
      <c r="D111" s="13">
        <f t="shared" si="3"/>
        <v>6.2112300386121068E-2</v>
      </c>
    </row>
    <row r="112" spans="1:4" x14ac:dyDescent="0.35">
      <c r="A112" s="11">
        <v>36800</v>
      </c>
      <c r="B112" s="15">
        <f>VLOOKUP(A112,Database!A:K,MATCH('Retail Sales'!$A$1,Database!$A$1:$K$1,),)</f>
        <v>276927</v>
      </c>
      <c r="C112" s="12">
        <f t="shared" si="2"/>
        <v>-2.2374508193177397E-3</v>
      </c>
      <c r="D112" s="13">
        <f t="shared" si="3"/>
        <v>5.7708026186129295E-2</v>
      </c>
    </row>
    <row r="113" spans="1:4" x14ac:dyDescent="0.35">
      <c r="A113" s="10">
        <v>36831</v>
      </c>
      <c r="B113" s="15">
        <f>VLOOKUP(A113,Database!A:K,MATCH('Retail Sales'!$A$1,Database!$A$1:$K$1,),)</f>
        <v>276029</v>
      </c>
      <c r="C113" s="12">
        <f t="shared" si="2"/>
        <v>-3.2427318390767243E-3</v>
      </c>
      <c r="D113" s="13">
        <f t="shared" si="3"/>
        <v>4.1756458400166056E-2</v>
      </c>
    </row>
    <row r="114" spans="1:4" x14ac:dyDescent="0.35">
      <c r="A114" s="11">
        <v>36861</v>
      </c>
      <c r="B114" s="15">
        <f>VLOOKUP(A114,Database!A:K,MATCH('Retail Sales'!$A$1,Database!$A$1:$K$1,),)</f>
        <v>275791</v>
      </c>
      <c r="C114" s="12">
        <f t="shared" si="2"/>
        <v>-8.6222824413376858E-4</v>
      </c>
      <c r="D114" s="13">
        <f t="shared" si="3"/>
        <v>2.1966701622675208E-2</v>
      </c>
    </row>
    <row r="115" spans="1:4" x14ac:dyDescent="0.35">
      <c r="A115" s="10">
        <v>36892</v>
      </c>
      <c r="B115" s="15">
        <f>VLOOKUP(A115,Database!A:K,MATCH('Retail Sales'!$A$1,Database!$A$1:$K$1,),)</f>
        <v>278834</v>
      </c>
      <c r="C115" s="12">
        <f t="shared" si="2"/>
        <v>1.1033717561486777E-2</v>
      </c>
      <c r="D115" s="13">
        <f t="shared" si="3"/>
        <v>4.0254585068123142E-2</v>
      </c>
    </row>
    <row r="116" spans="1:4" x14ac:dyDescent="0.35">
      <c r="A116" s="11">
        <v>36923</v>
      </c>
      <c r="B116" s="15">
        <f>VLOOKUP(A116,Database!A:K,MATCH('Retail Sales'!$A$1,Database!$A$1:$K$1,),)</f>
        <v>278773</v>
      </c>
      <c r="C116" s="12">
        <f t="shared" si="2"/>
        <v>-2.1876815596376338E-4</v>
      </c>
      <c r="D116" s="13">
        <f t="shared" si="3"/>
        <v>2.4825380486728919E-2</v>
      </c>
    </row>
    <row r="117" spans="1:4" x14ac:dyDescent="0.35">
      <c r="A117" s="10">
        <v>36951</v>
      </c>
      <c r="B117" s="15">
        <f>VLOOKUP(A117,Database!A:K,MATCH('Retail Sales'!$A$1,Database!$A$1:$K$1,),)</f>
        <v>276450</v>
      </c>
      <c r="C117" s="12">
        <f t="shared" si="2"/>
        <v>-8.3329447256369881E-3</v>
      </c>
      <c r="D117" s="13">
        <f t="shared" si="3"/>
        <v>4.5713538184249539E-3</v>
      </c>
    </row>
    <row r="118" spans="1:4" x14ac:dyDescent="0.35">
      <c r="A118" s="11">
        <v>36982</v>
      </c>
      <c r="B118" s="15">
        <f>VLOOKUP(A118,Database!A:K,MATCH('Retail Sales'!$A$1,Database!$A$1:$K$1,),)</f>
        <v>280808</v>
      </c>
      <c r="C118" s="12">
        <f t="shared" si="2"/>
        <v>1.5764152649665401E-2</v>
      </c>
      <c r="D118" s="13">
        <f t="shared" si="3"/>
        <v>3.6016026799878989E-2</v>
      </c>
    </row>
    <row r="119" spans="1:4" x14ac:dyDescent="0.35">
      <c r="A119" s="10">
        <v>37012</v>
      </c>
      <c r="B119" s="15">
        <f>VLOOKUP(A119,Database!A:K,MATCH('Retail Sales'!$A$1,Database!$A$1:$K$1,),)</f>
        <v>281496</v>
      </c>
      <c r="C119" s="12">
        <f t="shared" si="2"/>
        <v>2.45007264750292E-3</v>
      </c>
      <c r="D119" s="13">
        <f t="shared" si="3"/>
        <v>3.7222635725181842E-2</v>
      </c>
    </row>
    <row r="120" spans="1:4" x14ac:dyDescent="0.35">
      <c r="A120" s="11">
        <v>37043</v>
      </c>
      <c r="B120" s="15">
        <f>VLOOKUP(A120,Database!A:K,MATCH('Retail Sales'!$A$1,Database!$A$1:$K$1,),)</f>
        <v>280401</v>
      </c>
      <c r="C120" s="12">
        <f t="shared" si="2"/>
        <v>-3.8899309404041263E-3</v>
      </c>
      <c r="D120" s="13">
        <f t="shared" si="3"/>
        <v>2.5524646882840445E-2</v>
      </c>
    </row>
    <row r="121" spans="1:4" x14ac:dyDescent="0.35">
      <c r="A121" s="10">
        <v>37073</v>
      </c>
      <c r="B121" s="15">
        <f>VLOOKUP(A121,Database!A:K,MATCH('Retail Sales'!$A$1,Database!$A$1:$K$1,),)</f>
        <v>279504</v>
      </c>
      <c r="C121" s="12">
        <f t="shared" si="2"/>
        <v>-3.1989900178672685E-3</v>
      </c>
      <c r="D121" s="13">
        <f t="shared" si="3"/>
        <v>2.5213659538568755E-2</v>
      </c>
    </row>
    <row r="122" spans="1:4" x14ac:dyDescent="0.35">
      <c r="A122" s="11">
        <v>37104</v>
      </c>
      <c r="B122" s="15">
        <f>VLOOKUP(A122,Database!A:K,MATCH('Retail Sales'!$A$1,Database!$A$1:$K$1,),)</f>
        <v>281413</v>
      </c>
      <c r="C122" s="12">
        <f t="shared" si="2"/>
        <v>6.8299559219188273E-3</v>
      </c>
      <c r="D122" s="13">
        <f t="shared" si="3"/>
        <v>3.1126565488535016E-2</v>
      </c>
    </row>
    <row r="123" spans="1:4" x14ac:dyDescent="0.35">
      <c r="A123" s="10">
        <v>37135</v>
      </c>
      <c r="B123" s="15">
        <f>VLOOKUP(A123,Database!A:K,MATCH('Retail Sales'!$A$1,Database!$A$1:$K$1,),)</f>
        <v>276084</v>
      </c>
      <c r="C123" s="12">
        <f t="shared" si="2"/>
        <v>-1.8936580754975781E-2</v>
      </c>
      <c r="D123" s="13">
        <f t="shared" si="3"/>
        <v>-5.2747632841886813E-3</v>
      </c>
    </row>
    <row r="124" spans="1:4" x14ac:dyDescent="0.35">
      <c r="A124" s="11">
        <v>37165</v>
      </c>
      <c r="B124" s="15">
        <f>VLOOKUP(A124,Database!A:K,MATCH('Retail Sales'!$A$1,Database!$A$1:$K$1,),)</f>
        <v>294540</v>
      </c>
      <c r="C124" s="12">
        <f t="shared" si="2"/>
        <v>6.6849219802668752E-2</v>
      </c>
      <c r="D124" s="13">
        <f t="shared" si="3"/>
        <v>6.3601598977347823E-2</v>
      </c>
    </row>
    <row r="125" spans="1:4" x14ac:dyDescent="0.35">
      <c r="A125" s="10">
        <v>37196</v>
      </c>
      <c r="B125" s="15">
        <f>VLOOKUP(A125,Database!A:K,MATCH('Retail Sales'!$A$1,Database!$A$1:$K$1,),)</f>
        <v>287111</v>
      </c>
      <c r="C125" s="12">
        <f t="shared" si="2"/>
        <v>-2.5222380661370274E-2</v>
      </c>
      <c r="D125" s="13">
        <f t="shared" si="3"/>
        <v>4.0147955468447155E-2</v>
      </c>
    </row>
    <row r="126" spans="1:4" x14ac:dyDescent="0.35">
      <c r="A126" s="11">
        <v>37226</v>
      </c>
      <c r="B126" s="15">
        <f>VLOOKUP(A126,Database!A:K,MATCH('Retail Sales'!$A$1,Database!$A$1:$K$1,),)</f>
        <v>283705</v>
      </c>
      <c r="C126" s="12">
        <f t="shared" si="2"/>
        <v>-1.1863007686922479E-2</v>
      </c>
      <c r="D126" s="13">
        <f t="shared" si="3"/>
        <v>2.869564271495444E-2</v>
      </c>
    </row>
    <row r="127" spans="1:4" x14ac:dyDescent="0.35">
      <c r="A127" s="10">
        <v>37257</v>
      </c>
      <c r="B127" s="15">
        <f>VLOOKUP(A127,Database!A:K,MATCH('Retail Sales'!$A$1,Database!$A$1:$K$1,),)</f>
        <v>283508</v>
      </c>
      <c r="C127" s="12">
        <f t="shared" si="2"/>
        <v>-6.9438325020708131E-4</v>
      </c>
      <c r="D127" s="13">
        <f t="shared" si="3"/>
        <v>1.6762661655321805E-2</v>
      </c>
    </row>
    <row r="128" spans="1:4" x14ac:dyDescent="0.35">
      <c r="A128" s="11">
        <v>37288</v>
      </c>
      <c r="B128" s="15">
        <f>VLOOKUP(A128,Database!A:K,MATCH('Retail Sales'!$A$1,Database!$A$1:$K$1,),)</f>
        <v>285054</v>
      </c>
      <c r="C128" s="12">
        <f t="shared" si="2"/>
        <v>5.453108906979697E-3</v>
      </c>
      <c r="D128" s="13">
        <f t="shared" si="3"/>
        <v>2.2530876376119637E-2</v>
      </c>
    </row>
    <row r="129" spans="1:4" x14ac:dyDescent="0.35">
      <c r="A129" s="10">
        <v>37316</v>
      </c>
      <c r="B129" s="15">
        <f>VLOOKUP(A129,Database!A:K,MATCH('Retail Sales'!$A$1,Database!$A$1:$K$1,),)</f>
        <v>284262</v>
      </c>
      <c r="C129" s="12">
        <f t="shared" si="2"/>
        <v>-2.7784209307710117E-3</v>
      </c>
      <c r="D129" s="13">
        <f t="shared" si="3"/>
        <v>2.8258274552360282E-2</v>
      </c>
    </row>
    <row r="130" spans="1:4" x14ac:dyDescent="0.35">
      <c r="A130" s="11">
        <v>37347</v>
      </c>
      <c r="B130" s="15">
        <f>VLOOKUP(A130,Database!A:K,MATCH('Retail Sales'!$A$1,Database!$A$1:$K$1,),)</f>
        <v>288833</v>
      </c>
      <c r="C130" s="12">
        <f t="shared" si="2"/>
        <v>1.6080235838768459E-2</v>
      </c>
      <c r="D130" s="13">
        <f t="shared" si="3"/>
        <v>2.857824563402752E-2</v>
      </c>
    </row>
    <row r="131" spans="1:4" x14ac:dyDescent="0.35">
      <c r="A131" s="10">
        <v>37377</v>
      </c>
      <c r="B131" s="15">
        <f>VLOOKUP(A131,Database!A:K,MATCH('Retail Sales'!$A$1,Database!$A$1:$K$1,),)</f>
        <v>284951</v>
      </c>
      <c r="C131" s="12">
        <f t="shared" si="2"/>
        <v>-1.3440292487354285E-2</v>
      </c>
      <c r="D131" s="13">
        <f t="shared" si="3"/>
        <v>1.2273709040270555E-2</v>
      </c>
    </row>
    <row r="132" spans="1:4" x14ac:dyDescent="0.35">
      <c r="A132" s="11">
        <v>37408</v>
      </c>
      <c r="B132" s="15">
        <f>VLOOKUP(A132,Database!A:K,MATCH('Retail Sales'!$A$1,Database!$A$1:$K$1,),)</f>
        <v>287372</v>
      </c>
      <c r="C132" s="12">
        <f t="shared" si="2"/>
        <v>8.4961975918666725E-3</v>
      </c>
      <c r="D132" s="13">
        <f t="shared" si="3"/>
        <v>2.4860824319456777E-2</v>
      </c>
    </row>
    <row r="133" spans="1:4" x14ac:dyDescent="0.35">
      <c r="A133" s="10">
        <v>37438</v>
      </c>
      <c r="B133" s="15">
        <f>VLOOKUP(A133,Database!A:K,MATCH('Retail Sales'!$A$1,Database!$A$1:$K$1,),)</f>
        <v>290385</v>
      </c>
      <c r="C133" s="12">
        <f t="shared" si="2"/>
        <v>1.0484667956516293E-2</v>
      </c>
      <c r="D133" s="13">
        <f t="shared" si="3"/>
        <v>3.892967542503864E-2</v>
      </c>
    </row>
    <row r="134" spans="1:4" x14ac:dyDescent="0.35">
      <c r="A134" s="11">
        <v>37469</v>
      </c>
      <c r="B134" s="15">
        <f>VLOOKUP(A134,Database!A:K,MATCH('Retail Sales'!$A$1,Database!$A$1:$K$1,),)</f>
        <v>292650</v>
      </c>
      <c r="C134" s="12">
        <f t="shared" si="2"/>
        <v>7.7999896688878559E-3</v>
      </c>
      <c r="D134" s="13">
        <f t="shared" si="3"/>
        <v>3.9930635755988528E-2</v>
      </c>
    </row>
    <row r="135" spans="1:4" x14ac:dyDescent="0.35">
      <c r="A135" s="10">
        <v>37500</v>
      </c>
      <c r="B135" s="15">
        <f>VLOOKUP(A135,Database!A:K,MATCH('Retail Sales'!$A$1,Database!$A$1:$K$1,),)</f>
        <v>288410</v>
      </c>
      <c r="C135" s="12">
        <f t="shared" si="2"/>
        <v>-1.4488296600034171E-2</v>
      </c>
      <c r="D135" s="13">
        <f t="shared" si="3"/>
        <v>4.4645832427811824E-2</v>
      </c>
    </row>
    <row r="136" spans="1:4" x14ac:dyDescent="0.35">
      <c r="A136" s="11">
        <v>37530</v>
      </c>
      <c r="B136" s="15">
        <f>VLOOKUP(A136,Database!A:K,MATCH('Retail Sales'!$A$1,Database!$A$1:$K$1,),)</f>
        <v>289576</v>
      </c>
      <c r="C136" s="12">
        <f t="shared" ref="C136:C199" si="4">(B136-B135)/B135</f>
        <v>4.0428556568773621E-3</v>
      </c>
      <c r="D136" s="13">
        <f t="shared" si="3"/>
        <v>-1.6853398519725674E-2</v>
      </c>
    </row>
    <row r="137" spans="1:4" x14ac:dyDescent="0.35">
      <c r="A137" s="10">
        <v>37561</v>
      </c>
      <c r="B137" s="15">
        <f>VLOOKUP(A137,Database!A:K,MATCH('Retail Sales'!$A$1,Database!$A$1:$K$1,),)</f>
        <v>291484</v>
      </c>
      <c r="C137" s="12">
        <f t="shared" si="4"/>
        <v>6.5889438351244582E-3</v>
      </c>
      <c r="D137" s="13">
        <f t="shared" si="3"/>
        <v>1.523104304606929E-2</v>
      </c>
    </row>
    <row r="138" spans="1:4" x14ac:dyDescent="0.35">
      <c r="A138" s="11">
        <v>37591</v>
      </c>
      <c r="B138" s="15">
        <f>VLOOKUP(A138,Database!A:K,MATCH('Retail Sales'!$A$1,Database!$A$1:$K$1,),)</f>
        <v>293947</v>
      </c>
      <c r="C138" s="12">
        <f t="shared" si="4"/>
        <v>8.4498634573424262E-3</v>
      </c>
      <c r="D138" s="13">
        <f t="shared" si="3"/>
        <v>3.6100879434623992E-2</v>
      </c>
    </row>
    <row r="139" spans="1:4" x14ac:dyDescent="0.35">
      <c r="A139" s="10">
        <v>37622</v>
      </c>
      <c r="B139" s="15">
        <f>VLOOKUP(A139,Database!A:K,MATCH('Retail Sales'!$A$1,Database!$A$1:$K$1,),)</f>
        <v>295248</v>
      </c>
      <c r="C139" s="12">
        <f t="shared" si="4"/>
        <v>4.4259679466026186E-3</v>
      </c>
      <c r="D139" s="13">
        <f t="shared" si="3"/>
        <v>4.1409766214709993E-2</v>
      </c>
    </row>
    <row r="140" spans="1:4" x14ac:dyDescent="0.35">
      <c r="A140" s="11">
        <v>37653</v>
      </c>
      <c r="B140" s="15">
        <f>VLOOKUP(A140,Database!A:K,MATCH('Retail Sales'!$A$1,Database!$A$1:$K$1,),)</f>
        <v>291167</v>
      </c>
      <c r="C140" s="12">
        <f t="shared" si="4"/>
        <v>-1.3822278220343575E-2</v>
      </c>
      <c r="D140" s="13">
        <f t="shared" si="3"/>
        <v>2.1445059532579792E-2</v>
      </c>
    </row>
    <row r="141" spans="1:4" x14ac:dyDescent="0.35">
      <c r="A141" s="10">
        <v>37681</v>
      </c>
      <c r="B141" s="15">
        <f>VLOOKUP(A141,Database!A:K,MATCH('Retail Sales'!$A$1,Database!$A$1:$K$1,),)</f>
        <v>296325</v>
      </c>
      <c r="C141" s="12">
        <f t="shared" si="4"/>
        <v>1.7714919616577427E-2</v>
      </c>
      <c r="D141" s="13">
        <f t="shared" si="3"/>
        <v>4.2436203220972205E-2</v>
      </c>
    </row>
    <row r="142" spans="1:4" x14ac:dyDescent="0.35">
      <c r="A142" s="11">
        <v>37712</v>
      </c>
      <c r="B142" s="15">
        <f>VLOOKUP(A142,Database!A:K,MATCH('Retail Sales'!$A$1,Database!$A$1:$K$1,),)</f>
        <v>295600</v>
      </c>
      <c r="C142" s="12">
        <f t="shared" si="4"/>
        <v>-2.4466379819454991E-3</v>
      </c>
      <c r="D142" s="13">
        <f t="shared" si="3"/>
        <v>2.3428763333829584E-2</v>
      </c>
    </row>
    <row r="143" spans="1:4" x14ac:dyDescent="0.35">
      <c r="A143" s="10">
        <v>37742</v>
      </c>
      <c r="B143" s="15">
        <f>VLOOKUP(A143,Database!A:K,MATCH('Retail Sales'!$A$1,Database!$A$1:$K$1,),)</f>
        <v>296410</v>
      </c>
      <c r="C143" s="12">
        <f t="shared" si="4"/>
        <v>2.7401894451962111E-3</v>
      </c>
      <c r="D143" s="13">
        <f t="shared" si="3"/>
        <v>4.0213931518050472E-2</v>
      </c>
    </row>
    <row r="144" spans="1:4" x14ac:dyDescent="0.35">
      <c r="A144" s="11">
        <v>37773</v>
      </c>
      <c r="B144" s="15">
        <f>VLOOKUP(A144,Database!A:K,MATCH('Retail Sales'!$A$1,Database!$A$1:$K$1,),)</f>
        <v>299626</v>
      </c>
      <c r="C144" s="12">
        <f t="shared" si="4"/>
        <v>1.0849836375290982E-2</v>
      </c>
      <c r="D144" s="13">
        <f t="shared" si="3"/>
        <v>4.2641593474660025E-2</v>
      </c>
    </row>
    <row r="145" spans="1:4" x14ac:dyDescent="0.35">
      <c r="A145" s="10">
        <v>37803</v>
      </c>
      <c r="B145" s="15">
        <f>VLOOKUP(A145,Database!A:K,MATCH('Retail Sales'!$A$1,Database!$A$1:$K$1,),)</f>
        <v>302747</v>
      </c>
      <c r="C145" s="12">
        <f t="shared" si="4"/>
        <v>1.0416319011033756E-2</v>
      </c>
      <c r="D145" s="13">
        <f t="shared" si="3"/>
        <v>4.257106944229213E-2</v>
      </c>
    </row>
    <row r="146" spans="1:4" x14ac:dyDescent="0.35">
      <c r="A146" s="11">
        <v>37834</v>
      </c>
      <c r="B146" s="15">
        <f>VLOOKUP(A146,Database!A:K,MATCH('Retail Sales'!$A$1,Database!$A$1:$K$1,),)</f>
        <v>307809</v>
      </c>
      <c r="C146" s="12">
        <f t="shared" si="4"/>
        <v>1.672023174465808E-2</v>
      </c>
      <c r="D146" s="13">
        <f t="shared" si="3"/>
        <v>5.1799077396207073E-2</v>
      </c>
    </row>
    <row r="147" spans="1:4" x14ac:dyDescent="0.35">
      <c r="A147" s="10">
        <v>37865</v>
      </c>
      <c r="B147" s="15">
        <f>VLOOKUP(A147,Database!A:K,MATCH('Retail Sales'!$A$1,Database!$A$1:$K$1,),)</f>
        <v>305933</v>
      </c>
      <c r="C147" s="12">
        <f t="shared" si="4"/>
        <v>-6.0946885893524878E-3</v>
      </c>
      <c r="D147" s="13">
        <f t="shared" ref="D147:D210" si="5">(B147-B135)/B135</f>
        <v>6.0757255296279601E-2</v>
      </c>
    </row>
    <row r="148" spans="1:4" x14ac:dyDescent="0.35">
      <c r="A148" s="11">
        <v>37895</v>
      </c>
      <c r="B148" s="15">
        <f>VLOOKUP(A148,Database!A:K,MATCH('Retail Sales'!$A$1,Database!$A$1:$K$1,),)</f>
        <v>304809</v>
      </c>
      <c r="C148" s="12">
        <f t="shared" si="4"/>
        <v>-3.6740070538320482E-3</v>
      </c>
      <c r="D148" s="13">
        <f t="shared" si="5"/>
        <v>5.2604497610299193E-2</v>
      </c>
    </row>
    <row r="149" spans="1:4" x14ac:dyDescent="0.35">
      <c r="A149" s="10">
        <v>37926</v>
      </c>
      <c r="B149" s="15">
        <f>VLOOKUP(A149,Database!A:K,MATCH('Retail Sales'!$A$1,Database!$A$1:$K$1,),)</f>
        <v>308527</v>
      </c>
      <c r="C149" s="12">
        <f t="shared" si="4"/>
        <v>1.2197802558323409E-2</v>
      </c>
      <c r="D149" s="13">
        <f t="shared" si="5"/>
        <v>5.8469761633571656E-2</v>
      </c>
    </row>
    <row r="150" spans="1:4" x14ac:dyDescent="0.35">
      <c r="A150" s="11">
        <v>37956</v>
      </c>
      <c r="B150" s="15">
        <f>VLOOKUP(A150,Database!A:K,MATCH('Retail Sales'!$A$1,Database!$A$1:$K$1,),)</f>
        <v>307407</v>
      </c>
      <c r="C150" s="12">
        <f t="shared" si="4"/>
        <v>-3.6301523043364113E-3</v>
      </c>
      <c r="D150" s="13">
        <f t="shared" si="5"/>
        <v>4.5790567687372212E-2</v>
      </c>
    </row>
    <row r="151" spans="1:4" x14ac:dyDescent="0.35">
      <c r="A151" s="10">
        <v>37987</v>
      </c>
      <c r="B151" s="15">
        <f>VLOOKUP(A151,Database!A:K,MATCH('Retail Sales'!$A$1,Database!$A$1:$K$1,),)</f>
        <v>309254</v>
      </c>
      <c r="C151" s="12">
        <f t="shared" si="4"/>
        <v>6.0083212158473943E-3</v>
      </c>
      <c r="D151" s="13">
        <f t="shared" si="5"/>
        <v>4.7438085948084324E-2</v>
      </c>
    </row>
    <row r="152" spans="1:4" x14ac:dyDescent="0.35">
      <c r="A152" s="11">
        <v>38018</v>
      </c>
      <c r="B152" s="15">
        <f>VLOOKUP(A152,Database!A:K,MATCH('Retail Sales'!$A$1,Database!$A$1:$K$1,),)</f>
        <v>311393</v>
      </c>
      <c r="C152" s="12">
        <f t="shared" si="4"/>
        <v>6.9166445704825158E-3</v>
      </c>
      <c r="D152" s="13">
        <f t="shared" si="5"/>
        <v>6.9465289679118858E-2</v>
      </c>
    </row>
    <row r="153" spans="1:4" x14ac:dyDescent="0.35">
      <c r="A153" s="10">
        <v>38047</v>
      </c>
      <c r="B153" s="15">
        <f>VLOOKUP(A153,Database!A:K,MATCH('Retail Sales'!$A$1,Database!$A$1:$K$1,),)</f>
        <v>316912</v>
      </c>
      <c r="C153" s="12">
        <f t="shared" si="4"/>
        <v>1.7723584024046782E-2</v>
      </c>
      <c r="D153" s="13">
        <f t="shared" si="5"/>
        <v>6.947439466801654E-2</v>
      </c>
    </row>
    <row r="154" spans="1:4" x14ac:dyDescent="0.35">
      <c r="A154" s="11">
        <v>38078</v>
      </c>
      <c r="B154" s="15">
        <f>VLOOKUP(A154,Database!A:K,MATCH('Retail Sales'!$A$1,Database!$A$1:$K$1,),)</f>
        <v>313512</v>
      </c>
      <c r="C154" s="12">
        <f t="shared" si="4"/>
        <v>-1.0728530317564497E-2</v>
      </c>
      <c r="D154" s="13">
        <f t="shared" si="5"/>
        <v>6.0595399188092015E-2</v>
      </c>
    </row>
    <row r="155" spans="1:4" x14ac:dyDescent="0.35">
      <c r="A155" s="10">
        <v>38108</v>
      </c>
      <c r="B155" s="15">
        <f>VLOOKUP(A155,Database!A:K,MATCH('Retail Sales'!$A$1,Database!$A$1:$K$1,),)</f>
        <v>318964</v>
      </c>
      <c r="C155" s="12">
        <f t="shared" si="4"/>
        <v>1.7390083952129425E-2</v>
      </c>
      <c r="D155" s="13">
        <f t="shared" si="5"/>
        <v>7.6090550251341052E-2</v>
      </c>
    </row>
    <row r="156" spans="1:4" x14ac:dyDescent="0.35">
      <c r="A156" s="11">
        <v>38139</v>
      </c>
      <c r="B156" s="15">
        <f>VLOOKUP(A156,Database!A:K,MATCH('Retail Sales'!$A$1,Database!$A$1:$K$1,),)</f>
        <v>314958</v>
      </c>
      <c r="C156" s="12">
        <f t="shared" si="4"/>
        <v>-1.2559411093414932E-2</v>
      </c>
      <c r="D156" s="13">
        <f t="shared" si="5"/>
        <v>5.1170459172434971E-2</v>
      </c>
    </row>
    <row r="157" spans="1:4" x14ac:dyDescent="0.35">
      <c r="A157" s="10">
        <v>38169</v>
      </c>
      <c r="B157" s="15">
        <f>VLOOKUP(A157,Database!A:K,MATCH('Retail Sales'!$A$1,Database!$A$1:$K$1,),)</f>
        <v>318549</v>
      </c>
      <c r="C157" s="12">
        <f t="shared" si="4"/>
        <v>1.1401520202693692E-2</v>
      </c>
      <c r="D157" s="13">
        <f t="shared" si="5"/>
        <v>5.2195397477101342E-2</v>
      </c>
    </row>
    <row r="158" spans="1:4" x14ac:dyDescent="0.35">
      <c r="A158" s="11">
        <v>38200</v>
      </c>
      <c r="B158" s="15">
        <f>VLOOKUP(A158,Database!A:K,MATCH('Retail Sales'!$A$1,Database!$A$1:$K$1,),)</f>
        <v>318977</v>
      </c>
      <c r="C158" s="12">
        <f t="shared" si="4"/>
        <v>1.3435923515691464E-3</v>
      </c>
      <c r="D158" s="13">
        <f t="shared" si="5"/>
        <v>3.6282239960494983E-2</v>
      </c>
    </row>
    <row r="159" spans="1:4" x14ac:dyDescent="0.35">
      <c r="A159" s="10">
        <v>38231</v>
      </c>
      <c r="B159" s="15">
        <f>VLOOKUP(A159,Database!A:K,MATCH('Retail Sales'!$A$1,Database!$A$1:$K$1,),)</f>
        <v>324569</v>
      </c>
      <c r="C159" s="12">
        <f t="shared" si="4"/>
        <v>1.7531044558071585E-2</v>
      </c>
      <c r="D159" s="13">
        <f t="shared" si="5"/>
        <v>6.0915298447699336E-2</v>
      </c>
    </row>
    <row r="160" spans="1:4" x14ac:dyDescent="0.35">
      <c r="A160" s="11">
        <v>38261</v>
      </c>
      <c r="B160" s="15">
        <f>VLOOKUP(A160,Database!A:K,MATCH('Retail Sales'!$A$1,Database!$A$1:$K$1,),)</f>
        <v>326740</v>
      </c>
      <c r="C160" s="12">
        <f t="shared" si="4"/>
        <v>6.6888704713019423E-3</v>
      </c>
      <c r="D160" s="13">
        <f t="shared" si="5"/>
        <v>7.1949975230390179E-2</v>
      </c>
    </row>
    <row r="161" spans="1:4" x14ac:dyDescent="0.35">
      <c r="A161" s="10">
        <v>38292</v>
      </c>
      <c r="B161" s="15">
        <f>VLOOKUP(A161,Database!A:K,MATCH('Retail Sales'!$A$1,Database!$A$1:$K$1,),)</f>
        <v>327836</v>
      </c>
      <c r="C161" s="12">
        <f t="shared" si="4"/>
        <v>3.3543490236885598E-3</v>
      </c>
      <c r="D161" s="13">
        <f t="shared" si="5"/>
        <v>6.2584473968242654E-2</v>
      </c>
    </row>
    <row r="162" spans="1:4" x14ac:dyDescent="0.35">
      <c r="A162" s="11">
        <v>38322</v>
      </c>
      <c r="B162" s="15">
        <f>VLOOKUP(A162,Database!A:K,MATCH('Retail Sales'!$A$1,Database!$A$1:$K$1,),)</f>
        <v>331874</v>
      </c>
      <c r="C162" s="12">
        <f t="shared" si="4"/>
        <v>1.231713417684452E-2</v>
      </c>
      <c r="D162" s="13">
        <f t="shared" si="5"/>
        <v>7.9591551265911317E-2</v>
      </c>
    </row>
    <row r="163" spans="1:4" x14ac:dyDescent="0.35">
      <c r="A163" s="10">
        <v>38353</v>
      </c>
      <c r="B163" s="15">
        <f>VLOOKUP(A163,Database!A:K,MATCH('Retail Sales'!$A$1,Database!$A$1:$K$1,),)</f>
        <v>328696</v>
      </c>
      <c r="C163" s="12">
        <f t="shared" si="4"/>
        <v>-9.575923392612859E-3</v>
      </c>
      <c r="D163" s="13">
        <f t="shared" si="5"/>
        <v>6.2867416427920098E-2</v>
      </c>
    </row>
    <row r="164" spans="1:4" x14ac:dyDescent="0.35">
      <c r="A164" s="11">
        <v>38384</v>
      </c>
      <c r="B164" s="15">
        <f>VLOOKUP(A164,Database!A:K,MATCH('Retail Sales'!$A$1,Database!$A$1:$K$1,),)</f>
        <v>333026</v>
      </c>
      <c r="C164" s="12">
        <f t="shared" si="4"/>
        <v>1.317326648331589E-2</v>
      </c>
      <c r="D164" s="13">
        <f t="shared" si="5"/>
        <v>6.9471696537815555E-2</v>
      </c>
    </row>
    <row r="165" spans="1:4" x14ac:dyDescent="0.35">
      <c r="A165" s="10">
        <v>38412</v>
      </c>
      <c r="B165" s="15">
        <f>VLOOKUP(A165,Database!A:K,MATCH('Retail Sales'!$A$1,Database!$A$1:$K$1,),)</f>
        <v>333581</v>
      </c>
      <c r="C165" s="12">
        <f t="shared" si="4"/>
        <v>1.6665365466960538E-3</v>
      </c>
      <c r="D165" s="13">
        <f t="shared" si="5"/>
        <v>5.2598197606906649E-2</v>
      </c>
    </row>
    <row r="166" spans="1:4" x14ac:dyDescent="0.35">
      <c r="A166" s="11">
        <v>38443</v>
      </c>
      <c r="B166" s="15">
        <f>VLOOKUP(A166,Database!A:K,MATCH('Retail Sales'!$A$1,Database!$A$1:$K$1,),)</f>
        <v>336583</v>
      </c>
      <c r="C166" s="12">
        <f t="shared" si="4"/>
        <v>8.999313510062024E-3</v>
      </c>
      <c r="D166" s="13">
        <f t="shared" si="5"/>
        <v>7.3588889739467714E-2</v>
      </c>
    </row>
    <row r="167" spans="1:4" x14ac:dyDescent="0.35">
      <c r="A167" s="10">
        <v>38473</v>
      </c>
      <c r="B167" s="15">
        <f>VLOOKUP(A167,Database!A:K,MATCH('Retail Sales'!$A$1,Database!$A$1:$K$1,),)</f>
        <v>334522</v>
      </c>
      <c r="C167" s="12">
        <f t="shared" si="4"/>
        <v>-6.1233039101796583E-3</v>
      </c>
      <c r="D167" s="13">
        <f t="shared" si="5"/>
        <v>4.8776664451160634E-2</v>
      </c>
    </row>
    <row r="168" spans="1:4" x14ac:dyDescent="0.35">
      <c r="A168" s="11">
        <v>38504</v>
      </c>
      <c r="B168" s="15">
        <f>VLOOKUP(A168,Database!A:K,MATCH('Retail Sales'!$A$1,Database!$A$1:$K$1,),)</f>
        <v>343998</v>
      </c>
      <c r="C168" s="12">
        <f t="shared" si="4"/>
        <v>2.8326985968037975E-2</v>
      </c>
      <c r="D168" s="13">
        <f t="shared" si="5"/>
        <v>9.2202769893128603E-2</v>
      </c>
    </row>
    <row r="169" spans="1:4" x14ac:dyDescent="0.35">
      <c r="A169" s="10">
        <v>38534</v>
      </c>
      <c r="B169" s="15">
        <f>VLOOKUP(A169,Database!A:K,MATCH('Retail Sales'!$A$1,Database!$A$1:$K$1,),)</f>
        <v>346576</v>
      </c>
      <c r="C169" s="12">
        <f t="shared" si="4"/>
        <v>7.4942296176140561E-3</v>
      </c>
      <c r="D169" s="13">
        <f t="shared" si="5"/>
        <v>8.7983324386515099E-2</v>
      </c>
    </row>
    <row r="170" spans="1:4" x14ac:dyDescent="0.35">
      <c r="A170" s="11">
        <v>38565</v>
      </c>
      <c r="B170" s="15">
        <f>VLOOKUP(A170,Database!A:K,MATCH('Retail Sales'!$A$1,Database!$A$1:$K$1,),)</f>
        <v>343307</v>
      </c>
      <c r="C170" s="12">
        <f t="shared" si="4"/>
        <v>-9.4322745948940499E-3</v>
      </c>
      <c r="D170" s="13">
        <f t="shared" si="5"/>
        <v>7.6275091934528194E-2</v>
      </c>
    </row>
    <row r="171" spans="1:4" x14ac:dyDescent="0.35">
      <c r="A171" s="10">
        <v>38596</v>
      </c>
      <c r="B171" s="15">
        <f>VLOOKUP(A171,Database!A:K,MATCH('Retail Sales'!$A$1,Database!$A$1:$K$1,),)</f>
        <v>343956</v>
      </c>
      <c r="C171" s="12">
        <f t="shared" si="4"/>
        <v>1.890436256761441E-3</v>
      </c>
      <c r="D171" s="13">
        <f t="shared" si="5"/>
        <v>5.9731520878457275E-2</v>
      </c>
    </row>
    <row r="172" spans="1:4" x14ac:dyDescent="0.35">
      <c r="A172" s="11">
        <v>38626</v>
      </c>
      <c r="B172" s="15">
        <f>VLOOKUP(A172,Database!A:K,MATCH('Retail Sales'!$A$1,Database!$A$1:$K$1,),)</f>
        <v>344097</v>
      </c>
      <c r="C172" s="12">
        <f t="shared" si="4"/>
        <v>4.0993615462442873E-4</v>
      </c>
      <c r="D172" s="13">
        <f t="shared" si="5"/>
        <v>5.312174817898023E-2</v>
      </c>
    </row>
    <row r="173" spans="1:4" x14ac:dyDescent="0.35">
      <c r="A173" s="10">
        <v>38657</v>
      </c>
      <c r="B173" s="15">
        <f>VLOOKUP(A173,Database!A:K,MATCH('Retail Sales'!$A$1,Database!$A$1:$K$1,),)</f>
        <v>347325</v>
      </c>
      <c r="C173" s="12">
        <f t="shared" si="4"/>
        <v>9.3810756850539242E-3</v>
      </c>
      <c r="D173" s="13">
        <f t="shared" si="5"/>
        <v>5.9447406630144341E-2</v>
      </c>
    </row>
    <row r="174" spans="1:4" x14ac:dyDescent="0.35">
      <c r="A174" s="11">
        <v>38687</v>
      </c>
      <c r="B174" s="15">
        <f>VLOOKUP(A174,Database!A:K,MATCH('Retail Sales'!$A$1,Database!$A$1:$K$1,),)</f>
        <v>347405</v>
      </c>
      <c r="C174" s="12">
        <f t="shared" si="4"/>
        <v>2.3033182178075289E-4</v>
      </c>
      <c r="D174" s="13">
        <f t="shared" si="5"/>
        <v>4.679788112355894E-2</v>
      </c>
    </row>
    <row r="175" spans="1:4" x14ac:dyDescent="0.35">
      <c r="A175" s="10">
        <v>38718</v>
      </c>
      <c r="B175" s="15">
        <f>VLOOKUP(A175,Database!A:K,MATCH('Retail Sales'!$A$1,Database!$A$1:$K$1,),)</f>
        <v>357331</v>
      </c>
      <c r="C175" s="12">
        <f t="shared" si="4"/>
        <v>2.8571839783537945E-2</v>
      </c>
      <c r="D175" s="13">
        <f t="shared" si="5"/>
        <v>8.7116971304792276E-2</v>
      </c>
    </row>
    <row r="176" spans="1:4" x14ac:dyDescent="0.35">
      <c r="A176" s="11">
        <v>38749</v>
      </c>
      <c r="B176" s="15">
        <f>VLOOKUP(A176,Database!A:K,MATCH('Retail Sales'!$A$1,Database!$A$1:$K$1,),)</f>
        <v>354706</v>
      </c>
      <c r="C176" s="12">
        <f t="shared" si="4"/>
        <v>-7.3461300586850848E-3</v>
      </c>
      <c r="D176" s="13">
        <f t="shared" si="5"/>
        <v>6.5100022220487289E-2</v>
      </c>
    </row>
    <row r="177" spans="1:4" x14ac:dyDescent="0.35">
      <c r="A177" s="10">
        <v>38777</v>
      </c>
      <c r="B177" s="15">
        <f>VLOOKUP(A177,Database!A:K,MATCH('Retail Sales'!$A$1,Database!$A$1:$K$1,),)</f>
        <v>355665</v>
      </c>
      <c r="C177" s="12">
        <f t="shared" si="4"/>
        <v>2.7036475278117652E-3</v>
      </c>
      <c r="D177" s="13">
        <f t="shared" si="5"/>
        <v>6.6202811311195778E-2</v>
      </c>
    </row>
    <row r="178" spans="1:4" x14ac:dyDescent="0.35">
      <c r="A178" s="11">
        <v>38808</v>
      </c>
      <c r="B178" s="15">
        <f>VLOOKUP(A178,Database!A:K,MATCH('Retail Sales'!$A$1,Database!$A$1:$K$1,),)</f>
        <v>357423</v>
      </c>
      <c r="C178" s="12">
        <f t="shared" si="4"/>
        <v>4.9428535278984434E-3</v>
      </c>
      <c r="D178" s="13">
        <f t="shared" si="5"/>
        <v>6.1916377238303774E-2</v>
      </c>
    </row>
    <row r="179" spans="1:4" x14ac:dyDescent="0.35">
      <c r="A179" s="10">
        <v>38838</v>
      </c>
      <c r="B179" s="15">
        <f>VLOOKUP(A179,Database!A:K,MATCH('Retail Sales'!$A$1,Database!$A$1:$K$1,),)</f>
        <v>356704</v>
      </c>
      <c r="C179" s="12">
        <f t="shared" si="4"/>
        <v>-2.0116220836375945E-3</v>
      </c>
      <c r="D179" s="13">
        <f t="shared" si="5"/>
        <v>6.6309540179719115E-2</v>
      </c>
    </row>
    <row r="180" spans="1:4" x14ac:dyDescent="0.35">
      <c r="A180" s="11">
        <v>38869</v>
      </c>
      <c r="B180" s="15">
        <f>VLOOKUP(A180,Database!A:K,MATCH('Retail Sales'!$A$1,Database!$A$1:$K$1,),)</f>
        <v>357879</v>
      </c>
      <c r="C180" s="12">
        <f t="shared" si="4"/>
        <v>3.2940477258455191E-3</v>
      </c>
      <c r="D180" s="13">
        <f t="shared" si="5"/>
        <v>4.0351978790574367E-2</v>
      </c>
    </row>
    <row r="181" spans="1:4" x14ac:dyDescent="0.35">
      <c r="A181" s="10">
        <v>38899</v>
      </c>
      <c r="B181" s="15">
        <f>VLOOKUP(A181,Database!A:K,MATCH('Retail Sales'!$A$1,Database!$A$1:$K$1,),)</f>
        <v>359006</v>
      </c>
      <c r="C181" s="12">
        <f t="shared" si="4"/>
        <v>3.1491090564129218E-3</v>
      </c>
      <c r="D181" s="13">
        <f t="shared" si="5"/>
        <v>3.586514934675223E-2</v>
      </c>
    </row>
    <row r="182" spans="1:4" x14ac:dyDescent="0.35">
      <c r="A182" s="11">
        <v>38930</v>
      </c>
      <c r="B182" s="15">
        <f>VLOOKUP(A182,Database!A:K,MATCH('Retail Sales'!$A$1,Database!$A$1:$K$1,),)</f>
        <v>360691</v>
      </c>
      <c r="C182" s="12">
        <f t="shared" si="4"/>
        <v>4.6935148716177443E-3</v>
      </c>
      <c r="D182" s="13">
        <f t="shared" si="5"/>
        <v>5.0636893509307994E-2</v>
      </c>
    </row>
    <row r="183" spans="1:4" x14ac:dyDescent="0.35">
      <c r="A183" s="10">
        <v>38961</v>
      </c>
      <c r="B183" s="15">
        <f>VLOOKUP(A183,Database!A:K,MATCH('Retail Sales'!$A$1,Database!$A$1:$K$1,),)</f>
        <v>358961</v>
      </c>
      <c r="C183" s="12">
        <f t="shared" si="4"/>
        <v>-4.7963492296730446E-3</v>
      </c>
      <c r="D183" s="13">
        <f t="shared" si="5"/>
        <v>4.3624765958436541E-2</v>
      </c>
    </row>
    <row r="184" spans="1:4" x14ac:dyDescent="0.35">
      <c r="A184" s="11">
        <v>38991</v>
      </c>
      <c r="B184" s="15">
        <f>VLOOKUP(A184,Database!A:K,MATCH('Retail Sales'!$A$1,Database!$A$1:$K$1,),)</f>
        <v>358462</v>
      </c>
      <c r="C184" s="12">
        <f t="shared" si="4"/>
        <v>-1.3901231610119204E-3</v>
      </c>
      <c r="D184" s="13">
        <f t="shared" si="5"/>
        <v>4.1746949261400129E-2</v>
      </c>
    </row>
    <row r="185" spans="1:4" x14ac:dyDescent="0.35">
      <c r="A185" s="10">
        <v>39022</v>
      </c>
      <c r="B185" s="15">
        <f>VLOOKUP(A185,Database!A:K,MATCH('Retail Sales'!$A$1,Database!$A$1:$K$1,),)</f>
        <v>359266</v>
      </c>
      <c r="C185" s="12">
        <f t="shared" si="4"/>
        <v>2.2429155670615018E-3</v>
      </c>
      <c r="D185" s="13">
        <f t="shared" si="5"/>
        <v>3.4379903548549633E-2</v>
      </c>
    </row>
    <row r="186" spans="1:4" x14ac:dyDescent="0.35">
      <c r="A186" s="11">
        <v>39052</v>
      </c>
      <c r="B186" s="15">
        <f>VLOOKUP(A186,Database!A:K,MATCH('Retail Sales'!$A$1,Database!$A$1:$K$1,),)</f>
        <v>363730</v>
      </c>
      <c r="C186" s="12">
        <f t="shared" si="4"/>
        <v>1.2425333875178838E-2</v>
      </c>
      <c r="D186" s="13">
        <f t="shared" si="5"/>
        <v>4.6991263798736346E-2</v>
      </c>
    </row>
    <row r="187" spans="1:4" x14ac:dyDescent="0.35">
      <c r="A187" s="10">
        <v>39083</v>
      </c>
      <c r="B187" s="15">
        <f>VLOOKUP(A187,Database!A:K,MATCH('Retail Sales'!$A$1,Database!$A$1:$K$1,),)</f>
        <v>363616</v>
      </c>
      <c r="C187" s="12">
        <f t="shared" si="4"/>
        <v>-3.1341929453165807E-4</v>
      </c>
      <c r="D187" s="13">
        <f t="shared" si="5"/>
        <v>1.7588734254794573E-2</v>
      </c>
    </row>
    <row r="188" spans="1:4" x14ac:dyDescent="0.35">
      <c r="A188" s="11">
        <v>39114</v>
      </c>
      <c r="B188" s="15">
        <f>VLOOKUP(A188,Database!A:K,MATCH('Retail Sales'!$A$1,Database!$A$1:$K$1,),)</f>
        <v>364006</v>
      </c>
      <c r="C188" s="12">
        <f t="shared" si="4"/>
        <v>1.0725600633635483E-3</v>
      </c>
      <c r="D188" s="13">
        <f t="shared" si="5"/>
        <v>2.6218896776485315E-2</v>
      </c>
    </row>
    <row r="189" spans="1:4" x14ac:dyDescent="0.35">
      <c r="A189" s="10">
        <v>39142</v>
      </c>
      <c r="B189" s="15">
        <f>VLOOKUP(A189,Database!A:K,MATCH('Retail Sales'!$A$1,Database!$A$1:$K$1,),)</f>
        <v>367158</v>
      </c>
      <c r="C189" s="12">
        <f t="shared" si="4"/>
        <v>8.6591979253089237E-3</v>
      </c>
      <c r="D189" s="13">
        <f t="shared" si="5"/>
        <v>3.2314115811226854E-2</v>
      </c>
    </row>
    <row r="190" spans="1:4" x14ac:dyDescent="0.35">
      <c r="A190" s="11">
        <v>39173</v>
      </c>
      <c r="B190" s="15">
        <f>VLOOKUP(A190,Database!A:K,MATCH('Retail Sales'!$A$1,Database!$A$1:$K$1,),)</f>
        <v>366187</v>
      </c>
      <c r="C190" s="12">
        <f t="shared" si="4"/>
        <v>-2.6446380032574533E-3</v>
      </c>
      <c r="D190" s="13">
        <f t="shared" si="5"/>
        <v>2.4519966538247399E-2</v>
      </c>
    </row>
    <row r="191" spans="1:4" x14ac:dyDescent="0.35">
      <c r="A191" s="10">
        <v>39203</v>
      </c>
      <c r="B191" s="15">
        <f>VLOOKUP(A191,Database!A:K,MATCH('Retail Sales'!$A$1,Database!$A$1:$K$1,),)</f>
        <v>370934</v>
      </c>
      <c r="C191" s="12">
        <f t="shared" si="4"/>
        <v>1.2963322018531516E-2</v>
      </c>
      <c r="D191" s="13">
        <f t="shared" si="5"/>
        <v>3.9893020543644027E-2</v>
      </c>
    </row>
    <row r="192" spans="1:4" x14ac:dyDescent="0.35">
      <c r="A192" s="11">
        <v>39234</v>
      </c>
      <c r="B192" s="15">
        <f>VLOOKUP(A192,Database!A:K,MATCH('Retail Sales'!$A$1,Database!$A$1:$K$1,),)</f>
        <v>368154</v>
      </c>
      <c r="C192" s="12">
        <f t="shared" si="4"/>
        <v>-7.4945947257463591E-3</v>
      </c>
      <c r="D192" s="13">
        <f t="shared" si="5"/>
        <v>2.8710821255228721E-2</v>
      </c>
    </row>
    <row r="193" spans="1:4" x14ac:dyDescent="0.35">
      <c r="A193" s="10">
        <v>39264</v>
      </c>
      <c r="B193" s="15">
        <f>VLOOKUP(A193,Database!A:K,MATCH('Retail Sales'!$A$1,Database!$A$1:$K$1,),)</f>
        <v>369614</v>
      </c>
      <c r="C193" s="12">
        <f t="shared" si="4"/>
        <v>3.9657317318296144E-3</v>
      </c>
      <c r="D193" s="13">
        <f t="shared" si="5"/>
        <v>2.9548252675442751E-2</v>
      </c>
    </row>
    <row r="194" spans="1:4" x14ac:dyDescent="0.35">
      <c r="A194" s="11">
        <v>39295</v>
      </c>
      <c r="B194" s="15">
        <f>VLOOKUP(A194,Database!A:K,MATCH('Retail Sales'!$A$1,Database!$A$1:$K$1,),)</f>
        <v>371358</v>
      </c>
      <c r="C194" s="12">
        <f t="shared" si="4"/>
        <v>4.7184359899787344E-3</v>
      </c>
      <c r="D194" s="13">
        <f t="shared" si="5"/>
        <v>2.9573790308047607E-2</v>
      </c>
    </row>
    <row r="195" spans="1:4" x14ac:dyDescent="0.35">
      <c r="A195" s="10">
        <v>39326</v>
      </c>
      <c r="B195" s="15">
        <f>VLOOKUP(A195,Database!A:K,MATCH('Retail Sales'!$A$1,Database!$A$1:$K$1,),)</f>
        <v>372869</v>
      </c>
      <c r="C195" s="12">
        <f t="shared" si="4"/>
        <v>4.0688500045777927E-3</v>
      </c>
      <c r="D195" s="13">
        <f t="shared" si="5"/>
        <v>3.8745156159025636E-2</v>
      </c>
    </row>
    <row r="196" spans="1:4" x14ac:dyDescent="0.35">
      <c r="A196" s="11">
        <v>39356</v>
      </c>
      <c r="B196" s="15">
        <f>VLOOKUP(A196,Database!A:K,MATCH('Retail Sales'!$A$1,Database!$A$1:$K$1,),)</f>
        <v>375289</v>
      </c>
      <c r="C196" s="12">
        <f t="shared" si="4"/>
        <v>6.4902150621263767E-3</v>
      </c>
      <c r="D196" s="13">
        <f t="shared" si="5"/>
        <v>4.6942214237492397E-2</v>
      </c>
    </row>
    <row r="197" spans="1:4" x14ac:dyDescent="0.35">
      <c r="A197" s="10">
        <v>39387</v>
      </c>
      <c r="B197" s="15">
        <f>VLOOKUP(A197,Database!A:K,MATCH('Retail Sales'!$A$1,Database!$A$1:$K$1,),)</f>
        <v>378860</v>
      </c>
      <c r="C197" s="12">
        <f t="shared" si="4"/>
        <v>9.5153335163034349E-3</v>
      </c>
      <c r="D197" s="13">
        <f t="shared" si="5"/>
        <v>5.4538976691365169E-2</v>
      </c>
    </row>
    <row r="198" spans="1:4" x14ac:dyDescent="0.35">
      <c r="A198" s="11">
        <v>39417</v>
      </c>
      <c r="B198" s="15">
        <f>VLOOKUP(A198,Database!A:K,MATCH('Retail Sales'!$A$1,Database!$A$1:$K$1,),)</f>
        <v>374298</v>
      </c>
      <c r="C198" s="12">
        <f t="shared" si="4"/>
        <v>-1.20413873198543E-2</v>
      </c>
      <c r="D198" s="13">
        <f t="shared" si="5"/>
        <v>2.9054518461496166E-2</v>
      </c>
    </row>
    <row r="199" spans="1:4" x14ac:dyDescent="0.35">
      <c r="A199" s="10">
        <v>39448</v>
      </c>
      <c r="B199" s="15">
        <f>VLOOKUP(A199,Database!A:K,MATCH('Retail Sales'!$A$1,Database!$A$1:$K$1,),)</f>
        <v>375236</v>
      </c>
      <c r="C199" s="12">
        <f t="shared" si="4"/>
        <v>2.506024611405885E-3</v>
      </c>
      <c r="D199" s="13">
        <f t="shared" si="5"/>
        <v>3.1956789580216492E-2</v>
      </c>
    </row>
    <row r="200" spans="1:4" x14ac:dyDescent="0.35">
      <c r="A200" s="11">
        <v>39479</v>
      </c>
      <c r="B200" s="15">
        <f>VLOOKUP(A200,Database!A:K,MATCH('Retail Sales'!$A$1,Database!$A$1:$K$1,),)</f>
        <v>371833</v>
      </c>
      <c r="C200" s="12">
        <f t="shared" ref="C200:C263" si="6">(B200-B199)/B199</f>
        <v>-9.0689592683004822E-3</v>
      </c>
      <c r="D200" s="13">
        <f t="shared" si="5"/>
        <v>2.1502392817700808E-2</v>
      </c>
    </row>
    <row r="201" spans="1:4" x14ac:dyDescent="0.35">
      <c r="A201" s="10">
        <v>39508</v>
      </c>
      <c r="B201" s="15">
        <f>VLOOKUP(A201,Database!A:K,MATCH('Retail Sales'!$A$1,Database!$A$1:$K$1,),)</f>
        <v>372745</v>
      </c>
      <c r="C201" s="12">
        <f t="shared" si="6"/>
        <v>2.4527139871931753E-3</v>
      </c>
      <c r="D201" s="13">
        <f t="shared" si="5"/>
        <v>1.521688210525169E-2</v>
      </c>
    </row>
    <row r="202" spans="1:4" x14ac:dyDescent="0.35">
      <c r="A202" s="11">
        <v>39539</v>
      </c>
      <c r="B202" s="15">
        <f>VLOOKUP(A202,Database!A:K,MATCH('Retail Sales'!$A$1,Database!$A$1:$K$1,),)</f>
        <v>372572</v>
      </c>
      <c r="C202" s="12">
        <f t="shared" si="6"/>
        <v>-4.6412426726045959E-4</v>
      </c>
      <c r="D202" s="13">
        <f t="shared" si="5"/>
        <v>1.7436446405798129E-2</v>
      </c>
    </row>
    <row r="203" spans="1:4" x14ac:dyDescent="0.35">
      <c r="A203" s="10">
        <v>39569</v>
      </c>
      <c r="B203" s="15">
        <f>VLOOKUP(A203,Database!A:K,MATCH('Retail Sales'!$A$1,Database!$A$1:$K$1,),)</f>
        <v>376036</v>
      </c>
      <c r="C203" s="12">
        <f t="shared" si="6"/>
        <v>9.297531752251913E-3</v>
      </c>
      <c r="D203" s="13">
        <f t="shared" si="5"/>
        <v>1.3754468449912922E-2</v>
      </c>
    </row>
    <row r="204" spans="1:4" x14ac:dyDescent="0.35">
      <c r="A204" s="11">
        <v>39600</v>
      </c>
      <c r="B204" s="15">
        <f>VLOOKUP(A204,Database!A:K,MATCH('Retail Sales'!$A$1,Database!$A$1:$K$1,),)</f>
        <v>376455</v>
      </c>
      <c r="C204" s="12">
        <f t="shared" si="6"/>
        <v>1.1142550181365615E-3</v>
      </c>
      <c r="D204" s="13">
        <f t="shared" si="5"/>
        <v>2.2547629524601119E-2</v>
      </c>
    </row>
    <row r="205" spans="1:4" x14ac:dyDescent="0.35">
      <c r="A205" s="10">
        <v>39630</v>
      </c>
      <c r="B205" s="15">
        <f>VLOOKUP(A205,Database!A:K,MATCH('Retail Sales'!$A$1,Database!$A$1:$K$1,),)</f>
        <v>375038</v>
      </c>
      <c r="C205" s="12">
        <f t="shared" si="6"/>
        <v>-3.7640621056965638E-3</v>
      </c>
      <c r="D205" s="13">
        <f t="shared" si="5"/>
        <v>1.4674768812869643E-2</v>
      </c>
    </row>
    <row r="206" spans="1:4" x14ac:dyDescent="0.35">
      <c r="A206" s="11">
        <v>39661</v>
      </c>
      <c r="B206" s="15">
        <f>VLOOKUP(A206,Database!A:K,MATCH('Retail Sales'!$A$1,Database!$A$1:$K$1,),)</f>
        <v>372284</v>
      </c>
      <c r="C206" s="12">
        <f t="shared" si="6"/>
        <v>-7.3432558834038153E-3</v>
      </c>
      <c r="D206" s="13">
        <f t="shared" si="5"/>
        <v>2.493550697709488E-3</v>
      </c>
    </row>
    <row r="207" spans="1:4" x14ac:dyDescent="0.35">
      <c r="A207" s="10">
        <v>39692</v>
      </c>
      <c r="B207" s="15">
        <f>VLOOKUP(A207,Database!A:K,MATCH('Retail Sales'!$A$1,Database!$A$1:$K$1,),)</f>
        <v>366729</v>
      </c>
      <c r="C207" s="12">
        <f t="shared" si="6"/>
        <v>-1.492140408935114E-2</v>
      </c>
      <c r="D207" s="13">
        <f t="shared" si="5"/>
        <v>-1.6466909289857831E-2</v>
      </c>
    </row>
    <row r="208" spans="1:4" x14ac:dyDescent="0.35">
      <c r="A208" s="11">
        <v>39722</v>
      </c>
      <c r="B208" s="15">
        <f>VLOOKUP(A208,Database!A:K,MATCH('Retail Sales'!$A$1,Database!$A$1:$K$1,),)</f>
        <v>352950</v>
      </c>
      <c r="C208" s="12">
        <f t="shared" si="6"/>
        <v>-3.7572703549487496E-2</v>
      </c>
      <c r="D208" s="13">
        <f t="shared" si="5"/>
        <v>-5.9524792892943837E-2</v>
      </c>
    </row>
    <row r="209" spans="1:4" x14ac:dyDescent="0.35">
      <c r="A209" s="10">
        <v>39753</v>
      </c>
      <c r="B209" s="15">
        <f>VLOOKUP(A209,Database!A:K,MATCH('Retail Sales'!$A$1,Database!$A$1:$K$1,),)</f>
        <v>339350</v>
      </c>
      <c r="C209" s="12">
        <f t="shared" si="6"/>
        <v>-3.8532370024082732E-2</v>
      </c>
      <c r="D209" s="13">
        <f t="shared" si="5"/>
        <v>-0.10428654384205248</v>
      </c>
    </row>
    <row r="210" spans="1:4" x14ac:dyDescent="0.35">
      <c r="A210" s="11">
        <v>39783</v>
      </c>
      <c r="B210" s="15">
        <f>VLOOKUP(A210,Database!A:K,MATCH('Retail Sales'!$A$1,Database!$A$1:$K$1,),)</f>
        <v>332091</v>
      </c>
      <c r="C210" s="12">
        <f t="shared" si="6"/>
        <v>-2.1390894356858699E-2</v>
      </c>
      <c r="D210" s="13">
        <f t="shared" si="5"/>
        <v>-0.11276309250917718</v>
      </c>
    </row>
    <row r="211" spans="1:4" x14ac:dyDescent="0.35">
      <c r="A211" s="10">
        <v>39814</v>
      </c>
      <c r="B211" s="15">
        <f>VLOOKUP(A211,Database!A:K,MATCH('Retail Sales'!$A$1,Database!$A$1:$K$1,),)</f>
        <v>336929</v>
      </c>
      <c r="C211" s="12">
        <f t="shared" si="6"/>
        <v>1.4568296039338615E-2</v>
      </c>
      <c r="D211" s="13">
        <f t="shared" ref="D211:D274" si="7">(B211-B199)/B199</f>
        <v>-0.10208775277425407</v>
      </c>
    </row>
    <row r="212" spans="1:4" x14ac:dyDescent="0.35">
      <c r="A212" s="11">
        <v>39845</v>
      </c>
      <c r="B212" s="15">
        <f>VLOOKUP(A212,Database!A:K,MATCH('Retail Sales'!$A$1,Database!$A$1:$K$1,),)</f>
        <v>335576</v>
      </c>
      <c r="C212" s="12">
        <f t="shared" si="6"/>
        <v>-4.0156828293201234E-3</v>
      </c>
      <c r="D212" s="13">
        <f t="shared" si="7"/>
        <v>-9.7508827887788335E-2</v>
      </c>
    </row>
    <row r="213" spans="1:4" x14ac:dyDescent="0.35">
      <c r="A213" s="10">
        <v>39873</v>
      </c>
      <c r="B213" s="15">
        <f>VLOOKUP(A213,Database!A:K,MATCH('Retail Sales'!$A$1,Database!$A$1:$K$1,),)</f>
        <v>329747</v>
      </c>
      <c r="C213" s="12">
        <f t="shared" si="6"/>
        <v>-1.7370133740195963E-2</v>
      </c>
      <c r="D213" s="13">
        <f t="shared" si="7"/>
        <v>-0.1153550014084696</v>
      </c>
    </row>
    <row r="214" spans="1:4" x14ac:dyDescent="0.35">
      <c r="A214" s="11">
        <v>39904</v>
      </c>
      <c r="B214" s="15">
        <f>VLOOKUP(A214,Database!A:K,MATCH('Retail Sales'!$A$1,Database!$A$1:$K$1,),)</f>
        <v>331352</v>
      </c>
      <c r="C214" s="12">
        <f t="shared" si="6"/>
        <v>4.8673680124459058E-3</v>
      </c>
      <c r="D214" s="13">
        <f t="shared" si="7"/>
        <v>-0.11063633337985677</v>
      </c>
    </row>
    <row r="215" spans="1:4" x14ac:dyDescent="0.35">
      <c r="A215" s="10">
        <v>39934</v>
      </c>
      <c r="B215" s="15">
        <f>VLOOKUP(A215,Database!A:K,MATCH('Retail Sales'!$A$1,Database!$A$1:$K$1,),)</f>
        <v>334256</v>
      </c>
      <c r="C215" s="12">
        <f t="shared" si="6"/>
        <v>8.7640937733890235E-3</v>
      </c>
      <c r="D215" s="13">
        <f t="shared" si="7"/>
        <v>-0.11110638343137359</v>
      </c>
    </row>
    <row r="216" spans="1:4" x14ac:dyDescent="0.35">
      <c r="A216" s="11">
        <v>39965</v>
      </c>
      <c r="B216" s="15">
        <f>VLOOKUP(A216,Database!A:K,MATCH('Retail Sales'!$A$1,Database!$A$1:$K$1,),)</f>
        <v>339883</v>
      </c>
      <c r="C216" s="12">
        <f t="shared" si="6"/>
        <v>1.6834402374228136E-2</v>
      </c>
      <c r="D216" s="13">
        <f t="shared" si="7"/>
        <v>-9.7148397550836083E-2</v>
      </c>
    </row>
    <row r="217" spans="1:4" x14ac:dyDescent="0.35">
      <c r="A217" s="10">
        <v>39995</v>
      </c>
      <c r="B217" s="15">
        <f>VLOOKUP(A217,Database!A:K,MATCH('Retail Sales'!$A$1,Database!$A$1:$K$1,),)</f>
        <v>340517</v>
      </c>
      <c r="C217" s="12">
        <f t="shared" si="6"/>
        <v>1.8653477814424375E-3</v>
      </c>
      <c r="D217" s="13">
        <f t="shared" si="7"/>
        <v>-9.2046672603842805E-2</v>
      </c>
    </row>
    <row r="218" spans="1:4" x14ac:dyDescent="0.35">
      <c r="A218" s="11">
        <v>40026</v>
      </c>
      <c r="B218" s="15">
        <f>VLOOKUP(A218,Database!A:K,MATCH('Retail Sales'!$A$1,Database!$A$1:$K$1,),)</f>
        <v>346668</v>
      </c>
      <c r="C218" s="12">
        <f t="shared" si="6"/>
        <v>1.8063709007186131E-2</v>
      </c>
      <c r="D218" s="13">
        <f t="shared" si="7"/>
        <v>-6.8807684455952978E-2</v>
      </c>
    </row>
    <row r="219" spans="1:4" x14ac:dyDescent="0.35">
      <c r="A219" s="10">
        <v>40057</v>
      </c>
      <c r="B219" s="15">
        <f>VLOOKUP(A219,Database!A:K,MATCH('Retail Sales'!$A$1,Database!$A$1:$K$1,),)</f>
        <v>338507</v>
      </c>
      <c r="C219" s="12">
        <f t="shared" si="6"/>
        <v>-2.3541255610555343E-2</v>
      </c>
      <c r="D219" s="13">
        <f t="shared" si="7"/>
        <v>-7.6956008387665004E-2</v>
      </c>
    </row>
    <row r="220" spans="1:4" x14ac:dyDescent="0.35">
      <c r="A220" s="11">
        <v>40087</v>
      </c>
      <c r="B220" s="15">
        <f>VLOOKUP(A220,Database!A:K,MATCH('Retail Sales'!$A$1,Database!$A$1:$K$1,),)</f>
        <v>341654</v>
      </c>
      <c r="C220" s="12">
        <f t="shared" si="6"/>
        <v>9.2967058288307182E-3</v>
      </c>
      <c r="D220" s="13">
        <f t="shared" si="7"/>
        <v>-3.200453322000283E-2</v>
      </c>
    </row>
    <row r="221" spans="1:4" x14ac:dyDescent="0.35">
      <c r="A221" s="10">
        <v>40118</v>
      </c>
      <c r="B221" s="15">
        <f>VLOOKUP(A221,Database!A:K,MATCH('Retail Sales'!$A$1,Database!$A$1:$K$1,),)</f>
        <v>344375</v>
      </c>
      <c r="C221" s="12">
        <f t="shared" si="6"/>
        <v>7.9641976970853557E-3</v>
      </c>
      <c r="D221" s="13">
        <f t="shared" si="7"/>
        <v>1.4807720642404596E-2</v>
      </c>
    </row>
    <row r="222" spans="1:4" x14ac:dyDescent="0.35">
      <c r="A222" s="11">
        <v>40148</v>
      </c>
      <c r="B222" s="15">
        <f>VLOOKUP(A222,Database!A:K,MATCH('Retail Sales'!$A$1,Database!$A$1:$K$1,),)</f>
        <v>346072</v>
      </c>
      <c r="C222" s="12">
        <f t="shared" si="6"/>
        <v>4.9277676950998184E-3</v>
      </c>
      <c r="D222" s="13">
        <f t="shared" si="7"/>
        <v>4.2099906350970065E-2</v>
      </c>
    </row>
    <row r="223" spans="1:4" x14ac:dyDescent="0.35">
      <c r="A223" s="10">
        <v>40179</v>
      </c>
      <c r="B223" s="15">
        <f>VLOOKUP(A223,Database!A:K,MATCH('Retail Sales'!$A$1,Database!$A$1:$K$1,),)</f>
        <v>346043</v>
      </c>
      <c r="C223" s="12">
        <f t="shared" si="6"/>
        <v>-8.3797591252687297E-5</v>
      </c>
      <c r="D223" s="13">
        <f t="shared" si="7"/>
        <v>2.7050209391296088E-2</v>
      </c>
    </row>
    <row r="224" spans="1:4" x14ac:dyDescent="0.35">
      <c r="A224" s="11">
        <v>40210</v>
      </c>
      <c r="B224" s="15">
        <f>VLOOKUP(A224,Database!A:K,MATCH('Retail Sales'!$A$1,Database!$A$1:$K$1,),)</f>
        <v>346835</v>
      </c>
      <c r="C224" s="12">
        <f t="shared" si="6"/>
        <v>2.2887329031363152E-3</v>
      </c>
      <c r="D224" s="13">
        <f t="shared" si="7"/>
        <v>3.3551267075118602E-2</v>
      </c>
    </row>
    <row r="225" spans="1:4" x14ac:dyDescent="0.35">
      <c r="A225" s="10">
        <v>40238</v>
      </c>
      <c r="B225" s="15">
        <f>VLOOKUP(A225,Database!A:K,MATCH('Retail Sales'!$A$1,Database!$A$1:$K$1,),)</f>
        <v>354360</v>
      </c>
      <c r="C225" s="12">
        <f t="shared" si="6"/>
        <v>2.1696195597330142E-2</v>
      </c>
      <c r="D225" s="13">
        <f t="shared" si="7"/>
        <v>7.4642074074972628E-2</v>
      </c>
    </row>
    <row r="226" spans="1:4" x14ac:dyDescent="0.35">
      <c r="A226" s="11">
        <v>40269</v>
      </c>
      <c r="B226" s="15">
        <f>VLOOKUP(A226,Database!A:K,MATCH('Retail Sales'!$A$1,Database!$A$1:$K$1,),)</f>
        <v>357461</v>
      </c>
      <c r="C226" s="12">
        <f t="shared" si="6"/>
        <v>8.7509876961282314E-3</v>
      </c>
      <c r="D226" s="13">
        <f t="shared" si="7"/>
        <v>7.8795359617566813E-2</v>
      </c>
    </row>
    <row r="227" spans="1:4" x14ac:dyDescent="0.35">
      <c r="A227" s="10">
        <v>40299</v>
      </c>
      <c r="B227" s="15">
        <f>VLOOKUP(A227,Database!A:K,MATCH('Retail Sales'!$A$1,Database!$A$1:$K$1,),)</f>
        <v>354255</v>
      </c>
      <c r="C227" s="12">
        <f t="shared" si="6"/>
        <v>-8.9688105835321903E-3</v>
      </c>
      <c r="D227" s="13">
        <f t="shared" si="7"/>
        <v>5.983138672155474E-2</v>
      </c>
    </row>
    <row r="228" spans="1:4" x14ac:dyDescent="0.35">
      <c r="A228" s="11">
        <v>40330</v>
      </c>
      <c r="B228" s="15">
        <f>VLOOKUP(A228,Database!A:K,MATCH('Retail Sales'!$A$1,Database!$A$1:$K$1,),)</f>
        <v>353766</v>
      </c>
      <c r="C228" s="12">
        <f t="shared" si="6"/>
        <v>-1.380361603929373E-3</v>
      </c>
      <c r="D228" s="13">
        <f t="shared" si="7"/>
        <v>4.0846408911301833E-2</v>
      </c>
    </row>
    <row r="229" spans="1:4" x14ac:dyDescent="0.35">
      <c r="A229" s="10">
        <v>40360</v>
      </c>
      <c r="B229" s="15">
        <f>VLOOKUP(A229,Database!A:K,MATCH('Retail Sales'!$A$1,Database!$A$1:$K$1,),)</f>
        <v>354844</v>
      </c>
      <c r="C229" s="12">
        <f t="shared" si="6"/>
        <v>3.0472119988919229E-3</v>
      </c>
      <c r="D229" s="13">
        <f t="shared" si="7"/>
        <v>4.2074257672891517E-2</v>
      </c>
    </row>
    <row r="230" spans="1:4" x14ac:dyDescent="0.35">
      <c r="A230" s="11">
        <v>40391</v>
      </c>
      <c r="B230" s="15">
        <f>VLOOKUP(A230,Database!A:K,MATCH('Retail Sales'!$A$1,Database!$A$1:$K$1,),)</f>
        <v>356610</v>
      </c>
      <c r="C230" s="12">
        <f t="shared" si="6"/>
        <v>4.9768348908252637E-3</v>
      </c>
      <c r="D230" s="13">
        <f t="shared" si="7"/>
        <v>2.8678735851015956E-2</v>
      </c>
    </row>
    <row r="231" spans="1:4" x14ac:dyDescent="0.35">
      <c r="A231" s="10">
        <v>40422</v>
      </c>
      <c r="B231" s="15">
        <f>VLOOKUP(A231,Database!A:K,MATCH('Retail Sales'!$A$1,Database!$A$1:$K$1,),)</f>
        <v>359646</v>
      </c>
      <c r="C231" s="12">
        <f t="shared" si="6"/>
        <v>8.5135021452006389E-3</v>
      </c>
      <c r="D231" s="13">
        <f t="shared" si="7"/>
        <v>6.2447748495599795E-2</v>
      </c>
    </row>
    <row r="232" spans="1:4" x14ac:dyDescent="0.35">
      <c r="A232" s="11">
        <v>40452</v>
      </c>
      <c r="B232" s="15">
        <f>VLOOKUP(A232,Database!A:K,MATCH('Retail Sales'!$A$1,Database!$A$1:$K$1,),)</f>
        <v>363577</v>
      </c>
      <c r="C232" s="12">
        <f t="shared" si="6"/>
        <v>1.0930192467037031E-2</v>
      </c>
      <c r="D232" s="13">
        <f t="shared" si="7"/>
        <v>6.4167256932452135E-2</v>
      </c>
    </row>
    <row r="233" spans="1:4" x14ac:dyDescent="0.35">
      <c r="A233" s="10">
        <v>40483</v>
      </c>
      <c r="B233" s="15">
        <f>VLOOKUP(A233,Database!A:K,MATCH('Retail Sales'!$A$1,Database!$A$1:$K$1,),)</f>
        <v>367198</v>
      </c>
      <c r="C233" s="12">
        <f t="shared" si="6"/>
        <v>9.9593758681104684E-3</v>
      </c>
      <c r="D233" s="13">
        <f t="shared" si="7"/>
        <v>6.6273684210526318E-2</v>
      </c>
    </row>
    <row r="234" spans="1:4" x14ac:dyDescent="0.35">
      <c r="A234" s="11">
        <v>40513</v>
      </c>
      <c r="B234" s="15">
        <f>VLOOKUP(A234,Database!A:K,MATCH('Retail Sales'!$A$1,Database!$A$1:$K$1,),)</f>
        <v>369229</v>
      </c>
      <c r="C234" s="12">
        <f t="shared" si="6"/>
        <v>5.5310758773195936E-3</v>
      </c>
      <c r="D234" s="13">
        <f t="shared" si="7"/>
        <v>6.6913821401326887E-2</v>
      </c>
    </row>
    <row r="235" spans="1:4" x14ac:dyDescent="0.35">
      <c r="A235" s="10">
        <v>40544</v>
      </c>
      <c r="B235" s="15">
        <f>VLOOKUP(A235,Database!A:K,MATCH('Retail Sales'!$A$1,Database!$A$1:$K$1,),)</f>
        <v>372025</v>
      </c>
      <c r="C235" s="12">
        <f t="shared" si="6"/>
        <v>7.5725362850696991E-3</v>
      </c>
      <c r="D235" s="13">
        <f t="shared" si="7"/>
        <v>7.5083154405666347E-2</v>
      </c>
    </row>
    <row r="236" spans="1:4" x14ac:dyDescent="0.35">
      <c r="A236" s="11">
        <v>40575</v>
      </c>
      <c r="B236" s="15">
        <f>VLOOKUP(A236,Database!A:K,MATCH('Retail Sales'!$A$1,Database!$A$1:$K$1,),)</f>
        <v>375064</v>
      </c>
      <c r="C236" s="12">
        <f t="shared" si="6"/>
        <v>8.1688058598212484E-3</v>
      </c>
      <c r="D236" s="13">
        <f t="shared" si="7"/>
        <v>8.1390286447446197E-2</v>
      </c>
    </row>
    <row r="237" spans="1:4" x14ac:dyDescent="0.35">
      <c r="A237" s="10">
        <v>40603</v>
      </c>
      <c r="B237" s="15">
        <f>VLOOKUP(A237,Database!A:K,MATCH('Retail Sales'!$A$1,Database!$A$1:$K$1,),)</f>
        <v>378576</v>
      </c>
      <c r="C237" s="12">
        <f t="shared" si="6"/>
        <v>9.3637352558496676E-3</v>
      </c>
      <c r="D237" s="13">
        <f t="shared" si="7"/>
        <v>6.8337284117846259E-2</v>
      </c>
    </row>
    <row r="238" spans="1:4" x14ac:dyDescent="0.35">
      <c r="A238" s="11">
        <v>40634</v>
      </c>
      <c r="B238" s="15">
        <f>VLOOKUP(A238,Database!A:K,MATCH('Retail Sales'!$A$1,Database!$A$1:$K$1,),)</f>
        <v>380337</v>
      </c>
      <c r="C238" s="12">
        <f t="shared" si="6"/>
        <v>4.6516419424369217E-3</v>
      </c>
      <c r="D238" s="13">
        <f t="shared" si="7"/>
        <v>6.399579254799824E-2</v>
      </c>
    </row>
    <row r="239" spans="1:4" x14ac:dyDescent="0.35">
      <c r="A239" s="10">
        <v>40664</v>
      </c>
      <c r="B239" s="15">
        <f>VLOOKUP(A239,Database!A:K,MATCH('Retail Sales'!$A$1,Database!$A$1:$K$1,),)</f>
        <v>380219</v>
      </c>
      <c r="C239" s="12">
        <f t="shared" si="6"/>
        <v>-3.1025117198694844E-4</v>
      </c>
      <c r="D239" s="13">
        <f t="shared" si="7"/>
        <v>7.3291837800454479E-2</v>
      </c>
    </row>
    <row r="240" spans="1:4" x14ac:dyDescent="0.35">
      <c r="A240" s="11">
        <v>40695</v>
      </c>
      <c r="B240" s="15">
        <f>VLOOKUP(A240,Database!A:K,MATCH('Retail Sales'!$A$1,Database!$A$1:$K$1,),)</f>
        <v>383327</v>
      </c>
      <c r="C240" s="12">
        <f t="shared" si="6"/>
        <v>8.1742364269013386E-3</v>
      </c>
      <c r="D240" s="13">
        <f t="shared" si="7"/>
        <v>8.3560884878705138E-2</v>
      </c>
    </row>
    <row r="241" spans="1:4" x14ac:dyDescent="0.35">
      <c r="A241" s="10">
        <v>40725</v>
      </c>
      <c r="B241" s="15">
        <f>VLOOKUP(A241,Database!A:K,MATCH('Retail Sales'!$A$1,Database!$A$1:$K$1,),)</f>
        <v>382954</v>
      </c>
      <c r="C241" s="12">
        <f t="shared" si="6"/>
        <v>-9.7305955489699399E-4</v>
      </c>
      <c r="D241" s="13">
        <f t="shared" si="7"/>
        <v>7.9217909842071443E-2</v>
      </c>
    </row>
    <row r="242" spans="1:4" x14ac:dyDescent="0.35">
      <c r="A242" s="11">
        <v>40756</v>
      </c>
      <c r="B242" s="15">
        <f>VLOOKUP(A242,Database!A:K,MATCH('Retail Sales'!$A$1,Database!$A$1:$K$1,),)</f>
        <v>383839</v>
      </c>
      <c r="C242" s="12">
        <f t="shared" si="6"/>
        <v>2.3109825200937971E-3</v>
      </c>
      <c r="D242" s="13">
        <f t="shared" si="7"/>
        <v>7.6355121841787943E-2</v>
      </c>
    </row>
    <row r="243" spans="1:4" x14ac:dyDescent="0.35">
      <c r="A243" s="10">
        <v>40787</v>
      </c>
      <c r="B243" s="15">
        <f>VLOOKUP(A243,Database!A:K,MATCH('Retail Sales'!$A$1,Database!$A$1:$K$1,),)</f>
        <v>387758</v>
      </c>
      <c r="C243" s="12">
        <f t="shared" si="6"/>
        <v>1.0210009926036698E-2</v>
      </c>
      <c r="D243" s="13">
        <f t="shared" si="7"/>
        <v>7.8165751878235823E-2</v>
      </c>
    </row>
    <row r="244" spans="1:4" x14ac:dyDescent="0.35">
      <c r="A244" s="11">
        <v>40817</v>
      </c>
      <c r="B244" s="15">
        <f>VLOOKUP(A244,Database!A:K,MATCH('Retail Sales'!$A$1,Database!$A$1:$K$1,),)</f>
        <v>390104</v>
      </c>
      <c r="C244" s="12">
        <f t="shared" si="6"/>
        <v>6.0501653092908461E-3</v>
      </c>
      <c r="D244" s="13">
        <f t="shared" si="7"/>
        <v>7.2961160909518485E-2</v>
      </c>
    </row>
    <row r="245" spans="1:4" x14ac:dyDescent="0.35">
      <c r="A245" s="10">
        <v>40848</v>
      </c>
      <c r="B245" s="15">
        <f>VLOOKUP(A245,Database!A:K,MATCH('Retail Sales'!$A$1,Database!$A$1:$K$1,),)</f>
        <v>391393</v>
      </c>
      <c r="C245" s="12">
        <f t="shared" si="6"/>
        <v>3.3042470725755183E-3</v>
      </c>
      <c r="D245" s="13">
        <f t="shared" si="7"/>
        <v>6.5890881758615238E-2</v>
      </c>
    </row>
    <row r="246" spans="1:4" x14ac:dyDescent="0.35">
      <c r="A246" s="11">
        <v>40878</v>
      </c>
      <c r="B246" s="15">
        <f>VLOOKUP(A246,Database!A:K,MATCH('Retail Sales'!$A$1,Database!$A$1:$K$1,),)</f>
        <v>391585</v>
      </c>
      <c r="C246" s="12">
        <f t="shared" si="6"/>
        <v>4.9055552858635692E-4</v>
      </c>
      <c r="D246" s="13">
        <f t="shared" si="7"/>
        <v>6.054779012482768E-2</v>
      </c>
    </row>
    <row r="247" spans="1:4" x14ac:dyDescent="0.35">
      <c r="A247" s="10">
        <v>40909</v>
      </c>
      <c r="B247" s="15">
        <f>VLOOKUP(A247,Database!A:K,MATCH('Retail Sales'!$A$1,Database!$A$1:$K$1,),)</f>
        <v>395641</v>
      </c>
      <c r="C247" s="12">
        <f t="shared" si="6"/>
        <v>1.0357904414111878E-2</v>
      </c>
      <c r="D247" s="13">
        <f t="shared" si="7"/>
        <v>6.3479604865264425E-2</v>
      </c>
    </row>
    <row r="248" spans="1:4" x14ac:dyDescent="0.35">
      <c r="A248" s="11">
        <v>40940</v>
      </c>
      <c r="B248" s="15">
        <f>VLOOKUP(A248,Database!A:K,MATCH('Retail Sales'!$A$1,Database!$A$1:$K$1,),)</f>
        <v>400385</v>
      </c>
      <c r="C248" s="12">
        <f t="shared" si="6"/>
        <v>1.1990668307885179E-2</v>
      </c>
      <c r="D248" s="13">
        <f t="shared" si="7"/>
        <v>6.7511144764626843E-2</v>
      </c>
    </row>
    <row r="249" spans="1:4" x14ac:dyDescent="0.35">
      <c r="A249" s="10">
        <v>40969</v>
      </c>
      <c r="B249" s="15">
        <f>VLOOKUP(A249,Database!A:K,MATCH('Retail Sales'!$A$1,Database!$A$1:$K$1,),)</f>
        <v>401654</v>
      </c>
      <c r="C249" s="12">
        <f t="shared" si="6"/>
        <v>3.1694494049477376E-3</v>
      </c>
      <c r="D249" s="13">
        <f t="shared" si="7"/>
        <v>6.0960018596001857E-2</v>
      </c>
    </row>
    <row r="250" spans="1:4" x14ac:dyDescent="0.35">
      <c r="A250" s="11">
        <v>41000</v>
      </c>
      <c r="B250" s="15">
        <f>VLOOKUP(A250,Database!A:K,MATCH('Retail Sales'!$A$1,Database!$A$1:$K$1,),)</f>
        <v>400237</v>
      </c>
      <c r="C250" s="12">
        <f t="shared" si="6"/>
        <v>-3.5279120835345844E-3</v>
      </c>
      <c r="D250" s="13">
        <f t="shared" si="7"/>
        <v>5.2322019682544692E-2</v>
      </c>
    </row>
    <row r="251" spans="1:4" x14ac:dyDescent="0.35">
      <c r="A251" s="10">
        <v>41030</v>
      </c>
      <c r="B251" s="15">
        <f>VLOOKUP(A251,Database!A:K,MATCH('Retail Sales'!$A$1,Database!$A$1:$K$1,),)</f>
        <v>399367</v>
      </c>
      <c r="C251" s="12">
        <f t="shared" si="6"/>
        <v>-2.1737120755952097E-3</v>
      </c>
      <c r="D251" s="13">
        <f t="shared" si="7"/>
        <v>5.036045016161738E-2</v>
      </c>
    </row>
    <row r="252" spans="1:4" x14ac:dyDescent="0.35">
      <c r="A252" s="11">
        <v>41061</v>
      </c>
      <c r="B252" s="15">
        <f>VLOOKUP(A252,Database!A:K,MATCH('Retail Sales'!$A$1,Database!$A$1:$K$1,),)</f>
        <v>395553</v>
      </c>
      <c r="C252" s="12">
        <f t="shared" si="6"/>
        <v>-9.5501130539078095E-3</v>
      </c>
      <c r="D252" s="13">
        <f t="shared" si="7"/>
        <v>3.1894439995095572E-2</v>
      </c>
    </row>
    <row r="253" spans="1:4" x14ac:dyDescent="0.35">
      <c r="A253" s="10">
        <v>41091</v>
      </c>
      <c r="B253" s="15">
        <f>VLOOKUP(A253,Database!A:K,MATCH('Retail Sales'!$A$1,Database!$A$1:$K$1,),)</f>
        <v>397650</v>
      </c>
      <c r="C253" s="12">
        <f t="shared" si="6"/>
        <v>5.3014387452503201E-3</v>
      </c>
      <c r="D253" s="13">
        <f t="shared" si="7"/>
        <v>3.8375366231975641E-2</v>
      </c>
    </row>
    <row r="254" spans="1:4" x14ac:dyDescent="0.35">
      <c r="A254" s="11">
        <v>41122</v>
      </c>
      <c r="B254" s="15">
        <f>VLOOKUP(A254,Database!A:K,MATCH('Retail Sales'!$A$1,Database!$A$1:$K$1,),)</f>
        <v>402287</v>
      </c>
      <c r="C254" s="12">
        <f t="shared" si="6"/>
        <v>1.1661008424493902E-2</v>
      </c>
      <c r="D254" s="13">
        <f t="shared" si="7"/>
        <v>4.8061817584977032E-2</v>
      </c>
    </row>
    <row r="255" spans="1:4" x14ac:dyDescent="0.35">
      <c r="A255" s="10">
        <v>41153</v>
      </c>
      <c r="B255" s="15">
        <f>VLOOKUP(A255,Database!A:K,MATCH('Retail Sales'!$A$1,Database!$A$1:$K$1,),)</f>
        <v>405455</v>
      </c>
      <c r="C255" s="12">
        <f t="shared" si="6"/>
        <v>7.8749748314014614E-3</v>
      </c>
      <c r="D255" s="13">
        <f t="shared" si="7"/>
        <v>4.5639290485302686E-2</v>
      </c>
    </row>
    <row r="256" spans="1:4" x14ac:dyDescent="0.35">
      <c r="A256" s="11">
        <v>41183</v>
      </c>
      <c r="B256" s="15">
        <f>VLOOKUP(A256,Database!A:K,MATCH('Retail Sales'!$A$1,Database!$A$1:$K$1,),)</f>
        <v>405572</v>
      </c>
      <c r="C256" s="12">
        <f t="shared" si="6"/>
        <v>2.8856469891849897E-4</v>
      </c>
      <c r="D256" s="13">
        <f t="shared" si="7"/>
        <v>3.9650964870906219E-2</v>
      </c>
    </row>
    <row r="257" spans="1:4" x14ac:dyDescent="0.35">
      <c r="A257" s="10">
        <v>41214</v>
      </c>
      <c r="B257" s="15">
        <f>VLOOKUP(A257,Database!A:K,MATCH('Retail Sales'!$A$1,Database!$A$1:$K$1,),)</f>
        <v>407386</v>
      </c>
      <c r="C257" s="12">
        <f t="shared" si="6"/>
        <v>4.4726953537226437E-3</v>
      </c>
      <c r="D257" s="13">
        <f t="shared" si="7"/>
        <v>4.0861742545216698E-2</v>
      </c>
    </row>
    <row r="258" spans="1:4" x14ac:dyDescent="0.35">
      <c r="A258" s="11">
        <v>41244</v>
      </c>
      <c r="B258" s="15">
        <f>VLOOKUP(A258,Database!A:K,MATCH('Retail Sales'!$A$1,Database!$A$1:$K$1,),)</f>
        <v>408981</v>
      </c>
      <c r="C258" s="12">
        <f t="shared" si="6"/>
        <v>3.9152057262645257E-3</v>
      </c>
      <c r="D258" s="13">
        <f t="shared" si="7"/>
        <v>4.4424582146915741E-2</v>
      </c>
    </row>
    <row r="259" spans="1:4" x14ac:dyDescent="0.35">
      <c r="A259" s="10">
        <v>41275</v>
      </c>
      <c r="B259" s="15">
        <f>VLOOKUP(A259,Database!A:K,MATCH('Retail Sales'!$A$1,Database!$A$1:$K$1,),)</f>
        <v>412420</v>
      </c>
      <c r="C259" s="12">
        <f t="shared" si="6"/>
        <v>8.4087035828070249E-3</v>
      </c>
      <c r="D259" s="13">
        <f t="shared" si="7"/>
        <v>4.2409659261805524E-2</v>
      </c>
    </row>
    <row r="260" spans="1:4" x14ac:dyDescent="0.35">
      <c r="A260" s="11">
        <v>41306</v>
      </c>
      <c r="B260" s="15">
        <f>VLOOKUP(A260,Database!A:K,MATCH('Retail Sales'!$A$1,Database!$A$1:$K$1,),)</f>
        <v>417383</v>
      </c>
      <c r="C260" s="12">
        <f t="shared" si="6"/>
        <v>1.2033848988894816E-2</v>
      </c>
      <c r="D260" s="13">
        <f t="shared" si="7"/>
        <v>4.2454137892278684E-2</v>
      </c>
    </row>
    <row r="261" spans="1:4" x14ac:dyDescent="0.35">
      <c r="A261" s="10">
        <v>41334</v>
      </c>
      <c r="B261" s="15">
        <f>VLOOKUP(A261,Database!A:K,MATCH('Retail Sales'!$A$1,Database!$A$1:$K$1,),)</f>
        <v>414116</v>
      </c>
      <c r="C261" s="12">
        <f t="shared" si="6"/>
        <v>-7.8273432315163777E-3</v>
      </c>
      <c r="D261" s="13">
        <f t="shared" si="7"/>
        <v>3.1026704576575859E-2</v>
      </c>
    </row>
    <row r="262" spans="1:4" x14ac:dyDescent="0.35">
      <c r="A262" s="11">
        <v>41365</v>
      </c>
      <c r="B262" s="15">
        <f>VLOOKUP(A262,Database!A:K,MATCH('Retail Sales'!$A$1,Database!$A$1:$K$1,),)</f>
        <v>412015</v>
      </c>
      <c r="C262" s="12">
        <f t="shared" si="6"/>
        <v>-5.0734576785248578E-3</v>
      </c>
      <c r="D262" s="13">
        <f t="shared" si="7"/>
        <v>2.9427564168230322E-2</v>
      </c>
    </row>
    <row r="263" spans="1:4" x14ac:dyDescent="0.35">
      <c r="A263" s="10">
        <v>41395</v>
      </c>
      <c r="B263" s="15">
        <f>VLOOKUP(A263,Database!A:K,MATCH('Retail Sales'!$A$1,Database!$A$1:$K$1,),)</f>
        <v>414466</v>
      </c>
      <c r="C263" s="12">
        <f t="shared" si="6"/>
        <v>5.9488125432326493E-3</v>
      </c>
      <c r="D263" s="13">
        <f t="shared" si="7"/>
        <v>3.7807330099883067E-2</v>
      </c>
    </row>
    <row r="264" spans="1:4" x14ac:dyDescent="0.35">
      <c r="A264" s="11">
        <v>41426</v>
      </c>
      <c r="B264" s="15">
        <f>VLOOKUP(A264,Database!A:K,MATCH('Retail Sales'!$A$1,Database!$A$1:$K$1,),)</f>
        <v>415550</v>
      </c>
      <c r="C264" s="12">
        <f t="shared" ref="C264:C327" si="8">(B264-B263)/B263</f>
        <v>2.6154135683023457E-3</v>
      </c>
      <c r="D264" s="13">
        <f t="shared" si="7"/>
        <v>5.0554540099556823E-2</v>
      </c>
    </row>
    <row r="265" spans="1:4" x14ac:dyDescent="0.35">
      <c r="A265" s="10">
        <v>41456</v>
      </c>
      <c r="B265" s="15">
        <f>VLOOKUP(A265,Database!A:K,MATCH('Retail Sales'!$A$1,Database!$A$1:$K$1,),)</f>
        <v>418500</v>
      </c>
      <c r="C265" s="12">
        <f t="shared" si="8"/>
        <v>7.0990253880399467E-3</v>
      </c>
      <c r="D265" s="13">
        <f t="shared" si="7"/>
        <v>5.2433044134288946E-2</v>
      </c>
    </row>
    <row r="266" spans="1:4" x14ac:dyDescent="0.35">
      <c r="A266" s="11">
        <v>41487</v>
      </c>
      <c r="B266" s="15">
        <f>VLOOKUP(A266,Database!A:K,MATCH('Retail Sales'!$A$1,Database!$A$1:$K$1,),)</f>
        <v>417575</v>
      </c>
      <c r="C266" s="12">
        <f t="shared" si="8"/>
        <v>-2.2102747909199523E-3</v>
      </c>
      <c r="D266" s="13">
        <f t="shared" si="7"/>
        <v>3.8002719451535841E-2</v>
      </c>
    </row>
    <row r="267" spans="1:4" x14ac:dyDescent="0.35">
      <c r="A267" s="10">
        <v>41518</v>
      </c>
      <c r="B267" s="15">
        <f>VLOOKUP(A267,Database!A:K,MATCH('Retail Sales'!$A$1,Database!$A$1:$K$1,),)</f>
        <v>417861</v>
      </c>
      <c r="C267" s="12">
        <f t="shared" si="8"/>
        <v>6.8490690295156561E-4</v>
      </c>
      <c r="D267" s="13">
        <f t="shared" si="7"/>
        <v>3.0597723545152975E-2</v>
      </c>
    </row>
    <row r="268" spans="1:4" x14ac:dyDescent="0.35">
      <c r="A268" s="11">
        <v>41548</v>
      </c>
      <c r="B268" s="15">
        <f>VLOOKUP(A268,Database!A:K,MATCH('Retail Sales'!$A$1,Database!$A$1:$K$1,),)</f>
        <v>419434</v>
      </c>
      <c r="C268" s="12">
        <f t="shared" si="8"/>
        <v>3.76440969604725E-3</v>
      </c>
      <c r="D268" s="13">
        <f t="shared" si="7"/>
        <v>3.4178888088921326E-2</v>
      </c>
    </row>
    <row r="269" spans="1:4" x14ac:dyDescent="0.35">
      <c r="A269" s="10">
        <v>41579</v>
      </c>
      <c r="B269" s="15">
        <f>VLOOKUP(A269,Database!A:K,MATCH('Retail Sales'!$A$1,Database!$A$1:$K$1,),)</f>
        <v>420688</v>
      </c>
      <c r="C269" s="12">
        <f t="shared" si="8"/>
        <v>2.989743320760835E-3</v>
      </c>
      <c r="D269" s="13">
        <f t="shared" si="7"/>
        <v>3.2652079354715181E-2</v>
      </c>
    </row>
    <row r="270" spans="1:4" x14ac:dyDescent="0.35">
      <c r="A270" s="11">
        <v>41609</v>
      </c>
      <c r="B270" s="15">
        <f>VLOOKUP(A270,Database!A:K,MATCH('Retail Sales'!$A$1,Database!$A$1:$K$1,),)</f>
        <v>422955</v>
      </c>
      <c r="C270" s="12">
        <f t="shared" si="8"/>
        <v>5.388791693606663E-3</v>
      </c>
      <c r="D270" s="13">
        <f t="shared" si="7"/>
        <v>3.4167846428073675E-2</v>
      </c>
    </row>
    <row r="271" spans="1:4" x14ac:dyDescent="0.35">
      <c r="A271" s="10">
        <v>41640</v>
      </c>
      <c r="B271" s="15">
        <f>VLOOKUP(A271,Database!A:K,MATCH('Retail Sales'!$A$1,Database!$A$1:$K$1,),)</f>
        <v>419245</v>
      </c>
      <c r="C271" s="12">
        <f t="shared" si="8"/>
        <v>-8.7716187301249537E-3</v>
      </c>
      <c r="D271" s="13">
        <f t="shared" si="7"/>
        <v>1.6548663983317977E-2</v>
      </c>
    </row>
    <row r="272" spans="1:4" x14ac:dyDescent="0.35">
      <c r="A272" s="11">
        <v>41671</v>
      </c>
      <c r="B272" s="15">
        <f>VLOOKUP(A272,Database!A:K,MATCH('Retail Sales'!$A$1,Database!$A$1:$K$1,),)</f>
        <v>425006</v>
      </c>
      <c r="C272" s="12">
        <f t="shared" si="8"/>
        <v>1.3741368412264905E-2</v>
      </c>
      <c r="D272" s="13">
        <f t="shared" si="7"/>
        <v>1.8263800873538214E-2</v>
      </c>
    </row>
    <row r="273" spans="1:4" x14ac:dyDescent="0.35">
      <c r="A273" s="10">
        <v>41699</v>
      </c>
      <c r="B273" s="15">
        <f>VLOOKUP(A273,Database!A:K,MATCH('Retail Sales'!$A$1,Database!$A$1:$K$1,),)</f>
        <v>429468</v>
      </c>
      <c r="C273" s="12">
        <f t="shared" si="8"/>
        <v>1.0498675312819113E-2</v>
      </c>
      <c r="D273" s="13">
        <f t="shared" si="7"/>
        <v>3.7071738353504816E-2</v>
      </c>
    </row>
    <row r="274" spans="1:4" x14ac:dyDescent="0.35">
      <c r="A274" s="11">
        <v>41730</v>
      </c>
      <c r="B274" s="15">
        <f>VLOOKUP(A274,Database!A:K,MATCH('Retail Sales'!$A$1,Database!$A$1:$K$1,),)</f>
        <v>433648</v>
      </c>
      <c r="C274" s="12">
        <f t="shared" si="8"/>
        <v>9.7329719560013787E-3</v>
      </c>
      <c r="D274" s="13">
        <f t="shared" si="7"/>
        <v>5.2505369950123178E-2</v>
      </c>
    </row>
    <row r="275" spans="1:4" x14ac:dyDescent="0.35">
      <c r="A275" s="10">
        <v>41760</v>
      </c>
      <c r="B275" s="15">
        <f>VLOOKUP(A275,Database!A:K,MATCH('Retail Sales'!$A$1,Database!$A$1:$K$1,),)</f>
        <v>434471</v>
      </c>
      <c r="C275" s="12">
        <f t="shared" si="8"/>
        <v>1.8978526362395307E-3</v>
      </c>
      <c r="D275" s="13">
        <f t="shared" ref="D275:D338" si="9">(B275-B263)/B263</f>
        <v>4.8266926599528068E-2</v>
      </c>
    </row>
    <row r="276" spans="1:4" x14ac:dyDescent="0.35">
      <c r="A276" s="11">
        <v>41791</v>
      </c>
      <c r="B276" s="15">
        <f>VLOOKUP(A276,Database!A:K,MATCH('Retail Sales'!$A$1,Database!$A$1:$K$1,),)</f>
        <v>435577</v>
      </c>
      <c r="C276" s="12">
        <f t="shared" si="8"/>
        <v>2.5456244490426288E-3</v>
      </c>
      <c r="D276" s="13">
        <f t="shared" si="9"/>
        <v>4.8193959812296953E-2</v>
      </c>
    </row>
    <row r="277" spans="1:4" x14ac:dyDescent="0.35">
      <c r="A277" s="10">
        <v>41821</v>
      </c>
      <c r="B277" s="15">
        <f>VLOOKUP(A277,Database!A:K,MATCH('Retail Sales'!$A$1,Database!$A$1:$K$1,),)</f>
        <v>436347</v>
      </c>
      <c r="C277" s="12">
        <f t="shared" si="8"/>
        <v>1.7677701072370672E-3</v>
      </c>
      <c r="D277" s="13">
        <f t="shared" si="9"/>
        <v>4.2645161290322579E-2</v>
      </c>
    </row>
    <row r="278" spans="1:4" x14ac:dyDescent="0.35">
      <c r="A278" s="11">
        <v>41852</v>
      </c>
      <c r="B278" s="15">
        <f>VLOOKUP(A278,Database!A:K,MATCH('Retail Sales'!$A$1,Database!$A$1:$K$1,),)</f>
        <v>439596</v>
      </c>
      <c r="C278" s="12">
        <f t="shared" si="8"/>
        <v>7.4459088752758702E-3</v>
      </c>
      <c r="D278" s="13">
        <f t="shared" si="9"/>
        <v>5.2735436747889601E-2</v>
      </c>
    </row>
    <row r="279" spans="1:4" x14ac:dyDescent="0.35">
      <c r="A279" s="10">
        <v>41883</v>
      </c>
      <c r="B279" s="15">
        <f>VLOOKUP(A279,Database!A:K,MATCH('Retail Sales'!$A$1,Database!$A$1:$K$1,),)</f>
        <v>438665</v>
      </c>
      <c r="C279" s="12">
        <f t="shared" si="8"/>
        <v>-2.11785366563845E-3</v>
      </c>
      <c r="D279" s="13">
        <f t="shared" si="9"/>
        <v>4.9786890856050217E-2</v>
      </c>
    </row>
    <row r="280" spans="1:4" x14ac:dyDescent="0.35">
      <c r="A280" s="11">
        <v>41913</v>
      </c>
      <c r="B280" s="15">
        <f>VLOOKUP(A280,Database!A:K,MATCH('Retail Sales'!$A$1,Database!$A$1:$K$1,),)</f>
        <v>440261</v>
      </c>
      <c r="C280" s="12">
        <f t="shared" si="8"/>
        <v>3.6383116957131294E-3</v>
      </c>
      <c r="D280" s="13">
        <f t="shared" si="9"/>
        <v>4.9655011277102E-2</v>
      </c>
    </row>
    <row r="281" spans="1:4" x14ac:dyDescent="0.35">
      <c r="A281" s="10">
        <v>41944</v>
      </c>
      <c r="B281" s="15">
        <f>VLOOKUP(A281,Database!A:K,MATCH('Retail Sales'!$A$1,Database!$A$1:$K$1,),)</f>
        <v>441328</v>
      </c>
      <c r="C281" s="12">
        <f t="shared" si="8"/>
        <v>2.423562386856887E-3</v>
      </c>
      <c r="D281" s="13">
        <f t="shared" si="9"/>
        <v>4.9062488114707335E-2</v>
      </c>
    </row>
    <row r="282" spans="1:4" x14ac:dyDescent="0.35">
      <c r="A282" s="11">
        <v>41974</v>
      </c>
      <c r="B282" s="15">
        <f>VLOOKUP(A282,Database!A:K,MATCH('Retail Sales'!$A$1,Database!$A$1:$K$1,),)</f>
        <v>438686</v>
      </c>
      <c r="C282" s="12">
        <f t="shared" si="8"/>
        <v>-5.9864771779719389E-3</v>
      </c>
      <c r="D282" s="13">
        <f t="shared" si="9"/>
        <v>3.7193082006360012E-2</v>
      </c>
    </row>
    <row r="283" spans="1:4" x14ac:dyDescent="0.35">
      <c r="A283" s="10">
        <v>42005</v>
      </c>
      <c r="B283" s="15">
        <f>VLOOKUP(A283,Database!A:K,MATCH('Retail Sales'!$A$1,Database!$A$1:$K$1,),)</f>
        <v>436395</v>
      </c>
      <c r="C283" s="12">
        <f t="shared" si="8"/>
        <v>-5.2224142097080824E-3</v>
      </c>
      <c r="D283" s="13">
        <f t="shared" si="9"/>
        <v>4.0906868298965997E-2</v>
      </c>
    </row>
    <row r="284" spans="1:4" x14ac:dyDescent="0.35">
      <c r="A284" s="11">
        <v>42036</v>
      </c>
      <c r="B284" s="15">
        <f>VLOOKUP(A284,Database!A:K,MATCH('Retail Sales'!$A$1,Database!$A$1:$K$1,),)</f>
        <v>435744</v>
      </c>
      <c r="C284" s="12">
        <f t="shared" si="8"/>
        <v>-1.4917677791908706E-3</v>
      </c>
      <c r="D284" s="13">
        <f t="shared" si="9"/>
        <v>2.5265525663167109E-2</v>
      </c>
    </row>
    <row r="285" spans="1:4" x14ac:dyDescent="0.35">
      <c r="A285" s="10">
        <v>42064</v>
      </c>
      <c r="B285" s="15">
        <f>VLOOKUP(A285,Database!A:K,MATCH('Retail Sales'!$A$1,Database!$A$1:$K$1,),)</f>
        <v>442131</v>
      </c>
      <c r="C285" s="12">
        <f t="shared" si="8"/>
        <v>1.4657688918263934E-2</v>
      </c>
      <c r="D285" s="13">
        <f t="shared" si="9"/>
        <v>2.9485316717427143E-2</v>
      </c>
    </row>
    <row r="286" spans="1:4" x14ac:dyDescent="0.35">
      <c r="A286" s="11">
        <v>42095</v>
      </c>
      <c r="B286" s="15">
        <f>VLOOKUP(A286,Database!A:K,MATCH('Retail Sales'!$A$1,Database!$A$1:$K$1,),)</f>
        <v>443119</v>
      </c>
      <c r="C286" s="12">
        <f t="shared" si="8"/>
        <v>2.2346318172668279E-3</v>
      </c>
      <c r="D286" s="13">
        <f t="shared" si="9"/>
        <v>2.1840294432350662E-2</v>
      </c>
    </row>
    <row r="287" spans="1:4" x14ac:dyDescent="0.35">
      <c r="A287" s="10">
        <v>42125</v>
      </c>
      <c r="B287" s="15">
        <f>VLOOKUP(A287,Database!A:K,MATCH('Retail Sales'!$A$1,Database!$A$1:$K$1,),)</f>
        <v>446198</v>
      </c>
      <c r="C287" s="12">
        <f t="shared" si="8"/>
        <v>6.9484720808631545E-3</v>
      </c>
      <c r="D287" s="13">
        <f t="shared" si="9"/>
        <v>2.6991444768465558E-2</v>
      </c>
    </row>
    <row r="288" spans="1:4" x14ac:dyDescent="0.35">
      <c r="A288" s="11">
        <v>42156</v>
      </c>
      <c r="B288" s="15">
        <f>VLOOKUP(A288,Database!A:K,MATCH('Retail Sales'!$A$1,Database!$A$1:$K$1,),)</f>
        <v>446744</v>
      </c>
      <c r="C288" s="12">
        <f t="shared" si="8"/>
        <v>1.2236720021156528E-3</v>
      </c>
      <c r="D288" s="13">
        <f t="shared" si="9"/>
        <v>2.5637258165605623E-2</v>
      </c>
    </row>
    <row r="289" spans="1:4" x14ac:dyDescent="0.35">
      <c r="A289" s="10">
        <v>42186</v>
      </c>
      <c r="B289" s="15">
        <f>VLOOKUP(A289,Database!A:K,MATCH('Retail Sales'!$A$1,Database!$A$1:$K$1,),)</f>
        <v>450243</v>
      </c>
      <c r="C289" s="12">
        <f t="shared" si="8"/>
        <v>7.832226062353384E-3</v>
      </c>
      <c r="D289" s="13">
        <f t="shared" si="9"/>
        <v>3.1846214136913971E-2</v>
      </c>
    </row>
    <row r="290" spans="1:4" x14ac:dyDescent="0.35">
      <c r="A290" s="11">
        <v>42217</v>
      </c>
      <c r="B290" s="15">
        <f>VLOOKUP(A290,Database!A:K,MATCH('Retail Sales'!$A$1,Database!$A$1:$K$1,),)</f>
        <v>450183</v>
      </c>
      <c r="C290" s="12">
        <f t="shared" si="8"/>
        <v>-1.3326137219234947E-4</v>
      </c>
      <c r="D290" s="13">
        <f t="shared" si="9"/>
        <v>2.408347664673928E-2</v>
      </c>
    </row>
    <row r="291" spans="1:4" x14ac:dyDescent="0.35">
      <c r="A291" s="10">
        <v>42248</v>
      </c>
      <c r="B291" s="15">
        <f>VLOOKUP(A291,Database!A:K,MATCH('Retail Sales'!$A$1,Database!$A$1:$K$1,),)</f>
        <v>448506</v>
      </c>
      <c r="C291" s="12">
        <f t="shared" si="8"/>
        <v>-3.7251517716128772E-3</v>
      </c>
      <c r="D291" s="13">
        <f t="shared" si="9"/>
        <v>2.2433975812978013E-2</v>
      </c>
    </row>
    <row r="292" spans="1:4" x14ac:dyDescent="0.35">
      <c r="A292" s="11">
        <v>42278</v>
      </c>
      <c r="B292" s="15">
        <f>VLOOKUP(A292,Database!A:K,MATCH('Retail Sales'!$A$1,Database!$A$1:$K$1,),)</f>
        <v>447191</v>
      </c>
      <c r="C292" s="12">
        <f t="shared" si="8"/>
        <v>-2.9319563171953107E-3</v>
      </c>
      <c r="D292" s="13">
        <f t="shared" si="9"/>
        <v>1.5740662924946792E-2</v>
      </c>
    </row>
    <row r="293" spans="1:4" x14ac:dyDescent="0.35">
      <c r="A293" s="10">
        <v>42309</v>
      </c>
      <c r="B293" s="15">
        <f>VLOOKUP(A293,Database!A:K,MATCH('Retail Sales'!$A$1,Database!$A$1:$K$1,),)</f>
        <v>449027</v>
      </c>
      <c r="C293" s="12">
        <f t="shared" si="8"/>
        <v>4.105628243860006E-3</v>
      </c>
      <c r="D293" s="13">
        <f t="shared" si="9"/>
        <v>1.7445074864953052E-2</v>
      </c>
    </row>
    <row r="294" spans="1:4" x14ac:dyDescent="0.35">
      <c r="A294" s="11">
        <v>42339</v>
      </c>
      <c r="B294" s="15">
        <f>VLOOKUP(A294,Database!A:K,MATCH('Retail Sales'!$A$1,Database!$A$1:$K$1,),)</f>
        <v>450939</v>
      </c>
      <c r="C294" s="12">
        <f t="shared" si="8"/>
        <v>4.2580958383348884E-3</v>
      </c>
      <c r="D294" s="13">
        <f t="shared" si="9"/>
        <v>2.7931139812986967E-2</v>
      </c>
    </row>
    <row r="295" spans="1:4" x14ac:dyDescent="0.35">
      <c r="A295" s="10">
        <v>42370</v>
      </c>
      <c r="B295" s="15">
        <f>VLOOKUP(A295,Database!A:K,MATCH('Retail Sales'!$A$1,Database!$A$1:$K$1,),)</f>
        <v>447626</v>
      </c>
      <c r="C295" s="12">
        <f t="shared" si="8"/>
        <v>-7.3468917081911302E-3</v>
      </c>
      <c r="D295" s="13">
        <f t="shared" si="9"/>
        <v>2.5735858568498724E-2</v>
      </c>
    </row>
    <row r="296" spans="1:4" x14ac:dyDescent="0.35">
      <c r="A296" s="11">
        <v>42401</v>
      </c>
      <c r="B296" s="15">
        <f>VLOOKUP(A296,Database!A:K,MATCH('Retail Sales'!$A$1,Database!$A$1:$K$1,),)</f>
        <v>452393</v>
      </c>
      <c r="C296" s="12">
        <f t="shared" si="8"/>
        <v>1.06495154436963E-2</v>
      </c>
      <c r="D296" s="13">
        <f t="shared" si="9"/>
        <v>3.8208213997209368E-2</v>
      </c>
    </row>
    <row r="297" spans="1:4" x14ac:dyDescent="0.35">
      <c r="A297" s="10">
        <v>42430</v>
      </c>
      <c r="B297" s="15">
        <f>VLOOKUP(A297,Database!A:K,MATCH('Retail Sales'!$A$1,Database!$A$1:$K$1,),)</f>
        <v>450886</v>
      </c>
      <c r="C297" s="12">
        <f t="shared" si="8"/>
        <v>-3.3311744434595583E-3</v>
      </c>
      <c r="D297" s="13">
        <f t="shared" si="9"/>
        <v>1.9801823441468705E-2</v>
      </c>
    </row>
    <row r="298" spans="1:4" x14ac:dyDescent="0.35">
      <c r="A298" s="11">
        <v>42461</v>
      </c>
      <c r="B298" s="15">
        <f>VLOOKUP(A298,Database!A:K,MATCH('Retail Sales'!$A$1,Database!$A$1:$K$1,),)</f>
        <v>452345</v>
      </c>
      <c r="C298" s="12">
        <f t="shared" si="8"/>
        <v>3.2358511907666239E-3</v>
      </c>
      <c r="D298" s="13">
        <f t="shared" si="9"/>
        <v>2.0820592211121619E-2</v>
      </c>
    </row>
    <row r="299" spans="1:4" x14ac:dyDescent="0.35">
      <c r="A299" s="10">
        <v>42491</v>
      </c>
      <c r="B299" s="15">
        <f>VLOOKUP(A299,Database!A:K,MATCH('Retail Sales'!$A$1,Database!$A$1:$K$1,),)</f>
        <v>454211</v>
      </c>
      <c r="C299" s="12">
        <f t="shared" si="8"/>
        <v>4.1251699477168977E-3</v>
      </c>
      <c r="D299" s="13">
        <f t="shared" si="9"/>
        <v>1.7958395151928069E-2</v>
      </c>
    </row>
    <row r="300" spans="1:4" x14ac:dyDescent="0.35">
      <c r="A300" s="11">
        <v>42522</v>
      </c>
      <c r="B300" s="15">
        <f>VLOOKUP(A300,Database!A:K,MATCH('Retail Sales'!$A$1,Database!$A$1:$K$1,),)</f>
        <v>459028</v>
      </c>
      <c r="C300" s="12">
        <f t="shared" si="8"/>
        <v>1.0605203308594463E-2</v>
      </c>
      <c r="D300" s="13">
        <f t="shared" si="9"/>
        <v>2.7496731909102304E-2</v>
      </c>
    </row>
    <row r="301" spans="1:4" x14ac:dyDescent="0.35">
      <c r="A301" s="10">
        <v>42552</v>
      </c>
      <c r="B301" s="15">
        <f>VLOOKUP(A301,Database!A:K,MATCH('Retail Sales'!$A$1,Database!$A$1:$K$1,),)</f>
        <v>457977</v>
      </c>
      <c r="C301" s="12">
        <f t="shared" si="8"/>
        <v>-2.289620676734317E-3</v>
      </c>
      <c r="D301" s="13">
        <f t="shared" si="9"/>
        <v>1.7177390875593845E-2</v>
      </c>
    </row>
    <row r="302" spans="1:4" x14ac:dyDescent="0.35">
      <c r="A302" s="11">
        <v>42583</v>
      </c>
      <c r="B302" s="15">
        <f>VLOOKUP(A302,Database!A:K,MATCH('Retail Sales'!$A$1,Database!$A$1:$K$1,),)</f>
        <v>458655</v>
      </c>
      <c r="C302" s="12">
        <f t="shared" si="8"/>
        <v>1.4804236893992493E-3</v>
      </c>
      <c r="D302" s="13">
        <f t="shared" si="9"/>
        <v>1.881901360113554E-2</v>
      </c>
    </row>
    <row r="303" spans="1:4" x14ac:dyDescent="0.35">
      <c r="A303" s="10">
        <v>42614</v>
      </c>
      <c r="B303" s="15">
        <f>VLOOKUP(A303,Database!A:K,MATCH('Retail Sales'!$A$1,Database!$A$1:$K$1,),)</f>
        <v>461741</v>
      </c>
      <c r="C303" s="12">
        <f t="shared" si="8"/>
        <v>6.7283688175207943E-3</v>
      </c>
      <c r="D303" s="13">
        <f t="shared" si="9"/>
        <v>2.9509081260897289E-2</v>
      </c>
    </row>
    <row r="304" spans="1:4" x14ac:dyDescent="0.35">
      <c r="A304" s="11">
        <v>42644</v>
      </c>
      <c r="B304" s="15">
        <f>VLOOKUP(A304,Database!A:K,MATCH('Retail Sales'!$A$1,Database!$A$1:$K$1,),)</f>
        <v>462611</v>
      </c>
      <c r="C304" s="12">
        <f t="shared" si="8"/>
        <v>1.8841731620107376E-3</v>
      </c>
      <c r="D304" s="13">
        <f t="shared" si="9"/>
        <v>3.4481910414118355E-2</v>
      </c>
    </row>
    <row r="305" spans="1:4" x14ac:dyDescent="0.35">
      <c r="A305" s="10">
        <v>42675</v>
      </c>
      <c r="B305" s="15">
        <f>VLOOKUP(A305,Database!A:K,MATCH('Retail Sales'!$A$1,Database!$A$1:$K$1,),)</f>
        <v>462194</v>
      </c>
      <c r="C305" s="12">
        <f t="shared" si="8"/>
        <v>-9.0140528435337676E-4</v>
      </c>
      <c r="D305" s="13">
        <f t="shared" si="9"/>
        <v>2.9323403715144077E-2</v>
      </c>
    </row>
    <row r="306" spans="1:4" x14ac:dyDescent="0.35">
      <c r="A306" s="11">
        <v>42705</v>
      </c>
      <c r="B306" s="15">
        <f>VLOOKUP(A306,Database!A:K,MATCH('Retail Sales'!$A$1,Database!$A$1:$K$1,),)</f>
        <v>468582</v>
      </c>
      <c r="C306" s="12">
        <f t="shared" si="8"/>
        <v>1.3821036188267265E-2</v>
      </c>
      <c r="D306" s="13">
        <f t="shared" si="9"/>
        <v>3.9125025779540024E-2</v>
      </c>
    </row>
    <row r="307" spans="1:4" x14ac:dyDescent="0.35">
      <c r="A307" s="10">
        <v>42736</v>
      </c>
      <c r="B307" s="15">
        <f>VLOOKUP(A307,Database!A:K,MATCH('Retail Sales'!$A$1,Database!$A$1:$K$1,),)</f>
        <v>473392</v>
      </c>
      <c r="C307" s="12">
        <f t="shared" si="8"/>
        <v>1.026501231374658E-2</v>
      </c>
      <c r="D307" s="13">
        <f t="shared" si="9"/>
        <v>5.7561446386045496E-2</v>
      </c>
    </row>
    <row r="308" spans="1:4" x14ac:dyDescent="0.35">
      <c r="A308" s="11">
        <v>42767</v>
      </c>
      <c r="B308" s="15">
        <f>VLOOKUP(A308,Database!A:K,MATCH('Retail Sales'!$A$1,Database!$A$1:$K$1,),)</f>
        <v>473460</v>
      </c>
      <c r="C308" s="12">
        <f t="shared" si="8"/>
        <v>1.4364416804677729E-4</v>
      </c>
      <c r="D308" s="13">
        <f t="shared" si="9"/>
        <v>4.6567917717559734E-2</v>
      </c>
    </row>
    <row r="309" spans="1:4" x14ac:dyDescent="0.35">
      <c r="A309" s="10">
        <v>42795</v>
      </c>
      <c r="B309" s="15">
        <f>VLOOKUP(A309,Database!A:K,MATCH('Retail Sales'!$A$1,Database!$A$1:$K$1,),)</f>
        <v>472283</v>
      </c>
      <c r="C309" s="12">
        <f t="shared" si="8"/>
        <v>-2.4859544628902126E-3</v>
      </c>
      <c r="D309" s="13">
        <f t="shared" si="9"/>
        <v>4.7455454372058573E-2</v>
      </c>
    </row>
    <row r="310" spans="1:4" x14ac:dyDescent="0.35">
      <c r="A310" s="11">
        <v>42826</v>
      </c>
      <c r="B310" s="15">
        <f>VLOOKUP(A310,Database!A:K,MATCH('Retail Sales'!$A$1,Database!$A$1:$K$1,),)</f>
        <v>474137</v>
      </c>
      <c r="C310" s="12">
        <f t="shared" si="8"/>
        <v>3.9256123976514085E-3</v>
      </c>
      <c r="D310" s="13">
        <f t="shared" si="9"/>
        <v>4.8175618167549103E-2</v>
      </c>
    </row>
    <row r="311" spans="1:4" x14ac:dyDescent="0.35">
      <c r="A311" s="10">
        <v>42856</v>
      </c>
      <c r="B311" s="15">
        <f>VLOOKUP(A311,Database!A:K,MATCH('Retail Sales'!$A$1,Database!$A$1:$K$1,),)</f>
        <v>471768</v>
      </c>
      <c r="C311" s="12">
        <f t="shared" si="8"/>
        <v>-4.9964461748397615E-3</v>
      </c>
      <c r="D311" s="13">
        <f t="shared" si="9"/>
        <v>3.865384149657318E-2</v>
      </c>
    </row>
    <row r="312" spans="1:4" x14ac:dyDescent="0.35">
      <c r="A312" s="11">
        <v>42887</v>
      </c>
      <c r="B312" s="15">
        <f>VLOOKUP(A312,Database!A:K,MATCH('Retail Sales'!$A$1,Database!$A$1:$K$1,),)</f>
        <v>473656</v>
      </c>
      <c r="C312" s="12">
        <f t="shared" si="8"/>
        <v>4.0019670685591223E-3</v>
      </c>
      <c r="D312" s="13">
        <f t="shared" si="9"/>
        <v>3.1867337068762693E-2</v>
      </c>
    </row>
    <row r="313" spans="1:4" x14ac:dyDescent="0.35">
      <c r="A313" s="10">
        <v>42917</v>
      </c>
      <c r="B313" s="15">
        <f>VLOOKUP(A313,Database!A:K,MATCH('Retail Sales'!$A$1,Database!$A$1:$K$1,),)</f>
        <v>473637</v>
      </c>
      <c r="C313" s="12">
        <f t="shared" si="8"/>
        <v>-4.0113500092894423E-5</v>
      </c>
      <c r="D313" s="13">
        <f t="shared" si="9"/>
        <v>3.4193856896743723E-2</v>
      </c>
    </row>
    <row r="314" spans="1:4" x14ac:dyDescent="0.35">
      <c r="A314" s="11">
        <v>42948</v>
      </c>
      <c r="B314" s="15">
        <f>VLOOKUP(A314,Database!A:K,MATCH('Retail Sales'!$A$1,Database!$A$1:$K$1,),)</f>
        <v>474544</v>
      </c>
      <c r="C314" s="12">
        <f t="shared" si="8"/>
        <v>1.9149686363185308E-3</v>
      </c>
      <c r="D314" s="13">
        <f t="shared" si="9"/>
        <v>3.4642596286969508E-2</v>
      </c>
    </row>
    <row r="315" spans="1:4" x14ac:dyDescent="0.35">
      <c r="A315" s="10">
        <v>42979</v>
      </c>
      <c r="B315" s="15">
        <f>VLOOKUP(A315,Database!A:K,MATCH('Retail Sales'!$A$1,Database!$A$1:$K$1,),)</f>
        <v>484243</v>
      </c>
      <c r="C315" s="12">
        <f t="shared" si="8"/>
        <v>2.0438568394079371E-2</v>
      </c>
      <c r="D315" s="13">
        <f t="shared" si="9"/>
        <v>4.8732947691454732E-2</v>
      </c>
    </row>
    <row r="316" spans="1:4" x14ac:dyDescent="0.35">
      <c r="A316" s="11">
        <v>43009</v>
      </c>
      <c r="B316" s="15">
        <f>VLOOKUP(A316,Database!A:K,MATCH('Retail Sales'!$A$1,Database!$A$1:$K$1,),)</f>
        <v>484880</v>
      </c>
      <c r="C316" s="12">
        <f t="shared" si="8"/>
        <v>1.3154552569680925E-3</v>
      </c>
      <c r="D316" s="13">
        <f t="shared" si="9"/>
        <v>4.8137636156511628E-2</v>
      </c>
    </row>
    <row r="317" spans="1:4" x14ac:dyDescent="0.35">
      <c r="A317" s="10">
        <v>43040</v>
      </c>
      <c r="B317" s="15">
        <f>VLOOKUP(A317,Database!A:K,MATCH('Retail Sales'!$A$1,Database!$A$1:$K$1,),)</f>
        <v>489882</v>
      </c>
      <c r="C317" s="12">
        <f t="shared" si="8"/>
        <v>1.0315954462959907E-2</v>
      </c>
      <c r="D317" s="13">
        <f t="shared" si="9"/>
        <v>5.9905580773441457E-2</v>
      </c>
    </row>
    <row r="318" spans="1:4" x14ac:dyDescent="0.35">
      <c r="A318" s="11">
        <v>43070</v>
      </c>
      <c r="B318" s="15">
        <f>VLOOKUP(A318,Database!A:K,MATCH('Retail Sales'!$A$1,Database!$A$1:$K$1,),)</f>
        <v>493332</v>
      </c>
      <c r="C318" s="12">
        <f t="shared" si="8"/>
        <v>7.0425122784670592E-3</v>
      </c>
      <c r="D318" s="13">
        <f t="shared" si="9"/>
        <v>5.2818930304621176E-2</v>
      </c>
    </row>
    <row r="319" spans="1:4" x14ac:dyDescent="0.35">
      <c r="A319" s="10">
        <v>43101</v>
      </c>
      <c r="B319" s="15">
        <f>VLOOKUP(A319,Database!A:K,MATCH('Retail Sales'!$A$1,Database!$A$1:$K$1,),)</f>
        <v>491248</v>
      </c>
      <c r="C319" s="12">
        <f t="shared" si="8"/>
        <v>-4.22433574144795E-3</v>
      </c>
      <c r="D319" s="13">
        <f t="shared" si="9"/>
        <v>3.7719268597694935E-2</v>
      </c>
    </row>
    <row r="320" spans="1:4" x14ac:dyDescent="0.35">
      <c r="A320" s="11">
        <v>43132</v>
      </c>
      <c r="B320" s="15">
        <f>VLOOKUP(A320,Database!A:K,MATCH('Retail Sales'!$A$1,Database!$A$1:$K$1,),)</f>
        <v>494424</v>
      </c>
      <c r="C320" s="12">
        <f t="shared" si="8"/>
        <v>6.4651662703970299E-3</v>
      </c>
      <c r="D320" s="13">
        <f t="shared" si="9"/>
        <v>4.4278291724749716E-2</v>
      </c>
    </row>
    <row r="321" spans="1:4" x14ac:dyDescent="0.35">
      <c r="A321" s="10">
        <v>43160</v>
      </c>
      <c r="B321" s="15">
        <f>VLOOKUP(A321,Database!A:K,MATCH('Retail Sales'!$A$1,Database!$A$1:$K$1,),)</f>
        <v>493527</v>
      </c>
      <c r="C321" s="12">
        <f t="shared" si="8"/>
        <v>-1.8142323188194748E-3</v>
      </c>
      <c r="D321" s="13">
        <f t="shared" si="9"/>
        <v>4.4981504733390784E-2</v>
      </c>
    </row>
    <row r="322" spans="1:4" x14ac:dyDescent="0.35">
      <c r="A322" s="11">
        <v>43191</v>
      </c>
      <c r="B322" s="15">
        <f>VLOOKUP(A322,Database!A:K,MATCH('Retail Sales'!$A$1,Database!$A$1:$K$1,),)</f>
        <v>494686</v>
      </c>
      <c r="C322" s="12">
        <f t="shared" si="8"/>
        <v>2.348402417699538E-3</v>
      </c>
      <c r="D322" s="13">
        <f t="shared" si="9"/>
        <v>4.3339794194504962E-2</v>
      </c>
    </row>
    <row r="323" spans="1:4" x14ac:dyDescent="0.35">
      <c r="A323" s="10">
        <v>43221</v>
      </c>
      <c r="B323" s="15">
        <f>VLOOKUP(A323,Database!A:K,MATCH('Retail Sales'!$A$1,Database!$A$1:$K$1,),)</f>
        <v>500671</v>
      </c>
      <c r="C323" s="12">
        <f t="shared" si="8"/>
        <v>1.2098583748074536E-2</v>
      </c>
      <c r="D323" s="13">
        <f t="shared" si="9"/>
        <v>6.1265282935680253E-2</v>
      </c>
    </row>
    <row r="324" spans="1:4" x14ac:dyDescent="0.35">
      <c r="A324" s="11">
        <v>43252</v>
      </c>
      <c r="B324" s="15">
        <f>VLOOKUP(A324,Database!A:K,MATCH('Retail Sales'!$A$1,Database!$A$1:$K$1,),)</f>
        <v>499116</v>
      </c>
      <c r="C324" s="12">
        <f t="shared" si="8"/>
        <v>-3.1058319734915741E-3</v>
      </c>
      <c r="D324" s="13">
        <f t="shared" si="9"/>
        <v>5.3752090124478527E-2</v>
      </c>
    </row>
    <row r="325" spans="1:4" x14ac:dyDescent="0.35">
      <c r="A325" s="10">
        <v>43282</v>
      </c>
      <c r="B325" s="15">
        <f>VLOOKUP(A325,Database!A:K,MATCH('Retail Sales'!$A$1,Database!$A$1:$K$1,),)</f>
        <v>502596</v>
      </c>
      <c r="C325" s="12">
        <f t="shared" si="8"/>
        <v>6.9723270742673045E-3</v>
      </c>
      <c r="D325" s="13">
        <f t="shared" si="9"/>
        <v>6.1141760462126056E-2</v>
      </c>
    </row>
    <row r="326" spans="1:4" x14ac:dyDescent="0.35">
      <c r="A326" s="11">
        <v>43313</v>
      </c>
      <c r="B326" s="15">
        <f>VLOOKUP(A326,Database!A:K,MATCH('Retail Sales'!$A$1,Database!$A$1:$K$1,),)</f>
        <v>502503</v>
      </c>
      <c r="C326" s="12">
        <f t="shared" si="8"/>
        <v>-1.8503927607859991E-4</v>
      </c>
      <c r="D326" s="13">
        <f t="shared" si="9"/>
        <v>5.8917613540577903E-2</v>
      </c>
    </row>
    <row r="327" spans="1:4" x14ac:dyDescent="0.35">
      <c r="A327" s="10">
        <v>43344</v>
      </c>
      <c r="B327" s="15">
        <f>VLOOKUP(A327,Database!A:K,MATCH('Retail Sales'!$A$1,Database!$A$1:$K$1,),)</f>
        <v>500518</v>
      </c>
      <c r="C327" s="12">
        <f t="shared" si="8"/>
        <v>-3.9502251727850379E-3</v>
      </c>
      <c r="D327" s="13">
        <f t="shared" si="9"/>
        <v>3.3609159037921041E-2</v>
      </c>
    </row>
    <row r="328" spans="1:4" x14ac:dyDescent="0.35">
      <c r="A328" s="11">
        <v>43374</v>
      </c>
      <c r="B328" s="15">
        <f>VLOOKUP(A328,Database!A:K,MATCH('Retail Sales'!$A$1,Database!$A$1:$K$1,),)</f>
        <v>505965</v>
      </c>
      <c r="C328" s="12">
        <f t="shared" ref="C328:C391" si="10">(B328-B327)/B327</f>
        <v>1.0882725496385744E-2</v>
      </c>
      <c r="D328" s="13">
        <f t="shared" si="9"/>
        <v>4.3484985975911564E-2</v>
      </c>
    </row>
    <row r="329" spans="1:4" x14ac:dyDescent="0.35">
      <c r="A329" s="10">
        <v>43405</v>
      </c>
      <c r="B329" s="15">
        <f>VLOOKUP(A329,Database!A:K,MATCH('Retail Sales'!$A$1,Database!$A$1:$K$1,),)</f>
        <v>507282</v>
      </c>
      <c r="C329" s="12">
        <f t="shared" si="10"/>
        <v>2.6029468441492987E-3</v>
      </c>
      <c r="D329" s="13">
        <f t="shared" si="9"/>
        <v>3.5518757578355604E-2</v>
      </c>
    </row>
    <row r="330" spans="1:4" x14ac:dyDescent="0.35">
      <c r="A330" s="11">
        <v>43435</v>
      </c>
      <c r="B330" s="15">
        <f>VLOOKUP(A330,Database!A:K,MATCH('Retail Sales'!$A$1,Database!$A$1:$K$1,),)</f>
        <v>498336</v>
      </c>
      <c r="C330" s="12">
        <f t="shared" si="10"/>
        <v>-1.7635161507800395E-2</v>
      </c>
      <c r="D330" s="13">
        <f t="shared" si="9"/>
        <v>1.0143270657488263E-2</v>
      </c>
    </row>
    <row r="331" spans="1:4" x14ac:dyDescent="0.35">
      <c r="A331" s="10">
        <v>43466</v>
      </c>
      <c r="B331" s="15">
        <f>VLOOKUP(A331,Database!A:K,MATCH('Retail Sales'!$A$1,Database!$A$1:$K$1,),)</f>
        <v>501305</v>
      </c>
      <c r="C331" s="12">
        <f t="shared" si="10"/>
        <v>5.9578276504205999E-3</v>
      </c>
      <c r="D331" s="13">
        <f t="shared" si="9"/>
        <v>2.0472347979024853E-2</v>
      </c>
    </row>
    <row r="332" spans="1:4" x14ac:dyDescent="0.35">
      <c r="A332" s="11">
        <v>43497</v>
      </c>
      <c r="B332" s="15">
        <f>VLOOKUP(A332,Database!A:K,MATCH('Retail Sales'!$A$1,Database!$A$1:$K$1,),)</f>
        <v>503037</v>
      </c>
      <c r="C332" s="12">
        <f t="shared" si="10"/>
        <v>3.4549824956862591E-3</v>
      </c>
      <c r="D332" s="13">
        <f t="shared" si="9"/>
        <v>1.7420270860637833E-2</v>
      </c>
    </row>
    <row r="333" spans="1:4" x14ac:dyDescent="0.35">
      <c r="A333" s="10">
        <v>43525</v>
      </c>
      <c r="B333" s="15">
        <f>VLOOKUP(A333,Database!A:K,MATCH('Retail Sales'!$A$1,Database!$A$1:$K$1,),)</f>
        <v>509552</v>
      </c>
      <c r="C333" s="12">
        <f t="shared" si="10"/>
        <v>1.2951333599715328E-2</v>
      </c>
      <c r="D333" s="13">
        <f t="shared" si="9"/>
        <v>3.2470361297355567E-2</v>
      </c>
    </row>
    <row r="334" spans="1:4" x14ac:dyDescent="0.35">
      <c r="A334" s="11">
        <v>43556</v>
      </c>
      <c r="B334" s="15">
        <f>VLOOKUP(A334,Database!A:K,MATCH('Retail Sales'!$A$1,Database!$A$1:$K$1,),)</f>
        <v>510367</v>
      </c>
      <c r="C334" s="12">
        <f t="shared" si="10"/>
        <v>1.5994442176657142E-3</v>
      </c>
      <c r="D334" s="13">
        <f t="shared" si="9"/>
        <v>3.1698895865255941E-2</v>
      </c>
    </row>
    <row r="335" spans="1:4" x14ac:dyDescent="0.35">
      <c r="A335" s="10">
        <v>43586</v>
      </c>
      <c r="B335" s="15">
        <f>VLOOKUP(A335,Database!A:K,MATCH('Retail Sales'!$A$1,Database!$A$1:$K$1,),)</f>
        <v>512883</v>
      </c>
      <c r="C335" s="12">
        <f t="shared" si="10"/>
        <v>4.9297858207917045E-3</v>
      </c>
      <c r="D335" s="13">
        <f t="shared" si="9"/>
        <v>2.4391266919793635E-2</v>
      </c>
    </row>
    <row r="336" spans="1:4" x14ac:dyDescent="0.35">
      <c r="A336" s="11">
        <v>43617</v>
      </c>
      <c r="B336" s="15">
        <f>VLOOKUP(A336,Database!A:K,MATCH('Retail Sales'!$A$1,Database!$A$1:$K$1,),)</f>
        <v>513694</v>
      </c>
      <c r="C336" s="12">
        <f t="shared" si="10"/>
        <v>1.5812573237950955E-3</v>
      </c>
      <c r="D336" s="13">
        <f t="shared" si="9"/>
        <v>2.92076391059393E-2</v>
      </c>
    </row>
    <row r="337" spans="1:4" x14ac:dyDescent="0.35">
      <c r="A337" s="10">
        <v>43647</v>
      </c>
      <c r="B337" s="15">
        <f>VLOOKUP(A337,Database!A:K,MATCH('Retail Sales'!$A$1,Database!$A$1:$K$1,),)</f>
        <v>518670</v>
      </c>
      <c r="C337" s="12">
        <f t="shared" si="10"/>
        <v>9.6867006427951274E-3</v>
      </c>
      <c r="D337" s="13">
        <f t="shared" si="9"/>
        <v>3.1981949717068976E-2</v>
      </c>
    </row>
    <row r="338" spans="1:4" s="109" customFormat="1" x14ac:dyDescent="0.35">
      <c r="A338" s="11">
        <v>43678</v>
      </c>
      <c r="B338" s="15">
        <f>VLOOKUP(A338,Database!A:K,MATCH('Retail Sales'!$A$1,Database!$A$1:$K$1,),)</f>
        <v>521158</v>
      </c>
      <c r="C338" s="12">
        <f t="shared" si="10"/>
        <v>4.7968843387895966E-3</v>
      </c>
      <c r="D338" s="13">
        <f t="shared" si="9"/>
        <v>3.7124156472697678E-2</v>
      </c>
    </row>
    <row r="339" spans="1:4" s="109" customFormat="1" x14ac:dyDescent="0.35">
      <c r="A339" s="10">
        <v>43709</v>
      </c>
      <c r="B339" s="15">
        <f>VLOOKUP(A339,Database!A:K,MATCH('Retail Sales'!$A$1,Database!$A$1:$K$1,),)</f>
        <v>517755</v>
      </c>
      <c r="C339" s="12">
        <f t="shared" si="10"/>
        <v>-6.5296896526581194E-3</v>
      </c>
      <c r="D339" s="13">
        <f t="shared" ref="D339:D402" si="11">(B339-B327)/B327</f>
        <v>3.443832189851314E-2</v>
      </c>
    </row>
    <row r="340" spans="1:4" s="109" customFormat="1" x14ac:dyDescent="0.35">
      <c r="A340" s="11">
        <v>43739</v>
      </c>
      <c r="B340" s="15">
        <f>VLOOKUP(A340,Database!A:K,MATCH('Retail Sales'!$A$1,Database!$A$1:$K$1,),)</f>
        <v>519519</v>
      </c>
      <c r="C340" s="12">
        <f t="shared" si="10"/>
        <v>3.4070168322855405E-3</v>
      </c>
      <c r="D340" s="13">
        <f t="shared" si="11"/>
        <v>2.678841421837479E-2</v>
      </c>
    </row>
    <row r="341" spans="1:4" s="109" customFormat="1" x14ac:dyDescent="0.35">
      <c r="A341" s="10">
        <v>43770</v>
      </c>
      <c r="B341" s="15">
        <f>VLOOKUP(A341,Database!A:K,MATCH('Retail Sales'!$A$1,Database!$A$1:$K$1,),)</f>
        <v>521774</v>
      </c>
      <c r="C341" s="12">
        <f t="shared" si="10"/>
        <v>4.3405534735014503E-3</v>
      </c>
      <c r="D341" s="13">
        <f t="shared" si="11"/>
        <v>2.8567936571768759E-2</v>
      </c>
    </row>
    <row r="342" spans="1:4" s="109" customFormat="1" x14ac:dyDescent="0.35">
      <c r="A342" s="11">
        <v>43800</v>
      </c>
      <c r="B342" s="15">
        <f>VLOOKUP(A342,Database!A:K,MATCH('Retail Sales'!$A$1,Database!$A$1:$K$1,),)</f>
        <v>525903</v>
      </c>
      <c r="C342" s="12">
        <f t="shared" si="10"/>
        <v>7.9133877885827972E-3</v>
      </c>
      <c r="D342" s="13">
        <f t="shared" si="11"/>
        <v>5.5318098632248125E-2</v>
      </c>
    </row>
    <row r="343" spans="1:4" s="109" customFormat="1" x14ac:dyDescent="0.35">
      <c r="A343" s="10">
        <v>43831</v>
      </c>
      <c r="B343" s="15">
        <f>VLOOKUP(A343,Database!A:K,MATCH('Retail Sales'!$A$1,Database!$A$1:$K$1,),)</f>
        <v>524063</v>
      </c>
      <c r="C343" s="12">
        <f t="shared" si="10"/>
        <v>-3.4987440649701562E-3</v>
      </c>
      <c r="D343" s="13">
        <f t="shared" si="11"/>
        <v>4.5397512492394848E-2</v>
      </c>
    </row>
    <row r="344" spans="1:4" s="109" customFormat="1" x14ac:dyDescent="0.35">
      <c r="A344" s="11">
        <v>43862</v>
      </c>
      <c r="B344" s="15">
        <f>VLOOKUP(A344,Database!A:K,MATCH('Retail Sales'!$A$1,Database!$A$1:$K$1,),)</f>
        <v>526174</v>
      </c>
      <c r="C344" s="12">
        <f t="shared" si="10"/>
        <v>4.0281416547247179E-3</v>
      </c>
      <c r="D344" s="13">
        <f t="shared" si="11"/>
        <v>4.5994628625727334E-2</v>
      </c>
    </row>
    <row r="345" spans="1:4" s="109" customFormat="1" x14ac:dyDescent="0.35">
      <c r="A345" s="10">
        <v>43891</v>
      </c>
      <c r="B345" s="15">
        <f>VLOOKUP(A345,Database!A:K,MATCH('Retail Sales'!$A$1,Database!$A$1:$K$1,),)</f>
        <v>480150</v>
      </c>
      <c r="C345" s="12">
        <f t="shared" si="10"/>
        <v>-8.7469164192833543E-2</v>
      </c>
      <c r="D345" s="13">
        <f t="shared" si="11"/>
        <v>-5.7701667347002855E-2</v>
      </c>
    </row>
    <row r="346" spans="1:4" s="109" customFormat="1" x14ac:dyDescent="0.35">
      <c r="A346" s="11">
        <v>43922</v>
      </c>
      <c r="B346" s="15">
        <f>VLOOKUP(A346,Database!A:K,MATCH('Retail Sales'!$A$1,Database!$A$1:$K$1,),)</f>
        <v>407025</v>
      </c>
      <c r="C346" s="12">
        <f t="shared" si="10"/>
        <v>-0.15229615745079664</v>
      </c>
      <c r="D346" s="13">
        <f t="shared" si="11"/>
        <v>-0.20248566227832129</v>
      </c>
    </row>
    <row r="347" spans="1:4" s="109" customFormat="1" x14ac:dyDescent="0.35">
      <c r="A347" s="10">
        <v>43952</v>
      </c>
      <c r="B347" s="15">
        <f>VLOOKUP(A347,Database!A:K,MATCH('Retail Sales'!$A$1,Database!$A$1:$K$1,),)</f>
        <v>483066</v>
      </c>
      <c r="C347" s="12">
        <f t="shared" si="10"/>
        <v>0.18682144831398562</v>
      </c>
      <c r="D347" s="13">
        <f t="shared" si="11"/>
        <v>-5.8136066120343236E-2</v>
      </c>
    </row>
    <row r="348" spans="1:4" s="109" customFormat="1" x14ac:dyDescent="0.35">
      <c r="A348" s="11">
        <v>43983</v>
      </c>
      <c r="B348" s="15">
        <f>VLOOKUP(A348,Database!A:K,MATCH('Retail Sales'!$A$1,Database!$A$1:$K$1,),)</f>
        <v>525093</v>
      </c>
      <c r="C348" s="12">
        <f t="shared" si="10"/>
        <v>8.7000534088509648E-2</v>
      </c>
      <c r="D348" s="13">
        <f t="shared" si="11"/>
        <v>2.2190253341483453E-2</v>
      </c>
    </row>
    <row r="349" spans="1:4" s="109" customFormat="1" x14ac:dyDescent="0.35">
      <c r="A349" s="10">
        <v>44013</v>
      </c>
      <c r="B349" s="15">
        <f>VLOOKUP(A349,Database!A:K,MATCH('Retail Sales'!$A$1,Database!$A$1:$K$1,),)</f>
        <v>536087</v>
      </c>
      <c r="C349" s="12">
        <f t="shared" si="10"/>
        <v>2.0937243497818482E-2</v>
      </c>
      <c r="D349" s="13">
        <f t="shared" si="11"/>
        <v>3.3580118379701929E-2</v>
      </c>
    </row>
    <row r="350" spans="1:4" s="109" customFormat="1" x14ac:dyDescent="0.35">
      <c r="A350" s="11">
        <v>44044</v>
      </c>
      <c r="B350" s="15">
        <f>VLOOKUP(A350,Database!A:K,MATCH('Retail Sales'!$A$1,Database!$A$1:$K$1,),)</f>
        <v>540078</v>
      </c>
      <c r="C350" s="12">
        <f t="shared" si="10"/>
        <v>7.4446871496604092E-3</v>
      </c>
      <c r="D350" s="13">
        <f t="shared" si="11"/>
        <v>3.6303769682130949E-2</v>
      </c>
    </row>
    <row r="351" spans="1:4" s="109" customFormat="1" x14ac:dyDescent="0.35">
      <c r="A351" s="10">
        <v>44075</v>
      </c>
      <c r="B351" s="15">
        <f>VLOOKUP(A351,Database!A:K,MATCH('Retail Sales'!$A$1,Database!$A$1:$K$1,),)</f>
        <v>551871</v>
      </c>
      <c r="C351" s="12">
        <f t="shared" si="10"/>
        <v>2.1835734838301136E-2</v>
      </c>
      <c r="D351" s="13">
        <f t="shared" si="11"/>
        <v>6.5892169076107426E-2</v>
      </c>
    </row>
    <row r="352" spans="1:4" s="109" customFormat="1" x14ac:dyDescent="0.35">
      <c r="A352" s="11">
        <v>44105</v>
      </c>
      <c r="B352" s="15">
        <f>VLOOKUP(A352,Database!A:K,MATCH('Retail Sales'!$A$1,Database!$A$1:$K$1,),)</f>
        <v>550049</v>
      </c>
      <c r="C352" s="12">
        <f t="shared" si="10"/>
        <v>-3.3014961829847919E-3</v>
      </c>
      <c r="D352" s="13">
        <f t="shared" si="11"/>
        <v>5.8765896916185931E-2</v>
      </c>
    </row>
    <row r="353" spans="1:4" s="109" customFormat="1" x14ac:dyDescent="0.35">
      <c r="A353" s="10">
        <v>44136</v>
      </c>
      <c r="B353" s="15">
        <f>VLOOKUP(A353,Database!A:K,MATCH('Retail Sales'!$A$1,Database!$A$1:$K$1,),)</f>
        <v>543834</v>
      </c>
      <c r="C353" s="12">
        <f t="shared" si="10"/>
        <v>-1.1298993362409531E-2</v>
      </c>
      <c r="D353" s="13">
        <f t="shared" si="11"/>
        <v>4.227884103079111E-2</v>
      </c>
    </row>
    <row r="354" spans="1:4" s="109" customFormat="1" x14ac:dyDescent="0.35">
      <c r="A354" s="11">
        <v>44166</v>
      </c>
      <c r="B354" s="15">
        <f>VLOOKUP(A354,Database!A:K,MATCH('Retail Sales'!$A$1,Database!$A$1:$K$1,),)</f>
        <v>542942</v>
      </c>
      <c r="C354" s="12">
        <f t="shared" si="10"/>
        <v>-1.6402063865076475E-3</v>
      </c>
      <c r="D354" s="13">
        <f t="shared" si="11"/>
        <v>3.2399510936427442E-2</v>
      </c>
    </row>
    <row r="355" spans="1:4" s="109" customFormat="1" x14ac:dyDescent="0.35">
      <c r="A355" s="10">
        <v>44197</v>
      </c>
      <c r="B355" s="15">
        <f>VLOOKUP(A355,Database!A:K,MATCH('Retail Sales'!$A$1,Database!$A$1:$K$1,),)</f>
        <v>572822</v>
      </c>
      <c r="C355" s="12">
        <f t="shared" si="10"/>
        <v>5.5033502657742449E-2</v>
      </c>
      <c r="D355" s="13">
        <f t="shared" si="11"/>
        <v>9.3040340569740657E-2</v>
      </c>
    </row>
    <row r="356" spans="1:4" s="109" customFormat="1" x14ac:dyDescent="0.35">
      <c r="A356" s="11">
        <v>44228</v>
      </c>
      <c r="B356" s="15">
        <f>VLOOKUP(A356,Database!A:K,MATCH('Retail Sales'!$A$1,Database!$A$1:$K$1,),)</f>
        <v>562686</v>
      </c>
      <c r="C356" s="12">
        <f t="shared" si="10"/>
        <v>-1.7694851105579047E-2</v>
      </c>
      <c r="D356" s="13">
        <f t="shared" si="11"/>
        <v>6.9391494068502049E-2</v>
      </c>
    </row>
    <row r="357" spans="1:4" s="109" customFormat="1" x14ac:dyDescent="0.35">
      <c r="A357" s="10">
        <v>44256</v>
      </c>
      <c r="B357" s="15">
        <f>VLOOKUP(A357,Database!A:K,MATCH('Retail Sales'!$A$1,Database!$A$1:$K$1,),)</f>
        <v>625731</v>
      </c>
      <c r="C357" s="12">
        <f t="shared" si="10"/>
        <v>0.11204295113082607</v>
      </c>
      <c r="D357" s="13">
        <f t="shared" si="11"/>
        <v>0.30319900031240238</v>
      </c>
    </row>
    <row r="358" spans="1:4" s="109" customFormat="1" x14ac:dyDescent="0.35">
      <c r="A358" s="11">
        <v>44287</v>
      </c>
      <c r="B358" s="15">
        <f>VLOOKUP(A358,Database!A:K,MATCH('Retail Sales'!$A$1,Database!$A$1:$K$1,),)</f>
        <v>625764</v>
      </c>
      <c r="C358" s="12">
        <f t="shared" si="10"/>
        <v>5.2738317264127874E-5</v>
      </c>
      <c r="D358" s="13">
        <f t="shared" si="11"/>
        <v>0.53740925004606599</v>
      </c>
    </row>
    <row r="359" spans="1:4" s="109" customFormat="1" x14ac:dyDescent="0.35">
      <c r="A359" s="10">
        <v>44317</v>
      </c>
      <c r="B359" s="15">
        <f>VLOOKUP(A359,Database!A:K,MATCH('Retail Sales'!$A$1,Database!$A$1:$K$1,),)</f>
        <v>622921</v>
      </c>
      <c r="C359" s="12">
        <f t="shared" si="10"/>
        <v>-4.5432463356792656E-3</v>
      </c>
      <c r="D359" s="13">
        <f t="shared" si="11"/>
        <v>0.289515304326945</v>
      </c>
    </row>
    <row r="360" spans="1:4" s="109" customFormat="1" x14ac:dyDescent="0.35">
      <c r="A360" s="11">
        <v>44348</v>
      </c>
      <c r="B360" s="15">
        <f>VLOOKUP(A360,Database!A:K,MATCH('Retail Sales'!$A$1,Database!$A$1:$K$1,),)</f>
        <v>628881</v>
      </c>
      <c r="C360" s="12">
        <f t="shared" si="10"/>
        <v>9.5678264177961568E-3</v>
      </c>
      <c r="D360" s="13">
        <f t="shared" si="11"/>
        <v>0.19765641514931639</v>
      </c>
    </row>
    <row r="361" spans="1:4" s="109" customFormat="1" x14ac:dyDescent="0.35">
      <c r="A361" s="10">
        <v>44378</v>
      </c>
      <c r="B361" s="15">
        <f>VLOOKUP(A361,Database!A:K,MATCH('Retail Sales'!$A$1,Database!$A$1:$K$1,),)</f>
        <v>619014</v>
      </c>
      <c r="C361" s="12">
        <f t="shared" si="10"/>
        <v>-1.5689772786902451E-2</v>
      </c>
      <c r="D361" s="13">
        <f t="shared" si="11"/>
        <v>0.15468944406411647</v>
      </c>
    </row>
    <row r="362" spans="1:4" s="109" customFormat="1" x14ac:dyDescent="0.35">
      <c r="A362" s="11">
        <v>44409</v>
      </c>
      <c r="B362" s="15">
        <f>VLOOKUP(A362,Database!A:K,MATCH('Retail Sales'!$A$1,Database!$A$1:$K$1,),)</f>
        <v>624963</v>
      </c>
      <c r="C362" s="12">
        <f t="shared" si="10"/>
        <v>9.6104449980129684E-3</v>
      </c>
      <c r="D362" s="13">
        <f t="shared" si="11"/>
        <v>0.15717174185950919</v>
      </c>
    </row>
    <row r="363" spans="1:4" s="109" customFormat="1" x14ac:dyDescent="0.35">
      <c r="A363" s="11">
        <v>44440</v>
      </c>
      <c r="B363" s="15">
        <f>VLOOKUP(A363,Database!A:K,MATCH('Retail Sales'!$A$1,Database!$A$1:$K$1,),)</f>
        <v>631563</v>
      </c>
      <c r="C363" s="12">
        <f t="shared" si="10"/>
        <v>1.0560625189011189E-2</v>
      </c>
      <c r="D363" s="13">
        <f t="shared" si="11"/>
        <v>0.14440331164348191</v>
      </c>
    </row>
    <row r="364" spans="1:4" s="109" customFormat="1" x14ac:dyDescent="0.35">
      <c r="A364" s="10">
        <v>44470</v>
      </c>
      <c r="B364" s="15">
        <f>VLOOKUP(A364,Database!A:K,MATCH('Retail Sales'!$A$1,Database!$A$1:$K$1,),)</f>
        <v>640524</v>
      </c>
      <c r="C364" s="12">
        <f t="shared" si="10"/>
        <v>1.4188608262358625E-2</v>
      </c>
      <c r="D364" s="13">
        <f t="shared" si="11"/>
        <v>0.16448534585100599</v>
      </c>
    </row>
    <row r="365" spans="1:4" s="109" customFormat="1" x14ac:dyDescent="0.35">
      <c r="A365" s="11">
        <v>44501</v>
      </c>
      <c r="B365" s="15">
        <f>VLOOKUP(A365,Database!A:K,MATCH('Retail Sales'!$A$1,Database!$A$1:$K$1,),)</f>
        <v>647516</v>
      </c>
      <c r="C365" s="12">
        <f t="shared" si="10"/>
        <v>1.0916062473849535E-2</v>
      </c>
      <c r="D365" s="13">
        <f t="shared" si="11"/>
        <v>0.19065008807834743</v>
      </c>
    </row>
    <row r="366" spans="1:4" s="109" customFormat="1" x14ac:dyDescent="0.35">
      <c r="A366" s="11">
        <v>44531</v>
      </c>
      <c r="B366" s="15">
        <f>VLOOKUP(A366,Database!A:K,MATCH('Retail Sales'!$A$1,Database!$A$1:$K$1,),)</f>
        <v>634393</v>
      </c>
      <c r="C366" s="12">
        <f t="shared" si="10"/>
        <v>-2.0266680668894668E-2</v>
      </c>
      <c r="D366" s="13">
        <f t="shared" si="11"/>
        <v>0.16843603920860792</v>
      </c>
    </row>
    <row r="367" spans="1:4" s="109" customFormat="1" x14ac:dyDescent="0.35">
      <c r="A367" s="11">
        <v>44562</v>
      </c>
      <c r="B367" s="15">
        <f>VLOOKUP(A367,Database!A:K,MATCH('Retail Sales'!$A$1,Database!$A$1:$K$1,),)</f>
        <v>651557</v>
      </c>
      <c r="C367" s="12">
        <f t="shared" si="10"/>
        <v>2.7055784032925963E-2</v>
      </c>
      <c r="D367" s="13">
        <f t="shared" si="11"/>
        <v>0.13745107555226579</v>
      </c>
    </row>
    <row r="368" spans="1:4" s="109" customFormat="1" x14ac:dyDescent="0.35">
      <c r="A368" s="10">
        <v>44593</v>
      </c>
      <c r="B368" s="15">
        <f>VLOOKUP(A368,Database!A:K,MATCH('Retail Sales'!$A$1,Database!$A$1:$K$1,),)</f>
        <v>662321</v>
      </c>
      <c r="C368" s="12">
        <f t="shared" si="10"/>
        <v>1.6520427222790946E-2</v>
      </c>
      <c r="D368" s="13">
        <f t="shared" si="11"/>
        <v>0.17707033763057906</v>
      </c>
    </row>
    <row r="369" spans="1:4" s="109" customFormat="1" x14ac:dyDescent="0.35">
      <c r="A369" s="11">
        <v>44621</v>
      </c>
      <c r="B369" s="15">
        <f>VLOOKUP(A369,Database!A:K,MATCH('Retail Sales'!$A$1,Database!$A$1:$K$1,),)</f>
        <v>669958</v>
      </c>
      <c r="C369" s="12">
        <f t="shared" si="10"/>
        <v>1.1530662624316608E-2</v>
      </c>
      <c r="D369" s="13">
        <f t="shared" si="11"/>
        <v>7.0680532049714653E-2</v>
      </c>
    </row>
    <row r="370" spans="1:4" s="109" customFormat="1" x14ac:dyDescent="0.35">
      <c r="A370" s="11">
        <v>44652</v>
      </c>
      <c r="B370" s="15">
        <f>VLOOKUP(A370,Database!A:K,MATCH('Retail Sales'!$A$1,Database!$A$1:$K$1,),)</f>
        <v>674719</v>
      </c>
      <c r="C370" s="12">
        <f t="shared" si="10"/>
        <v>7.1064156260541708E-3</v>
      </c>
      <c r="D370" s="13">
        <f t="shared" si="11"/>
        <v>7.8232368752437026E-2</v>
      </c>
    </row>
    <row r="371" spans="1:4" s="109" customFormat="1" x14ac:dyDescent="0.35">
      <c r="A371" s="10">
        <v>44682</v>
      </c>
      <c r="B371" s="15">
        <f>VLOOKUP(A371,Database!A:K,MATCH('Retail Sales'!$A$1,Database!$A$1:$K$1,),)</f>
        <v>677115</v>
      </c>
      <c r="C371" s="12">
        <f t="shared" si="10"/>
        <v>3.5511079427139299E-3</v>
      </c>
      <c r="D371" s="13">
        <f t="shared" si="11"/>
        <v>8.6999796121819614E-2</v>
      </c>
    </row>
    <row r="372" spans="1:4" s="109" customFormat="1" x14ac:dyDescent="0.35">
      <c r="A372" s="11">
        <v>44713</v>
      </c>
      <c r="B372" s="15">
        <f>VLOOKUP(A372,Database!A:K,MATCH('Retail Sales'!$A$1,Database!$A$1:$K$1,),)</f>
        <v>684084</v>
      </c>
      <c r="C372" s="12">
        <f t="shared" si="10"/>
        <v>1.0292195565007422E-2</v>
      </c>
      <c r="D372" s="13">
        <f t="shared" si="11"/>
        <v>8.7779723031861351E-2</v>
      </c>
    </row>
    <row r="373" spans="1:4" s="109" customFormat="1" x14ac:dyDescent="0.35">
      <c r="A373" s="11">
        <v>44743</v>
      </c>
      <c r="B373" s="15">
        <f>VLOOKUP(A373,Database!A:K,MATCH('Retail Sales'!$A$1,Database!$A$1:$K$1,),)</f>
        <v>681108</v>
      </c>
      <c r="C373" s="12">
        <f t="shared" si="10"/>
        <v>-4.3503429403406596E-3</v>
      </c>
      <c r="D373" s="13">
        <f t="shared" si="11"/>
        <v>0.10031113997421706</v>
      </c>
    </row>
    <row r="374" spans="1:4" s="109" customFormat="1" x14ac:dyDescent="0.35">
      <c r="A374" s="10">
        <v>44774</v>
      </c>
      <c r="B374" s="15">
        <f>VLOOKUP(A374,Database!A:K,MATCH('Retail Sales'!$A$1,Database!$A$1:$K$1,),)</f>
        <v>685685</v>
      </c>
      <c r="C374" s="12">
        <f t="shared" si="10"/>
        <v>6.7199328153538058E-3</v>
      </c>
      <c r="D374" s="13">
        <f t="shared" si="11"/>
        <v>9.7160951928354153E-2</v>
      </c>
    </row>
    <row r="375" spans="1:4" s="109" customFormat="1" x14ac:dyDescent="0.35">
      <c r="A375" s="10">
        <v>44805</v>
      </c>
      <c r="B375" s="15">
        <f>VLOOKUP(A375,Database!A:K,MATCH('Retail Sales'!$A$1,Database!$A$1:$K$1,),)</f>
        <v>684538</v>
      </c>
      <c r="C375" s="12">
        <f t="shared" si="10"/>
        <v>-1.6727797749695561E-3</v>
      </c>
      <c r="D375" s="13">
        <f t="shared" si="11"/>
        <v>8.3879201283165727E-2</v>
      </c>
    </row>
    <row r="376" spans="1:4" s="109" customFormat="1" x14ac:dyDescent="0.35">
      <c r="A376" s="10">
        <v>44835</v>
      </c>
      <c r="B376" s="15">
        <f>VLOOKUP(A376,Database!A:K,MATCH('Retail Sales'!$A$1,Database!$A$1:$K$1,),)</f>
        <v>693482</v>
      </c>
      <c r="C376" s="12">
        <f t="shared" si="10"/>
        <v>1.3065746532697965E-2</v>
      </c>
      <c r="D376" s="13">
        <f t="shared" si="11"/>
        <v>8.2679181420212203E-2</v>
      </c>
    </row>
    <row r="377" spans="1:4" s="109" customFormat="1" x14ac:dyDescent="0.35">
      <c r="A377" s="10">
        <v>44866</v>
      </c>
      <c r="B377" s="15">
        <f>VLOOKUP(A377,Database!A:K,MATCH('Retail Sales'!$A$1,Database!$A$1:$K$1,),)</f>
        <v>689443</v>
      </c>
      <c r="C377" s="12">
        <f t="shared" si="10"/>
        <v>-5.8242319195018757E-3</v>
      </c>
      <c r="D377" s="13">
        <f t="shared" si="11"/>
        <v>6.4750523539186672E-2</v>
      </c>
    </row>
    <row r="378" spans="1:4" s="109" customFormat="1" x14ac:dyDescent="0.35">
      <c r="A378" s="54"/>
      <c r="B378" s="14"/>
      <c r="C378" s="54"/>
      <c r="D378" s="54"/>
    </row>
    <row r="379" spans="1:4" s="109" customFormat="1" x14ac:dyDescent="0.35">
      <c r="A379" s="54"/>
      <c r="B379" s="14"/>
      <c r="C379" s="54"/>
      <c r="D379" s="54"/>
    </row>
    <row r="380" spans="1:4" s="109" customFormat="1" x14ac:dyDescent="0.35">
      <c r="A380" s="54"/>
      <c r="B380" s="14"/>
      <c r="C380" s="54"/>
      <c r="D380" s="54"/>
    </row>
    <row r="381" spans="1:4" s="109" customFormat="1" x14ac:dyDescent="0.35">
      <c r="A381" s="54"/>
      <c r="B381" s="14"/>
      <c r="C381" s="54"/>
      <c r="D381" s="54"/>
    </row>
    <row r="382" spans="1:4" s="109" customFormat="1" x14ac:dyDescent="0.35">
      <c r="A382" s="54"/>
      <c r="B382" s="14"/>
      <c r="C382" s="54"/>
      <c r="D382" s="54"/>
    </row>
    <row r="383" spans="1:4" s="109" customFormat="1" x14ac:dyDescent="0.35">
      <c r="A383" s="54"/>
      <c r="B383" s="14"/>
      <c r="C383" s="54"/>
      <c r="D383" s="54"/>
    </row>
    <row r="384" spans="1:4" s="109" customFormat="1" x14ac:dyDescent="0.35">
      <c r="A384" s="54"/>
      <c r="B384" s="14"/>
      <c r="C384" s="54"/>
      <c r="D384" s="54"/>
    </row>
    <row r="385" spans="1:4" s="109" customFormat="1" x14ac:dyDescent="0.35">
      <c r="A385" s="54"/>
      <c r="B385" s="14"/>
      <c r="C385" s="54"/>
      <c r="D385" s="54"/>
    </row>
    <row r="386" spans="1:4" s="109" customFormat="1" x14ac:dyDescent="0.35">
      <c r="A386" s="54"/>
      <c r="B386" s="14"/>
      <c r="C386" s="54"/>
      <c r="D386" s="54"/>
    </row>
    <row r="387" spans="1:4" s="109" customFormat="1" x14ac:dyDescent="0.35">
      <c r="A387" s="54"/>
      <c r="B387" s="14"/>
      <c r="C387" s="54"/>
      <c r="D387" s="54"/>
    </row>
    <row r="388" spans="1:4" s="109" customFormat="1" x14ac:dyDescent="0.35">
      <c r="A388" s="54"/>
      <c r="B388" s="14"/>
      <c r="C388" s="54"/>
      <c r="D388" s="54"/>
    </row>
    <row r="389" spans="1:4" s="109" customFormat="1" x14ac:dyDescent="0.35">
      <c r="A389" s="54"/>
      <c r="B389" s="14"/>
      <c r="C389" s="54"/>
      <c r="D389" s="54"/>
    </row>
    <row r="390" spans="1:4" s="109" customFormat="1" x14ac:dyDescent="0.35">
      <c r="A390" s="54"/>
      <c r="B390" s="14"/>
      <c r="C390" s="54"/>
      <c r="D390" s="54"/>
    </row>
    <row r="391" spans="1:4" s="109" customFormat="1" x14ac:dyDescent="0.35">
      <c r="A391" s="54"/>
      <c r="B391" s="14"/>
      <c r="C391" s="54"/>
      <c r="D391" s="54"/>
    </row>
    <row r="392" spans="1:4" s="109" customFormat="1" x14ac:dyDescent="0.35">
      <c r="A392" s="54"/>
      <c r="B392" s="14"/>
      <c r="C392" s="54"/>
      <c r="D392" s="54"/>
    </row>
    <row r="393" spans="1:4" s="109" customFormat="1" x14ac:dyDescent="0.35">
      <c r="A393" s="54"/>
      <c r="B393" s="14"/>
      <c r="C393" s="54"/>
      <c r="D393" s="54"/>
    </row>
    <row r="394" spans="1:4" s="109" customFormat="1" x14ac:dyDescent="0.35">
      <c r="A394" s="54"/>
      <c r="B394" s="14"/>
      <c r="C394" s="54"/>
      <c r="D394" s="54"/>
    </row>
    <row r="395" spans="1:4" s="109" customFormat="1" x14ac:dyDescent="0.35">
      <c r="A395" s="54"/>
      <c r="B395" s="14"/>
      <c r="C395" s="54"/>
      <c r="D395" s="54"/>
    </row>
    <row r="396" spans="1:4" s="109" customFormat="1" x14ac:dyDescent="0.35">
      <c r="A396" s="54"/>
      <c r="B396" s="14"/>
      <c r="C396" s="54"/>
      <c r="D396" s="54"/>
    </row>
    <row r="397" spans="1:4" s="109" customFormat="1" x14ac:dyDescent="0.35">
      <c r="A397" s="54"/>
      <c r="B397" s="14"/>
      <c r="C397" s="54"/>
      <c r="D397" s="54"/>
    </row>
    <row r="398" spans="1:4" s="109" customFormat="1" x14ac:dyDescent="0.35">
      <c r="A398" s="54"/>
      <c r="B398" s="14"/>
      <c r="C398" s="54"/>
      <c r="D398" s="54"/>
    </row>
    <row r="399" spans="1:4" s="109" customFormat="1" x14ac:dyDescent="0.35">
      <c r="A399" s="54"/>
      <c r="B399" s="14"/>
      <c r="C399" s="54"/>
      <c r="D399" s="54"/>
    </row>
    <row r="400" spans="1:4" s="109" customFormat="1" x14ac:dyDescent="0.35">
      <c r="A400" s="54"/>
      <c r="B400" s="14"/>
      <c r="C400" s="54"/>
      <c r="D400" s="54"/>
    </row>
    <row r="401" spans="1:4" s="109" customFormat="1" x14ac:dyDescent="0.35">
      <c r="A401" s="54"/>
      <c r="B401" s="14"/>
      <c r="C401" s="54"/>
      <c r="D401" s="54"/>
    </row>
    <row r="402" spans="1:4" s="109" customFormat="1" x14ac:dyDescent="0.35">
      <c r="A402" s="54"/>
      <c r="B402" s="14"/>
      <c r="C402" s="54"/>
      <c r="D402" s="54"/>
    </row>
    <row r="403" spans="1:4" s="109" customFormat="1" x14ac:dyDescent="0.35">
      <c r="A403" s="54"/>
      <c r="B403" s="14"/>
      <c r="C403" s="54"/>
      <c r="D403" s="54"/>
    </row>
    <row r="404" spans="1:4" s="109" customFormat="1" x14ac:dyDescent="0.35">
      <c r="A404" s="54"/>
      <c r="B404" s="14"/>
      <c r="C404" s="54"/>
      <c r="D404" s="54"/>
    </row>
    <row r="405" spans="1:4" s="109" customFormat="1" x14ac:dyDescent="0.35">
      <c r="A405" s="54"/>
      <c r="B405" s="14"/>
      <c r="C405" s="54"/>
      <c r="D405" s="54"/>
    </row>
    <row r="406" spans="1:4" s="109" customFormat="1" x14ac:dyDescent="0.35">
      <c r="A406" s="54"/>
      <c r="B406" s="14"/>
      <c r="C406" s="54"/>
      <c r="D406" s="54"/>
    </row>
    <row r="407" spans="1:4" s="109" customFormat="1" x14ac:dyDescent="0.35">
      <c r="A407" s="54"/>
      <c r="B407" s="14"/>
      <c r="C407" s="54"/>
      <c r="D407" s="54"/>
    </row>
    <row r="408" spans="1:4" s="109" customFormat="1" x14ac:dyDescent="0.35">
      <c r="A408" s="54"/>
      <c r="B408" s="14"/>
      <c r="C408" s="54"/>
      <c r="D408" s="54"/>
    </row>
    <row r="409" spans="1:4" s="109" customFormat="1" x14ac:dyDescent="0.35">
      <c r="A409" s="54"/>
      <c r="B409" s="14"/>
      <c r="C409" s="54"/>
      <c r="D409" s="54"/>
    </row>
    <row r="410" spans="1:4" s="109" customFormat="1" x14ac:dyDescent="0.35">
      <c r="A410" s="54"/>
      <c r="B410" s="14"/>
      <c r="C410" s="54"/>
      <c r="D410" s="54"/>
    </row>
    <row r="411" spans="1:4" s="109" customFormat="1" x14ac:dyDescent="0.35">
      <c r="A411" s="54"/>
      <c r="B411" s="14"/>
      <c r="C411" s="54"/>
      <c r="D411" s="54"/>
    </row>
    <row r="412" spans="1:4" s="109" customFormat="1" x14ac:dyDescent="0.35">
      <c r="A412" s="54"/>
      <c r="B412" s="14"/>
      <c r="C412" s="54"/>
      <c r="D412" s="54"/>
    </row>
    <row r="413" spans="1:4" s="109" customFormat="1" x14ac:dyDescent="0.35">
      <c r="A413" s="54"/>
      <c r="B413" s="14"/>
      <c r="C413" s="54"/>
      <c r="D413" s="54"/>
    </row>
    <row r="414" spans="1:4" s="109" customFormat="1" x14ac:dyDescent="0.35">
      <c r="A414" s="54"/>
      <c r="B414" s="14"/>
      <c r="C414" s="54"/>
      <c r="D414" s="54"/>
    </row>
    <row r="415" spans="1:4" s="109" customFormat="1" x14ac:dyDescent="0.35">
      <c r="A415" s="54"/>
      <c r="B415" s="14"/>
      <c r="C415" s="54"/>
      <c r="D415" s="54"/>
    </row>
    <row r="416" spans="1:4" s="109" customFormat="1" x14ac:dyDescent="0.35">
      <c r="A416" s="54"/>
      <c r="B416" s="14"/>
      <c r="C416" s="54"/>
      <c r="D416" s="54"/>
    </row>
    <row r="417" spans="1:4" s="109" customFormat="1" x14ac:dyDescent="0.35">
      <c r="A417" s="54"/>
      <c r="B417" s="14"/>
      <c r="C417" s="54"/>
      <c r="D417" s="54"/>
    </row>
    <row r="418" spans="1:4" s="109" customFormat="1" x14ac:dyDescent="0.35">
      <c r="A418" s="54"/>
      <c r="B418" s="14"/>
      <c r="C418" s="54"/>
      <c r="D418" s="54"/>
    </row>
    <row r="419" spans="1:4" s="109" customFormat="1" x14ac:dyDescent="0.35">
      <c r="A419" s="54"/>
      <c r="B419" s="14"/>
      <c r="C419" s="54"/>
      <c r="D419" s="54"/>
    </row>
    <row r="420" spans="1:4" s="109" customFormat="1" x14ac:dyDescent="0.35">
      <c r="A420" s="54"/>
      <c r="B420" s="14"/>
      <c r="C420" s="54"/>
      <c r="D420" s="54"/>
    </row>
    <row r="421" spans="1:4" s="109" customFormat="1" x14ac:dyDescent="0.35">
      <c r="A421" s="54"/>
      <c r="B421" s="14"/>
      <c r="C421" s="54"/>
      <c r="D421" s="54"/>
    </row>
    <row r="422" spans="1:4" s="109" customFormat="1" x14ac:dyDescent="0.35">
      <c r="A422" s="54"/>
      <c r="B422" s="14"/>
      <c r="C422" s="54"/>
      <c r="D422" s="54"/>
    </row>
    <row r="423" spans="1:4" s="109" customFormat="1" x14ac:dyDescent="0.35">
      <c r="A423" s="54"/>
      <c r="B423" s="14"/>
      <c r="C423" s="54"/>
      <c r="D423" s="54"/>
    </row>
    <row r="424" spans="1:4" s="109" customFormat="1" x14ac:dyDescent="0.35">
      <c r="A424" s="54"/>
      <c r="B424" s="14"/>
      <c r="C424" s="54"/>
      <c r="D424" s="54"/>
    </row>
    <row r="425" spans="1:4" s="109" customFormat="1" x14ac:dyDescent="0.35">
      <c r="A425" s="54"/>
      <c r="B425" s="14"/>
      <c r="C425" s="54"/>
      <c r="D425" s="54"/>
    </row>
    <row r="426" spans="1:4" s="109" customFormat="1" x14ac:dyDescent="0.35">
      <c r="A426" s="54"/>
      <c r="B426" s="14"/>
      <c r="C426" s="54"/>
      <c r="D426" s="54"/>
    </row>
    <row r="427" spans="1:4" s="109" customFormat="1" x14ac:dyDescent="0.35">
      <c r="A427" s="54"/>
      <c r="B427" s="14"/>
      <c r="C427" s="54"/>
      <c r="D427" s="54"/>
    </row>
    <row r="428" spans="1:4" s="109" customFormat="1" x14ac:dyDescent="0.35">
      <c r="A428" s="54"/>
      <c r="B428" s="14"/>
      <c r="C428" s="54"/>
      <c r="D428" s="54"/>
    </row>
    <row r="429" spans="1:4" s="109" customFormat="1" x14ac:dyDescent="0.35">
      <c r="A429" s="54"/>
      <c r="B429" s="14"/>
      <c r="C429" s="54"/>
      <c r="D429" s="54"/>
    </row>
    <row r="430" spans="1:4" s="109" customFormat="1" x14ac:dyDescent="0.35">
      <c r="A430" s="54"/>
      <c r="B430" s="14"/>
      <c r="C430" s="54"/>
      <c r="D430" s="54"/>
    </row>
    <row r="431" spans="1:4" s="109" customFormat="1" x14ac:dyDescent="0.35">
      <c r="A431" s="54"/>
      <c r="B431" s="14"/>
      <c r="C431" s="54"/>
      <c r="D431" s="54"/>
    </row>
    <row r="432" spans="1:4" s="109" customFormat="1" x14ac:dyDescent="0.35">
      <c r="A432" s="54"/>
      <c r="B432" s="14"/>
      <c r="C432" s="54"/>
      <c r="D432" s="54"/>
    </row>
    <row r="433" spans="1:4" s="109" customFormat="1" x14ac:dyDescent="0.35">
      <c r="A433" s="54"/>
      <c r="B433" s="14"/>
      <c r="C433" s="54"/>
      <c r="D433" s="54"/>
    </row>
    <row r="434" spans="1:4" s="109" customFormat="1" x14ac:dyDescent="0.35">
      <c r="A434" s="54"/>
      <c r="B434" s="14"/>
      <c r="C434" s="54"/>
      <c r="D434" s="54"/>
    </row>
    <row r="435" spans="1:4" s="109" customFormat="1" x14ac:dyDescent="0.35">
      <c r="A435" s="54"/>
      <c r="B435" s="14"/>
      <c r="C435" s="54"/>
      <c r="D435" s="54"/>
    </row>
    <row r="436" spans="1:4" s="109" customFormat="1" x14ac:dyDescent="0.35">
      <c r="A436" s="54"/>
      <c r="B436" s="14"/>
      <c r="C436" s="54"/>
      <c r="D436" s="54"/>
    </row>
    <row r="437" spans="1:4" s="109" customFormat="1" x14ac:dyDescent="0.35">
      <c r="A437" s="54"/>
      <c r="B437" s="14"/>
      <c r="C437" s="54"/>
      <c r="D437" s="54"/>
    </row>
    <row r="438" spans="1:4" s="109" customFormat="1" x14ac:dyDescent="0.35">
      <c r="A438" s="54"/>
      <c r="B438" s="14"/>
      <c r="C438" s="54"/>
      <c r="D438" s="54"/>
    </row>
    <row r="439" spans="1:4" s="109" customFormat="1" x14ac:dyDescent="0.35">
      <c r="A439" s="54"/>
      <c r="B439" s="14"/>
      <c r="C439" s="54"/>
      <c r="D439" s="54"/>
    </row>
    <row r="440" spans="1:4" s="109" customFormat="1" x14ac:dyDescent="0.35">
      <c r="A440" s="54"/>
      <c r="B440" s="14"/>
      <c r="C440" s="54"/>
      <c r="D440" s="54"/>
    </row>
    <row r="441" spans="1:4" s="109" customFormat="1" x14ac:dyDescent="0.35">
      <c r="A441" s="54"/>
      <c r="B441" s="14"/>
      <c r="C441" s="54"/>
      <c r="D441" s="54"/>
    </row>
    <row r="442" spans="1:4" s="109" customFormat="1" x14ac:dyDescent="0.35">
      <c r="A442" s="54"/>
      <c r="B442" s="14"/>
      <c r="C442" s="54"/>
      <c r="D442" s="54"/>
    </row>
    <row r="443" spans="1:4" s="109" customFormat="1" x14ac:dyDescent="0.35">
      <c r="A443" s="54"/>
      <c r="B443" s="14"/>
      <c r="C443" s="54"/>
      <c r="D443" s="54"/>
    </row>
    <row r="444" spans="1:4" s="109" customFormat="1" x14ac:dyDescent="0.35">
      <c r="A444" s="54"/>
      <c r="B444" s="14"/>
      <c r="C444" s="54"/>
      <c r="D444" s="54"/>
    </row>
    <row r="445" spans="1:4" s="109" customFormat="1" x14ac:dyDescent="0.35">
      <c r="A445" s="54"/>
      <c r="B445" s="14"/>
      <c r="C445" s="54"/>
      <c r="D445" s="54"/>
    </row>
    <row r="446" spans="1:4" s="109" customFormat="1" x14ac:dyDescent="0.35">
      <c r="A446" s="54"/>
      <c r="B446" s="14"/>
      <c r="C446" s="54"/>
      <c r="D446" s="54"/>
    </row>
    <row r="447" spans="1:4" s="109" customFormat="1" x14ac:dyDescent="0.35">
      <c r="A447" s="54"/>
      <c r="B447" s="14"/>
      <c r="C447" s="54"/>
      <c r="D447" s="54"/>
    </row>
    <row r="448" spans="1:4" s="109" customFormat="1" x14ac:dyDescent="0.35">
      <c r="A448" s="54"/>
      <c r="B448" s="14"/>
      <c r="C448" s="54"/>
      <c r="D448" s="54"/>
    </row>
    <row r="449" spans="1:4" s="109" customFormat="1" x14ac:dyDescent="0.35">
      <c r="A449" s="54"/>
      <c r="B449" s="14"/>
      <c r="C449" s="54"/>
      <c r="D449" s="54"/>
    </row>
    <row r="450" spans="1:4" s="109" customFormat="1" x14ac:dyDescent="0.35">
      <c r="A450" s="54"/>
      <c r="B450" s="14"/>
      <c r="C450" s="54"/>
      <c r="D450" s="54"/>
    </row>
    <row r="451" spans="1:4" s="109" customFormat="1" x14ac:dyDescent="0.35">
      <c r="A451" s="54"/>
      <c r="B451" s="14"/>
      <c r="C451" s="54"/>
      <c r="D451" s="54"/>
    </row>
    <row r="452" spans="1:4" s="109" customFormat="1" x14ac:dyDescent="0.35">
      <c r="A452" s="54"/>
      <c r="B452" s="14"/>
      <c r="C452" s="54"/>
      <c r="D452" s="54"/>
    </row>
    <row r="453" spans="1:4" s="109" customFormat="1" x14ac:dyDescent="0.35">
      <c r="A453" s="54"/>
      <c r="B453" s="14"/>
      <c r="C453" s="54"/>
      <c r="D453" s="54"/>
    </row>
    <row r="454" spans="1:4" s="109" customFormat="1" x14ac:dyDescent="0.35">
      <c r="A454" s="54"/>
      <c r="B454" s="14"/>
      <c r="C454" s="54"/>
      <c r="D454" s="54"/>
    </row>
    <row r="455" spans="1:4" s="109" customFormat="1" x14ac:dyDescent="0.35">
      <c r="A455" s="54"/>
      <c r="B455" s="14"/>
      <c r="C455" s="54"/>
      <c r="D455" s="54"/>
    </row>
    <row r="456" spans="1:4" s="109" customFormat="1" x14ac:dyDescent="0.35">
      <c r="A456" s="54"/>
      <c r="B456" s="14"/>
      <c r="C456" s="54"/>
      <c r="D456" s="54"/>
    </row>
    <row r="457" spans="1:4" s="109" customFormat="1" x14ac:dyDescent="0.35">
      <c r="A457" s="54"/>
      <c r="B457" s="14"/>
      <c r="C457" s="54"/>
      <c r="D457" s="54"/>
    </row>
    <row r="458" spans="1:4" s="109" customFormat="1" x14ac:dyDescent="0.35">
      <c r="A458" s="54"/>
      <c r="B458" s="14"/>
      <c r="C458" s="54"/>
      <c r="D458" s="54"/>
    </row>
    <row r="459" spans="1:4" s="109" customFormat="1" x14ac:dyDescent="0.35">
      <c r="A459" s="54"/>
      <c r="B459" s="14"/>
      <c r="C459" s="54"/>
      <c r="D459" s="54"/>
    </row>
    <row r="460" spans="1:4" s="109" customFormat="1" x14ac:dyDescent="0.35">
      <c r="A460" s="54"/>
      <c r="B460" s="14"/>
      <c r="C460" s="54"/>
      <c r="D460" s="54"/>
    </row>
    <row r="461" spans="1:4" s="109" customFormat="1" x14ac:dyDescent="0.35">
      <c r="A461" s="54"/>
      <c r="B461" s="14"/>
      <c r="C461" s="54"/>
      <c r="D461" s="54"/>
    </row>
    <row r="462" spans="1:4" s="109" customFormat="1" x14ac:dyDescent="0.35">
      <c r="A462" s="54"/>
      <c r="B462" s="14"/>
      <c r="C462" s="54"/>
      <c r="D462" s="54"/>
    </row>
    <row r="463" spans="1:4" s="109" customFormat="1" x14ac:dyDescent="0.35">
      <c r="A463" s="54"/>
      <c r="B463" s="14"/>
      <c r="C463" s="54"/>
      <c r="D463" s="54"/>
    </row>
    <row r="464" spans="1:4" s="109" customFormat="1" x14ac:dyDescent="0.35">
      <c r="A464" s="54"/>
      <c r="B464" s="14"/>
      <c r="C464" s="54"/>
      <c r="D464" s="54"/>
    </row>
    <row r="465" spans="1:4" s="109" customFormat="1" x14ac:dyDescent="0.35">
      <c r="A465" s="54"/>
      <c r="B465" s="14"/>
      <c r="C465" s="54"/>
      <c r="D465" s="54"/>
    </row>
    <row r="466" spans="1:4" s="109" customFormat="1" x14ac:dyDescent="0.35">
      <c r="A466" s="54"/>
      <c r="B466" s="14"/>
      <c r="C466" s="54"/>
      <c r="D466" s="54"/>
    </row>
    <row r="467" spans="1:4" s="109" customFormat="1" x14ac:dyDescent="0.35">
      <c r="A467" s="54"/>
      <c r="B467" s="14"/>
      <c r="C467" s="54"/>
      <c r="D467" s="54"/>
    </row>
    <row r="468" spans="1:4" s="109" customFormat="1" x14ac:dyDescent="0.35">
      <c r="A468" s="54"/>
      <c r="B468" s="14"/>
      <c r="C468" s="54"/>
      <c r="D468" s="54"/>
    </row>
    <row r="469" spans="1:4" s="109" customFormat="1" x14ac:dyDescent="0.35">
      <c r="A469" s="54"/>
      <c r="B469" s="14"/>
      <c r="C469" s="54"/>
      <c r="D469" s="54"/>
    </row>
    <row r="470" spans="1:4" s="109" customFormat="1" x14ac:dyDescent="0.35">
      <c r="A470" s="54"/>
      <c r="B470" s="14"/>
      <c r="C470" s="54"/>
      <c r="D470" s="54"/>
    </row>
    <row r="471" spans="1:4" s="109" customFormat="1" x14ac:dyDescent="0.35">
      <c r="A471" s="54"/>
      <c r="B471" s="14"/>
      <c r="C471" s="54"/>
      <c r="D471" s="54"/>
    </row>
    <row r="472" spans="1:4" s="109" customFormat="1" x14ac:dyDescent="0.35">
      <c r="A472" s="54"/>
      <c r="B472" s="14"/>
      <c r="C472" s="54"/>
      <c r="D472" s="54"/>
    </row>
    <row r="473" spans="1:4" s="109" customFormat="1" x14ac:dyDescent="0.35">
      <c r="A473" s="54"/>
      <c r="B473" s="14"/>
      <c r="C473" s="54"/>
      <c r="D473" s="54"/>
    </row>
    <row r="474" spans="1:4" s="109" customFormat="1" x14ac:dyDescent="0.35">
      <c r="A474" s="54"/>
      <c r="B474" s="14"/>
      <c r="C474" s="54"/>
      <c r="D474" s="54"/>
    </row>
    <row r="475" spans="1:4" s="109" customFormat="1" x14ac:dyDescent="0.35">
      <c r="A475" s="54"/>
      <c r="B475" s="14"/>
      <c r="C475" s="54"/>
      <c r="D475" s="54"/>
    </row>
    <row r="476" spans="1:4" s="109" customFormat="1" x14ac:dyDescent="0.35">
      <c r="A476" s="54"/>
      <c r="B476" s="14"/>
      <c r="C476" s="54"/>
      <c r="D476" s="54"/>
    </row>
    <row r="477" spans="1:4" s="109" customFormat="1" x14ac:dyDescent="0.35">
      <c r="A477" s="54"/>
      <c r="B477" s="14"/>
      <c r="C477" s="54"/>
      <c r="D477" s="54"/>
    </row>
    <row r="478" spans="1:4" s="109" customFormat="1" x14ac:dyDescent="0.35">
      <c r="A478" s="54"/>
      <c r="B478" s="14"/>
      <c r="C478" s="54"/>
      <c r="D478" s="54"/>
    </row>
    <row r="479" spans="1:4" s="109" customFormat="1" x14ac:dyDescent="0.35">
      <c r="A479" s="54"/>
      <c r="B479" s="14"/>
      <c r="C479" s="54"/>
      <c r="D479" s="54"/>
    </row>
    <row r="480" spans="1:4" s="109" customFormat="1" x14ac:dyDescent="0.35">
      <c r="A480" s="54"/>
      <c r="B480" s="14"/>
      <c r="C480" s="54"/>
      <c r="D480" s="54"/>
    </row>
    <row r="481" spans="1:4" s="109" customFormat="1" x14ac:dyDescent="0.35">
      <c r="A481" s="54"/>
      <c r="B481" s="14"/>
      <c r="C481" s="54"/>
      <c r="D481" s="54"/>
    </row>
    <row r="482" spans="1:4" s="109" customFormat="1" x14ac:dyDescent="0.35">
      <c r="A482" s="54"/>
      <c r="B482" s="14"/>
      <c r="C482" s="54"/>
      <c r="D482" s="54"/>
    </row>
    <row r="483" spans="1:4" s="109" customFormat="1" x14ac:dyDescent="0.35">
      <c r="A483" s="54"/>
      <c r="B483" s="14"/>
      <c r="C483" s="54"/>
      <c r="D483" s="54"/>
    </row>
    <row r="484" spans="1:4" s="109" customFormat="1" x14ac:dyDescent="0.35">
      <c r="A484" s="54"/>
      <c r="B484" s="14"/>
      <c r="C484" s="54"/>
      <c r="D484" s="54"/>
    </row>
    <row r="485" spans="1:4" s="109" customFormat="1" x14ac:dyDescent="0.35">
      <c r="A485" s="54"/>
      <c r="B485" s="14"/>
      <c r="C485" s="54"/>
      <c r="D485" s="54"/>
    </row>
    <row r="486" spans="1:4" s="109" customFormat="1" x14ac:dyDescent="0.35">
      <c r="A486" s="54"/>
      <c r="B486" s="14"/>
      <c r="C486" s="54"/>
      <c r="D486" s="54"/>
    </row>
    <row r="487" spans="1:4" s="109" customFormat="1" x14ac:dyDescent="0.35">
      <c r="A487" s="54"/>
      <c r="B487" s="14"/>
      <c r="C487" s="54"/>
      <c r="D487" s="54"/>
    </row>
    <row r="488" spans="1:4" s="109" customFormat="1" x14ac:dyDescent="0.35">
      <c r="A488" s="54"/>
      <c r="B488" s="14"/>
      <c r="C488" s="54"/>
      <c r="D488" s="54"/>
    </row>
    <row r="489" spans="1:4" s="109" customFormat="1" x14ac:dyDescent="0.35">
      <c r="A489" s="54"/>
      <c r="B489" s="14"/>
      <c r="C489" s="54"/>
      <c r="D489" s="54"/>
    </row>
    <row r="490" spans="1:4" s="109" customFormat="1" x14ac:dyDescent="0.35">
      <c r="A490" s="54"/>
      <c r="B490" s="14"/>
      <c r="C490" s="54"/>
      <c r="D490" s="54"/>
    </row>
    <row r="491" spans="1:4" s="109" customFormat="1" x14ac:dyDescent="0.35">
      <c r="A491" s="54"/>
      <c r="B491" s="14"/>
      <c r="C491" s="54"/>
      <c r="D491" s="54"/>
    </row>
    <row r="492" spans="1:4" s="109" customFormat="1" x14ac:dyDescent="0.35">
      <c r="A492" s="54"/>
      <c r="B492" s="14"/>
      <c r="C492" s="54"/>
      <c r="D492" s="54"/>
    </row>
    <row r="493" spans="1:4" s="109" customFormat="1" x14ac:dyDescent="0.35">
      <c r="A493" s="54"/>
      <c r="B493" s="14"/>
      <c r="C493" s="54"/>
      <c r="D493" s="54"/>
    </row>
    <row r="494" spans="1:4" s="109" customFormat="1" x14ac:dyDescent="0.35">
      <c r="A494" s="54"/>
      <c r="B494" s="14"/>
      <c r="C494" s="54"/>
      <c r="D494" s="54"/>
    </row>
    <row r="495" spans="1:4" s="109" customFormat="1" x14ac:dyDescent="0.35">
      <c r="A495" s="54"/>
      <c r="B495" s="14"/>
      <c r="C495" s="54"/>
      <c r="D495" s="54"/>
    </row>
    <row r="496" spans="1:4" s="109" customFormat="1" x14ac:dyDescent="0.35">
      <c r="A496" s="54"/>
      <c r="B496" s="14"/>
      <c r="C496" s="54"/>
      <c r="D496" s="54"/>
    </row>
    <row r="497" spans="1:4" s="109" customFormat="1" x14ac:dyDescent="0.35">
      <c r="A497" s="54"/>
      <c r="B497" s="14"/>
      <c r="C497" s="54"/>
      <c r="D497" s="54"/>
    </row>
    <row r="498" spans="1:4" s="109" customFormat="1" x14ac:dyDescent="0.35">
      <c r="A498" s="54"/>
      <c r="B498" s="14"/>
      <c r="C498" s="54"/>
      <c r="D498" s="54"/>
    </row>
    <row r="499" spans="1:4" s="109" customFormat="1" x14ac:dyDescent="0.35">
      <c r="A499" s="54"/>
      <c r="B499" s="14"/>
      <c r="C499" s="54"/>
      <c r="D499" s="54"/>
    </row>
    <row r="500" spans="1:4" s="109" customFormat="1" x14ac:dyDescent="0.35">
      <c r="A500" s="54"/>
      <c r="B500" s="14"/>
      <c r="C500" s="54"/>
      <c r="D500" s="54"/>
    </row>
    <row r="501" spans="1:4" s="109" customFormat="1" x14ac:dyDescent="0.35">
      <c r="A501" s="54"/>
      <c r="B501" s="14"/>
      <c r="C501" s="54"/>
      <c r="D501" s="54"/>
    </row>
    <row r="502" spans="1:4" s="109" customFormat="1" x14ac:dyDescent="0.35">
      <c r="A502" s="54"/>
      <c r="B502" s="14"/>
      <c r="C502" s="54"/>
      <c r="D502" s="54"/>
    </row>
    <row r="503" spans="1:4" s="109" customFormat="1" x14ac:dyDescent="0.35">
      <c r="A503" s="54"/>
      <c r="B503" s="14"/>
      <c r="C503" s="54"/>
      <c r="D503" s="54"/>
    </row>
    <row r="504" spans="1:4" s="109" customFormat="1" x14ac:dyDescent="0.35">
      <c r="A504" s="54"/>
      <c r="B504" s="14"/>
      <c r="C504" s="54"/>
      <c r="D504" s="54"/>
    </row>
    <row r="505" spans="1:4" s="109" customFormat="1" x14ac:dyDescent="0.35">
      <c r="A505" s="54"/>
      <c r="B505" s="14"/>
      <c r="C505" s="54"/>
      <c r="D505" s="54"/>
    </row>
    <row r="506" spans="1:4" s="109" customFormat="1" x14ac:dyDescent="0.35">
      <c r="A506" s="54"/>
      <c r="B506" s="14"/>
      <c r="C506" s="54"/>
      <c r="D506" s="54"/>
    </row>
    <row r="507" spans="1:4" s="109" customFormat="1" x14ac:dyDescent="0.35">
      <c r="A507" s="54"/>
      <c r="B507" s="14"/>
      <c r="C507" s="54"/>
      <c r="D507" s="54"/>
    </row>
    <row r="508" spans="1:4" s="109" customFormat="1" x14ac:dyDescent="0.35">
      <c r="A508" s="54"/>
      <c r="B508" s="14"/>
      <c r="C508" s="54"/>
      <c r="D508" s="54"/>
    </row>
    <row r="509" spans="1:4" s="109" customFormat="1" x14ac:dyDescent="0.35">
      <c r="A509" s="54"/>
      <c r="B509" s="14"/>
      <c r="C509" s="54"/>
      <c r="D509" s="54"/>
    </row>
    <row r="510" spans="1:4" x14ac:dyDescent="0.35">
      <c r="A510" s="54"/>
      <c r="B510" s="14"/>
      <c r="C510" s="54"/>
      <c r="D510" s="54"/>
    </row>
    <row r="511" spans="1:4" x14ac:dyDescent="0.35">
      <c r="A511" s="54"/>
      <c r="B511" s="14"/>
      <c r="C511" s="54"/>
      <c r="D511" s="54"/>
    </row>
    <row r="512" spans="1:4" x14ac:dyDescent="0.35">
      <c r="A512" s="54"/>
      <c r="B512" s="14"/>
      <c r="C512" s="54"/>
      <c r="D512" s="54"/>
    </row>
    <row r="513" spans="1:4" x14ac:dyDescent="0.35">
      <c r="A513" s="54"/>
      <c r="B513" s="14"/>
      <c r="C513" s="54"/>
      <c r="D513" s="54"/>
    </row>
    <row r="514" spans="1:4" x14ac:dyDescent="0.35">
      <c r="A514" s="54"/>
      <c r="B514" s="14"/>
      <c r="C514" s="54"/>
      <c r="D514" s="54"/>
    </row>
    <row r="515" spans="1:4" x14ac:dyDescent="0.35">
      <c r="A515" s="54"/>
      <c r="B515" s="14"/>
      <c r="C515" s="54"/>
      <c r="D515" s="54"/>
    </row>
    <row r="516" spans="1:4" x14ac:dyDescent="0.35">
      <c r="A516" s="54"/>
      <c r="B516" s="14"/>
      <c r="C516" s="54"/>
      <c r="D516" s="54"/>
    </row>
    <row r="517" spans="1:4" x14ac:dyDescent="0.35">
      <c r="A517" s="54"/>
      <c r="B517" s="14"/>
      <c r="C517" s="54"/>
      <c r="D517" s="54"/>
    </row>
    <row r="518" spans="1:4" x14ac:dyDescent="0.35">
      <c r="A518" s="54"/>
      <c r="B518" s="14"/>
      <c r="C518" s="54"/>
      <c r="D518" s="54"/>
    </row>
    <row r="519" spans="1:4" x14ac:dyDescent="0.35">
      <c r="A519" s="54"/>
      <c r="B519" s="14"/>
      <c r="C519" s="54"/>
      <c r="D519" s="54"/>
    </row>
    <row r="520" spans="1:4" x14ac:dyDescent="0.35">
      <c r="A520" s="54"/>
      <c r="B520" s="14"/>
      <c r="C520" s="54"/>
      <c r="D520" s="54"/>
    </row>
    <row r="521" spans="1:4" x14ac:dyDescent="0.35">
      <c r="A521" s="54"/>
      <c r="B521" s="14"/>
      <c r="C521" s="54"/>
      <c r="D521" s="54"/>
    </row>
    <row r="522" spans="1:4" x14ac:dyDescent="0.35">
      <c r="A522" s="54"/>
      <c r="B522" s="14"/>
      <c r="C522" s="54"/>
      <c r="D522" s="54"/>
    </row>
    <row r="523" spans="1:4" x14ac:dyDescent="0.35">
      <c r="A523" s="54"/>
      <c r="B523" s="14"/>
      <c r="C523" s="54"/>
      <c r="D523" s="54"/>
    </row>
    <row r="524" spans="1:4" x14ac:dyDescent="0.35">
      <c r="A524" s="54"/>
      <c r="B524" s="14"/>
      <c r="C524" s="54"/>
      <c r="D524" s="54"/>
    </row>
    <row r="525" spans="1:4" x14ac:dyDescent="0.35">
      <c r="A525" s="54"/>
      <c r="B525" s="14"/>
      <c r="C525" s="54"/>
      <c r="D525" s="54"/>
    </row>
    <row r="526" spans="1:4" x14ac:dyDescent="0.35">
      <c r="A526" s="54"/>
      <c r="B526" s="14"/>
      <c r="C526" s="54"/>
      <c r="D526" s="54"/>
    </row>
    <row r="527" spans="1:4" x14ac:dyDescent="0.35">
      <c r="A527" s="54"/>
      <c r="B527" s="14"/>
      <c r="C527" s="54"/>
      <c r="D527" s="54"/>
    </row>
    <row r="528" spans="1:4" x14ac:dyDescent="0.35">
      <c r="A528" s="54"/>
      <c r="B528" s="14"/>
      <c r="C528" s="54"/>
      <c r="D528" s="54"/>
    </row>
    <row r="529" spans="1:4" x14ac:dyDescent="0.35">
      <c r="A529" s="54"/>
      <c r="B529" s="14"/>
      <c r="C529" s="54"/>
      <c r="D529" s="54"/>
    </row>
    <row r="530" spans="1:4" x14ac:dyDescent="0.35">
      <c r="A530" s="54"/>
      <c r="B530" s="14"/>
      <c r="C530" s="54"/>
      <c r="D530" s="54"/>
    </row>
    <row r="531" spans="1:4" x14ac:dyDescent="0.35">
      <c r="A531" s="54"/>
      <c r="B531" s="14"/>
      <c r="C531" s="54"/>
      <c r="D531" s="54"/>
    </row>
    <row r="532" spans="1:4" x14ac:dyDescent="0.35">
      <c r="A532" s="54"/>
      <c r="B532" s="14"/>
      <c r="C532" s="54"/>
      <c r="D532" s="54"/>
    </row>
    <row r="533" spans="1:4" x14ac:dyDescent="0.35">
      <c r="A533" s="54"/>
      <c r="B533" s="14"/>
      <c r="C533" s="54"/>
      <c r="D533" s="54"/>
    </row>
    <row r="534" spans="1:4" x14ac:dyDescent="0.35">
      <c r="A534" s="54"/>
      <c r="B534" s="14"/>
      <c r="C534" s="54"/>
      <c r="D534" s="54"/>
    </row>
    <row r="535" spans="1:4" x14ac:dyDescent="0.35">
      <c r="A535" s="54"/>
      <c r="B535" s="14"/>
      <c r="C535" s="54"/>
      <c r="D535" s="54"/>
    </row>
    <row r="536" spans="1:4" x14ac:dyDescent="0.35">
      <c r="A536" s="54"/>
      <c r="B536" s="14"/>
      <c r="C536" s="54"/>
      <c r="D536" s="54"/>
    </row>
    <row r="537" spans="1:4" x14ac:dyDescent="0.35">
      <c r="A537" s="54"/>
      <c r="B537" s="14"/>
      <c r="C537" s="54"/>
      <c r="D537" s="54"/>
    </row>
    <row r="538" spans="1:4" x14ac:dyDescent="0.35">
      <c r="A538" s="54"/>
      <c r="B538" s="14"/>
      <c r="C538" s="54"/>
      <c r="D538" s="54"/>
    </row>
    <row r="539" spans="1:4" x14ac:dyDescent="0.35">
      <c r="A539" s="54"/>
      <c r="B539" s="14"/>
      <c r="C539" s="54"/>
      <c r="D539" s="54"/>
    </row>
    <row r="540" spans="1:4" x14ac:dyDescent="0.35">
      <c r="A540" s="54"/>
      <c r="B540" s="14"/>
      <c r="C540" s="54"/>
      <c r="D540" s="54"/>
    </row>
    <row r="541" spans="1:4" x14ac:dyDescent="0.35">
      <c r="A541" s="54"/>
      <c r="B541" s="14"/>
      <c r="C541" s="54"/>
      <c r="D541" s="54"/>
    </row>
    <row r="542" spans="1:4" x14ac:dyDescent="0.35">
      <c r="A542" s="54"/>
      <c r="B542" s="14"/>
      <c r="C542" s="54"/>
      <c r="D542" s="54"/>
    </row>
    <row r="543" spans="1:4" x14ac:dyDescent="0.35">
      <c r="A543" s="54"/>
      <c r="B543" s="14"/>
      <c r="C543" s="54"/>
      <c r="D543" s="54"/>
    </row>
    <row r="544" spans="1:4" x14ac:dyDescent="0.35">
      <c r="A544" s="54"/>
      <c r="B544" s="14"/>
      <c r="C544" s="54"/>
      <c r="D544" s="54"/>
    </row>
    <row r="545" spans="1:4" x14ac:dyDescent="0.35">
      <c r="A545" s="54"/>
      <c r="B545" s="14"/>
      <c r="C545" s="54"/>
      <c r="D545" s="54"/>
    </row>
    <row r="546" spans="1:4" x14ac:dyDescent="0.35">
      <c r="A546" s="54"/>
      <c r="B546" s="14"/>
      <c r="C546" s="54"/>
      <c r="D546" s="54"/>
    </row>
    <row r="547" spans="1:4" x14ac:dyDescent="0.35">
      <c r="A547" s="54"/>
      <c r="B547" s="14"/>
      <c r="C547" s="54"/>
      <c r="D547" s="54"/>
    </row>
    <row r="548" spans="1:4" x14ac:dyDescent="0.35">
      <c r="A548" s="54"/>
      <c r="B548" s="14"/>
      <c r="C548" s="54"/>
      <c r="D548" s="54"/>
    </row>
    <row r="549" spans="1:4" x14ac:dyDescent="0.35">
      <c r="A549" s="54"/>
      <c r="B549" s="14"/>
      <c r="C549" s="54"/>
      <c r="D549" s="54"/>
    </row>
  </sheetData>
  <conditionalFormatting sqref="C8:C377">
    <cfRule type="colorScale" priority="42">
      <colorScale>
        <cfvo type="min"/>
        <cfvo type="percentile" val="50"/>
        <cfvo type="max"/>
        <color rgb="FFF8696B"/>
        <color rgb="FFFFEB84"/>
        <color rgb="FF63BE7B"/>
      </colorScale>
    </cfRule>
  </conditionalFormatting>
  <conditionalFormatting sqref="D19:D377">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5"/>
  <sheetViews>
    <sheetView zoomScale="150" zoomScaleNormal="150" workbookViewId="0">
      <pane ySplit="6" topLeftCell="A371" activePane="bottomLeft" state="frozen"/>
      <selection pane="bottomLeft" activeCell="S376" sqref="S376"/>
    </sheetView>
  </sheetViews>
  <sheetFormatPr defaultColWidth="8.81640625" defaultRowHeight="14.5" x14ac:dyDescent="0.35"/>
  <cols>
    <col min="1" max="1" width="14" customWidth="1"/>
    <col min="2" max="2" width="23.6328125" style="23" customWidth="1"/>
    <col min="3" max="3" width="14.36328125" customWidth="1"/>
    <col min="4" max="4" width="14.1796875" customWidth="1"/>
    <col min="5" max="5" width="14.1796875" style="109" customWidth="1"/>
    <col min="6" max="53" width="9.1796875" style="109" customWidth="1"/>
  </cols>
  <sheetData>
    <row r="1" spans="1:10" s="109" customFormat="1" x14ac:dyDescent="0.35">
      <c r="A1" s="20" t="s">
        <v>58</v>
      </c>
      <c r="B1" s="24" t="s">
        <v>93</v>
      </c>
      <c r="I1" s="21"/>
      <c r="J1" s="21"/>
    </row>
    <row r="2" spans="1:10" s="109" customFormat="1" x14ac:dyDescent="0.35">
      <c r="A2" s="110" t="s">
        <v>18</v>
      </c>
      <c r="B2" s="22"/>
    </row>
    <row r="3" spans="1:10" s="109" customFormat="1" x14ac:dyDescent="0.35">
      <c r="A3" s="110"/>
      <c r="B3" s="22"/>
    </row>
    <row r="4" spans="1:10" s="109" customFormat="1" x14ac:dyDescent="0.35">
      <c r="A4" s="110"/>
      <c r="B4" s="22"/>
    </row>
    <row r="5" spans="1:10" s="109" customFormat="1" ht="16" customHeight="1" thickBot="1" x14ac:dyDescent="0.4">
      <c r="B5" s="22"/>
      <c r="I5" s="21"/>
      <c r="J5" s="21"/>
    </row>
    <row r="6" spans="1:10" ht="45.75" customHeight="1" thickBot="1" x14ac:dyDescent="0.4">
      <c r="A6" s="78" t="s">
        <v>82</v>
      </c>
      <c r="B6" s="79" t="s">
        <v>94</v>
      </c>
      <c r="C6" s="80" t="s">
        <v>91</v>
      </c>
      <c r="D6" s="81" t="s">
        <v>92</v>
      </c>
      <c r="I6" s="21"/>
      <c r="J6" s="21"/>
    </row>
    <row r="7" spans="1:10" x14ac:dyDescent="0.35">
      <c r="A7" s="17">
        <v>33604</v>
      </c>
      <c r="B7" s="18">
        <f>VLOOKUP(A7,Database!A:M,MATCH($A$1,Database!$A$1:$M$1,),)</f>
        <v>130617</v>
      </c>
      <c r="C7" s="19"/>
      <c r="D7" s="19"/>
    </row>
    <row r="8" spans="1:10" x14ac:dyDescent="0.35">
      <c r="A8" s="11">
        <v>33635</v>
      </c>
      <c r="B8" s="15">
        <f>VLOOKUP(A8,Database!A:M,MATCH($A$1,Database!$A$1:$M$1,),)</f>
        <v>130396</v>
      </c>
      <c r="C8" s="12">
        <f t="shared" ref="C8:C71" si="0">(B8-B7)/B7</f>
        <v>-1.6919696517298667E-3</v>
      </c>
      <c r="D8" s="1"/>
    </row>
    <row r="9" spans="1:10" x14ac:dyDescent="0.35">
      <c r="A9" s="10">
        <v>33664</v>
      </c>
      <c r="B9" s="15">
        <f>VLOOKUP(A9,Database!A:M,MATCH($A$1,Database!$A$1:$M$1,),)</f>
        <v>130385</v>
      </c>
      <c r="C9" s="12">
        <f t="shared" si="0"/>
        <v>-8.4358415902328291E-5</v>
      </c>
      <c r="D9" s="1"/>
    </row>
    <row r="10" spans="1:10" x14ac:dyDescent="0.35">
      <c r="A10" s="11">
        <v>33695</v>
      </c>
      <c r="B10" s="15">
        <f>VLOOKUP(A10,Database!A:M,MATCH($A$1,Database!$A$1:$M$1,),)</f>
        <v>130933</v>
      </c>
      <c r="C10" s="12">
        <f t="shared" si="0"/>
        <v>4.2029374544617863E-3</v>
      </c>
      <c r="D10" s="1"/>
    </row>
    <row r="11" spans="1:10" x14ac:dyDescent="0.35">
      <c r="A11" s="10">
        <v>33725</v>
      </c>
      <c r="B11" s="15">
        <f>VLOOKUP(A11,Database!A:M,MATCH($A$1,Database!$A$1:$M$1,),)</f>
        <v>131255</v>
      </c>
      <c r="C11" s="12">
        <f t="shared" si="0"/>
        <v>2.4592730633224628E-3</v>
      </c>
      <c r="D11" s="1"/>
    </row>
    <row r="12" spans="1:10" x14ac:dyDescent="0.35">
      <c r="A12" s="11">
        <v>33756</v>
      </c>
      <c r="B12" s="15">
        <f>VLOOKUP(A12,Database!A:M,MATCH($A$1,Database!$A$1:$M$1,),)</f>
        <v>131296</v>
      </c>
      <c r="C12" s="12">
        <f t="shared" si="0"/>
        <v>3.1236905260751969E-4</v>
      </c>
      <c r="D12" s="1"/>
    </row>
    <row r="13" spans="1:10" x14ac:dyDescent="0.35">
      <c r="A13" s="10">
        <v>33786</v>
      </c>
      <c r="B13" s="15">
        <f>VLOOKUP(A13,Database!A:M,MATCH($A$1,Database!$A$1:$M$1,),)</f>
        <v>132058</v>
      </c>
      <c r="C13" s="12">
        <f t="shared" si="0"/>
        <v>5.8036802339751399E-3</v>
      </c>
      <c r="D13" s="1"/>
    </row>
    <row r="14" spans="1:10" x14ac:dyDescent="0.35">
      <c r="A14" s="11">
        <v>33817</v>
      </c>
      <c r="B14" s="15">
        <f>VLOOKUP(A14,Database!A:M,MATCH($A$1,Database!$A$1:$M$1,),)</f>
        <v>133215</v>
      </c>
      <c r="C14" s="12">
        <f t="shared" si="0"/>
        <v>8.761301852216451E-3</v>
      </c>
      <c r="D14" s="1"/>
    </row>
    <row r="15" spans="1:10" x14ac:dyDescent="0.35">
      <c r="A15" s="10">
        <v>33848</v>
      </c>
      <c r="B15" s="15">
        <f>VLOOKUP(A15,Database!A:M,MATCH($A$1,Database!$A$1:$M$1,),)</f>
        <v>133510</v>
      </c>
      <c r="C15" s="12">
        <f t="shared" si="0"/>
        <v>2.2144653379874641E-3</v>
      </c>
      <c r="D15" s="1"/>
    </row>
    <row r="16" spans="1:10" x14ac:dyDescent="0.35">
      <c r="A16" s="11">
        <v>33878</v>
      </c>
      <c r="B16" s="15">
        <f>VLOOKUP(A16,Database!A:M,MATCH($A$1,Database!$A$1:$M$1,),)</f>
        <v>134653</v>
      </c>
      <c r="C16" s="12">
        <f t="shared" si="0"/>
        <v>8.5611564676803236E-3</v>
      </c>
      <c r="D16" s="1"/>
    </row>
    <row r="17" spans="1:4" x14ac:dyDescent="0.35">
      <c r="A17" s="10">
        <v>33909</v>
      </c>
      <c r="B17" s="15">
        <f>VLOOKUP(A17,Database!A:M,MATCH($A$1,Database!$A$1:$M$1,),)</f>
        <v>135075</v>
      </c>
      <c r="C17" s="12">
        <f t="shared" si="0"/>
        <v>3.1339814189063741E-3</v>
      </c>
      <c r="D17" s="1"/>
    </row>
    <row r="18" spans="1:4" x14ac:dyDescent="0.35">
      <c r="A18" s="11">
        <v>33939</v>
      </c>
      <c r="B18" s="15">
        <f>VLOOKUP(A18,Database!A:M,MATCH($A$1,Database!$A$1:$M$1,),)</f>
        <v>136833</v>
      </c>
      <c r="C18" s="12">
        <f t="shared" si="0"/>
        <v>1.3014991671293726E-2</v>
      </c>
      <c r="D18" s="1"/>
    </row>
    <row r="19" spans="1:4" x14ac:dyDescent="0.35">
      <c r="A19" s="10">
        <v>33970</v>
      </c>
      <c r="B19" s="15">
        <f>VLOOKUP(A19,Database!A:M,MATCH($A$1,Database!$A$1:$M$1,),)</f>
        <v>137487</v>
      </c>
      <c r="C19" s="12">
        <f t="shared" si="0"/>
        <v>4.7795487930543069E-3</v>
      </c>
      <c r="D19" s="13">
        <f t="shared" ref="D19:D82" si="1">(B19-B7)/B7</f>
        <v>5.2596522657846985E-2</v>
      </c>
    </row>
    <row r="20" spans="1:4" x14ac:dyDescent="0.35">
      <c r="A20" s="11">
        <v>34001</v>
      </c>
      <c r="B20" s="15">
        <f>VLOOKUP(A20,Database!A:M,MATCH($A$1,Database!$A$1:$M$1,),)</f>
        <v>137021</v>
      </c>
      <c r="C20" s="12">
        <f t="shared" si="0"/>
        <v>-3.3894113625288209E-3</v>
      </c>
      <c r="D20" s="13">
        <f t="shared" si="1"/>
        <v>5.0806773213902263E-2</v>
      </c>
    </row>
    <row r="21" spans="1:4" x14ac:dyDescent="0.35">
      <c r="A21" s="10">
        <v>34029</v>
      </c>
      <c r="B21" s="15">
        <f>VLOOKUP(A21,Database!A:M,MATCH($A$1,Database!$A$1:$M$1,),)</f>
        <v>136351</v>
      </c>
      <c r="C21" s="12">
        <f t="shared" si="0"/>
        <v>-4.8897614234314447E-3</v>
      </c>
      <c r="D21" s="13">
        <f t="shared" si="1"/>
        <v>4.5756797177589445E-2</v>
      </c>
    </row>
    <row r="22" spans="1:4" x14ac:dyDescent="0.35">
      <c r="A22" s="11">
        <v>34060</v>
      </c>
      <c r="B22" s="15">
        <f>VLOOKUP(A22,Database!A:M,MATCH($A$1,Database!$A$1:$M$1,),)</f>
        <v>138228</v>
      </c>
      <c r="C22" s="12">
        <f t="shared" si="0"/>
        <v>1.376594231065412E-2</v>
      </c>
      <c r="D22" s="13">
        <f t="shared" si="1"/>
        <v>5.5715518624029084E-2</v>
      </c>
    </row>
    <row r="23" spans="1:4" x14ac:dyDescent="0.35">
      <c r="A23" s="10">
        <v>34090</v>
      </c>
      <c r="B23" s="15">
        <f>VLOOKUP(A23,Database!A:M,MATCH($A$1,Database!$A$1:$M$1,),)</f>
        <v>139420</v>
      </c>
      <c r="C23" s="12">
        <f t="shared" si="0"/>
        <v>8.6234337471424016E-3</v>
      </c>
      <c r="D23" s="13">
        <f t="shared" si="1"/>
        <v>6.220715401318045E-2</v>
      </c>
    </row>
    <row r="24" spans="1:4" x14ac:dyDescent="0.35">
      <c r="A24" s="11">
        <v>34121</v>
      </c>
      <c r="B24" s="15">
        <f>VLOOKUP(A24,Database!A:M,MATCH($A$1,Database!$A$1:$M$1,),)</f>
        <v>139265</v>
      </c>
      <c r="C24" s="12">
        <f t="shared" si="0"/>
        <v>-1.1117486730741644E-3</v>
      </c>
      <c r="D24" s="13">
        <f t="shared" si="1"/>
        <v>6.0694918352425055E-2</v>
      </c>
    </row>
    <row r="25" spans="1:4" x14ac:dyDescent="0.35">
      <c r="A25" s="10">
        <v>34151</v>
      </c>
      <c r="B25" s="15">
        <f>VLOOKUP(A25,Database!A:M,MATCH($A$1,Database!$A$1:$M$1,),)</f>
        <v>140453</v>
      </c>
      <c r="C25" s="12">
        <f t="shared" si="0"/>
        <v>8.5304994076042077E-3</v>
      </c>
      <c r="D25" s="13">
        <f t="shared" si="1"/>
        <v>6.3570552333065772E-2</v>
      </c>
    </row>
    <row r="26" spans="1:4" x14ac:dyDescent="0.35">
      <c r="A26" s="11">
        <v>34182</v>
      </c>
      <c r="B26" s="15">
        <f>VLOOKUP(A26,Database!A:M,MATCH($A$1,Database!$A$1:$M$1,),)</f>
        <v>140203</v>
      </c>
      <c r="C26" s="12">
        <f t="shared" si="0"/>
        <v>-1.7799548603447417E-3</v>
      </c>
      <c r="D26" s="13">
        <f t="shared" si="1"/>
        <v>5.2456555192733553E-2</v>
      </c>
    </row>
    <row r="27" spans="1:4" x14ac:dyDescent="0.35">
      <c r="A27" s="10">
        <v>34213</v>
      </c>
      <c r="B27" s="15">
        <f>VLOOKUP(A27,Database!A:M,MATCH($A$1,Database!$A$1:$M$1,),)</f>
        <v>141570</v>
      </c>
      <c r="C27" s="12">
        <f t="shared" si="0"/>
        <v>9.7501479996861696E-3</v>
      </c>
      <c r="D27" s="13">
        <f t="shared" si="1"/>
        <v>6.0370009737098343E-2</v>
      </c>
    </row>
    <row r="28" spans="1:4" x14ac:dyDescent="0.35">
      <c r="A28" s="11">
        <v>34243</v>
      </c>
      <c r="B28" s="15">
        <f>VLOOKUP(A28,Database!A:M,MATCH($A$1,Database!$A$1:$M$1,),)</f>
        <v>142027</v>
      </c>
      <c r="C28" s="12">
        <f t="shared" si="0"/>
        <v>3.2280850462668644E-3</v>
      </c>
      <c r="D28" s="13">
        <f t="shared" si="1"/>
        <v>5.4762983372074886E-2</v>
      </c>
    </row>
    <row r="29" spans="1:4" x14ac:dyDescent="0.35">
      <c r="A29" s="10">
        <v>34274</v>
      </c>
      <c r="B29" s="15">
        <f>VLOOKUP(A29,Database!A:M,MATCH($A$1,Database!$A$1:$M$1,),)</f>
        <v>142670</v>
      </c>
      <c r="C29" s="12">
        <f t="shared" si="0"/>
        <v>4.5273081878797698E-3</v>
      </c>
      <c r="D29" s="13">
        <f t="shared" si="1"/>
        <v>5.6228021469553954E-2</v>
      </c>
    </row>
    <row r="30" spans="1:4" x14ac:dyDescent="0.35">
      <c r="A30" s="11">
        <v>34304</v>
      </c>
      <c r="B30" s="15">
        <f>VLOOKUP(A30,Database!A:M,MATCH($A$1,Database!$A$1:$M$1,),)</f>
        <v>143603</v>
      </c>
      <c r="C30" s="12">
        <f t="shared" si="0"/>
        <v>6.5395668325506414E-3</v>
      </c>
      <c r="D30" s="13">
        <f t="shared" si="1"/>
        <v>4.9476369004552996E-2</v>
      </c>
    </row>
    <row r="31" spans="1:4" x14ac:dyDescent="0.35">
      <c r="A31" s="10">
        <v>34335</v>
      </c>
      <c r="B31" s="15">
        <f>VLOOKUP(A31,Database!A:M,MATCH($A$1,Database!$A$1:$M$1,),)</f>
        <v>142482</v>
      </c>
      <c r="C31" s="12">
        <f t="shared" si="0"/>
        <v>-7.8062436021531581E-3</v>
      </c>
      <c r="D31" s="13">
        <f t="shared" si="1"/>
        <v>3.6330707630539617E-2</v>
      </c>
    </row>
    <row r="32" spans="1:4" x14ac:dyDescent="0.35">
      <c r="A32" s="11">
        <v>34366</v>
      </c>
      <c r="B32" s="15">
        <f>VLOOKUP(A32,Database!A:M,MATCH($A$1,Database!$A$1:$M$1,),)</f>
        <v>144389</v>
      </c>
      <c r="C32" s="12">
        <f t="shared" si="0"/>
        <v>1.3384146769416488E-2</v>
      </c>
      <c r="D32" s="13">
        <f t="shared" si="1"/>
        <v>5.3772779354989378E-2</v>
      </c>
    </row>
    <row r="33" spans="1:4" x14ac:dyDescent="0.35">
      <c r="A33" s="10">
        <v>34394</v>
      </c>
      <c r="B33" s="15">
        <f>VLOOKUP(A33,Database!A:M,MATCH($A$1,Database!$A$1:$M$1,),)</f>
        <v>147104</v>
      </c>
      <c r="C33" s="12">
        <f t="shared" si="0"/>
        <v>1.8803371447963488E-2</v>
      </c>
      <c r="D33" s="13">
        <f t="shared" si="1"/>
        <v>7.8862641271424491E-2</v>
      </c>
    </row>
    <row r="34" spans="1:4" x14ac:dyDescent="0.35">
      <c r="A34" s="11">
        <v>34425</v>
      </c>
      <c r="B34" s="15">
        <f>VLOOKUP(A34,Database!A:M,MATCH($A$1,Database!$A$1:$M$1,),)</f>
        <v>146567</v>
      </c>
      <c r="C34" s="12">
        <f t="shared" si="0"/>
        <v>-3.6504785729823798E-3</v>
      </c>
      <c r="D34" s="13">
        <f t="shared" si="1"/>
        <v>6.0327864108574242E-2</v>
      </c>
    </row>
    <row r="35" spans="1:4" x14ac:dyDescent="0.35">
      <c r="A35" s="10">
        <v>34455</v>
      </c>
      <c r="B35" s="15">
        <f>VLOOKUP(A35,Database!A:M,MATCH($A$1,Database!$A$1:$M$1,),)</f>
        <v>146831</v>
      </c>
      <c r="C35" s="12">
        <f t="shared" si="0"/>
        <v>1.801224013591054E-3</v>
      </c>
      <c r="D35" s="13">
        <f t="shared" si="1"/>
        <v>5.3155931717113754E-2</v>
      </c>
    </row>
    <row r="36" spans="1:4" x14ac:dyDescent="0.35">
      <c r="A36" s="11">
        <v>34486</v>
      </c>
      <c r="B36" s="15">
        <f>VLOOKUP(A36,Database!A:M,MATCH($A$1,Database!$A$1:$M$1,),)</f>
        <v>148589</v>
      </c>
      <c r="C36" s="12">
        <f t="shared" si="0"/>
        <v>1.1972948491803501E-2</v>
      </c>
      <c r="D36" s="13">
        <f t="shared" si="1"/>
        <v>6.6951495350590598E-2</v>
      </c>
    </row>
    <row r="37" spans="1:4" x14ac:dyDescent="0.35">
      <c r="A37" s="10">
        <v>34516</v>
      </c>
      <c r="B37" s="15">
        <f>VLOOKUP(A37,Database!A:M,MATCH($A$1,Database!$A$1:$M$1,),)</f>
        <v>149266</v>
      </c>
      <c r="C37" s="12">
        <f t="shared" si="0"/>
        <v>4.5561919119181098E-3</v>
      </c>
      <c r="D37" s="13">
        <f t="shared" si="1"/>
        <v>6.2746968736872827E-2</v>
      </c>
    </row>
    <row r="38" spans="1:4" x14ac:dyDescent="0.35">
      <c r="A38" s="11">
        <v>34547</v>
      </c>
      <c r="B38" s="15">
        <f>VLOOKUP(A38,Database!A:M,MATCH($A$1,Database!$A$1:$M$1,),)</f>
        <v>150931</v>
      </c>
      <c r="C38" s="12">
        <f t="shared" si="0"/>
        <v>1.1154583093269733E-2</v>
      </c>
      <c r="D38" s="13">
        <f t="shared" si="1"/>
        <v>7.6517620878297901E-2</v>
      </c>
    </row>
    <row r="39" spans="1:4" x14ac:dyDescent="0.35">
      <c r="A39" s="10">
        <v>34578</v>
      </c>
      <c r="B39" s="15">
        <f>VLOOKUP(A39,Database!A:M,MATCH($A$1,Database!$A$1:$M$1,),)</f>
        <v>151451</v>
      </c>
      <c r="C39" s="12">
        <f t="shared" si="0"/>
        <v>3.4452829438617648E-3</v>
      </c>
      <c r="D39" s="13">
        <f t="shared" si="1"/>
        <v>6.9795860704951612E-2</v>
      </c>
    </row>
    <row r="40" spans="1:4" x14ac:dyDescent="0.35">
      <c r="A40" s="11">
        <v>34608</v>
      </c>
      <c r="B40" s="15">
        <f>VLOOKUP(A40,Database!A:M,MATCH($A$1,Database!$A$1:$M$1,),)</f>
        <v>152530</v>
      </c>
      <c r="C40" s="12">
        <f t="shared" si="0"/>
        <v>7.1244164779367585E-3</v>
      </c>
      <c r="D40" s="13">
        <f t="shared" si="1"/>
        <v>7.3950727678539996E-2</v>
      </c>
    </row>
    <row r="41" spans="1:4" x14ac:dyDescent="0.35">
      <c r="A41" s="10">
        <v>34639</v>
      </c>
      <c r="B41" s="15">
        <f>VLOOKUP(A41,Database!A:M,MATCH($A$1,Database!$A$1:$M$1,),)</f>
        <v>152528</v>
      </c>
      <c r="C41" s="12">
        <f t="shared" si="0"/>
        <v>-1.3112174654166393E-5</v>
      </c>
      <c r="D41" s="13">
        <f t="shared" si="1"/>
        <v>6.9096516436531863E-2</v>
      </c>
    </row>
    <row r="42" spans="1:4" x14ac:dyDescent="0.35">
      <c r="A42" s="11">
        <v>34669</v>
      </c>
      <c r="B42" s="15">
        <f>VLOOKUP(A42,Database!A:M,MATCH($A$1,Database!$A$1:$M$1,),)</f>
        <v>153761</v>
      </c>
      <c r="C42" s="12">
        <f t="shared" si="0"/>
        <v>8.0837616699884606E-3</v>
      </c>
      <c r="D42" s="13">
        <f t="shared" si="1"/>
        <v>7.073668377401586E-2</v>
      </c>
    </row>
    <row r="43" spans="1:4" x14ac:dyDescent="0.35">
      <c r="A43" s="10">
        <v>34700</v>
      </c>
      <c r="B43" s="15">
        <f>VLOOKUP(A43,Database!A:M,MATCH($A$1,Database!$A$1:$M$1,),)</f>
        <v>154349</v>
      </c>
      <c r="C43" s="12">
        <f t="shared" si="0"/>
        <v>3.8241166485649806E-3</v>
      </c>
      <c r="D43" s="13">
        <f t="shared" si="1"/>
        <v>8.3287713535744864E-2</v>
      </c>
    </row>
    <row r="44" spans="1:4" x14ac:dyDescent="0.35">
      <c r="A44" s="11">
        <v>34731</v>
      </c>
      <c r="B44" s="15">
        <f>VLOOKUP(A44,Database!A:M,MATCH($A$1,Database!$A$1:$M$1,),)</f>
        <v>152497</v>
      </c>
      <c r="C44" s="12">
        <f t="shared" si="0"/>
        <v>-1.1998781981094792E-2</v>
      </c>
      <c r="D44" s="13">
        <f t="shared" si="1"/>
        <v>5.6153862136312321E-2</v>
      </c>
    </row>
    <row r="45" spans="1:4" x14ac:dyDescent="0.35">
      <c r="A45" s="10">
        <v>34759</v>
      </c>
      <c r="B45" s="15">
        <f>VLOOKUP(A45,Database!A:M,MATCH($A$1,Database!$A$1:$M$1,),)</f>
        <v>153566</v>
      </c>
      <c r="C45" s="12">
        <f t="shared" si="0"/>
        <v>7.0099739667009841E-3</v>
      </c>
      <c r="D45" s="13">
        <f t="shared" si="1"/>
        <v>4.3928105286056125E-2</v>
      </c>
    </row>
    <row r="46" spans="1:4" x14ac:dyDescent="0.35">
      <c r="A46" s="11">
        <v>34790</v>
      </c>
      <c r="B46" s="15">
        <f>VLOOKUP(A46,Database!A:M,MATCH($A$1,Database!$A$1:$M$1,),)</f>
        <v>153976</v>
      </c>
      <c r="C46" s="12">
        <f t="shared" si="0"/>
        <v>2.6698618183712539E-3</v>
      </c>
      <c r="D46" s="13">
        <f t="shared" si="1"/>
        <v>5.0550260290515597E-2</v>
      </c>
    </row>
    <row r="47" spans="1:4" x14ac:dyDescent="0.35">
      <c r="A47" s="10">
        <v>34820</v>
      </c>
      <c r="B47" s="15">
        <f>VLOOKUP(A47,Database!A:M,MATCH($A$1,Database!$A$1:$M$1,),)</f>
        <v>155268</v>
      </c>
      <c r="C47" s="12">
        <f t="shared" si="0"/>
        <v>8.3909180651530104E-3</v>
      </c>
      <c r="D47" s="13">
        <f t="shared" si="1"/>
        <v>5.7460617989389159E-2</v>
      </c>
    </row>
    <row r="48" spans="1:4" x14ac:dyDescent="0.35">
      <c r="A48" s="11">
        <v>34851</v>
      </c>
      <c r="B48" s="15">
        <f>VLOOKUP(A48,Database!A:M,MATCH($A$1,Database!$A$1:$M$1,),)</f>
        <v>155848</v>
      </c>
      <c r="C48" s="12">
        <f t="shared" si="0"/>
        <v>3.7354767241157224E-3</v>
      </c>
      <c r="D48" s="13">
        <f t="shared" si="1"/>
        <v>4.8852876054082069E-2</v>
      </c>
    </row>
    <row r="49" spans="1:4" x14ac:dyDescent="0.35">
      <c r="A49" s="10">
        <v>34881</v>
      </c>
      <c r="B49" s="15">
        <f>VLOOKUP(A49,Database!A:M,MATCH($A$1,Database!$A$1:$M$1,),)</f>
        <v>156088</v>
      </c>
      <c r="C49" s="12">
        <f t="shared" si="0"/>
        <v>1.5399620142703147E-3</v>
      </c>
      <c r="D49" s="13">
        <f t="shared" si="1"/>
        <v>4.5703643160532208E-2</v>
      </c>
    </row>
    <row r="50" spans="1:4" x14ac:dyDescent="0.35">
      <c r="A50" s="11">
        <v>34912</v>
      </c>
      <c r="B50" s="15">
        <f>VLOOKUP(A50,Database!A:M,MATCH($A$1,Database!$A$1:$M$1,),)</f>
        <v>156773</v>
      </c>
      <c r="C50" s="12">
        <f t="shared" si="0"/>
        <v>4.3885500486904819E-3</v>
      </c>
      <c r="D50" s="13">
        <f t="shared" si="1"/>
        <v>3.8706428765462361E-2</v>
      </c>
    </row>
    <row r="51" spans="1:4" x14ac:dyDescent="0.35">
      <c r="A51" s="10">
        <v>34943</v>
      </c>
      <c r="B51" s="15">
        <f>VLOOKUP(A51,Database!A:M,MATCH($A$1,Database!$A$1:$M$1,),)</f>
        <v>157818</v>
      </c>
      <c r="C51" s="12">
        <f t="shared" si="0"/>
        <v>6.6656886070943335E-3</v>
      </c>
      <c r="D51" s="13">
        <f t="shared" si="1"/>
        <v>4.2039999735888178E-2</v>
      </c>
    </row>
    <row r="52" spans="1:4" x14ac:dyDescent="0.35">
      <c r="A52" s="11">
        <v>34973</v>
      </c>
      <c r="B52" s="15">
        <f>VLOOKUP(A52,Database!A:M,MATCH($A$1,Database!$A$1:$M$1,),)</f>
        <v>156905</v>
      </c>
      <c r="C52" s="12">
        <f t="shared" si="0"/>
        <v>-5.7851449137614214E-3</v>
      </c>
      <c r="D52" s="13">
        <f t="shared" si="1"/>
        <v>2.8682882055988984E-2</v>
      </c>
    </row>
    <row r="53" spans="1:4" x14ac:dyDescent="0.35">
      <c r="A53" s="10">
        <v>35004</v>
      </c>
      <c r="B53" s="15">
        <f>VLOOKUP(A53,Database!A:M,MATCH($A$1,Database!$A$1:$M$1,),)</f>
        <v>158801</v>
      </c>
      <c r="C53" s="12">
        <f t="shared" si="0"/>
        <v>1.2083744941206462E-2</v>
      </c>
      <c r="D53" s="13">
        <f t="shared" si="1"/>
        <v>4.112687506556173E-2</v>
      </c>
    </row>
    <row r="54" spans="1:4" x14ac:dyDescent="0.35">
      <c r="A54" s="11">
        <v>35034</v>
      </c>
      <c r="B54" s="15">
        <f>VLOOKUP(A54,Database!A:M,MATCH($A$1,Database!$A$1:$M$1,),)</f>
        <v>160236</v>
      </c>
      <c r="C54" s="12">
        <f t="shared" si="0"/>
        <v>9.036467024766846E-3</v>
      </c>
      <c r="D54" s="13">
        <f t="shared" si="1"/>
        <v>4.2110808332411993E-2</v>
      </c>
    </row>
    <row r="55" spans="1:4" x14ac:dyDescent="0.35">
      <c r="A55" s="10">
        <v>35065</v>
      </c>
      <c r="B55" s="15">
        <f>VLOOKUP(A55,Database!A:M,MATCH($A$1,Database!$A$1:$M$1,),)</f>
        <v>158350</v>
      </c>
      <c r="C55" s="12">
        <f t="shared" si="0"/>
        <v>-1.177013904490876E-2</v>
      </c>
      <c r="D55" s="13">
        <f t="shared" si="1"/>
        <v>2.5921774679460184E-2</v>
      </c>
    </row>
    <row r="56" spans="1:4" x14ac:dyDescent="0.35">
      <c r="A56" s="11">
        <v>35096</v>
      </c>
      <c r="B56" s="15">
        <f>VLOOKUP(A56,Database!A:M,MATCH($A$1,Database!$A$1:$M$1,),)</f>
        <v>159720</v>
      </c>
      <c r="C56" s="12">
        <f t="shared" si="0"/>
        <v>8.6517208714872122E-3</v>
      </c>
      <c r="D56" s="13">
        <f t="shared" si="1"/>
        <v>4.7364866194089063E-2</v>
      </c>
    </row>
    <row r="57" spans="1:4" x14ac:dyDescent="0.35">
      <c r="A57" s="10">
        <v>35125</v>
      </c>
      <c r="B57" s="15">
        <f>VLOOKUP(A57,Database!A:M,MATCH($A$1,Database!$A$1:$M$1,),)</f>
        <v>161543</v>
      </c>
      <c r="C57" s="12">
        <f t="shared" si="0"/>
        <v>1.1413724017029803E-2</v>
      </c>
      <c r="D57" s="13">
        <f t="shared" si="1"/>
        <v>5.1945092012554865E-2</v>
      </c>
    </row>
    <row r="58" spans="1:4" x14ac:dyDescent="0.35">
      <c r="A58" s="11">
        <v>35156</v>
      </c>
      <c r="B58" s="15">
        <f>VLOOKUP(A58,Database!A:M,MATCH($A$1,Database!$A$1:$M$1,),)</f>
        <v>163145</v>
      </c>
      <c r="C58" s="12">
        <f t="shared" si="0"/>
        <v>9.9168642404808618E-3</v>
      </c>
      <c r="D58" s="13">
        <f t="shared" si="1"/>
        <v>5.9548241284356006E-2</v>
      </c>
    </row>
    <row r="59" spans="1:4" x14ac:dyDescent="0.35">
      <c r="A59" s="10">
        <v>35186</v>
      </c>
      <c r="B59" s="15">
        <f>VLOOKUP(A59,Database!A:M,MATCH($A$1,Database!$A$1:$M$1,),)</f>
        <v>164099</v>
      </c>
      <c r="C59" s="12">
        <f t="shared" si="0"/>
        <v>5.8475589199791598E-3</v>
      </c>
      <c r="D59" s="13">
        <f t="shared" si="1"/>
        <v>5.6875853363217148E-2</v>
      </c>
    </row>
    <row r="60" spans="1:4" x14ac:dyDescent="0.35">
      <c r="A60" s="11">
        <v>35217</v>
      </c>
      <c r="B60" s="15">
        <f>VLOOKUP(A60,Database!A:M,MATCH($A$1,Database!$A$1:$M$1,),)</f>
        <v>164270</v>
      </c>
      <c r="C60" s="12">
        <f t="shared" si="0"/>
        <v>1.0420538821077521E-3</v>
      </c>
      <c r="D60" s="13">
        <f t="shared" si="1"/>
        <v>5.4039833684102458E-2</v>
      </c>
    </row>
    <row r="61" spans="1:4" x14ac:dyDescent="0.35">
      <c r="A61" s="10">
        <v>35247</v>
      </c>
      <c r="B61" s="15">
        <f>VLOOKUP(A61,Database!A:M,MATCH($A$1,Database!$A$1:$M$1,),)</f>
        <v>164328</v>
      </c>
      <c r="C61" s="12">
        <f t="shared" si="0"/>
        <v>3.5307725086747429E-4</v>
      </c>
      <c r="D61" s="13">
        <f t="shared" si="1"/>
        <v>5.2790733432422736E-2</v>
      </c>
    </row>
    <row r="62" spans="1:4" x14ac:dyDescent="0.35">
      <c r="A62" s="11">
        <v>35278</v>
      </c>
      <c r="B62" s="15">
        <f>VLOOKUP(A62,Database!A:M,MATCH($A$1,Database!$A$1:$M$1,),)</f>
        <v>164886</v>
      </c>
      <c r="C62" s="12">
        <f t="shared" si="0"/>
        <v>3.3956477289323792E-3</v>
      </c>
      <c r="D62" s="13">
        <f t="shared" si="1"/>
        <v>5.1749982458714192E-2</v>
      </c>
    </row>
    <row r="63" spans="1:4" x14ac:dyDescent="0.35">
      <c r="A63" s="10">
        <v>35309</v>
      </c>
      <c r="B63" s="15">
        <f>VLOOKUP(A63,Database!A:M,MATCH($A$1,Database!$A$1:$M$1,),)</f>
        <v>166072</v>
      </c>
      <c r="C63" s="12">
        <f t="shared" si="0"/>
        <v>7.1928483922225053E-3</v>
      </c>
      <c r="D63" s="13">
        <f t="shared" si="1"/>
        <v>5.2300751498561636E-2</v>
      </c>
    </row>
    <row r="64" spans="1:4" x14ac:dyDescent="0.35">
      <c r="A64" s="11">
        <v>35339</v>
      </c>
      <c r="B64" s="15">
        <f>VLOOKUP(A64,Database!A:M,MATCH($A$1,Database!$A$1:$M$1,),)</f>
        <v>167610</v>
      </c>
      <c r="C64" s="12">
        <f t="shared" si="0"/>
        <v>9.2610434028614092E-3</v>
      </c>
      <c r="D64" s="13">
        <f t="shared" si="1"/>
        <v>6.8225996622159904E-2</v>
      </c>
    </row>
    <row r="65" spans="1:4" x14ac:dyDescent="0.35">
      <c r="A65" s="10">
        <v>35370</v>
      </c>
      <c r="B65" s="15">
        <f>VLOOKUP(A65,Database!A:M,MATCH($A$1,Database!$A$1:$M$1,),)</f>
        <v>168253</v>
      </c>
      <c r="C65" s="12">
        <f t="shared" si="0"/>
        <v>3.8362866177435715E-3</v>
      </c>
      <c r="D65" s="13">
        <f t="shared" si="1"/>
        <v>5.9521035761739532E-2</v>
      </c>
    </row>
    <row r="66" spans="1:4" x14ac:dyDescent="0.35">
      <c r="A66" s="11">
        <v>35400</v>
      </c>
      <c r="B66" s="15">
        <f>VLOOKUP(A66,Database!A:M,MATCH($A$1,Database!$A$1:$M$1,),)</f>
        <v>169156</v>
      </c>
      <c r="C66" s="12">
        <f t="shared" si="0"/>
        <v>5.3669176775451256E-3</v>
      </c>
      <c r="D66" s="13">
        <f t="shared" si="1"/>
        <v>5.5667889862452885E-2</v>
      </c>
    </row>
    <row r="67" spans="1:4" x14ac:dyDescent="0.35">
      <c r="A67" s="10">
        <v>35431</v>
      </c>
      <c r="B67" s="15">
        <f>VLOOKUP(A67,Database!A:M,MATCH($A$1,Database!$A$1:$M$1,),)</f>
        <v>169471</v>
      </c>
      <c r="C67" s="12">
        <f t="shared" si="0"/>
        <v>1.8621863841660953E-3</v>
      </c>
      <c r="D67" s="13">
        <f t="shared" si="1"/>
        <v>7.023050205241553E-2</v>
      </c>
    </row>
    <row r="68" spans="1:4" x14ac:dyDescent="0.35">
      <c r="A68" s="11">
        <v>35462</v>
      </c>
      <c r="B68" s="15">
        <f>VLOOKUP(A68,Database!A:M,MATCH($A$1,Database!$A$1:$M$1,),)</f>
        <v>170821</v>
      </c>
      <c r="C68" s="12">
        <f t="shared" si="0"/>
        <v>7.9659646783225447E-3</v>
      </c>
      <c r="D68" s="13">
        <f t="shared" si="1"/>
        <v>6.9502880040070117E-2</v>
      </c>
    </row>
    <row r="69" spans="1:4" x14ac:dyDescent="0.35">
      <c r="A69" s="10">
        <v>35490</v>
      </c>
      <c r="B69" s="15">
        <f>VLOOKUP(A69,Database!A:M,MATCH($A$1,Database!$A$1:$M$1,),)</f>
        <v>171928</v>
      </c>
      <c r="C69" s="12">
        <f t="shared" si="0"/>
        <v>6.4804678581673212E-3</v>
      </c>
      <c r="D69" s="13">
        <f t="shared" si="1"/>
        <v>6.4286289099496727E-2</v>
      </c>
    </row>
    <row r="70" spans="1:4" x14ac:dyDescent="0.35">
      <c r="A70" s="11">
        <v>35521</v>
      </c>
      <c r="B70" s="15">
        <f>VLOOKUP(A70,Database!A:M,MATCH($A$1,Database!$A$1:$M$1,),)</f>
        <v>170754</v>
      </c>
      <c r="C70" s="12">
        <f t="shared" si="0"/>
        <v>-6.8284398120143312E-3</v>
      </c>
      <c r="D70" s="13">
        <f t="shared" si="1"/>
        <v>4.6639492476018264E-2</v>
      </c>
    </row>
    <row r="71" spans="1:4" x14ac:dyDescent="0.35">
      <c r="A71" s="10">
        <v>35551</v>
      </c>
      <c r="B71" s="15">
        <f>VLOOKUP(A71,Database!A:M,MATCH($A$1,Database!$A$1:$M$1,),)</f>
        <v>170738</v>
      </c>
      <c r="C71" s="12">
        <f t="shared" si="0"/>
        <v>-9.3702050903639151E-5</v>
      </c>
      <c r="D71" s="13">
        <f t="shared" si="1"/>
        <v>4.0457284931657109E-2</v>
      </c>
    </row>
    <row r="72" spans="1:4" x14ac:dyDescent="0.35">
      <c r="A72" s="11">
        <v>35582</v>
      </c>
      <c r="B72" s="15">
        <f>VLOOKUP(A72,Database!A:M,MATCH($A$1,Database!$A$1:$M$1,),)</f>
        <v>171991</v>
      </c>
      <c r="C72" s="12">
        <f t="shared" ref="C72:C135" si="2">(B72-B71)/B71</f>
        <v>7.3387295153978611E-3</v>
      </c>
      <c r="D72" s="13">
        <f t="shared" si="1"/>
        <v>4.7001887137030497E-2</v>
      </c>
    </row>
    <row r="73" spans="1:4" x14ac:dyDescent="0.35">
      <c r="A73" s="10">
        <v>35612</v>
      </c>
      <c r="B73" s="15">
        <f>VLOOKUP(A73,Database!A:M,MATCH($A$1,Database!$A$1:$M$1,),)</f>
        <v>173448</v>
      </c>
      <c r="C73" s="12">
        <f t="shared" si="2"/>
        <v>8.4713735021018539E-3</v>
      </c>
      <c r="D73" s="13">
        <f t="shared" si="1"/>
        <v>5.5498758580400175E-2</v>
      </c>
    </row>
    <row r="74" spans="1:4" x14ac:dyDescent="0.35">
      <c r="A74" s="11">
        <v>35643</v>
      </c>
      <c r="B74" s="15">
        <f>VLOOKUP(A74,Database!A:M,MATCH($A$1,Database!$A$1:$M$1,),)</f>
        <v>173821</v>
      </c>
      <c r="C74" s="12">
        <f t="shared" si="2"/>
        <v>2.1505004381716709E-3</v>
      </c>
      <c r="D74" s="13">
        <f t="shared" si="1"/>
        <v>5.4188954793008504E-2</v>
      </c>
    </row>
    <row r="75" spans="1:4" x14ac:dyDescent="0.35">
      <c r="A75" s="10">
        <v>35674</v>
      </c>
      <c r="B75" s="15">
        <f>VLOOKUP(A75,Database!A:M,MATCH($A$1,Database!$A$1:$M$1,),)</f>
        <v>174978</v>
      </c>
      <c r="C75" s="12">
        <f t="shared" si="2"/>
        <v>6.6562728323965462E-3</v>
      </c>
      <c r="D75" s="13">
        <f t="shared" si="1"/>
        <v>5.3627342357531672E-2</v>
      </c>
    </row>
    <row r="76" spans="1:4" x14ac:dyDescent="0.35">
      <c r="A76" s="11">
        <v>35704</v>
      </c>
      <c r="B76" s="15">
        <f>VLOOKUP(A76,Database!A:M,MATCH($A$1,Database!$A$1:$M$1,),)</f>
        <v>174980</v>
      </c>
      <c r="C76" s="12">
        <f t="shared" si="2"/>
        <v>1.1430008343906091E-5</v>
      </c>
      <c r="D76" s="13">
        <f t="shared" si="1"/>
        <v>4.3971123441322119E-2</v>
      </c>
    </row>
    <row r="77" spans="1:4" x14ac:dyDescent="0.35">
      <c r="A77" s="10">
        <v>35735</v>
      </c>
      <c r="B77" s="15">
        <f>VLOOKUP(A77,Database!A:M,MATCH($A$1,Database!$A$1:$M$1,),)</f>
        <v>175126</v>
      </c>
      <c r="C77" s="12">
        <f t="shared" si="2"/>
        <v>8.3438107212252825E-4</v>
      </c>
      <c r="D77" s="13">
        <f t="shared" si="1"/>
        <v>4.084919733972054E-2</v>
      </c>
    </row>
    <row r="78" spans="1:4" x14ac:dyDescent="0.35">
      <c r="A78" s="11">
        <v>35765</v>
      </c>
      <c r="B78" s="15">
        <f>VLOOKUP(A78,Database!A:M,MATCH($A$1,Database!$A$1:$M$1,),)</f>
        <v>175418</v>
      </c>
      <c r="C78" s="12">
        <f t="shared" si="2"/>
        <v>1.6673709215079429E-3</v>
      </c>
      <c r="D78" s="13">
        <f t="shared" si="1"/>
        <v>3.7019082976660594E-2</v>
      </c>
    </row>
    <row r="79" spans="1:4" x14ac:dyDescent="0.35">
      <c r="A79" s="10">
        <v>35796</v>
      </c>
      <c r="B79" s="15">
        <f>VLOOKUP(A79,Database!A:M,MATCH($A$1,Database!$A$1:$M$1,),)</f>
        <v>176093</v>
      </c>
      <c r="C79" s="12">
        <f t="shared" si="2"/>
        <v>3.8479517495353956E-3</v>
      </c>
      <c r="D79" s="13">
        <f t="shared" si="1"/>
        <v>3.9074531925816218E-2</v>
      </c>
    </row>
    <row r="80" spans="1:4" x14ac:dyDescent="0.35">
      <c r="A80" s="11">
        <v>35827</v>
      </c>
      <c r="B80" s="15">
        <f>VLOOKUP(A80,Database!A:M,MATCH($A$1,Database!$A$1:$M$1,),)</f>
        <v>176843</v>
      </c>
      <c r="C80" s="12">
        <f t="shared" si="2"/>
        <v>4.2591130822917439E-3</v>
      </c>
      <c r="D80" s="13">
        <f t="shared" si="1"/>
        <v>3.5253276821936415E-2</v>
      </c>
    </row>
    <row r="81" spans="1:4" x14ac:dyDescent="0.35">
      <c r="A81" s="10">
        <v>35855</v>
      </c>
      <c r="B81" s="15">
        <f>VLOOKUP(A81,Database!A:M,MATCH($A$1,Database!$A$1:$M$1,),)</f>
        <v>176948</v>
      </c>
      <c r="C81" s="12">
        <f t="shared" si="2"/>
        <v>5.9374699592293725E-4</v>
      </c>
      <c r="D81" s="13">
        <f t="shared" si="1"/>
        <v>2.9198269042855149E-2</v>
      </c>
    </row>
    <row r="82" spans="1:4" x14ac:dyDescent="0.35">
      <c r="A82" s="11">
        <v>35886</v>
      </c>
      <c r="B82" s="15">
        <f>VLOOKUP(A82,Database!A:M,MATCH($A$1,Database!$A$1:$M$1,),)</f>
        <v>178522</v>
      </c>
      <c r="C82" s="12">
        <f t="shared" si="2"/>
        <v>8.8952686665008922E-3</v>
      </c>
      <c r="D82" s="13">
        <f t="shared" si="1"/>
        <v>4.5492345713716811E-2</v>
      </c>
    </row>
    <row r="83" spans="1:4" x14ac:dyDescent="0.35">
      <c r="A83" s="10">
        <v>35916</v>
      </c>
      <c r="B83" s="15">
        <f>VLOOKUP(A83,Database!A:M,MATCH($A$1,Database!$A$1:$M$1,),)</f>
        <v>179193</v>
      </c>
      <c r="C83" s="12">
        <f t="shared" si="2"/>
        <v>3.7586403916604117E-3</v>
      </c>
      <c r="D83" s="13">
        <f t="shared" ref="D83:D146" si="3">(B83-B71)/B71</f>
        <v>4.9520317679719802E-2</v>
      </c>
    </row>
    <row r="84" spans="1:4" x14ac:dyDescent="0.35">
      <c r="A84" s="11">
        <v>35947</v>
      </c>
      <c r="B84" s="15">
        <f>VLOOKUP(A84,Database!A:M,MATCH($A$1,Database!$A$1:$M$1,),)</f>
        <v>179707</v>
      </c>
      <c r="C84" s="12">
        <f t="shared" si="2"/>
        <v>2.8684156189136851E-3</v>
      </c>
      <c r="D84" s="13">
        <f t="shared" si="3"/>
        <v>4.4862812589030819E-2</v>
      </c>
    </row>
    <row r="85" spans="1:4" x14ac:dyDescent="0.35">
      <c r="A85" s="10">
        <v>35977</v>
      </c>
      <c r="B85" s="15">
        <f>VLOOKUP(A85,Database!A:M,MATCH($A$1,Database!$A$1:$M$1,),)</f>
        <v>181091</v>
      </c>
      <c r="C85" s="12">
        <f t="shared" si="2"/>
        <v>7.701425097519852E-3</v>
      </c>
      <c r="D85" s="13">
        <f t="shared" si="3"/>
        <v>4.4065080023984134E-2</v>
      </c>
    </row>
    <row r="86" spans="1:4" x14ac:dyDescent="0.35">
      <c r="A86" s="11">
        <v>36008</v>
      </c>
      <c r="B86" s="15">
        <f>VLOOKUP(A86,Database!A:M,MATCH($A$1,Database!$A$1:$M$1,),)</f>
        <v>181382</v>
      </c>
      <c r="C86" s="12">
        <f t="shared" si="2"/>
        <v>1.6069269041531606E-3</v>
      </c>
      <c r="D86" s="13">
        <f t="shared" si="3"/>
        <v>4.3498771724935423E-2</v>
      </c>
    </row>
    <row r="87" spans="1:4" x14ac:dyDescent="0.35">
      <c r="A87" s="10">
        <v>36039</v>
      </c>
      <c r="B87" s="15">
        <f>VLOOKUP(A87,Database!A:M,MATCH($A$1,Database!$A$1:$M$1,),)</f>
        <v>181354</v>
      </c>
      <c r="C87" s="12">
        <f t="shared" si="2"/>
        <v>-1.5437033443230309E-4</v>
      </c>
      <c r="D87" s="13">
        <f t="shared" si="3"/>
        <v>3.643886660037262E-2</v>
      </c>
    </row>
    <row r="88" spans="1:4" x14ac:dyDescent="0.35">
      <c r="A88" s="11">
        <v>36069</v>
      </c>
      <c r="B88" s="15">
        <f>VLOOKUP(A88,Database!A:M,MATCH($A$1,Database!$A$1:$M$1,),)</f>
        <v>183255</v>
      </c>
      <c r="C88" s="12">
        <f t="shared" si="2"/>
        <v>1.0482261212876473E-2</v>
      </c>
      <c r="D88" s="13">
        <f t="shared" si="3"/>
        <v>4.7291118985026859E-2</v>
      </c>
    </row>
    <row r="89" spans="1:4" x14ac:dyDescent="0.35">
      <c r="A89" s="10">
        <v>36100</v>
      </c>
      <c r="B89" s="15">
        <f>VLOOKUP(A89,Database!A:M,MATCH($A$1,Database!$A$1:$M$1,),)</f>
        <v>184474</v>
      </c>
      <c r="C89" s="12">
        <f t="shared" si="2"/>
        <v>6.6519330986876211E-3</v>
      </c>
      <c r="D89" s="13">
        <f t="shared" si="3"/>
        <v>5.3378710185809072E-2</v>
      </c>
    </row>
    <row r="90" spans="1:4" x14ac:dyDescent="0.35">
      <c r="A90" s="11">
        <v>36130</v>
      </c>
      <c r="B90" s="15">
        <f>VLOOKUP(A90,Database!A:M,MATCH($A$1,Database!$A$1:$M$1,),)</f>
        <v>186057</v>
      </c>
      <c r="C90" s="12">
        <f t="shared" si="2"/>
        <v>8.5811550679228514E-3</v>
      </c>
      <c r="D90" s="13">
        <f t="shared" si="3"/>
        <v>6.0649420241936404E-2</v>
      </c>
    </row>
    <row r="91" spans="1:4" x14ac:dyDescent="0.35">
      <c r="A91" s="10">
        <v>36161</v>
      </c>
      <c r="B91" s="15">
        <f>VLOOKUP(A91,Database!A:M,MATCH($A$1,Database!$A$1:$M$1,),)</f>
        <v>186333</v>
      </c>
      <c r="C91" s="12">
        <f t="shared" si="2"/>
        <v>1.4834163724020059E-3</v>
      </c>
      <c r="D91" s="13">
        <f t="shared" si="3"/>
        <v>5.8151090616889937E-2</v>
      </c>
    </row>
    <row r="92" spans="1:4" x14ac:dyDescent="0.35">
      <c r="A92" s="11">
        <v>36192</v>
      </c>
      <c r="B92" s="15">
        <f>VLOOKUP(A92,Database!A:M,MATCH($A$1,Database!$A$1:$M$1,),)</f>
        <v>188260</v>
      </c>
      <c r="C92" s="12">
        <f t="shared" si="2"/>
        <v>1.0341700074597629E-2</v>
      </c>
      <c r="D92" s="13">
        <f t="shared" si="3"/>
        <v>6.4560090023354055E-2</v>
      </c>
    </row>
    <row r="93" spans="1:4" x14ac:dyDescent="0.35">
      <c r="A93" s="10">
        <v>36220</v>
      </c>
      <c r="B93" s="15">
        <f>VLOOKUP(A93,Database!A:M,MATCH($A$1,Database!$A$1:$M$1,),)</f>
        <v>189026</v>
      </c>
      <c r="C93" s="12">
        <f t="shared" si="2"/>
        <v>4.0688409646233931E-3</v>
      </c>
      <c r="D93" s="13">
        <f t="shared" si="3"/>
        <v>6.8257341139769875E-2</v>
      </c>
    </row>
    <row r="94" spans="1:4" x14ac:dyDescent="0.35">
      <c r="A94" s="11">
        <v>36251</v>
      </c>
      <c r="B94" s="15">
        <f>VLOOKUP(A94,Database!A:M,MATCH($A$1,Database!$A$1:$M$1,),)</f>
        <v>190327</v>
      </c>
      <c r="C94" s="12">
        <f t="shared" si="2"/>
        <v>6.8826510638748109E-3</v>
      </c>
      <c r="D94" s="13">
        <f t="shared" si="3"/>
        <v>6.6126303760881008E-2</v>
      </c>
    </row>
    <row r="95" spans="1:4" x14ac:dyDescent="0.35">
      <c r="A95" s="10">
        <v>36281</v>
      </c>
      <c r="B95" s="15">
        <f>VLOOKUP(A95,Database!A:M,MATCH($A$1,Database!$A$1:$M$1,),)</f>
        <v>191524</v>
      </c>
      <c r="C95" s="12">
        <f t="shared" si="2"/>
        <v>6.2891759970997285E-3</v>
      </c>
      <c r="D95" s="13">
        <f t="shared" si="3"/>
        <v>6.8814071978258076E-2</v>
      </c>
    </row>
    <row r="96" spans="1:4" x14ac:dyDescent="0.35">
      <c r="A96" s="11">
        <v>36312</v>
      </c>
      <c r="B96" s="15">
        <f>VLOOKUP(A96,Database!A:M,MATCH($A$1,Database!$A$1:$M$1,),)</f>
        <v>191997</v>
      </c>
      <c r="C96" s="12">
        <f t="shared" si="2"/>
        <v>2.46966437626616E-3</v>
      </c>
      <c r="D96" s="13">
        <f t="shared" si="3"/>
        <v>6.8389100035057063E-2</v>
      </c>
    </row>
    <row r="97" spans="1:4" x14ac:dyDescent="0.35">
      <c r="A97" s="10">
        <v>36342</v>
      </c>
      <c r="B97" s="15">
        <f>VLOOKUP(A97,Database!A:M,MATCH($A$1,Database!$A$1:$M$1,),)</f>
        <v>192947</v>
      </c>
      <c r="C97" s="12">
        <f t="shared" si="2"/>
        <v>4.9479939790725899E-3</v>
      </c>
      <c r="D97" s="13">
        <f t="shared" si="3"/>
        <v>6.5469846651683414E-2</v>
      </c>
    </row>
    <row r="98" spans="1:4" x14ac:dyDescent="0.35">
      <c r="A98" s="11">
        <v>36373</v>
      </c>
      <c r="B98" s="15">
        <f>VLOOKUP(A98,Database!A:M,MATCH($A$1,Database!$A$1:$M$1,),)</f>
        <v>194517</v>
      </c>
      <c r="C98" s="12">
        <f t="shared" si="2"/>
        <v>8.1369495249990938E-3</v>
      </c>
      <c r="D98" s="13">
        <f t="shared" si="3"/>
        <v>7.2416226527439329E-2</v>
      </c>
    </row>
    <row r="99" spans="1:4" x14ac:dyDescent="0.35">
      <c r="A99" s="10">
        <v>36404</v>
      </c>
      <c r="B99" s="15">
        <f>VLOOKUP(A99,Database!A:M,MATCH($A$1,Database!$A$1:$M$1,),)</f>
        <v>196167</v>
      </c>
      <c r="C99" s="12">
        <f t="shared" si="2"/>
        <v>8.4825490831135584E-3</v>
      </c>
      <c r="D99" s="13">
        <f t="shared" si="3"/>
        <v>8.1680029114328881E-2</v>
      </c>
    </row>
    <row r="100" spans="1:4" x14ac:dyDescent="0.35">
      <c r="A100" s="11">
        <v>36434</v>
      </c>
      <c r="B100" s="15">
        <f>VLOOKUP(A100,Database!A:M,MATCH($A$1,Database!$A$1:$M$1,),)</f>
        <v>197299</v>
      </c>
      <c r="C100" s="12">
        <f t="shared" si="2"/>
        <v>5.7705934229508532E-3</v>
      </c>
      <c r="D100" s="13">
        <f t="shared" si="3"/>
        <v>7.663638099915418E-2</v>
      </c>
    </row>
    <row r="101" spans="1:4" x14ac:dyDescent="0.35">
      <c r="A101" s="10">
        <v>36465</v>
      </c>
      <c r="B101" s="15">
        <f>VLOOKUP(A101,Database!A:M,MATCH($A$1,Database!$A$1:$M$1,),)</f>
        <v>198696</v>
      </c>
      <c r="C101" s="12">
        <f t="shared" si="2"/>
        <v>7.0806238247532929E-3</v>
      </c>
      <c r="D101" s="13">
        <f t="shared" si="3"/>
        <v>7.7094875158558923E-2</v>
      </c>
    </row>
    <row r="102" spans="1:4" x14ac:dyDescent="0.35">
      <c r="A102" s="11">
        <v>36495</v>
      </c>
      <c r="B102" s="15">
        <f>VLOOKUP(A102,Database!A:M,MATCH($A$1,Database!$A$1:$M$1,),)</f>
        <v>203954</v>
      </c>
      <c r="C102" s="12">
        <f t="shared" si="2"/>
        <v>2.6462535732979024E-2</v>
      </c>
      <c r="D102" s="13">
        <f t="shared" si="3"/>
        <v>9.6190952235067753E-2</v>
      </c>
    </row>
    <row r="103" spans="1:4" x14ac:dyDescent="0.35">
      <c r="A103" s="10">
        <v>36526</v>
      </c>
      <c r="B103" s="15">
        <f>VLOOKUP(A103,Database!A:M,MATCH($A$1,Database!$A$1:$M$1,),)</f>
        <v>200365</v>
      </c>
      <c r="C103" s="12">
        <f t="shared" si="2"/>
        <v>-1.75971052296106E-2</v>
      </c>
      <c r="D103" s="13">
        <f t="shared" si="3"/>
        <v>7.5306038114558341E-2</v>
      </c>
    </row>
    <row r="104" spans="1:4" x14ac:dyDescent="0.35">
      <c r="A104" s="11">
        <v>36557</v>
      </c>
      <c r="B104" s="15">
        <f>VLOOKUP(A104,Database!A:M,MATCH($A$1,Database!$A$1:$M$1,),)</f>
        <v>202935</v>
      </c>
      <c r="C104" s="12">
        <f t="shared" si="2"/>
        <v>1.2826591470566216E-2</v>
      </c>
      <c r="D104" s="13">
        <f t="shared" si="3"/>
        <v>7.7950706469775838E-2</v>
      </c>
    </row>
    <row r="105" spans="1:4" x14ac:dyDescent="0.35">
      <c r="A105" s="10">
        <v>36586</v>
      </c>
      <c r="B105" s="15">
        <f>VLOOKUP(A105,Database!A:M,MATCH($A$1,Database!$A$1:$M$1,),)</f>
        <v>206759</v>
      </c>
      <c r="C105" s="12">
        <f t="shared" si="2"/>
        <v>1.8843472047700004E-2</v>
      </c>
      <c r="D105" s="13">
        <f t="shared" si="3"/>
        <v>9.3812491403299017E-2</v>
      </c>
    </row>
    <row r="106" spans="1:4" x14ac:dyDescent="0.35">
      <c r="A106" s="11">
        <v>36617</v>
      </c>
      <c r="B106" s="15">
        <f>VLOOKUP(A106,Database!A:M,MATCH($A$1,Database!$A$1:$M$1,),)</f>
        <v>205234</v>
      </c>
      <c r="C106" s="12">
        <f t="shared" si="2"/>
        <v>-7.3757369691283088E-3</v>
      </c>
      <c r="D106" s="13">
        <f t="shared" si="3"/>
        <v>7.8323096565384831E-2</v>
      </c>
    </row>
    <row r="107" spans="1:4" x14ac:dyDescent="0.35">
      <c r="A107" s="10">
        <v>36647</v>
      </c>
      <c r="B107" s="15">
        <f>VLOOKUP(A107,Database!A:M,MATCH($A$1,Database!$A$1:$M$1,),)</f>
        <v>205613</v>
      </c>
      <c r="C107" s="12">
        <f t="shared" si="2"/>
        <v>1.8466725786175781E-3</v>
      </c>
      <c r="D107" s="13">
        <f t="shared" si="3"/>
        <v>7.3562582235124574E-2</v>
      </c>
    </row>
    <row r="108" spans="1:4" x14ac:dyDescent="0.35">
      <c r="A108" s="11">
        <v>36678</v>
      </c>
      <c r="B108" s="15">
        <f>VLOOKUP(A108,Database!A:M,MATCH($A$1,Database!$A$1:$M$1,),)</f>
        <v>206784</v>
      </c>
      <c r="C108" s="12">
        <f t="shared" si="2"/>
        <v>5.6951651889715141E-3</v>
      </c>
      <c r="D108" s="13">
        <f t="shared" si="3"/>
        <v>7.7016828387943562E-2</v>
      </c>
    </row>
    <row r="109" spans="1:4" x14ac:dyDescent="0.35">
      <c r="A109" s="10">
        <v>36708</v>
      </c>
      <c r="B109" s="15">
        <f>VLOOKUP(A109,Database!A:M,MATCH($A$1,Database!$A$1:$M$1,),)</f>
        <v>207425</v>
      </c>
      <c r="C109" s="12">
        <f t="shared" si="2"/>
        <v>3.0998529866914266E-3</v>
      </c>
      <c r="D109" s="13">
        <f t="shared" si="3"/>
        <v>7.5036149823526674E-2</v>
      </c>
    </row>
    <row r="110" spans="1:4" x14ac:dyDescent="0.35">
      <c r="A110" s="11">
        <v>36739</v>
      </c>
      <c r="B110" s="15">
        <f>VLOOKUP(A110,Database!A:M,MATCH($A$1,Database!$A$1:$M$1,),)</f>
        <v>207607</v>
      </c>
      <c r="C110" s="12">
        <f t="shared" si="2"/>
        <v>8.7742557550922018E-4</v>
      </c>
      <c r="D110" s="13">
        <f t="shared" si="3"/>
        <v>6.7294889392700896E-2</v>
      </c>
    </row>
    <row r="111" spans="1:4" x14ac:dyDescent="0.35">
      <c r="A111" s="10">
        <v>36770</v>
      </c>
      <c r="B111" s="15">
        <f>VLOOKUP(A111,Database!A:M,MATCH($A$1,Database!$A$1:$M$1,),)</f>
        <v>210698</v>
      </c>
      <c r="C111" s="12">
        <f t="shared" si="2"/>
        <v>1.4888707991541711E-2</v>
      </c>
      <c r="D111" s="13">
        <f t="shared" si="3"/>
        <v>7.407464048489297E-2</v>
      </c>
    </row>
    <row r="112" spans="1:4" x14ac:dyDescent="0.35">
      <c r="A112" s="11">
        <v>36800</v>
      </c>
      <c r="B112" s="15">
        <f>VLOOKUP(A112,Database!A:M,MATCH($A$1,Database!$A$1:$M$1,),)</f>
        <v>210719</v>
      </c>
      <c r="C112" s="12">
        <f t="shared" si="2"/>
        <v>9.9668720158710574E-5</v>
      </c>
      <c r="D112" s="13">
        <f t="shared" si="3"/>
        <v>6.8018591072433215E-2</v>
      </c>
    </row>
    <row r="113" spans="1:4" x14ac:dyDescent="0.35">
      <c r="A113" s="10">
        <v>36831</v>
      </c>
      <c r="B113" s="15">
        <f>VLOOKUP(A113,Database!A:M,MATCH($A$1,Database!$A$1:$M$1,),)</f>
        <v>211384</v>
      </c>
      <c r="C113" s="12">
        <f t="shared" si="2"/>
        <v>3.1558615976727301E-3</v>
      </c>
      <c r="D113" s="13">
        <f t="shared" si="3"/>
        <v>6.3856343358698719E-2</v>
      </c>
    </row>
    <row r="114" spans="1:4" x14ac:dyDescent="0.35">
      <c r="A114" s="11">
        <v>36861</v>
      </c>
      <c r="B114" s="15">
        <f>VLOOKUP(A114,Database!A:M,MATCH($A$1,Database!$A$1:$M$1,),)</f>
        <v>212267</v>
      </c>
      <c r="C114" s="12">
        <f t="shared" si="2"/>
        <v>4.1772319570071532E-3</v>
      </c>
      <c r="D114" s="13">
        <f t="shared" si="3"/>
        <v>4.0759190797925025E-2</v>
      </c>
    </row>
    <row r="115" spans="1:4" x14ac:dyDescent="0.35">
      <c r="A115" s="10">
        <v>36892</v>
      </c>
      <c r="B115" s="15">
        <f>VLOOKUP(A115,Database!A:M,MATCH($A$1,Database!$A$1:$M$1,),)</f>
        <v>212908</v>
      </c>
      <c r="C115" s="12">
        <f t="shared" si="2"/>
        <v>3.0197816900413158E-3</v>
      </c>
      <c r="D115" s="13">
        <f t="shared" si="3"/>
        <v>6.2600753624635047E-2</v>
      </c>
    </row>
    <row r="116" spans="1:4" x14ac:dyDescent="0.35">
      <c r="A116" s="11">
        <v>36923</v>
      </c>
      <c r="B116" s="15">
        <f>VLOOKUP(A116,Database!A:M,MATCH($A$1,Database!$A$1:$M$1,),)</f>
        <v>212585</v>
      </c>
      <c r="C116" s="12">
        <f t="shared" si="2"/>
        <v>-1.5170871925902268E-3</v>
      </c>
      <c r="D116" s="13">
        <f t="shared" si="3"/>
        <v>4.7552171877694831E-2</v>
      </c>
    </row>
    <row r="117" spans="1:4" x14ac:dyDescent="0.35">
      <c r="A117" s="10">
        <v>36951</v>
      </c>
      <c r="B117" s="15">
        <f>VLOOKUP(A117,Database!A:M,MATCH($A$1,Database!$A$1:$M$1,),)</f>
        <v>210779</v>
      </c>
      <c r="C117" s="12">
        <f t="shared" si="2"/>
        <v>-8.4954253592680572E-3</v>
      </c>
      <c r="D117" s="13">
        <f t="shared" si="3"/>
        <v>1.9442926305505443E-2</v>
      </c>
    </row>
    <row r="118" spans="1:4" x14ac:dyDescent="0.35">
      <c r="A118" s="11">
        <v>36982</v>
      </c>
      <c r="B118" s="15">
        <f>VLOOKUP(A118,Database!A:M,MATCH($A$1,Database!$A$1:$M$1,),)</f>
        <v>213875</v>
      </c>
      <c r="C118" s="12">
        <f t="shared" si="2"/>
        <v>1.4688370283567148E-2</v>
      </c>
      <c r="D118" s="13">
        <f t="shared" si="3"/>
        <v>4.2103160295077817E-2</v>
      </c>
    </row>
    <row r="119" spans="1:4" x14ac:dyDescent="0.35">
      <c r="A119" s="10">
        <v>37012</v>
      </c>
      <c r="B119" s="15">
        <f>VLOOKUP(A119,Database!A:M,MATCH($A$1,Database!$A$1:$M$1,),)</f>
        <v>214457</v>
      </c>
      <c r="C119" s="12">
        <f t="shared" si="2"/>
        <v>2.7212156633547634E-3</v>
      </c>
      <c r="D119" s="13">
        <f t="shared" si="3"/>
        <v>4.3012844518585884E-2</v>
      </c>
    </row>
    <row r="120" spans="1:4" x14ac:dyDescent="0.35">
      <c r="A120" s="11">
        <v>37043</v>
      </c>
      <c r="B120" s="15">
        <f>VLOOKUP(A120,Database!A:M,MATCH($A$1,Database!$A$1:$M$1,),)</f>
        <v>213691</v>
      </c>
      <c r="C120" s="12">
        <f t="shared" si="2"/>
        <v>-3.5718115985955228E-3</v>
      </c>
      <c r="D120" s="13">
        <f t="shared" si="3"/>
        <v>3.3402004023522128E-2</v>
      </c>
    </row>
    <row r="121" spans="1:4" x14ac:dyDescent="0.35">
      <c r="A121" s="10">
        <v>37073</v>
      </c>
      <c r="B121" s="15">
        <f>VLOOKUP(A121,Database!A:M,MATCH($A$1,Database!$A$1:$M$1,),)</f>
        <v>213437</v>
      </c>
      <c r="C121" s="12">
        <f t="shared" si="2"/>
        <v>-1.1886321838542569E-3</v>
      </c>
      <c r="D121" s="13">
        <f t="shared" si="3"/>
        <v>2.8983970109678198E-2</v>
      </c>
    </row>
    <row r="122" spans="1:4" x14ac:dyDescent="0.35">
      <c r="A122" s="11">
        <v>37104</v>
      </c>
      <c r="B122" s="15">
        <f>VLOOKUP(A122,Database!A:M,MATCH($A$1,Database!$A$1:$M$1,),)</f>
        <v>215063</v>
      </c>
      <c r="C122" s="12">
        <f t="shared" si="2"/>
        <v>7.6181730440364132E-3</v>
      </c>
      <c r="D122" s="13">
        <f t="shared" si="3"/>
        <v>3.5914010606578776E-2</v>
      </c>
    </row>
    <row r="123" spans="1:4" x14ac:dyDescent="0.35">
      <c r="A123" s="10">
        <v>37135</v>
      </c>
      <c r="B123" s="15">
        <f>VLOOKUP(A123,Database!A:M,MATCH($A$1,Database!$A$1:$M$1,),)</f>
        <v>212155</v>
      </c>
      <c r="C123" s="12">
        <f t="shared" si="2"/>
        <v>-1.3521619246453365E-2</v>
      </c>
      <c r="D123" s="13">
        <f t="shared" si="3"/>
        <v>6.9151107272019665E-3</v>
      </c>
    </row>
    <row r="124" spans="1:4" x14ac:dyDescent="0.35">
      <c r="A124" s="11">
        <v>37165</v>
      </c>
      <c r="B124" s="15">
        <f>VLOOKUP(A124,Database!A:M,MATCH($A$1,Database!$A$1:$M$1,),)</f>
        <v>214085</v>
      </c>
      <c r="C124" s="12">
        <f t="shared" si="2"/>
        <v>9.0971223869340812E-3</v>
      </c>
      <c r="D124" s="13">
        <f t="shared" si="3"/>
        <v>1.5973879906415654E-2</v>
      </c>
    </row>
    <row r="125" spans="1:4" x14ac:dyDescent="0.35">
      <c r="A125" s="10">
        <v>37196</v>
      </c>
      <c r="B125" s="15">
        <f>VLOOKUP(A125,Database!A:M,MATCH($A$1,Database!$A$1:$M$1,),)</f>
        <v>214698</v>
      </c>
      <c r="C125" s="12">
        <f t="shared" si="2"/>
        <v>2.8633486699208258E-3</v>
      </c>
      <c r="D125" s="13">
        <f t="shared" si="3"/>
        <v>1.5677629338076676E-2</v>
      </c>
    </row>
    <row r="126" spans="1:4" x14ac:dyDescent="0.35">
      <c r="A126" s="11">
        <v>37226</v>
      </c>
      <c r="B126" s="15">
        <f>VLOOKUP(A126,Database!A:M,MATCH($A$1,Database!$A$1:$M$1,),)</f>
        <v>215485</v>
      </c>
      <c r="C126" s="12">
        <f t="shared" si="2"/>
        <v>3.6656140252820241E-3</v>
      </c>
      <c r="D126" s="13">
        <f t="shared" si="3"/>
        <v>1.5160152072625515E-2</v>
      </c>
    </row>
    <row r="127" spans="1:4" x14ac:dyDescent="0.35">
      <c r="A127" s="10">
        <v>37257</v>
      </c>
      <c r="B127" s="15">
        <f>VLOOKUP(A127,Database!A:M,MATCH($A$1,Database!$A$1:$M$1,),)</f>
        <v>215843</v>
      </c>
      <c r="C127" s="12">
        <f t="shared" si="2"/>
        <v>1.6613685407336938E-3</v>
      </c>
      <c r="D127" s="13">
        <f t="shared" si="3"/>
        <v>1.3785296935765683E-2</v>
      </c>
    </row>
    <row r="128" spans="1:4" x14ac:dyDescent="0.35">
      <c r="A128" s="11">
        <v>37288</v>
      </c>
      <c r="B128" s="15">
        <f>VLOOKUP(A128,Database!A:M,MATCH($A$1,Database!$A$1:$M$1,),)</f>
        <v>216886</v>
      </c>
      <c r="C128" s="12">
        <f t="shared" si="2"/>
        <v>4.8322160088582903E-3</v>
      </c>
      <c r="D128" s="13">
        <f t="shared" si="3"/>
        <v>2.0231907237105159E-2</v>
      </c>
    </row>
    <row r="129" spans="1:4" x14ac:dyDescent="0.35">
      <c r="A129" s="10">
        <v>37316</v>
      </c>
      <c r="B129" s="15">
        <f>VLOOKUP(A129,Database!A:M,MATCH($A$1,Database!$A$1:$M$1,),)</f>
        <v>217692</v>
      </c>
      <c r="C129" s="12">
        <f t="shared" si="2"/>
        <v>3.7162380236622004E-3</v>
      </c>
      <c r="D129" s="13">
        <f t="shared" si="3"/>
        <v>3.2797384938727289E-2</v>
      </c>
    </row>
    <row r="130" spans="1:4" x14ac:dyDescent="0.35">
      <c r="A130" s="11">
        <v>37347</v>
      </c>
      <c r="B130" s="15">
        <f>VLOOKUP(A130,Database!A:M,MATCH($A$1,Database!$A$1:$M$1,),)</f>
        <v>220582</v>
      </c>
      <c r="C130" s="12">
        <f t="shared" si="2"/>
        <v>1.3275637138709736E-2</v>
      </c>
      <c r="D130" s="13">
        <f t="shared" si="3"/>
        <v>3.1359438924605493E-2</v>
      </c>
    </row>
    <row r="131" spans="1:4" x14ac:dyDescent="0.35">
      <c r="A131" s="10">
        <v>37377</v>
      </c>
      <c r="B131" s="15">
        <f>VLOOKUP(A131,Database!A:M,MATCH($A$1,Database!$A$1:$M$1,),)</f>
        <v>219889</v>
      </c>
      <c r="C131" s="12">
        <f t="shared" si="2"/>
        <v>-3.1416888050702233E-3</v>
      </c>
      <c r="D131" s="13">
        <f t="shared" si="3"/>
        <v>2.5329086949831436E-2</v>
      </c>
    </row>
    <row r="132" spans="1:4" x14ac:dyDescent="0.35">
      <c r="A132" s="11">
        <v>37408</v>
      </c>
      <c r="B132" s="15">
        <f>VLOOKUP(A132,Database!A:M,MATCH($A$1,Database!$A$1:$M$1,),)</f>
        <v>220018</v>
      </c>
      <c r="C132" s="12">
        <f t="shared" si="2"/>
        <v>5.8665963281473834E-4</v>
      </c>
      <c r="D132" s="13">
        <f t="shared" si="3"/>
        <v>2.9608172548212137E-2</v>
      </c>
    </row>
    <row r="133" spans="1:4" x14ac:dyDescent="0.35">
      <c r="A133" s="10">
        <v>37438</v>
      </c>
      <c r="B133" s="15">
        <f>VLOOKUP(A133,Database!A:M,MATCH($A$1,Database!$A$1:$M$1,),)</f>
        <v>220441</v>
      </c>
      <c r="C133" s="12">
        <f t="shared" si="2"/>
        <v>1.9225699715477824E-3</v>
      </c>
      <c r="D133" s="13">
        <f t="shared" si="3"/>
        <v>3.281530381330322E-2</v>
      </c>
    </row>
    <row r="134" spans="1:4" x14ac:dyDescent="0.35">
      <c r="A134" s="11">
        <v>37469</v>
      </c>
      <c r="B134" s="15">
        <f>VLOOKUP(A134,Database!A:M,MATCH($A$1,Database!$A$1:$M$1,),)</f>
        <v>220446</v>
      </c>
      <c r="C134" s="12">
        <f t="shared" si="2"/>
        <v>2.2681806016122229E-5</v>
      </c>
      <c r="D134" s="13">
        <f t="shared" si="3"/>
        <v>2.5029874966870171E-2</v>
      </c>
    </row>
    <row r="135" spans="1:4" x14ac:dyDescent="0.35">
      <c r="A135" s="10">
        <v>37500</v>
      </c>
      <c r="B135" s="15">
        <f>VLOOKUP(A135,Database!A:M,MATCH($A$1,Database!$A$1:$M$1,),)</f>
        <v>220344</v>
      </c>
      <c r="C135" s="12">
        <f t="shared" si="2"/>
        <v>-4.6269834789472252E-4</v>
      </c>
      <c r="D135" s="13">
        <f t="shared" si="3"/>
        <v>3.8599137423110462E-2</v>
      </c>
    </row>
    <row r="136" spans="1:4" x14ac:dyDescent="0.35">
      <c r="A136" s="11">
        <v>37530</v>
      </c>
      <c r="B136" s="15">
        <f>VLOOKUP(A136,Database!A:M,MATCH($A$1,Database!$A$1:$M$1,),)</f>
        <v>222023</v>
      </c>
      <c r="C136" s="12">
        <f t="shared" ref="C136:C199" si="4">(B136-B135)/B135</f>
        <v>7.6199034237374287E-3</v>
      </c>
      <c r="D136" s="13">
        <f t="shared" si="3"/>
        <v>3.7078730410818134E-2</v>
      </c>
    </row>
    <row r="137" spans="1:4" x14ac:dyDescent="0.35">
      <c r="A137" s="10">
        <v>37561</v>
      </c>
      <c r="B137" s="15">
        <f>VLOOKUP(A137,Database!A:M,MATCH($A$1,Database!$A$1:$M$1,),)</f>
        <v>223553</v>
      </c>
      <c r="C137" s="12">
        <f t="shared" si="4"/>
        <v>6.8911779410241285E-3</v>
      </c>
      <c r="D137" s="13">
        <f t="shared" si="3"/>
        <v>4.1243979915974997E-2</v>
      </c>
    </row>
    <row r="138" spans="1:4" x14ac:dyDescent="0.35">
      <c r="A138" s="11">
        <v>37591</v>
      </c>
      <c r="B138" s="15">
        <f>VLOOKUP(A138,Database!A:M,MATCH($A$1,Database!$A$1:$M$1,),)</f>
        <v>224153</v>
      </c>
      <c r="C138" s="12">
        <f t="shared" si="4"/>
        <v>2.6839273013558305E-3</v>
      </c>
      <c r="D138" s="13">
        <f t="shared" si="3"/>
        <v>4.0225537740445974E-2</v>
      </c>
    </row>
    <row r="139" spans="1:4" x14ac:dyDescent="0.35">
      <c r="A139" s="10">
        <v>37622</v>
      </c>
      <c r="B139" s="15">
        <f>VLOOKUP(A139,Database!A:M,MATCH($A$1,Database!$A$1:$M$1,),)</f>
        <v>225575</v>
      </c>
      <c r="C139" s="12">
        <f t="shared" si="4"/>
        <v>6.3438811882954946E-3</v>
      </c>
      <c r="D139" s="13">
        <f t="shared" si="3"/>
        <v>4.5088328090324911E-2</v>
      </c>
    </row>
    <row r="140" spans="1:4" x14ac:dyDescent="0.35">
      <c r="A140" s="11">
        <v>37653</v>
      </c>
      <c r="B140" s="15">
        <f>VLOOKUP(A140,Database!A:M,MATCH($A$1,Database!$A$1:$M$1,),)</f>
        <v>224632</v>
      </c>
      <c r="C140" s="12">
        <f t="shared" si="4"/>
        <v>-4.1804277956333817E-3</v>
      </c>
      <c r="D140" s="13">
        <f t="shared" si="3"/>
        <v>3.5714615051225071E-2</v>
      </c>
    </row>
    <row r="141" spans="1:4" x14ac:dyDescent="0.35">
      <c r="A141" s="10">
        <v>37681</v>
      </c>
      <c r="B141" s="15">
        <f>VLOOKUP(A141,Database!A:M,MATCH($A$1,Database!$A$1:$M$1,),)</f>
        <v>227697</v>
      </c>
      <c r="C141" s="12">
        <f t="shared" si="4"/>
        <v>1.3644538623170341E-2</v>
      </c>
      <c r="D141" s="13">
        <f t="shared" si="3"/>
        <v>4.5959428917920729E-2</v>
      </c>
    </row>
    <row r="142" spans="1:4" x14ac:dyDescent="0.35">
      <c r="A142" s="11">
        <v>37712</v>
      </c>
      <c r="B142" s="15">
        <f>VLOOKUP(A142,Database!A:M,MATCH($A$1,Database!$A$1:$M$1,),)</f>
        <v>226020</v>
      </c>
      <c r="C142" s="12">
        <f t="shared" si="4"/>
        <v>-7.3650509229370607E-3</v>
      </c>
      <c r="D142" s="13">
        <f t="shared" si="3"/>
        <v>2.4652963523768938E-2</v>
      </c>
    </row>
    <row r="143" spans="1:4" x14ac:dyDescent="0.35">
      <c r="A143" s="10">
        <v>37742</v>
      </c>
      <c r="B143" s="15">
        <f>VLOOKUP(A143,Database!A:M,MATCH($A$1,Database!$A$1:$M$1,),)</f>
        <v>226750</v>
      </c>
      <c r="C143" s="12">
        <f t="shared" si="4"/>
        <v>3.2298026723298822E-3</v>
      </c>
      <c r="D143" s="13">
        <f t="shared" si="3"/>
        <v>3.1202106517379223E-2</v>
      </c>
    </row>
    <row r="144" spans="1:4" x14ac:dyDescent="0.35">
      <c r="A144" s="11">
        <v>37773</v>
      </c>
      <c r="B144" s="15">
        <f>VLOOKUP(A144,Database!A:M,MATCH($A$1,Database!$A$1:$M$1,),)</f>
        <v>229301</v>
      </c>
      <c r="C144" s="12">
        <f t="shared" si="4"/>
        <v>1.1250275633958104E-2</v>
      </c>
      <c r="D144" s="13">
        <f t="shared" si="3"/>
        <v>4.2192002472524977E-2</v>
      </c>
    </row>
    <row r="145" spans="1:4" x14ac:dyDescent="0.35">
      <c r="A145" s="10">
        <v>37803</v>
      </c>
      <c r="B145" s="15">
        <f>VLOOKUP(A145,Database!A:M,MATCH($A$1,Database!$A$1:$M$1,),)</f>
        <v>231698</v>
      </c>
      <c r="C145" s="12">
        <f t="shared" si="4"/>
        <v>1.0453508706896176E-2</v>
      </c>
      <c r="D145" s="13">
        <f t="shared" si="3"/>
        <v>5.1065818064697586E-2</v>
      </c>
    </row>
    <row r="146" spans="1:4" x14ac:dyDescent="0.35">
      <c r="A146" s="11">
        <v>37834</v>
      </c>
      <c r="B146" s="15">
        <f>VLOOKUP(A146,Database!A:M,MATCH($A$1,Database!$A$1:$M$1,),)</f>
        <v>234890</v>
      </c>
      <c r="C146" s="12">
        <f t="shared" si="4"/>
        <v>1.3776553962485649E-2</v>
      </c>
      <c r="D146" s="13">
        <f t="shared" si="3"/>
        <v>6.552171506854286E-2</v>
      </c>
    </row>
    <row r="147" spans="1:4" x14ac:dyDescent="0.35">
      <c r="A147" s="10">
        <v>37865</v>
      </c>
      <c r="B147" s="15">
        <f>VLOOKUP(A147,Database!A:M,MATCH($A$1,Database!$A$1:$M$1,),)</f>
        <v>234749</v>
      </c>
      <c r="C147" s="12">
        <f t="shared" si="4"/>
        <v>-6.0028098258759421E-4</v>
      </c>
      <c r="D147" s="13">
        <f t="shared" ref="D147:D210" si="5">(B147-B135)/B135</f>
        <v>6.5375049921940237E-2</v>
      </c>
    </row>
    <row r="148" spans="1:4" x14ac:dyDescent="0.35">
      <c r="A148" s="11">
        <v>37895</v>
      </c>
      <c r="B148" s="15">
        <f>VLOOKUP(A148,Database!A:M,MATCH($A$1,Database!$A$1:$M$1,),)</f>
        <v>234992</v>
      </c>
      <c r="C148" s="12">
        <f t="shared" si="4"/>
        <v>1.0351481795449608E-3</v>
      </c>
      <c r="D148" s="13">
        <f t="shared" si="5"/>
        <v>5.8412867135386876E-2</v>
      </c>
    </row>
    <row r="149" spans="1:4" x14ac:dyDescent="0.35">
      <c r="A149" s="10">
        <v>37926</v>
      </c>
      <c r="B149" s="15">
        <f>VLOOKUP(A149,Database!A:M,MATCH($A$1,Database!$A$1:$M$1,),)</f>
        <v>236789</v>
      </c>
      <c r="C149" s="12">
        <f t="shared" si="4"/>
        <v>7.6470688363859196E-3</v>
      </c>
      <c r="D149" s="13">
        <f t="shared" si="5"/>
        <v>5.920743626790962E-2</v>
      </c>
    </row>
    <row r="150" spans="1:4" x14ac:dyDescent="0.35">
      <c r="A150" s="11">
        <v>37956</v>
      </c>
      <c r="B150" s="15">
        <f>VLOOKUP(A150,Database!A:M,MATCH($A$1,Database!$A$1:$M$1,),)</f>
        <v>237304</v>
      </c>
      <c r="C150" s="12">
        <f t="shared" si="4"/>
        <v>2.1749321125559043E-3</v>
      </c>
      <c r="D150" s="13">
        <f t="shared" si="5"/>
        <v>5.8669747895410726E-2</v>
      </c>
    </row>
    <row r="151" spans="1:4" x14ac:dyDescent="0.35">
      <c r="A151" s="10">
        <v>37987</v>
      </c>
      <c r="B151" s="15">
        <f>VLOOKUP(A151,Database!A:M,MATCH($A$1,Database!$A$1:$M$1,),)</f>
        <v>239984</v>
      </c>
      <c r="C151" s="12">
        <f t="shared" si="4"/>
        <v>1.1293530661092944E-2</v>
      </c>
      <c r="D151" s="13">
        <f t="shared" si="5"/>
        <v>6.3876759392663199E-2</v>
      </c>
    </row>
    <row r="152" spans="1:4" x14ac:dyDescent="0.35">
      <c r="A152" s="11">
        <v>38018</v>
      </c>
      <c r="B152" s="15">
        <f>VLOOKUP(A152,Database!A:M,MATCH($A$1,Database!$A$1:$M$1,),)</f>
        <v>240300</v>
      </c>
      <c r="C152" s="12">
        <f t="shared" si="4"/>
        <v>1.3167544502966865E-3</v>
      </c>
      <c r="D152" s="13">
        <f t="shared" si="5"/>
        <v>6.9749634958509915E-2</v>
      </c>
    </row>
    <row r="153" spans="1:4" x14ac:dyDescent="0.35">
      <c r="A153" s="10">
        <v>38047</v>
      </c>
      <c r="B153" s="15">
        <f>VLOOKUP(A153,Database!A:M,MATCH($A$1,Database!$A$1:$M$1,),)</f>
        <v>244775</v>
      </c>
      <c r="C153" s="12">
        <f t="shared" si="4"/>
        <v>1.8622555139409074E-2</v>
      </c>
      <c r="D153" s="13">
        <f t="shared" si="5"/>
        <v>7.5003184056004257E-2</v>
      </c>
    </row>
    <row r="154" spans="1:4" x14ac:dyDescent="0.35">
      <c r="A154" s="11">
        <v>38078</v>
      </c>
      <c r="B154" s="15">
        <f>VLOOKUP(A154,Database!A:M,MATCH($A$1,Database!$A$1:$M$1,),)</f>
        <v>243552</v>
      </c>
      <c r="C154" s="12">
        <f t="shared" si="4"/>
        <v>-4.9964252885302827E-3</v>
      </c>
      <c r="D154" s="13">
        <f t="shared" si="5"/>
        <v>7.7568356782585612E-2</v>
      </c>
    </row>
    <row r="155" spans="1:4" x14ac:dyDescent="0.35">
      <c r="A155" s="10">
        <v>38108</v>
      </c>
      <c r="B155" s="15">
        <f>VLOOKUP(A155,Database!A:M,MATCH($A$1,Database!$A$1:$M$1,),)</f>
        <v>246143</v>
      </c>
      <c r="C155" s="12">
        <f t="shared" si="4"/>
        <v>1.0638385231901196E-2</v>
      </c>
      <c r="D155" s="13">
        <f t="shared" si="5"/>
        <v>8.5525909592061744E-2</v>
      </c>
    </row>
    <row r="156" spans="1:4" x14ac:dyDescent="0.35">
      <c r="A156" s="11">
        <v>38139</v>
      </c>
      <c r="B156" s="15">
        <f>VLOOKUP(A156,Database!A:M,MATCH($A$1,Database!$A$1:$M$1,),)</f>
        <v>245967</v>
      </c>
      <c r="C156" s="12">
        <f t="shared" si="4"/>
        <v>-7.1503150607573642E-4</v>
      </c>
      <c r="D156" s="13">
        <f t="shared" si="5"/>
        <v>7.2681758910776662E-2</v>
      </c>
    </row>
    <row r="157" spans="1:4" x14ac:dyDescent="0.35">
      <c r="A157" s="10">
        <v>38169</v>
      </c>
      <c r="B157" s="15">
        <f>VLOOKUP(A157,Database!A:M,MATCH($A$1,Database!$A$1:$M$1,),)</f>
        <v>247311</v>
      </c>
      <c r="C157" s="12">
        <f t="shared" si="4"/>
        <v>5.4641476295600629E-3</v>
      </c>
      <c r="D157" s="13">
        <f t="shared" si="5"/>
        <v>6.7385130644200639E-2</v>
      </c>
    </row>
    <row r="158" spans="1:4" x14ac:dyDescent="0.35">
      <c r="A158" s="11">
        <v>38200</v>
      </c>
      <c r="B158" s="15">
        <f>VLOOKUP(A158,Database!A:M,MATCH($A$1,Database!$A$1:$M$1,),)</f>
        <v>247612</v>
      </c>
      <c r="C158" s="12">
        <f t="shared" si="4"/>
        <v>1.2170910311308434E-3</v>
      </c>
      <c r="D158" s="13">
        <f t="shared" si="5"/>
        <v>5.416152241474733E-2</v>
      </c>
    </row>
    <row r="159" spans="1:4" x14ac:dyDescent="0.35">
      <c r="A159" s="10">
        <v>38231</v>
      </c>
      <c r="B159" s="15">
        <f>VLOOKUP(A159,Database!A:M,MATCH($A$1,Database!$A$1:$M$1,),)</f>
        <v>249840</v>
      </c>
      <c r="C159" s="12">
        <f t="shared" si="4"/>
        <v>8.9979484031468583E-3</v>
      </c>
      <c r="D159" s="13">
        <f t="shared" si="5"/>
        <v>6.4285683858078202E-2</v>
      </c>
    </row>
    <row r="160" spans="1:4" x14ac:dyDescent="0.35">
      <c r="A160" s="11">
        <v>38261</v>
      </c>
      <c r="B160" s="15">
        <f>VLOOKUP(A160,Database!A:M,MATCH($A$1,Database!$A$1:$M$1,),)</f>
        <v>252882</v>
      </c>
      <c r="C160" s="12">
        <f t="shared" si="4"/>
        <v>1.2175792507204611E-2</v>
      </c>
      <c r="D160" s="13">
        <f t="shared" si="5"/>
        <v>7.6130251242595495E-2</v>
      </c>
    </row>
    <row r="161" spans="1:4" x14ac:dyDescent="0.35">
      <c r="A161" s="10">
        <v>38292</v>
      </c>
      <c r="B161" s="15">
        <f>VLOOKUP(A161,Database!A:M,MATCH($A$1,Database!$A$1:$M$1,),)</f>
        <v>254429</v>
      </c>
      <c r="C161" s="12">
        <f t="shared" si="4"/>
        <v>6.1174777168798095E-3</v>
      </c>
      <c r="D161" s="13">
        <f t="shared" si="5"/>
        <v>7.4496703816477966E-2</v>
      </c>
    </row>
    <row r="162" spans="1:4" x14ac:dyDescent="0.35">
      <c r="A162" s="11">
        <v>38322</v>
      </c>
      <c r="B162" s="15">
        <f>VLOOKUP(A162,Database!A:M,MATCH($A$1,Database!$A$1:$M$1,),)</f>
        <v>256487</v>
      </c>
      <c r="C162" s="12">
        <f t="shared" si="4"/>
        <v>8.088700580515586E-3</v>
      </c>
      <c r="D162" s="13">
        <f t="shared" si="5"/>
        <v>8.0837238310352971E-2</v>
      </c>
    </row>
    <row r="163" spans="1:4" x14ac:dyDescent="0.35">
      <c r="A163" s="10">
        <v>38353</v>
      </c>
      <c r="B163" s="15">
        <f>VLOOKUP(A163,Database!A:M,MATCH($A$1,Database!$A$1:$M$1,),)</f>
        <v>256613</v>
      </c>
      <c r="C163" s="12">
        <f t="shared" si="4"/>
        <v>4.9125296798668155E-4</v>
      </c>
      <c r="D163" s="13">
        <f t="shared" si="5"/>
        <v>6.9292119474631639E-2</v>
      </c>
    </row>
    <row r="164" spans="1:4" x14ac:dyDescent="0.35">
      <c r="A164" s="11">
        <v>38384</v>
      </c>
      <c r="B164" s="15">
        <f>VLOOKUP(A164,Database!A:M,MATCH($A$1,Database!$A$1:$M$1,),)</f>
        <v>259253</v>
      </c>
      <c r="C164" s="12">
        <f t="shared" si="4"/>
        <v>1.0287865384840207E-2</v>
      </c>
      <c r="D164" s="13">
        <f t="shared" si="5"/>
        <v>7.8872243029546402E-2</v>
      </c>
    </row>
    <row r="165" spans="1:4" x14ac:dyDescent="0.35">
      <c r="A165" s="10">
        <v>38412</v>
      </c>
      <c r="B165" s="15">
        <f>VLOOKUP(A165,Database!A:M,MATCH($A$1,Database!$A$1:$M$1,),)</f>
        <v>259434</v>
      </c>
      <c r="C165" s="12">
        <f t="shared" si="4"/>
        <v>6.9815971271306408E-4</v>
      </c>
      <c r="D165" s="13">
        <f t="shared" si="5"/>
        <v>5.9887651925237463E-2</v>
      </c>
    </row>
    <row r="166" spans="1:4" x14ac:dyDescent="0.35">
      <c r="A166" s="11">
        <v>38443</v>
      </c>
      <c r="B166" s="15">
        <f>VLOOKUP(A166,Database!A:M,MATCH($A$1,Database!$A$1:$M$1,),)</f>
        <v>262934</v>
      </c>
      <c r="C166" s="12">
        <f t="shared" si="4"/>
        <v>1.3490907128595327E-2</v>
      </c>
      <c r="D166" s="13">
        <f t="shared" si="5"/>
        <v>7.9580541321771114E-2</v>
      </c>
    </row>
    <row r="167" spans="1:4" x14ac:dyDescent="0.35">
      <c r="A167" s="10">
        <v>38473</v>
      </c>
      <c r="B167" s="15">
        <f>VLOOKUP(A167,Database!A:M,MATCH($A$1,Database!$A$1:$M$1,),)</f>
        <v>261297</v>
      </c>
      <c r="C167" s="12">
        <f t="shared" si="4"/>
        <v>-6.2258969931617818E-3</v>
      </c>
      <c r="D167" s="13">
        <f t="shared" si="5"/>
        <v>6.1565837744725627E-2</v>
      </c>
    </row>
    <row r="168" spans="1:4" x14ac:dyDescent="0.35">
      <c r="A168" s="11">
        <v>38504</v>
      </c>
      <c r="B168" s="15">
        <f>VLOOKUP(A168,Database!A:M,MATCH($A$1,Database!$A$1:$M$1,),)</f>
        <v>264359</v>
      </c>
      <c r="C168" s="12">
        <f t="shared" si="4"/>
        <v>1.1718465960190895E-2</v>
      </c>
      <c r="D168" s="13">
        <f t="shared" si="5"/>
        <v>7.4774258335467761E-2</v>
      </c>
    </row>
    <row r="169" spans="1:4" x14ac:dyDescent="0.35">
      <c r="A169" s="10">
        <v>38534</v>
      </c>
      <c r="B169" s="15">
        <f>VLOOKUP(A169,Database!A:M,MATCH($A$1,Database!$A$1:$M$1,),)</f>
        <v>264971</v>
      </c>
      <c r="C169" s="12">
        <f t="shared" si="4"/>
        <v>2.315033723081113E-3</v>
      </c>
      <c r="D169" s="13">
        <f t="shared" si="5"/>
        <v>7.1408065148739847E-2</v>
      </c>
    </row>
    <row r="170" spans="1:4" x14ac:dyDescent="0.35">
      <c r="A170" s="11">
        <v>38565</v>
      </c>
      <c r="B170" s="15">
        <f>VLOOKUP(A170,Database!A:M,MATCH($A$1,Database!$A$1:$M$1,),)</f>
        <v>269520</v>
      </c>
      <c r="C170" s="12">
        <f t="shared" si="4"/>
        <v>1.7167916488974266E-2</v>
      </c>
      <c r="D170" s="13">
        <f t="shared" si="5"/>
        <v>8.8477133579955736E-2</v>
      </c>
    </row>
    <row r="171" spans="1:4" x14ac:dyDescent="0.35">
      <c r="A171" s="10">
        <v>38596</v>
      </c>
      <c r="B171" s="15">
        <f>VLOOKUP(A171,Database!A:M,MATCH($A$1,Database!$A$1:$M$1,),)</f>
        <v>273329</v>
      </c>
      <c r="C171" s="12">
        <f t="shared" si="4"/>
        <v>1.4132531908578213E-2</v>
      </c>
      <c r="D171" s="13">
        <f t="shared" si="5"/>
        <v>9.4016170349023376E-2</v>
      </c>
    </row>
    <row r="172" spans="1:4" x14ac:dyDescent="0.35">
      <c r="A172" s="11">
        <v>38626</v>
      </c>
      <c r="B172" s="15">
        <f>VLOOKUP(A172,Database!A:M,MATCH($A$1,Database!$A$1:$M$1,),)</f>
        <v>276244</v>
      </c>
      <c r="C172" s="12">
        <f t="shared" si="4"/>
        <v>1.0664803222490112E-2</v>
      </c>
      <c r="D172" s="13">
        <f t="shared" si="5"/>
        <v>9.2383008675983258E-2</v>
      </c>
    </row>
    <row r="173" spans="1:4" x14ac:dyDescent="0.35">
      <c r="A173" s="10">
        <v>38657</v>
      </c>
      <c r="B173" s="15">
        <f>VLOOKUP(A173,Database!A:M,MATCH($A$1,Database!$A$1:$M$1,),)</f>
        <v>274114</v>
      </c>
      <c r="C173" s="12">
        <f t="shared" si="4"/>
        <v>-7.7105747093149535E-3</v>
      </c>
      <c r="D173" s="13">
        <f t="shared" si="5"/>
        <v>7.7369325037633288E-2</v>
      </c>
    </row>
    <row r="174" spans="1:4" x14ac:dyDescent="0.35">
      <c r="A174" s="11">
        <v>38687</v>
      </c>
      <c r="B174" s="15">
        <f>VLOOKUP(A174,Database!A:M,MATCH($A$1,Database!$A$1:$M$1,),)</f>
        <v>274073</v>
      </c>
      <c r="C174" s="12">
        <f t="shared" si="4"/>
        <v>-1.4957280547509431E-4</v>
      </c>
      <c r="D174" s="13">
        <f t="shared" si="5"/>
        <v>6.8564878531855417E-2</v>
      </c>
    </row>
    <row r="175" spans="1:4" x14ac:dyDescent="0.35">
      <c r="A175" s="10">
        <v>38718</v>
      </c>
      <c r="B175" s="15">
        <f>VLOOKUP(A175,Database!A:M,MATCH($A$1,Database!$A$1:$M$1,),)</f>
        <v>280574</v>
      </c>
      <c r="C175" s="12">
        <f t="shared" si="4"/>
        <v>2.3719957821456326E-2</v>
      </c>
      <c r="D175" s="13">
        <f t="shared" si="5"/>
        <v>9.3374069123544012E-2</v>
      </c>
    </row>
    <row r="176" spans="1:4" x14ac:dyDescent="0.35">
      <c r="A176" s="11">
        <v>38749</v>
      </c>
      <c r="B176" s="15">
        <f>VLOOKUP(A176,Database!A:M,MATCH($A$1,Database!$A$1:$M$1,),)</f>
        <v>280598</v>
      </c>
      <c r="C176" s="12">
        <f t="shared" si="4"/>
        <v>8.5538930905928562E-5</v>
      </c>
      <c r="D176" s="13">
        <f t="shared" si="5"/>
        <v>8.2332702032377636E-2</v>
      </c>
    </row>
    <row r="177" spans="1:4" x14ac:dyDescent="0.35">
      <c r="A177" s="10">
        <v>38777</v>
      </c>
      <c r="B177" s="15">
        <f>VLOOKUP(A177,Database!A:M,MATCH($A$1,Database!$A$1:$M$1,),)</f>
        <v>281056</v>
      </c>
      <c r="C177" s="12">
        <f t="shared" si="4"/>
        <v>1.6322283123899671E-3</v>
      </c>
      <c r="D177" s="13">
        <f t="shared" si="5"/>
        <v>8.334296969556805E-2</v>
      </c>
    </row>
    <row r="178" spans="1:4" x14ac:dyDescent="0.35">
      <c r="A178" s="11">
        <v>38808</v>
      </c>
      <c r="B178" s="15">
        <f>VLOOKUP(A178,Database!A:M,MATCH($A$1,Database!$A$1:$M$1,),)</f>
        <v>282525</v>
      </c>
      <c r="C178" s="12">
        <f t="shared" si="4"/>
        <v>5.2267163839234887E-3</v>
      </c>
      <c r="D178" s="13">
        <f t="shared" si="5"/>
        <v>7.450919242091171E-2</v>
      </c>
    </row>
    <row r="179" spans="1:4" x14ac:dyDescent="0.35">
      <c r="A179" s="10">
        <v>38838</v>
      </c>
      <c r="B179" s="15">
        <f>VLOOKUP(A179,Database!A:M,MATCH($A$1,Database!$A$1:$M$1,),)</f>
        <v>282623</v>
      </c>
      <c r="C179" s="12">
        <f t="shared" si="4"/>
        <v>3.4687195823378464E-4</v>
      </c>
      <c r="D179" s="13">
        <f t="shared" si="5"/>
        <v>8.1615938950695952E-2</v>
      </c>
    </row>
    <row r="180" spans="1:4" x14ac:dyDescent="0.35">
      <c r="A180" s="11">
        <v>38869</v>
      </c>
      <c r="B180" s="15">
        <f>VLOOKUP(A180,Database!A:M,MATCH($A$1,Database!$A$1:$M$1,),)</f>
        <v>282510</v>
      </c>
      <c r="C180" s="12">
        <f t="shared" si="4"/>
        <v>-3.9982591650361083E-4</v>
      </c>
      <c r="D180" s="13">
        <f t="shared" si="5"/>
        <v>6.8660420110531514E-2</v>
      </c>
    </row>
    <row r="181" spans="1:4" x14ac:dyDescent="0.35">
      <c r="A181" s="10">
        <v>38899</v>
      </c>
      <c r="B181" s="15">
        <f>VLOOKUP(A181,Database!A:M,MATCH($A$1,Database!$A$1:$M$1,),)</f>
        <v>283042</v>
      </c>
      <c r="C181" s="12">
        <f t="shared" si="4"/>
        <v>1.8831191816218896E-3</v>
      </c>
      <c r="D181" s="13">
        <f t="shared" si="5"/>
        <v>6.8199916217246415E-2</v>
      </c>
    </row>
    <row r="182" spans="1:4" x14ac:dyDescent="0.35">
      <c r="A182" s="11">
        <v>38930</v>
      </c>
      <c r="B182" s="15">
        <f>VLOOKUP(A182,Database!A:M,MATCH($A$1,Database!$A$1:$M$1,),)</f>
        <v>285504</v>
      </c>
      <c r="C182" s="12">
        <f t="shared" si="4"/>
        <v>8.6983557210590663E-3</v>
      </c>
      <c r="D182" s="13">
        <f t="shared" si="5"/>
        <v>5.9305431878895816E-2</v>
      </c>
    </row>
    <row r="183" spans="1:4" x14ac:dyDescent="0.35">
      <c r="A183" s="10">
        <v>38961</v>
      </c>
      <c r="B183" s="15">
        <f>VLOOKUP(A183,Database!A:M,MATCH($A$1,Database!$A$1:$M$1,),)</f>
        <v>284382</v>
      </c>
      <c r="C183" s="12">
        <f t="shared" si="4"/>
        <v>-3.9298924008069943E-3</v>
      </c>
      <c r="D183" s="13">
        <f t="shared" si="5"/>
        <v>4.0438445975363023E-2</v>
      </c>
    </row>
    <row r="184" spans="1:4" x14ac:dyDescent="0.35">
      <c r="A184" s="11">
        <v>38991</v>
      </c>
      <c r="B184" s="15">
        <f>VLOOKUP(A184,Database!A:M,MATCH($A$1,Database!$A$1:$M$1,),)</f>
        <v>283015</v>
      </c>
      <c r="C184" s="12">
        <f t="shared" si="4"/>
        <v>-4.8069146429802166E-3</v>
      </c>
      <c r="D184" s="13">
        <f t="shared" si="5"/>
        <v>2.4510939604118098E-2</v>
      </c>
    </row>
    <row r="185" spans="1:4" x14ac:dyDescent="0.35">
      <c r="A185" s="10">
        <v>39022</v>
      </c>
      <c r="B185" s="15">
        <f>VLOOKUP(A185,Database!A:M,MATCH($A$1,Database!$A$1:$M$1,),)</f>
        <v>283202</v>
      </c>
      <c r="C185" s="12">
        <f t="shared" si="4"/>
        <v>6.607423634789676E-4</v>
      </c>
      <c r="D185" s="13">
        <f t="shared" si="5"/>
        <v>3.3154089174577003E-2</v>
      </c>
    </row>
    <row r="186" spans="1:4" x14ac:dyDescent="0.35">
      <c r="A186" s="11">
        <v>39052</v>
      </c>
      <c r="B186" s="15">
        <f>VLOOKUP(A186,Database!A:M,MATCH($A$1,Database!$A$1:$M$1,),)</f>
        <v>288292</v>
      </c>
      <c r="C186" s="12">
        <f t="shared" si="4"/>
        <v>1.7973036913581118E-2</v>
      </c>
      <c r="D186" s="13">
        <f t="shared" si="5"/>
        <v>5.1880338449975007E-2</v>
      </c>
    </row>
    <row r="187" spans="1:4" x14ac:dyDescent="0.35">
      <c r="A187" s="10">
        <v>39083</v>
      </c>
      <c r="B187" s="15">
        <f>VLOOKUP(A187,Database!A:M,MATCH($A$1,Database!$A$1:$M$1,),)</f>
        <v>288217</v>
      </c>
      <c r="C187" s="12">
        <f t="shared" si="4"/>
        <v>-2.6015290053140567E-4</v>
      </c>
      <c r="D187" s="13">
        <f t="shared" si="5"/>
        <v>2.7240585371417166E-2</v>
      </c>
    </row>
    <row r="188" spans="1:4" x14ac:dyDescent="0.35">
      <c r="A188" s="11">
        <v>39114</v>
      </c>
      <c r="B188" s="15">
        <f>VLOOKUP(A188,Database!A:M,MATCH($A$1,Database!$A$1:$M$1,),)</f>
        <v>288165</v>
      </c>
      <c r="C188" s="12">
        <f t="shared" si="4"/>
        <v>-1.8041961438777034E-4</v>
      </c>
      <c r="D188" s="13">
        <f t="shared" si="5"/>
        <v>2.6967405327194063E-2</v>
      </c>
    </row>
    <row r="189" spans="1:4" x14ac:dyDescent="0.35">
      <c r="A189" s="10">
        <v>39142</v>
      </c>
      <c r="B189" s="15">
        <f>VLOOKUP(A189,Database!A:M,MATCH($A$1,Database!$A$1:$M$1,),)</f>
        <v>291686</v>
      </c>
      <c r="C189" s="12">
        <f t="shared" si="4"/>
        <v>1.221869415092048E-2</v>
      </c>
      <c r="D189" s="13">
        <f t="shared" si="5"/>
        <v>3.7821644085164523E-2</v>
      </c>
    </row>
    <row r="190" spans="1:4" x14ac:dyDescent="0.35">
      <c r="A190" s="11">
        <v>39173</v>
      </c>
      <c r="B190" s="15">
        <f>VLOOKUP(A190,Database!A:M,MATCH($A$1,Database!$A$1:$M$1,),)</f>
        <v>289982</v>
      </c>
      <c r="C190" s="12">
        <f t="shared" si="4"/>
        <v>-5.8418984798721913E-3</v>
      </c>
      <c r="D190" s="13">
        <f t="shared" si="5"/>
        <v>2.6394124413768694E-2</v>
      </c>
    </row>
    <row r="191" spans="1:4" x14ac:dyDescent="0.35">
      <c r="A191" s="10">
        <v>39203</v>
      </c>
      <c r="B191" s="15">
        <f>VLOOKUP(A191,Database!A:M,MATCH($A$1,Database!$A$1:$M$1,),)</f>
        <v>293748</v>
      </c>
      <c r="C191" s="12">
        <f t="shared" si="4"/>
        <v>1.2987012987012988E-2</v>
      </c>
      <c r="D191" s="13">
        <f t="shared" si="5"/>
        <v>3.9363392222147527E-2</v>
      </c>
    </row>
    <row r="192" spans="1:4" x14ac:dyDescent="0.35">
      <c r="A192" s="11">
        <v>39234</v>
      </c>
      <c r="B192" s="15">
        <f>VLOOKUP(A192,Database!A:M,MATCH($A$1,Database!$A$1:$M$1,),)</f>
        <v>293360</v>
      </c>
      <c r="C192" s="12">
        <f t="shared" si="4"/>
        <v>-1.3208600569195364E-3</v>
      </c>
      <c r="D192" s="13">
        <f t="shared" si="5"/>
        <v>3.8405720151499061E-2</v>
      </c>
    </row>
    <row r="193" spans="1:4" x14ac:dyDescent="0.35">
      <c r="A193" s="10">
        <v>39264</v>
      </c>
      <c r="B193" s="15">
        <f>VLOOKUP(A193,Database!A:M,MATCH($A$1,Database!$A$1:$M$1,),)</f>
        <v>294682</v>
      </c>
      <c r="C193" s="12">
        <f t="shared" si="4"/>
        <v>4.5064085083174254E-3</v>
      </c>
      <c r="D193" s="13">
        <f t="shared" si="5"/>
        <v>4.1124638746193147E-2</v>
      </c>
    </row>
    <row r="194" spans="1:4" x14ac:dyDescent="0.35">
      <c r="A194" s="11">
        <v>39295</v>
      </c>
      <c r="B194" s="15">
        <f>VLOOKUP(A194,Database!A:M,MATCH($A$1,Database!$A$1:$M$1,),)</f>
        <v>294809</v>
      </c>
      <c r="C194" s="12">
        <f t="shared" si="4"/>
        <v>4.3097304891374433E-4</v>
      </c>
      <c r="D194" s="13">
        <f t="shared" si="5"/>
        <v>3.2591487334678322E-2</v>
      </c>
    </row>
    <row r="195" spans="1:4" x14ac:dyDescent="0.35">
      <c r="A195" s="10">
        <v>39326</v>
      </c>
      <c r="B195" s="15">
        <f>VLOOKUP(A195,Database!A:M,MATCH($A$1,Database!$A$1:$M$1,),)</f>
        <v>295693</v>
      </c>
      <c r="C195" s="12">
        <f t="shared" si="4"/>
        <v>2.9985516045982312E-3</v>
      </c>
      <c r="D195" s="13">
        <f t="shared" si="5"/>
        <v>3.9773966003474201E-2</v>
      </c>
    </row>
    <row r="196" spans="1:4" x14ac:dyDescent="0.35">
      <c r="A196" s="11">
        <v>39356</v>
      </c>
      <c r="B196" s="15">
        <f>VLOOKUP(A196,Database!A:M,MATCH($A$1,Database!$A$1:$M$1,),)</f>
        <v>297672</v>
      </c>
      <c r="C196" s="12">
        <f t="shared" si="4"/>
        <v>6.6927522802365967E-3</v>
      </c>
      <c r="D196" s="13">
        <f t="shared" si="5"/>
        <v>5.1788774446584106E-2</v>
      </c>
    </row>
    <row r="197" spans="1:4" x14ac:dyDescent="0.35">
      <c r="A197" s="10">
        <v>39387</v>
      </c>
      <c r="B197" s="15">
        <f>VLOOKUP(A197,Database!A:M,MATCH($A$1,Database!$A$1:$M$1,),)</f>
        <v>302939</v>
      </c>
      <c r="C197" s="12">
        <f t="shared" si="4"/>
        <v>1.7693971888521596E-2</v>
      </c>
      <c r="D197" s="13">
        <f t="shared" si="5"/>
        <v>6.9692304432878299E-2</v>
      </c>
    </row>
    <row r="198" spans="1:4" x14ac:dyDescent="0.35">
      <c r="A198" s="11">
        <v>39417</v>
      </c>
      <c r="B198" s="15">
        <f>VLOOKUP(A198,Database!A:M,MATCH($A$1,Database!$A$1:$M$1,),)</f>
        <v>300953</v>
      </c>
      <c r="C198" s="12">
        <f t="shared" si="4"/>
        <v>-6.5557752550843571E-3</v>
      </c>
      <c r="D198" s="13">
        <f t="shared" si="5"/>
        <v>4.3917278315041691E-2</v>
      </c>
    </row>
    <row r="199" spans="1:4" x14ac:dyDescent="0.35">
      <c r="A199" s="10">
        <v>39448</v>
      </c>
      <c r="B199" s="15">
        <f>VLOOKUP(A199,Database!A:M,MATCH($A$1,Database!$A$1:$M$1,),)</f>
        <v>301402</v>
      </c>
      <c r="C199" s="12">
        <f t="shared" si="4"/>
        <v>1.4919273109090124E-3</v>
      </c>
      <c r="D199" s="13">
        <f t="shared" si="5"/>
        <v>4.5746781071206763E-2</v>
      </c>
    </row>
    <row r="200" spans="1:4" x14ac:dyDescent="0.35">
      <c r="A200" s="11">
        <v>39479</v>
      </c>
      <c r="B200" s="15">
        <f>VLOOKUP(A200,Database!A:M,MATCH($A$1,Database!$A$1:$M$1,),)</f>
        <v>299627</v>
      </c>
      <c r="C200" s="12">
        <f t="shared" ref="C200:C263" si="6">(B200-B199)/B199</f>
        <v>-5.8891447302937602E-3</v>
      </c>
      <c r="D200" s="13">
        <f t="shared" si="5"/>
        <v>3.9775822879253207E-2</v>
      </c>
    </row>
    <row r="201" spans="1:4" x14ac:dyDescent="0.35">
      <c r="A201" s="10">
        <v>39508</v>
      </c>
      <c r="B201" s="15">
        <f>VLOOKUP(A201,Database!A:M,MATCH($A$1,Database!$A$1:$M$1,),)</f>
        <v>300971</v>
      </c>
      <c r="C201" s="12">
        <f t="shared" si="6"/>
        <v>4.4855770674872425E-3</v>
      </c>
      <c r="D201" s="13">
        <f t="shared" si="5"/>
        <v>3.183217569578245E-2</v>
      </c>
    </row>
    <row r="202" spans="1:4" x14ac:dyDescent="0.35">
      <c r="A202" s="11">
        <v>39539</v>
      </c>
      <c r="B202" s="15">
        <f>VLOOKUP(A202,Database!A:M,MATCH($A$1,Database!$A$1:$M$1,),)</f>
        <v>302520</v>
      </c>
      <c r="C202" s="12">
        <f t="shared" si="6"/>
        <v>5.146675261071665E-3</v>
      </c>
      <c r="D202" s="13">
        <f t="shared" si="5"/>
        <v>4.3237166444813818E-2</v>
      </c>
    </row>
    <row r="203" spans="1:4" x14ac:dyDescent="0.35">
      <c r="A203" s="10">
        <v>39569</v>
      </c>
      <c r="B203" s="15">
        <f>VLOOKUP(A203,Database!A:M,MATCH($A$1,Database!$A$1:$M$1,),)</f>
        <v>306893</v>
      </c>
      <c r="C203" s="12">
        <f t="shared" si="6"/>
        <v>1.4455242628586541E-2</v>
      </c>
      <c r="D203" s="13">
        <f t="shared" si="5"/>
        <v>4.474924084589512E-2</v>
      </c>
    </row>
    <row r="204" spans="1:4" x14ac:dyDescent="0.35">
      <c r="A204" s="11">
        <v>39600</v>
      </c>
      <c r="B204" s="15">
        <f>VLOOKUP(A204,Database!A:M,MATCH($A$1,Database!$A$1:$M$1,),)</f>
        <v>309294</v>
      </c>
      <c r="C204" s="12">
        <f t="shared" si="6"/>
        <v>7.8235736885494296E-3</v>
      </c>
      <c r="D204" s="13">
        <f t="shared" si="5"/>
        <v>5.4315516771202617E-2</v>
      </c>
    </row>
    <row r="205" spans="1:4" x14ac:dyDescent="0.35">
      <c r="A205" s="10">
        <v>39630</v>
      </c>
      <c r="B205" s="15">
        <f>VLOOKUP(A205,Database!A:M,MATCH($A$1,Database!$A$1:$M$1,),)</f>
        <v>310641</v>
      </c>
      <c r="C205" s="12">
        <f t="shared" si="6"/>
        <v>4.3550796329705713E-3</v>
      </c>
      <c r="D205" s="13">
        <f t="shared" si="5"/>
        <v>5.4156684154444454E-2</v>
      </c>
    </row>
    <row r="206" spans="1:4" x14ac:dyDescent="0.35">
      <c r="A206" s="11">
        <v>39661</v>
      </c>
      <c r="B206" s="15">
        <f>VLOOKUP(A206,Database!A:M,MATCH($A$1,Database!$A$1:$M$1,),)</f>
        <v>307299</v>
      </c>
      <c r="C206" s="12">
        <f t="shared" si="6"/>
        <v>-1.0758399567346229E-2</v>
      </c>
      <c r="D206" s="13">
        <f t="shared" si="5"/>
        <v>4.2366413508407141E-2</v>
      </c>
    </row>
    <row r="207" spans="1:4" x14ac:dyDescent="0.35">
      <c r="A207" s="10">
        <v>39692</v>
      </c>
      <c r="B207" s="15">
        <f>VLOOKUP(A207,Database!A:M,MATCH($A$1,Database!$A$1:$M$1,),)</f>
        <v>304180</v>
      </c>
      <c r="C207" s="12">
        <f t="shared" si="6"/>
        <v>-1.0149723884555433E-2</v>
      </c>
      <c r="D207" s="13">
        <f t="shared" si="5"/>
        <v>2.8702065994122283E-2</v>
      </c>
    </row>
    <row r="208" spans="1:4" x14ac:dyDescent="0.35">
      <c r="A208" s="11">
        <v>39722</v>
      </c>
      <c r="B208" s="15">
        <f>VLOOKUP(A208,Database!A:M,MATCH($A$1,Database!$A$1:$M$1,),)</f>
        <v>296351</v>
      </c>
      <c r="C208" s="12">
        <f t="shared" si="6"/>
        <v>-2.5738049838911172E-2</v>
      </c>
      <c r="D208" s="13">
        <f t="shared" si="5"/>
        <v>-4.4377704318847595E-3</v>
      </c>
    </row>
    <row r="209" spans="1:4" x14ac:dyDescent="0.35">
      <c r="A209" s="10">
        <v>39753</v>
      </c>
      <c r="B209" s="15">
        <f>VLOOKUP(A209,Database!A:M,MATCH($A$1,Database!$A$1:$M$1,),)</f>
        <v>284366</v>
      </c>
      <c r="C209" s="12">
        <f t="shared" si="6"/>
        <v>-4.0441908412659315E-2</v>
      </c>
      <c r="D209" s="13">
        <f t="shared" si="5"/>
        <v>-6.1309372513938448E-2</v>
      </c>
    </row>
    <row r="210" spans="1:4" x14ac:dyDescent="0.35">
      <c r="A210" s="11">
        <v>39783</v>
      </c>
      <c r="B210" s="15">
        <f>VLOOKUP(A210,Database!A:M,MATCH($A$1,Database!$A$1:$M$1,),)</f>
        <v>277968</v>
      </c>
      <c r="C210" s="12">
        <f t="shared" si="6"/>
        <v>-2.2499173600219434E-2</v>
      </c>
      <c r="D210" s="13">
        <f t="shared" si="5"/>
        <v>-7.6374051762235301E-2</v>
      </c>
    </row>
    <row r="211" spans="1:4" x14ac:dyDescent="0.35">
      <c r="A211" s="10">
        <v>39814</v>
      </c>
      <c r="B211" s="15">
        <f>VLOOKUP(A211,Database!A:M,MATCH($A$1,Database!$A$1:$M$1,),)</f>
        <v>281139</v>
      </c>
      <c r="C211" s="12">
        <f t="shared" si="6"/>
        <v>1.1407787946814022E-2</v>
      </c>
      <c r="D211" s="13">
        <f t="shared" ref="D211:D274" si="7">(B211-B199)/B199</f>
        <v>-6.7229149109826747E-2</v>
      </c>
    </row>
    <row r="212" spans="1:4" x14ac:dyDescent="0.35">
      <c r="A212" s="11">
        <v>39845</v>
      </c>
      <c r="B212" s="15">
        <f>VLOOKUP(A212,Database!A:M,MATCH($A$1,Database!$A$1:$M$1,),)</f>
        <v>281388</v>
      </c>
      <c r="C212" s="12">
        <f t="shared" si="6"/>
        <v>8.8568288284442923E-4</v>
      </c>
      <c r="D212" s="13">
        <f t="shared" si="7"/>
        <v>-6.0872351290104029E-2</v>
      </c>
    </row>
    <row r="213" spans="1:4" x14ac:dyDescent="0.35">
      <c r="A213" s="10">
        <v>39873</v>
      </c>
      <c r="B213" s="15">
        <f>VLOOKUP(A213,Database!A:M,MATCH($A$1,Database!$A$1:$M$1,),)</f>
        <v>276647</v>
      </c>
      <c r="C213" s="12">
        <f t="shared" si="6"/>
        <v>-1.6848621831776763E-2</v>
      </c>
      <c r="D213" s="13">
        <f t="shared" si="7"/>
        <v>-8.0818417721308697E-2</v>
      </c>
    </row>
    <row r="214" spans="1:4" x14ac:dyDescent="0.35">
      <c r="A214" s="11">
        <v>39904</v>
      </c>
      <c r="B214" s="15">
        <f>VLOOKUP(A214,Database!A:M,MATCH($A$1,Database!$A$1:$M$1,),)</f>
        <v>277795</v>
      </c>
      <c r="C214" s="12">
        <f t="shared" si="6"/>
        <v>4.1496925685078822E-3</v>
      </c>
      <c r="D214" s="13">
        <f t="shared" si="7"/>
        <v>-8.1730133544889588E-2</v>
      </c>
    </row>
    <row r="215" spans="1:4" x14ac:dyDescent="0.35">
      <c r="A215" s="10">
        <v>39934</v>
      </c>
      <c r="B215" s="15">
        <f>VLOOKUP(A215,Database!A:M,MATCH($A$1,Database!$A$1:$M$1,),)</f>
        <v>280167</v>
      </c>
      <c r="C215" s="12">
        <f t="shared" si="6"/>
        <v>8.5386706024226499E-3</v>
      </c>
      <c r="D215" s="13">
        <f t="shared" si="7"/>
        <v>-8.7085726947177033E-2</v>
      </c>
    </row>
    <row r="216" spans="1:4" x14ac:dyDescent="0.35">
      <c r="A216" s="11">
        <v>39965</v>
      </c>
      <c r="B216" s="15">
        <f>VLOOKUP(A216,Database!A:M,MATCH($A$1,Database!$A$1:$M$1,),)</f>
        <v>283272</v>
      </c>
      <c r="C216" s="12">
        <f t="shared" si="6"/>
        <v>1.1082675689856407E-2</v>
      </c>
      <c r="D216" s="13">
        <f t="shared" si="7"/>
        <v>-8.4133542842732154E-2</v>
      </c>
    </row>
    <row r="217" spans="1:4" x14ac:dyDescent="0.35">
      <c r="A217" s="10">
        <v>39995</v>
      </c>
      <c r="B217" s="15">
        <f>VLOOKUP(A217,Database!A:M,MATCH($A$1,Database!$A$1:$M$1,),)</f>
        <v>282769</v>
      </c>
      <c r="C217" s="12">
        <f t="shared" si="6"/>
        <v>-1.7756784998164308E-3</v>
      </c>
      <c r="D217" s="13">
        <f t="shared" si="7"/>
        <v>-8.9724151029645149E-2</v>
      </c>
    </row>
    <row r="218" spans="1:4" x14ac:dyDescent="0.35">
      <c r="A218" s="11">
        <v>40026</v>
      </c>
      <c r="B218" s="15">
        <f>VLOOKUP(A218,Database!A:M,MATCH($A$1,Database!$A$1:$M$1,),)</f>
        <v>284405</v>
      </c>
      <c r="C218" s="12">
        <f t="shared" si="6"/>
        <v>5.7856412831675322E-3</v>
      </c>
      <c r="D218" s="13">
        <f t="shared" si="7"/>
        <v>-7.4500730558836839E-2</v>
      </c>
    </row>
    <row r="219" spans="1:4" x14ac:dyDescent="0.35">
      <c r="A219" s="10">
        <v>40057</v>
      </c>
      <c r="B219" s="15">
        <f>VLOOKUP(A219,Database!A:M,MATCH($A$1,Database!$A$1:$M$1,),)</f>
        <v>284973</v>
      </c>
      <c r="C219" s="12">
        <f t="shared" si="6"/>
        <v>1.997151948805401E-3</v>
      </c>
      <c r="D219" s="13">
        <f t="shared" si="7"/>
        <v>-6.3143533434150828E-2</v>
      </c>
    </row>
    <row r="220" spans="1:4" x14ac:dyDescent="0.35">
      <c r="A220" s="11">
        <v>40087</v>
      </c>
      <c r="B220" s="15">
        <f>VLOOKUP(A220,Database!A:M,MATCH($A$1,Database!$A$1:$M$1,),)</f>
        <v>285185</v>
      </c>
      <c r="C220" s="12">
        <f t="shared" si="6"/>
        <v>7.439301267137588E-4</v>
      </c>
      <c r="D220" s="13">
        <f t="shared" si="7"/>
        <v>-3.7678293645035783E-2</v>
      </c>
    </row>
    <row r="221" spans="1:4" x14ac:dyDescent="0.35">
      <c r="A221" s="10">
        <v>40118</v>
      </c>
      <c r="B221" s="15">
        <f>VLOOKUP(A221,Database!A:M,MATCH($A$1,Database!$A$1:$M$1,),)</f>
        <v>287020</v>
      </c>
      <c r="C221" s="12">
        <f t="shared" si="6"/>
        <v>6.4344197626102356E-3</v>
      </c>
      <c r="D221" s="13">
        <f t="shared" si="7"/>
        <v>9.3330426281622979E-3</v>
      </c>
    </row>
    <row r="222" spans="1:4" x14ac:dyDescent="0.35">
      <c r="A222" s="11">
        <v>40148</v>
      </c>
      <c r="B222" s="15">
        <f>VLOOKUP(A222,Database!A:M,MATCH($A$1,Database!$A$1:$M$1,),)</f>
        <v>288993</v>
      </c>
      <c r="C222" s="12">
        <f t="shared" si="6"/>
        <v>6.8740854295867883E-3</v>
      </c>
      <c r="D222" s="13">
        <f t="shared" si="7"/>
        <v>3.9662838887929548E-2</v>
      </c>
    </row>
    <row r="223" spans="1:4" x14ac:dyDescent="0.35">
      <c r="A223" s="10">
        <v>40179</v>
      </c>
      <c r="B223" s="15">
        <f>VLOOKUP(A223,Database!A:M,MATCH($A$1,Database!$A$1:$M$1,),)</f>
        <v>289245</v>
      </c>
      <c r="C223" s="12">
        <f t="shared" si="6"/>
        <v>8.7199343928745683E-4</v>
      </c>
      <c r="D223" s="13">
        <f t="shared" si="7"/>
        <v>2.883271264392347E-2</v>
      </c>
    </row>
    <row r="224" spans="1:4" x14ac:dyDescent="0.35">
      <c r="A224" s="11">
        <v>40210</v>
      </c>
      <c r="B224" s="15">
        <f>VLOOKUP(A224,Database!A:M,MATCH($A$1,Database!$A$1:$M$1,),)</f>
        <v>291032</v>
      </c>
      <c r="C224" s="12">
        <f t="shared" si="6"/>
        <v>6.1781534685128522E-3</v>
      </c>
      <c r="D224" s="13">
        <f t="shared" si="7"/>
        <v>3.4272961178159693E-2</v>
      </c>
    </row>
    <row r="225" spans="1:4" x14ac:dyDescent="0.35">
      <c r="A225" s="10">
        <v>40238</v>
      </c>
      <c r="B225" s="15">
        <f>VLOOKUP(A225,Database!A:M,MATCH($A$1,Database!$A$1:$M$1,),)</f>
        <v>293463</v>
      </c>
      <c r="C225" s="12">
        <f t="shared" si="6"/>
        <v>8.3530333434124089E-3</v>
      </c>
      <c r="D225" s="13">
        <f t="shared" si="7"/>
        <v>6.0785043756122425E-2</v>
      </c>
    </row>
    <row r="226" spans="1:4" x14ac:dyDescent="0.35">
      <c r="A226" s="11">
        <v>40269</v>
      </c>
      <c r="B226" s="15">
        <f>VLOOKUP(A226,Database!A:M,MATCH($A$1,Database!$A$1:$M$1,),)</f>
        <v>295638</v>
      </c>
      <c r="C226" s="12">
        <f t="shared" si="6"/>
        <v>7.4114965089295756E-3</v>
      </c>
      <c r="D226" s="13">
        <f t="shared" si="7"/>
        <v>6.4230817689303263E-2</v>
      </c>
    </row>
    <row r="227" spans="1:4" x14ac:dyDescent="0.35">
      <c r="A227" s="10">
        <v>40299</v>
      </c>
      <c r="B227" s="15">
        <f>VLOOKUP(A227,Database!A:M,MATCH($A$1,Database!$A$1:$M$1,),)</f>
        <v>292684</v>
      </c>
      <c r="C227" s="12">
        <f t="shared" si="6"/>
        <v>-9.9919496140550273E-3</v>
      </c>
      <c r="D227" s="13">
        <f t="shared" si="7"/>
        <v>4.4676924834116796E-2</v>
      </c>
    </row>
    <row r="228" spans="1:4" x14ac:dyDescent="0.35">
      <c r="A228" s="11">
        <v>40330</v>
      </c>
      <c r="B228" s="15">
        <f>VLOOKUP(A228,Database!A:M,MATCH($A$1,Database!$A$1:$M$1,),)</f>
        <v>292341</v>
      </c>
      <c r="C228" s="12">
        <f t="shared" si="6"/>
        <v>-1.1719123696546446E-3</v>
      </c>
      <c r="D228" s="13">
        <f t="shared" si="7"/>
        <v>3.201516563585529E-2</v>
      </c>
    </row>
    <row r="229" spans="1:4" x14ac:dyDescent="0.35">
      <c r="A229" s="10">
        <v>40360</v>
      </c>
      <c r="B229" s="15">
        <f>VLOOKUP(A229,Database!A:M,MATCH($A$1,Database!$A$1:$M$1,),)</f>
        <v>292165</v>
      </c>
      <c r="C229" s="12">
        <f t="shared" si="6"/>
        <v>-6.0203666266449112E-4</v>
      </c>
      <c r="D229" s="13">
        <f t="shared" si="7"/>
        <v>3.3228536367140668E-2</v>
      </c>
    </row>
    <row r="230" spans="1:4" x14ac:dyDescent="0.35">
      <c r="A230" s="11">
        <v>40391</v>
      </c>
      <c r="B230" s="15">
        <f>VLOOKUP(A230,Database!A:M,MATCH($A$1,Database!$A$1:$M$1,),)</f>
        <v>294065</v>
      </c>
      <c r="C230" s="12">
        <f t="shared" si="6"/>
        <v>6.5031745760101315E-3</v>
      </c>
      <c r="D230" s="13">
        <f t="shared" si="7"/>
        <v>3.3965647580035514E-2</v>
      </c>
    </row>
    <row r="231" spans="1:4" x14ac:dyDescent="0.35">
      <c r="A231" s="10">
        <v>40422</v>
      </c>
      <c r="B231" s="15">
        <f>VLOOKUP(A231,Database!A:M,MATCH($A$1,Database!$A$1:$M$1,),)</f>
        <v>296386</v>
      </c>
      <c r="C231" s="12">
        <f t="shared" si="6"/>
        <v>7.8928128134936153E-3</v>
      </c>
      <c r="D231" s="13">
        <f t="shared" si="7"/>
        <v>4.0049408189547782E-2</v>
      </c>
    </row>
    <row r="232" spans="1:4" x14ac:dyDescent="0.35">
      <c r="A232" s="11">
        <v>40452</v>
      </c>
      <c r="B232" s="15">
        <f>VLOOKUP(A232,Database!A:M,MATCH($A$1,Database!$A$1:$M$1,),)</f>
        <v>298661</v>
      </c>
      <c r="C232" s="12">
        <f t="shared" si="6"/>
        <v>7.6758011512014735E-3</v>
      </c>
      <c r="D232" s="13">
        <f t="shared" si="7"/>
        <v>4.7253537177621541E-2</v>
      </c>
    </row>
    <row r="233" spans="1:4" x14ac:dyDescent="0.35">
      <c r="A233" s="10">
        <v>40483</v>
      </c>
      <c r="B233" s="15">
        <f>VLOOKUP(A233,Database!A:M,MATCH($A$1,Database!$A$1:$M$1,),)</f>
        <v>301818</v>
      </c>
      <c r="C233" s="12">
        <f t="shared" si="6"/>
        <v>1.0570513056609334E-2</v>
      </c>
      <c r="D233" s="13">
        <f t="shared" si="7"/>
        <v>5.155738276078322E-2</v>
      </c>
    </row>
    <row r="234" spans="1:4" x14ac:dyDescent="0.35">
      <c r="A234" s="11">
        <v>40513</v>
      </c>
      <c r="B234" s="15">
        <f>VLOOKUP(A234,Database!A:M,MATCH($A$1,Database!$A$1:$M$1,),)</f>
        <v>303933</v>
      </c>
      <c r="C234" s="12">
        <f t="shared" si="6"/>
        <v>7.0075343418881577E-3</v>
      </c>
      <c r="D234" s="13">
        <f t="shared" si="7"/>
        <v>5.1696753900613512E-2</v>
      </c>
    </row>
    <row r="235" spans="1:4" x14ac:dyDescent="0.35">
      <c r="A235" s="10">
        <v>40544</v>
      </c>
      <c r="B235" s="15">
        <f>VLOOKUP(A235,Database!A:M,MATCH($A$1,Database!$A$1:$M$1,),)</f>
        <v>305807</v>
      </c>
      <c r="C235" s="12">
        <f t="shared" si="6"/>
        <v>6.1658326012640945E-3</v>
      </c>
      <c r="D235" s="13">
        <f t="shared" si="7"/>
        <v>5.7259416757420183E-2</v>
      </c>
    </row>
    <row r="236" spans="1:4" x14ac:dyDescent="0.35">
      <c r="A236" s="11">
        <v>40575</v>
      </c>
      <c r="B236" s="15">
        <f>VLOOKUP(A236,Database!A:M,MATCH($A$1,Database!$A$1:$M$1,),)</f>
        <v>307809</v>
      </c>
      <c r="C236" s="12">
        <f t="shared" si="6"/>
        <v>6.5466127328674623E-3</v>
      </c>
      <c r="D236" s="13">
        <f t="shared" si="7"/>
        <v>5.7646581819181399E-2</v>
      </c>
    </row>
    <row r="237" spans="1:4" x14ac:dyDescent="0.35">
      <c r="A237" s="10">
        <v>40603</v>
      </c>
      <c r="B237" s="15">
        <f>VLOOKUP(A237,Database!A:M,MATCH($A$1,Database!$A$1:$M$1,),)</f>
        <v>310995</v>
      </c>
      <c r="C237" s="12">
        <f t="shared" si="6"/>
        <v>1.0350574544603959E-2</v>
      </c>
      <c r="D237" s="13">
        <f t="shared" si="7"/>
        <v>5.9741773238875091E-2</v>
      </c>
    </row>
    <row r="238" spans="1:4" x14ac:dyDescent="0.35">
      <c r="A238" s="11">
        <v>40634</v>
      </c>
      <c r="B238" s="15">
        <f>VLOOKUP(A238,Database!A:M,MATCH($A$1,Database!$A$1:$M$1,),)</f>
        <v>313677</v>
      </c>
      <c r="C238" s="12">
        <f t="shared" si="6"/>
        <v>8.6239328606569233E-3</v>
      </c>
      <c r="D238" s="13">
        <f t="shared" si="7"/>
        <v>6.1017189941753092E-2</v>
      </c>
    </row>
    <row r="239" spans="1:4" x14ac:dyDescent="0.35">
      <c r="A239" s="10">
        <v>40664</v>
      </c>
      <c r="B239" s="15">
        <f>VLOOKUP(A239,Database!A:M,MATCH($A$1,Database!$A$1:$M$1,),)</f>
        <v>314364</v>
      </c>
      <c r="C239" s="12">
        <f t="shared" si="6"/>
        <v>2.1901510152162892E-3</v>
      </c>
      <c r="D239" s="13">
        <f t="shared" si="7"/>
        <v>7.4073061732106982E-2</v>
      </c>
    </row>
    <row r="240" spans="1:4" x14ac:dyDescent="0.35">
      <c r="A240" s="11">
        <v>40695</v>
      </c>
      <c r="B240" s="15">
        <f>VLOOKUP(A240,Database!A:M,MATCH($A$1,Database!$A$1:$M$1,),)</f>
        <v>316502</v>
      </c>
      <c r="C240" s="12">
        <f t="shared" si="6"/>
        <v>6.8010331971854283E-3</v>
      </c>
      <c r="D240" s="13">
        <f t="shared" si="7"/>
        <v>8.2646635264981644E-2</v>
      </c>
    </row>
    <row r="241" spans="1:4" x14ac:dyDescent="0.35">
      <c r="A241" s="10">
        <v>40725</v>
      </c>
      <c r="B241" s="15">
        <f>VLOOKUP(A241,Database!A:M,MATCH($A$1,Database!$A$1:$M$1,),)</f>
        <v>316418</v>
      </c>
      <c r="C241" s="12">
        <f t="shared" si="6"/>
        <v>-2.6540116650131752E-4</v>
      </c>
      <c r="D241" s="13">
        <f t="shared" si="7"/>
        <v>8.3011312101038792E-2</v>
      </c>
    </row>
    <row r="242" spans="1:4" x14ac:dyDescent="0.35">
      <c r="A242" s="11">
        <v>40756</v>
      </c>
      <c r="B242" s="15">
        <f>VLOOKUP(A242,Database!A:M,MATCH($A$1,Database!$A$1:$M$1,),)</f>
        <v>318034</v>
      </c>
      <c r="C242" s="12">
        <f t="shared" si="6"/>
        <v>5.1071683658957456E-3</v>
      </c>
      <c r="D242" s="13">
        <f t="shared" si="7"/>
        <v>8.1509190145035965E-2</v>
      </c>
    </row>
    <row r="243" spans="1:4" x14ac:dyDescent="0.35">
      <c r="A243" s="10">
        <v>40787</v>
      </c>
      <c r="B243" s="15">
        <f>VLOOKUP(A243,Database!A:M,MATCH($A$1,Database!$A$1:$M$1,),)</f>
        <v>318942</v>
      </c>
      <c r="C243" s="12">
        <f t="shared" si="6"/>
        <v>2.8550406560304874E-3</v>
      </c>
      <c r="D243" s="13">
        <f t="shared" si="7"/>
        <v>7.6103459677582613E-2</v>
      </c>
    </row>
    <row r="244" spans="1:4" x14ac:dyDescent="0.35">
      <c r="A244" s="11">
        <v>40817</v>
      </c>
      <c r="B244" s="15">
        <f>VLOOKUP(A244,Database!A:M,MATCH($A$1,Database!$A$1:$M$1,),)</f>
        <v>320224</v>
      </c>
      <c r="C244" s="12">
        <f t="shared" si="6"/>
        <v>4.0195396028117969E-3</v>
      </c>
      <c r="D244" s="13">
        <f t="shared" si="7"/>
        <v>7.2198914488332933E-2</v>
      </c>
    </row>
    <row r="245" spans="1:4" x14ac:dyDescent="0.35">
      <c r="A245" s="10">
        <v>40848</v>
      </c>
      <c r="B245" s="15">
        <f>VLOOKUP(A245,Database!A:M,MATCH($A$1,Database!$A$1:$M$1,),)</f>
        <v>321170</v>
      </c>
      <c r="C245" s="12">
        <f t="shared" si="6"/>
        <v>2.9541820725492154E-3</v>
      </c>
      <c r="D245" s="13">
        <f t="shared" si="7"/>
        <v>6.4118110914524643E-2</v>
      </c>
    </row>
    <row r="246" spans="1:4" x14ac:dyDescent="0.35">
      <c r="A246" s="11">
        <v>40878</v>
      </c>
      <c r="B246" s="15">
        <f>VLOOKUP(A246,Database!A:M,MATCH($A$1,Database!$A$1:$M$1,),)</f>
        <v>320165</v>
      </c>
      <c r="C246" s="12">
        <f t="shared" si="6"/>
        <v>-3.1291839212877915E-3</v>
      </c>
      <c r="D246" s="13">
        <f t="shared" si="7"/>
        <v>5.3406507355239476E-2</v>
      </c>
    </row>
    <row r="247" spans="1:4" x14ac:dyDescent="0.35">
      <c r="A247" s="10">
        <v>40909</v>
      </c>
      <c r="B247" s="15">
        <f>VLOOKUP(A247,Database!A:M,MATCH($A$1,Database!$A$1:$M$1,),)</f>
        <v>323921</v>
      </c>
      <c r="C247" s="12">
        <f t="shared" si="6"/>
        <v>1.1731450970593287E-2</v>
      </c>
      <c r="D247" s="13">
        <f t="shared" si="7"/>
        <v>5.9233438083497104E-2</v>
      </c>
    </row>
    <row r="248" spans="1:4" x14ac:dyDescent="0.35">
      <c r="A248" s="11">
        <v>40940</v>
      </c>
      <c r="B248" s="15">
        <f>VLOOKUP(A248,Database!A:M,MATCH($A$1,Database!$A$1:$M$1,),)</f>
        <v>327728</v>
      </c>
      <c r="C248" s="12">
        <f t="shared" si="6"/>
        <v>1.175286566786346E-2</v>
      </c>
      <c r="D248" s="13">
        <f t="shared" si="7"/>
        <v>6.4712207895155763E-2</v>
      </c>
    </row>
    <row r="249" spans="1:4" x14ac:dyDescent="0.35">
      <c r="A249" s="10">
        <v>40969</v>
      </c>
      <c r="B249" s="15">
        <f>VLOOKUP(A249,Database!A:M,MATCH($A$1,Database!$A$1:$M$1,),)</f>
        <v>329062</v>
      </c>
      <c r="C249" s="12">
        <f t="shared" si="6"/>
        <v>4.0704486647463751E-3</v>
      </c>
      <c r="D249" s="13">
        <f t="shared" si="7"/>
        <v>5.8094181578481972E-2</v>
      </c>
    </row>
    <row r="250" spans="1:4" x14ac:dyDescent="0.35">
      <c r="A250" s="11">
        <v>41000</v>
      </c>
      <c r="B250" s="15">
        <f>VLOOKUP(A250,Database!A:M,MATCH($A$1,Database!$A$1:$M$1,),)</f>
        <v>327235</v>
      </c>
      <c r="C250" s="12">
        <f t="shared" si="6"/>
        <v>-5.5521451884447308E-3</v>
      </c>
      <c r="D250" s="13">
        <f t="shared" si="7"/>
        <v>4.3222805624894396E-2</v>
      </c>
    </row>
    <row r="251" spans="1:4" x14ac:dyDescent="0.35">
      <c r="A251" s="10">
        <v>41030</v>
      </c>
      <c r="B251" s="15">
        <f>VLOOKUP(A251,Database!A:M,MATCH($A$1,Database!$A$1:$M$1,),)</f>
        <v>325721</v>
      </c>
      <c r="C251" s="12">
        <f t="shared" si="6"/>
        <v>-4.6266444604030742E-3</v>
      </c>
      <c r="D251" s="13">
        <f t="shared" si="7"/>
        <v>3.6126910206003233E-2</v>
      </c>
    </row>
    <row r="252" spans="1:4" x14ac:dyDescent="0.35">
      <c r="A252" s="11">
        <v>41061</v>
      </c>
      <c r="B252" s="15">
        <f>VLOOKUP(A252,Database!A:M,MATCH($A$1,Database!$A$1:$M$1,),)</f>
        <v>323229</v>
      </c>
      <c r="C252" s="12">
        <f t="shared" si="6"/>
        <v>-7.6507194807826327E-3</v>
      </c>
      <c r="D252" s="13">
        <f t="shared" si="7"/>
        <v>2.1254210083980513E-2</v>
      </c>
    </row>
    <row r="253" spans="1:4" x14ac:dyDescent="0.35">
      <c r="A253" s="10">
        <v>41091</v>
      </c>
      <c r="B253" s="15">
        <f>VLOOKUP(A253,Database!A:M,MATCH($A$1,Database!$A$1:$M$1,),)</f>
        <v>324453</v>
      </c>
      <c r="C253" s="12">
        <f t="shared" si="6"/>
        <v>3.7867889329237167E-3</v>
      </c>
      <c r="D253" s="13">
        <f t="shared" si="7"/>
        <v>2.5393624888596731E-2</v>
      </c>
    </row>
    <row r="254" spans="1:4" x14ac:dyDescent="0.35">
      <c r="A254" s="11">
        <v>41122</v>
      </c>
      <c r="B254" s="15">
        <f>VLOOKUP(A254,Database!A:M,MATCH($A$1,Database!$A$1:$M$1,),)</f>
        <v>328311</v>
      </c>
      <c r="C254" s="12">
        <f t="shared" si="6"/>
        <v>1.1890782332109736E-2</v>
      </c>
      <c r="D254" s="13">
        <f t="shared" si="7"/>
        <v>3.2314155090336256E-2</v>
      </c>
    </row>
    <row r="255" spans="1:4" x14ac:dyDescent="0.35">
      <c r="A255" s="10">
        <v>41153</v>
      </c>
      <c r="B255" s="15">
        <f>VLOOKUP(A255,Database!A:M,MATCH($A$1,Database!$A$1:$M$1,),)</f>
        <v>330332</v>
      </c>
      <c r="C255" s="12">
        <f t="shared" si="6"/>
        <v>6.155748665137629E-3</v>
      </c>
      <c r="D255" s="13">
        <f t="shared" si="7"/>
        <v>3.5711822212189048E-2</v>
      </c>
    </row>
    <row r="256" spans="1:4" x14ac:dyDescent="0.35">
      <c r="A256" s="11">
        <v>41183</v>
      </c>
      <c r="B256" s="15">
        <f>VLOOKUP(A256,Database!A:M,MATCH($A$1,Database!$A$1:$M$1,),)</f>
        <v>330752</v>
      </c>
      <c r="C256" s="12">
        <f t="shared" si="6"/>
        <v>1.2714481188622355E-3</v>
      </c>
      <c r="D256" s="13">
        <f t="shared" si="7"/>
        <v>3.2876986109723193E-2</v>
      </c>
    </row>
    <row r="257" spans="1:4" x14ac:dyDescent="0.35">
      <c r="A257" s="10">
        <v>41214</v>
      </c>
      <c r="B257" s="15">
        <f>VLOOKUP(A257,Database!A:M,MATCH($A$1,Database!$A$1:$M$1,),)</f>
        <v>331479</v>
      </c>
      <c r="C257" s="12">
        <f t="shared" si="6"/>
        <v>2.1980214783281732E-3</v>
      </c>
      <c r="D257" s="13">
        <f t="shared" si="7"/>
        <v>3.209826571597596E-2</v>
      </c>
    </row>
    <row r="258" spans="1:4" x14ac:dyDescent="0.35">
      <c r="A258" s="11">
        <v>41244</v>
      </c>
      <c r="B258" s="15">
        <f>VLOOKUP(A258,Database!A:M,MATCH($A$1,Database!$A$1:$M$1,),)</f>
        <v>332186</v>
      </c>
      <c r="C258" s="12">
        <f t="shared" si="6"/>
        <v>2.1328651287110196E-3</v>
      </c>
      <c r="D258" s="13">
        <f t="shared" si="7"/>
        <v>3.754626520700264E-2</v>
      </c>
    </row>
    <row r="259" spans="1:4" x14ac:dyDescent="0.35">
      <c r="A259" s="10">
        <v>41275</v>
      </c>
      <c r="B259" s="15">
        <f>VLOOKUP(A259,Database!A:M,MATCH($A$1,Database!$A$1:$M$1,),)</f>
        <v>334713</v>
      </c>
      <c r="C259" s="12">
        <f t="shared" si="6"/>
        <v>7.6071839270769994E-3</v>
      </c>
      <c r="D259" s="13">
        <f t="shared" si="7"/>
        <v>3.3316765507639207E-2</v>
      </c>
    </row>
    <row r="260" spans="1:4" x14ac:dyDescent="0.35">
      <c r="A260" s="11">
        <v>41306</v>
      </c>
      <c r="B260" s="15">
        <f>VLOOKUP(A260,Database!A:M,MATCH($A$1,Database!$A$1:$M$1,),)</f>
        <v>338488</v>
      </c>
      <c r="C260" s="12">
        <f t="shared" si="6"/>
        <v>1.1278319037503771E-2</v>
      </c>
      <c r="D260" s="13">
        <f t="shared" si="7"/>
        <v>3.2832104672167163E-2</v>
      </c>
    </row>
    <row r="261" spans="1:4" x14ac:dyDescent="0.35">
      <c r="A261" s="10">
        <v>41334</v>
      </c>
      <c r="B261" s="15">
        <f>VLOOKUP(A261,Database!A:M,MATCH($A$1,Database!$A$1:$M$1,),)</f>
        <v>336152</v>
      </c>
      <c r="C261" s="12">
        <f t="shared" si="6"/>
        <v>-6.9012786273073192E-3</v>
      </c>
      <c r="D261" s="13">
        <f t="shared" si="7"/>
        <v>2.1546091617992962E-2</v>
      </c>
    </row>
    <row r="262" spans="1:4" x14ac:dyDescent="0.35">
      <c r="A262" s="11">
        <v>41365</v>
      </c>
      <c r="B262" s="15">
        <f>VLOOKUP(A262,Database!A:M,MATCH($A$1,Database!$A$1:$M$1,),)</f>
        <v>333700</v>
      </c>
      <c r="C262" s="12">
        <f t="shared" si="6"/>
        <v>-7.294319236535853E-3</v>
      </c>
      <c r="D262" s="13">
        <f t="shared" si="7"/>
        <v>1.9756444145644567E-2</v>
      </c>
    </row>
    <row r="263" spans="1:4" x14ac:dyDescent="0.35">
      <c r="A263" s="10">
        <v>41395</v>
      </c>
      <c r="B263" s="15">
        <f>VLOOKUP(A263,Database!A:M,MATCH($A$1,Database!$A$1:$M$1,),)</f>
        <v>334695</v>
      </c>
      <c r="C263" s="12">
        <f t="shared" si="6"/>
        <v>2.9817201078813304E-3</v>
      </c>
      <c r="D263" s="13">
        <f t="shared" si="7"/>
        <v>2.7551186444840829E-2</v>
      </c>
    </row>
    <row r="264" spans="1:4" x14ac:dyDescent="0.35">
      <c r="A264" s="11">
        <v>41426</v>
      </c>
      <c r="B264" s="15">
        <f>VLOOKUP(A264,Database!A:M,MATCH($A$1,Database!$A$1:$M$1,),)</f>
        <v>334241</v>
      </c>
      <c r="C264" s="12">
        <f t="shared" ref="C264:C327" si="8">(B264-B263)/B263</f>
        <v>-1.3564588655342925E-3</v>
      </c>
      <c r="D264" s="13">
        <f t="shared" si="7"/>
        <v>3.4068725269081675E-2</v>
      </c>
    </row>
    <row r="265" spans="1:4" x14ac:dyDescent="0.35">
      <c r="A265" s="10">
        <v>41456</v>
      </c>
      <c r="B265" s="15">
        <f>VLOOKUP(A265,Database!A:M,MATCH($A$1,Database!$A$1:$M$1,),)</f>
        <v>336796</v>
      </c>
      <c r="C265" s="12">
        <f t="shared" si="8"/>
        <v>7.6441848845593451E-3</v>
      </c>
      <c r="D265" s="13">
        <f t="shared" si="7"/>
        <v>3.8042489975435578E-2</v>
      </c>
    </row>
    <row r="266" spans="1:4" x14ac:dyDescent="0.35">
      <c r="A266" s="11">
        <v>41487</v>
      </c>
      <c r="B266" s="15">
        <f>VLOOKUP(A266,Database!A:M,MATCH($A$1,Database!$A$1:$M$1,),)</f>
        <v>336281</v>
      </c>
      <c r="C266" s="12">
        <f t="shared" si="8"/>
        <v>-1.5291155476905901E-3</v>
      </c>
      <c r="D266" s="13">
        <f t="shared" si="7"/>
        <v>2.4275762919914349E-2</v>
      </c>
    </row>
    <row r="267" spans="1:4" x14ac:dyDescent="0.35">
      <c r="A267" s="10">
        <v>41518</v>
      </c>
      <c r="B267" s="15">
        <f>VLOOKUP(A267,Database!A:M,MATCH($A$1,Database!$A$1:$M$1,),)</f>
        <v>337682</v>
      </c>
      <c r="C267" s="12">
        <f t="shared" si="8"/>
        <v>4.1661586589786517E-3</v>
      </c>
      <c r="D267" s="13">
        <f t="shared" si="7"/>
        <v>2.2250342080089122E-2</v>
      </c>
    </row>
    <row r="268" spans="1:4" x14ac:dyDescent="0.35">
      <c r="A268" s="11">
        <v>41548</v>
      </c>
      <c r="B268" s="15">
        <f>VLOOKUP(A268,Database!A:M,MATCH($A$1,Database!$A$1:$M$1,),)</f>
        <v>337952</v>
      </c>
      <c r="C268" s="12">
        <f t="shared" si="8"/>
        <v>7.9956882510764569E-4</v>
      </c>
      <c r="D268" s="13">
        <f t="shared" si="7"/>
        <v>2.176857585139319E-2</v>
      </c>
    </row>
    <row r="269" spans="1:4" x14ac:dyDescent="0.35">
      <c r="A269" s="10">
        <v>41579</v>
      </c>
      <c r="B269" s="15">
        <f>VLOOKUP(A269,Database!A:M,MATCH($A$1,Database!$A$1:$M$1,),)</f>
        <v>338885</v>
      </c>
      <c r="C269" s="12">
        <f t="shared" si="8"/>
        <v>2.7607470883439069E-3</v>
      </c>
      <c r="D269" s="13">
        <f t="shared" si="7"/>
        <v>2.2342290160160976E-2</v>
      </c>
    </row>
    <row r="270" spans="1:4" x14ac:dyDescent="0.35">
      <c r="A270" s="11">
        <v>41609</v>
      </c>
      <c r="B270" s="15">
        <f>VLOOKUP(A270,Database!A:M,MATCH($A$1,Database!$A$1:$M$1,),)</f>
        <v>341508</v>
      </c>
      <c r="C270" s="12">
        <f t="shared" si="8"/>
        <v>7.7400888206913846E-3</v>
      </c>
      <c r="D270" s="13">
        <f t="shared" si="7"/>
        <v>2.8062591439735569E-2</v>
      </c>
    </row>
    <row r="271" spans="1:4" x14ac:dyDescent="0.35">
      <c r="A271" s="10">
        <v>41640</v>
      </c>
      <c r="B271" s="15">
        <f>VLOOKUP(A271,Database!A:M,MATCH($A$1,Database!$A$1:$M$1,),)</f>
        <v>340076</v>
      </c>
      <c r="C271" s="12">
        <f t="shared" si="8"/>
        <v>-4.1931667779378521E-3</v>
      </c>
      <c r="D271" s="13">
        <f t="shared" si="7"/>
        <v>1.6022682118710656E-2</v>
      </c>
    </row>
    <row r="272" spans="1:4" x14ac:dyDescent="0.35">
      <c r="A272" s="11">
        <v>41671</v>
      </c>
      <c r="B272" s="15">
        <f>VLOOKUP(A272,Database!A:M,MATCH($A$1,Database!$A$1:$M$1,),)</f>
        <v>343455</v>
      </c>
      <c r="C272" s="12">
        <f t="shared" si="8"/>
        <v>9.9360143026852813E-3</v>
      </c>
      <c r="D272" s="13">
        <f t="shared" si="7"/>
        <v>1.4674080026470658E-2</v>
      </c>
    </row>
    <row r="273" spans="1:4" x14ac:dyDescent="0.35">
      <c r="A273" s="10">
        <v>41699</v>
      </c>
      <c r="B273" s="15">
        <f>VLOOKUP(A273,Database!A:M,MATCH($A$1,Database!$A$1:$M$1,),)</f>
        <v>345060</v>
      </c>
      <c r="C273" s="12">
        <f t="shared" si="8"/>
        <v>4.6731012796436214E-3</v>
      </c>
      <c r="D273" s="13">
        <f t="shared" si="7"/>
        <v>2.6499916704348033E-2</v>
      </c>
    </row>
    <row r="274" spans="1:4" x14ac:dyDescent="0.35">
      <c r="A274" s="11">
        <v>41730</v>
      </c>
      <c r="B274" s="15">
        <f>VLOOKUP(A274,Database!A:M,MATCH($A$1,Database!$A$1:$M$1,),)</f>
        <v>347853</v>
      </c>
      <c r="C274" s="12">
        <f t="shared" si="8"/>
        <v>8.0942444792210053E-3</v>
      </c>
      <c r="D274" s="13">
        <f t="shared" si="7"/>
        <v>4.2412346418939165E-2</v>
      </c>
    </row>
    <row r="275" spans="1:4" x14ac:dyDescent="0.35">
      <c r="A275" s="10">
        <v>41760</v>
      </c>
      <c r="B275" s="15">
        <f>VLOOKUP(A275,Database!A:M,MATCH($A$1,Database!$A$1:$M$1,),)</f>
        <v>348582</v>
      </c>
      <c r="C275" s="12">
        <f t="shared" si="8"/>
        <v>2.0957128442186785E-3</v>
      </c>
      <c r="D275" s="13">
        <f t="shared" ref="D275:D338" si="9">(B275-B263)/B263</f>
        <v>4.1491507193116117E-2</v>
      </c>
    </row>
    <row r="276" spans="1:4" x14ac:dyDescent="0.35">
      <c r="A276" s="11">
        <v>41791</v>
      </c>
      <c r="B276" s="15">
        <f>VLOOKUP(A276,Database!A:M,MATCH($A$1,Database!$A$1:$M$1,),)</f>
        <v>349297</v>
      </c>
      <c r="C276" s="12">
        <f t="shared" si="8"/>
        <v>2.0511673006638324E-3</v>
      </c>
      <c r="D276" s="13">
        <f t="shared" si="9"/>
        <v>4.5045341535000193E-2</v>
      </c>
    </row>
    <row r="277" spans="1:4" x14ac:dyDescent="0.35">
      <c r="A277" s="10">
        <v>41821</v>
      </c>
      <c r="B277" s="15">
        <f>VLOOKUP(A277,Database!A:M,MATCH($A$1,Database!$A$1:$M$1,),)</f>
        <v>349847</v>
      </c>
      <c r="C277" s="12">
        <f t="shared" si="8"/>
        <v>1.5745912504258554E-3</v>
      </c>
      <c r="D277" s="13">
        <f t="shared" si="9"/>
        <v>3.8750460219242507E-2</v>
      </c>
    </row>
    <row r="278" spans="1:4" x14ac:dyDescent="0.35">
      <c r="A278" s="11">
        <v>41852</v>
      </c>
      <c r="B278" s="15">
        <f>VLOOKUP(A278,Database!A:M,MATCH($A$1,Database!$A$1:$M$1,),)</f>
        <v>352325</v>
      </c>
      <c r="C278" s="12">
        <f t="shared" si="8"/>
        <v>7.0830963249649131E-3</v>
      </c>
      <c r="D278" s="13">
        <f t="shared" si="9"/>
        <v>4.7710099589331541E-2</v>
      </c>
    </row>
    <row r="279" spans="1:4" x14ac:dyDescent="0.35">
      <c r="A279" s="10">
        <v>41883</v>
      </c>
      <c r="B279" s="15">
        <f>VLOOKUP(A279,Database!A:M,MATCH($A$1,Database!$A$1:$M$1,),)</f>
        <v>352259</v>
      </c>
      <c r="C279" s="12">
        <f t="shared" si="8"/>
        <v>-1.8732704179379834E-4</v>
      </c>
      <c r="D279" s="13">
        <f t="shared" si="9"/>
        <v>4.3167832457756114E-2</v>
      </c>
    </row>
    <row r="280" spans="1:4" x14ac:dyDescent="0.35">
      <c r="A280" s="11">
        <v>41913</v>
      </c>
      <c r="B280" s="15">
        <f>VLOOKUP(A280,Database!A:M,MATCH($A$1,Database!$A$1:$M$1,),)</f>
        <v>353370</v>
      </c>
      <c r="C280" s="12">
        <f t="shared" si="8"/>
        <v>3.1539293531180181E-3</v>
      </c>
      <c r="D280" s="13">
        <f t="shared" si="9"/>
        <v>4.5621863459899631E-2</v>
      </c>
    </row>
    <row r="281" spans="1:4" x14ac:dyDescent="0.35">
      <c r="A281" s="10">
        <v>41944</v>
      </c>
      <c r="B281" s="15">
        <f>VLOOKUP(A281,Database!A:M,MATCH($A$1,Database!$A$1:$M$1,),)</f>
        <v>353621</v>
      </c>
      <c r="C281" s="12">
        <f t="shared" si="8"/>
        <v>7.1030364773466909E-4</v>
      </c>
      <c r="D281" s="13">
        <f t="shared" si="9"/>
        <v>4.3483777682694721E-2</v>
      </c>
    </row>
    <row r="282" spans="1:4" x14ac:dyDescent="0.35">
      <c r="A282" s="11">
        <v>41974</v>
      </c>
      <c r="B282" s="15">
        <f>VLOOKUP(A282,Database!A:M,MATCH($A$1,Database!$A$1:$M$1,),)</f>
        <v>351245</v>
      </c>
      <c r="C282" s="12">
        <f t="shared" si="8"/>
        <v>-6.7190579744981207E-3</v>
      </c>
      <c r="D282" s="13">
        <f t="shared" si="9"/>
        <v>2.8511777176522951E-2</v>
      </c>
    </row>
    <row r="283" spans="1:4" x14ac:dyDescent="0.35">
      <c r="A283" s="10">
        <v>42005</v>
      </c>
      <c r="B283" s="15">
        <f>VLOOKUP(A283,Database!A:M,MATCH($A$1,Database!$A$1:$M$1,),)</f>
        <v>347998</v>
      </c>
      <c r="C283" s="12">
        <f t="shared" si="8"/>
        <v>-9.2442597047644806E-3</v>
      </c>
      <c r="D283" s="13">
        <f t="shared" si="9"/>
        <v>2.3294792928639479E-2</v>
      </c>
    </row>
    <row r="284" spans="1:4" x14ac:dyDescent="0.35">
      <c r="A284" s="11">
        <v>42036</v>
      </c>
      <c r="B284" s="15">
        <f>VLOOKUP(A284,Database!A:M,MATCH($A$1,Database!$A$1:$M$1,),)</f>
        <v>348402</v>
      </c>
      <c r="C284" s="12">
        <f t="shared" si="8"/>
        <v>1.1609262122196104E-3</v>
      </c>
      <c r="D284" s="13">
        <f t="shared" si="9"/>
        <v>1.4403633663798751E-2</v>
      </c>
    </row>
    <row r="285" spans="1:4" x14ac:dyDescent="0.35">
      <c r="A285" s="10">
        <v>42064</v>
      </c>
      <c r="B285" s="15">
        <f>VLOOKUP(A285,Database!A:M,MATCH($A$1,Database!$A$1:$M$1,),)</f>
        <v>351027</v>
      </c>
      <c r="C285" s="12">
        <f t="shared" si="8"/>
        <v>7.5343999173368694E-3</v>
      </c>
      <c r="D285" s="13">
        <f t="shared" si="9"/>
        <v>1.729264475743349E-2</v>
      </c>
    </row>
    <row r="286" spans="1:4" x14ac:dyDescent="0.35">
      <c r="A286" s="11">
        <v>42095</v>
      </c>
      <c r="B286" s="15">
        <f>VLOOKUP(A286,Database!A:M,MATCH($A$1,Database!$A$1:$M$1,),)</f>
        <v>351378</v>
      </c>
      <c r="C286" s="12">
        <f t="shared" si="8"/>
        <v>9.9992308283978148E-4</v>
      </c>
      <c r="D286" s="13">
        <f t="shared" si="9"/>
        <v>1.0133590913403075E-2</v>
      </c>
    </row>
    <row r="287" spans="1:4" x14ac:dyDescent="0.35">
      <c r="A287" s="10">
        <v>42125</v>
      </c>
      <c r="B287" s="15">
        <f>VLOOKUP(A287,Database!A:M,MATCH($A$1,Database!$A$1:$M$1,),)</f>
        <v>353920</v>
      </c>
      <c r="C287" s="12">
        <f t="shared" si="8"/>
        <v>7.2343743774510643E-3</v>
      </c>
      <c r="D287" s="13">
        <f t="shared" si="9"/>
        <v>1.5313470001319633E-2</v>
      </c>
    </row>
    <row r="288" spans="1:4" x14ac:dyDescent="0.35">
      <c r="A288" s="11">
        <v>42156</v>
      </c>
      <c r="B288" s="15">
        <f>VLOOKUP(A288,Database!A:M,MATCH($A$1,Database!$A$1:$M$1,),)</f>
        <v>354459</v>
      </c>
      <c r="C288" s="12">
        <f t="shared" si="8"/>
        <v>1.5229430379746836E-3</v>
      </c>
      <c r="D288" s="13">
        <f t="shared" si="9"/>
        <v>1.4778254608542301E-2</v>
      </c>
    </row>
    <row r="289" spans="1:4" x14ac:dyDescent="0.35">
      <c r="A289" s="10">
        <v>42186</v>
      </c>
      <c r="B289" s="15">
        <f>VLOOKUP(A289,Database!A:M,MATCH($A$1,Database!$A$1:$M$1,),)</f>
        <v>357711</v>
      </c>
      <c r="C289" s="12">
        <f t="shared" si="8"/>
        <v>9.1745448697874796E-3</v>
      </c>
      <c r="D289" s="13">
        <f t="shared" si="9"/>
        <v>2.2478397699565809E-2</v>
      </c>
    </row>
    <row r="290" spans="1:4" x14ac:dyDescent="0.35">
      <c r="A290" s="11">
        <v>42217</v>
      </c>
      <c r="B290" s="15">
        <f>VLOOKUP(A290,Database!A:M,MATCH($A$1,Database!$A$1:$M$1,),)</f>
        <v>357101</v>
      </c>
      <c r="C290" s="12">
        <f t="shared" si="8"/>
        <v>-1.7052872290759858E-3</v>
      </c>
      <c r="D290" s="13">
        <f t="shared" si="9"/>
        <v>1.3555665933442134E-2</v>
      </c>
    </row>
    <row r="291" spans="1:4" x14ac:dyDescent="0.35">
      <c r="A291" s="10">
        <v>42248</v>
      </c>
      <c r="B291" s="15">
        <f>VLOOKUP(A291,Database!A:M,MATCH($A$1,Database!$A$1:$M$1,),)</f>
        <v>354941</v>
      </c>
      <c r="C291" s="12">
        <f t="shared" si="8"/>
        <v>-6.0487089086840974E-3</v>
      </c>
      <c r="D291" s="13">
        <f t="shared" si="9"/>
        <v>7.6137160441606885E-3</v>
      </c>
    </row>
    <row r="292" spans="1:4" x14ac:dyDescent="0.35">
      <c r="A292" s="11">
        <v>42278</v>
      </c>
      <c r="B292" s="15">
        <f>VLOOKUP(A292,Database!A:M,MATCH($A$1,Database!$A$1:$M$1,),)</f>
        <v>354421</v>
      </c>
      <c r="C292" s="12">
        <f t="shared" si="8"/>
        <v>-1.4650322166219175E-3</v>
      </c>
      <c r="D292" s="13">
        <f t="shared" si="9"/>
        <v>2.9742196564507455E-3</v>
      </c>
    </row>
    <row r="293" spans="1:4" x14ac:dyDescent="0.35">
      <c r="A293" s="10">
        <v>42309</v>
      </c>
      <c r="B293" s="15">
        <f>VLOOKUP(A293,Database!A:M,MATCH($A$1,Database!$A$1:$M$1,),)</f>
        <v>355040</v>
      </c>
      <c r="C293" s="12">
        <f t="shared" si="8"/>
        <v>1.7465105058673161E-3</v>
      </c>
      <c r="D293" s="13">
        <f t="shared" si="9"/>
        <v>4.0127707347697109E-3</v>
      </c>
    </row>
    <row r="294" spans="1:4" x14ac:dyDescent="0.35">
      <c r="A294" s="11">
        <v>42339</v>
      </c>
      <c r="B294" s="15">
        <f>VLOOKUP(A294,Database!A:M,MATCH($A$1,Database!$A$1:$M$1,),)</f>
        <v>357499</v>
      </c>
      <c r="C294" s="12">
        <f t="shared" si="8"/>
        <v>6.9259801712483098E-3</v>
      </c>
      <c r="D294" s="13">
        <f t="shared" si="9"/>
        <v>1.7805235661717603E-2</v>
      </c>
    </row>
    <row r="295" spans="1:4" x14ac:dyDescent="0.35">
      <c r="A295" s="10">
        <v>42370</v>
      </c>
      <c r="B295" s="15">
        <f>VLOOKUP(A295,Database!A:M,MATCH($A$1,Database!$A$1:$M$1,),)</f>
        <v>354564</v>
      </c>
      <c r="C295" s="12">
        <f t="shared" si="8"/>
        <v>-8.2098131743025861E-3</v>
      </c>
      <c r="D295" s="13">
        <f t="shared" si="9"/>
        <v>1.8867924528301886E-2</v>
      </c>
    </row>
    <row r="296" spans="1:4" x14ac:dyDescent="0.35">
      <c r="A296" s="11">
        <v>42401</v>
      </c>
      <c r="B296" s="15">
        <f>VLOOKUP(A296,Database!A:M,MATCH($A$1,Database!$A$1:$M$1,),)</f>
        <v>356852</v>
      </c>
      <c r="C296" s="12">
        <f t="shared" si="8"/>
        <v>6.4529957920149818E-3</v>
      </c>
      <c r="D296" s="13">
        <f t="shared" si="9"/>
        <v>2.4253592114855827E-2</v>
      </c>
    </row>
    <row r="297" spans="1:4" x14ac:dyDescent="0.35">
      <c r="A297" s="10">
        <v>42430</v>
      </c>
      <c r="B297" s="15">
        <f>VLOOKUP(A297,Database!A:M,MATCH($A$1,Database!$A$1:$M$1,),)</f>
        <v>357351</v>
      </c>
      <c r="C297" s="12">
        <f t="shared" si="8"/>
        <v>1.3983388071245222E-3</v>
      </c>
      <c r="D297" s="13">
        <f t="shared" si="9"/>
        <v>1.8015708193386833E-2</v>
      </c>
    </row>
    <row r="298" spans="1:4" x14ac:dyDescent="0.35">
      <c r="A298" s="11">
        <v>42461</v>
      </c>
      <c r="B298" s="15">
        <f>VLOOKUP(A298,Database!A:M,MATCH($A$1,Database!$A$1:$M$1,),)</f>
        <v>358632</v>
      </c>
      <c r="C298" s="12">
        <f t="shared" si="8"/>
        <v>3.5847108305279685E-3</v>
      </c>
      <c r="D298" s="13">
        <f t="shared" si="9"/>
        <v>2.0644434199067672E-2</v>
      </c>
    </row>
    <row r="299" spans="1:4" x14ac:dyDescent="0.35">
      <c r="A299" s="10">
        <v>42491</v>
      </c>
      <c r="B299" s="15">
        <f>VLOOKUP(A299,Database!A:M,MATCH($A$1,Database!$A$1:$M$1,),)</f>
        <v>360113</v>
      </c>
      <c r="C299" s="12">
        <f t="shared" si="8"/>
        <v>4.1295812978206069E-3</v>
      </c>
      <c r="D299" s="13">
        <f t="shared" si="9"/>
        <v>1.7498304701627488E-2</v>
      </c>
    </row>
    <row r="300" spans="1:4" x14ac:dyDescent="0.35">
      <c r="A300" s="11">
        <v>42522</v>
      </c>
      <c r="B300" s="15">
        <f>VLOOKUP(A300,Database!A:M,MATCH($A$1,Database!$A$1:$M$1,),)</f>
        <v>364297</v>
      </c>
      <c r="C300" s="12">
        <f t="shared" si="8"/>
        <v>1.1618575280536943E-2</v>
      </c>
      <c r="D300" s="13">
        <f t="shared" si="9"/>
        <v>2.7754973071638749E-2</v>
      </c>
    </row>
    <row r="301" spans="1:4" x14ac:dyDescent="0.35">
      <c r="A301" s="10">
        <v>42552</v>
      </c>
      <c r="B301" s="15">
        <f>VLOOKUP(A301,Database!A:M,MATCH($A$1,Database!$A$1:$M$1,),)</f>
        <v>362052</v>
      </c>
      <c r="C301" s="12">
        <f t="shared" si="8"/>
        <v>-6.1625541796940407E-3</v>
      </c>
      <c r="D301" s="13">
        <f t="shared" si="9"/>
        <v>1.2135494854785009E-2</v>
      </c>
    </row>
    <row r="302" spans="1:4" x14ac:dyDescent="0.35">
      <c r="A302" s="11">
        <v>42583</v>
      </c>
      <c r="B302" s="15">
        <f>VLOOKUP(A302,Database!A:M,MATCH($A$1,Database!$A$1:$M$1,),)</f>
        <v>362324</v>
      </c>
      <c r="C302" s="12">
        <f t="shared" si="8"/>
        <v>7.5127329775833307E-4</v>
      </c>
      <c r="D302" s="13">
        <f t="shared" si="9"/>
        <v>1.4626114180581963E-2</v>
      </c>
    </row>
    <row r="303" spans="1:4" x14ac:dyDescent="0.35">
      <c r="A303" s="10">
        <v>42614</v>
      </c>
      <c r="B303" s="15">
        <f>VLOOKUP(A303,Database!A:M,MATCH($A$1,Database!$A$1:$M$1,),)</f>
        <v>364480</v>
      </c>
      <c r="C303" s="12">
        <f t="shared" si="8"/>
        <v>5.9504752652322227E-3</v>
      </c>
      <c r="D303" s="13">
        <f t="shared" si="9"/>
        <v>2.6874889066070135E-2</v>
      </c>
    </row>
    <row r="304" spans="1:4" x14ac:dyDescent="0.35">
      <c r="A304" s="11">
        <v>42644</v>
      </c>
      <c r="B304" s="15">
        <f>VLOOKUP(A304,Database!A:M,MATCH($A$1,Database!$A$1:$M$1,),)</f>
        <v>365676</v>
      </c>
      <c r="C304" s="12">
        <f t="shared" si="8"/>
        <v>3.2813871817383672E-3</v>
      </c>
      <c r="D304" s="13">
        <f t="shared" si="9"/>
        <v>3.1756018971787786E-2</v>
      </c>
    </row>
    <row r="305" spans="1:4" x14ac:dyDescent="0.35">
      <c r="A305" s="10">
        <v>42675</v>
      </c>
      <c r="B305" s="15">
        <f>VLOOKUP(A305,Database!A:M,MATCH($A$1,Database!$A$1:$M$1,),)</f>
        <v>365572</v>
      </c>
      <c r="C305" s="12">
        <f t="shared" si="8"/>
        <v>-2.8440477362473885E-4</v>
      </c>
      <c r="D305" s="13">
        <f t="shared" si="9"/>
        <v>2.9664263181613339E-2</v>
      </c>
    </row>
    <row r="306" spans="1:4" x14ac:dyDescent="0.35">
      <c r="A306" s="11">
        <v>42705</v>
      </c>
      <c r="B306" s="15">
        <f>VLOOKUP(A306,Database!A:M,MATCH($A$1,Database!$A$1:$M$1,),)</f>
        <v>369230</v>
      </c>
      <c r="C306" s="12">
        <f t="shared" si="8"/>
        <v>1.0006236801505586E-2</v>
      </c>
      <c r="D306" s="13">
        <f t="shared" si="9"/>
        <v>3.2814077801616229E-2</v>
      </c>
    </row>
    <row r="307" spans="1:4" x14ac:dyDescent="0.35">
      <c r="A307" s="10">
        <v>42736</v>
      </c>
      <c r="B307" s="15">
        <f>VLOOKUP(A307,Database!A:M,MATCH($A$1,Database!$A$1:$M$1,),)</f>
        <v>373962</v>
      </c>
      <c r="C307" s="12">
        <f t="shared" si="8"/>
        <v>1.2815860033041736E-2</v>
      </c>
      <c r="D307" s="13">
        <f t="shared" si="9"/>
        <v>5.4709445967441706E-2</v>
      </c>
    </row>
    <row r="308" spans="1:4" x14ac:dyDescent="0.35">
      <c r="A308" s="11">
        <v>42767</v>
      </c>
      <c r="B308" s="15">
        <f>VLOOKUP(A308,Database!A:M,MATCH($A$1,Database!$A$1:$M$1,),)</f>
        <v>374524</v>
      </c>
      <c r="C308" s="12">
        <f t="shared" si="8"/>
        <v>1.5028264903920719E-3</v>
      </c>
      <c r="D308" s="13">
        <f t="shared" si="9"/>
        <v>4.9521930660329776E-2</v>
      </c>
    </row>
    <row r="309" spans="1:4" x14ac:dyDescent="0.35">
      <c r="A309" s="10">
        <v>42795</v>
      </c>
      <c r="B309" s="15">
        <f>VLOOKUP(A309,Database!A:M,MATCH($A$1,Database!$A$1:$M$1,),)</f>
        <v>375404</v>
      </c>
      <c r="C309" s="12">
        <f t="shared" si="8"/>
        <v>2.3496491546603155E-3</v>
      </c>
      <c r="D309" s="13">
        <f t="shared" si="9"/>
        <v>5.0518957551538964E-2</v>
      </c>
    </row>
    <row r="310" spans="1:4" x14ac:dyDescent="0.35">
      <c r="A310" s="11">
        <v>42826</v>
      </c>
      <c r="B310" s="15">
        <f>VLOOKUP(A310,Database!A:M,MATCH($A$1,Database!$A$1:$M$1,),)</f>
        <v>376764</v>
      </c>
      <c r="C310" s="12">
        <f t="shared" si="8"/>
        <v>3.6227637425280497E-3</v>
      </c>
      <c r="D310" s="13">
        <f t="shared" si="9"/>
        <v>5.0558790068928598E-2</v>
      </c>
    </row>
    <row r="311" spans="1:4" x14ac:dyDescent="0.35">
      <c r="A311" s="10">
        <v>42856</v>
      </c>
      <c r="B311" s="15">
        <f>VLOOKUP(A311,Database!A:M,MATCH($A$1,Database!$A$1:$M$1,),)</f>
        <v>373963</v>
      </c>
      <c r="C311" s="12">
        <f t="shared" si="8"/>
        <v>-7.4343620940429556E-3</v>
      </c>
      <c r="D311" s="13">
        <f t="shared" si="9"/>
        <v>3.8460150008469564E-2</v>
      </c>
    </row>
    <row r="312" spans="1:4" x14ac:dyDescent="0.35">
      <c r="A312" s="11">
        <v>42887</v>
      </c>
      <c r="B312" s="15">
        <f>VLOOKUP(A312,Database!A:M,MATCH($A$1,Database!$A$1:$M$1,),)</f>
        <v>374936</v>
      </c>
      <c r="C312" s="12">
        <f t="shared" si="8"/>
        <v>2.6018616815032501E-3</v>
      </c>
      <c r="D312" s="13">
        <f t="shared" si="9"/>
        <v>2.9204193281855188E-2</v>
      </c>
    </row>
    <row r="313" spans="1:4" x14ac:dyDescent="0.35">
      <c r="A313" s="10">
        <v>42917</v>
      </c>
      <c r="B313" s="15">
        <f>VLOOKUP(A313,Database!A:M,MATCH($A$1,Database!$A$1:$M$1,),)</f>
        <v>374863</v>
      </c>
      <c r="C313" s="12">
        <f t="shared" si="8"/>
        <v>-1.9469989544882327E-4</v>
      </c>
      <c r="D313" s="13">
        <f t="shared" si="9"/>
        <v>3.53844199175809E-2</v>
      </c>
    </row>
    <row r="314" spans="1:4" x14ac:dyDescent="0.35">
      <c r="A314" s="11">
        <v>42948</v>
      </c>
      <c r="B314" s="15">
        <f>VLOOKUP(A314,Database!A:M,MATCH($A$1,Database!$A$1:$M$1,),)</f>
        <v>377878</v>
      </c>
      <c r="C314" s="12">
        <f t="shared" si="8"/>
        <v>8.0429383534784717E-3</v>
      </c>
      <c r="D314" s="13">
        <f t="shared" si="9"/>
        <v>4.2928428699175326E-2</v>
      </c>
    </row>
    <row r="315" spans="1:4" x14ac:dyDescent="0.35">
      <c r="A315" s="10">
        <v>42979</v>
      </c>
      <c r="B315" s="15">
        <f>VLOOKUP(A315,Database!A:M,MATCH($A$1,Database!$A$1:$M$1,),)</f>
        <v>383379</v>
      </c>
      <c r="C315" s="12">
        <f t="shared" si="8"/>
        <v>1.4557608540322538E-2</v>
      </c>
      <c r="D315" s="13">
        <f t="shared" si="9"/>
        <v>5.1851953467954348E-2</v>
      </c>
    </row>
    <row r="316" spans="1:4" x14ac:dyDescent="0.35">
      <c r="A316" s="11">
        <v>43009</v>
      </c>
      <c r="B316" s="15">
        <f>VLOOKUP(A316,Database!A:M,MATCH($A$1,Database!$A$1:$M$1,),)</f>
        <v>383395</v>
      </c>
      <c r="C316" s="12">
        <f t="shared" si="8"/>
        <v>4.1734158626320166E-5</v>
      </c>
      <c r="D316" s="13">
        <f t="shared" si="9"/>
        <v>4.845546330631488E-2</v>
      </c>
    </row>
    <row r="317" spans="1:4" x14ac:dyDescent="0.35">
      <c r="A317" s="10">
        <v>43040</v>
      </c>
      <c r="B317" s="15">
        <f>VLOOKUP(A317,Database!A:M,MATCH($A$1,Database!$A$1:$M$1,),)</f>
        <v>389208</v>
      </c>
      <c r="C317" s="12">
        <f t="shared" si="8"/>
        <v>1.5161908736420662E-2</v>
      </c>
      <c r="D317" s="13">
        <f t="shared" si="9"/>
        <v>6.4654842274572452E-2</v>
      </c>
    </row>
    <row r="318" spans="1:4" x14ac:dyDescent="0.35">
      <c r="A318" s="11">
        <v>43070</v>
      </c>
      <c r="B318" s="15">
        <f>VLOOKUP(A318,Database!A:M,MATCH($A$1,Database!$A$1:$M$1,),)</f>
        <v>392925</v>
      </c>
      <c r="C318" s="12">
        <f t="shared" si="8"/>
        <v>9.5501634087685767E-3</v>
      </c>
      <c r="D318" s="13">
        <f t="shared" si="9"/>
        <v>6.4174092029358393E-2</v>
      </c>
    </row>
    <row r="319" spans="1:4" x14ac:dyDescent="0.35">
      <c r="A319" s="10">
        <v>43101</v>
      </c>
      <c r="B319" s="15">
        <f>VLOOKUP(A319,Database!A:M,MATCH($A$1,Database!$A$1:$M$1,),)</f>
        <v>391070</v>
      </c>
      <c r="C319" s="12">
        <f t="shared" si="8"/>
        <v>-4.7210027358910731E-3</v>
      </c>
      <c r="D319" s="13">
        <f t="shared" si="9"/>
        <v>4.5747963696846201E-2</v>
      </c>
    </row>
    <row r="320" spans="1:4" x14ac:dyDescent="0.35">
      <c r="A320" s="11">
        <v>43132</v>
      </c>
      <c r="B320" s="15">
        <f>VLOOKUP(A320,Database!A:M,MATCH($A$1,Database!$A$1:$M$1,),)</f>
        <v>394491</v>
      </c>
      <c r="C320" s="12">
        <f t="shared" si="8"/>
        <v>8.7477945124913702E-3</v>
      </c>
      <c r="D320" s="13">
        <f t="shared" si="9"/>
        <v>5.3313005308071044E-2</v>
      </c>
    </row>
    <row r="321" spans="1:4" x14ac:dyDescent="0.35">
      <c r="A321" s="10">
        <v>43160</v>
      </c>
      <c r="B321" s="15">
        <f>VLOOKUP(A321,Database!A:M,MATCH($A$1,Database!$A$1:$M$1,),)</f>
        <v>393595</v>
      </c>
      <c r="C321" s="12">
        <f t="shared" si="8"/>
        <v>-2.2712812206108629E-3</v>
      </c>
      <c r="D321" s="13">
        <f t="shared" si="9"/>
        <v>4.8457128853182173E-2</v>
      </c>
    </row>
    <row r="322" spans="1:4" x14ac:dyDescent="0.35">
      <c r="A322" s="11">
        <v>43191</v>
      </c>
      <c r="B322" s="15">
        <f>VLOOKUP(A322,Database!A:M,MATCH($A$1,Database!$A$1:$M$1,),)</f>
        <v>394329</v>
      </c>
      <c r="C322" s="12">
        <f t="shared" si="8"/>
        <v>1.8648610881743925E-3</v>
      </c>
      <c r="D322" s="13">
        <f t="shared" si="9"/>
        <v>4.662069624486416E-2</v>
      </c>
    </row>
    <row r="323" spans="1:4" x14ac:dyDescent="0.35">
      <c r="A323" s="10">
        <v>43221</v>
      </c>
      <c r="B323" s="15">
        <f>VLOOKUP(A323,Database!A:M,MATCH($A$1,Database!$A$1:$M$1,),)</f>
        <v>400017</v>
      </c>
      <c r="C323" s="12">
        <f t="shared" si="8"/>
        <v>1.4424503396909687E-2</v>
      </c>
      <c r="D323" s="13">
        <f t="shared" si="9"/>
        <v>6.9669994090324441E-2</v>
      </c>
    </row>
    <row r="324" spans="1:4" x14ac:dyDescent="0.35">
      <c r="A324" s="11">
        <v>43252</v>
      </c>
      <c r="B324" s="15">
        <f>VLOOKUP(A324,Database!A:M,MATCH($A$1,Database!$A$1:$M$1,),)</f>
        <v>398729</v>
      </c>
      <c r="C324" s="12">
        <f t="shared" si="8"/>
        <v>-3.2198631558158779E-3</v>
      </c>
      <c r="D324" s="13">
        <f t="shared" si="9"/>
        <v>6.3458830307039069E-2</v>
      </c>
    </row>
    <row r="325" spans="1:4" x14ac:dyDescent="0.35">
      <c r="A325" s="10">
        <v>43282</v>
      </c>
      <c r="B325" s="15">
        <f>VLOOKUP(A325,Database!A:M,MATCH($A$1,Database!$A$1:$M$1,),)</f>
        <v>401697</v>
      </c>
      <c r="C325" s="12">
        <f t="shared" si="8"/>
        <v>7.4436522048810091E-3</v>
      </c>
      <c r="D325" s="13">
        <f t="shared" si="9"/>
        <v>7.1583485166580862E-2</v>
      </c>
    </row>
    <row r="326" spans="1:4" x14ac:dyDescent="0.35">
      <c r="A326" s="11">
        <v>43313</v>
      </c>
      <c r="B326" s="15">
        <f>VLOOKUP(A326,Database!A:M,MATCH($A$1,Database!$A$1:$M$1,),)</f>
        <v>402415</v>
      </c>
      <c r="C326" s="12">
        <f t="shared" si="8"/>
        <v>1.7874168838701808E-3</v>
      </c>
      <c r="D326" s="13">
        <f t="shared" si="9"/>
        <v>6.4933655836010559E-2</v>
      </c>
    </row>
    <row r="327" spans="1:4" x14ac:dyDescent="0.35">
      <c r="A327" s="10">
        <v>43344</v>
      </c>
      <c r="B327" s="15">
        <f>VLOOKUP(A327,Database!A:M,MATCH($A$1,Database!$A$1:$M$1,),)</f>
        <v>401109</v>
      </c>
      <c r="C327" s="12">
        <f t="shared" si="8"/>
        <v>-3.2454058621075258E-3</v>
      </c>
      <c r="D327" s="13">
        <f t="shared" si="9"/>
        <v>4.624666452779104E-2</v>
      </c>
    </row>
    <row r="328" spans="1:4" x14ac:dyDescent="0.35">
      <c r="A328" s="11">
        <v>43374</v>
      </c>
      <c r="B328" s="15">
        <f>VLOOKUP(A328,Database!A:M,MATCH($A$1,Database!$A$1:$M$1,),)</f>
        <v>405896</v>
      </c>
      <c r="C328" s="12">
        <f t="shared" ref="C328:C391" si="10">(B328-B327)/B327</f>
        <v>1.1934411843164825E-2</v>
      </c>
      <c r="D328" s="13">
        <f t="shared" si="9"/>
        <v>5.8688819624669077E-2</v>
      </c>
    </row>
    <row r="329" spans="1:4" x14ac:dyDescent="0.35">
      <c r="A329" s="10">
        <v>43405</v>
      </c>
      <c r="B329" s="15">
        <f>VLOOKUP(A329,Database!A:M,MATCH($A$1,Database!$A$1:$M$1,),)</f>
        <v>406192</v>
      </c>
      <c r="C329" s="12">
        <f t="shared" si="10"/>
        <v>7.2925084258036537E-4</v>
      </c>
      <c r="D329" s="13">
        <f t="shared" si="9"/>
        <v>4.3637335306571295E-2</v>
      </c>
    </row>
    <row r="330" spans="1:4" x14ac:dyDescent="0.35">
      <c r="A330" s="11">
        <v>43435</v>
      </c>
      <c r="B330" s="15">
        <f>VLOOKUP(A330,Database!A:M,MATCH($A$1,Database!$A$1:$M$1,),)</f>
        <v>396321</v>
      </c>
      <c r="C330" s="12">
        <f t="shared" si="10"/>
        <v>-2.4301315633985899E-2</v>
      </c>
      <c r="D330" s="13">
        <f t="shared" si="9"/>
        <v>8.6428707768658134E-3</v>
      </c>
    </row>
    <row r="331" spans="1:4" x14ac:dyDescent="0.35">
      <c r="A331" s="10">
        <v>43466</v>
      </c>
      <c r="B331" s="15">
        <f>VLOOKUP(A331,Database!A:M,MATCH($A$1,Database!$A$1:$M$1,),)</f>
        <v>401659</v>
      </c>
      <c r="C331" s="12">
        <f t="shared" si="10"/>
        <v>1.3468880024020932E-2</v>
      </c>
      <c r="D331" s="13">
        <f t="shared" si="9"/>
        <v>2.7076993888562152E-2</v>
      </c>
    </row>
    <row r="332" spans="1:4" x14ac:dyDescent="0.35">
      <c r="A332" s="11">
        <v>43497</v>
      </c>
      <c r="B332" s="15">
        <f>VLOOKUP(A332,Database!A:M,MATCH($A$1,Database!$A$1:$M$1,),)</f>
        <v>402085</v>
      </c>
      <c r="C332" s="12">
        <f t="shared" si="10"/>
        <v>1.060601156702576E-3</v>
      </c>
      <c r="D332" s="13">
        <f t="shared" si="9"/>
        <v>1.9250122309507695E-2</v>
      </c>
    </row>
    <row r="333" spans="1:4" x14ac:dyDescent="0.35">
      <c r="A333" s="10">
        <v>43525</v>
      </c>
      <c r="B333" s="15">
        <f>VLOOKUP(A333,Database!A:M,MATCH($A$1,Database!$A$1:$M$1,),)</f>
        <v>405980</v>
      </c>
      <c r="C333" s="12">
        <f t="shared" si="10"/>
        <v>9.6870064787296217E-3</v>
      </c>
      <c r="D333" s="13">
        <f t="shared" si="9"/>
        <v>3.1466355009591079E-2</v>
      </c>
    </row>
    <row r="334" spans="1:4" x14ac:dyDescent="0.35">
      <c r="A334" s="11">
        <v>43556</v>
      </c>
      <c r="B334" s="15">
        <f>VLOOKUP(A334,Database!A:M,MATCH($A$1,Database!$A$1:$M$1,),)</f>
        <v>408121</v>
      </c>
      <c r="C334" s="12">
        <f t="shared" si="10"/>
        <v>5.273658800926154E-3</v>
      </c>
      <c r="D334" s="13">
        <f t="shared" si="9"/>
        <v>3.4975870402633336E-2</v>
      </c>
    </row>
    <row r="335" spans="1:4" x14ac:dyDescent="0.35">
      <c r="A335" s="10">
        <v>43586</v>
      </c>
      <c r="B335" s="15">
        <f>VLOOKUP(A335,Database!A:M,MATCH($A$1,Database!$A$1:$M$1,),)</f>
        <v>410006</v>
      </c>
      <c r="C335" s="12">
        <f t="shared" si="10"/>
        <v>4.6187282693122876E-3</v>
      </c>
      <c r="D335" s="13">
        <f t="shared" si="9"/>
        <v>2.4971438713854661E-2</v>
      </c>
    </row>
    <row r="336" spans="1:4" s="109" customFormat="1" x14ac:dyDescent="0.35">
      <c r="A336" s="11">
        <v>43617</v>
      </c>
      <c r="B336" s="15">
        <f>VLOOKUP(A336,Database!A:M,MATCH($A$1,Database!$A$1:$M$1,),)</f>
        <v>410816</v>
      </c>
      <c r="C336" s="12">
        <f t="shared" si="10"/>
        <v>1.9755808451583637E-3</v>
      </c>
      <c r="D336" s="13">
        <f t="shared" si="9"/>
        <v>3.0313822169945E-2</v>
      </c>
    </row>
    <row r="337" spans="1:4" s="109" customFormat="1" x14ac:dyDescent="0.35">
      <c r="A337" s="10">
        <v>43647</v>
      </c>
      <c r="B337" s="15">
        <f>VLOOKUP(A337,Database!A:M,MATCH($A$1,Database!$A$1:$M$1,),)</f>
        <v>415325</v>
      </c>
      <c r="C337" s="12">
        <f t="shared" si="10"/>
        <v>1.0975716622526874E-2</v>
      </c>
      <c r="D337" s="13">
        <f t="shared" si="9"/>
        <v>3.392606865373652E-2</v>
      </c>
    </row>
    <row r="338" spans="1:4" s="109" customFormat="1" x14ac:dyDescent="0.35">
      <c r="A338" s="11">
        <v>43678</v>
      </c>
      <c r="B338" s="15">
        <f>VLOOKUP(A338,Database!A:M,MATCH($A$1,Database!$A$1:$M$1,),)</f>
        <v>415426</v>
      </c>
      <c r="C338" s="12">
        <f t="shared" si="10"/>
        <v>2.431830494191296E-4</v>
      </c>
      <c r="D338" s="13">
        <f t="shared" si="9"/>
        <v>3.2332293776325433E-2</v>
      </c>
    </row>
    <row r="339" spans="1:4" s="109" customFormat="1" x14ac:dyDescent="0.35">
      <c r="A339" s="10">
        <v>43709</v>
      </c>
      <c r="B339" s="15">
        <f>VLOOKUP(A339,Database!A:M,MATCH($A$1,Database!$A$1:$M$1,),)</f>
        <v>414270</v>
      </c>
      <c r="C339" s="12">
        <f t="shared" si="10"/>
        <v>-2.7826857250148043E-3</v>
      </c>
      <c r="D339" s="13">
        <f t="shared" ref="D339:D402" si="11">(B339-B327)/B327</f>
        <v>3.2811530032983552E-2</v>
      </c>
    </row>
    <row r="340" spans="1:4" s="109" customFormat="1" x14ac:dyDescent="0.35">
      <c r="A340" s="11">
        <v>43739</v>
      </c>
      <c r="B340" s="15">
        <f>VLOOKUP(A340,Database!A:M,MATCH($A$1,Database!$A$1:$M$1,),)</f>
        <v>416179</v>
      </c>
      <c r="C340" s="12">
        <f t="shared" si="10"/>
        <v>4.6081058247036955E-3</v>
      </c>
      <c r="D340" s="13">
        <f t="shared" si="11"/>
        <v>2.5334075723830736E-2</v>
      </c>
    </row>
    <row r="341" spans="1:4" s="109" customFormat="1" x14ac:dyDescent="0.35">
      <c r="A341" s="10">
        <v>43770</v>
      </c>
      <c r="B341" s="15">
        <f>VLOOKUP(A341,Database!A:M,MATCH($A$1,Database!$A$1:$M$1,),)</f>
        <v>416055</v>
      </c>
      <c r="C341" s="12">
        <f t="shared" si="10"/>
        <v>-2.9794871918092936E-4</v>
      </c>
      <c r="D341" s="13">
        <f t="shared" si="11"/>
        <v>2.4281620514436521E-2</v>
      </c>
    </row>
    <row r="342" spans="1:4" s="109" customFormat="1" x14ac:dyDescent="0.35">
      <c r="A342" s="11">
        <v>43800</v>
      </c>
      <c r="B342" s="15">
        <f>VLOOKUP(A342,Database!A:M,MATCH($A$1,Database!$A$1:$M$1,),)</f>
        <v>422153</v>
      </c>
      <c r="C342" s="12">
        <f t="shared" si="10"/>
        <v>1.4656716059174868E-2</v>
      </c>
      <c r="D342" s="13">
        <f t="shared" si="11"/>
        <v>6.5179488344044342E-2</v>
      </c>
    </row>
    <row r="343" spans="1:4" s="109" customFormat="1" x14ac:dyDescent="0.35">
      <c r="A343" s="10">
        <v>43831</v>
      </c>
      <c r="B343" s="15">
        <f>VLOOKUP(A343,Database!A:M,MATCH($A$1,Database!$A$1:$M$1,),)</f>
        <v>421133</v>
      </c>
      <c r="C343" s="12">
        <f t="shared" si="10"/>
        <v>-2.4161856009551038E-3</v>
      </c>
      <c r="D343" s="13">
        <f t="shared" si="11"/>
        <v>4.8483912970952975E-2</v>
      </c>
    </row>
    <row r="344" spans="1:4" s="109" customFormat="1" x14ac:dyDescent="0.35">
      <c r="A344" s="11">
        <v>43862</v>
      </c>
      <c r="B344" s="15">
        <f>VLOOKUP(A344,Database!A:M,MATCH($A$1,Database!$A$1:$M$1,),)</f>
        <v>422679</v>
      </c>
      <c r="C344" s="12">
        <f t="shared" si="10"/>
        <v>3.6710492884670641E-3</v>
      </c>
      <c r="D344" s="13">
        <f t="shared" si="11"/>
        <v>5.1218026039270302E-2</v>
      </c>
    </row>
    <row r="345" spans="1:4" s="109" customFormat="1" x14ac:dyDescent="0.35">
      <c r="A345" s="10">
        <v>43891</v>
      </c>
      <c r="B345" s="15">
        <f>VLOOKUP(A345,Database!A:M,MATCH($A$1,Database!$A$1:$M$1,),)</f>
        <v>403993</v>
      </c>
      <c r="C345" s="12">
        <f t="shared" si="10"/>
        <v>-4.4208489184463858E-2</v>
      </c>
      <c r="D345" s="13">
        <f t="shared" si="11"/>
        <v>-4.8943297699394058E-3</v>
      </c>
    </row>
    <row r="346" spans="1:4" s="109" customFormat="1" x14ac:dyDescent="0.35">
      <c r="A346" s="11">
        <v>43922</v>
      </c>
      <c r="B346" s="15">
        <f>VLOOKUP(A346,Database!A:M,MATCH($A$1,Database!$A$1:$M$1,),)</f>
        <v>340784</v>
      </c>
      <c r="C346" s="12">
        <f t="shared" si="10"/>
        <v>-0.15646063174361932</v>
      </c>
      <c r="D346" s="13">
        <f t="shared" si="11"/>
        <v>-0.164992734997709</v>
      </c>
    </row>
    <row r="347" spans="1:4" s="109" customFormat="1" x14ac:dyDescent="0.35">
      <c r="A347" s="10">
        <v>43952</v>
      </c>
      <c r="B347" s="15">
        <f>VLOOKUP(A347,Database!A:M,MATCH($A$1,Database!$A$1:$M$1,),)</f>
        <v>385103</v>
      </c>
      <c r="C347" s="12">
        <f t="shared" si="10"/>
        <v>0.13005011972393071</v>
      </c>
      <c r="D347" s="13">
        <f t="shared" si="11"/>
        <v>-6.0738135539479911E-2</v>
      </c>
    </row>
    <row r="348" spans="1:4" s="109" customFormat="1" x14ac:dyDescent="0.35">
      <c r="A348" s="11">
        <v>43983</v>
      </c>
      <c r="B348" s="15">
        <f>VLOOKUP(A348,Database!A:M,MATCH($A$1,Database!$A$1:$M$1,),)</f>
        <v>418132</v>
      </c>
      <c r="C348" s="12">
        <f t="shared" si="10"/>
        <v>8.5766665022085006E-2</v>
      </c>
      <c r="D348" s="13">
        <f t="shared" si="11"/>
        <v>1.7808459261567221E-2</v>
      </c>
    </row>
    <row r="349" spans="1:4" s="109" customFormat="1" x14ac:dyDescent="0.35">
      <c r="A349" s="10">
        <v>44013</v>
      </c>
      <c r="B349" s="15">
        <f>VLOOKUP(A349,Database!A:M,MATCH($A$1,Database!$A$1:$M$1,),)</f>
        <v>430255</v>
      </c>
      <c r="C349" s="12">
        <f t="shared" si="10"/>
        <v>2.8993236585575847E-2</v>
      </c>
      <c r="D349" s="13">
        <f t="shared" si="11"/>
        <v>3.5947751760669354E-2</v>
      </c>
    </row>
    <row r="350" spans="1:4" s="109" customFormat="1" x14ac:dyDescent="0.35">
      <c r="A350" s="11">
        <v>44044</v>
      </c>
      <c r="B350" s="15">
        <f>VLOOKUP(A350,Database!A:M,MATCH($A$1,Database!$A$1:$M$1,),)</f>
        <v>432843</v>
      </c>
      <c r="C350" s="12">
        <f t="shared" si="10"/>
        <v>6.0150375939849628E-3</v>
      </c>
      <c r="D350" s="13">
        <f t="shared" si="11"/>
        <v>4.1925637779050902E-2</v>
      </c>
    </row>
    <row r="351" spans="1:4" s="109" customFormat="1" x14ac:dyDescent="0.35">
      <c r="A351" s="10">
        <v>44075</v>
      </c>
      <c r="B351" s="15">
        <f>VLOOKUP(A351,Database!A:M,MATCH($A$1,Database!$A$1:$M$1,),)</f>
        <v>440843</v>
      </c>
      <c r="C351" s="12">
        <f t="shared" si="10"/>
        <v>1.8482452066915719E-2</v>
      </c>
      <c r="D351" s="13">
        <f t="shared" si="11"/>
        <v>6.4144157192169357E-2</v>
      </c>
    </row>
    <row r="352" spans="1:4" s="109" customFormat="1" x14ac:dyDescent="0.35">
      <c r="A352" s="11">
        <v>44105</v>
      </c>
      <c r="B352" s="15">
        <f>VLOOKUP(A352,Database!A:M,MATCH($A$1,Database!$A$1:$M$1,),)</f>
        <v>439587</v>
      </c>
      <c r="C352" s="12">
        <f t="shared" si="10"/>
        <v>-2.8490868631236062E-3</v>
      </c>
      <c r="D352" s="13">
        <f t="shared" si="11"/>
        <v>5.6245029182154793E-2</v>
      </c>
    </row>
    <row r="353" spans="1:4" s="109" customFormat="1" x14ac:dyDescent="0.35">
      <c r="A353" s="10">
        <v>44136</v>
      </c>
      <c r="B353" s="15">
        <f>VLOOKUP(A353,Database!A:M,MATCH($A$1,Database!$A$1:$M$1,),)</f>
        <v>434907</v>
      </c>
      <c r="C353" s="12">
        <f t="shared" si="10"/>
        <v>-1.0646356693896771E-2</v>
      </c>
      <c r="D353" s="13">
        <f t="shared" si="11"/>
        <v>4.5311317013375638E-2</v>
      </c>
    </row>
    <row r="354" spans="1:4" s="109" customFormat="1" x14ac:dyDescent="0.35">
      <c r="A354" s="11">
        <v>44166</v>
      </c>
      <c r="B354" s="15">
        <f>VLOOKUP(A354,Database!A:M,MATCH($A$1,Database!$A$1:$M$1,),)</f>
        <v>431856</v>
      </c>
      <c r="C354" s="12">
        <f t="shared" si="10"/>
        <v>-7.015292924694245E-3</v>
      </c>
      <c r="D354" s="13">
        <f t="shared" si="11"/>
        <v>2.2984557731438603E-2</v>
      </c>
    </row>
    <row r="355" spans="1:4" s="109" customFormat="1" x14ac:dyDescent="0.35">
      <c r="A355" s="10">
        <v>44197</v>
      </c>
      <c r="B355" s="15">
        <f>VLOOKUP(A355,Database!A:M,MATCH($A$1,Database!$A$1:$M$1,),)</f>
        <v>457790</v>
      </c>
      <c r="C355" s="12">
        <f t="shared" si="10"/>
        <v>6.0052424882368199E-2</v>
      </c>
      <c r="D355" s="13">
        <f t="shared" si="11"/>
        <v>8.7043760522210328E-2</v>
      </c>
    </row>
    <row r="356" spans="1:4" s="109" customFormat="1" x14ac:dyDescent="0.35">
      <c r="A356" s="11">
        <v>44228</v>
      </c>
      <c r="B356" s="15">
        <f>VLOOKUP(A356,Database!A:M,MATCH($A$1,Database!$A$1:$M$1,),)</f>
        <v>450910</v>
      </c>
      <c r="C356" s="12">
        <f t="shared" si="10"/>
        <v>-1.5028724961226763E-2</v>
      </c>
      <c r="D356" s="13">
        <f t="shared" si="11"/>
        <v>6.6790637812619028E-2</v>
      </c>
    </row>
    <row r="357" spans="1:4" s="109" customFormat="1" x14ac:dyDescent="0.35">
      <c r="A357" s="10">
        <v>44256</v>
      </c>
      <c r="B357" s="15">
        <f>VLOOKUP(A357,Database!A:M,MATCH($A$1,Database!$A$1:$M$1,),)</f>
        <v>494626</v>
      </c>
      <c r="C357" s="12">
        <f t="shared" si="10"/>
        <v>9.6950610986671404E-2</v>
      </c>
      <c r="D357" s="13">
        <f t="shared" si="11"/>
        <v>0.22434299604201063</v>
      </c>
    </row>
    <row r="358" spans="1:4" s="109" customFormat="1" x14ac:dyDescent="0.35">
      <c r="A358" s="11">
        <v>44287</v>
      </c>
      <c r="B358" s="15">
        <f>VLOOKUP(A358,Database!A:M,MATCH($A$1,Database!$A$1:$M$1,),)</f>
        <v>492307</v>
      </c>
      <c r="C358" s="12">
        <f t="shared" si="10"/>
        <v>-4.6883908245826137E-3</v>
      </c>
      <c r="D358" s="13">
        <f t="shared" si="11"/>
        <v>0.44463061646086671</v>
      </c>
    </row>
    <row r="359" spans="1:4" s="109" customFormat="1" x14ac:dyDescent="0.35">
      <c r="A359" s="10">
        <v>44317</v>
      </c>
      <c r="B359" s="15">
        <f>VLOOKUP(A359,Database!A:M,MATCH($A$1,Database!$A$1:$M$1,),)</f>
        <v>491778</v>
      </c>
      <c r="C359" s="12">
        <f t="shared" si="10"/>
        <v>-1.0745327610616952E-3</v>
      </c>
      <c r="D359" s="13">
        <f t="shared" si="11"/>
        <v>0.27700381456389589</v>
      </c>
    </row>
    <row r="360" spans="1:4" s="109" customFormat="1" x14ac:dyDescent="0.35">
      <c r="A360" s="11">
        <v>44348</v>
      </c>
      <c r="B360" s="15">
        <f>VLOOKUP(A360,Database!A:M,MATCH($A$1,Database!$A$1:$M$1,),)</f>
        <v>501804</v>
      </c>
      <c r="C360" s="12">
        <f t="shared" si="10"/>
        <v>2.0387247904542292E-2</v>
      </c>
      <c r="D360" s="13">
        <f t="shared" si="11"/>
        <v>0.20010905647020558</v>
      </c>
    </row>
    <row r="361" spans="1:4" s="109" customFormat="1" x14ac:dyDescent="0.35">
      <c r="A361" s="10">
        <v>44378</v>
      </c>
      <c r="B361" s="15">
        <f>VLOOKUP(A361,Database!A:M,MATCH($A$1,Database!$A$1:$M$1,),)</f>
        <v>496686</v>
      </c>
      <c r="C361" s="12">
        <f t="shared" si="10"/>
        <v>-1.0199201281775355E-2</v>
      </c>
      <c r="D361" s="13">
        <f t="shared" si="11"/>
        <v>0.15439913539645095</v>
      </c>
    </row>
    <row r="362" spans="1:4" s="109" customFormat="1" x14ac:dyDescent="0.35">
      <c r="A362" s="11">
        <v>44409</v>
      </c>
      <c r="B362" s="15">
        <f>VLOOKUP(A362,Database!A:M,MATCH($A$1,Database!$A$1:$M$1,),)</f>
        <v>505347</v>
      </c>
      <c r="C362" s="12">
        <f t="shared" si="10"/>
        <v>1.7437576255420931E-2</v>
      </c>
      <c r="D362" s="13">
        <f t="shared" si="11"/>
        <v>0.16750646308245715</v>
      </c>
    </row>
    <row r="363" spans="1:4" s="109" customFormat="1" x14ac:dyDescent="0.35">
      <c r="A363" s="11">
        <v>44440</v>
      </c>
      <c r="B363" s="15">
        <f>VLOOKUP(A363,Database!A:M,MATCH($A$1,Database!$A$1:$M$1,),)</f>
        <v>510471</v>
      </c>
      <c r="C363" s="12">
        <f t="shared" si="10"/>
        <v>1.0139567465523689E-2</v>
      </c>
      <c r="D363" s="13">
        <f t="shared" si="11"/>
        <v>0.15794285040252426</v>
      </c>
    </row>
    <row r="364" spans="1:4" s="109" customFormat="1" x14ac:dyDescent="0.35">
      <c r="A364" s="10">
        <v>44470</v>
      </c>
      <c r="B364" s="15">
        <f>VLOOKUP(A364,Database!A:M,MATCH($A$1,Database!$A$1:$M$1,),)</f>
        <v>517827</v>
      </c>
      <c r="C364" s="12">
        <f t="shared" si="10"/>
        <v>1.4410221148703843E-2</v>
      </c>
      <c r="D364" s="13">
        <f t="shared" si="11"/>
        <v>0.17798524524155629</v>
      </c>
    </row>
    <row r="365" spans="1:4" s="109" customFormat="1" x14ac:dyDescent="0.35">
      <c r="A365" s="11">
        <v>44501</v>
      </c>
      <c r="B365" s="15">
        <f>VLOOKUP(A365,Database!A:M,MATCH($A$1,Database!$A$1:$M$1,),)</f>
        <v>522591</v>
      </c>
      <c r="C365" s="12">
        <f t="shared" si="10"/>
        <v>9.1999837783661338E-3</v>
      </c>
      <c r="D365" s="13">
        <f t="shared" si="11"/>
        <v>0.20161551780035733</v>
      </c>
    </row>
    <row r="366" spans="1:4" s="109" customFormat="1" x14ac:dyDescent="0.35">
      <c r="A366" s="10">
        <v>44531</v>
      </c>
      <c r="B366" s="15">
        <f>VLOOKUP(A366,Database!A:M,MATCH($A$1,Database!$A$1:$M$1,),)</f>
        <v>513586</v>
      </c>
      <c r="C366" s="12">
        <f t="shared" si="10"/>
        <v>-1.7231448685492097E-2</v>
      </c>
      <c r="D366" s="13">
        <f t="shared" si="11"/>
        <v>0.18925289911451965</v>
      </c>
    </row>
    <row r="367" spans="1:4" s="109" customFormat="1" x14ac:dyDescent="0.35">
      <c r="A367" s="11">
        <v>44562</v>
      </c>
      <c r="B367" s="15">
        <f>VLOOKUP(A367,Database!A:M,MATCH($A$1,Database!$A$1:$M$1,),)</f>
        <v>521891</v>
      </c>
      <c r="C367" s="12">
        <f t="shared" si="10"/>
        <v>1.6170612127277613E-2</v>
      </c>
      <c r="D367" s="13">
        <f t="shared" si="11"/>
        <v>0.14002271784005768</v>
      </c>
    </row>
    <row r="368" spans="1:4" s="109" customFormat="1" x14ac:dyDescent="0.35">
      <c r="A368" s="11">
        <v>44593</v>
      </c>
      <c r="B368" s="15">
        <f>VLOOKUP(A368,Database!A:M,MATCH($A$1,Database!$A$1:$M$1,),)</f>
        <v>530893</v>
      </c>
      <c r="C368" s="12">
        <f t="shared" si="10"/>
        <v>1.7248812491497265E-2</v>
      </c>
      <c r="D368" s="13">
        <f t="shared" si="11"/>
        <v>0.1773812956022266</v>
      </c>
    </row>
    <row r="369" spans="1:4" s="109" customFormat="1" x14ac:dyDescent="0.35">
      <c r="A369" s="11">
        <v>44621</v>
      </c>
      <c r="B369" s="15">
        <f>VLOOKUP(A369,Database!A:M,MATCH($A$1,Database!$A$1:$M$1,),)</f>
        <v>541436</v>
      </c>
      <c r="C369" s="12">
        <f t="shared" si="10"/>
        <v>1.9858992301650238E-2</v>
      </c>
      <c r="D369" s="13">
        <f t="shared" si="11"/>
        <v>9.463716019780602E-2</v>
      </c>
    </row>
    <row r="370" spans="1:4" s="109" customFormat="1" x14ac:dyDescent="0.35">
      <c r="A370" s="11">
        <v>44652</v>
      </c>
      <c r="B370" s="15">
        <f>VLOOKUP(A370,Database!A:M,MATCH($A$1,Database!$A$1:$M$1,),)</f>
        <v>543908</v>
      </c>
      <c r="C370" s="12">
        <f t="shared" si="10"/>
        <v>4.565636566463996E-3</v>
      </c>
      <c r="D370" s="13">
        <f t="shared" si="11"/>
        <v>0.10481467864564184</v>
      </c>
    </row>
    <row r="371" spans="1:4" s="109" customFormat="1" x14ac:dyDescent="0.35">
      <c r="A371" s="11">
        <v>44682</v>
      </c>
      <c r="B371" s="15">
        <f>VLOOKUP(A371,Database!A:M,MATCH($A$1,Database!$A$1:$M$1,),)</f>
        <v>550725</v>
      </c>
      <c r="C371" s="12">
        <f t="shared" si="10"/>
        <v>1.2533369613978834E-2</v>
      </c>
      <c r="D371" s="13">
        <f t="shared" si="11"/>
        <v>0.1198650610641387</v>
      </c>
    </row>
    <row r="372" spans="1:4" s="109" customFormat="1" x14ac:dyDescent="0.35">
      <c r="A372" s="11">
        <v>44713</v>
      </c>
      <c r="B372" s="15">
        <f>VLOOKUP(A372,Database!A:M,MATCH($A$1,Database!$A$1:$M$1,),)</f>
        <v>556980</v>
      </c>
      <c r="C372" s="12">
        <f t="shared" si="10"/>
        <v>1.1357755685687049E-2</v>
      </c>
      <c r="D372" s="13">
        <f t="shared" si="11"/>
        <v>0.10995528134490758</v>
      </c>
    </row>
    <row r="373" spans="1:4" s="109" customFormat="1" x14ac:dyDescent="0.35">
      <c r="A373" s="11">
        <v>44743</v>
      </c>
      <c r="B373" s="15">
        <f>VLOOKUP(A373,Database!A:M,MATCH($A$1,Database!$A$1:$M$1,),)</f>
        <v>556555</v>
      </c>
      <c r="C373" s="12">
        <f t="shared" si="10"/>
        <v>-7.6304355632159147E-4</v>
      </c>
      <c r="D373" s="13">
        <f t="shared" si="11"/>
        <v>0.12053691869712455</v>
      </c>
    </row>
    <row r="374" spans="1:4" s="109" customFormat="1" x14ac:dyDescent="0.35">
      <c r="A374" s="11">
        <v>44774</v>
      </c>
      <c r="B374" s="15">
        <f>VLOOKUP(A374,Database!A:M,MATCH($A$1,Database!$A$1:$M$1,),)</f>
        <v>557536</v>
      </c>
      <c r="C374" s="12">
        <f t="shared" si="10"/>
        <v>1.7626290303743566E-3</v>
      </c>
      <c r="D374" s="13">
        <f t="shared" si="11"/>
        <v>0.10327359220496016</v>
      </c>
    </row>
    <row r="375" spans="1:4" s="109" customFormat="1" x14ac:dyDescent="0.35">
      <c r="A375" s="11">
        <v>44805</v>
      </c>
      <c r="B375" s="15">
        <f>VLOOKUP(A375,Database!A:M,MATCH($A$1,Database!$A$1:$M$1,),)</f>
        <v>557087</v>
      </c>
      <c r="C375" s="12">
        <f t="shared" si="10"/>
        <v>-8.0532916260115934E-4</v>
      </c>
      <c r="D375" s="13">
        <f t="shared" si="11"/>
        <v>9.1319585245782819E-2</v>
      </c>
    </row>
    <row r="376" spans="1:4" s="109" customFormat="1" x14ac:dyDescent="0.35">
      <c r="A376" s="11">
        <v>44835</v>
      </c>
      <c r="B376" s="15">
        <f>VLOOKUP(A376,Database!A:M,MATCH($A$1,Database!$A$1:$M$1,),)</f>
        <v>564000</v>
      </c>
      <c r="C376" s="12">
        <f t="shared" si="10"/>
        <v>1.2409192819074938E-2</v>
      </c>
      <c r="D376" s="13">
        <f t="shared" si="11"/>
        <v>8.9166845297753886E-2</v>
      </c>
    </row>
    <row r="377" spans="1:4" s="109" customFormat="1" x14ac:dyDescent="0.35">
      <c r="A377" s="11">
        <v>44866</v>
      </c>
      <c r="B377" s="15">
        <f>VLOOKUP(A377,Database!A:M,MATCH($A$1,Database!$A$1:$M$1,),)</f>
        <v>562931</v>
      </c>
      <c r="C377" s="12">
        <f t="shared" si="10"/>
        <v>-1.8953900709219858E-3</v>
      </c>
      <c r="D377" s="13">
        <f t="shared" si="11"/>
        <v>7.719229760941157E-2</v>
      </c>
    </row>
    <row r="378" spans="1:4" s="109" customFormat="1" x14ac:dyDescent="0.35">
      <c r="B378" s="22"/>
    </row>
    <row r="379" spans="1:4" s="109" customFormat="1" x14ac:dyDescent="0.35">
      <c r="B379" s="22"/>
    </row>
    <row r="380" spans="1:4" s="109" customFormat="1" x14ac:dyDescent="0.35">
      <c r="B380" s="22"/>
    </row>
    <row r="381" spans="1:4" s="109" customFormat="1" x14ac:dyDescent="0.35">
      <c r="B381" s="22"/>
    </row>
    <row r="382" spans="1:4" s="109" customFormat="1" x14ac:dyDescent="0.35">
      <c r="B382" s="22"/>
    </row>
    <row r="383" spans="1:4" s="109" customFormat="1" x14ac:dyDescent="0.35">
      <c r="B383" s="22"/>
    </row>
    <row r="384" spans="1:4" s="109" customFormat="1" x14ac:dyDescent="0.35">
      <c r="B384" s="22"/>
    </row>
    <row r="385" spans="2:2" s="109" customFormat="1" x14ac:dyDescent="0.35">
      <c r="B385" s="22"/>
    </row>
    <row r="386" spans="2:2" s="109" customFormat="1" x14ac:dyDescent="0.35">
      <c r="B386" s="22"/>
    </row>
    <row r="387" spans="2:2" s="109" customFormat="1" x14ac:dyDescent="0.35">
      <c r="B387" s="22"/>
    </row>
    <row r="388" spans="2:2" s="109" customFormat="1" x14ac:dyDescent="0.35">
      <c r="B388" s="22"/>
    </row>
    <row r="389" spans="2:2" s="109" customFormat="1" x14ac:dyDescent="0.35">
      <c r="B389" s="22"/>
    </row>
    <row r="390" spans="2:2" s="109" customFormat="1" x14ac:dyDescent="0.35">
      <c r="B390" s="22"/>
    </row>
    <row r="391" spans="2:2" s="109" customFormat="1" x14ac:dyDescent="0.35">
      <c r="B391" s="22"/>
    </row>
    <row r="392" spans="2:2" s="109" customFormat="1" x14ac:dyDescent="0.35">
      <c r="B392" s="22"/>
    </row>
    <row r="393" spans="2:2" s="109" customFormat="1" x14ac:dyDescent="0.35">
      <c r="B393" s="22"/>
    </row>
    <row r="394" spans="2:2" s="109" customFormat="1" x14ac:dyDescent="0.35">
      <c r="B394" s="22"/>
    </row>
    <row r="395" spans="2:2" s="109" customFormat="1" x14ac:dyDescent="0.35">
      <c r="B395" s="22"/>
    </row>
    <row r="396" spans="2:2" s="109" customFormat="1" x14ac:dyDescent="0.35">
      <c r="B396" s="22"/>
    </row>
    <row r="397" spans="2:2" s="109" customFormat="1" x14ac:dyDescent="0.35">
      <c r="B397" s="22"/>
    </row>
    <row r="398" spans="2:2" s="109" customFormat="1" x14ac:dyDescent="0.35">
      <c r="B398" s="22"/>
    </row>
    <row r="399" spans="2:2" s="109" customFormat="1" x14ac:dyDescent="0.35">
      <c r="B399" s="22"/>
    </row>
    <row r="400" spans="2:2" s="109" customFormat="1" x14ac:dyDescent="0.35">
      <c r="B400" s="22"/>
    </row>
    <row r="401" spans="2:2" s="109" customFormat="1" x14ac:dyDescent="0.35">
      <c r="B401" s="22"/>
    </row>
    <row r="402" spans="2:2" s="109" customFormat="1" x14ac:dyDescent="0.35">
      <c r="B402" s="22"/>
    </row>
    <row r="403" spans="2:2" s="109" customFormat="1" x14ac:dyDescent="0.35">
      <c r="B403" s="22"/>
    </row>
    <row r="404" spans="2:2" s="109" customFormat="1" x14ac:dyDescent="0.35">
      <c r="B404" s="22"/>
    </row>
    <row r="405" spans="2:2" s="109" customFormat="1" x14ac:dyDescent="0.35">
      <c r="B405" s="22"/>
    </row>
    <row r="406" spans="2:2" s="109" customFormat="1" x14ac:dyDescent="0.35">
      <c r="B406" s="22"/>
    </row>
    <row r="407" spans="2:2" s="109" customFormat="1" x14ac:dyDescent="0.35">
      <c r="B407" s="22"/>
    </row>
    <row r="408" spans="2:2" s="109" customFormat="1" x14ac:dyDescent="0.35">
      <c r="B408" s="22"/>
    </row>
    <row r="409" spans="2:2" s="109" customFormat="1" x14ac:dyDescent="0.35">
      <c r="B409" s="22"/>
    </row>
    <row r="410" spans="2:2" s="109" customFormat="1" x14ac:dyDescent="0.35">
      <c r="B410" s="22"/>
    </row>
    <row r="411" spans="2:2" s="109" customFormat="1" x14ac:dyDescent="0.35">
      <c r="B411" s="22"/>
    </row>
    <row r="412" spans="2:2" s="109" customFormat="1" x14ac:dyDescent="0.35">
      <c r="B412" s="22"/>
    </row>
    <row r="413" spans="2:2" s="109" customFormat="1" x14ac:dyDescent="0.35">
      <c r="B413" s="22"/>
    </row>
    <row r="414" spans="2:2" s="109" customFormat="1" x14ac:dyDescent="0.35">
      <c r="B414" s="22"/>
    </row>
    <row r="415" spans="2:2" s="109" customFormat="1" x14ac:dyDescent="0.35">
      <c r="B415" s="22"/>
    </row>
    <row r="416" spans="2:2" s="109" customFormat="1" x14ac:dyDescent="0.35">
      <c r="B416" s="22"/>
    </row>
    <row r="417" spans="2:2" s="109" customFormat="1" x14ac:dyDescent="0.35">
      <c r="B417" s="22"/>
    </row>
    <row r="418" spans="2:2" s="109" customFormat="1" x14ac:dyDescent="0.35">
      <c r="B418" s="22"/>
    </row>
    <row r="419" spans="2:2" s="109" customFormat="1" x14ac:dyDescent="0.35">
      <c r="B419" s="22"/>
    </row>
    <row r="420" spans="2:2" s="109" customFormat="1" x14ac:dyDescent="0.35">
      <c r="B420" s="22"/>
    </row>
    <row r="421" spans="2:2" s="109" customFormat="1" x14ac:dyDescent="0.35">
      <c r="B421" s="22"/>
    </row>
    <row r="422" spans="2:2" s="109" customFormat="1" x14ac:dyDescent="0.35">
      <c r="B422" s="22"/>
    </row>
    <row r="423" spans="2:2" s="109" customFormat="1" x14ac:dyDescent="0.35">
      <c r="B423" s="22"/>
    </row>
    <row r="424" spans="2:2" s="109" customFormat="1" x14ac:dyDescent="0.35">
      <c r="B424" s="22"/>
    </row>
    <row r="425" spans="2:2" s="109" customFormat="1" x14ac:dyDescent="0.35">
      <c r="B425" s="22"/>
    </row>
    <row r="426" spans="2:2" s="109" customFormat="1" x14ac:dyDescent="0.35">
      <c r="B426" s="22"/>
    </row>
    <row r="427" spans="2:2" s="109" customFormat="1" x14ac:dyDescent="0.35">
      <c r="B427" s="22"/>
    </row>
    <row r="428" spans="2:2" s="109" customFormat="1" x14ac:dyDescent="0.35">
      <c r="B428" s="22"/>
    </row>
    <row r="429" spans="2:2" s="109" customFormat="1" x14ac:dyDescent="0.35">
      <c r="B429" s="22"/>
    </row>
    <row r="430" spans="2:2" s="109" customFormat="1" x14ac:dyDescent="0.35">
      <c r="B430" s="22"/>
    </row>
    <row r="431" spans="2:2" s="109" customFormat="1" x14ac:dyDescent="0.35">
      <c r="B431" s="22"/>
    </row>
    <row r="432" spans="2:2" s="109" customFormat="1" x14ac:dyDescent="0.35">
      <c r="B432" s="22"/>
    </row>
    <row r="433" spans="2:2" s="109" customFormat="1" x14ac:dyDescent="0.35">
      <c r="B433" s="22"/>
    </row>
    <row r="434" spans="2:2" s="109" customFormat="1" x14ac:dyDescent="0.35">
      <c r="B434" s="22"/>
    </row>
    <row r="435" spans="2:2" s="109" customFormat="1" x14ac:dyDescent="0.35">
      <c r="B435" s="22"/>
    </row>
    <row r="436" spans="2:2" s="109" customFormat="1" x14ac:dyDescent="0.35">
      <c r="B436" s="22"/>
    </row>
    <row r="437" spans="2:2" s="109" customFormat="1" x14ac:dyDescent="0.35">
      <c r="B437" s="22"/>
    </row>
    <row r="438" spans="2:2" s="109" customFormat="1" x14ac:dyDescent="0.35">
      <c r="B438" s="22"/>
    </row>
    <row r="439" spans="2:2" s="109" customFormat="1" x14ac:dyDescent="0.35">
      <c r="B439" s="22"/>
    </row>
    <row r="440" spans="2:2" s="109" customFormat="1" x14ac:dyDescent="0.35">
      <c r="B440" s="22"/>
    </row>
    <row r="441" spans="2:2" s="109" customFormat="1" x14ac:dyDescent="0.35">
      <c r="B441" s="22"/>
    </row>
    <row r="442" spans="2:2" s="109" customFormat="1" x14ac:dyDescent="0.35">
      <c r="B442" s="22"/>
    </row>
    <row r="443" spans="2:2" s="109" customFormat="1" x14ac:dyDescent="0.35">
      <c r="B443" s="22"/>
    </row>
    <row r="444" spans="2:2" s="109" customFormat="1" x14ac:dyDescent="0.35">
      <c r="B444" s="22"/>
    </row>
    <row r="445" spans="2:2" s="109" customFormat="1" x14ac:dyDescent="0.35">
      <c r="B445" s="22"/>
    </row>
    <row r="446" spans="2:2" s="109" customFormat="1" x14ac:dyDescent="0.35">
      <c r="B446" s="22"/>
    </row>
    <row r="447" spans="2:2" s="109" customFormat="1" x14ac:dyDescent="0.35">
      <c r="B447" s="22"/>
    </row>
    <row r="448" spans="2:2" s="109" customFormat="1" x14ac:dyDescent="0.35">
      <c r="B448" s="22"/>
    </row>
    <row r="449" spans="2:2" s="109" customFormat="1" x14ac:dyDescent="0.35">
      <c r="B449" s="22"/>
    </row>
    <row r="450" spans="2:2" s="109" customFormat="1" x14ac:dyDescent="0.35">
      <c r="B450" s="22"/>
    </row>
    <row r="451" spans="2:2" s="109" customFormat="1" x14ac:dyDescent="0.35">
      <c r="B451" s="22"/>
    </row>
    <row r="452" spans="2:2" s="109" customFormat="1" x14ac:dyDescent="0.35">
      <c r="B452" s="22"/>
    </row>
    <row r="453" spans="2:2" s="109" customFormat="1" x14ac:dyDescent="0.35">
      <c r="B453" s="22"/>
    </row>
    <row r="454" spans="2:2" s="109" customFormat="1" x14ac:dyDescent="0.35">
      <c r="B454" s="22"/>
    </row>
    <row r="455" spans="2:2" s="109" customFormat="1" x14ac:dyDescent="0.35">
      <c r="B455" s="22"/>
    </row>
    <row r="456" spans="2:2" s="109" customFormat="1" x14ac:dyDescent="0.35">
      <c r="B456" s="22"/>
    </row>
    <row r="457" spans="2:2" s="109" customFormat="1" x14ac:dyDescent="0.35">
      <c r="B457" s="22"/>
    </row>
    <row r="458" spans="2:2" s="109" customFormat="1" x14ac:dyDescent="0.35">
      <c r="B458" s="22"/>
    </row>
    <row r="459" spans="2:2" s="109" customFormat="1" x14ac:dyDescent="0.35">
      <c r="B459" s="22"/>
    </row>
    <row r="460" spans="2:2" s="109" customFormat="1" x14ac:dyDescent="0.35">
      <c r="B460" s="22"/>
    </row>
    <row r="461" spans="2:2" s="109" customFormat="1" x14ac:dyDescent="0.35">
      <c r="B461" s="22"/>
    </row>
    <row r="462" spans="2:2" s="109" customFormat="1" x14ac:dyDescent="0.35">
      <c r="B462" s="22"/>
    </row>
    <row r="463" spans="2:2" s="109" customFormat="1" x14ac:dyDescent="0.35">
      <c r="B463" s="22"/>
    </row>
    <row r="464" spans="2:2" s="109" customFormat="1" x14ac:dyDescent="0.35">
      <c r="B464" s="22"/>
    </row>
    <row r="465" spans="2:2" s="109" customFormat="1" x14ac:dyDescent="0.35">
      <c r="B465" s="22"/>
    </row>
    <row r="466" spans="2:2" s="109" customFormat="1" x14ac:dyDescent="0.35">
      <c r="B466" s="22"/>
    </row>
    <row r="467" spans="2:2" s="109" customFormat="1" x14ac:dyDescent="0.35">
      <c r="B467" s="22"/>
    </row>
    <row r="468" spans="2:2" s="109" customFormat="1" x14ac:dyDescent="0.35">
      <c r="B468" s="22"/>
    </row>
    <row r="469" spans="2:2" s="109" customFormat="1" x14ac:dyDescent="0.35">
      <c r="B469" s="22"/>
    </row>
    <row r="470" spans="2:2" s="109" customFormat="1" x14ac:dyDescent="0.35">
      <c r="B470" s="22"/>
    </row>
    <row r="471" spans="2:2" s="109" customFormat="1" x14ac:dyDescent="0.35">
      <c r="B471" s="22"/>
    </row>
    <row r="472" spans="2:2" s="109" customFormat="1" x14ac:dyDescent="0.35">
      <c r="B472" s="22"/>
    </row>
    <row r="473" spans="2:2" s="109" customFormat="1" x14ac:dyDescent="0.35">
      <c r="B473" s="22"/>
    </row>
    <row r="474" spans="2:2" s="109" customFormat="1" x14ac:dyDescent="0.35">
      <c r="B474" s="22"/>
    </row>
    <row r="475" spans="2:2" s="109" customFormat="1" x14ac:dyDescent="0.35">
      <c r="B475" s="22"/>
    </row>
    <row r="476" spans="2:2" s="109" customFormat="1" x14ac:dyDescent="0.35">
      <c r="B476" s="22"/>
    </row>
    <row r="477" spans="2:2" s="109" customFormat="1" x14ac:dyDescent="0.35">
      <c r="B477" s="22"/>
    </row>
    <row r="478" spans="2:2" s="109" customFormat="1" x14ac:dyDescent="0.35">
      <c r="B478" s="22"/>
    </row>
    <row r="479" spans="2:2" s="109" customFormat="1" x14ac:dyDescent="0.35">
      <c r="B479" s="22"/>
    </row>
    <row r="480" spans="2:2" s="109" customFormat="1" x14ac:dyDescent="0.35">
      <c r="B480" s="22"/>
    </row>
    <row r="481" spans="2:2" s="109" customFormat="1" x14ac:dyDescent="0.35">
      <c r="B481" s="22"/>
    </row>
    <row r="482" spans="2:2" s="109" customFormat="1" x14ac:dyDescent="0.35">
      <c r="B482" s="22"/>
    </row>
    <row r="483" spans="2:2" s="109" customFormat="1" x14ac:dyDescent="0.35">
      <c r="B483" s="22"/>
    </row>
    <row r="484" spans="2:2" s="109" customFormat="1" x14ac:dyDescent="0.35">
      <c r="B484" s="22"/>
    </row>
    <row r="485" spans="2:2" s="109" customFormat="1" x14ac:dyDescent="0.35">
      <c r="B485" s="22"/>
    </row>
    <row r="486" spans="2:2" s="109" customFormat="1" x14ac:dyDescent="0.35">
      <c r="B486" s="22"/>
    </row>
    <row r="487" spans="2:2" s="109" customFormat="1" x14ac:dyDescent="0.35">
      <c r="B487" s="22"/>
    </row>
    <row r="488" spans="2:2" s="109" customFormat="1" x14ac:dyDescent="0.35">
      <c r="B488" s="22"/>
    </row>
    <row r="489" spans="2:2" s="109" customFormat="1" x14ac:dyDescent="0.35">
      <c r="B489" s="22"/>
    </row>
    <row r="490" spans="2:2" s="109" customFormat="1" x14ac:dyDescent="0.35">
      <c r="B490" s="22"/>
    </row>
    <row r="491" spans="2:2" s="109" customFormat="1" x14ac:dyDescent="0.35">
      <c r="B491" s="22"/>
    </row>
    <row r="492" spans="2:2" s="109" customFormat="1" x14ac:dyDescent="0.35">
      <c r="B492" s="22"/>
    </row>
    <row r="493" spans="2:2" s="109" customFormat="1" x14ac:dyDescent="0.35">
      <c r="B493" s="22"/>
    </row>
    <row r="494" spans="2:2" s="109" customFormat="1" x14ac:dyDescent="0.35">
      <c r="B494" s="22"/>
    </row>
    <row r="495" spans="2:2" s="109" customFormat="1" x14ac:dyDescent="0.35">
      <c r="B495" s="22"/>
    </row>
    <row r="496" spans="2:2" s="109" customFormat="1" x14ac:dyDescent="0.35">
      <c r="B496" s="22"/>
    </row>
    <row r="497" spans="2:2" s="109" customFormat="1" x14ac:dyDescent="0.35">
      <c r="B497" s="22"/>
    </row>
    <row r="498" spans="2:2" s="109" customFormat="1" x14ac:dyDescent="0.35">
      <c r="B498" s="22"/>
    </row>
    <row r="499" spans="2:2" s="109" customFormat="1" x14ac:dyDescent="0.35">
      <c r="B499" s="22"/>
    </row>
    <row r="500" spans="2:2" s="109" customFormat="1" x14ac:dyDescent="0.35">
      <c r="B500" s="22"/>
    </row>
    <row r="501" spans="2:2" s="109" customFormat="1" x14ac:dyDescent="0.35">
      <c r="B501" s="22"/>
    </row>
    <row r="502" spans="2:2" s="109" customFormat="1" x14ac:dyDescent="0.35">
      <c r="B502" s="22"/>
    </row>
    <row r="503" spans="2:2" s="109" customFormat="1" x14ac:dyDescent="0.35">
      <c r="B503" s="22"/>
    </row>
    <row r="504" spans="2:2" s="109" customFormat="1" x14ac:dyDescent="0.35">
      <c r="B504" s="22"/>
    </row>
    <row r="505" spans="2:2" s="109" customFormat="1" x14ac:dyDescent="0.35">
      <c r="B505" s="22"/>
    </row>
    <row r="506" spans="2:2" s="109" customFormat="1" x14ac:dyDescent="0.35">
      <c r="B506" s="22"/>
    </row>
    <row r="507" spans="2:2" s="109" customFormat="1" x14ac:dyDescent="0.35">
      <c r="B507" s="22"/>
    </row>
    <row r="508" spans="2:2" s="109" customFormat="1" x14ac:dyDescent="0.35">
      <c r="B508" s="22"/>
    </row>
    <row r="509" spans="2:2" s="109" customFormat="1" x14ac:dyDescent="0.35">
      <c r="B509" s="22"/>
    </row>
    <row r="510" spans="2:2" s="109" customFormat="1" x14ac:dyDescent="0.35">
      <c r="B510" s="22"/>
    </row>
    <row r="511" spans="2:2" s="109" customFormat="1" x14ac:dyDescent="0.35">
      <c r="B511" s="22"/>
    </row>
    <row r="512" spans="2:2" s="109" customFormat="1" x14ac:dyDescent="0.35">
      <c r="B512" s="22"/>
    </row>
    <row r="513" spans="2:2" s="109" customFormat="1" x14ac:dyDescent="0.35">
      <c r="B513" s="22"/>
    </row>
    <row r="514" spans="2:2" s="109" customFormat="1" x14ac:dyDescent="0.35">
      <c r="B514" s="22"/>
    </row>
    <row r="515" spans="2:2" s="109" customFormat="1" x14ac:dyDescent="0.35">
      <c r="B515" s="22"/>
    </row>
    <row r="516" spans="2:2" s="109" customFormat="1" x14ac:dyDescent="0.35">
      <c r="B516" s="22"/>
    </row>
    <row r="517" spans="2:2" s="109" customFormat="1" x14ac:dyDescent="0.35">
      <c r="B517" s="22"/>
    </row>
    <row r="518" spans="2:2" s="109" customFormat="1" x14ac:dyDescent="0.35">
      <c r="B518" s="22"/>
    </row>
    <row r="519" spans="2:2" s="109" customFormat="1" x14ac:dyDescent="0.35">
      <c r="B519" s="22"/>
    </row>
    <row r="520" spans="2:2" s="109" customFormat="1" x14ac:dyDescent="0.35">
      <c r="B520" s="22"/>
    </row>
    <row r="521" spans="2:2" s="109" customFormat="1" x14ac:dyDescent="0.35">
      <c r="B521" s="22"/>
    </row>
    <row r="522" spans="2:2" s="109" customFormat="1" x14ac:dyDescent="0.35">
      <c r="B522" s="22"/>
    </row>
    <row r="523" spans="2:2" s="109" customFormat="1" x14ac:dyDescent="0.35">
      <c r="B523" s="22"/>
    </row>
    <row r="524" spans="2:2" s="109" customFormat="1" x14ac:dyDescent="0.35">
      <c r="B524" s="22"/>
    </row>
    <row r="525" spans="2:2" s="109" customFormat="1" x14ac:dyDescent="0.35">
      <c r="B525" s="22"/>
    </row>
    <row r="526" spans="2:2" s="109" customFormat="1" x14ac:dyDescent="0.35">
      <c r="B526" s="22"/>
    </row>
    <row r="527" spans="2:2" s="109" customFormat="1" x14ac:dyDescent="0.35">
      <c r="B527" s="22"/>
    </row>
    <row r="528" spans="2:2" s="109" customFormat="1" x14ac:dyDescent="0.35">
      <c r="B528" s="22"/>
    </row>
    <row r="529" spans="2:2" s="109" customFormat="1" x14ac:dyDescent="0.35">
      <c r="B529" s="22"/>
    </row>
    <row r="530" spans="2:2" s="109" customFormat="1" x14ac:dyDescent="0.35">
      <c r="B530" s="22"/>
    </row>
    <row r="531" spans="2:2" s="109" customFormat="1" x14ac:dyDescent="0.35">
      <c r="B531" s="22"/>
    </row>
    <row r="532" spans="2:2" s="109" customFormat="1" x14ac:dyDescent="0.35">
      <c r="B532" s="22"/>
    </row>
    <row r="533" spans="2:2" s="109" customFormat="1" x14ac:dyDescent="0.35">
      <c r="B533" s="22"/>
    </row>
    <row r="534" spans="2:2" s="109" customFormat="1" x14ac:dyDescent="0.35">
      <c r="B534" s="22"/>
    </row>
    <row r="535" spans="2:2" s="109" customFormat="1" x14ac:dyDescent="0.35">
      <c r="B535" s="22"/>
    </row>
    <row r="536" spans="2:2" s="109" customFormat="1" x14ac:dyDescent="0.35">
      <c r="B536" s="22"/>
    </row>
    <row r="537" spans="2:2" s="109" customFormat="1" x14ac:dyDescent="0.35">
      <c r="B537" s="22"/>
    </row>
    <row r="538" spans="2:2" s="109" customFormat="1" x14ac:dyDescent="0.35">
      <c r="B538" s="22"/>
    </row>
    <row r="539" spans="2:2" s="109" customFormat="1" x14ac:dyDescent="0.35">
      <c r="B539" s="22"/>
    </row>
    <row r="540" spans="2:2" s="109" customFormat="1" x14ac:dyDescent="0.35">
      <c r="B540" s="22"/>
    </row>
    <row r="541" spans="2:2" s="109" customFormat="1" x14ac:dyDescent="0.35">
      <c r="B541" s="22"/>
    </row>
    <row r="542" spans="2:2" s="109" customFormat="1" x14ac:dyDescent="0.35">
      <c r="B542" s="22"/>
    </row>
    <row r="543" spans="2:2" s="109" customFormat="1" x14ac:dyDescent="0.35">
      <c r="B543" s="22"/>
    </row>
    <row r="544" spans="2:2" s="109" customFormat="1" x14ac:dyDescent="0.35">
      <c r="B544" s="22"/>
    </row>
    <row r="545" spans="2:2" s="109" customFormat="1" x14ac:dyDescent="0.35">
      <c r="B545" s="22"/>
    </row>
    <row r="546" spans="2:2" s="109" customFormat="1" x14ac:dyDescent="0.35">
      <c r="B546" s="22"/>
    </row>
    <row r="547" spans="2:2" s="109" customFormat="1" x14ac:dyDescent="0.35">
      <c r="B547" s="22"/>
    </row>
    <row r="548" spans="2:2" s="109" customFormat="1" x14ac:dyDescent="0.35">
      <c r="B548" s="22"/>
    </row>
    <row r="549" spans="2:2" s="109" customFormat="1" x14ac:dyDescent="0.35">
      <c r="B549" s="22"/>
    </row>
    <row r="550" spans="2:2" s="109" customFormat="1" x14ac:dyDescent="0.35">
      <c r="B550" s="22"/>
    </row>
    <row r="551" spans="2:2" s="109" customFormat="1" x14ac:dyDescent="0.35">
      <c r="B551" s="22"/>
    </row>
    <row r="552" spans="2:2" s="109" customFormat="1" x14ac:dyDescent="0.35">
      <c r="B552" s="22"/>
    </row>
    <row r="553" spans="2:2" s="109" customFormat="1" x14ac:dyDescent="0.35">
      <c r="B553" s="22"/>
    </row>
    <row r="554" spans="2:2" s="109" customFormat="1" x14ac:dyDescent="0.35">
      <c r="B554" s="22"/>
    </row>
    <row r="555" spans="2:2" s="109" customFormat="1" x14ac:dyDescent="0.35">
      <c r="B555" s="22"/>
    </row>
    <row r="556" spans="2:2" s="109" customFormat="1" x14ac:dyDescent="0.35">
      <c r="B556" s="22"/>
    </row>
    <row r="557" spans="2:2" s="109" customFormat="1" x14ac:dyDescent="0.35">
      <c r="B557" s="22"/>
    </row>
    <row r="558" spans="2:2" s="109" customFormat="1" x14ac:dyDescent="0.35">
      <c r="B558" s="22"/>
    </row>
    <row r="559" spans="2:2" s="109" customFormat="1" x14ac:dyDescent="0.35">
      <c r="B559" s="22"/>
    </row>
    <row r="560" spans="2:2" s="109" customFormat="1" x14ac:dyDescent="0.35">
      <c r="B560" s="22"/>
    </row>
    <row r="561" spans="2:2" s="109" customFormat="1" x14ac:dyDescent="0.35">
      <c r="B561" s="22"/>
    </row>
    <row r="562" spans="2:2" s="109" customFormat="1" x14ac:dyDescent="0.35">
      <c r="B562" s="22"/>
    </row>
    <row r="563" spans="2:2" s="109" customFormat="1" x14ac:dyDescent="0.35">
      <c r="B563" s="22"/>
    </row>
    <row r="564" spans="2:2" s="109" customFormat="1" x14ac:dyDescent="0.35">
      <c r="B564" s="22"/>
    </row>
    <row r="565" spans="2:2" s="109" customFormat="1" x14ac:dyDescent="0.35">
      <c r="B565" s="22"/>
    </row>
    <row r="566" spans="2:2" s="109" customFormat="1" x14ac:dyDescent="0.35">
      <c r="B566" s="22"/>
    </row>
    <row r="567" spans="2:2" s="109" customFormat="1" x14ac:dyDescent="0.35">
      <c r="B567" s="22"/>
    </row>
    <row r="568" spans="2:2" s="109" customFormat="1" x14ac:dyDescent="0.35">
      <c r="B568" s="22"/>
    </row>
    <row r="569" spans="2:2" s="109" customFormat="1" x14ac:dyDescent="0.35">
      <c r="B569" s="22"/>
    </row>
    <row r="570" spans="2:2" s="109" customFormat="1" x14ac:dyDescent="0.35">
      <c r="B570" s="22"/>
    </row>
    <row r="571" spans="2:2" s="109" customFormat="1" x14ac:dyDescent="0.35">
      <c r="B571" s="22"/>
    </row>
    <row r="572" spans="2:2" s="109" customFormat="1" x14ac:dyDescent="0.35">
      <c r="B572" s="22"/>
    </row>
    <row r="573" spans="2:2" s="109" customFormat="1" x14ac:dyDescent="0.35">
      <c r="B573" s="22"/>
    </row>
    <row r="574" spans="2:2" s="109" customFormat="1" x14ac:dyDescent="0.35">
      <c r="B574" s="22"/>
    </row>
    <row r="575" spans="2:2" s="109" customFormat="1" x14ac:dyDescent="0.35">
      <c r="B575" s="22"/>
    </row>
    <row r="576" spans="2:2" s="109" customFormat="1" x14ac:dyDescent="0.35">
      <c r="B576" s="22"/>
    </row>
    <row r="577" spans="2:2" s="109" customFormat="1" x14ac:dyDescent="0.35">
      <c r="B577" s="22"/>
    </row>
    <row r="578" spans="2:2" s="109" customFormat="1" x14ac:dyDescent="0.35">
      <c r="B578" s="22"/>
    </row>
    <row r="579" spans="2:2" s="109" customFormat="1" x14ac:dyDescent="0.35">
      <c r="B579" s="22"/>
    </row>
    <row r="580" spans="2:2" s="109" customFormat="1" x14ac:dyDescent="0.35">
      <c r="B580" s="22"/>
    </row>
    <row r="581" spans="2:2" s="109" customFormat="1" x14ac:dyDescent="0.35">
      <c r="B581" s="22"/>
    </row>
    <row r="582" spans="2:2" s="109" customFormat="1" x14ac:dyDescent="0.35">
      <c r="B582" s="22"/>
    </row>
    <row r="583" spans="2:2" s="109" customFormat="1" x14ac:dyDescent="0.35">
      <c r="B583" s="22"/>
    </row>
    <row r="584" spans="2:2" s="109" customFormat="1" x14ac:dyDescent="0.35">
      <c r="B584" s="22"/>
    </row>
    <row r="585" spans="2:2" s="109" customFormat="1" x14ac:dyDescent="0.35">
      <c r="B585" s="22"/>
    </row>
    <row r="586" spans="2:2" s="109" customFormat="1" x14ac:dyDescent="0.35">
      <c r="B586" s="22"/>
    </row>
    <row r="587" spans="2:2" s="109" customFormat="1" x14ac:dyDescent="0.35">
      <c r="B587" s="22"/>
    </row>
    <row r="588" spans="2:2" s="109" customFormat="1" x14ac:dyDescent="0.35">
      <c r="B588" s="22"/>
    </row>
    <row r="589" spans="2:2" s="109" customFormat="1" x14ac:dyDescent="0.35">
      <c r="B589" s="22"/>
    </row>
    <row r="590" spans="2:2" s="109" customFormat="1" x14ac:dyDescent="0.35">
      <c r="B590" s="22"/>
    </row>
    <row r="591" spans="2:2" s="109" customFormat="1" x14ac:dyDescent="0.35">
      <c r="B591" s="22"/>
    </row>
    <row r="592" spans="2:2" s="109" customFormat="1" x14ac:dyDescent="0.35">
      <c r="B592" s="22"/>
    </row>
    <row r="593" spans="2:2" s="109" customFormat="1" x14ac:dyDescent="0.35">
      <c r="B593" s="22"/>
    </row>
    <row r="594" spans="2:2" s="109" customFormat="1" x14ac:dyDescent="0.35">
      <c r="B594" s="22"/>
    </row>
    <row r="595" spans="2:2" s="109" customFormat="1" x14ac:dyDescent="0.35">
      <c r="B595" s="22"/>
    </row>
    <row r="596" spans="2:2" s="109" customFormat="1" x14ac:dyDescent="0.35">
      <c r="B596" s="22"/>
    </row>
    <row r="597" spans="2:2" s="109" customFormat="1" x14ac:dyDescent="0.35">
      <c r="B597" s="22"/>
    </row>
    <row r="598" spans="2:2" s="109" customFormat="1" x14ac:dyDescent="0.35">
      <c r="B598" s="22"/>
    </row>
    <row r="599" spans="2:2" s="109" customFormat="1" x14ac:dyDescent="0.35">
      <c r="B599" s="22"/>
    </row>
    <row r="600" spans="2:2" s="109" customFormat="1" x14ac:dyDescent="0.35">
      <c r="B600" s="22"/>
    </row>
    <row r="601" spans="2:2" s="109" customFormat="1" x14ac:dyDescent="0.35">
      <c r="B601" s="22"/>
    </row>
    <row r="602" spans="2:2" s="109" customFormat="1" x14ac:dyDescent="0.35">
      <c r="B602" s="22"/>
    </row>
    <row r="603" spans="2:2" s="109" customFormat="1" x14ac:dyDescent="0.35">
      <c r="B603" s="22"/>
    </row>
    <row r="604" spans="2:2" s="109" customFormat="1" x14ac:dyDescent="0.35">
      <c r="B604" s="22"/>
    </row>
    <row r="605" spans="2:2" s="109" customFormat="1" x14ac:dyDescent="0.35">
      <c r="B605" s="22"/>
    </row>
    <row r="606" spans="2:2" s="109" customFormat="1" x14ac:dyDescent="0.35">
      <c r="B606" s="22"/>
    </row>
    <row r="607" spans="2:2" s="109" customFormat="1" x14ac:dyDescent="0.35">
      <c r="B607" s="22"/>
    </row>
    <row r="608" spans="2:2" s="109" customFormat="1" x14ac:dyDescent="0.35">
      <c r="B608" s="22"/>
    </row>
    <row r="609" spans="2:2" s="109" customFormat="1" x14ac:dyDescent="0.35">
      <c r="B609" s="22"/>
    </row>
    <row r="610" spans="2:2" s="109" customFormat="1" x14ac:dyDescent="0.35">
      <c r="B610" s="22"/>
    </row>
    <row r="611" spans="2:2" s="109" customFormat="1" x14ac:dyDescent="0.35">
      <c r="B611" s="22"/>
    </row>
    <row r="612" spans="2:2" s="109" customFormat="1" x14ac:dyDescent="0.35">
      <c r="B612" s="22"/>
    </row>
    <row r="613" spans="2:2" s="109" customFormat="1" x14ac:dyDescent="0.35">
      <c r="B613" s="22"/>
    </row>
    <row r="614" spans="2:2" s="109" customFormat="1" x14ac:dyDescent="0.35">
      <c r="B614" s="22"/>
    </row>
    <row r="615" spans="2:2" s="109" customFormat="1" x14ac:dyDescent="0.35">
      <c r="B615" s="22"/>
    </row>
    <row r="616" spans="2:2" s="109" customFormat="1" x14ac:dyDescent="0.35">
      <c r="B616" s="22"/>
    </row>
    <row r="617" spans="2:2" s="109" customFormat="1" x14ac:dyDescent="0.35">
      <c r="B617" s="22"/>
    </row>
    <row r="618" spans="2:2" s="109" customFormat="1" x14ac:dyDescent="0.35">
      <c r="B618" s="22"/>
    </row>
    <row r="619" spans="2:2" s="109" customFormat="1" x14ac:dyDescent="0.35">
      <c r="B619" s="22"/>
    </row>
    <row r="620" spans="2:2" s="109" customFormat="1" x14ac:dyDescent="0.35">
      <c r="B620" s="22"/>
    </row>
    <row r="621" spans="2:2" s="109" customFormat="1" x14ac:dyDescent="0.35">
      <c r="B621" s="22"/>
    </row>
    <row r="622" spans="2:2" s="109" customFormat="1" x14ac:dyDescent="0.35">
      <c r="B622" s="22"/>
    </row>
    <row r="623" spans="2:2" s="109" customFormat="1" x14ac:dyDescent="0.35">
      <c r="B623" s="22"/>
    </row>
    <row r="624" spans="2:2" s="109" customFormat="1" x14ac:dyDescent="0.35">
      <c r="B624" s="22"/>
    </row>
    <row r="625" spans="2:2" s="109" customFormat="1" x14ac:dyDescent="0.35">
      <c r="B625" s="22"/>
    </row>
    <row r="626" spans="2:2" s="109" customFormat="1" x14ac:dyDescent="0.35">
      <c r="B626" s="22"/>
    </row>
    <row r="627" spans="2:2" s="109" customFormat="1" x14ac:dyDescent="0.35">
      <c r="B627" s="22"/>
    </row>
    <row r="628" spans="2:2" s="109" customFormat="1" x14ac:dyDescent="0.35">
      <c r="B628" s="22"/>
    </row>
    <row r="629" spans="2:2" s="109" customFormat="1" x14ac:dyDescent="0.35">
      <c r="B629" s="22"/>
    </row>
    <row r="630" spans="2:2" s="109" customFormat="1" x14ac:dyDescent="0.35">
      <c r="B630" s="22"/>
    </row>
    <row r="631" spans="2:2" s="109" customFormat="1" x14ac:dyDescent="0.35">
      <c r="B631" s="22"/>
    </row>
    <row r="632" spans="2:2" s="109" customFormat="1" x14ac:dyDescent="0.35">
      <c r="B632" s="22"/>
    </row>
    <row r="633" spans="2:2" s="109" customFormat="1" x14ac:dyDescent="0.35">
      <c r="B633" s="22"/>
    </row>
    <row r="634" spans="2:2" s="109" customFormat="1" x14ac:dyDescent="0.35">
      <c r="B634" s="22"/>
    </row>
    <row r="635" spans="2:2" s="109" customFormat="1" x14ac:dyDescent="0.35">
      <c r="B635" s="22"/>
    </row>
    <row r="636" spans="2:2" s="109" customFormat="1" x14ac:dyDescent="0.35">
      <c r="B636" s="22"/>
    </row>
    <row r="637" spans="2:2" s="109" customFormat="1" x14ac:dyDescent="0.35">
      <c r="B637" s="22"/>
    </row>
    <row r="638" spans="2:2" s="109" customFormat="1" x14ac:dyDescent="0.35">
      <c r="B638" s="22"/>
    </row>
    <row r="639" spans="2:2" s="109" customFormat="1" x14ac:dyDescent="0.35">
      <c r="B639" s="22"/>
    </row>
    <row r="640" spans="2:2" s="109" customFormat="1" x14ac:dyDescent="0.35">
      <c r="B640" s="22"/>
    </row>
    <row r="641" spans="2:2" s="109" customFormat="1" x14ac:dyDescent="0.35">
      <c r="B641" s="22"/>
    </row>
    <row r="642" spans="2:2" s="109" customFormat="1" x14ac:dyDescent="0.35">
      <c r="B642" s="22"/>
    </row>
    <row r="643" spans="2:2" s="109" customFormat="1" x14ac:dyDescent="0.35">
      <c r="B643" s="22"/>
    </row>
    <row r="644" spans="2:2" s="109" customFormat="1" x14ac:dyDescent="0.35">
      <c r="B644" s="22"/>
    </row>
    <row r="645" spans="2:2" s="109" customFormat="1" x14ac:dyDescent="0.35">
      <c r="B645" s="22"/>
    </row>
    <row r="646" spans="2:2" s="109" customFormat="1" x14ac:dyDescent="0.35">
      <c r="B646" s="22"/>
    </row>
    <row r="647" spans="2:2" s="109" customFormat="1" x14ac:dyDescent="0.35">
      <c r="B647" s="22"/>
    </row>
    <row r="648" spans="2:2" s="109" customFormat="1" x14ac:dyDescent="0.35">
      <c r="B648" s="22"/>
    </row>
    <row r="649" spans="2:2" s="109" customFormat="1" x14ac:dyDescent="0.35">
      <c r="B649" s="22"/>
    </row>
    <row r="650" spans="2:2" s="109" customFormat="1" x14ac:dyDescent="0.35">
      <c r="B650" s="22"/>
    </row>
    <row r="651" spans="2:2" s="109" customFormat="1" x14ac:dyDescent="0.35">
      <c r="B651" s="22"/>
    </row>
    <row r="652" spans="2:2" s="109" customFormat="1" x14ac:dyDescent="0.35">
      <c r="B652" s="22"/>
    </row>
    <row r="653" spans="2:2" s="109" customFormat="1" x14ac:dyDescent="0.35">
      <c r="B653" s="22"/>
    </row>
    <row r="654" spans="2:2" s="109" customFormat="1" x14ac:dyDescent="0.35">
      <c r="B654" s="22"/>
    </row>
    <row r="655" spans="2:2" s="109" customFormat="1" x14ac:dyDescent="0.35">
      <c r="B655" s="22"/>
    </row>
    <row r="656" spans="2:2" s="109" customFormat="1" x14ac:dyDescent="0.35">
      <c r="B656" s="22"/>
    </row>
    <row r="657" spans="2:2" s="109" customFormat="1" x14ac:dyDescent="0.35">
      <c r="B657" s="22"/>
    </row>
    <row r="658" spans="2:2" s="109" customFormat="1" x14ac:dyDescent="0.35">
      <c r="B658" s="22"/>
    </row>
    <row r="659" spans="2:2" s="109" customFormat="1" x14ac:dyDescent="0.35">
      <c r="B659" s="22"/>
    </row>
    <row r="660" spans="2:2" s="109" customFormat="1" x14ac:dyDescent="0.35">
      <c r="B660" s="22"/>
    </row>
    <row r="661" spans="2:2" s="109" customFormat="1" x14ac:dyDescent="0.35">
      <c r="B661" s="22"/>
    </row>
    <row r="662" spans="2:2" s="109" customFormat="1" x14ac:dyDescent="0.35">
      <c r="B662" s="22"/>
    </row>
    <row r="663" spans="2:2" s="109" customFormat="1" x14ac:dyDescent="0.35">
      <c r="B663" s="22"/>
    </row>
    <row r="664" spans="2:2" s="109" customFormat="1" x14ac:dyDescent="0.35">
      <c r="B664" s="22"/>
    </row>
    <row r="665" spans="2:2" s="109" customFormat="1" x14ac:dyDescent="0.35">
      <c r="B665" s="22"/>
    </row>
    <row r="666" spans="2:2" s="109" customFormat="1" x14ac:dyDescent="0.35">
      <c r="B666" s="22"/>
    </row>
    <row r="667" spans="2:2" s="109" customFormat="1" x14ac:dyDescent="0.35">
      <c r="B667" s="22"/>
    </row>
    <row r="668" spans="2:2" s="109" customFormat="1" x14ac:dyDescent="0.35">
      <c r="B668" s="22"/>
    </row>
    <row r="669" spans="2:2" s="109" customFormat="1" x14ac:dyDescent="0.35">
      <c r="B669" s="22"/>
    </row>
    <row r="670" spans="2:2" s="109" customFormat="1" x14ac:dyDescent="0.35">
      <c r="B670" s="22"/>
    </row>
    <row r="671" spans="2:2" s="109" customFormat="1" x14ac:dyDescent="0.35">
      <c r="B671" s="22"/>
    </row>
    <row r="672" spans="2:2" s="109" customFormat="1" x14ac:dyDescent="0.35">
      <c r="B672" s="22"/>
    </row>
    <row r="673" spans="2:2" s="109" customFormat="1" x14ac:dyDescent="0.35">
      <c r="B673" s="22"/>
    </row>
    <row r="674" spans="2:2" s="109" customFormat="1" x14ac:dyDescent="0.35">
      <c r="B674" s="22"/>
    </row>
    <row r="675" spans="2:2" s="109" customFormat="1" x14ac:dyDescent="0.35">
      <c r="B675" s="22"/>
    </row>
    <row r="676" spans="2:2" s="109" customFormat="1" x14ac:dyDescent="0.35">
      <c r="B676" s="22"/>
    </row>
    <row r="677" spans="2:2" s="109" customFormat="1" x14ac:dyDescent="0.35">
      <c r="B677" s="22"/>
    </row>
    <row r="678" spans="2:2" s="109" customFormat="1" x14ac:dyDescent="0.35">
      <c r="B678" s="22"/>
    </row>
    <row r="679" spans="2:2" s="109" customFormat="1" x14ac:dyDescent="0.35">
      <c r="B679" s="22"/>
    </row>
    <row r="680" spans="2:2" s="109" customFormat="1" x14ac:dyDescent="0.35">
      <c r="B680" s="22"/>
    </row>
    <row r="681" spans="2:2" s="109" customFormat="1" x14ac:dyDescent="0.35">
      <c r="B681" s="22"/>
    </row>
    <row r="682" spans="2:2" s="109" customFormat="1" x14ac:dyDescent="0.35">
      <c r="B682" s="22"/>
    </row>
    <row r="683" spans="2:2" s="109" customFormat="1" x14ac:dyDescent="0.35">
      <c r="B683" s="22"/>
    </row>
    <row r="684" spans="2:2" s="109" customFormat="1" x14ac:dyDescent="0.35">
      <c r="B684" s="22"/>
    </row>
    <row r="685" spans="2:2" s="109" customFormat="1" x14ac:dyDescent="0.35">
      <c r="B685" s="22"/>
    </row>
    <row r="686" spans="2:2" s="109" customFormat="1" x14ac:dyDescent="0.35">
      <c r="B686" s="22"/>
    </row>
    <row r="687" spans="2:2" s="109" customFormat="1" x14ac:dyDescent="0.35">
      <c r="B687" s="22"/>
    </row>
    <row r="688" spans="2:2" s="109" customFormat="1" x14ac:dyDescent="0.35">
      <c r="B688" s="22"/>
    </row>
    <row r="689" spans="2:2" s="109" customFormat="1" x14ac:dyDescent="0.35">
      <c r="B689" s="22"/>
    </row>
    <row r="690" spans="2:2" s="109" customFormat="1" x14ac:dyDescent="0.35">
      <c r="B690" s="22"/>
    </row>
    <row r="691" spans="2:2" s="109" customFormat="1" x14ac:dyDescent="0.35">
      <c r="B691" s="22"/>
    </row>
    <row r="692" spans="2:2" s="109" customFormat="1" x14ac:dyDescent="0.35">
      <c r="B692" s="22"/>
    </row>
    <row r="693" spans="2:2" s="109" customFormat="1" x14ac:dyDescent="0.35">
      <c r="B693" s="22"/>
    </row>
    <row r="694" spans="2:2" s="109" customFormat="1" x14ac:dyDescent="0.35">
      <c r="B694" s="22"/>
    </row>
    <row r="695" spans="2:2" s="109" customFormat="1" x14ac:dyDescent="0.35">
      <c r="B695" s="22"/>
    </row>
    <row r="696" spans="2:2" s="109" customFormat="1" x14ac:dyDescent="0.35">
      <c r="B696" s="22"/>
    </row>
    <row r="697" spans="2:2" s="109" customFormat="1" x14ac:dyDescent="0.35">
      <c r="B697" s="22"/>
    </row>
    <row r="698" spans="2:2" s="109" customFormat="1" x14ac:dyDescent="0.35">
      <c r="B698" s="22"/>
    </row>
    <row r="699" spans="2:2" s="109" customFormat="1" x14ac:dyDescent="0.35">
      <c r="B699" s="22"/>
    </row>
    <row r="700" spans="2:2" s="109" customFormat="1" x14ac:dyDescent="0.35">
      <c r="B700" s="22"/>
    </row>
    <row r="701" spans="2:2" s="109" customFormat="1" x14ac:dyDescent="0.35">
      <c r="B701" s="22"/>
    </row>
    <row r="702" spans="2:2" s="109" customFormat="1" x14ac:dyDescent="0.35">
      <c r="B702" s="22"/>
    </row>
    <row r="703" spans="2:2" s="109" customFormat="1" x14ac:dyDescent="0.35">
      <c r="B703" s="22"/>
    </row>
    <row r="704" spans="2:2" s="109" customFormat="1" x14ac:dyDescent="0.35">
      <c r="B704" s="22"/>
    </row>
    <row r="705" spans="2:2" s="109" customFormat="1" x14ac:dyDescent="0.35">
      <c r="B705" s="22"/>
    </row>
    <row r="706" spans="2:2" s="109" customFormat="1" x14ac:dyDescent="0.35">
      <c r="B706" s="22"/>
    </row>
    <row r="707" spans="2:2" s="109" customFormat="1" x14ac:dyDescent="0.35">
      <c r="B707" s="22"/>
    </row>
    <row r="708" spans="2:2" s="109" customFormat="1" x14ac:dyDescent="0.35">
      <c r="B708" s="22"/>
    </row>
    <row r="709" spans="2:2" s="109" customFormat="1" x14ac:dyDescent="0.35">
      <c r="B709" s="22"/>
    </row>
    <row r="710" spans="2:2" s="109" customFormat="1" x14ac:dyDescent="0.35">
      <c r="B710" s="22"/>
    </row>
    <row r="711" spans="2:2" s="109" customFormat="1" x14ac:dyDescent="0.35">
      <c r="B711" s="22"/>
    </row>
    <row r="712" spans="2:2" s="109" customFormat="1" x14ac:dyDescent="0.35">
      <c r="B712" s="22"/>
    </row>
    <row r="713" spans="2:2" s="109" customFormat="1" x14ac:dyDescent="0.35">
      <c r="B713" s="22"/>
    </row>
    <row r="714" spans="2:2" s="109" customFormat="1" x14ac:dyDescent="0.35">
      <c r="B714" s="22"/>
    </row>
    <row r="715" spans="2:2" s="109" customFormat="1" x14ac:dyDescent="0.35">
      <c r="B715" s="22"/>
    </row>
    <row r="716" spans="2:2" s="109" customFormat="1" x14ac:dyDescent="0.35">
      <c r="B716" s="22"/>
    </row>
    <row r="717" spans="2:2" s="109" customFormat="1" x14ac:dyDescent="0.35">
      <c r="B717" s="22"/>
    </row>
    <row r="718" spans="2:2" s="109" customFormat="1" x14ac:dyDescent="0.35">
      <c r="B718" s="22"/>
    </row>
    <row r="719" spans="2:2" s="109" customFormat="1" x14ac:dyDescent="0.35">
      <c r="B719" s="22"/>
    </row>
    <row r="720" spans="2:2" s="109" customFormat="1" x14ac:dyDescent="0.35">
      <c r="B720" s="22"/>
    </row>
    <row r="721" spans="2:2" s="109" customFormat="1" x14ac:dyDescent="0.35">
      <c r="B721" s="22"/>
    </row>
    <row r="722" spans="2:2" s="109" customFormat="1" x14ac:dyDescent="0.35">
      <c r="B722" s="22"/>
    </row>
    <row r="723" spans="2:2" s="109" customFormat="1" x14ac:dyDescent="0.35">
      <c r="B723" s="22"/>
    </row>
    <row r="724" spans="2:2" s="109" customFormat="1" x14ac:dyDescent="0.35">
      <c r="B724" s="22"/>
    </row>
    <row r="725" spans="2:2" s="109" customFormat="1" x14ac:dyDescent="0.35">
      <c r="B725" s="22"/>
    </row>
    <row r="726" spans="2:2" s="109" customFormat="1" x14ac:dyDescent="0.35">
      <c r="B726" s="22"/>
    </row>
    <row r="727" spans="2:2" s="109" customFormat="1" x14ac:dyDescent="0.35">
      <c r="B727" s="22"/>
    </row>
    <row r="728" spans="2:2" s="109" customFormat="1" x14ac:dyDescent="0.35">
      <c r="B728" s="22"/>
    </row>
    <row r="729" spans="2:2" s="109" customFormat="1" x14ac:dyDescent="0.35">
      <c r="B729" s="22"/>
    </row>
    <row r="730" spans="2:2" s="109" customFormat="1" x14ac:dyDescent="0.35">
      <c r="B730" s="22"/>
    </row>
    <row r="731" spans="2:2" s="109" customFormat="1" x14ac:dyDescent="0.35">
      <c r="B731" s="22"/>
    </row>
    <row r="732" spans="2:2" s="109" customFormat="1" x14ac:dyDescent="0.35">
      <c r="B732" s="22"/>
    </row>
    <row r="733" spans="2:2" s="109" customFormat="1" x14ac:dyDescent="0.35">
      <c r="B733" s="22"/>
    </row>
    <row r="734" spans="2:2" s="109" customFormat="1" x14ac:dyDescent="0.35">
      <c r="B734" s="22"/>
    </row>
    <row r="735" spans="2:2" s="109" customFormat="1" x14ac:dyDescent="0.35">
      <c r="B735" s="22"/>
    </row>
    <row r="736" spans="2:2" s="109" customFormat="1" x14ac:dyDescent="0.35">
      <c r="B736" s="22"/>
    </row>
    <row r="737" spans="2:2" s="109" customFormat="1" x14ac:dyDescent="0.35">
      <c r="B737" s="22"/>
    </row>
    <row r="738" spans="2:2" s="109" customFormat="1" x14ac:dyDescent="0.35">
      <c r="B738" s="22"/>
    </row>
    <row r="739" spans="2:2" s="109" customFormat="1" x14ac:dyDescent="0.35">
      <c r="B739" s="22"/>
    </row>
    <row r="740" spans="2:2" s="109" customFormat="1" x14ac:dyDescent="0.35">
      <c r="B740" s="22"/>
    </row>
    <row r="741" spans="2:2" s="109" customFormat="1" x14ac:dyDescent="0.35">
      <c r="B741" s="22"/>
    </row>
    <row r="742" spans="2:2" s="109" customFormat="1" x14ac:dyDescent="0.35">
      <c r="B742" s="22"/>
    </row>
    <row r="743" spans="2:2" s="109" customFormat="1" x14ac:dyDescent="0.35">
      <c r="B743" s="22"/>
    </row>
    <row r="744" spans="2:2" s="109" customFormat="1" x14ac:dyDescent="0.35">
      <c r="B744" s="22"/>
    </row>
    <row r="745" spans="2:2" s="109" customFormat="1" x14ac:dyDescent="0.35">
      <c r="B745" s="22"/>
    </row>
    <row r="746" spans="2:2" s="109" customFormat="1" x14ac:dyDescent="0.35">
      <c r="B746" s="22"/>
    </row>
    <row r="747" spans="2:2" s="109" customFormat="1" x14ac:dyDescent="0.35">
      <c r="B747" s="22"/>
    </row>
    <row r="748" spans="2:2" s="109" customFormat="1" x14ac:dyDescent="0.35">
      <c r="B748" s="22"/>
    </row>
    <row r="749" spans="2:2" s="109" customFormat="1" x14ac:dyDescent="0.35">
      <c r="B749" s="22"/>
    </row>
    <row r="750" spans="2:2" s="109" customFormat="1" x14ac:dyDescent="0.35">
      <c r="B750" s="22"/>
    </row>
    <row r="751" spans="2:2" s="109" customFormat="1" x14ac:dyDescent="0.35">
      <c r="B751" s="22"/>
    </row>
    <row r="752" spans="2:2" s="109" customFormat="1" x14ac:dyDescent="0.35">
      <c r="B752" s="22"/>
    </row>
    <row r="753" spans="2:2" s="109" customFormat="1" x14ac:dyDescent="0.35">
      <c r="B753" s="22"/>
    </row>
    <row r="754" spans="2:2" s="109" customFormat="1" x14ac:dyDescent="0.35">
      <c r="B754" s="22"/>
    </row>
    <row r="755" spans="2:2" s="109" customFormat="1" x14ac:dyDescent="0.35">
      <c r="B755" s="22"/>
    </row>
    <row r="756" spans="2:2" s="109" customFormat="1" x14ac:dyDescent="0.35">
      <c r="B756" s="22"/>
    </row>
    <row r="757" spans="2:2" s="109" customFormat="1" x14ac:dyDescent="0.35">
      <c r="B757" s="22"/>
    </row>
    <row r="758" spans="2:2" s="109" customFormat="1" x14ac:dyDescent="0.35">
      <c r="B758" s="22"/>
    </row>
    <row r="759" spans="2:2" s="109" customFormat="1" x14ac:dyDescent="0.35">
      <c r="B759" s="22"/>
    </row>
    <row r="760" spans="2:2" s="109" customFormat="1" x14ac:dyDescent="0.35">
      <c r="B760" s="22"/>
    </row>
    <row r="761" spans="2:2" s="109" customFormat="1" x14ac:dyDescent="0.35">
      <c r="B761" s="22"/>
    </row>
    <row r="762" spans="2:2" s="109" customFormat="1" x14ac:dyDescent="0.35">
      <c r="B762" s="22"/>
    </row>
    <row r="763" spans="2:2" s="109" customFormat="1" x14ac:dyDescent="0.35">
      <c r="B763" s="22"/>
    </row>
    <row r="764" spans="2:2" s="109" customFormat="1" x14ac:dyDescent="0.35">
      <c r="B764" s="22"/>
    </row>
    <row r="765" spans="2:2" s="109" customFormat="1" x14ac:dyDescent="0.35">
      <c r="B765" s="22"/>
    </row>
    <row r="766" spans="2:2" s="109" customFormat="1" x14ac:dyDescent="0.35">
      <c r="B766" s="22"/>
    </row>
    <row r="767" spans="2:2" s="109" customFormat="1" x14ac:dyDescent="0.35">
      <c r="B767" s="22"/>
    </row>
    <row r="768" spans="2:2" s="109" customFormat="1" x14ac:dyDescent="0.35">
      <c r="B768" s="22"/>
    </row>
    <row r="769" spans="1:4" s="109" customFormat="1" x14ac:dyDescent="0.35">
      <c r="B769" s="22"/>
    </row>
    <row r="770" spans="1:4" s="109" customFormat="1" x14ac:dyDescent="0.35">
      <c r="B770" s="22"/>
    </row>
    <row r="771" spans="1:4" s="109" customFormat="1" x14ac:dyDescent="0.35">
      <c r="B771" s="22"/>
    </row>
    <row r="772" spans="1:4" s="109" customFormat="1" x14ac:dyDescent="0.35">
      <c r="B772" s="22"/>
    </row>
    <row r="773" spans="1:4" s="109" customFormat="1" x14ac:dyDescent="0.35">
      <c r="B773" s="22"/>
    </row>
    <row r="774" spans="1:4" x14ac:dyDescent="0.35">
      <c r="A774" s="109"/>
      <c r="B774" s="22"/>
      <c r="C774" s="109"/>
      <c r="D774" s="109"/>
    </row>
    <row r="775" spans="1:4" x14ac:dyDescent="0.35">
      <c r="A775" s="109"/>
      <c r="B775" s="22"/>
      <c r="C775" s="109"/>
      <c r="D775" s="109"/>
    </row>
    <row r="776" spans="1:4" x14ac:dyDescent="0.35">
      <c r="A776" s="109"/>
      <c r="B776" s="22"/>
      <c r="C776" s="109"/>
      <c r="D776" s="109"/>
    </row>
    <row r="777" spans="1:4" x14ac:dyDescent="0.35">
      <c r="A777" s="109"/>
      <c r="B777" s="22"/>
      <c r="C777" s="109"/>
      <c r="D777" s="109"/>
    </row>
    <row r="778" spans="1:4" x14ac:dyDescent="0.35">
      <c r="A778" s="109"/>
      <c r="B778" s="22"/>
      <c r="C778" s="109"/>
      <c r="D778" s="109"/>
    </row>
    <row r="779" spans="1:4" x14ac:dyDescent="0.35">
      <c r="A779" s="109"/>
      <c r="B779" s="22"/>
      <c r="C779" s="109"/>
      <c r="D779" s="109"/>
    </row>
    <row r="780" spans="1:4" x14ac:dyDescent="0.35">
      <c r="A780" s="109"/>
      <c r="B780" s="22"/>
      <c r="C780" s="109"/>
      <c r="D780" s="109"/>
    </row>
    <row r="781" spans="1:4" x14ac:dyDescent="0.35">
      <c r="A781" s="109"/>
      <c r="B781" s="22"/>
      <c r="C781" s="109"/>
      <c r="D781" s="109"/>
    </row>
    <row r="782" spans="1:4" x14ac:dyDescent="0.35">
      <c r="A782" s="109"/>
      <c r="B782" s="22"/>
      <c r="C782" s="109"/>
      <c r="D782" s="109"/>
    </row>
    <row r="783" spans="1:4" x14ac:dyDescent="0.35">
      <c r="A783" s="109"/>
      <c r="B783" s="22"/>
      <c r="C783" s="109"/>
      <c r="D783" s="109"/>
    </row>
    <row r="784" spans="1:4" x14ac:dyDescent="0.35">
      <c r="A784" s="109"/>
      <c r="B784" s="22"/>
      <c r="C784" s="109"/>
      <c r="D784" s="109"/>
    </row>
    <row r="785" spans="1:4" x14ac:dyDescent="0.35">
      <c r="A785" s="109"/>
      <c r="B785" s="22"/>
      <c r="C785" s="109"/>
      <c r="D785" s="109"/>
    </row>
    <row r="786" spans="1:4" x14ac:dyDescent="0.35">
      <c r="A786" s="109"/>
      <c r="B786" s="22"/>
      <c r="C786" s="109"/>
      <c r="D786" s="109"/>
    </row>
    <row r="787" spans="1:4" x14ac:dyDescent="0.35">
      <c r="A787" s="109"/>
      <c r="B787" s="22"/>
      <c r="C787" s="109"/>
      <c r="D787" s="109"/>
    </row>
    <row r="788" spans="1:4" x14ac:dyDescent="0.35">
      <c r="A788" s="109"/>
      <c r="B788" s="22"/>
      <c r="C788" s="109"/>
      <c r="D788" s="109"/>
    </row>
    <row r="789" spans="1:4" x14ac:dyDescent="0.35">
      <c r="A789" s="109"/>
      <c r="B789" s="22"/>
      <c r="C789" s="109"/>
      <c r="D789" s="109"/>
    </row>
    <row r="790" spans="1:4" x14ac:dyDescent="0.35">
      <c r="A790" s="109"/>
      <c r="B790" s="22"/>
      <c r="C790" s="109"/>
      <c r="D790" s="109"/>
    </row>
    <row r="791" spans="1:4" x14ac:dyDescent="0.35">
      <c r="A791" s="109"/>
      <c r="B791" s="22"/>
      <c r="C791" s="109"/>
      <c r="D791" s="109"/>
    </row>
    <row r="792" spans="1:4" x14ac:dyDescent="0.35">
      <c r="A792" s="109"/>
      <c r="B792" s="22"/>
      <c r="C792" s="109"/>
      <c r="D792" s="109"/>
    </row>
    <row r="793" spans="1:4" x14ac:dyDescent="0.35">
      <c r="A793" s="109"/>
      <c r="B793" s="22"/>
      <c r="C793" s="109"/>
      <c r="D793" s="109"/>
    </row>
    <row r="794" spans="1:4" x14ac:dyDescent="0.35">
      <c r="A794" s="109"/>
      <c r="B794" s="22"/>
      <c r="C794" s="109"/>
      <c r="D794" s="109"/>
    </row>
    <row r="795" spans="1:4" x14ac:dyDescent="0.35">
      <c r="A795" s="109"/>
      <c r="B795" s="22"/>
      <c r="C795" s="109"/>
      <c r="D795" s="109"/>
    </row>
    <row r="796" spans="1:4" x14ac:dyDescent="0.35">
      <c r="A796" s="109"/>
      <c r="B796" s="22"/>
      <c r="C796" s="109"/>
      <c r="D796" s="109"/>
    </row>
    <row r="797" spans="1:4" x14ac:dyDescent="0.35">
      <c r="A797" s="109"/>
      <c r="B797" s="22"/>
      <c r="C797" s="109"/>
      <c r="D797" s="109"/>
    </row>
    <row r="798" spans="1:4" x14ac:dyDescent="0.35">
      <c r="A798" s="109"/>
      <c r="B798" s="22"/>
      <c r="C798" s="109"/>
      <c r="D798" s="109"/>
    </row>
    <row r="799" spans="1:4" x14ac:dyDescent="0.35">
      <c r="A799" s="109"/>
      <c r="B799" s="22"/>
      <c r="C799" s="109"/>
      <c r="D799" s="109"/>
    </row>
    <row r="800" spans="1:4" x14ac:dyDescent="0.35">
      <c r="A800" s="109"/>
      <c r="B800" s="22"/>
      <c r="C800" s="109"/>
      <c r="D800" s="109"/>
    </row>
    <row r="801" spans="1:4" x14ac:dyDescent="0.35">
      <c r="A801" s="109"/>
      <c r="B801" s="22"/>
      <c r="C801" s="109"/>
      <c r="D801" s="109"/>
    </row>
    <row r="802" spans="1:4" x14ac:dyDescent="0.35">
      <c r="A802" s="109"/>
      <c r="B802" s="22"/>
      <c r="C802" s="109"/>
      <c r="D802" s="109"/>
    </row>
    <row r="803" spans="1:4" x14ac:dyDescent="0.35">
      <c r="A803" s="109"/>
      <c r="B803" s="22"/>
      <c r="C803" s="109"/>
      <c r="D803" s="109"/>
    </row>
    <row r="804" spans="1:4" x14ac:dyDescent="0.35">
      <c r="A804" s="109"/>
      <c r="B804" s="22"/>
      <c r="C804" s="109"/>
      <c r="D804" s="109"/>
    </row>
    <row r="805" spans="1:4" x14ac:dyDescent="0.35">
      <c r="A805" s="109"/>
      <c r="B805" s="22"/>
      <c r="C805" s="109"/>
      <c r="D805" s="109"/>
    </row>
    <row r="806" spans="1:4" x14ac:dyDescent="0.35">
      <c r="A806" s="109"/>
      <c r="B806" s="22"/>
      <c r="C806" s="109"/>
      <c r="D806" s="109"/>
    </row>
    <row r="807" spans="1:4" x14ac:dyDescent="0.35">
      <c r="A807" s="109"/>
      <c r="B807" s="22"/>
      <c r="C807" s="109"/>
      <c r="D807" s="109"/>
    </row>
    <row r="808" spans="1:4" x14ac:dyDescent="0.35">
      <c r="A808" s="109"/>
      <c r="B808" s="22"/>
      <c r="C808" s="109"/>
      <c r="D808" s="109"/>
    </row>
    <row r="809" spans="1:4" x14ac:dyDescent="0.35">
      <c r="A809" s="109"/>
      <c r="B809" s="22"/>
      <c r="C809" s="109"/>
      <c r="D809" s="109"/>
    </row>
    <row r="810" spans="1:4" x14ac:dyDescent="0.35">
      <c r="A810" s="109"/>
      <c r="B810" s="22"/>
      <c r="C810" s="109"/>
      <c r="D810" s="109"/>
    </row>
    <row r="811" spans="1:4" x14ac:dyDescent="0.35">
      <c r="A811" s="109"/>
      <c r="B811" s="22"/>
      <c r="C811" s="109"/>
      <c r="D811" s="109"/>
    </row>
    <row r="812" spans="1:4" x14ac:dyDescent="0.35">
      <c r="A812" s="109"/>
      <c r="B812" s="22"/>
      <c r="C812" s="109"/>
      <c r="D812" s="109"/>
    </row>
    <row r="813" spans="1:4" x14ac:dyDescent="0.35">
      <c r="A813" s="109"/>
      <c r="B813" s="22"/>
      <c r="C813" s="109"/>
      <c r="D813" s="109"/>
    </row>
    <row r="814" spans="1:4" x14ac:dyDescent="0.35">
      <c r="A814" s="109"/>
      <c r="B814" s="22"/>
      <c r="C814" s="109"/>
      <c r="D814" s="109"/>
    </row>
    <row r="815" spans="1:4" x14ac:dyDescent="0.35">
      <c r="A815" s="109"/>
      <c r="B815" s="22"/>
      <c r="C815" s="109"/>
      <c r="D815" s="109"/>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7"/>
  <sheetViews>
    <sheetView zoomScale="140" zoomScaleNormal="140" workbookViewId="0">
      <pane ySplit="6" topLeftCell="A366" activePane="bottomLeft" state="frozen"/>
      <selection pane="bottomLeft" activeCell="AA381" sqref="AA381"/>
    </sheetView>
  </sheetViews>
  <sheetFormatPr defaultColWidth="8.81640625" defaultRowHeight="14.5" x14ac:dyDescent="0.35"/>
  <cols>
    <col min="1" max="1" width="14" style="54" customWidth="1"/>
    <col min="2" max="2" width="23.1796875" style="54" customWidth="1"/>
    <col min="3" max="4" width="14.1796875" style="54" customWidth="1"/>
    <col min="5" max="69" width="9.1796875" style="109" customWidth="1"/>
  </cols>
  <sheetData>
    <row r="1" spans="1:4" s="109" customFormat="1" x14ac:dyDescent="0.35">
      <c r="A1" s="109" t="s">
        <v>54</v>
      </c>
      <c r="B1" s="29" t="s">
        <v>95</v>
      </c>
      <c r="C1" s="54"/>
      <c r="D1" s="54"/>
    </row>
    <row r="2" spans="1:4" s="109" customFormat="1" x14ac:dyDescent="0.35">
      <c r="A2" s="110" t="s">
        <v>96</v>
      </c>
      <c r="C2" s="54"/>
      <c r="D2" s="54"/>
    </row>
    <row r="3" spans="1:4" s="109" customFormat="1" x14ac:dyDescent="0.35">
      <c r="A3" s="9"/>
      <c r="B3" s="54"/>
      <c r="C3" s="54"/>
      <c r="D3" s="54"/>
    </row>
    <row r="4" spans="1:4" s="109" customFormat="1" x14ac:dyDescent="0.35">
      <c r="A4" s="9"/>
      <c r="B4" s="54"/>
      <c r="C4" s="54"/>
      <c r="D4" s="54"/>
    </row>
    <row r="5" spans="1:4" s="109" customFormat="1" ht="16" customHeight="1" thickBot="1" x14ac:dyDescent="0.4">
      <c r="A5" s="54"/>
      <c r="B5" s="54"/>
      <c r="C5" s="54"/>
      <c r="D5" s="54"/>
    </row>
    <row r="6" spans="1:4" ht="43.5" customHeight="1" x14ac:dyDescent="0.35">
      <c r="A6" s="82" t="s">
        <v>82</v>
      </c>
      <c r="B6" s="83" t="s">
        <v>97</v>
      </c>
      <c r="C6" s="84" t="s">
        <v>12</v>
      </c>
      <c r="D6" s="85" t="s">
        <v>13</v>
      </c>
    </row>
    <row r="7" spans="1:4" x14ac:dyDescent="0.35">
      <c r="A7" s="10">
        <v>33604</v>
      </c>
      <c r="B7" s="15">
        <f>VLOOKUP(A7,Database!A:K,MATCH($A$1,Database!$A$1:$K$1,),)</f>
        <v>30437</v>
      </c>
      <c r="C7" s="1"/>
      <c r="D7" s="1"/>
    </row>
    <row r="8" spans="1:4" x14ac:dyDescent="0.35">
      <c r="A8" s="11">
        <v>33635</v>
      </c>
      <c r="B8" s="15">
        <f>VLOOKUP(A8,Database!A:K,MATCH($A$1,Database!$A$1:$K$1,),)</f>
        <v>30382</v>
      </c>
      <c r="C8" s="12">
        <f t="shared" ref="C8:C71" si="0">(B8-B7)/B7</f>
        <v>-1.8070112034694614E-3</v>
      </c>
      <c r="D8" s="1"/>
    </row>
    <row r="9" spans="1:4" x14ac:dyDescent="0.35">
      <c r="A9" s="10">
        <v>33664</v>
      </c>
      <c r="B9" s="15">
        <f>VLOOKUP(A9,Database!A:K,MATCH($A$1,Database!$A$1:$K$1,),)</f>
        <v>30526</v>
      </c>
      <c r="C9" s="12">
        <f t="shared" si="0"/>
        <v>4.7396484760713576E-3</v>
      </c>
      <c r="D9" s="1"/>
    </row>
    <row r="10" spans="1:4" x14ac:dyDescent="0.35">
      <c r="A10" s="11">
        <v>33695</v>
      </c>
      <c r="B10" s="15">
        <f>VLOOKUP(A10,Database!A:K,MATCH($A$1,Database!$A$1:$K$1,),)</f>
        <v>30602</v>
      </c>
      <c r="C10" s="12">
        <f t="shared" si="0"/>
        <v>2.4896809277337351E-3</v>
      </c>
      <c r="D10" s="1"/>
    </row>
    <row r="11" spans="1:4" x14ac:dyDescent="0.35">
      <c r="A11" s="10">
        <v>33725</v>
      </c>
      <c r="B11" s="15">
        <f>VLOOKUP(A11,Database!A:K,MATCH($A$1,Database!$A$1:$K$1,),)</f>
        <v>30718</v>
      </c>
      <c r="C11" s="12">
        <f t="shared" si="0"/>
        <v>3.7906019214430427E-3</v>
      </c>
      <c r="D11" s="1"/>
    </row>
    <row r="12" spans="1:4" x14ac:dyDescent="0.35">
      <c r="A12" s="11">
        <v>33756</v>
      </c>
      <c r="B12" s="15">
        <f>VLOOKUP(A12,Database!A:K,MATCH($A$1,Database!$A$1:$K$1,),)</f>
        <v>30761</v>
      </c>
      <c r="C12" s="12">
        <f t="shared" si="0"/>
        <v>1.3998307181457125E-3</v>
      </c>
      <c r="D12" s="1"/>
    </row>
    <row r="13" spans="1:4" x14ac:dyDescent="0.35">
      <c r="A13" s="10">
        <v>33786</v>
      </c>
      <c r="B13" s="15">
        <f>VLOOKUP(A13,Database!A:K,MATCH($A$1,Database!$A$1:$K$1,),)</f>
        <v>30963</v>
      </c>
      <c r="C13" s="12">
        <f t="shared" si="0"/>
        <v>6.5667566073924774E-3</v>
      </c>
      <c r="D13" s="1"/>
    </row>
    <row r="14" spans="1:4" x14ac:dyDescent="0.35">
      <c r="A14" s="11">
        <v>33817</v>
      </c>
      <c r="B14" s="15">
        <f>VLOOKUP(A14,Database!A:K,MATCH($A$1,Database!$A$1:$K$1,),)</f>
        <v>31041</v>
      </c>
      <c r="C14" s="12">
        <f t="shared" si="0"/>
        <v>2.519135742660595E-3</v>
      </c>
      <c r="D14" s="1"/>
    </row>
    <row r="15" spans="1:4" x14ac:dyDescent="0.35">
      <c r="A15" s="10">
        <v>33848</v>
      </c>
      <c r="B15" s="15">
        <f>VLOOKUP(A15,Database!A:K,MATCH($A$1,Database!$A$1:$K$1,),)</f>
        <v>30942</v>
      </c>
      <c r="C15" s="12">
        <f t="shared" si="0"/>
        <v>-3.1893302406494637E-3</v>
      </c>
      <c r="D15" s="1"/>
    </row>
    <row r="16" spans="1:4" x14ac:dyDescent="0.35">
      <c r="A16" s="11">
        <v>33878</v>
      </c>
      <c r="B16" s="15">
        <f>VLOOKUP(A16,Database!A:K,MATCH($A$1,Database!$A$1:$K$1,),)</f>
        <v>31148</v>
      </c>
      <c r="C16" s="12">
        <f t="shared" si="0"/>
        <v>6.6576174778618059E-3</v>
      </c>
      <c r="D16" s="1"/>
    </row>
    <row r="17" spans="1:4" x14ac:dyDescent="0.35">
      <c r="A17" s="10">
        <v>33909</v>
      </c>
      <c r="B17" s="15">
        <f>VLOOKUP(A17,Database!A:K,MATCH($A$1,Database!$A$1:$K$1,),)</f>
        <v>30992</v>
      </c>
      <c r="C17" s="12">
        <f t="shared" si="0"/>
        <v>-5.008347245409015E-3</v>
      </c>
      <c r="D17" s="1"/>
    </row>
    <row r="18" spans="1:4" x14ac:dyDescent="0.35">
      <c r="A18" s="11">
        <v>33939</v>
      </c>
      <c r="B18" s="15">
        <f>VLOOKUP(A18,Database!A:K,MATCH($A$1,Database!$A$1:$K$1,),)</f>
        <v>31057</v>
      </c>
      <c r="C18" s="12">
        <f t="shared" si="0"/>
        <v>2.0973154362416107E-3</v>
      </c>
      <c r="D18" s="1"/>
    </row>
    <row r="19" spans="1:4" x14ac:dyDescent="0.35">
      <c r="A19" s="10">
        <v>33970</v>
      </c>
      <c r="B19" s="15">
        <f>VLOOKUP(A19,Database!A:K,MATCH($A$1,Database!$A$1:$K$1,),)</f>
        <v>31045</v>
      </c>
      <c r="C19" s="12">
        <f t="shared" si="0"/>
        <v>-3.8638632192420388E-4</v>
      </c>
      <c r="D19" s="13">
        <f t="shared" ref="D19:D82" si="1">(B19-B7)/B7</f>
        <v>1.9975687485626049E-2</v>
      </c>
    </row>
    <row r="20" spans="1:4" x14ac:dyDescent="0.35">
      <c r="A20" s="11">
        <v>34001</v>
      </c>
      <c r="B20" s="15">
        <f>VLOOKUP(A20,Database!A:K,MATCH($A$1,Database!$A$1:$K$1,),)</f>
        <v>31233</v>
      </c>
      <c r="C20" s="12">
        <f t="shared" si="0"/>
        <v>6.0557255596714443E-3</v>
      </c>
      <c r="D20" s="13">
        <f t="shared" si="1"/>
        <v>2.8010005924560596E-2</v>
      </c>
    </row>
    <row r="21" spans="1:4" x14ac:dyDescent="0.35">
      <c r="A21" s="10">
        <v>34029</v>
      </c>
      <c r="B21" s="15">
        <f>VLOOKUP(A21,Database!A:K,MATCH($A$1,Database!$A$1:$K$1,),)</f>
        <v>31058</v>
      </c>
      <c r="C21" s="12">
        <f t="shared" si="0"/>
        <v>-5.6030480581436299E-3</v>
      </c>
      <c r="D21" s="13">
        <f t="shared" si="1"/>
        <v>1.7427766494136146E-2</v>
      </c>
    </row>
    <row r="22" spans="1:4" x14ac:dyDescent="0.35">
      <c r="A22" s="11">
        <v>34060</v>
      </c>
      <c r="B22" s="15">
        <f>VLOOKUP(A22,Database!A:K,MATCH($A$1,Database!$A$1:$K$1,),)</f>
        <v>31129</v>
      </c>
      <c r="C22" s="12">
        <f t="shared" si="0"/>
        <v>2.2860454633266791E-3</v>
      </c>
      <c r="D22" s="13">
        <f t="shared" si="1"/>
        <v>1.7221096660348996E-2</v>
      </c>
    </row>
    <row r="23" spans="1:4" x14ac:dyDescent="0.35">
      <c r="A23" s="10">
        <v>34090</v>
      </c>
      <c r="B23" s="15">
        <f>VLOOKUP(A23,Database!A:K,MATCH($A$1,Database!$A$1:$K$1,),)</f>
        <v>31164</v>
      </c>
      <c r="C23" s="12">
        <f t="shared" si="0"/>
        <v>1.1243534967393749E-3</v>
      </c>
      <c r="D23" s="13">
        <f t="shared" si="1"/>
        <v>1.4519174425418321E-2</v>
      </c>
    </row>
    <row r="24" spans="1:4" x14ac:dyDescent="0.35">
      <c r="A24" s="11">
        <v>34121</v>
      </c>
      <c r="B24" s="15">
        <f>VLOOKUP(A24,Database!A:K,MATCH($A$1,Database!$A$1:$K$1,),)</f>
        <v>31168</v>
      </c>
      <c r="C24" s="12">
        <f t="shared" si="0"/>
        <v>1.2835322808368629E-4</v>
      </c>
      <c r="D24" s="13">
        <f t="shared" si="1"/>
        <v>1.3231039303013557E-2</v>
      </c>
    </row>
    <row r="25" spans="1:4" x14ac:dyDescent="0.35">
      <c r="A25" s="10">
        <v>34151</v>
      </c>
      <c r="B25" s="15">
        <f>VLOOKUP(A25,Database!A:K,MATCH($A$1,Database!$A$1:$K$1,),)</f>
        <v>31349</v>
      </c>
      <c r="C25" s="12">
        <f t="shared" si="0"/>
        <v>5.8072381930184807E-3</v>
      </c>
      <c r="D25" s="13">
        <f t="shared" si="1"/>
        <v>1.2466492264961406E-2</v>
      </c>
    </row>
    <row r="26" spans="1:4" x14ac:dyDescent="0.35">
      <c r="A26" s="11">
        <v>34182</v>
      </c>
      <c r="B26" s="15">
        <f>VLOOKUP(A26,Database!A:K,MATCH($A$1,Database!$A$1:$K$1,),)</f>
        <v>31126</v>
      </c>
      <c r="C26" s="12">
        <f t="shared" si="0"/>
        <v>-7.1134645443235826E-3</v>
      </c>
      <c r="D26" s="13">
        <f t="shared" si="1"/>
        <v>2.7383138429818627E-3</v>
      </c>
    </row>
    <row r="27" spans="1:4" x14ac:dyDescent="0.35">
      <c r="A27" s="10">
        <v>34213</v>
      </c>
      <c r="B27" s="15">
        <f>VLOOKUP(A27,Database!A:K,MATCH($A$1,Database!$A$1:$K$1,),)</f>
        <v>31201</v>
      </c>
      <c r="C27" s="12">
        <f t="shared" si="0"/>
        <v>2.4095611385979566E-3</v>
      </c>
      <c r="D27" s="13">
        <f t="shared" si="1"/>
        <v>8.3704996444961544E-3</v>
      </c>
    </row>
    <row r="28" spans="1:4" x14ac:dyDescent="0.35">
      <c r="A28" s="11">
        <v>34243</v>
      </c>
      <c r="B28" s="15">
        <f>VLOOKUP(A28,Database!A:K,MATCH($A$1,Database!$A$1:$K$1,),)</f>
        <v>31346</v>
      </c>
      <c r="C28" s="12">
        <f t="shared" si="0"/>
        <v>4.6472869459312201E-3</v>
      </c>
      <c r="D28" s="13">
        <f t="shared" si="1"/>
        <v>6.3567484268652885E-3</v>
      </c>
    </row>
    <row r="29" spans="1:4" x14ac:dyDescent="0.35">
      <c r="A29" s="10">
        <v>34274</v>
      </c>
      <c r="B29" s="15">
        <f>VLOOKUP(A29,Database!A:K,MATCH($A$1,Database!$A$1:$K$1,),)</f>
        <v>31363</v>
      </c>
      <c r="C29" s="12">
        <f t="shared" si="0"/>
        <v>5.4233395010527656E-4</v>
      </c>
      <c r="D29" s="13">
        <f t="shared" si="1"/>
        <v>1.1970831182240578E-2</v>
      </c>
    </row>
    <row r="30" spans="1:4" x14ac:dyDescent="0.35">
      <c r="A30" s="11">
        <v>34304</v>
      </c>
      <c r="B30" s="15">
        <f>VLOOKUP(A30,Database!A:K,MATCH($A$1,Database!$A$1:$K$1,),)</f>
        <v>31499</v>
      </c>
      <c r="C30" s="12">
        <f t="shared" si="0"/>
        <v>4.3363198673596276E-3</v>
      </c>
      <c r="D30" s="13">
        <f t="shared" si="1"/>
        <v>1.4231896190874843E-2</v>
      </c>
    </row>
    <row r="31" spans="1:4" x14ac:dyDescent="0.35">
      <c r="A31" s="10">
        <v>34335</v>
      </c>
      <c r="B31" s="15">
        <f>VLOOKUP(A31,Database!A:K,MATCH($A$1,Database!$A$1:$K$1,),)</f>
        <v>31468</v>
      </c>
      <c r="C31" s="12">
        <f t="shared" si="0"/>
        <v>-9.8415822724530933E-4</v>
      </c>
      <c r="D31" s="13">
        <f t="shared" si="1"/>
        <v>1.362538250926075E-2</v>
      </c>
    </row>
    <row r="32" spans="1:4" x14ac:dyDescent="0.35">
      <c r="A32" s="11">
        <v>34366</v>
      </c>
      <c r="B32" s="15">
        <f>VLOOKUP(A32,Database!A:K,MATCH($A$1,Database!$A$1:$K$1,),)</f>
        <v>31688</v>
      </c>
      <c r="C32" s="12">
        <f t="shared" si="0"/>
        <v>6.9912291852040169E-3</v>
      </c>
      <c r="D32" s="13">
        <f t="shared" si="1"/>
        <v>1.4567924951173438E-2</v>
      </c>
    </row>
    <row r="33" spans="1:4" x14ac:dyDescent="0.35">
      <c r="A33" s="10">
        <v>34394</v>
      </c>
      <c r="B33" s="15">
        <f>VLOOKUP(A33,Database!A:K,MATCH($A$1,Database!$A$1:$K$1,),)</f>
        <v>31700</v>
      </c>
      <c r="C33" s="12">
        <f t="shared" si="0"/>
        <v>3.786922494319616E-4</v>
      </c>
      <c r="D33" s="13">
        <f t="shared" si="1"/>
        <v>2.0671002640221522E-2</v>
      </c>
    </row>
    <row r="34" spans="1:4" x14ac:dyDescent="0.35">
      <c r="A34" s="11">
        <v>34425</v>
      </c>
      <c r="B34" s="15">
        <f>VLOOKUP(A34,Database!A:K,MATCH($A$1,Database!$A$1:$K$1,),)</f>
        <v>31899</v>
      </c>
      <c r="C34" s="12">
        <f t="shared" si="0"/>
        <v>6.2776025236593062E-3</v>
      </c>
      <c r="D34" s="13">
        <f t="shared" si="1"/>
        <v>2.4735776928266246E-2</v>
      </c>
    </row>
    <row r="35" spans="1:4" x14ac:dyDescent="0.35">
      <c r="A35" s="10">
        <v>34455</v>
      </c>
      <c r="B35" s="15">
        <f>VLOOKUP(A35,Database!A:K,MATCH($A$1,Database!$A$1:$K$1,),)</f>
        <v>31858</v>
      </c>
      <c r="C35" s="12">
        <f t="shared" si="0"/>
        <v>-1.2853067494278817E-3</v>
      </c>
      <c r="D35" s="13">
        <f t="shared" si="1"/>
        <v>2.2269285072519573E-2</v>
      </c>
    </row>
    <row r="36" spans="1:4" x14ac:dyDescent="0.35">
      <c r="A36" s="11">
        <v>34486</v>
      </c>
      <c r="B36" s="15">
        <f>VLOOKUP(A36,Database!A:K,MATCH($A$1,Database!$A$1:$K$1,),)</f>
        <v>32123</v>
      </c>
      <c r="C36" s="12">
        <f t="shared" si="0"/>
        <v>8.3181618431791074E-3</v>
      </c>
      <c r="D36" s="13">
        <f t="shared" si="1"/>
        <v>3.0640400410677619E-2</v>
      </c>
    </row>
    <row r="37" spans="1:4" x14ac:dyDescent="0.35">
      <c r="A37" s="10">
        <v>34516</v>
      </c>
      <c r="B37" s="15">
        <f>VLOOKUP(A37,Database!A:K,MATCH($A$1,Database!$A$1:$K$1,),)</f>
        <v>31964</v>
      </c>
      <c r="C37" s="12">
        <f t="shared" si="0"/>
        <v>-4.9497244964667063E-3</v>
      </c>
      <c r="D37" s="13">
        <f t="shared" si="1"/>
        <v>1.9617850649143512E-2</v>
      </c>
    </row>
    <row r="38" spans="1:4" x14ac:dyDescent="0.35">
      <c r="A38" s="11">
        <v>34547</v>
      </c>
      <c r="B38" s="15">
        <f>VLOOKUP(A38,Database!A:K,MATCH($A$1,Database!$A$1:$K$1,),)</f>
        <v>32222</v>
      </c>
      <c r="C38" s="12">
        <f t="shared" si="0"/>
        <v>8.0715805280941067E-3</v>
      </c>
      <c r="D38" s="13">
        <f t="shared" si="1"/>
        <v>3.5211720105378139E-2</v>
      </c>
    </row>
    <row r="39" spans="1:4" x14ac:dyDescent="0.35">
      <c r="A39" s="10">
        <v>34578</v>
      </c>
      <c r="B39" s="15">
        <f>VLOOKUP(A39,Database!A:K,MATCH($A$1,Database!$A$1:$K$1,),)</f>
        <v>32401</v>
      </c>
      <c r="C39" s="12">
        <f t="shared" si="0"/>
        <v>5.5552107255912109E-3</v>
      </c>
      <c r="D39" s="13">
        <f t="shared" si="1"/>
        <v>3.8460305759430789E-2</v>
      </c>
    </row>
    <row r="40" spans="1:4" x14ac:dyDescent="0.35">
      <c r="A40" s="11">
        <v>34608</v>
      </c>
      <c r="B40" s="15">
        <f>VLOOKUP(A40,Database!A:K,MATCH($A$1,Database!$A$1:$K$1,),)</f>
        <v>32196</v>
      </c>
      <c r="C40" s="12">
        <f t="shared" si="0"/>
        <v>-6.3269652171229285E-3</v>
      </c>
      <c r="D40" s="13">
        <f t="shared" si="1"/>
        <v>2.7116697505263829E-2</v>
      </c>
    </row>
    <row r="41" spans="1:4" x14ac:dyDescent="0.35">
      <c r="A41" s="10">
        <v>34639</v>
      </c>
      <c r="B41" s="15">
        <f>VLOOKUP(A41,Database!A:K,MATCH($A$1,Database!$A$1:$K$1,),)</f>
        <v>32370</v>
      </c>
      <c r="C41" s="12">
        <f t="shared" si="0"/>
        <v>5.4043980618710399E-3</v>
      </c>
      <c r="D41" s="13">
        <f t="shared" si="1"/>
        <v>3.2107897841405476E-2</v>
      </c>
    </row>
    <row r="42" spans="1:4" x14ac:dyDescent="0.35">
      <c r="A42" s="11">
        <v>34669</v>
      </c>
      <c r="B42" s="15">
        <f>VLOOKUP(A42,Database!A:K,MATCH($A$1,Database!$A$1:$K$1,),)</f>
        <v>32294</v>
      </c>
      <c r="C42" s="12">
        <f t="shared" si="0"/>
        <v>-2.3478529502625888E-3</v>
      </c>
      <c r="D42" s="13">
        <f t="shared" si="1"/>
        <v>2.52388964729039E-2</v>
      </c>
    </row>
    <row r="43" spans="1:4" x14ac:dyDescent="0.35">
      <c r="A43" s="10">
        <v>34700</v>
      </c>
      <c r="B43" s="15">
        <f>VLOOKUP(A43,Database!A:K,MATCH($A$1,Database!$A$1:$K$1,),)</f>
        <v>32625</v>
      </c>
      <c r="C43" s="12">
        <f t="shared" si="0"/>
        <v>1.0249581965690221E-2</v>
      </c>
      <c r="D43" s="13">
        <f t="shared" si="1"/>
        <v>3.676750985127749E-2</v>
      </c>
    </row>
    <row r="44" spans="1:4" x14ac:dyDescent="0.35">
      <c r="A44" s="11">
        <v>34731</v>
      </c>
      <c r="B44" s="15">
        <f>VLOOKUP(A44,Database!A:K,MATCH($A$1,Database!$A$1:$K$1,),)</f>
        <v>32399</v>
      </c>
      <c r="C44" s="12">
        <f t="shared" si="0"/>
        <v>-6.9272030651340993E-3</v>
      </c>
      <c r="D44" s="13">
        <f t="shared" si="1"/>
        <v>2.2437515778843727E-2</v>
      </c>
    </row>
    <row r="45" spans="1:4" x14ac:dyDescent="0.35">
      <c r="A45" s="10">
        <v>34759</v>
      </c>
      <c r="B45" s="15">
        <f>VLOOKUP(A45,Database!A:K,MATCH($A$1,Database!$A$1:$K$1,),)</f>
        <v>32415</v>
      </c>
      <c r="C45" s="12">
        <f t="shared" si="0"/>
        <v>4.9384240254328839E-4</v>
      </c>
      <c r="D45" s="13">
        <f t="shared" si="1"/>
        <v>2.2555205047318613E-2</v>
      </c>
    </row>
    <row r="46" spans="1:4" x14ac:dyDescent="0.35">
      <c r="A46" s="11">
        <v>34790</v>
      </c>
      <c r="B46" s="15">
        <f>VLOOKUP(A46,Database!A:K,MATCH($A$1,Database!$A$1:$K$1,),)</f>
        <v>32312</v>
      </c>
      <c r="C46" s="12">
        <f t="shared" si="0"/>
        <v>-3.1775412617615303E-3</v>
      </c>
      <c r="D46" s="13">
        <f t="shared" si="1"/>
        <v>1.2947114329602809E-2</v>
      </c>
    </row>
    <row r="47" spans="1:4" x14ac:dyDescent="0.35">
      <c r="A47" s="10">
        <v>34820</v>
      </c>
      <c r="B47" s="15">
        <f>VLOOKUP(A47,Database!A:K,MATCH($A$1,Database!$A$1:$K$1,),)</f>
        <v>32540</v>
      </c>
      <c r="C47" s="12">
        <f t="shared" si="0"/>
        <v>7.0562020302054962E-3</v>
      </c>
      <c r="D47" s="13">
        <f t="shared" si="1"/>
        <v>2.1407495762445855E-2</v>
      </c>
    </row>
    <row r="48" spans="1:4" x14ac:dyDescent="0.35">
      <c r="A48" s="11">
        <v>34851</v>
      </c>
      <c r="B48" s="15">
        <f>VLOOKUP(A48,Database!A:K,MATCH($A$1,Database!$A$1:$K$1,),)</f>
        <v>32597</v>
      </c>
      <c r="C48" s="12">
        <f t="shared" si="0"/>
        <v>1.7516902274124155E-3</v>
      </c>
      <c r="D48" s="13">
        <f t="shared" si="1"/>
        <v>1.4755782461164898E-2</v>
      </c>
    </row>
    <row r="49" spans="1:4" x14ac:dyDescent="0.35">
      <c r="A49" s="10">
        <v>34881</v>
      </c>
      <c r="B49" s="15">
        <f>VLOOKUP(A49,Database!A:K,MATCH($A$1,Database!$A$1:$K$1,),)</f>
        <v>32466</v>
      </c>
      <c r="C49" s="12">
        <f t="shared" si="0"/>
        <v>-4.0187747338712148E-3</v>
      </c>
      <c r="D49" s="13">
        <f t="shared" si="1"/>
        <v>1.5705168314353649E-2</v>
      </c>
    </row>
    <row r="50" spans="1:4" x14ac:dyDescent="0.35">
      <c r="A50" s="11">
        <v>34912</v>
      </c>
      <c r="B50" s="15">
        <f>VLOOKUP(A50,Database!A:K,MATCH($A$1,Database!$A$1:$K$1,),)</f>
        <v>32547</v>
      </c>
      <c r="C50" s="12">
        <f t="shared" si="0"/>
        <v>2.4949177601182775E-3</v>
      </c>
      <c r="D50" s="13">
        <f t="shared" si="1"/>
        <v>1.0086276457079015E-2</v>
      </c>
    </row>
    <row r="51" spans="1:4" x14ac:dyDescent="0.35">
      <c r="A51" s="10">
        <v>34943</v>
      </c>
      <c r="B51" s="15">
        <f>VLOOKUP(A51,Database!A:K,MATCH($A$1,Database!$A$1:$K$1,),)</f>
        <v>32625</v>
      </c>
      <c r="C51" s="12">
        <f t="shared" si="0"/>
        <v>2.3965342427873537E-3</v>
      </c>
      <c r="D51" s="13">
        <f t="shared" si="1"/>
        <v>6.9133668713928578E-3</v>
      </c>
    </row>
    <row r="52" spans="1:4" x14ac:dyDescent="0.35">
      <c r="A52" s="11">
        <v>34973</v>
      </c>
      <c r="B52" s="15">
        <f>VLOOKUP(A52,Database!A:K,MATCH($A$1,Database!$A$1:$K$1,),)</f>
        <v>32578</v>
      </c>
      <c r="C52" s="12">
        <f t="shared" si="0"/>
        <v>-1.4406130268199233E-3</v>
      </c>
      <c r="D52" s="13">
        <f t="shared" si="1"/>
        <v>1.1864827928935272E-2</v>
      </c>
    </row>
    <row r="53" spans="1:4" x14ac:dyDescent="0.35">
      <c r="A53" s="10">
        <v>35004</v>
      </c>
      <c r="B53" s="15">
        <f>VLOOKUP(A53,Database!A:K,MATCH($A$1,Database!$A$1:$K$1,),)</f>
        <v>32744</v>
      </c>
      <c r="C53" s="12">
        <f t="shared" si="0"/>
        <v>5.0954631960218556E-3</v>
      </c>
      <c r="D53" s="13">
        <f t="shared" si="1"/>
        <v>1.1553907939450108E-2</v>
      </c>
    </row>
    <row r="54" spans="1:4" x14ac:dyDescent="0.35">
      <c r="A54" s="11">
        <v>35034</v>
      </c>
      <c r="B54" s="15">
        <f>VLOOKUP(A54,Database!A:K,MATCH($A$1,Database!$A$1:$K$1,),)</f>
        <v>32903</v>
      </c>
      <c r="C54" s="12">
        <f t="shared" si="0"/>
        <v>4.8558514537014414E-3</v>
      </c>
      <c r="D54" s="13">
        <f t="shared" si="1"/>
        <v>1.8857992196692885E-2</v>
      </c>
    </row>
    <row r="55" spans="1:4" x14ac:dyDescent="0.35">
      <c r="A55" s="10">
        <v>35065</v>
      </c>
      <c r="B55" s="15">
        <f>VLOOKUP(A55,Database!A:K,MATCH($A$1,Database!$A$1:$K$1,),)</f>
        <v>33085</v>
      </c>
      <c r="C55" s="12">
        <f t="shared" si="0"/>
        <v>5.531410509679968E-3</v>
      </c>
      <c r="D55" s="13">
        <f t="shared" si="1"/>
        <v>1.4099616858237548E-2</v>
      </c>
    </row>
    <row r="56" spans="1:4" x14ac:dyDescent="0.35">
      <c r="A56" s="11">
        <v>35096</v>
      </c>
      <c r="B56" s="15">
        <f>VLOOKUP(A56,Database!A:K,MATCH($A$1,Database!$A$1:$K$1,),)</f>
        <v>32928</v>
      </c>
      <c r="C56" s="12">
        <f t="shared" si="0"/>
        <v>-4.7453528789481638E-3</v>
      </c>
      <c r="D56" s="13">
        <f t="shared" si="1"/>
        <v>1.6327664434087473E-2</v>
      </c>
    </row>
    <row r="57" spans="1:4" x14ac:dyDescent="0.35">
      <c r="A57" s="10">
        <v>35125</v>
      </c>
      <c r="B57" s="15">
        <f>VLOOKUP(A57,Database!A:K,MATCH($A$1,Database!$A$1:$K$1,),)</f>
        <v>33076</v>
      </c>
      <c r="C57" s="12">
        <f t="shared" si="0"/>
        <v>4.4946550048590864E-3</v>
      </c>
      <c r="D57" s="13">
        <f t="shared" si="1"/>
        <v>2.0391793922566712E-2</v>
      </c>
    </row>
    <row r="58" spans="1:4" x14ac:dyDescent="0.35">
      <c r="A58" s="11">
        <v>35156</v>
      </c>
      <c r="B58" s="15">
        <f>VLOOKUP(A58,Database!A:K,MATCH($A$1,Database!$A$1:$K$1,),)</f>
        <v>33174</v>
      </c>
      <c r="C58" s="12">
        <f t="shared" si="0"/>
        <v>2.9628733825130004E-3</v>
      </c>
      <c r="D58" s="13">
        <f t="shared" si="1"/>
        <v>2.6677395394899727E-2</v>
      </c>
    </row>
    <row r="59" spans="1:4" x14ac:dyDescent="0.35">
      <c r="A59" s="10">
        <v>35186</v>
      </c>
      <c r="B59" s="15">
        <f>VLOOKUP(A59,Database!A:K,MATCH($A$1,Database!$A$1:$K$1,),)</f>
        <v>33178</v>
      </c>
      <c r="C59" s="12">
        <f t="shared" si="0"/>
        <v>1.2057635497678906E-4</v>
      </c>
      <c r="D59" s="13">
        <f t="shared" si="1"/>
        <v>1.9606637984019668E-2</v>
      </c>
    </row>
    <row r="60" spans="1:4" x14ac:dyDescent="0.35">
      <c r="A60" s="11">
        <v>35217</v>
      </c>
      <c r="B60" s="15">
        <f>VLOOKUP(A60,Database!A:K,MATCH($A$1,Database!$A$1:$K$1,),)</f>
        <v>33281</v>
      </c>
      <c r="C60" s="12">
        <f t="shared" si="0"/>
        <v>3.1044668153595756E-3</v>
      </c>
      <c r="D60" s="13">
        <f t="shared" si="1"/>
        <v>2.0983526091358101E-2</v>
      </c>
    </row>
    <row r="61" spans="1:4" x14ac:dyDescent="0.35">
      <c r="A61" s="10">
        <v>35247</v>
      </c>
      <c r="B61" s="15">
        <f>VLOOKUP(A61,Database!A:K,MATCH($A$1,Database!$A$1:$K$1,),)</f>
        <v>33470</v>
      </c>
      <c r="C61" s="12">
        <f t="shared" si="0"/>
        <v>5.6789158979597965E-3</v>
      </c>
      <c r="D61" s="13">
        <f t="shared" si="1"/>
        <v>3.0924659643935194E-2</v>
      </c>
    </row>
    <row r="62" spans="1:4" x14ac:dyDescent="0.35">
      <c r="A62" s="11">
        <v>35278</v>
      </c>
      <c r="B62" s="15">
        <f>VLOOKUP(A62,Database!A:K,MATCH($A$1,Database!$A$1:$K$1,),)</f>
        <v>33542</v>
      </c>
      <c r="C62" s="12">
        <f t="shared" si="0"/>
        <v>2.1511801613385119E-3</v>
      </c>
      <c r="D62" s="13">
        <f t="shared" si="1"/>
        <v>3.0571173994530985E-2</v>
      </c>
    </row>
    <row r="63" spans="1:4" x14ac:dyDescent="0.35">
      <c r="A63" s="10">
        <v>35309</v>
      </c>
      <c r="B63" s="15">
        <f>VLOOKUP(A63,Database!A:K,MATCH($A$1,Database!$A$1:$K$1,),)</f>
        <v>33494</v>
      </c>
      <c r="C63" s="12">
        <f t="shared" si="0"/>
        <v>-1.4310416790889035E-3</v>
      </c>
      <c r="D63" s="13">
        <f t="shared" si="1"/>
        <v>2.6636015325670497E-2</v>
      </c>
    </row>
    <row r="64" spans="1:4" x14ac:dyDescent="0.35">
      <c r="A64" s="11">
        <v>35339</v>
      </c>
      <c r="B64" s="15">
        <f>VLOOKUP(A64,Database!A:K,MATCH($A$1,Database!$A$1:$K$1,),)</f>
        <v>33704</v>
      </c>
      <c r="C64" s="12">
        <f t="shared" si="0"/>
        <v>6.2697796620290198E-3</v>
      </c>
      <c r="D64" s="13">
        <f t="shared" si="1"/>
        <v>3.4563202160967525E-2</v>
      </c>
    </row>
    <row r="65" spans="1:4" x14ac:dyDescent="0.35">
      <c r="A65" s="10">
        <v>35370</v>
      </c>
      <c r="B65" s="15">
        <f>VLOOKUP(A65,Database!A:K,MATCH($A$1,Database!$A$1:$K$1,),)</f>
        <v>33734</v>
      </c>
      <c r="C65" s="12">
        <f t="shared" si="0"/>
        <v>8.9010206503679088E-4</v>
      </c>
      <c r="D65" s="13">
        <f t="shared" si="1"/>
        <v>3.0234546787197655E-2</v>
      </c>
    </row>
    <row r="66" spans="1:4" x14ac:dyDescent="0.35">
      <c r="A66" s="11">
        <v>35400</v>
      </c>
      <c r="B66" s="15">
        <f>VLOOKUP(A66,Database!A:K,MATCH($A$1,Database!$A$1:$K$1,),)</f>
        <v>33819</v>
      </c>
      <c r="C66" s="12">
        <f t="shared" si="0"/>
        <v>2.5197130491492262E-3</v>
      </c>
      <c r="D66" s="13">
        <f t="shared" si="1"/>
        <v>2.7839406741026654E-2</v>
      </c>
    </row>
    <row r="67" spans="1:4" x14ac:dyDescent="0.35">
      <c r="A67" s="10">
        <v>35431</v>
      </c>
      <c r="B67" s="15">
        <f>VLOOKUP(A67,Database!A:K,MATCH($A$1,Database!$A$1:$K$1,),)</f>
        <v>34049</v>
      </c>
      <c r="C67" s="12">
        <f t="shared" si="0"/>
        <v>6.8009107306543663E-3</v>
      </c>
      <c r="D67" s="13">
        <f t="shared" si="1"/>
        <v>2.9137071180293184E-2</v>
      </c>
    </row>
    <row r="68" spans="1:4" x14ac:dyDescent="0.35">
      <c r="A68" s="11">
        <v>35462</v>
      </c>
      <c r="B68" s="15">
        <f>VLOOKUP(A68,Database!A:K,MATCH($A$1,Database!$A$1:$K$1,),)</f>
        <v>33989</v>
      </c>
      <c r="C68" s="12">
        <f t="shared" si="0"/>
        <v>-1.762166289758877E-3</v>
      </c>
      <c r="D68" s="13">
        <f t="shared" si="1"/>
        <v>3.2221817298347909E-2</v>
      </c>
    </row>
    <row r="69" spans="1:4" x14ac:dyDescent="0.35">
      <c r="A69" s="10">
        <v>35490</v>
      </c>
      <c r="B69" s="15">
        <f>VLOOKUP(A69,Database!A:K,MATCH($A$1,Database!$A$1:$K$1,),)</f>
        <v>34156</v>
      </c>
      <c r="C69" s="12">
        <f t="shared" si="0"/>
        <v>4.9133543205154605E-3</v>
      </c>
      <c r="D69" s="13">
        <f t="shared" si="1"/>
        <v>3.2652074011367757E-2</v>
      </c>
    </row>
    <row r="70" spans="1:4" x14ac:dyDescent="0.35">
      <c r="A70" s="11">
        <v>35521</v>
      </c>
      <c r="B70" s="15">
        <f>VLOOKUP(A70,Database!A:K,MATCH($A$1,Database!$A$1:$K$1,),)</f>
        <v>34056</v>
      </c>
      <c r="C70" s="12">
        <f t="shared" si="0"/>
        <v>-2.9277432954678533E-3</v>
      </c>
      <c r="D70" s="13">
        <f t="shared" si="1"/>
        <v>2.6587086272381984E-2</v>
      </c>
    </row>
    <row r="71" spans="1:4" x14ac:dyDescent="0.35">
      <c r="A71" s="10">
        <v>35551</v>
      </c>
      <c r="B71" s="15">
        <f>VLOOKUP(A71,Database!A:K,MATCH($A$1,Database!$A$1:$K$1,),)</f>
        <v>33978</v>
      </c>
      <c r="C71" s="12">
        <f t="shared" si="0"/>
        <v>-2.2903453136011278E-3</v>
      </c>
      <c r="D71" s="13">
        <f t="shared" si="1"/>
        <v>2.4112363614443307E-2</v>
      </c>
    </row>
    <row r="72" spans="1:4" x14ac:dyDescent="0.35">
      <c r="A72" s="11">
        <v>35582</v>
      </c>
      <c r="B72" s="15">
        <f>VLOOKUP(A72,Database!A:K,MATCH($A$1,Database!$A$1:$K$1,),)</f>
        <v>33892</v>
      </c>
      <c r="C72" s="12">
        <f t="shared" ref="C72:C135" si="2">(B72-B71)/B71</f>
        <v>-2.531049502619342E-3</v>
      </c>
      <c r="D72" s="13">
        <f t="shared" si="1"/>
        <v>1.8358823352663683E-2</v>
      </c>
    </row>
    <row r="73" spans="1:4" x14ac:dyDescent="0.35">
      <c r="A73" s="10">
        <v>35612</v>
      </c>
      <c r="B73" s="15">
        <f>VLOOKUP(A73,Database!A:K,MATCH($A$1,Database!$A$1:$K$1,),)</f>
        <v>34106</v>
      </c>
      <c r="C73" s="12">
        <f t="shared" si="2"/>
        <v>6.3141744364451791E-3</v>
      </c>
      <c r="D73" s="13">
        <f t="shared" si="1"/>
        <v>1.9002091425156856E-2</v>
      </c>
    </row>
    <row r="74" spans="1:4" x14ac:dyDescent="0.35">
      <c r="A74" s="11">
        <v>35643</v>
      </c>
      <c r="B74" s="15">
        <f>VLOOKUP(A74,Database!A:K,MATCH($A$1,Database!$A$1:$K$1,),)</f>
        <v>34256</v>
      </c>
      <c r="C74" s="12">
        <f t="shared" si="2"/>
        <v>4.3980531284817919E-3</v>
      </c>
      <c r="D74" s="13">
        <f t="shared" si="1"/>
        <v>2.128674497644744E-2</v>
      </c>
    </row>
    <row r="75" spans="1:4" x14ac:dyDescent="0.35">
      <c r="A75" s="10">
        <v>35674</v>
      </c>
      <c r="B75" s="15">
        <f>VLOOKUP(A75,Database!A:K,MATCH($A$1,Database!$A$1:$K$1,),)</f>
        <v>34281</v>
      </c>
      <c r="C75" s="12">
        <f t="shared" si="2"/>
        <v>7.297991592713685E-4</v>
      </c>
      <c r="D75" s="13">
        <f t="shared" si="1"/>
        <v>2.3496745685794469E-2</v>
      </c>
    </row>
    <row r="76" spans="1:4" x14ac:dyDescent="0.35">
      <c r="A76" s="11">
        <v>35704</v>
      </c>
      <c r="B76" s="15">
        <f>VLOOKUP(A76,Database!A:K,MATCH($A$1,Database!$A$1:$K$1,),)</f>
        <v>34348</v>
      </c>
      <c r="C76" s="12">
        <f t="shared" si="2"/>
        <v>1.9544354015343778E-3</v>
      </c>
      <c r="D76" s="13">
        <f t="shared" si="1"/>
        <v>1.9107524329456445E-2</v>
      </c>
    </row>
    <row r="77" spans="1:4" x14ac:dyDescent="0.35">
      <c r="A77" s="10">
        <v>35735</v>
      </c>
      <c r="B77" s="15">
        <f>VLOOKUP(A77,Database!A:K,MATCH($A$1,Database!$A$1:$K$1,),)</f>
        <v>34230</v>
      </c>
      <c r="C77" s="12">
        <f t="shared" si="2"/>
        <v>-3.4354256434144638E-3</v>
      </c>
      <c r="D77" s="13">
        <f t="shared" si="1"/>
        <v>1.4703266733859015E-2</v>
      </c>
    </row>
    <row r="78" spans="1:4" x14ac:dyDescent="0.35">
      <c r="A78" s="11">
        <v>35765</v>
      </c>
      <c r="B78" s="15">
        <f>VLOOKUP(A78,Database!A:K,MATCH($A$1,Database!$A$1:$K$1,),)</f>
        <v>34190</v>
      </c>
      <c r="C78" s="12">
        <f t="shared" si="2"/>
        <v>-1.1685655857434998E-3</v>
      </c>
      <c r="D78" s="13">
        <f t="shared" si="1"/>
        <v>1.0970164700316391E-2</v>
      </c>
    </row>
    <row r="79" spans="1:4" x14ac:dyDescent="0.35">
      <c r="A79" s="10">
        <v>35796</v>
      </c>
      <c r="B79" s="15">
        <f>VLOOKUP(A79,Database!A:K,MATCH($A$1,Database!$A$1:$K$1,),)</f>
        <v>34126</v>
      </c>
      <c r="C79" s="12">
        <f t="shared" si="2"/>
        <v>-1.8718923661889442E-3</v>
      </c>
      <c r="D79" s="13">
        <f t="shared" si="1"/>
        <v>2.2614467385238921E-3</v>
      </c>
    </row>
    <row r="80" spans="1:4" x14ac:dyDescent="0.35">
      <c r="A80" s="11">
        <v>35827</v>
      </c>
      <c r="B80" s="15">
        <f>VLOOKUP(A80,Database!A:K,MATCH($A$1,Database!$A$1:$K$1,),)</f>
        <v>34102</v>
      </c>
      <c r="C80" s="12">
        <f t="shared" si="2"/>
        <v>-7.03276094473422E-4</v>
      </c>
      <c r="D80" s="13">
        <f t="shared" si="1"/>
        <v>3.3246050192709408E-3</v>
      </c>
    </row>
    <row r="81" spans="1:4" x14ac:dyDescent="0.35">
      <c r="A81" s="10">
        <v>35855</v>
      </c>
      <c r="B81" s="15">
        <f>VLOOKUP(A81,Database!A:K,MATCH($A$1,Database!$A$1:$K$1,),)</f>
        <v>34275</v>
      </c>
      <c r="C81" s="12">
        <f t="shared" si="2"/>
        <v>5.0730162453815029E-3</v>
      </c>
      <c r="D81" s="13">
        <f t="shared" si="1"/>
        <v>3.4840145216067453E-3</v>
      </c>
    </row>
    <row r="82" spans="1:4" x14ac:dyDescent="0.35">
      <c r="A82" s="11">
        <v>35886</v>
      </c>
      <c r="B82" s="15">
        <f>VLOOKUP(A82,Database!A:K,MATCH($A$1,Database!$A$1:$K$1,),)</f>
        <v>34374</v>
      </c>
      <c r="C82" s="12">
        <f t="shared" si="2"/>
        <v>2.888402625820569E-3</v>
      </c>
      <c r="D82" s="13">
        <f t="shared" si="1"/>
        <v>9.337561663143059E-3</v>
      </c>
    </row>
    <row r="83" spans="1:4" x14ac:dyDescent="0.35">
      <c r="A83" s="10">
        <v>35916</v>
      </c>
      <c r="B83" s="15">
        <f>VLOOKUP(A83,Database!A:K,MATCH($A$1,Database!$A$1:$K$1,),)</f>
        <v>34534</v>
      </c>
      <c r="C83" s="12">
        <f t="shared" si="2"/>
        <v>4.6546808634432999E-3</v>
      </c>
      <c r="D83" s="13">
        <f t="shared" ref="D83:D146" si="3">(B83-B71)/B71</f>
        <v>1.6363529342515747E-2</v>
      </c>
    </row>
    <row r="84" spans="1:4" x14ac:dyDescent="0.35">
      <c r="A84" s="11">
        <v>35947</v>
      </c>
      <c r="B84" s="15">
        <f>VLOOKUP(A84,Database!A:K,MATCH($A$1,Database!$A$1:$K$1,),)</f>
        <v>34592</v>
      </c>
      <c r="C84" s="12">
        <f t="shared" si="2"/>
        <v>1.6795042566745816E-3</v>
      </c>
      <c r="D84" s="13">
        <f t="shared" si="3"/>
        <v>2.0653841614540303E-2</v>
      </c>
    </row>
    <row r="85" spans="1:4" x14ac:dyDescent="0.35">
      <c r="A85" s="10">
        <v>35977</v>
      </c>
      <c r="B85" s="15">
        <f>VLOOKUP(A85,Database!A:K,MATCH($A$1,Database!$A$1:$K$1,),)</f>
        <v>34856</v>
      </c>
      <c r="C85" s="12">
        <f t="shared" si="2"/>
        <v>7.6318223866790012E-3</v>
      </c>
      <c r="D85" s="13">
        <f t="shared" si="3"/>
        <v>2.1990265642408961E-2</v>
      </c>
    </row>
    <row r="86" spans="1:4" x14ac:dyDescent="0.35">
      <c r="A86" s="11">
        <v>36008</v>
      </c>
      <c r="B86" s="15">
        <f>VLOOKUP(A86,Database!A:K,MATCH($A$1,Database!$A$1:$K$1,),)</f>
        <v>34950</v>
      </c>
      <c r="C86" s="12">
        <f t="shared" si="2"/>
        <v>2.6968097314666053E-3</v>
      </c>
      <c r="D86" s="13">
        <f t="shared" si="3"/>
        <v>2.0259224661373192E-2</v>
      </c>
    </row>
    <row r="87" spans="1:4" x14ac:dyDescent="0.35">
      <c r="A87" s="10">
        <v>36039</v>
      </c>
      <c r="B87" s="15">
        <f>VLOOKUP(A87,Database!A:K,MATCH($A$1,Database!$A$1:$K$1,),)</f>
        <v>34916</v>
      </c>
      <c r="C87" s="12">
        <f t="shared" si="2"/>
        <v>-9.7281831187410583E-4</v>
      </c>
      <c r="D87" s="13">
        <f t="shared" si="3"/>
        <v>1.8523380298124326E-2</v>
      </c>
    </row>
    <row r="88" spans="1:4" x14ac:dyDescent="0.35">
      <c r="A88" s="11">
        <v>36069</v>
      </c>
      <c r="B88" s="15">
        <f>VLOOKUP(A88,Database!A:K,MATCH($A$1,Database!$A$1:$K$1,),)</f>
        <v>35093</v>
      </c>
      <c r="C88" s="12">
        <f t="shared" si="2"/>
        <v>5.0693091992209879E-3</v>
      </c>
      <c r="D88" s="13">
        <f t="shared" si="3"/>
        <v>2.1689763596133692E-2</v>
      </c>
    </row>
    <row r="89" spans="1:4" x14ac:dyDescent="0.35">
      <c r="A89" s="10">
        <v>36100</v>
      </c>
      <c r="B89" s="15">
        <f>VLOOKUP(A89,Database!A:K,MATCH($A$1,Database!$A$1:$K$1,),)</f>
        <v>35140</v>
      </c>
      <c r="C89" s="12">
        <f t="shared" si="2"/>
        <v>1.3392984355854443E-3</v>
      </c>
      <c r="D89" s="13">
        <f t="shared" si="3"/>
        <v>2.6584867075664622E-2</v>
      </c>
    </row>
    <row r="90" spans="1:4" x14ac:dyDescent="0.35">
      <c r="A90" s="11">
        <v>36130</v>
      </c>
      <c r="B90" s="15">
        <f>VLOOKUP(A90,Database!A:K,MATCH($A$1,Database!$A$1:$K$1,),)</f>
        <v>35533</v>
      </c>
      <c r="C90" s="12">
        <f t="shared" si="2"/>
        <v>1.118383608423449E-2</v>
      </c>
      <c r="D90" s="13">
        <f t="shared" si="3"/>
        <v>3.9280491371746128E-2</v>
      </c>
    </row>
    <row r="91" spans="1:4" x14ac:dyDescent="0.35">
      <c r="A91" s="10">
        <v>36161</v>
      </c>
      <c r="B91" s="15">
        <f>VLOOKUP(A91,Database!A:K,MATCH($A$1,Database!$A$1:$K$1,),)</f>
        <v>35447</v>
      </c>
      <c r="C91" s="12">
        <f t="shared" si="2"/>
        <v>-2.4202853685306616E-3</v>
      </c>
      <c r="D91" s="13">
        <f t="shared" si="3"/>
        <v>3.8709488366641273E-2</v>
      </c>
    </row>
    <row r="92" spans="1:4" x14ac:dyDescent="0.35">
      <c r="A92" s="11">
        <v>36192</v>
      </c>
      <c r="B92" s="15">
        <f>VLOOKUP(A92,Database!A:K,MATCH($A$1,Database!$A$1:$K$1,),)</f>
        <v>35707</v>
      </c>
      <c r="C92" s="12">
        <f t="shared" si="2"/>
        <v>7.3348943493102376E-3</v>
      </c>
      <c r="D92" s="13">
        <f t="shared" si="3"/>
        <v>4.7064688288076945E-2</v>
      </c>
    </row>
    <row r="93" spans="1:4" x14ac:dyDescent="0.35">
      <c r="A93" s="10">
        <v>36220</v>
      </c>
      <c r="B93" s="15">
        <f>VLOOKUP(A93,Database!A:K,MATCH($A$1,Database!$A$1:$K$1,),)</f>
        <v>35652</v>
      </c>
      <c r="C93" s="12">
        <f t="shared" si="2"/>
        <v>-1.5403142241017167E-3</v>
      </c>
      <c r="D93" s="13">
        <f t="shared" si="3"/>
        <v>4.0175054704595189E-2</v>
      </c>
    </row>
    <row r="94" spans="1:4" x14ac:dyDescent="0.35">
      <c r="A94" s="11">
        <v>36251</v>
      </c>
      <c r="B94" s="15">
        <f>VLOOKUP(A94,Database!A:K,MATCH($A$1,Database!$A$1:$K$1,),)</f>
        <v>36013</v>
      </c>
      <c r="C94" s="12">
        <f t="shared" si="2"/>
        <v>1.0125659149556827E-2</v>
      </c>
      <c r="D94" s="13">
        <f t="shared" si="3"/>
        <v>4.7681387094897304E-2</v>
      </c>
    </row>
    <row r="95" spans="1:4" x14ac:dyDescent="0.35">
      <c r="A95" s="10">
        <v>36281</v>
      </c>
      <c r="B95" s="15">
        <f>VLOOKUP(A95,Database!A:K,MATCH($A$1,Database!$A$1:$K$1,),)</f>
        <v>36060</v>
      </c>
      <c r="C95" s="12">
        <f t="shared" si="2"/>
        <v>1.3050842751228724E-3</v>
      </c>
      <c r="D95" s="13">
        <f t="shared" si="3"/>
        <v>4.4188336132507097E-2</v>
      </c>
    </row>
    <row r="96" spans="1:4" x14ac:dyDescent="0.35">
      <c r="A96" s="11">
        <v>36312</v>
      </c>
      <c r="B96" s="15">
        <f>VLOOKUP(A96,Database!A:K,MATCH($A$1,Database!$A$1:$K$1,),)</f>
        <v>35872</v>
      </c>
      <c r="C96" s="12">
        <f t="shared" si="2"/>
        <v>-5.2135330005546312E-3</v>
      </c>
      <c r="D96" s="13">
        <f t="shared" si="3"/>
        <v>3.7002775208140611E-2</v>
      </c>
    </row>
    <row r="97" spans="1:4" x14ac:dyDescent="0.35">
      <c r="A97" s="10">
        <v>36342</v>
      </c>
      <c r="B97" s="15">
        <f>VLOOKUP(A97,Database!A:K,MATCH($A$1,Database!$A$1:$K$1,),)</f>
        <v>36126</v>
      </c>
      <c r="C97" s="12">
        <f t="shared" si="2"/>
        <v>7.080731489741302E-3</v>
      </c>
      <c r="D97" s="13">
        <f t="shared" si="3"/>
        <v>3.6435620840027542E-2</v>
      </c>
    </row>
    <row r="98" spans="1:4" x14ac:dyDescent="0.35">
      <c r="A98" s="11">
        <v>36373</v>
      </c>
      <c r="B98" s="15">
        <f>VLOOKUP(A98,Database!A:K,MATCH($A$1,Database!$A$1:$K$1,),)</f>
        <v>36117</v>
      </c>
      <c r="C98" s="12">
        <f t="shared" si="2"/>
        <v>-2.4912805181863477E-4</v>
      </c>
      <c r="D98" s="13">
        <f t="shared" si="3"/>
        <v>3.3390557939914162E-2</v>
      </c>
    </row>
    <row r="99" spans="1:4" x14ac:dyDescent="0.35">
      <c r="A99" s="10">
        <v>36404</v>
      </c>
      <c r="B99" s="15">
        <f>VLOOKUP(A99,Database!A:K,MATCH($A$1,Database!$A$1:$K$1,),)</f>
        <v>36411</v>
      </c>
      <c r="C99" s="12">
        <f t="shared" si="2"/>
        <v>8.1402109809784861E-3</v>
      </c>
      <c r="D99" s="13">
        <f t="shared" si="3"/>
        <v>4.2817046626188564E-2</v>
      </c>
    </row>
    <row r="100" spans="1:4" x14ac:dyDescent="0.35">
      <c r="A100" s="11">
        <v>36434</v>
      </c>
      <c r="B100" s="15">
        <f>VLOOKUP(A100,Database!A:K,MATCH($A$1,Database!$A$1:$K$1,),)</f>
        <v>36271</v>
      </c>
      <c r="C100" s="12">
        <f t="shared" si="2"/>
        <v>-3.8449918980527861E-3</v>
      </c>
      <c r="D100" s="13">
        <f t="shared" si="3"/>
        <v>3.3567948023822416E-2</v>
      </c>
    </row>
    <row r="101" spans="1:4" x14ac:dyDescent="0.35">
      <c r="A101" s="10">
        <v>36465</v>
      </c>
      <c r="B101" s="15">
        <f>VLOOKUP(A101,Database!A:K,MATCH($A$1,Database!$A$1:$K$1,),)</f>
        <v>36300</v>
      </c>
      <c r="C101" s="12">
        <f t="shared" si="2"/>
        <v>7.9953682004907497E-4</v>
      </c>
      <c r="D101" s="13">
        <f t="shared" si="3"/>
        <v>3.3010813887307915E-2</v>
      </c>
    </row>
    <row r="102" spans="1:4" x14ac:dyDescent="0.35">
      <c r="A102" s="11">
        <v>36495</v>
      </c>
      <c r="B102" s="15">
        <f>VLOOKUP(A102,Database!A:K,MATCH($A$1,Database!$A$1:$K$1,),)</f>
        <v>37665</v>
      </c>
      <c r="C102" s="12">
        <f t="shared" si="2"/>
        <v>3.7603305785123969E-2</v>
      </c>
      <c r="D102" s="13">
        <f t="shared" si="3"/>
        <v>6.0000562857062449E-2</v>
      </c>
    </row>
    <row r="103" spans="1:4" x14ac:dyDescent="0.35">
      <c r="A103" s="10">
        <v>36526</v>
      </c>
      <c r="B103" s="15">
        <f>VLOOKUP(A103,Database!A:K,MATCH($A$1,Database!$A$1:$K$1,),)</f>
        <v>35613</v>
      </c>
      <c r="C103" s="12">
        <f t="shared" si="2"/>
        <v>-5.4480286738351258E-2</v>
      </c>
      <c r="D103" s="13">
        <f t="shared" si="3"/>
        <v>4.6830479307134595E-3</v>
      </c>
    </row>
    <row r="104" spans="1:4" x14ac:dyDescent="0.35">
      <c r="A104" s="11">
        <v>36557</v>
      </c>
      <c r="B104" s="15">
        <f>VLOOKUP(A104,Database!A:K,MATCH($A$1,Database!$A$1:$K$1,),)</f>
        <v>35980</v>
      </c>
      <c r="C104" s="12">
        <f t="shared" si="2"/>
        <v>1.0305225619857916E-2</v>
      </c>
      <c r="D104" s="13">
        <f t="shared" si="3"/>
        <v>7.6455596941776127E-3</v>
      </c>
    </row>
    <row r="105" spans="1:4" x14ac:dyDescent="0.35">
      <c r="A105" s="10">
        <v>36586</v>
      </c>
      <c r="B105" s="15">
        <f>VLOOKUP(A105,Database!A:K,MATCH($A$1,Database!$A$1:$K$1,),)</f>
        <v>36559</v>
      </c>
      <c r="C105" s="12">
        <f t="shared" si="2"/>
        <v>1.6092273485269593E-2</v>
      </c>
      <c r="D105" s="13">
        <f t="shared" si="3"/>
        <v>2.5440368001795131E-2</v>
      </c>
    </row>
    <row r="106" spans="1:4" x14ac:dyDescent="0.35">
      <c r="A106" s="11">
        <v>36617</v>
      </c>
      <c r="B106" s="15">
        <f>VLOOKUP(A106,Database!A:K,MATCH($A$1,Database!$A$1:$K$1,),)</f>
        <v>37008</v>
      </c>
      <c r="C106" s="12">
        <f t="shared" si="2"/>
        <v>1.2281517546978857E-2</v>
      </c>
      <c r="D106" s="13">
        <f t="shared" si="3"/>
        <v>2.7628911781856551E-2</v>
      </c>
    </row>
    <row r="107" spans="1:4" x14ac:dyDescent="0.35">
      <c r="A107" s="10">
        <v>36647</v>
      </c>
      <c r="B107" s="15">
        <f>VLOOKUP(A107,Database!A:K,MATCH($A$1,Database!$A$1:$K$1,),)</f>
        <v>36717</v>
      </c>
      <c r="C107" s="12">
        <f t="shared" si="2"/>
        <v>-7.8631647211413747E-3</v>
      </c>
      <c r="D107" s="13">
        <f t="shared" si="3"/>
        <v>1.821963394342762E-2</v>
      </c>
    </row>
    <row r="108" spans="1:4" x14ac:dyDescent="0.35">
      <c r="A108" s="11">
        <v>36678</v>
      </c>
      <c r="B108" s="15">
        <f>VLOOKUP(A108,Database!A:K,MATCH($A$1,Database!$A$1:$K$1,),)</f>
        <v>37175</v>
      </c>
      <c r="C108" s="12">
        <f t="shared" si="2"/>
        <v>1.2473785984693739E-2</v>
      </c>
      <c r="D108" s="13">
        <f t="shared" si="3"/>
        <v>3.63235950044603E-2</v>
      </c>
    </row>
    <row r="109" spans="1:4" x14ac:dyDescent="0.35">
      <c r="A109" s="10">
        <v>36708</v>
      </c>
      <c r="B109" s="15">
        <f>VLOOKUP(A109,Database!A:K,MATCH($A$1,Database!$A$1:$K$1,),)</f>
        <v>37038</v>
      </c>
      <c r="C109" s="12">
        <f t="shared" si="2"/>
        <v>-3.6852723604572967E-3</v>
      </c>
      <c r="D109" s="13">
        <f t="shared" si="3"/>
        <v>2.5244975917621659E-2</v>
      </c>
    </row>
    <row r="110" spans="1:4" x14ac:dyDescent="0.35">
      <c r="A110" s="11">
        <v>36739</v>
      </c>
      <c r="B110" s="15">
        <f>VLOOKUP(A110,Database!A:K,MATCH($A$1,Database!$A$1:$K$1,),)</f>
        <v>37110</v>
      </c>
      <c r="C110" s="12">
        <f t="shared" si="2"/>
        <v>1.9439494573141099E-3</v>
      </c>
      <c r="D110" s="13">
        <f t="shared" si="3"/>
        <v>2.7493977905141624E-2</v>
      </c>
    </row>
    <row r="111" spans="1:4" x14ac:dyDescent="0.35">
      <c r="A111" s="10">
        <v>36770</v>
      </c>
      <c r="B111" s="15">
        <f>VLOOKUP(A111,Database!A:K,MATCH($A$1,Database!$A$1:$K$1,),)</f>
        <v>37308</v>
      </c>
      <c r="C111" s="12">
        <f t="shared" si="2"/>
        <v>5.3354890864995954E-3</v>
      </c>
      <c r="D111" s="13">
        <f t="shared" si="3"/>
        <v>2.4635412375381065E-2</v>
      </c>
    </row>
    <row r="112" spans="1:4" x14ac:dyDescent="0.35">
      <c r="A112" s="11">
        <v>36800</v>
      </c>
      <c r="B112" s="15">
        <f>VLOOKUP(A112,Database!A:K,MATCH($A$1,Database!$A$1:$K$1,),)</f>
        <v>37476</v>
      </c>
      <c r="C112" s="12">
        <f t="shared" si="2"/>
        <v>4.5030556449018981E-3</v>
      </c>
      <c r="D112" s="13">
        <f t="shared" si="3"/>
        <v>3.3222133384797771E-2</v>
      </c>
    </row>
    <row r="113" spans="1:4" x14ac:dyDescent="0.35">
      <c r="A113" s="10">
        <v>36831</v>
      </c>
      <c r="B113" s="15">
        <f>VLOOKUP(A113,Database!A:K,MATCH($A$1,Database!$A$1:$K$1,),)</f>
        <v>37700</v>
      </c>
      <c r="C113" s="12">
        <f t="shared" si="2"/>
        <v>5.9771587149108759E-3</v>
      </c>
      <c r="D113" s="13">
        <f t="shared" si="3"/>
        <v>3.8567493112947659E-2</v>
      </c>
    </row>
    <row r="114" spans="1:4" x14ac:dyDescent="0.35">
      <c r="A114" s="11">
        <v>36861</v>
      </c>
      <c r="B114" s="15">
        <f>VLOOKUP(A114,Database!A:K,MATCH($A$1,Database!$A$1:$K$1,),)</f>
        <v>38033</v>
      </c>
      <c r="C114" s="12">
        <f t="shared" si="2"/>
        <v>8.8328912466843507E-3</v>
      </c>
      <c r="D114" s="13">
        <f t="shared" si="3"/>
        <v>9.7703438205230322E-3</v>
      </c>
    </row>
    <row r="115" spans="1:4" x14ac:dyDescent="0.35">
      <c r="A115" s="10">
        <v>36892</v>
      </c>
      <c r="B115" s="15">
        <f>VLOOKUP(A115,Database!A:K,MATCH($A$1,Database!$A$1:$K$1,),)</f>
        <v>37903</v>
      </c>
      <c r="C115" s="12">
        <f t="shared" si="2"/>
        <v>-3.4180842952173112E-3</v>
      </c>
      <c r="D115" s="13">
        <f t="shared" si="3"/>
        <v>6.430236149720607E-2</v>
      </c>
    </row>
    <row r="116" spans="1:4" x14ac:dyDescent="0.35">
      <c r="A116" s="11">
        <v>36923</v>
      </c>
      <c r="B116" s="15">
        <f>VLOOKUP(A116,Database!A:K,MATCH($A$1,Database!$A$1:$K$1,),)</f>
        <v>38252</v>
      </c>
      <c r="C116" s="12">
        <f t="shared" si="2"/>
        <v>9.2077144289370236E-3</v>
      </c>
      <c r="D116" s="13">
        <f t="shared" si="3"/>
        <v>6.3146192329071704E-2</v>
      </c>
    </row>
    <row r="117" spans="1:4" x14ac:dyDescent="0.35">
      <c r="A117" s="10">
        <v>36951</v>
      </c>
      <c r="B117" s="15">
        <f>VLOOKUP(A117,Database!A:K,MATCH($A$1,Database!$A$1:$K$1,),)</f>
        <v>38133</v>
      </c>
      <c r="C117" s="12">
        <f t="shared" si="2"/>
        <v>-3.1109484471400187E-3</v>
      </c>
      <c r="D117" s="13">
        <f t="shared" si="3"/>
        <v>4.3053694028830108E-2</v>
      </c>
    </row>
    <row r="118" spans="1:4" x14ac:dyDescent="0.35">
      <c r="A118" s="11">
        <v>36982</v>
      </c>
      <c r="B118" s="15">
        <f>VLOOKUP(A118,Database!A:K,MATCH($A$1,Database!$A$1:$K$1,),)</f>
        <v>38369</v>
      </c>
      <c r="C118" s="12">
        <f t="shared" si="2"/>
        <v>6.1888652872839796E-3</v>
      </c>
      <c r="D118" s="13">
        <f t="shared" si="3"/>
        <v>3.677583225248595E-2</v>
      </c>
    </row>
    <row r="119" spans="1:4" x14ac:dyDescent="0.35">
      <c r="A119" s="10">
        <v>37012</v>
      </c>
      <c r="B119" s="15">
        <f>VLOOKUP(A119,Database!A:K,MATCH($A$1,Database!$A$1:$K$1,),)</f>
        <v>38439</v>
      </c>
      <c r="C119" s="12">
        <f t="shared" si="2"/>
        <v>1.8243894810915061E-3</v>
      </c>
      <c r="D119" s="13">
        <f t="shared" si="3"/>
        <v>4.6899256475202225E-2</v>
      </c>
    </row>
    <row r="120" spans="1:4" x14ac:dyDescent="0.35">
      <c r="A120" s="11">
        <v>37043</v>
      </c>
      <c r="B120" s="15">
        <f>VLOOKUP(A120,Database!A:K,MATCH($A$1,Database!$A$1:$K$1,),)</f>
        <v>38569</v>
      </c>
      <c r="C120" s="12">
        <f t="shared" si="2"/>
        <v>3.3819818413590363E-3</v>
      </c>
      <c r="D120" s="13">
        <f t="shared" si="3"/>
        <v>3.7498318762609277E-2</v>
      </c>
    </row>
    <row r="121" spans="1:4" x14ac:dyDescent="0.35">
      <c r="A121" s="10">
        <v>37073</v>
      </c>
      <c r="B121" s="15">
        <f>VLOOKUP(A121,Database!A:K,MATCH($A$1,Database!$A$1:$K$1,),)</f>
        <v>38506</v>
      </c>
      <c r="C121" s="12">
        <f t="shared" si="2"/>
        <v>-1.6334361793149939E-3</v>
      </c>
      <c r="D121" s="13">
        <f t="shared" si="3"/>
        <v>3.9634969490793238E-2</v>
      </c>
    </row>
    <row r="122" spans="1:4" x14ac:dyDescent="0.35">
      <c r="A122" s="11">
        <v>37104</v>
      </c>
      <c r="B122" s="15">
        <f>VLOOKUP(A122,Database!A:K,MATCH($A$1,Database!$A$1:$K$1,),)</f>
        <v>38738</v>
      </c>
      <c r="C122" s="12">
        <f t="shared" si="2"/>
        <v>6.0250350594712515E-3</v>
      </c>
      <c r="D122" s="13">
        <f t="shared" si="3"/>
        <v>4.3869576933441123E-2</v>
      </c>
    </row>
    <row r="123" spans="1:4" x14ac:dyDescent="0.35">
      <c r="A123" s="10">
        <v>37135</v>
      </c>
      <c r="B123" s="15">
        <f>VLOOKUP(A123,Database!A:K,MATCH($A$1,Database!$A$1:$K$1,),)</f>
        <v>38832</v>
      </c>
      <c r="C123" s="12">
        <f t="shared" si="2"/>
        <v>2.4265579018018482E-3</v>
      </c>
      <c r="D123" s="13">
        <f t="shared" si="3"/>
        <v>4.084914763589579E-2</v>
      </c>
    </row>
    <row r="124" spans="1:4" x14ac:dyDescent="0.35">
      <c r="A124" s="11">
        <v>37165</v>
      </c>
      <c r="B124" s="15">
        <f>VLOOKUP(A124,Database!A:K,MATCH($A$1,Database!$A$1:$K$1,),)</f>
        <v>38944</v>
      </c>
      <c r="C124" s="12">
        <f t="shared" si="2"/>
        <v>2.88421920065925E-3</v>
      </c>
      <c r="D124" s="13">
        <f t="shared" si="3"/>
        <v>3.9171736578076634E-2</v>
      </c>
    </row>
    <row r="125" spans="1:4" x14ac:dyDescent="0.35">
      <c r="A125" s="10">
        <v>37196</v>
      </c>
      <c r="B125" s="15">
        <f>VLOOKUP(A125,Database!A:K,MATCH($A$1,Database!$A$1:$K$1,),)</f>
        <v>39161</v>
      </c>
      <c r="C125" s="12">
        <f t="shared" si="2"/>
        <v>5.5721035332785543E-3</v>
      </c>
      <c r="D125" s="13">
        <f t="shared" si="3"/>
        <v>3.8753315649867372E-2</v>
      </c>
    </row>
    <row r="126" spans="1:4" x14ac:dyDescent="0.35">
      <c r="A126" s="11">
        <v>37226</v>
      </c>
      <c r="B126" s="15">
        <f>VLOOKUP(A126,Database!A:K,MATCH($A$1,Database!$A$1:$K$1,),)</f>
        <v>38996</v>
      </c>
      <c r="C126" s="12">
        <f t="shared" si="2"/>
        <v>-4.2133755522075532E-3</v>
      </c>
      <c r="D126" s="13">
        <f t="shared" si="3"/>
        <v>2.5320116740725158E-2</v>
      </c>
    </row>
    <row r="127" spans="1:4" x14ac:dyDescent="0.35">
      <c r="A127" s="10">
        <v>37257</v>
      </c>
      <c r="B127" s="15">
        <f>VLOOKUP(A127,Database!A:K,MATCH($A$1,Database!$A$1:$K$1,),)</f>
        <v>38833</v>
      </c>
      <c r="C127" s="12">
        <f t="shared" si="2"/>
        <v>-4.179915888809109E-3</v>
      </c>
      <c r="D127" s="13">
        <f t="shared" si="3"/>
        <v>2.4536316386565706E-2</v>
      </c>
    </row>
    <row r="128" spans="1:4" x14ac:dyDescent="0.35">
      <c r="A128" s="11">
        <v>37288</v>
      </c>
      <c r="B128" s="15">
        <f>VLOOKUP(A128,Database!A:K,MATCH($A$1,Database!$A$1:$K$1,),)</f>
        <v>38885</v>
      </c>
      <c r="C128" s="12">
        <f t="shared" si="2"/>
        <v>1.3390672881312285E-3</v>
      </c>
      <c r="D128" s="13">
        <f t="shared" si="3"/>
        <v>1.6548154344870857E-2</v>
      </c>
    </row>
    <row r="129" spans="1:4" x14ac:dyDescent="0.35">
      <c r="A129" s="10">
        <v>37316</v>
      </c>
      <c r="B129" s="15">
        <f>VLOOKUP(A129,Database!A:K,MATCH($A$1,Database!$A$1:$K$1,),)</f>
        <v>38913</v>
      </c>
      <c r="C129" s="12">
        <f t="shared" si="2"/>
        <v>7.2007200720072004E-4</v>
      </c>
      <c r="D129" s="13">
        <f t="shared" si="3"/>
        <v>2.0454724254582644E-2</v>
      </c>
    </row>
    <row r="130" spans="1:4" x14ac:dyDescent="0.35">
      <c r="A130" s="11">
        <v>37347</v>
      </c>
      <c r="B130" s="15">
        <f>VLOOKUP(A130,Database!A:K,MATCH($A$1,Database!$A$1:$K$1,),)</f>
        <v>38568</v>
      </c>
      <c r="C130" s="12">
        <f t="shared" si="2"/>
        <v>-8.8659316937784293E-3</v>
      </c>
      <c r="D130" s="13">
        <f t="shared" si="3"/>
        <v>5.1864786676744249E-3</v>
      </c>
    </row>
    <row r="131" spans="1:4" x14ac:dyDescent="0.35">
      <c r="A131" s="10">
        <v>37377</v>
      </c>
      <c r="B131" s="15">
        <f>VLOOKUP(A131,Database!A:K,MATCH($A$1,Database!$A$1:$K$1,),)</f>
        <v>38713</v>
      </c>
      <c r="C131" s="12">
        <f t="shared" si="2"/>
        <v>3.7595934453432899E-3</v>
      </c>
      <c r="D131" s="13">
        <f t="shared" si="3"/>
        <v>7.1281771117875075E-3</v>
      </c>
    </row>
    <row r="132" spans="1:4" x14ac:dyDescent="0.35">
      <c r="A132" s="11">
        <v>37408</v>
      </c>
      <c r="B132" s="15">
        <f>VLOOKUP(A132,Database!A:K,MATCH($A$1,Database!$A$1:$K$1,),)</f>
        <v>38723</v>
      </c>
      <c r="C132" s="12">
        <f t="shared" si="2"/>
        <v>2.5831116162529382E-4</v>
      </c>
      <c r="D132" s="13">
        <f t="shared" si="3"/>
        <v>3.9928439938810966E-3</v>
      </c>
    </row>
    <row r="133" spans="1:4" x14ac:dyDescent="0.35">
      <c r="A133" s="10">
        <v>37438</v>
      </c>
      <c r="B133" s="15">
        <f>VLOOKUP(A133,Database!A:K,MATCH($A$1,Database!$A$1:$K$1,),)</f>
        <v>38834</v>
      </c>
      <c r="C133" s="12">
        <f t="shared" si="2"/>
        <v>2.866513441623841E-3</v>
      </c>
      <c r="D133" s="13">
        <f t="shared" si="3"/>
        <v>8.5181530151145282E-3</v>
      </c>
    </row>
    <row r="134" spans="1:4" x14ac:dyDescent="0.35">
      <c r="A134" s="11">
        <v>37469</v>
      </c>
      <c r="B134" s="15">
        <f>VLOOKUP(A134,Database!A:K,MATCH($A$1,Database!$A$1:$K$1,),)</f>
        <v>38647</v>
      </c>
      <c r="C134" s="12">
        <f t="shared" si="2"/>
        <v>-4.815367976515425E-3</v>
      </c>
      <c r="D134" s="13">
        <f t="shared" si="3"/>
        <v>-2.3491145645102999E-3</v>
      </c>
    </row>
    <row r="135" spans="1:4" x14ac:dyDescent="0.35">
      <c r="A135" s="10">
        <v>37500</v>
      </c>
      <c r="B135" s="15">
        <f>VLOOKUP(A135,Database!A:K,MATCH($A$1,Database!$A$1:$K$1,),)</f>
        <v>38599</v>
      </c>
      <c r="C135" s="12">
        <f t="shared" si="2"/>
        <v>-1.2420110228478277E-3</v>
      </c>
      <c r="D135" s="13">
        <f t="shared" si="3"/>
        <v>-6.0002060156571901E-3</v>
      </c>
    </row>
    <row r="136" spans="1:4" x14ac:dyDescent="0.35">
      <c r="A136" s="11">
        <v>37530</v>
      </c>
      <c r="B136" s="15">
        <f>VLOOKUP(A136,Database!A:K,MATCH($A$1,Database!$A$1:$K$1,),)</f>
        <v>38693</v>
      </c>
      <c r="C136" s="12">
        <f t="shared" ref="C136:C199" si="4">(B136-B135)/B135</f>
        <v>2.4352962511982176E-3</v>
      </c>
      <c r="D136" s="13">
        <f t="shared" si="3"/>
        <v>-6.4451520131470832E-3</v>
      </c>
    </row>
    <row r="137" spans="1:4" x14ac:dyDescent="0.35">
      <c r="A137" s="10">
        <v>37561</v>
      </c>
      <c r="B137" s="15">
        <f>VLOOKUP(A137,Database!A:K,MATCH($A$1,Database!$A$1:$K$1,),)</f>
        <v>38886</v>
      </c>
      <c r="C137" s="12">
        <f t="shared" si="4"/>
        <v>4.9879823223838941E-3</v>
      </c>
      <c r="D137" s="13">
        <f t="shared" si="3"/>
        <v>-7.022292587012589E-3</v>
      </c>
    </row>
    <row r="138" spans="1:4" x14ac:dyDescent="0.35">
      <c r="A138" s="11">
        <v>37591</v>
      </c>
      <c r="B138" s="15">
        <f>VLOOKUP(A138,Database!A:K,MATCH($A$1,Database!$A$1:$K$1,),)</f>
        <v>39072</v>
      </c>
      <c r="C138" s="12">
        <f t="shared" si="4"/>
        <v>4.7832124672118502E-3</v>
      </c>
      <c r="D138" s="13">
        <f t="shared" si="3"/>
        <v>1.9489178377269463E-3</v>
      </c>
    </row>
    <row r="139" spans="1:4" x14ac:dyDescent="0.35">
      <c r="A139" s="10">
        <v>37622</v>
      </c>
      <c r="B139" s="15">
        <f>VLOOKUP(A139,Database!A:K,MATCH($A$1,Database!$A$1:$K$1,),)</f>
        <v>39412</v>
      </c>
      <c r="C139" s="12">
        <f t="shared" si="4"/>
        <v>8.7018837018837027E-3</v>
      </c>
      <c r="D139" s="13">
        <f t="shared" si="3"/>
        <v>1.490999922746118E-2</v>
      </c>
    </row>
    <row r="140" spans="1:4" x14ac:dyDescent="0.35">
      <c r="A140" s="11">
        <v>37653</v>
      </c>
      <c r="B140" s="15">
        <f>VLOOKUP(A140,Database!A:K,MATCH($A$1,Database!$A$1:$K$1,),)</f>
        <v>39285</v>
      </c>
      <c r="C140" s="12">
        <f t="shared" si="4"/>
        <v>-3.2223688216786767E-3</v>
      </c>
      <c r="D140" s="13">
        <f t="shared" si="3"/>
        <v>1.0286742960010286E-2</v>
      </c>
    </row>
    <row r="141" spans="1:4" x14ac:dyDescent="0.35">
      <c r="A141" s="10">
        <v>37681</v>
      </c>
      <c r="B141" s="15">
        <f>VLOOKUP(A141,Database!A:K,MATCH($A$1,Database!$A$1:$K$1,),)</f>
        <v>39318</v>
      </c>
      <c r="C141" s="12">
        <f t="shared" si="4"/>
        <v>8.4001527300496374E-4</v>
      </c>
      <c r="D141" s="13">
        <f t="shared" si="3"/>
        <v>1.0407832857913808E-2</v>
      </c>
    </row>
    <row r="142" spans="1:4" x14ac:dyDescent="0.35">
      <c r="A142" s="11">
        <v>37712</v>
      </c>
      <c r="B142" s="15">
        <f>VLOOKUP(A142,Database!A:K,MATCH($A$1,Database!$A$1:$K$1,),)</f>
        <v>39441</v>
      </c>
      <c r="C142" s="12">
        <f t="shared" si="4"/>
        <v>3.1283381657256221E-3</v>
      </c>
      <c r="D142" s="13">
        <f t="shared" si="3"/>
        <v>2.2635345364032358E-2</v>
      </c>
    </row>
    <row r="143" spans="1:4" x14ac:dyDescent="0.35">
      <c r="A143" s="10">
        <v>37742</v>
      </c>
      <c r="B143" s="15">
        <f>VLOOKUP(A143,Database!A:K,MATCH($A$1,Database!$A$1:$K$1,),)</f>
        <v>39019</v>
      </c>
      <c r="C143" s="12">
        <f t="shared" si="4"/>
        <v>-1.0699525874090414E-2</v>
      </c>
      <c r="D143" s="13">
        <f t="shared" si="3"/>
        <v>7.9043215457339916E-3</v>
      </c>
    </row>
    <row r="144" spans="1:4" x14ac:dyDescent="0.35">
      <c r="A144" s="11">
        <v>37773</v>
      </c>
      <c r="B144" s="15">
        <f>VLOOKUP(A144,Database!A:K,MATCH($A$1,Database!$A$1:$K$1,),)</f>
        <v>39480</v>
      </c>
      <c r="C144" s="12">
        <f t="shared" si="4"/>
        <v>1.1814756913298649E-2</v>
      </c>
      <c r="D144" s="13">
        <f t="shared" si="3"/>
        <v>1.9549105182966195E-2</v>
      </c>
    </row>
    <row r="145" spans="1:4" x14ac:dyDescent="0.35">
      <c r="A145" s="10">
        <v>37803</v>
      </c>
      <c r="B145" s="15">
        <f>VLOOKUP(A145,Database!A:K,MATCH($A$1,Database!$A$1:$K$1,),)</f>
        <v>39808</v>
      </c>
      <c r="C145" s="12">
        <f t="shared" si="4"/>
        <v>8.3080040526849041E-3</v>
      </c>
      <c r="D145" s="13">
        <f t="shared" si="3"/>
        <v>2.5081114487304938E-2</v>
      </c>
    </row>
    <row r="146" spans="1:4" x14ac:dyDescent="0.35">
      <c r="A146" s="11">
        <v>37834</v>
      </c>
      <c r="B146" s="15">
        <f>VLOOKUP(A146,Database!A:K,MATCH($A$1,Database!$A$1:$K$1,),)</f>
        <v>39833</v>
      </c>
      <c r="C146" s="12">
        <f t="shared" si="4"/>
        <v>6.2801446945337622E-4</v>
      </c>
      <c r="D146" s="13">
        <f t="shared" si="3"/>
        <v>3.068802235619841E-2</v>
      </c>
    </row>
    <row r="147" spans="1:4" x14ac:dyDescent="0.35">
      <c r="A147" s="10">
        <v>37865</v>
      </c>
      <c r="B147" s="15">
        <f>VLOOKUP(A147,Database!A:K,MATCH($A$1,Database!$A$1:$K$1,),)</f>
        <v>39878</v>
      </c>
      <c r="C147" s="12">
        <f t="shared" si="4"/>
        <v>1.1297165666658299E-3</v>
      </c>
      <c r="D147" s="13">
        <f t="shared" ref="D147:D210" si="5">(B147-B135)/B135</f>
        <v>3.3135573460452344E-2</v>
      </c>
    </row>
    <row r="148" spans="1:4" x14ac:dyDescent="0.35">
      <c r="A148" s="11">
        <v>37895</v>
      </c>
      <c r="B148" s="15">
        <f>VLOOKUP(A148,Database!A:K,MATCH($A$1,Database!$A$1:$K$1,),)</f>
        <v>39776</v>
      </c>
      <c r="C148" s="12">
        <f t="shared" si="4"/>
        <v>-2.557801293946537E-3</v>
      </c>
      <c r="D148" s="13">
        <f t="shared" si="5"/>
        <v>2.7989558834931382E-2</v>
      </c>
    </row>
    <row r="149" spans="1:4" x14ac:dyDescent="0.35">
      <c r="A149" s="10">
        <v>37926</v>
      </c>
      <c r="B149" s="15">
        <f>VLOOKUP(A149,Database!A:K,MATCH($A$1,Database!$A$1:$K$1,),)</f>
        <v>39631</v>
      </c>
      <c r="C149" s="12">
        <f t="shared" si="4"/>
        <v>-3.6454143201930813E-3</v>
      </c>
      <c r="D149" s="13">
        <f t="shared" si="5"/>
        <v>1.9158566064907678E-2</v>
      </c>
    </row>
    <row r="150" spans="1:4" x14ac:dyDescent="0.35">
      <c r="A150" s="11">
        <v>37956</v>
      </c>
      <c r="B150" s="15">
        <f>VLOOKUP(A150,Database!A:K,MATCH($A$1,Database!$A$1:$K$1,),)</f>
        <v>39809</v>
      </c>
      <c r="C150" s="12">
        <f t="shared" si="4"/>
        <v>4.491433473795766E-3</v>
      </c>
      <c r="D150" s="13">
        <f t="shared" si="5"/>
        <v>1.8862612612612614E-2</v>
      </c>
    </row>
    <row r="151" spans="1:4" x14ac:dyDescent="0.35">
      <c r="A151" s="10">
        <v>37987</v>
      </c>
      <c r="B151" s="15">
        <f>VLOOKUP(A151,Database!A:K,MATCH($A$1,Database!$A$1:$K$1,),)</f>
        <v>40443</v>
      </c>
      <c r="C151" s="12">
        <f t="shared" si="4"/>
        <v>1.5926046873822503E-2</v>
      </c>
      <c r="D151" s="13">
        <f t="shared" si="5"/>
        <v>2.6159545316147365E-2</v>
      </c>
    </row>
    <row r="152" spans="1:4" x14ac:dyDescent="0.35">
      <c r="A152" s="11">
        <v>38018</v>
      </c>
      <c r="B152" s="15">
        <f>VLOOKUP(A152,Database!A:K,MATCH($A$1,Database!$A$1:$K$1,),)</f>
        <v>39922</v>
      </c>
      <c r="C152" s="12">
        <f t="shared" si="4"/>
        <v>-1.2882328215018668E-2</v>
      </c>
      <c r="D152" s="13">
        <f t="shared" si="5"/>
        <v>1.6214840269823089E-2</v>
      </c>
    </row>
    <row r="153" spans="1:4" x14ac:dyDescent="0.35">
      <c r="A153" s="10">
        <v>38047</v>
      </c>
      <c r="B153" s="15">
        <f>VLOOKUP(A153,Database!A:K,MATCH($A$1,Database!$A$1:$K$1,),)</f>
        <v>40419</v>
      </c>
      <c r="C153" s="12">
        <f t="shared" si="4"/>
        <v>1.2449276088372326E-2</v>
      </c>
      <c r="D153" s="13">
        <f t="shared" si="5"/>
        <v>2.8002441629787884E-2</v>
      </c>
    </row>
    <row r="154" spans="1:4" x14ac:dyDescent="0.35">
      <c r="A154" s="11">
        <v>38078</v>
      </c>
      <c r="B154" s="15">
        <f>VLOOKUP(A154,Database!A:K,MATCH($A$1,Database!$A$1:$K$1,),)</f>
        <v>40399</v>
      </c>
      <c r="C154" s="12">
        <f t="shared" si="4"/>
        <v>-4.9481679408199116E-4</v>
      </c>
      <c r="D154" s="13">
        <f t="shared" si="5"/>
        <v>2.4289444993788191E-2</v>
      </c>
    </row>
    <row r="155" spans="1:4" x14ac:dyDescent="0.35">
      <c r="A155" s="10">
        <v>38108</v>
      </c>
      <c r="B155" s="15">
        <f>VLOOKUP(A155,Database!A:K,MATCH($A$1,Database!$A$1:$K$1,),)</f>
        <v>40635</v>
      </c>
      <c r="C155" s="12">
        <f t="shared" si="4"/>
        <v>5.8417287556622689E-3</v>
      </c>
      <c r="D155" s="13">
        <f t="shared" si="5"/>
        <v>4.141572054640047E-2</v>
      </c>
    </row>
    <row r="156" spans="1:4" x14ac:dyDescent="0.35">
      <c r="A156" s="11">
        <v>38139</v>
      </c>
      <c r="B156" s="15">
        <f>VLOOKUP(A156,Database!A:K,MATCH($A$1,Database!$A$1:$K$1,),)</f>
        <v>40608</v>
      </c>
      <c r="C156" s="12">
        <f t="shared" si="4"/>
        <v>-6.6445182724252495E-4</v>
      </c>
      <c r="D156" s="13">
        <f t="shared" si="5"/>
        <v>2.8571428571428571E-2</v>
      </c>
    </row>
    <row r="157" spans="1:4" x14ac:dyDescent="0.35">
      <c r="A157" s="10">
        <v>38169</v>
      </c>
      <c r="B157" s="15">
        <f>VLOOKUP(A157,Database!A:K,MATCH($A$1,Database!$A$1:$K$1,),)</f>
        <v>40631</v>
      </c>
      <c r="C157" s="12">
        <f t="shared" si="4"/>
        <v>5.6639085894405038E-4</v>
      </c>
      <c r="D157" s="13">
        <f t="shared" si="5"/>
        <v>2.0674236334405145E-2</v>
      </c>
    </row>
    <row r="158" spans="1:4" x14ac:dyDescent="0.35">
      <c r="A158" s="11">
        <v>38200</v>
      </c>
      <c r="B158" s="15">
        <f>VLOOKUP(A158,Database!A:K,MATCH($A$1,Database!$A$1:$K$1,),)</f>
        <v>40771</v>
      </c>
      <c r="C158" s="12">
        <f t="shared" si="4"/>
        <v>3.4456449508995595E-3</v>
      </c>
      <c r="D158" s="13">
        <f t="shared" si="5"/>
        <v>2.3548314211834408E-2</v>
      </c>
    </row>
    <row r="159" spans="1:4" x14ac:dyDescent="0.35">
      <c r="A159" s="10">
        <v>38231</v>
      </c>
      <c r="B159" s="15">
        <f>VLOOKUP(A159,Database!A:K,MATCH($A$1,Database!$A$1:$K$1,),)</f>
        <v>41045</v>
      </c>
      <c r="C159" s="12">
        <f t="shared" si="4"/>
        <v>6.7204630742439481E-3</v>
      </c>
      <c r="D159" s="13">
        <f t="shared" si="5"/>
        <v>2.9264255980741262E-2</v>
      </c>
    </row>
    <row r="160" spans="1:4" x14ac:dyDescent="0.35">
      <c r="A160" s="11">
        <v>38261</v>
      </c>
      <c r="B160" s="15">
        <f>VLOOKUP(A160,Database!A:K,MATCH($A$1,Database!$A$1:$K$1,),)</f>
        <v>41177</v>
      </c>
      <c r="C160" s="12">
        <f t="shared" si="4"/>
        <v>3.2159824582775002E-3</v>
      </c>
      <c r="D160" s="13">
        <f t="shared" si="5"/>
        <v>3.5222244569589702E-2</v>
      </c>
    </row>
    <row r="161" spans="1:4" x14ac:dyDescent="0.35">
      <c r="A161" s="10">
        <v>38292</v>
      </c>
      <c r="B161" s="15">
        <f>VLOOKUP(A161,Database!A:K,MATCH($A$1,Database!$A$1:$K$1,),)</f>
        <v>41404</v>
      </c>
      <c r="C161" s="12">
        <f t="shared" si="4"/>
        <v>5.5127862641766038E-3</v>
      </c>
      <c r="D161" s="13">
        <f t="shared" si="5"/>
        <v>4.4737705331684793E-2</v>
      </c>
    </row>
    <row r="162" spans="1:4" x14ac:dyDescent="0.35">
      <c r="A162" s="11">
        <v>38322</v>
      </c>
      <c r="B162" s="15">
        <f>VLOOKUP(A162,Database!A:K,MATCH($A$1,Database!$A$1:$K$1,),)</f>
        <v>41534</v>
      </c>
      <c r="C162" s="12">
        <f t="shared" si="4"/>
        <v>3.1397932566901749E-3</v>
      </c>
      <c r="D162" s="13">
        <f t="shared" si="5"/>
        <v>4.3331909869627469E-2</v>
      </c>
    </row>
    <row r="163" spans="1:4" x14ac:dyDescent="0.35">
      <c r="A163" s="10">
        <v>38353</v>
      </c>
      <c r="B163" s="15">
        <f>VLOOKUP(A163,Database!A:K,MATCH($A$1,Database!$A$1:$K$1,),)</f>
        <v>41691</v>
      </c>
      <c r="C163" s="12">
        <f t="shared" si="4"/>
        <v>3.7800356334569268E-3</v>
      </c>
      <c r="D163" s="13">
        <f t="shared" si="5"/>
        <v>3.0858244937319191E-2</v>
      </c>
    </row>
    <row r="164" spans="1:4" x14ac:dyDescent="0.35">
      <c r="A164" s="11">
        <v>38384</v>
      </c>
      <c r="B164" s="15">
        <f>VLOOKUP(A164,Database!A:K,MATCH($A$1,Database!$A$1:$K$1,),)</f>
        <v>41757</v>
      </c>
      <c r="C164" s="12">
        <f t="shared" si="4"/>
        <v>1.5830754839173922E-3</v>
      </c>
      <c r="D164" s="13">
        <f t="shared" si="5"/>
        <v>4.5964631030509497E-2</v>
      </c>
    </row>
    <row r="165" spans="1:4" x14ac:dyDescent="0.35">
      <c r="A165" s="10">
        <v>38412</v>
      </c>
      <c r="B165" s="15">
        <f>VLOOKUP(A165,Database!A:K,MATCH($A$1,Database!$A$1:$K$1,),)</f>
        <v>41800</v>
      </c>
      <c r="C165" s="12">
        <f t="shared" si="4"/>
        <v>1.0297674641377493E-3</v>
      </c>
      <c r="D165" s="13">
        <f t="shared" si="5"/>
        <v>3.416709963136149E-2</v>
      </c>
    </row>
    <row r="166" spans="1:4" x14ac:dyDescent="0.35">
      <c r="A166" s="11">
        <v>38443</v>
      </c>
      <c r="B166" s="15">
        <f>VLOOKUP(A166,Database!A:K,MATCH($A$1,Database!$A$1:$K$1,),)</f>
        <v>42283</v>
      </c>
      <c r="C166" s="12">
        <f t="shared" si="4"/>
        <v>1.1555023923444976E-2</v>
      </c>
      <c r="D166" s="13">
        <f t="shared" si="5"/>
        <v>4.6634817693507268E-2</v>
      </c>
    </row>
    <row r="167" spans="1:4" x14ac:dyDescent="0.35">
      <c r="A167" s="10">
        <v>38473</v>
      </c>
      <c r="B167" s="15">
        <f>VLOOKUP(A167,Database!A:K,MATCH($A$1,Database!$A$1:$K$1,),)</f>
        <v>42081</v>
      </c>
      <c r="C167" s="12">
        <f t="shared" si="4"/>
        <v>-4.7773336802024455E-3</v>
      </c>
      <c r="D167" s="13">
        <f t="shared" si="5"/>
        <v>3.5585086747877442E-2</v>
      </c>
    </row>
    <row r="168" spans="1:4" x14ac:dyDescent="0.35">
      <c r="A168" s="11">
        <v>38504</v>
      </c>
      <c r="B168" s="15">
        <f>VLOOKUP(A168,Database!A:K,MATCH($A$1,Database!$A$1:$K$1,),)</f>
        <v>42363</v>
      </c>
      <c r="C168" s="12">
        <f t="shared" si="4"/>
        <v>6.7013616596563767E-3</v>
      </c>
      <c r="D168" s="13">
        <f t="shared" si="5"/>
        <v>4.3218085106382982E-2</v>
      </c>
    </row>
    <row r="169" spans="1:4" x14ac:dyDescent="0.35">
      <c r="A169" s="10">
        <v>38534</v>
      </c>
      <c r="B169" s="15">
        <f>VLOOKUP(A169,Database!A:K,MATCH($A$1,Database!$A$1:$K$1,),)</f>
        <v>42184</v>
      </c>
      <c r="C169" s="12">
        <f t="shared" si="4"/>
        <v>-4.2253853598659208E-3</v>
      </c>
      <c r="D169" s="13">
        <f t="shared" si="5"/>
        <v>3.8222047205335827E-2</v>
      </c>
    </row>
    <row r="170" spans="1:4" x14ac:dyDescent="0.35">
      <c r="A170" s="11">
        <v>38565</v>
      </c>
      <c r="B170" s="15">
        <f>VLOOKUP(A170,Database!A:K,MATCH($A$1,Database!$A$1:$K$1,),)</f>
        <v>42542</v>
      </c>
      <c r="C170" s="12">
        <f t="shared" si="4"/>
        <v>8.4866300018964537E-3</v>
      </c>
      <c r="D170" s="13">
        <f t="shared" si="5"/>
        <v>4.3437737607613255E-2</v>
      </c>
    </row>
    <row r="171" spans="1:4" x14ac:dyDescent="0.35">
      <c r="A171" s="10">
        <v>38596</v>
      </c>
      <c r="B171" s="15">
        <f>VLOOKUP(A171,Database!A:K,MATCH($A$1,Database!$A$1:$K$1,),)</f>
        <v>42845</v>
      </c>
      <c r="C171" s="12">
        <f t="shared" si="4"/>
        <v>7.1223731841474304E-3</v>
      </c>
      <c r="D171" s="13">
        <f t="shared" si="5"/>
        <v>4.3854306249238639E-2</v>
      </c>
    </row>
    <row r="172" spans="1:4" x14ac:dyDescent="0.35">
      <c r="A172" s="11">
        <v>38626</v>
      </c>
      <c r="B172" s="15">
        <f>VLOOKUP(A172,Database!A:K,MATCH($A$1,Database!$A$1:$K$1,),)</f>
        <v>42842</v>
      </c>
      <c r="C172" s="12">
        <f t="shared" si="4"/>
        <v>-7.0019838954370406E-5</v>
      </c>
      <c r="D172" s="13">
        <f t="shared" si="5"/>
        <v>4.0435194404643368E-2</v>
      </c>
    </row>
    <row r="173" spans="1:4" x14ac:dyDescent="0.35">
      <c r="A173" s="10">
        <v>38657</v>
      </c>
      <c r="B173" s="15">
        <f>VLOOKUP(A173,Database!A:K,MATCH($A$1,Database!$A$1:$K$1,),)</f>
        <v>42823</v>
      </c>
      <c r="C173" s="12">
        <f t="shared" si="4"/>
        <v>-4.4349003314504459E-4</v>
      </c>
      <c r="D173" s="13">
        <f t="shared" si="5"/>
        <v>3.4272051009564292E-2</v>
      </c>
    </row>
    <row r="174" spans="1:4" x14ac:dyDescent="0.35">
      <c r="A174" s="11">
        <v>38687</v>
      </c>
      <c r="B174" s="15">
        <f>VLOOKUP(A174,Database!A:K,MATCH($A$1,Database!$A$1:$K$1,),)</f>
        <v>43191</v>
      </c>
      <c r="C174" s="12">
        <f t="shared" si="4"/>
        <v>8.5935128318894057E-3</v>
      </c>
      <c r="D174" s="13">
        <f t="shared" si="5"/>
        <v>3.989502576202629E-2</v>
      </c>
    </row>
    <row r="175" spans="1:4" x14ac:dyDescent="0.35">
      <c r="A175" s="10">
        <v>38718</v>
      </c>
      <c r="B175" s="15">
        <f>VLOOKUP(A175,Database!A:K,MATCH($A$1,Database!$A$1:$K$1,),)</f>
        <v>42681</v>
      </c>
      <c r="C175" s="12">
        <f t="shared" si="4"/>
        <v>-1.1808015558796972E-2</v>
      </c>
      <c r="D175" s="13">
        <f t="shared" si="5"/>
        <v>2.3746132258760884E-2</v>
      </c>
    </row>
    <row r="176" spans="1:4" x14ac:dyDescent="0.35">
      <c r="A176" s="11">
        <v>38749</v>
      </c>
      <c r="B176" s="15">
        <f>VLOOKUP(A176,Database!A:K,MATCH($A$1,Database!$A$1:$K$1,),)</f>
        <v>43379</v>
      </c>
      <c r="C176" s="12">
        <f t="shared" si="4"/>
        <v>1.6353881118061901E-2</v>
      </c>
      <c r="D176" s="13">
        <f t="shared" si="5"/>
        <v>3.8843786670498356E-2</v>
      </c>
    </row>
    <row r="177" spans="1:4" x14ac:dyDescent="0.35">
      <c r="A177" s="10">
        <v>38777</v>
      </c>
      <c r="B177" s="15">
        <f>VLOOKUP(A177,Database!A:K,MATCH($A$1,Database!$A$1:$K$1,),)</f>
        <v>43233</v>
      </c>
      <c r="C177" s="12">
        <f t="shared" si="4"/>
        <v>-3.3656838562438045E-3</v>
      </c>
      <c r="D177" s="13">
        <f t="shared" si="5"/>
        <v>3.4282296650717706E-2</v>
      </c>
    </row>
    <row r="178" spans="1:4" x14ac:dyDescent="0.35">
      <c r="A178" s="11">
        <v>38808</v>
      </c>
      <c r="B178" s="15">
        <f>VLOOKUP(A178,Database!A:K,MATCH($A$1,Database!$A$1:$K$1,),)</f>
        <v>43269</v>
      </c>
      <c r="C178" s="12">
        <f t="shared" si="4"/>
        <v>8.3269724515994722E-4</v>
      </c>
      <c r="D178" s="13">
        <f t="shared" si="5"/>
        <v>2.3319064399404017E-2</v>
      </c>
    </row>
    <row r="179" spans="1:4" x14ac:dyDescent="0.35">
      <c r="A179" s="10">
        <v>38838</v>
      </c>
      <c r="B179" s="15">
        <f>VLOOKUP(A179,Database!A:K,MATCH($A$1,Database!$A$1:$K$1,),)</f>
        <v>43654</v>
      </c>
      <c r="C179" s="12">
        <f t="shared" si="4"/>
        <v>8.897825232845687E-3</v>
      </c>
      <c r="D179" s="13">
        <f t="shared" si="5"/>
        <v>3.7380290392338582E-2</v>
      </c>
    </row>
    <row r="180" spans="1:4" x14ac:dyDescent="0.35">
      <c r="A180" s="11">
        <v>38869</v>
      </c>
      <c r="B180" s="15">
        <f>VLOOKUP(A180,Database!A:K,MATCH($A$1,Database!$A$1:$K$1,),)</f>
        <v>43782</v>
      </c>
      <c r="C180" s="12">
        <f t="shared" si="4"/>
        <v>2.9321482567462318E-3</v>
      </c>
      <c r="D180" s="13">
        <f t="shared" si="5"/>
        <v>3.3496211316479001E-2</v>
      </c>
    </row>
    <row r="181" spans="1:4" x14ac:dyDescent="0.35">
      <c r="A181" s="10">
        <v>38899</v>
      </c>
      <c r="B181" s="15">
        <f>VLOOKUP(A181,Database!A:K,MATCH($A$1,Database!$A$1:$K$1,),)</f>
        <v>43827</v>
      </c>
      <c r="C181" s="12">
        <f t="shared" si="4"/>
        <v>1.0278196519117446E-3</v>
      </c>
      <c r="D181" s="13">
        <f t="shared" si="5"/>
        <v>3.8948416461217522E-2</v>
      </c>
    </row>
    <row r="182" spans="1:4" x14ac:dyDescent="0.35">
      <c r="A182" s="11">
        <v>38930</v>
      </c>
      <c r="B182" s="15">
        <f>VLOOKUP(A182,Database!A:K,MATCH($A$1,Database!$A$1:$K$1,),)</f>
        <v>44160</v>
      </c>
      <c r="C182" s="12">
        <f t="shared" si="4"/>
        <v>7.5980559928811005E-3</v>
      </c>
      <c r="D182" s="13">
        <f t="shared" si="5"/>
        <v>3.8033002679704761E-2</v>
      </c>
    </row>
    <row r="183" spans="1:4" x14ac:dyDescent="0.35">
      <c r="A183" s="10">
        <v>38961</v>
      </c>
      <c r="B183" s="15">
        <f>VLOOKUP(A183,Database!A:K,MATCH($A$1,Database!$A$1:$K$1,),)</f>
        <v>43846</v>
      </c>
      <c r="C183" s="12">
        <f t="shared" si="4"/>
        <v>-7.1105072463768116E-3</v>
      </c>
      <c r="D183" s="13">
        <f t="shared" si="5"/>
        <v>2.3363286264441591E-2</v>
      </c>
    </row>
    <row r="184" spans="1:4" x14ac:dyDescent="0.35">
      <c r="A184" s="11">
        <v>38991</v>
      </c>
      <c r="B184" s="15">
        <f>VLOOKUP(A184,Database!A:K,MATCH($A$1,Database!$A$1:$K$1,),)</f>
        <v>44542</v>
      </c>
      <c r="C184" s="12">
        <f t="shared" si="4"/>
        <v>1.5873739907859327E-2</v>
      </c>
      <c r="D184" s="13">
        <f t="shared" si="5"/>
        <v>3.9680687176135571E-2</v>
      </c>
    </row>
    <row r="185" spans="1:4" x14ac:dyDescent="0.35">
      <c r="A185" s="10">
        <v>39022</v>
      </c>
      <c r="B185" s="15">
        <f>VLOOKUP(A185,Database!A:K,MATCH($A$1,Database!$A$1:$K$1,),)</f>
        <v>44572</v>
      </c>
      <c r="C185" s="12">
        <f t="shared" si="4"/>
        <v>6.735216200440034E-4</v>
      </c>
      <c r="D185" s="13">
        <f t="shared" si="5"/>
        <v>4.0842537888517855E-2</v>
      </c>
    </row>
    <row r="186" spans="1:4" x14ac:dyDescent="0.35">
      <c r="A186" s="11">
        <v>39052</v>
      </c>
      <c r="B186" s="15">
        <f>VLOOKUP(A186,Database!A:K,MATCH($A$1,Database!$A$1:$K$1,),)</f>
        <v>44730</v>
      </c>
      <c r="C186" s="12">
        <f t="shared" si="4"/>
        <v>3.544826348380149E-3</v>
      </c>
      <c r="D186" s="13">
        <f t="shared" si="5"/>
        <v>3.5632423421546155E-2</v>
      </c>
    </row>
    <row r="187" spans="1:4" x14ac:dyDescent="0.35">
      <c r="A187" s="10">
        <v>39083</v>
      </c>
      <c r="B187" s="15">
        <f>VLOOKUP(A187,Database!A:K,MATCH($A$1,Database!$A$1:$K$1,),)</f>
        <v>44856</v>
      </c>
      <c r="C187" s="12">
        <f t="shared" si="4"/>
        <v>2.8169014084507044E-3</v>
      </c>
      <c r="D187" s="13">
        <f t="shared" si="5"/>
        <v>5.0959443312012367E-2</v>
      </c>
    </row>
    <row r="188" spans="1:4" x14ac:dyDescent="0.35">
      <c r="A188" s="11">
        <v>39114</v>
      </c>
      <c r="B188" s="15">
        <f>VLOOKUP(A188,Database!A:K,MATCH($A$1,Database!$A$1:$K$1,),)</f>
        <v>45274</v>
      </c>
      <c r="C188" s="12">
        <f t="shared" si="4"/>
        <v>9.3187087569110046E-3</v>
      </c>
      <c r="D188" s="13">
        <f t="shared" si="5"/>
        <v>4.3684732243712394E-2</v>
      </c>
    </row>
    <row r="189" spans="1:4" x14ac:dyDescent="0.35">
      <c r="A189" s="10">
        <v>39142</v>
      </c>
      <c r="B189" s="15">
        <f>VLOOKUP(A189,Database!A:K,MATCH($A$1,Database!$A$1:$K$1,),)</f>
        <v>45271</v>
      </c>
      <c r="C189" s="12">
        <f t="shared" si="4"/>
        <v>-6.6263197420152843E-5</v>
      </c>
      <c r="D189" s="13">
        <f t="shared" si="5"/>
        <v>4.71399162676659E-2</v>
      </c>
    </row>
    <row r="190" spans="1:4" x14ac:dyDescent="0.35">
      <c r="A190" s="11">
        <v>39173</v>
      </c>
      <c r="B190" s="15">
        <f>VLOOKUP(A190,Database!A:K,MATCH($A$1,Database!$A$1:$K$1,),)</f>
        <v>44988</v>
      </c>
      <c r="C190" s="12">
        <f t="shared" si="4"/>
        <v>-6.2512425172847963E-3</v>
      </c>
      <c r="D190" s="13">
        <f t="shared" si="5"/>
        <v>3.9728211883796716E-2</v>
      </c>
    </row>
    <row r="191" spans="1:4" x14ac:dyDescent="0.35">
      <c r="A191" s="10">
        <v>39203</v>
      </c>
      <c r="B191" s="15">
        <f>VLOOKUP(A191,Database!A:K,MATCH($A$1,Database!$A$1:$K$1,),)</f>
        <v>45454</v>
      </c>
      <c r="C191" s="12">
        <f t="shared" si="4"/>
        <v>1.0358317773628523E-2</v>
      </c>
      <c r="D191" s="13">
        <f t="shared" si="5"/>
        <v>4.1233334860493881E-2</v>
      </c>
    </row>
    <row r="192" spans="1:4" x14ac:dyDescent="0.35">
      <c r="A192" s="11">
        <v>39234</v>
      </c>
      <c r="B192" s="15">
        <f>VLOOKUP(A192,Database!A:K,MATCH($A$1,Database!$A$1:$K$1,),)</f>
        <v>45627</v>
      </c>
      <c r="C192" s="12">
        <f t="shared" si="4"/>
        <v>3.8060456725480707E-3</v>
      </c>
      <c r="D192" s="13">
        <f t="shared" si="5"/>
        <v>4.2140605728381526E-2</v>
      </c>
    </row>
    <row r="193" spans="1:4" x14ac:dyDescent="0.35">
      <c r="A193" s="10">
        <v>39264</v>
      </c>
      <c r="B193" s="15">
        <f>VLOOKUP(A193,Database!A:K,MATCH($A$1,Database!$A$1:$K$1,),)</f>
        <v>45754</v>
      </c>
      <c r="C193" s="12">
        <f t="shared" si="4"/>
        <v>2.7834396300436145E-3</v>
      </c>
      <c r="D193" s="13">
        <f t="shared" si="5"/>
        <v>4.3968330024870515E-2</v>
      </c>
    </row>
    <row r="194" spans="1:4" x14ac:dyDescent="0.35">
      <c r="A194" s="11">
        <v>39295</v>
      </c>
      <c r="B194" s="15">
        <f>VLOOKUP(A194,Database!A:K,MATCH($A$1,Database!$A$1:$K$1,),)</f>
        <v>45643</v>
      </c>
      <c r="C194" s="12">
        <f t="shared" si="4"/>
        <v>-2.4260173973860207E-3</v>
      </c>
      <c r="D194" s="13">
        <f t="shared" si="5"/>
        <v>3.3582427536231883E-2</v>
      </c>
    </row>
    <row r="195" spans="1:4" x14ac:dyDescent="0.35">
      <c r="A195" s="10">
        <v>39326</v>
      </c>
      <c r="B195" s="15">
        <f>VLOOKUP(A195,Database!A:K,MATCH($A$1,Database!$A$1:$K$1,),)</f>
        <v>45853</v>
      </c>
      <c r="C195" s="12">
        <f t="shared" si="4"/>
        <v>4.6009245667462699E-3</v>
      </c>
      <c r="D195" s="13">
        <f t="shared" si="5"/>
        <v>4.5773844820508142E-2</v>
      </c>
    </row>
    <row r="196" spans="1:4" x14ac:dyDescent="0.35">
      <c r="A196" s="11">
        <v>39356</v>
      </c>
      <c r="B196" s="15">
        <f>VLOOKUP(A196,Database!A:K,MATCH($A$1,Database!$A$1:$K$1,),)</f>
        <v>46113</v>
      </c>
      <c r="C196" s="12">
        <f t="shared" si="4"/>
        <v>5.6702942010337385E-3</v>
      </c>
      <c r="D196" s="13">
        <f t="shared" si="5"/>
        <v>3.5270082169637645E-2</v>
      </c>
    </row>
    <row r="197" spans="1:4" x14ac:dyDescent="0.35">
      <c r="A197" s="10">
        <v>39387</v>
      </c>
      <c r="B197" s="15">
        <f>VLOOKUP(A197,Database!A:K,MATCH($A$1,Database!$A$1:$K$1,),)</f>
        <v>46624</v>
      </c>
      <c r="C197" s="12">
        <f t="shared" si="4"/>
        <v>1.108147377095396E-2</v>
      </c>
      <c r="D197" s="13">
        <f t="shared" si="5"/>
        <v>4.6037871309342185E-2</v>
      </c>
    </row>
    <row r="198" spans="1:4" x14ac:dyDescent="0.35">
      <c r="A198" s="11">
        <v>39417</v>
      </c>
      <c r="B198" s="15">
        <f>VLOOKUP(A198,Database!A:K,MATCH($A$1,Database!$A$1:$K$1,),)</f>
        <v>46831</v>
      </c>
      <c r="C198" s="12">
        <f t="shared" si="4"/>
        <v>4.4397735072065885E-3</v>
      </c>
      <c r="D198" s="13">
        <f t="shared" si="5"/>
        <v>4.6970713167896264E-2</v>
      </c>
    </row>
    <row r="199" spans="1:4" x14ac:dyDescent="0.35">
      <c r="A199" s="10">
        <v>39448</v>
      </c>
      <c r="B199" s="15">
        <f>VLOOKUP(A199,Database!A:K,MATCH($A$1,Database!$A$1:$K$1,),)</f>
        <v>46862</v>
      </c>
      <c r="C199" s="12">
        <f t="shared" si="4"/>
        <v>6.6195468813392839E-4</v>
      </c>
      <c r="D199" s="13">
        <f t="shared" si="5"/>
        <v>4.4720884608525059E-2</v>
      </c>
    </row>
    <row r="200" spans="1:4" x14ac:dyDescent="0.35">
      <c r="A200" s="11">
        <v>39479</v>
      </c>
      <c r="B200" s="15">
        <f>VLOOKUP(A200,Database!A:K,MATCH($A$1,Database!$A$1:$K$1,),)</f>
        <v>46707</v>
      </c>
      <c r="C200" s="12">
        <f t="shared" ref="C200:C263" si="6">(B200-B199)/B199</f>
        <v>-3.3075839699543341E-3</v>
      </c>
      <c r="D200" s="13">
        <f t="shared" si="5"/>
        <v>3.1651720634359677E-2</v>
      </c>
    </row>
    <row r="201" spans="1:4" x14ac:dyDescent="0.35">
      <c r="A201" s="10">
        <v>39508</v>
      </c>
      <c r="B201" s="15">
        <f>VLOOKUP(A201,Database!A:K,MATCH($A$1,Database!$A$1:$K$1,),)</f>
        <v>46883</v>
      </c>
      <c r="C201" s="12">
        <f t="shared" si="6"/>
        <v>3.7681717943777162E-3</v>
      </c>
      <c r="D201" s="13">
        <f t="shared" si="5"/>
        <v>3.5607784232731768E-2</v>
      </c>
    </row>
    <row r="202" spans="1:4" x14ac:dyDescent="0.35">
      <c r="A202" s="11">
        <v>39539</v>
      </c>
      <c r="B202" s="15">
        <f>VLOOKUP(A202,Database!A:K,MATCH($A$1,Database!$A$1:$K$1,),)</f>
        <v>47356</v>
      </c>
      <c r="C202" s="12">
        <f t="shared" si="6"/>
        <v>1.008894482008404E-2</v>
      </c>
      <c r="D202" s="13">
        <f t="shared" si="5"/>
        <v>5.2636258557837642E-2</v>
      </c>
    </row>
    <row r="203" spans="1:4" x14ac:dyDescent="0.35">
      <c r="A203" s="10">
        <v>39569</v>
      </c>
      <c r="B203" s="15">
        <f>VLOOKUP(A203,Database!A:K,MATCH($A$1,Database!$A$1:$K$1,),)</f>
        <v>47355</v>
      </c>
      <c r="C203" s="12">
        <f t="shared" si="6"/>
        <v>-2.1116648365571416E-5</v>
      </c>
      <c r="D203" s="13">
        <f t="shared" si="5"/>
        <v>4.1822501870022441E-2</v>
      </c>
    </row>
    <row r="204" spans="1:4" x14ac:dyDescent="0.35">
      <c r="A204" s="11">
        <v>39600</v>
      </c>
      <c r="B204" s="15">
        <f>VLOOKUP(A204,Database!A:K,MATCH($A$1,Database!$A$1:$K$1,),)</f>
        <v>47568</v>
      </c>
      <c r="C204" s="12">
        <f t="shared" si="6"/>
        <v>4.497941083306937E-3</v>
      </c>
      <c r="D204" s="13">
        <f t="shared" si="5"/>
        <v>4.2540600959957917E-2</v>
      </c>
    </row>
    <row r="205" spans="1:4" x14ac:dyDescent="0.35">
      <c r="A205" s="10">
        <v>39630</v>
      </c>
      <c r="B205" s="15">
        <f>VLOOKUP(A205,Database!A:K,MATCH($A$1,Database!$A$1:$K$1,),)</f>
        <v>47845</v>
      </c>
      <c r="C205" s="12">
        <f t="shared" si="6"/>
        <v>5.8232425159771275E-3</v>
      </c>
      <c r="D205" s="13">
        <f t="shared" si="5"/>
        <v>4.5700922323731255E-2</v>
      </c>
    </row>
    <row r="206" spans="1:4" x14ac:dyDescent="0.35">
      <c r="A206" s="11">
        <v>39661</v>
      </c>
      <c r="B206" s="15">
        <f>VLOOKUP(A206,Database!A:K,MATCH($A$1,Database!$A$1:$K$1,),)</f>
        <v>47988</v>
      </c>
      <c r="C206" s="12">
        <f t="shared" si="6"/>
        <v>2.9888180583133033E-3</v>
      </c>
      <c r="D206" s="13">
        <f t="shared" si="5"/>
        <v>5.1376990995333348E-2</v>
      </c>
    </row>
    <row r="207" spans="1:4" x14ac:dyDescent="0.35">
      <c r="A207" s="10">
        <v>39692</v>
      </c>
      <c r="B207" s="15">
        <f>VLOOKUP(A207,Database!A:K,MATCH($A$1,Database!$A$1:$K$1,),)</f>
        <v>47740</v>
      </c>
      <c r="C207" s="12">
        <f t="shared" si="6"/>
        <v>-5.1679586563307496E-3</v>
      </c>
      <c r="D207" s="13">
        <f t="shared" si="5"/>
        <v>4.1153250605194862E-2</v>
      </c>
    </row>
    <row r="208" spans="1:4" x14ac:dyDescent="0.35">
      <c r="A208" s="11">
        <v>39722</v>
      </c>
      <c r="B208" s="15">
        <f>VLOOKUP(A208,Database!A:K,MATCH($A$1,Database!$A$1:$K$1,),)</f>
        <v>47703</v>
      </c>
      <c r="C208" s="12">
        <f t="shared" si="6"/>
        <v>-7.7503142019271051E-4</v>
      </c>
      <c r="D208" s="13">
        <f t="shared" si="5"/>
        <v>3.4480515256001563E-2</v>
      </c>
    </row>
    <row r="209" spans="1:4" x14ac:dyDescent="0.35">
      <c r="A209" s="10">
        <v>39753</v>
      </c>
      <c r="B209" s="15">
        <f>VLOOKUP(A209,Database!A:K,MATCH($A$1,Database!$A$1:$K$1,),)</f>
        <v>47363</v>
      </c>
      <c r="C209" s="12">
        <f t="shared" si="6"/>
        <v>-7.1274343332704444E-3</v>
      </c>
      <c r="D209" s="13">
        <f t="shared" si="5"/>
        <v>1.5850205902539466E-2</v>
      </c>
    </row>
    <row r="210" spans="1:4" x14ac:dyDescent="0.35">
      <c r="A210" s="11">
        <v>39783</v>
      </c>
      <c r="B210" s="15">
        <f>VLOOKUP(A210,Database!A:K,MATCH($A$1,Database!$A$1:$K$1,),)</f>
        <v>46942</v>
      </c>
      <c r="C210" s="12">
        <f t="shared" si="6"/>
        <v>-8.8887950509891692E-3</v>
      </c>
      <c r="D210" s="13">
        <f t="shared" si="5"/>
        <v>2.3702248510601952E-3</v>
      </c>
    </row>
    <row r="211" spans="1:4" x14ac:dyDescent="0.35">
      <c r="A211" s="10">
        <v>39814</v>
      </c>
      <c r="B211" s="15">
        <f>VLOOKUP(A211,Database!A:K,MATCH($A$1,Database!$A$1:$K$1,),)</f>
        <v>47639</v>
      </c>
      <c r="C211" s="12">
        <f t="shared" si="6"/>
        <v>1.4848110434152784E-2</v>
      </c>
      <c r="D211" s="13">
        <f t="shared" ref="D211:D274" si="7">(B211-B199)/B199</f>
        <v>1.6580598352609791E-2</v>
      </c>
    </row>
    <row r="212" spans="1:4" x14ac:dyDescent="0.35">
      <c r="A212" s="11">
        <v>39845</v>
      </c>
      <c r="B212" s="15">
        <f>VLOOKUP(A212,Database!A:K,MATCH($A$1,Database!$A$1:$K$1,),)</f>
        <v>46928</v>
      </c>
      <c r="C212" s="12">
        <f t="shared" si="6"/>
        <v>-1.4924746531203426E-2</v>
      </c>
      <c r="D212" s="13">
        <f t="shared" si="7"/>
        <v>4.7316248099856552E-3</v>
      </c>
    </row>
    <row r="213" spans="1:4" x14ac:dyDescent="0.35">
      <c r="A213" s="10">
        <v>39873</v>
      </c>
      <c r="B213" s="15">
        <f>VLOOKUP(A213,Database!A:K,MATCH($A$1,Database!$A$1:$K$1,),)</f>
        <v>46912</v>
      </c>
      <c r="C213" s="12">
        <f t="shared" si="6"/>
        <v>-3.4094783498124785E-4</v>
      </c>
      <c r="D213" s="13">
        <f t="shared" si="7"/>
        <v>6.1856109890578677E-4</v>
      </c>
    </row>
    <row r="214" spans="1:4" x14ac:dyDescent="0.35">
      <c r="A214" s="11">
        <v>39904</v>
      </c>
      <c r="B214" s="15">
        <f>VLOOKUP(A214,Database!A:K,MATCH($A$1,Database!$A$1:$K$1,),)</f>
        <v>47133</v>
      </c>
      <c r="C214" s="12">
        <f t="shared" si="6"/>
        <v>4.7109481582537516E-3</v>
      </c>
      <c r="D214" s="13">
        <f t="shared" si="7"/>
        <v>-4.709012585522426E-3</v>
      </c>
    </row>
    <row r="215" spans="1:4" x14ac:dyDescent="0.35">
      <c r="A215" s="10">
        <v>39934</v>
      </c>
      <c r="B215" s="15">
        <f>VLOOKUP(A215,Database!A:K,MATCH($A$1,Database!$A$1:$K$1,),)</f>
        <v>47219</v>
      </c>
      <c r="C215" s="12">
        <f t="shared" si="6"/>
        <v>1.8246239365200603E-3</v>
      </c>
      <c r="D215" s="13">
        <f t="shared" si="7"/>
        <v>-2.8719248231443353E-3</v>
      </c>
    </row>
    <row r="216" spans="1:4" x14ac:dyDescent="0.35">
      <c r="A216" s="11">
        <v>39965</v>
      </c>
      <c r="B216" s="15">
        <f>VLOOKUP(A216,Database!A:K,MATCH($A$1,Database!$A$1:$K$1,),)</f>
        <v>47350</v>
      </c>
      <c r="C216" s="12">
        <f t="shared" si="6"/>
        <v>2.7743069527097143E-3</v>
      </c>
      <c r="D216" s="13">
        <f t="shared" si="7"/>
        <v>-4.5829128826101583E-3</v>
      </c>
    </row>
    <row r="217" spans="1:4" x14ac:dyDescent="0.35">
      <c r="A217" s="10">
        <v>39995</v>
      </c>
      <c r="B217" s="15">
        <f>VLOOKUP(A217,Database!A:K,MATCH($A$1,Database!$A$1:$K$1,),)</f>
        <v>47330</v>
      </c>
      <c r="C217" s="12">
        <f t="shared" si="6"/>
        <v>-4.2238648363252375E-4</v>
      </c>
      <c r="D217" s="13">
        <f t="shared" si="7"/>
        <v>-1.0763925175044414E-2</v>
      </c>
    </row>
    <row r="218" spans="1:4" x14ac:dyDescent="0.35">
      <c r="A218" s="11">
        <v>40026</v>
      </c>
      <c r="B218" s="15">
        <f>VLOOKUP(A218,Database!A:K,MATCH($A$1,Database!$A$1:$K$1,),)</f>
        <v>47309</v>
      </c>
      <c r="C218" s="12">
        <f t="shared" si="6"/>
        <v>-4.4369321783224171E-4</v>
      </c>
      <c r="D218" s="13">
        <f t="shared" si="7"/>
        <v>-1.4149370676002334E-2</v>
      </c>
    </row>
    <row r="219" spans="1:4" x14ac:dyDescent="0.35">
      <c r="A219" s="10">
        <v>40057</v>
      </c>
      <c r="B219" s="15">
        <f>VLOOKUP(A219,Database!A:K,MATCH($A$1,Database!$A$1:$K$1,),)</f>
        <v>47559</v>
      </c>
      <c r="C219" s="12">
        <f t="shared" si="6"/>
        <v>5.2844067724957195E-3</v>
      </c>
      <c r="D219" s="13">
        <f t="shared" si="7"/>
        <v>-3.7913699204021787E-3</v>
      </c>
    </row>
    <row r="220" spans="1:4" x14ac:dyDescent="0.35">
      <c r="A220" s="11">
        <v>40087</v>
      </c>
      <c r="B220" s="15">
        <f>VLOOKUP(A220,Database!A:K,MATCH($A$1,Database!$A$1:$K$1,),)</f>
        <v>47603</v>
      </c>
      <c r="C220" s="12">
        <f t="shared" si="6"/>
        <v>9.2516663512689503E-4</v>
      </c>
      <c r="D220" s="13">
        <f t="shared" si="7"/>
        <v>-2.0963042156677777E-3</v>
      </c>
    </row>
    <row r="221" spans="1:4" x14ac:dyDescent="0.35">
      <c r="A221" s="10">
        <v>40118</v>
      </c>
      <c r="B221" s="15">
        <f>VLOOKUP(A221,Database!A:K,MATCH($A$1,Database!$A$1:$K$1,),)</f>
        <v>47689</v>
      </c>
      <c r="C221" s="12">
        <f t="shared" si="6"/>
        <v>1.8066088271747579E-3</v>
      </c>
      <c r="D221" s="13">
        <f t="shared" si="7"/>
        <v>6.8830099444714228E-3</v>
      </c>
    </row>
    <row r="222" spans="1:4" x14ac:dyDescent="0.35">
      <c r="A222" s="11">
        <v>40148</v>
      </c>
      <c r="B222" s="15">
        <f>VLOOKUP(A222,Database!A:K,MATCH($A$1,Database!$A$1:$K$1,),)</f>
        <v>48134</v>
      </c>
      <c r="C222" s="12">
        <f t="shared" si="6"/>
        <v>9.3312923315649315E-3</v>
      </c>
      <c r="D222" s="13">
        <f t="shared" si="7"/>
        <v>2.5393038217374632E-2</v>
      </c>
    </row>
    <row r="223" spans="1:4" x14ac:dyDescent="0.35">
      <c r="A223" s="10">
        <v>40179</v>
      </c>
      <c r="B223" s="15">
        <f>VLOOKUP(A223,Database!A:K,MATCH($A$1,Database!$A$1:$K$1,),)</f>
        <v>47875</v>
      </c>
      <c r="C223" s="12">
        <f t="shared" si="6"/>
        <v>-5.3808119001121871E-3</v>
      </c>
      <c r="D223" s="13">
        <f t="shared" si="7"/>
        <v>4.953924305715905E-3</v>
      </c>
    </row>
    <row r="224" spans="1:4" x14ac:dyDescent="0.35">
      <c r="A224" s="11">
        <v>40210</v>
      </c>
      <c r="B224" s="15">
        <f>VLOOKUP(A224,Database!A:K,MATCH($A$1,Database!$A$1:$K$1,),)</f>
        <v>48699</v>
      </c>
      <c r="C224" s="12">
        <f t="shared" si="6"/>
        <v>1.7211488250652742E-2</v>
      </c>
      <c r="D224" s="13">
        <f t="shared" si="7"/>
        <v>3.7738663484486873E-2</v>
      </c>
    </row>
    <row r="225" spans="1:4" x14ac:dyDescent="0.35">
      <c r="A225" s="10">
        <v>40238</v>
      </c>
      <c r="B225" s="15">
        <f>VLOOKUP(A225,Database!A:K,MATCH($A$1,Database!$A$1:$K$1,),)</f>
        <v>48268</v>
      </c>
      <c r="C225" s="12">
        <f t="shared" si="6"/>
        <v>-8.8502844000903514E-3</v>
      </c>
      <c r="D225" s="13">
        <f t="shared" si="7"/>
        <v>2.8905184174624829E-2</v>
      </c>
    </row>
    <row r="226" spans="1:4" x14ac:dyDescent="0.35">
      <c r="A226" s="11">
        <v>40269</v>
      </c>
      <c r="B226" s="15">
        <f>VLOOKUP(A226,Database!A:K,MATCH($A$1,Database!$A$1:$K$1,),)</f>
        <v>48217</v>
      </c>
      <c r="C226" s="12">
        <f t="shared" si="6"/>
        <v>-1.0566006463909837E-3</v>
      </c>
      <c r="D226" s="13">
        <f t="shared" si="7"/>
        <v>2.2998748223113319E-2</v>
      </c>
    </row>
    <row r="227" spans="1:4" x14ac:dyDescent="0.35">
      <c r="A227" s="10">
        <v>40299</v>
      </c>
      <c r="B227" s="15">
        <f>VLOOKUP(A227,Database!A:K,MATCH($A$1,Database!$A$1:$K$1,),)</f>
        <v>48195</v>
      </c>
      <c r="C227" s="12">
        <f t="shared" si="6"/>
        <v>-4.562706099508472E-4</v>
      </c>
      <c r="D227" s="13">
        <f t="shared" si="7"/>
        <v>2.0669645693470847E-2</v>
      </c>
    </row>
    <row r="228" spans="1:4" x14ac:dyDescent="0.35">
      <c r="A228" s="11">
        <v>40330</v>
      </c>
      <c r="B228" s="15">
        <f>VLOOKUP(A228,Database!A:K,MATCH($A$1,Database!$A$1:$K$1,),)</f>
        <v>47866</v>
      </c>
      <c r="C228" s="12">
        <f t="shared" si="6"/>
        <v>-6.8264342774146695E-3</v>
      </c>
      <c r="D228" s="13">
        <f t="shared" si="7"/>
        <v>1.0897571277719113E-2</v>
      </c>
    </row>
    <row r="229" spans="1:4" x14ac:dyDescent="0.35">
      <c r="A229" s="10">
        <v>40360</v>
      </c>
      <c r="B229" s="15">
        <f>VLOOKUP(A229,Database!A:K,MATCH($A$1,Database!$A$1:$K$1,),)</f>
        <v>47954</v>
      </c>
      <c r="C229" s="12">
        <f t="shared" si="6"/>
        <v>1.8384657167927129E-3</v>
      </c>
      <c r="D229" s="13">
        <f t="shared" si="7"/>
        <v>1.3184027044158039E-2</v>
      </c>
    </row>
    <row r="230" spans="1:4" x14ac:dyDescent="0.35">
      <c r="A230" s="11">
        <v>40391</v>
      </c>
      <c r="B230" s="15">
        <f>VLOOKUP(A230,Database!A:K,MATCH($A$1,Database!$A$1:$K$1,),)</f>
        <v>48217</v>
      </c>
      <c r="C230" s="12">
        <f t="shared" si="6"/>
        <v>5.4844225716311461E-3</v>
      </c>
      <c r="D230" s="13">
        <f t="shared" si="7"/>
        <v>1.9192965397704452E-2</v>
      </c>
    </row>
    <row r="231" spans="1:4" x14ac:dyDescent="0.35">
      <c r="A231" s="10">
        <v>40422</v>
      </c>
      <c r="B231" s="15">
        <f>VLOOKUP(A231,Database!A:K,MATCH($A$1,Database!$A$1:$K$1,),)</f>
        <v>48679</v>
      </c>
      <c r="C231" s="12">
        <f t="shared" si="6"/>
        <v>9.5816828089677914E-3</v>
      </c>
      <c r="D231" s="13">
        <f t="shared" si="7"/>
        <v>2.3549696166866418E-2</v>
      </c>
    </row>
    <row r="232" spans="1:4" x14ac:dyDescent="0.35">
      <c r="A232" s="11">
        <v>40452</v>
      </c>
      <c r="B232" s="15">
        <f>VLOOKUP(A232,Database!A:K,MATCH($A$1,Database!$A$1:$K$1,),)</f>
        <v>48569</v>
      </c>
      <c r="C232" s="12">
        <f t="shared" si="6"/>
        <v>-2.2597013085724851E-3</v>
      </c>
      <c r="D232" s="13">
        <f t="shared" si="7"/>
        <v>2.0292838686637397E-2</v>
      </c>
    </row>
    <row r="233" spans="1:4" x14ac:dyDescent="0.35">
      <c r="A233" s="10">
        <v>40483</v>
      </c>
      <c r="B233" s="15">
        <f>VLOOKUP(A233,Database!A:K,MATCH($A$1,Database!$A$1:$K$1,),)</f>
        <v>49131</v>
      </c>
      <c r="C233" s="12">
        <f t="shared" si="6"/>
        <v>1.15711667936338E-2</v>
      </c>
      <c r="D233" s="13">
        <f t="shared" si="7"/>
        <v>3.0237580993520519E-2</v>
      </c>
    </row>
    <row r="234" spans="1:4" x14ac:dyDescent="0.35">
      <c r="A234" s="11">
        <v>40513</v>
      </c>
      <c r="B234" s="15">
        <f>VLOOKUP(A234,Database!A:K,MATCH($A$1,Database!$A$1:$K$1,),)</f>
        <v>49186</v>
      </c>
      <c r="C234" s="12">
        <f t="shared" si="6"/>
        <v>1.1194561478496264E-3</v>
      </c>
      <c r="D234" s="13">
        <f t="shared" si="7"/>
        <v>2.1855652968795446E-2</v>
      </c>
    </row>
    <row r="235" spans="1:4" x14ac:dyDescent="0.35">
      <c r="A235" s="10">
        <v>40544</v>
      </c>
      <c r="B235" s="15">
        <f>VLOOKUP(A235,Database!A:K,MATCH($A$1,Database!$A$1:$K$1,),)</f>
        <v>49676</v>
      </c>
      <c r="C235" s="12">
        <f t="shared" si="6"/>
        <v>9.9621843614036507E-3</v>
      </c>
      <c r="D235" s="13">
        <f t="shared" si="7"/>
        <v>3.7618798955613576E-2</v>
      </c>
    </row>
    <row r="236" spans="1:4" x14ac:dyDescent="0.35">
      <c r="A236" s="11">
        <v>40575</v>
      </c>
      <c r="B236" s="15">
        <f>VLOOKUP(A236,Database!A:K,MATCH($A$1,Database!$A$1:$K$1,),)</f>
        <v>50066</v>
      </c>
      <c r="C236" s="12">
        <f t="shared" si="6"/>
        <v>7.8508736613253881E-3</v>
      </c>
      <c r="D236" s="13">
        <f t="shared" si="7"/>
        <v>2.8070391589149674E-2</v>
      </c>
    </row>
    <row r="237" spans="1:4" x14ac:dyDescent="0.35">
      <c r="A237" s="10">
        <v>40603</v>
      </c>
      <c r="B237" s="15">
        <f>VLOOKUP(A237,Database!A:K,MATCH($A$1,Database!$A$1:$K$1,),)</f>
        <v>50078</v>
      </c>
      <c r="C237" s="12">
        <f t="shared" si="6"/>
        <v>2.3968361762473535E-4</v>
      </c>
      <c r="D237" s="13">
        <f t="shared" si="7"/>
        <v>3.7498964117013339E-2</v>
      </c>
    </row>
    <row r="238" spans="1:4" x14ac:dyDescent="0.35">
      <c r="A238" s="11">
        <v>40634</v>
      </c>
      <c r="B238" s="15">
        <f>VLOOKUP(A238,Database!A:K,MATCH($A$1,Database!$A$1:$K$1,),)</f>
        <v>50836</v>
      </c>
      <c r="C238" s="12">
        <f t="shared" si="6"/>
        <v>1.5136387235911977E-2</v>
      </c>
      <c r="D238" s="13">
        <f t="shared" si="7"/>
        <v>5.4316942157330399E-2</v>
      </c>
    </row>
    <row r="239" spans="1:4" x14ac:dyDescent="0.35">
      <c r="A239" s="10">
        <v>40664</v>
      </c>
      <c r="B239" s="15">
        <f>VLOOKUP(A239,Database!A:K,MATCH($A$1,Database!$A$1:$K$1,),)</f>
        <v>50382</v>
      </c>
      <c r="C239" s="12">
        <f t="shared" si="6"/>
        <v>-8.9306790463451104E-3</v>
      </c>
      <c r="D239" s="13">
        <f t="shared" si="7"/>
        <v>4.53781512605042E-2</v>
      </c>
    </row>
    <row r="240" spans="1:4" x14ac:dyDescent="0.35">
      <c r="A240" s="11">
        <v>40695</v>
      </c>
      <c r="B240" s="15">
        <f>VLOOKUP(A240,Database!A:K,MATCH($A$1,Database!$A$1:$K$1,),)</f>
        <v>50943</v>
      </c>
      <c r="C240" s="12">
        <f t="shared" si="6"/>
        <v>1.1134929141360009E-2</v>
      </c>
      <c r="D240" s="13">
        <f t="shared" si="7"/>
        <v>6.4283625120127016E-2</v>
      </c>
    </row>
    <row r="241" spans="1:4" x14ac:dyDescent="0.35">
      <c r="A241" s="10">
        <v>40725</v>
      </c>
      <c r="B241" s="15">
        <f>VLOOKUP(A241,Database!A:K,MATCH($A$1,Database!$A$1:$K$1,),)</f>
        <v>50941</v>
      </c>
      <c r="C241" s="12">
        <f t="shared" si="6"/>
        <v>-3.9259564611428457E-5</v>
      </c>
      <c r="D241" s="13">
        <f t="shared" si="7"/>
        <v>6.2288860157651081E-2</v>
      </c>
    </row>
    <row r="242" spans="1:4" x14ac:dyDescent="0.35">
      <c r="A242" s="11">
        <v>40756</v>
      </c>
      <c r="B242" s="15">
        <f>VLOOKUP(A242,Database!A:K,MATCH($A$1,Database!$A$1:$K$1,),)</f>
        <v>51179</v>
      </c>
      <c r="C242" s="12">
        <f t="shared" si="6"/>
        <v>4.6720716122573176E-3</v>
      </c>
      <c r="D242" s="13">
        <f t="shared" si="7"/>
        <v>6.1430615757927701E-2</v>
      </c>
    </row>
    <row r="243" spans="1:4" x14ac:dyDescent="0.35">
      <c r="A243" s="10">
        <v>40787</v>
      </c>
      <c r="B243" s="15">
        <f>VLOOKUP(A243,Database!A:K,MATCH($A$1,Database!$A$1:$K$1,),)</f>
        <v>51096</v>
      </c>
      <c r="C243" s="12">
        <f t="shared" si="6"/>
        <v>-1.6217589245589011E-3</v>
      </c>
      <c r="D243" s="13">
        <f t="shared" si="7"/>
        <v>4.9651800571088152E-2</v>
      </c>
    </row>
    <row r="244" spans="1:4" x14ac:dyDescent="0.35">
      <c r="A244" s="11">
        <v>40817</v>
      </c>
      <c r="B244" s="15">
        <f>VLOOKUP(A244,Database!A:K,MATCH($A$1,Database!$A$1:$K$1,),)</f>
        <v>51322</v>
      </c>
      <c r="C244" s="12">
        <f t="shared" si="6"/>
        <v>4.4230468138406137E-3</v>
      </c>
      <c r="D244" s="13">
        <f t="shared" si="7"/>
        <v>5.6682245876999729E-2</v>
      </c>
    </row>
    <row r="245" spans="1:4" x14ac:dyDescent="0.35">
      <c r="A245" s="10">
        <v>40848</v>
      </c>
      <c r="B245" s="15">
        <f>VLOOKUP(A245,Database!A:K,MATCH($A$1,Database!$A$1:$K$1,),)</f>
        <v>51413</v>
      </c>
      <c r="C245" s="12">
        <f t="shared" si="6"/>
        <v>1.7731187405011495E-3</v>
      </c>
      <c r="D245" s="13">
        <f t="shared" si="7"/>
        <v>4.6447253261688137E-2</v>
      </c>
    </row>
    <row r="246" spans="1:4" x14ac:dyDescent="0.35">
      <c r="A246" s="11">
        <v>40878</v>
      </c>
      <c r="B246" s="15">
        <f>VLOOKUP(A246,Database!A:K,MATCH($A$1,Database!$A$1:$K$1,),)</f>
        <v>51262</v>
      </c>
      <c r="C246" s="12">
        <f t="shared" si="6"/>
        <v>-2.9370003695563377E-3</v>
      </c>
      <c r="D246" s="13">
        <f t="shared" si="7"/>
        <v>4.2207132110763226E-2</v>
      </c>
    </row>
    <row r="247" spans="1:4" x14ac:dyDescent="0.35">
      <c r="A247" s="10">
        <v>40909</v>
      </c>
      <c r="B247" s="15">
        <f>VLOOKUP(A247,Database!A:K,MATCH($A$1,Database!$A$1:$K$1,),)</f>
        <v>51495</v>
      </c>
      <c r="C247" s="12">
        <f t="shared" si="6"/>
        <v>4.5452772033865241E-3</v>
      </c>
      <c r="D247" s="13">
        <f t="shared" si="7"/>
        <v>3.661727997423303E-2</v>
      </c>
    </row>
    <row r="248" spans="1:4" x14ac:dyDescent="0.35">
      <c r="A248" s="11">
        <v>40940</v>
      </c>
      <c r="B248" s="15">
        <f>VLOOKUP(A248,Database!A:K,MATCH($A$1,Database!$A$1:$K$1,),)</f>
        <v>51654</v>
      </c>
      <c r="C248" s="12">
        <f t="shared" si="6"/>
        <v>3.0876784153801339E-3</v>
      </c>
      <c r="D248" s="13">
        <f t="shared" si="7"/>
        <v>3.171813206567331E-2</v>
      </c>
    </row>
    <row r="249" spans="1:4" x14ac:dyDescent="0.35">
      <c r="A249" s="10">
        <v>40969</v>
      </c>
      <c r="B249" s="15">
        <f>VLOOKUP(A249,Database!A:K,MATCH($A$1,Database!$A$1:$K$1,),)</f>
        <v>52155</v>
      </c>
      <c r="C249" s="12">
        <f t="shared" si="6"/>
        <v>9.699152050180045E-3</v>
      </c>
      <c r="D249" s="13">
        <f t="shared" si="7"/>
        <v>4.1475298534286512E-2</v>
      </c>
    </row>
    <row r="250" spans="1:4" x14ac:dyDescent="0.35">
      <c r="A250" s="11">
        <v>41000</v>
      </c>
      <c r="B250" s="15">
        <f>VLOOKUP(A250,Database!A:K,MATCH($A$1,Database!$A$1:$K$1,),)</f>
        <v>52249</v>
      </c>
      <c r="C250" s="12">
        <f t="shared" si="6"/>
        <v>1.8023200076694469E-3</v>
      </c>
      <c r="D250" s="13">
        <f t="shared" si="7"/>
        <v>2.7795263199307578E-2</v>
      </c>
    </row>
    <row r="251" spans="1:4" x14ac:dyDescent="0.35">
      <c r="A251" s="10">
        <v>41030</v>
      </c>
      <c r="B251" s="15">
        <f>VLOOKUP(A251,Database!A:K,MATCH($A$1,Database!$A$1:$K$1,),)</f>
        <v>52283</v>
      </c>
      <c r="C251" s="12">
        <f t="shared" si="6"/>
        <v>6.507301575149764E-4</v>
      </c>
      <c r="D251" s="13">
        <f t="shared" si="7"/>
        <v>3.7731729585963242E-2</v>
      </c>
    </row>
    <row r="252" spans="1:4" x14ac:dyDescent="0.35">
      <c r="A252" s="11">
        <v>41061</v>
      </c>
      <c r="B252" s="15">
        <f>VLOOKUP(A252,Database!A:K,MATCH($A$1,Database!$A$1:$K$1,),)</f>
        <v>52249</v>
      </c>
      <c r="C252" s="12">
        <f t="shared" si="6"/>
        <v>-6.503069831493985E-4</v>
      </c>
      <c r="D252" s="13">
        <f t="shared" si="7"/>
        <v>2.5636495691262785E-2</v>
      </c>
    </row>
    <row r="253" spans="1:4" x14ac:dyDescent="0.35">
      <c r="A253" s="10">
        <v>41091</v>
      </c>
      <c r="B253" s="15">
        <f>VLOOKUP(A253,Database!A:K,MATCH($A$1,Database!$A$1:$K$1,),)</f>
        <v>52231</v>
      </c>
      <c r="C253" s="12">
        <f t="shared" si="6"/>
        <v>-3.445042010373404E-4</v>
      </c>
      <c r="D253" s="13">
        <f t="shared" si="7"/>
        <v>2.5323413360554367E-2</v>
      </c>
    </row>
    <row r="254" spans="1:4" x14ac:dyDescent="0.35">
      <c r="A254" s="11">
        <v>41122</v>
      </c>
      <c r="B254" s="15">
        <f>VLOOKUP(A254,Database!A:K,MATCH($A$1,Database!$A$1:$K$1,),)</f>
        <v>52361</v>
      </c>
      <c r="C254" s="12">
        <f t="shared" si="6"/>
        <v>2.48894334782026E-3</v>
      </c>
      <c r="D254" s="13">
        <f t="shared" si="7"/>
        <v>2.3095410226850858E-2</v>
      </c>
    </row>
    <row r="255" spans="1:4" x14ac:dyDescent="0.35">
      <c r="A255" s="10">
        <v>41153</v>
      </c>
      <c r="B255" s="15">
        <f>VLOOKUP(A255,Database!A:K,MATCH($A$1,Database!$A$1:$K$1,),)</f>
        <v>52492</v>
      </c>
      <c r="C255" s="12">
        <f t="shared" si="6"/>
        <v>2.5018620729168658E-3</v>
      </c>
      <c r="D255" s="13">
        <f t="shared" si="7"/>
        <v>2.7321121027086268E-2</v>
      </c>
    </row>
    <row r="256" spans="1:4" x14ac:dyDescent="0.35">
      <c r="A256" s="11">
        <v>41183</v>
      </c>
      <c r="B256" s="15">
        <f>VLOOKUP(A256,Database!A:K,MATCH($A$1,Database!$A$1:$K$1,),)</f>
        <v>52805</v>
      </c>
      <c r="C256" s="12">
        <f t="shared" si="6"/>
        <v>5.9628133810866414E-3</v>
      </c>
      <c r="D256" s="13">
        <f t="shared" si="7"/>
        <v>2.8895990023771481E-2</v>
      </c>
    </row>
    <row r="257" spans="1:4" x14ac:dyDescent="0.35">
      <c r="A257" s="10">
        <v>41214</v>
      </c>
      <c r="B257" s="15">
        <f>VLOOKUP(A257,Database!A:K,MATCH($A$1,Database!$A$1:$K$1,),)</f>
        <v>52717</v>
      </c>
      <c r="C257" s="12">
        <f t="shared" si="6"/>
        <v>-1.6665088533282834E-3</v>
      </c>
      <c r="D257" s="13">
        <f t="shared" si="7"/>
        <v>2.5363234979479898E-2</v>
      </c>
    </row>
    <row r="258" spans="1:4" x14ac:dyDescent="0.35">
      <c r="A258" s="11">
        <v>41244</v>
      </c>
      <c r="B258" s="15">
        <f>VLOOKUP(A258,Database!A:K,MATCH($A$1,Database!$A$1:$K$1,),)</f>
        <v>52692</v>
      </c>
      <c r="C258" s="12">
        <f t="shared" si="6"/>
        <v>-4.742303241838496E-4</v>
      </c>
      <c r="D258" s="13">
        <f t="shared" si="7"/>
        <v>2.7895907299754205E-2</v>
      </c>
    </row>
    <row r="259" spans="1:4" x14ac:dyDescent="0.35">
      <c r="A259" s="10">
        <v>41275</v>
      </c>
      <c r="B259" s="15">
        <f>VLOOKUP(A259,Database!A:K,MATCH($A$1,Database!$A$1:$K$1,),)</f>
        <v>52702</v>
      </c>
      <c r="C259" s="12">
        <f t="shared" si="6"/>
        <v>1.897821301146284E-4</v>
      </c>
      <c r="D259" s="13">
        <f t="shared" si="7"/>
        <v>2.343916885134479E-2</v>
      </c>
    </row>
    <row r="260" spans="1:4" x14ac:dyDescent="0.35">
      <c r="A260" s="11">
        <v>41306</v>
      </c>
      <c r="B260" s="15">
        <f>VLOOKUP(A260,Database!A:K,MATCH($A$1,Database!$A$1:$K$1,),)</f>
        <v>53282</v>
      </c>
      <c r="C260" s="12">
        <f t="shared" si="6"/>
        <v>1.1005274942127434E-2</v>
      </c>
      <c r="D260" s="13">
        <f t="shared" si="7"/>
        <v>3.1517404266852518E-2</v>
      </c>
    </row>
    <row r="261" spans="1:4" x14ac:dyDescent="0.35">
      <c r="A261" s="10">
        <v>41334</v>
      </c>
      <c r="B261" s="15">
        <f>VLOOKUP(A261,Database!A:K,MATCH($A$1,Database!$A$1:$K$1,),)</f>
        <v>53099</v>
      </c>
      <c r="C261" s="12">
        <f t="shared" si="6"/>
        <v>-3.4345557599189218E-3</v>
      </c>
      <c r="D261" s="13">
        <f t="shared" si="7"/>
        <v>1.8099894545105934E-2</v>
      </c>
    </row>
    <row r="262" spans="1:4" x14ac:dyDescent="0.35">
      <c r="A262" s="11">
        <v>41365</v>
      </c>
      <c r="B262" s="15">
        <f>VLOOKUP(A262,Database!A:K,MATCH($A$1,Database!$A$1:$K$1,),)</f>
        <v>52730</v>
      </c>
      <c r="C262" s="12">
        <f t="shared" si="6"/>
        <v>-6.9492834140002634E-3</v>
      </c>
      <c r="D262" s="13">
        <f t="shared" si="7"/>
        <v>9.2059178166089307E-3</v>
      </c>
    </row>
    <row r="263" spans="1:4" x14ac:dyDescent="0.35">
      <c r="A263" s="10">
        <v>41395</v>
      </c>
      <c r="B263" s="15">
        <f>VLOOKUP(A263,Database!A:K,MATCH($A$1,Database!$A$1:$K$1,),)</f>
        <v>53253</v>
      </c>
      <c r="C263" s="12">
        <f t="shared" si="6"/>
        <v>9.918452493836525E-3</v>
      </c>
      <c r="D263" s="13">
        <f t="shared" si="7"/>
        <v>1.8552875695732839E-2</v>
      </c>
    </row>
    <row r="264" spans="1:4" x14ac:dyDescent="0.35">
      <c r="A264" s="11">
        <v>41426</v>
      </c>
      <c r="B264" s="15">
        <f>VLOOKUP(A264,Database!A:K,MATCH($A$1,Database!$A$1:$K$1,),)</f>
        <v>53213</v>
      </c>
      <c r="C264" s="12">
        <f t="shared" ref="C264:C327" si="8">(B264-B263)/B263</f>
        <v>-7.5113139165868589E-4</v>
      </c>
      <c r="D264" s="13">
        <f t="shared" si="7"/>
        <v>1.8450113877777567E-2</v>
      </c>
    </row>
    <row r="265" spans="1:4" x14ac:dyDescent="0.35">
      <c r="A265" s="10">
        <v>41456</v>
      </c>
      <c r="B265" s="15">
        <f>VLOOKUP(A265,Database!A:K,MATCH($A$1,Database!$A$1:$K$1,),)</f>
        <v>53613</v>
      </c>
      <c r="C265" s="12">
        <f t="shared" si="8"/>
        <v>7.5169601413188503E-3</v>
      </c>
      <c r="D265" s="13">
        <f t="shared" si="7"/>
        <v>2.6459382359135378E-2</v>
      </c>
    </row>
    <row r="266" spans="1:4" x14ac:dyDescent="0.35">
      <c r="A266" s="11">
        <v>41487</v>
      </c>
      <c r="B266" s="15">
        <f>VLOOKUP(A266,Database!A:K,MATCH($A$1,Database!$A$1:$K$1,),)</f>
        <v>53743</v>
      </c>
      <c r="C266" s="12">
        <f t="shared" si="8"/>
        <v>2.4247850334806857E-3</v>
      </c>
      <c r="D266" s="13">
        <f t="shared" si="7"/>
        <v>2.6393689960084794E-2</v>
      </c>
    </row>
    <row r="267" spans="1:4" x14ac:dyDescent="0.35">
      <c r="A267" s="10">
        <v>41518</v>
      </c>
      <c r="B267" s="15">
        <f>VLOOKUP(A267,Database!A:K,MATCH($A$1,Database!$A$1:$K$1,),)</f>
        <v>53812</v>
      </c>
      <c r="C267" s="12">
        <f t="shared" si="8"/>
        <v>1.2838881342686489E-3</v>
      </c>
      <c r="D267" s="13">
        <f t="shared" si="7"/>
        <v>2.5146689019279127E-2</v>
      </c>
    </row>
    <row r="268" spans="1:4" x14ac:dyDescent="0.35">
      <c r="A268" s="11">
        <v>41548</v>
      </c>
      <c r="B268" s="15">
        <f>VLOOKUP(A268,Database!A:K,MATCH($A$1,Database!$A$1:$K$1,),)</f>
        <v>53939</v>
      </c>
      <c r="C268" s="12">
        <f t="shared" si="8"/>
        <v>2.3600683862335537E-3</v>
      </c>
      <c r="D268" s="13">
        <f t="shared" si="7"/>
        <v>2.1475239087207651E-2</v>
      </c>
    </row>
    <row r="269" spans="1:4" x14ac:dyDescent="0.35">
      <c r="A269" s="10">
        <v>41579</v>
      </c>
      <c r="B269" s="15">
        <f>VLOOKUP(A269,Database!A:K,MATCH($A$1,Database!$A$1:$K$1,),)</f>
        <v>54064</v>
      </c>
      <c r="C269" s="12">
        <f t="shared" si="8"/>
        <v>2.3174326554070337E-3</v>
      </c>
      <c r="D269" s="13">
        <f t="shared" si="7"/>
        <v>2.5551529867025816E-2</v>
      </c>
    </row>
    <row r="270" spans="1:4" x14ac:dyDescent="0.35">
      <c r="A270" s="11">
        <v>41609</v>
      </c>
      <c r="B270" s="15">
        <f>VLOOKUP(A270,Database!A:K,MATCH($A$1,Database!$A$1:$K$1,),)</f>
        <v>54560</v>
      </c>
      <c r="C270" s="12">
        <f t="shared" si="8"/>
        <v>9.1743119266055051E-3</v>
      </c>
      <c r="D270" s="13">
        <f t="shared" si="7"/>
        <v>3.545130190541259E-2</v>
      </c>
    </row>
    <row r="271" spans="1:4" x14ac:dyDescent="0.35">
      <c r="A271" s="10">
        <v>41640</v>
      </c>
      <c r="B271" s="15">
        <f>VLOOKUP(A271,Database!A:K,MATCH($A$1,Database!$A$1:$K$1,),)</f>
        <v>54796</v>
      </c>
      <c r="C271" s="12">
        <f t="shared" si="8"/>
        <v>4.3255131964809387E-3</v>
      </c>
      <c r="D271" s="13">
        <f t="shared" si="7"/>
        <v>3.973283746347387E-2</v>
      </c>
    </row>
    <row r="272" spans="1:4" x14ac:dyDescent="0.35">
      <c r="A272" s="11">
        <v>41671</v>
      </c>
      <c r="B272" s="15">
        <f>VLOOKUP(A272,Database!A:K,MATCH($A$1,Database!$A$1:$K$1,),)</f>
        <v>54807</v>
      </c>
      <c r="C272" s="12">
        <f t="shared" si="8"/>
        <v>2.0074457989634279E-4</v>
      </c>
      <c r="D272" s="13">
        <f t="shared" si="7"/>
        <v>2.8621297999324349E-2</v>
      </c>
    </row>
    <row r="273" spans="1:4" x14ac:dyDescent="0.35">
      <c r="A273" s="10">
        <v>41699</v>
      </c>
      <c r="B273" s="15">
        <f>VLOOKUP(A273,Database!A:K,MATCH($A$1,Database!$A$1:$K$1,),)</f>
        <v>54886</v>
      </c>
      <c r="C273" s="12">
        <f t="shared" si="8"/>
        <v>1.4414217162041344E-3</v>
      </c>
      <c r="D273" s="13">
        <f t="shared" si="7"/>
        <v>3.3654117779995857E-2</v>
      </c>
    </row>
    <row r="274" spans="1:4" x14ac:dyDescent="0.35">
      <c r="A274" s="11">
        <v>41730</v>
      </c>
      <c r="B274" s="15">
        <f>VLOOKUP(A274,Database!A:K,MATCH($A$1,Database!$A$1:$K$1,),)</f>
        <v>55219</v>
      </c>
      <c r="C274" s="12">
        <f t="shared" si="8"/>
        <v>6.067120941588019E-3</v>
      </c>
      <c r="D274" s="13">
        <f t="shared" si="7"/>
        <v>4.7202730893229662E-2</v>
      </c>
    </row>
    <row r="275" spans="1:4" x14ac:dyDescent="0.35">
      <c r="A275" s="10">
        <v>41760</v>
      </c>
      <c r="B275" s="15">
        <f>VLOOKUP(A275,Database!A:K,MATCH($A$1,Database!$A$1:$K$1,),)</f>
        <v>55451</v>
      </c>
      <c r="C275" s="12">
        <f t="shared" si="8"/>
        <v>4.2014523986309057E-3</v>
      </c>
      <c r="D275" s="13">
        <f t="shared" ref="D275:D338" si="9">(B275-B263)/B263</f>
        <v>4.1274669971644792E-2</v>
      </c>
    </row>
    <row r="276" spans="1:4" x14ac:dyDescent="0.35">
      <c r="A276" s="11">
        <v>41791</v>
      </c>
      <c r="B276" s="15">
        <f>VLOOKUP(A276,Database!A:K,MATCH($A$1,Database!$A$1:$K$1,),)</f>
        <v>55956</v>
      </c>
      <c r="C276" s="12">
        <f t="shared" si="8"/>
        <v>9.1071396367964508E-3</v>
      </c>
      <c r="D276" s="13">
        <f t="shared" si="9"/>
        <v>5.1547554169094019E-2</v>
      </c>
    </row>
    <row r="277" spans="1:4" x14ac:dyDescent="0.35">
      <c r="A277" s="10">
        <v>41821</v>
      </c>
      <c r="B277" s="15">
        <f>VLOOKUP(A277,Database!A:K,MATCH($A$1,Database!$A$1:$K$1,),)</f>
        <v>56142</v>
      </c>
      <c r="C277" s="12">
        <f t="shared" si="8"/>
        <v>3.324040317392237E-3</v>
      </c>
      <c r="D277" s="13">
        <f t="shared" si="9"/>
        <v>4.7171394997481957E-2</v>
      </c>
    </row>
    <row r="278" spans="1:4" x14ac:dyDescent="0.35">
      <c r="A278" s="11">
        <v>41852</v>
      </c>
      <c r="B278" s="15">
        <f>VLOOKUP(A278,Database!A:K,MATCH($A$1,Database!$A$1:$K$1,),)</f>
        <v>56296</v>
      </c>
      <c r="C278" s="12">
        <f t="shared" si="8"/>
        <v>2.7430444230700725E-3</v>
      </c>
      <c r="D278" s="13">
        <f t="shared" si="9"/>
        <v>4.7503860967940008E-2</v>
      </c>
    </row>
    <row r="279" spans="1:4" x14ac:dyDescent="0.35">
      <c r="A279" s="10">
        <v>41883</v>
      </c>
      <c r="B279" s="15">
        <f>VLOOKUP(A279,Database!A:K,MATCH($A$1,Database!$A$1:$K$1,),)</f>
        <v>56466</v>
      </c>
      <c r="C279" s="12">
        <f t="shared" si="8"/>
        <v>3.0197527355407135E-3</v>
      </c>
      <c r="D279" s="13">
        <f t="shared" si="9"/>
        <v>4.9319854307589388E-2</v>
      </c>
    </row>
    <row r="280" spans="1:4" x14ac:dyDescent="0.35">
      <c r="A280" s="11">
        <v>41913</v>
      </c>
      <c r="B280" s="15">
        <f>VLOOKUP(A280,Database!A:K,MATCH($A$1,Database!$A$1:$K$1,),)</f>
        <v>56767</v>
      </c>
      <c r="C280" s="12">
        <f t="shared" si="8"/>
        <v>5.3306414479509789E-3</v>
      </c>
      <c r="D280" s="13">
        <f t="shared" si="9"/>
        <v>5.2429596395928736E-2</v>
      </c>
    </row>
    <row r="281" spans="1:4" x14ac:dyDescent="0.35">
      <c r="A281" s="10">
        <v>41944</v>
      </c>
      <c r="B281" s="15">
        <f>VLOOKUP(A281,Database!A:K,MATCH($A$1,Database!$A$1:$K$1,),)</f>
        <v>56756</v>
      </c>
      <c r="C281" s="12">
        <f t="shared" si="8"/>
        <v>-1.9377455211654659E-4</v>
      </c>
      <c r="D281" s="13">
        <f t="shared" si="9"/>
        <v>4.9792838117786328E-2</v>
      </c>
    </row>
    <row r="282" spans="1:4" x14ac:dyDescent="0.35">
      <c r="A282" s="11">
        <v>41974</v>
      </c>
      <c r="B282" s="15">
        <f>VLOOKUP(A282,Database!A:K,MATCH($A$1,Database!$A$1:$K$1,),)</f>
        <v>57059</v>
      </c>
      <c r="C282" s="12">
        <f t="shared" si="8"/>
        <v>5.3386426104729016E-3</v>
      </c>
      <c r="D282" s="13">
        <f t="shared" si="9"/>
        <v>4.5802785923753662E-2</v>
      </c>
    </row>
    <row r="283" spans="1:4" x14ac:dyDescent="0.35">
      <c r="A283" s="10">
        <v>42005</v>
      </c>
      <c r="B283" s="15">
        <f>VLOOKUP(A283,Database!A:K,MATCH($A$1,Database!$A$1:$K$1,),)</f>
        <v>57164</v>
      </c>
      <c r="C283" s="12">
        <f t="shared" si="8"/>
        <v>1.8402004942252757E-3</v>
      </c>
      <c r="D283" s="13">
        <f t="shared" si="9"/>
        <v>4.3214833199503616E-2</v>
      </c>
    </row>
    <row r="284" spans="1:4" x14ac:dyDescent="0.35">
      <c r="A284" s="11">
        <v>42036</v>
      </c>
      <c r="B284" s="15">
        <f>VLOOKUP(A284,Database!A:K,MATCH($A$1,Database!$A$1:$K$1,),)</f>
        <v>57190</v>
      </c>
      <c r="C284" s="12">
        <f t="shared" si="8"/>
        <v>4.5483171226646141E-4</v>
      </c>
      <c r="D284" s="13">
        <f t="shared" si="9"/>
        <v>4.3479847464739908E-2</v>
      </c>
    </row>
    <row r="285" spans="1:4" x14ac:dyDescent="0.35">
      <c r="A285" s="10">
        <v>42064</v>
      </c>
      <c r="B285" s="15">
        <f>VLOOKUP(A285,Database!A:K,MATCH($A$1,Database!$A$1:$K$1,),)</f>
        <v>57178</v>
      </c>
      <c r="C285" s="12">
        <f t="shared" si="8"/>
        <v>-2.0982689281342893E-4</v>
      </c>
      <c r="D285" s="13">
        <f t="shared" si="9"/>
        <v>4.1759282877236452E-2</v>
      </c>
    </row>
    <row r="286" spans="1:4" x14ac:dyDescent="0.35">
      <c r="A286" s="11">
        <v>42095</v>
      </c>
      <c r="B286" s="15">
        <f>VLOOKUP(A286,Database!A:K,MATCH($A$1,Database!$A$1:$K$1,),)</f>
        <v>57091</v>
      </c>
      <c r="C286" s="12">
        <f t="shared" si="8"/>
        <v>-1.5215642379936339E-3</v>
      </c>
      <c r="D286" s="13">
        <f t="shared" si="9"/>
        <v>3.3901374526883861E-2</v>
      </c>
    </row>
    <row r="287" spans="1:4" x14ac:dyDescent="0.35">
      <c r="A287" s="10">
        <v>42125</v>
      </c>
      <c r="B287" s="15">
        <f>VLOOKUP(A287,Database!A:K,MATCH($A$1,Database!$A$1:$K$1,),)</f>
        <v>57103</v>
      </c>
      <c r="C287" s="12">
        <f t="shared" si="8"/>
        <v>2.1019074810390428E-4</v>
      </c>
      <c r="D287" s="13">
        <f t="shared" si="9"/>
        <v>2.9792068673243043E-2</v>
      </c>
    </row>
    <row r="288" spans="1:4" x14ac:dyDescent="0.35">
      <c r="A288" s="11">
        <v>42156</v>
      </c>
      <c r="B288" s="15">
        <f>VLOOKUP(A288,Database!A:K,MATCH($A$1,Database!$A$1:$K$1,),)</f>
        <v>57401</v>
      </c>
      <c r="C288" s="12">
        <f t="shared" si="8"/>
        <v>5.2186400014009775E-3</v>
      </c>
      <c r="D288" s="13">
        <f t="shared" si="9"/>
        <v>2.5823861605547217E-2</v>
      </c>
    </row>
    <row r="289" spans="1:4" x14ac:dyDescent="0.35">
      <c r="A289" s="10">
        <v>42186</v>
      </c>
      <c r="B289" s="15">
        <f>VLOOKUP(A289,Database!A:K,MATCH($A$1,Database!$A$1:$K$1,),)</f>
        <v>57565</v>
      </c>
      <c r="C289" s="12">
        <f t="shared" si="8"/>
        <v>2.8570930820020555E-3</v>
      </c>
      <c r="D289" s="13">
        <f t="shared" si="9"/>
        <v>2.5346442948238394E-2</v>
      </c>
    </row>
    <row r="290" spans="1:4" x14ac:dyDescent="0.35">
      <c r="A290" s="11">
        <v>42217</v>
      </c>
      <c r="B290" s="15">
        <f>VLOOKUP(A290,Database!A:K,MATCH($A$1,Database!$A$1:$K$1,),)</f>
        <v>57531</v>
      </c>
      <c r="C290" s="12">
        <f t="shared" si="8"/>
        <v>-5.9063667158863894E-4</v>
      </c>
      <c r="D290" s="13">
        <f t="shared" si="9"/>
        <v>2.1937615461134007E-2</v>
      </c>
    </row>
    <row r="291" spans="1:4" x14ac:dyDescent="0.35">
      <c r="A291" s="10">
        <v>42248</v>
      </c>
      <c r="B291" s="15">
        <f>VLOOKUP(A291,Database!A:K,MATCH($A$1,Database!$A$1:$K$1,),)</f>
        <v>57389</v>
      </c>
      <c r="C291" s="12">
        <f t="shared" si="8"/>
        <v>-2.4682345170429854E-3</v>
      </c>
      <c r="D291" s="13">
        <f t="shared" si="9"/>
        <v>1.6346119788899514E-2</v>
      </c>
    </row>
    <row r="292" spans="1:4" x14ac:dyDescent="0.35">
      <c r="A292" s="11">
        <v>42278</v>
      </c>
      <c r="B292" s="15">
        <f>VLOOKUP(A292,Database!A:K,MATCH($A$1,Database!$A$1:$K$1,),)</f>
        <v>57183</v>
      </c>
      <c r="C292" s="12">
        <f t="shared" si="8"/>
        <v>-3.5895380647859346E-3</v>
      </c>
      <c r="D292" s="13">
        <f t="shared" si="9"/>
        <v>7.3282012436803072E-3</v>
      </c>
    </row>
    <row r="293" spans="1:4" x14ac:dyDescent="0.35">
      <c r="A293" s="10">
        <v>42309</v>
      </c>
      <c r="B293" s="15">
        <f>VLOOKUP(A293,Database!A:K,MATCH($A$1,Database!$A$1:$K$1,),)</f>
        <v>57480</v>
      </c>
      <c r="C293" s="12">
        <f t="shared" si="8"/>
        <v>5.193851319448088E-3</v>
      </c>
      <c r="D293" s="13">
        <f t="shared" si="9"/>
        <v>1.2756360560997956E-2</v>
      </c>
    </row>
    <row r="294" spans="1:4" x14ac:dyDescent="0.35">
      <c r="A294" s="11">
        <v>42339</v>
      </c>
      <c r="B294" s="15">
        <f>VLOOKUP(A294,Database!A:K,MATCH($A$1,Database!$A$1:$K$1,),)</f>
        <v>57366</v>
      </c>
      <c r="C294" s="12">
        <f t="shared" si="8"/>
        <v>-1.9832985386221296E-3</v>
      </c>
      <c r="D294" s="13">
        <f t="shared" si="9"/>
        <v>5.3803957307348533E-3</v>
      </c>
    </row>
    <row r="295" spans="1:4" x14ac:dyDescent="0.35">
      <c r="A295" s="10">
        <v>42370</v>
      </c>
      <c r="B295" s="15">
        <f>VLOOKUP(A295,Database!A:K,MATCH($A$1,Database!$A$1:$K$1,),)</f>
        <v>57550</v>
      </c>
      <c r="C295" s="12">
        <f t="shared" si="8"/>
        <v>3.2074748108635778E-3</v>
      </c>
      <c r="D295" s="13">
        <f t="shared" si="9"/>
        <v>6.7525015744174651E-3</v>
      </c>
    </row>
    <row r="296" spans="1:4" x14ac:dyDescent="0.35">
      <c r="A296" s="11">
        <v>42401</v>
      </c>
      <c r="B296" s="15">
        <f>VLOOKUP(A296,Database!A:K,MATCH($A$1,Database!$A$1:$K$1,),)</f>
        <v>57661</v>
      </c>
      <c r="C296" s="12">
        <f t="shared" si="8"/>
        <v>1.9287576020851434E-3</v>
      </c>
      <c r="D296" s="13">
        <f t="shared" si="9"/>
        <v>8.2357055429270846E-3</v>
      </c>
    </row>
    <row r="297" spans="1:4" x14ac:dyDescent="0.35">
      <c r="A297" s="10">
        <v>42430</v>
      </c>
      <c r="B297" s="15">
        <f>VLOOKUP(A297,Database!A:K,MATCH($A$1,Database!$A$1:$K$1,),)</f>
        <v>57226</v>
      </c>
      <c r="C297" s="12">
        <f t="shared" si="8"/>
        <v>-7.5440939283050934E-3</v>
      </c>
      <c r="D297" s="13">
        <f t="shared" si="9"/>
        <v>8.3948371751372901E-4</v>
      </c>
    </row>
    <row r="298" spans="1:4" x14ac:dyDescent="0.35">
      <c r="A298" s="11">
        <v>42461</v>
      </c>
      <c r="B298" s="15">
        <f>VLOOKUP(A298,Database!A:K,MATCH($A$1,Database!$A$1:$K$1,),)</f>
        <v>57844</v>
      </c>
      <c r="C298" s="12">
        <f t="shared" si="8"/>
        <v>1.079928703736064E-2</v>
      </c>
      <c r="D298" s="13">
        <f t="shared" si="9"/>
        <v>1.3189469443519994E-2</v>
      </c>
    </row>
    <row r="299" spans="1:4" x14ac:dyDescent="0.35">
      <c r="A299" s="10">
        <v>42491</v>
      </c>
      <c r="B299" s="15">
        <f>VLOOKUP(A299,Database!A:K,MATCH($A$1,Database!$A$1:$K$1,),)</f>
        <v>58102</v>
      </c>
      <c r="C299" s="12">
        <f t="shared" si="8"/>
        <v>4.4602724569531849E-3</v>
      </c>
      <c r="D299" s="13">
        <f t="shared" si="9"/>
        <v>1.7494702555032136E-2</v>
      </c>
    </row>
    <row r="300" spans="1:4" x14ac:dyDescent="0.35">
      <c r="A300" s="11">
        <v>42522</v>
      </c>
      <c r="B300" s="15">
        <f>VLOOKUP(A300,Database!A:K,MATCH($A$1,Database!$A$1:$K$1,),)</f>
        <v>58508</v>
      </c>
      <c r="C300" s="12">
        <f t="shared" si="8"/>
        <v>6.987711266393584E-3</v>
      </c>
      <c r="D300" s="13">
        <f t="shared" si="9"/>
        <v>1.9285378303513876E-2</v>
      </c>
    </row>
    <row r="301" spans="1:4" x14ac:dyDescent="0.35">
      <c r="A301" s="10">
        <v>42552</v>
      </c>
      <c r="B301" s="15">
        <f>VLOOKUP(A301,Database!A:K,MATCH($A$1,Database!$A$1:$K$1,),)</f>
        <v>58155</v>
      </c>
      <c r="C301" s="12">
        <f t="shared" si="8"/>
        <v>-6.0333629589116016E-3</v>
      </c>
      <c r="D301" s="13">
        <f t="shared" si="9"/>
        <v>1.0249283418744029E-2</v>
      </c>
    </row>
    <row r="302" spans="1:4" x14ac:dyDescent="0.35">
      <c r="A302" s="11">
        <v>42583</v>
      </c>
      <c r="B302" s="15">
        <f>VLOOKUP(A302,Database!A:K,MATCH($A$1,Database!$A$1:$K$1,),)</f>
        <v>58377</v>
      </c>
      <c r="C302" s="12">
        <f t="shared" si="8"/>
        <v>3.817384575702863E-3</v>
      </c>
      <c r="D302" s="13">
        <f t="shared" si="9"/>
        <v>1.4705115502946238E-2</v>
      </c>
    </row>
    <row r="303" spans="1:4" x14ac:dyDescent="0.35">
      <c r="A303" s="10">
        <v>42614</v>
      </c>
      <c r="B303" s="15">
        <f>VLOOKUP(A303,Database!A:K,MATCH($A$1,Database!$A$1:$K$1,),)</f>
        <v>58767</v>
      </c>
      <c r="C303" s="12">
        <f t="shared" si="8"/>
        <v>6.680713294619456E-3</v>
      </c>
      <c r="D303" s="13">
        <f t="shared" si="9"/>
        <v>2.4011570161529213E-2</v>
      </c>
    </row>
    <row r="304" spans="1:4" x14ac:dyDescent="0.35">
      <c r="A304" s="11">
        <v>42644</v>
      </c>
      <c r="B304" s="15">
        <f>VLOOKUP(A304,Database!A:K,MATCH($A$1,Database!$A$1:$K$1,),)</f>
        <v>59053</v>
      </c>
      <c r="C304" s="12">
        <f t="shared" si="8"/>
        <v>4.8666768764782957E-3</v>
      </c>
      <c r="D304" s="13">
        <f t="shared" si="9"/>
        <v>3.2702026826154626E-2</v>
      </c>
    </row>
    <row r="305" spans="1:4" x14ac:dyDescent="0.35">
      <c r="A305" s="10">
        <v>42675</v>
      </c>
      <c r="B305" s="15">
        <f>VLOOKUP(A305,Database!A:K,MATCH($A$1,Database!$A$1:$K$1,),)</f>
        <v>59102</v>
      </c>
      <c r="C305" s="12">
        <f t="shared" si="8"/>
        <v>8.2976309416964427E-4</v>
      </c>
      <c r="D305" s="13">
        <f t="shared" si="9"/>
        <v>2.8218510786360472E-2</v>
      </c>
    </row>
    <row r="306" spans="1:4" x14ac:dyDescent="0.35">
      <c r="A306" s="11">
        <v>42705</v>
      </c>
      <c r="B306" s="15">
        <f>VLOOKUP(A306,Database!A:K,MATCH($A$1,Database!$A$1:$K$1,),)</f>
        <v>59341</v>
      </c>
      <c r="C306" s="12">
        <f t="shared" si="8"/>
        <v>4.0438563838787181E-3</v>
      </c>
      <c r="D306" s="13">
        <f t="shared" si="9"/>
        <v>3.4428058431823727E-2</v>
      </c>
    </row>
    <row r="307" spans="1:4" x14ac:dyDescent="0.35">
      <c r="A307" s="10">
        <v>42736</v>
      </c>
      <c r="B307" s="15">
        <f>VLOOKUP(A307,Database!A:K,MATCH($A$1,Database!$A$1:$K$1,),)</f>
        <v>59521</v>
      </c>
      <c r="C307" s="12">
        <f t="shared" si="8"/>
        <v>3.0333159198530526E-3</v>
      </c>
      <c r="D307" s="13">
        <f t="shared" si="9"/>
        <v>3.4248479582971329E-2</v>
      </c>
    </row>
    <row r="308" spans="1:4" x14ac:dyDescent="0.35">
      <c r="A308" s="11">
        <v>42767</v>
      </c>
      <c r="B308" s="15">
        <f>VLOOKUP(A308,Database!A:K,MATCH($A$1,Database!$A$1:$K$1,),)</f>
        <v>59910</v>
      </c>
      <c r="C308" s="12">
        <f t="shared" si="8"/>
        <v>6.5355084760000673E-3</v>
      </c>
      <c r="D308" s="13">
        <f t="shared" si="9"/>
        <v>3.9003832746570474E-2</v>
      </c>
    </row>
    <row r="309" spans="1:4" x14ac:dyDescent="0.35">
      <c r="A309" s="10">
        <v>42795</v>
      </c>
      <c r="B309" s="15">
        <f>VLOOKUP(A309,Database!A:K,MATCH($A$1,Database!$A$1:$K$1,),)</f>
        <v>60338</v>
      </c>
      <c r="C309" s="12">
        <f t="shared" si="8"/>
        <v>7.1440494074445004E-3</v>
      </c>
      <c r="D309" s="13">
        <f t="shared" si="9"/>
        <v>5.4380875825673643E-2</v>
      </c>
    </row>
    <row r="310" spans="1:4" x14ac:dyDescent="0.35">
      <c r="A310" s="11">
        <v>42826</v>
      </c>
      <c r="B310" s="15">
        <f>VLOOKUP(A310,Database!A:K,MATCH($A$1,Database!$A$1:$K$1,),)</f>
        <v>60468</v>
      </c>
      <c r="C310" s="12">
        <f t="shared" si="8"/>
        <v>2.1545294839073223E-3</v>
      </c>
      <c r="D310" s="13">
        <f t="shared" si="9"/>
        <v>4.5363391190097503E-2</v>
      </c>
    </row>
    <row r="311" spans="1:4" x14ac:dyDescent="0.35">
      <c r="A311" s="10">
        <v>42856</v>
      </c>
      <c r="B311" s="15">
        <f>VLOOKUP(A311,Database!A:K,MATCH($A$1,Database!$A$1:$K$1,),)</f>
        <v>60611</v>
      </c>
      <c r="C311" s="12">
        <f t="shared" si="8"/>
        <v>2.3648872130713765E-3</v>
      </c>
      <c r="D311" s="13">
        <f t="shared" si="9"/>
        <v>4.3182678737392864E-2</v>
      </c>
    </row>
    <row r="312" spans="1:4" x14ac:dyDescent="0.35">
      <c r="A312" s="11">
        <v>42887</v>
      </c>
      <c r="B312" s="15">
        <f>VLOOKUP(A312,Database!A:K,MATCH($A$1,Database!$A$1:$K$1,),)</f>
        <v>60410</v>
      </c>
      <c r="C312" s="12">
        <f t="shared" si="8"/>
        <v>-3.3162297272772271E-3</v>
      </c>
      <c r="D312" s="13">
        <f t="shared" si="9"/>
        <v>3.2508374923087439E-2</v>
      </c>
    </row>
    <row r="313" spans="1:4" x14ac:dyDescent="0.35">
      <c r="A313" s="10">
        <v>42917</v>
      </c>
      <c r="B313" s="15">
        <f>VLOOKUP(A313,Database!A:K,MATCH($A$1,Database!$A$1:$K$1,),)</f>
        <v>60444</v>
      </c>
      <c r="C313" s="12">
        <f t="shared" si="8"/>
        <v>5.6282072504552222E-4</v>
      </c>
      <c r="D313" s="13">
        <f t="shared" si="9"/>
        <v>3.9360330152179518E-2</v>
      </c>
    </row>
    <row r="314" spans="1:4" x14ac:dyDescent="0.35">
      <c r="A314" s="11">
        <v>42948</v>
      </c>
      <c r="B314" s="15">
        <f>VLOOKUP(A314,Database!A:K,MATCH($A$1,Database!$A$1:$K$1,),)</f>
        <v>60701</v>
      </c>
      <c r="C314" s="12">
        <f t="shared" si="8"/>
        <v>4.2518694990404341E-3</v>
      </c>
      <c r="D314" s="13">
        <f t="shared" si="9"/>
        <v>3.981019922229645E-2</v>
      </c>
    </row>
    <row r="315" spans="1:4" x14ac:dyDescent="0.35">
      <c r="A315" s="10">
        <v>42979</v>
      </c>
      <c r="B315" s="15">
        <f>VLOOKUP(A315,Database!A:K,MATCH($A$1,Database!$A$1:$K$1,),)</f>
        <v>61377</v>
      </c>
      <c r="C315" s="12">
        <f t="shared" si="8"/>
        <v>1.1136554587239091E-2</v>
      </c>
      <c r="D315" s="13">
        <f t="shared" si="9"/>
        <v>4.4412680586043189E-2</v>
      </c>
    </row>
    <row r="316" spans="1:4" x14ac:dyDescent="0.35">
      <c r="A316" s="11">
        <v>43009</v>
      </c>
      <c r="B316" s="15">
        <f>VLOOKUP(A316,Database!A:K,MATCH($A$1,Database!$A$1:$K$1,),)</f>
        <v>61566</v>
      </c>
      <c r="C316" s="12">
        <f t="shared" si="8"/>
        <v>3.0793293904882936E-3</v>
      </c>
      <c r="D316" s="13">
        <f t="shared" si="9"/>
        <v>4.2554992972414614E-2</v>
      </c>
    </row>
    <row r="317" spans="1:4" x14ac:dyDescent="0.35">
      <c r="A317" s="10">
        <v>43040</v>
      </c>
      <c r="B317" s="15">
        <f>VLOOKUP(A317,Database!A:K,MATCH($A$1,Database!$A$1:$K$1,),)</f>
        <v>61691</v>
      </c>
      <c r="C317" s="12">
        <f t="shared" si="8"/>
        <v>2.0303414222135594E-3</v>
      </c>
      <c r="D317" s="13">
        <f t="shared" si="9"/>
        <v>4.3805624175154816E-2</v>
      </c>
    </row>
    <row r="318" spans="1:4" x14ac:dyDescent="0.35">
      <c r="A318" s="11">
        <v>43070</v>
      </c>
      <c r="B318" s="15">
        <f>VLOOKUP(A318,Database!A:K,MATCH($A$1,Database!$A$1:$K$1,),)</f>
        <v>62218</v>
      </c>
      <c r="C318" s="12">
        <f t="shared" si="8"/>
        <v>8.5425750919907277E-3</v>
      </c>
      <c r="D318" s="13">
        <f t="shared" si="9"/>
        <v>4.8482499452317959E-2</v>
      </c>
    </row>
    <row r="319" spans="1:4" x14ac:dyDescent="0.35">
      <c r="A319" s="10">
        <v>43101</v>
      </c>
      <c r="B319" s="15">
        <f>VLOOKUP(A319,Database!A:K,MATCH($A$1,Database!$A$1:$K$1,),)</f>
        <v>61818</v>
      </c>
      <c r="C319" s="12">
        <f t="shared" si="8"/>
        <v>-6.4290076826641809E-3</v>
      </c>
      <c r="D319" s="13">
        <f t="shared" si="9"/>
        <v>3.8591421515095516E-2</v>
      </c>
    </row>
    <row r="320" spans="1:4" x14ac:dyDescent="0.35">
      <c r="A320" s="11">
        <v>43132</v>
      </c>
      <c r="B320" s="15">
        <f>VLOOKUP(A320,Database!A:K,MATCH($A$1,Database!$A$1:$K$1,),)</f>
        <v>62077</v>
      </c>
      <c r="C320" s="12">
        <f t="shared" si="8"/>
        <v>4.1897182050535439E-3</v>
      </c>
      <c r="D320" s="13">
        <f t="shared" si="9"/>
        <v>3.6170923051243531E-2</v>
      </c>
    </row>
    <row r="321" spans="1:4" x14ac:dyDescent="0.35">
      <c r="A321" s="10">
        <v>43160</v>
      </c>
      <c r="B321" s="15">
        <f>VLOOKUP(A321,Database!A:K,MATCH($A$1,Database!$A$1:$K$1,),)</f>
        <v>62234</v>
      </c>
      <c r="C321" s="12">
        <f t="shared" si="8"/>
        <v>2.5291170642911223E-3</v>
      </c>
      <c r="D321" s="13">
        <f t="shared" si="9"/>
        <v>3.1422983857602171E-2</v>
      </c>
    </row>
    <row r="322" spans="1:4" x14ac:dyDescent="0.35">
      <c r="A322" s="11">
        <v>43191</v>
      </c>
      <c r="B322" s="15">
        <f>VLOOKUP(A322,Database!A:K,MATCH($A$1,Database!$A$1:$K$1,),)</f>
        <v>62369</v>
      </c>
      <c r="C322" s="12">
        <f t="shared" si="8"/>
        <v>2.1692322524664975E-3</v>
      </c>
      <c r="D322" s="13">
        <f t="shared" si="9"/>
        <v>3.1438116028312493E-2</v>
      </c>
    </row>
    <row r="323" spans="1:4" x14ac:dyDescent="0.35">
      <c r="A323" s="10">
        <v>43221</v>
      </c>
      <c r="B323" s="15">
        <f>VLOOKUP(A323,Database!A:K,MATCH($A$1,Database!$A$1:$K$1,),)</f>
        <v>62431</v>
      </c>
      <c r="C323" s="12">
        <f t="shared" si="8"/>
        <v>9.9408359922397338E-4</v>
      </c>
      <c r="D323" s="13">
        <f t="shared" si="9"/>
        <v>3.0027552754450512E-2</v>
      </c>
    </row>
    <row r="324" spans="1:4" x14ac:dyDescent="0.35">
      <c r="A324" s="11">
        <v>43252</v>
      </c>
      <c r="B324" s="15">
        <f>VLOOKUP(A324,Database!A:K,MATCH($A$1,Database!$A$1:$K$1,),)</f>
        <v>62272</v>
      </c>
      <c r="C324" s="12">
        <f t="shared" si="8"/>
        <v>-2.5468116800948246E-3</v>
      </c>
      <c r="D324" s="13">
        <f t="shared" si="9"/>
        <v>3.0822711471610659E-2</v>
      </c>
    </row>
    <row r="325" spans="1:4" x14ac:dyDescent="0.35">
      <c r="A325" s="10">
        <v>43282</v>
      </c>
      <c r="B325" s="15">
        <f>VLOOKUP(A325,Database!A:K,MATCH($A$1,Database!$A$1:$K$1,),)</f>
        <v>62676</v>
      </c>
      <c r="C325" s="12">
        <f t="shared" si="8"/>
        <v>6.4876670092497432E-3</v>
      </c>
      <c r="D325" s="13">
        <f t="shared" si="9"/>
        <v>3.6926742108397859E-2</v>
      </c>
    </row>
    <row r="326" spans="1:4" x14ac:dyDescent="0.35">
      <c r="A326" s="11">
        <v>43313</v>
      </c>
      <c r="B326" s="15">
        <f>VLOOKUP(A326,Database!A:K,MATCH($A$1,Database!$A$1:$K$1,),)</f>
        <v>62358</v>
      </c>
      <c r="C326" s="12">
        <f t="shared" si="8"/>
        <v>-5.0737124258089222E-3</v>
      </c>
      <c r="D326" s="13">
        <f t="shared" si="9"/>
        <v>2.7297738093276881E-2</v>
      </c>
    </row>
    <row r="327" spans="1:4" x14ac:dyDescent="0.35">
      <c r="A327" s="10">
        <v>43344</v>
      </c>
      <c r="B327" s="15">
        <f>VLOOKUP(A327,Database!A:K,MATCH($A$1,Database!$A$1:$K$1,),)</f>
        <v>62759</v>
      </c>
      <c r="C327" s="12">
        <f t="shared" si="8"/>
        <v>6.4306103467077196E-3</v>
      </c>
      <c r="D327" s="13">
        <f t="shared" si="9"/>
        <v>2.2516577871189533E-2</v>
      </c>
    </row>
    <row r="328" spans="1:4" x14ac:dyDescent="0.35">
      <c r="A328" s="11">
        <v>43374</v>
      </c>
      <c r="B328" s="15">
        <f>VLOOKUP(A328,Database!A:K,MATCH($A$1,Database!$A$1:$K$1,),)</f>
        <v>63130</v>
      </c>
      <c r="C328" s="12">
        <f t="shared" ref="C328:C391" si="10">(B328-B327)/B327</f>
        <v>5.9115027326757915E-3</v>
      </c>
      <c r="D328" s="13">
        <f t="shared" si="9"/>
        <v>2.5403631874736057E-2</v>
      </c>
    </row>
    <row r="329" spans="1:4" x14ac:dyDescent="0.35">
      <c r="A329" s="10">
        <v>43405</v>
      </c>
      <c r="B329" s="15">
        <f>VLOOKUP(A329,Database!A:K,MATCH($A$1,Database!$A$1:$K$1,),)</f>
        <v>63225</v>
      </c>
      <c r="C329" s="12">
        <f t="shared" si="10"/>
        <v>1.5048313004910503E-3</v>
      </c>
      <c r="D329" s="13">
        <f t="shared" si="9"/>
        <v>2.4865863740253846E-2</v>
      </c>
    </row>
    <row r="330" spans="1:4" x14ac:dyDescent="0.35">
      <c r="A330" s="11">
        <v>43435</v>
      </c>
      <c r="B330" s="15">
        <f>VLOOKUP(A330,Database!A:K,MATCH($A$1,Database!$A$1:$K$1,),)</f>
        <v>63120</v>
      </c>
      <c r="C330" s="12">
        <f t="shared" si="10"/>
        <v>-1.66073546856465E-3</v>
      </c>
      <c r="D330" s="13">
        <f t="shared" si="9"/>
        <v>1.4497412324407728E-2</v>
      </c>
    </row>
    <row r="331" spans="1:4" x14ac:dyDescent="0.35">
      <c r="A331" s="10">
        <v>43466</v>
      </c>
      <c r="B331" s="15">
        <f>VLOOKUP(A331,Database!A:K,MATCH($A$1,Database!$A$1:$K$1,),)</f>
        <v>64169</v>
      </c>
      <c r="C331" s="12">
        <f t="shared" si="10"/>
        <v>1.6619138149556401E-2</v>
      </c>
      <c r="D331" s="13">
        <f t="shared" si="9"/>
        <v>3.8030994208806498E-2</v>
      </c>
    </row>
    <row r="332" spans="1:4" x14ac:dyDescent="0.35">
      <c r="A332" s="11">
        <v>43497</v>
      </c>
      <c r="B332" s="15">
        <f>VLOOKUP(A332,Database!A:K,MATCH($A$1,Database!$A$1:$K$1,),)</f>
        <v>62926</v>
      </c>
      <c r="C332" s="12">
        <f t="shared" si="10"/>
        <v>-1.9370724181458337E-2</v>
      </c>
      <c r="D332" s="13">
        <f t="shared" si="9"/>
        <v>1.3676562978236707E-2</v>
      </c>
    </row>
    <row r="333" spans="1:4" x14ac:dyDescent="0.35">
      <c r="A333" s="10">
        <v>43525</v>
      </c>
      <c r="B333" s="15">
        <f>VLOOKUP(A333,Database!A:K,MATCH($A$1,Database!$A$1:$K$1,),)</f>
        <v>64026</v>
      </c>
      <c r="C333" s="12">
        <f t="shared" si="10"/>
        <v>1.7480850522836346E-2</v>
      </c>
      <c r="D333" s="13">
        <f t="shared" si="9"/>
        <v>2.8794549603110838E-2</v>
      </c>
    </row>
    <row r="334" spans="1:4" x14ac:dyDescent="0.35">
      <c r="A334" s="11">
        <v>43556</v>
      </c>
      <c r="B334" s="15">
        <f>VLOOKUP(A334,Database!A:K,MATCH($A$1,Database!$A$1:$K$1,),)</f>
        <v>64241</v>
      </c>
      <c r="C334" s="12">
        <f t="shared" si="10"/>
        <v>3.3580108081092057E-3</v>
      </c>
      <c r="D334" s="13">
        <f t="shared" si="9"/>
        <v>3.001491125398836E-2</v>
      </c>
    </row>
    <row r="335" spans="1:4" x14ac:dyDescent="0.35">
      <c r="A335" s="10">
        <v>43586</v>
      </c>
      <c r="B335" s="15">
        <f>VLOOKUP(A335,Database!A:K,MATCH($A$1,Database!$A$1:$K$1,),)</f>
        <v>64325</v>
      </c>
      <c r="C335" s="12">
        <f t="shared" si="10"/>
        <v>1.3075761585280429E-3</v>
      </c>
      <c r="D335" s="13">
        <f t="shared" si="9"/>
        <v>3.033749259182137E-2</v>
      </c>
    </row>
    <row r="336" spans="1:4" x14ac:dyDescent="0.35">
      <c r="A336" s="11">
        <v>43617</v>
      </c>
      <c r="B336" s="15">
        <f>VLOOKUP(A336,Database!A:K,MATCH($A$1,Database!$A$1:$K$1,),)</f>
        <v>64707</v>
      </c>
      <c r="C336" s="12">
        <f t="shared" si="10"/>
        <v>5.9385930820054413E-3</v>
      </c>
      <c r="D336" s="13">
        <f t="shared" si="9"/>
        <v>3.9102646454265158E-2</v>
      </c>
    </row>
    <row r="337" spans="1:4" x14ac:dyDescent="0.35">
      <c r="A337" s="10">
        <v>43647</v>
      </c>
      <c r="B337" s="15">
        <f>VLOOKUP(A337,Database!A:K,MATCH($A$1,Database!$A$1:$K$1,),)</f>
        <v>65549</v>
      </c>
      <c r="C337" s="12">
        <f t="shared" si="10"/>
        <v>1.3012502511320259E-2</v>
      </c>
      <c r="D337" s="13">
        <f t="shared" si="9"/>
        <v>4.5838917608015825E-2</v>
      </c>
    </row>
    <row r="338" spans="1:4" x14ac:dyDescent="0.35">
      <c r="A338" s="11">
        <v>43678</v>
      </c>
      <c r="B338" s="15">
        <f>VLOOKUP(A338,Database!A:K,MATCH($A$1,Database!$A$1:$K$1,),)</f>
        <v>65324</v>
      </c>
      <c r="C338" s="12">
        <f t="shared" si="10"/>
        <v>-3.4325466444949581E-3</v>
      </c>
      <c r="D338" s="13">
        <f t="shared" si="9"/>
        <v>4.7564065556945381E-2</v>
      </c>
    </row>
    <row r="339" spans="1:4" x14ac:dyDescent="0.35">
      <c r="A339" s="10">
        <v>43709</v>
      </c>
      <c r="B339" s="15">
        <f>VLOOKUP(A339,Database!A:K,MATCH($A$1,Database!$A$1:$K$1,),)</f>
        <v>64832</v>
      </c>
      <c r="C339" s="12">
        <f t="shared" si="10"/>
        <v>-7.5316882003551525E-3</v>
      </c>
      <c r="D339" s="13">
        <f t="shared" ref="D339:D402" si="11">(B339-B327)/B327</f>
        <v>3.3031119042687102E-2</v>
      </c>
    </row>
    <row r="340" spans="1:4" x14ac:dyDescent="0.35">
      <c r="A340" s="11">
        <v>43739</v>
      </c>
      <c r="B340" s="15">
        <f>VLOOKUP(A340,Database!A:K,MATCH($A$1,Database!$A$1:$K$1,),)</f>
        <v>64933</v>
      </c>
      <c r="C340" s="12">
        <f t="shared" si="10"/>
        <v>1.5578726554787759E-3</v>
      </c>
      <c r="D340" s="13">
        <f t="shared" si="11"/>
        <v>2.8560114050372249E-2</v>
      </c>
    </row>
    <row r="341" spans="1:4" x14ac:dyDescent="0.35">
      <c r="A341" s="10">
        <v>43770</v>
      </c>
      <c r="B341" s="15">
        <f>VLOOKUP(A341,Database!A:K,MATCH($A$1,Database!$A$1:$K$1,),)</f>
        <v>64963</v>
      </c>
      <c r="C341" s="12">
        <f t="shared" si="10"/>
        <v>4.6201469206720775E-4</v>
      </c>
      <c r="D341" s="13">
        <f t="shared" si="11"/>
        <v>2.748912613681297E-2</v>
      </c>
    </row>
    <row r="342" spans="1:4" x14ac:dyDescent="0.35">
      <c r="A342" s="11">
        <v>43800</v>
      </c>
      <c r="B342" s="15">
        <f>VLOOKUP(A342,Database!A:K,MATCH($A$1,Database!$A$1:$K$1,),)</f>
        <v>65455</v>
      </c>
      <c r="C342" s="12">
        <f t="shared" si="10"/>
        <v>7.5735418622908425E-3</v>
      </c>
      <c r="D342" s="13">
        <f t="shared" si="11"/>
        <v>3.6993029150823829E-2</v>
      </c>
    </row>
    <row r="343" spans="1:4" x14ac:dyDescent="0.35">
      <c r="A343" s="10">
        <v>43831</v>
      </c>
      <c r="B343" s="15">
        <f>VLOOKUP(A343,Database!A:K,MATCH($A$1,Database!$A$1:$K$1,),)</f>
        <v>64768</v>
      </c>
      <c r="C343" s="12">
        <f t="shared" si="10"/>
        <v>-1.0495760446108013E-2</v>
      </c>
      <c r="D343" s="13">
        <f t="shared" si="11"/>
        <v>9.3347254905016448E-3</v>
      </c>
    </row>
    <row r="344" spans="1:4" x14ac:dyDescent="0.35">
      <c r="A344" s="11">
        <v>43862</v>
      </c>
      <c r="B344" s="15">
        <f>VLOOKUP(A344,Database!A:K,MATCH($A$1,Database!$A$1:$K$1,),)</f>
        <v>64872</v>
      </c>
      <c r="C344" s="12">
        <f t="shared" si="10"/>
        <v>1.6057312252964427E-3</v>
      </c>
      <c r="D344" s="13">
        <f t="shared" si="11"/>
        <v>3.0925213743126848E-2</v>
      </c>
    </row>
    <row r="345" spans="1:4" x14ac:dyDescent="0.35">
      <c r="A345" s="10">
        <v>43891</v>
      </c>
      <c r="B345" s="15">
        <f>VLOOKUP(A345,Database!A:K,MATCH($A$1,Database!$A$1:$K$1,),)</f>
        <v>81800</v>
      </c>
      <c r="C345" s="12">
        <f t="shared" si="10"/>
        <v>0.26094462942409669</v>
      </c>
      <c r="D345" s="13">
        <f t="shared" si="11"/>
        <v>0.27760597257364195</v>
      </c>
    </row>
    <row r="346" spans="1:4" x14ac:dyDescent="0.35">
      <c r="A346" s="11">
        <v>43922</v>
      </c>
      <c r="B346" s="15">
        <f>VLOOKUP(A346,Database!A:K,MATCH($A$1,Database!$A$1:$K$1,),)</f>
        <v>71138</v>
      </c>
      <c r="C346" s="12">
        <f t="shared" si="10"/>
        <v>-0.13034229828850855</v>
      </c>
      <c r="D346" s="13">
        <f t="shared" si="11"/>
        <v>0.10736134244485609</v>
      </c>
    </row>
    <row r="347" spans="1:4" x14ac:dyDescent="0.35">
      <c r="A347" s="10">
        <v>43952</v>
      </c>
      <c r="B347" s="15">
        <f>VLOOKUP(A347,Database!A:K,MATCH($A$1,Database!$A$1:$K$1,),)</f>
        <v>72476</v>
      </c>
      <c r="C347" s="12">
        <f t="shared" si="10"/>
        <v>1.8808513031010148E-2</v>
      </c>
      <c r="D347" s="13">
        <f t="shared" si="11"/>
        <v>0.12671589584143023</v>
      </c>
    </row>
    <row r="348" spans="1:4" x14ac:dyDescent="0.35">
      <c r="A348" s="11">
        <v>43983</v>
      </c>
      <c r="B348" s="15">
        <f>VLOOKUP(A348,Database!A:K,MATCH($A$1,Database!$A$1:$K$1,),)</f>
        <v>71208</v>
      </c>
      <c r="C348" s="12">
        <f t="shared" si="10"/>
        <v>-1.7495446768585464E-2</v>
      </c>
      <c r="D348" s="13">
        <f t="shared" si="11"/>
        <v>0.10046826463906533</v>
      </c>
    </row>
    <row r="349" spans="1:4" x14ac:dyDescent="0.35">
      <c r="A349" s="10">
        <v>44013</v>
      </c>
      <c r="B349" s="15">
        <f>VLOOKUP(A349,Database!A:K,MATCH($A$1,Database!$A$1:$K$1,),)</f>
        <v>71444</v>
      </c>
      <c r="C349" s="12">
        <f t="shared" si="10"/>
        <v>3.3142343556903718E-3</v>
      </c>
      <c r="D349" s="13">
        <f t="shared" si="11"/>
        <v>8.9932722085767899E-2</v>
      </c>
    </row>
    <row r="350" spans="1:4" x14ac:dyDescent="0.35">
      <c r="A350" s="11">
        <v>44044</v>
      </c>
      <c r="B350" s="15">
        <f>VLOOKUP(A350,Database!A:K,MATCH($A$1,Database!$A$1:$K$1,),)</f>
        <v>70080</v>
      </c>
      <c r="C350" s="12">
        <f t="shared" si="10"/>
        <v>-1.9091876154750574E-2</v>
      </c>
      <c r="D350" s="13">
        <f t="shared" si="11"/>
        <v>7.2806319270099812E-2</v>
      </c>
    </row>
    <row r="351" spans="1:4" x14ac:dyDescent="0.35">
      <c r="A351" s="10">
        <v>44075</v>
      </c>
      <c r="B351" s="15">
        <f>VLOOKUP(A351,Database!A:K,MATCH($A$1,Database!$A$1:$K$1,),)</f>
        <v>70053</v>
      </c>
      <c r="C351" s="12">
        <f t="shared" si="10"/>
        <v>-3.8527397260273972E-4</v>
      </c>
      <c r="D351" s="13">
        <f t="shared" si="11"/>
        <v>8.0531219151036532E-2</v>
      </c>
    </row>
    <row r="352" spans="1:4" x14ac:dyDescent="0.35">
      <c r="A352" s="11">
        <v>44105</v>
      </c>
      <c r="B352" s="15">
        <f>VLOOKUP(A352,Database!A:K,MATCH($A$1,Database!$A$1:$K$1,),)</f>
        <v>69685</v>
      </c>
      <c r="C352" s="12">
        <f t="shared" si="10"/>
        <v>-5.2531654604370979E-3</v>
      </c>
      <c r="D352" s="13">
        <f t="shared" si="11"/>
        <v>7.3183127223445707E-2</v>
      </c>
    </row>
    <row r="353" spans="1:4" x14ac:dyDescent="0.35">
      <c r="A353" s="10">
        <v>44136</v>
      </c>
      <c r="B353" s="15">
        <f>VLOOKUP(A353,Database!A:K,MATCH($A$1,Database!$A$1:$K$1,),)</f>
        <v>70464</v>
      </c>
      <c r="C353" s="12">
        <f t="shared" si="10"/>
        <v>1.1178876372246538E-2</v>
      </c>
      <c r="D353" s="13">
        <f t="shared" si="11"/>
        <v>8.4678971106629933E-2</v>
      </c>
    </row>
    <row r="354" spans="1:4" x14ac:dyDescent="0.35">
      <c r="A354" s="11">
        <v>44166</v>
      </c>
      <c r="B354" s="15">
        <f>VLOOKUP(A354,Database!A:K,MATCH($A$1,Database!$A$1:$K$1,),)</f>
        <v>69983</v>
      </c>
      <c r="C354" s="12">
        <f t="shared" si="10"/>
        <v>-6.8261807447774752E-3</v>
      </c>
      <c r="D354" s="13">
        <f t="shared" si="11"/>
        <v>6.9177297379879307E-2</v>
      </c>
    </row>
    <row r="355" spans="1:4" x14ac:dyDescent="0.35">
      <c r="A355" s="10">
        <v>44197</v>
      </c>
      <c r="B355" s="15">
        <f>VLOOKUP(A355,Database!A:K,MATCH($A$1,Database!$A$1:$K$1,),)</f>
        <v>70921</v>
      </c>
      <c r="C355" s="12">
        <f t="shared" si="10"/>
        <v>1.3403255076232799E-2</v>
      </c>
      <c r="D355" s="13">
        <f t="shared" si="11"/>
        <v>9.5000617588932801E-2</v>
      </c>
    </row>
    <row r="356" spans="1:4" x14ac:dyDescent="0.35">
      <c r="A356" s="11">
        <v>44228</v>
      </c>
      <c r="B356" s="15">
        <f>VLOOKUP(A356,Database!A:K,MATCH($A$1,Database!$A$1:$K$1,),)</f>
        <v>70969</v>
      </c>
      <c r="C356" s="12">
        <f t="shared" si="10"/>
        <v>6.7680940765076634E-4</v>
      </c>
      <c r="D356" s="13">
        <f t="shared" si="11"/>
        <v>9.3985078308052777E-2</v>
      </c>
    </row>
    <row r="357" spans="1:4" x14ac:dyDescent="0.35">
      <c r="A357" s="10">
        <v>44256</v>
      </c>
      <c r="B357" s="15">
        <f>VLOOKUP(A357,Database!A:K,MATCH($A$1,Database!$A$1:$K$1,),)</f>
        <v>71309</v>
      </c>
      <c r="C357" s="12">
        <f t="shared" si="10"/>
        <v>4.7908241626625709E-3</v>
      </c>
      <c r="D357" s="13">
        <f t="shared" si="11"/>
        <v>-0.12825183374083129</v>
      </c>
    </row>
    <row r="358" spans="1:4" x14ac:dyDescent="0.35">
      <c r="A358" s="11">
        <v>44287</v>
      </c>
      <c r="B358" s="15">
        <f>VLOOKUP(A358,Database!A:K,MATCH($A$1,Database!$A$1:$K$1,),)</f>
        <v>71984</v>
      </c>
      <c r="C358" s="12">
        <f t="shared" si="10"/>
        <v>9.4658458259125784E-3</v>
      </c>
      <c r="D358" s="13">
        <f t="shared" si="11"/>
        <v>1.1892378194495207E-2</v>
      </c>
    </row>
    <row r="359" spans="1:4" x14ac:dyDescent="0.35">
      <c r="A359" s="10">
        <v>44317</v>
      </c>
      <c r="B359" s="15">
        <f>VLOOKUP(A359,Database!A:K,MATCH($A$1,Database!$A$1:$K$1,),)</f>
        <v>72530</v>
      </c>
      <c r="C359" s="12">
        <f t="shared" si="10"/>
        <v>7.585018893087353E-3</v>
      </c>
      <c r="D359" s="13">
        <f t="shared" si="11"/>
        <v>7.4507423146972791E-4</v>
      </c>
    </row>
    <row r="360" spans="1:4" x14ac:dyDescent="0.35">
      <c r="A360" s="11">
        <v>44348</v>
      </c>
      <c r="B360" s="15">
        <f>VLOOKUP(A360,Database!A:K,MATCH($A$1,Database!$A$1:$K$1,),)</f>
        <v>73116</v>
      </c>
      <c r="C360" s="12">
        <f t="shared" si="10"/>
        <v>8.0794154143113191E-3</v>
      </c>
      <c r="D360" s="13">
        <f t="shared" si="11"/>
        <v>2.6794742163801819E-2</v>
      </c>
    </row>
    <row r="361" spans="1:4" x14ac:dyDescent="0.35">
      <c r="A361" s="10">
        <v>44378</v>
      </c>
      <c r="B361" s="15">
        <f>VLOOKUP(A361,Database!A:K,MATCH($A$1,Database!$A$1:$K$1,),)</f>
        <v>72910</v>
      </c>
      <c r="C361" s="12">
        <f t="shared" si="10"/>
        <v>-2.8174407790360523E-3</v>
      </c>
      <c r="D361" s="13">
        <f t="shared" si="11"/>
        <v>2.0519567773360954E-2</v>
      </c>
    </row>
    <row r="362" spans="1:4" x14ac:dyDescent="0.35">
      <c r="A362" s="11">
        <v>44409</v>
      </c>
      <c r="B362" s="15">
        <f>VLOOKUP(A362,Database!A:K,MATCH($A$1,Database!$A$1:$K$1,),)</f>
        <v>74085</v>
      </c>
      <c r="C362" s="12">
        <f t="shared" si="10"/>
        <v>1.6115759155122755E-2</v>
      </c>
      <c r="D362" s="13">
        <f t="shared" si="11"/>
        <v>5.7148972602739725E-2</v>
      </c>
    </row>
    <row r="363" spans="1:4" x14ac:dyDescent="0.35">
      <c r="A363" s="11">
        <v>44440</v>
      </c>
      <c r="B363" s="15">
        <f>VLOOKUP(A363,Database!A:K,MATCH($A$1,Database!$A$1:$K$1,),)</f>
        <v>74695</v>
      </c>
      <c r="C363" s="12">
        <f t="shared" si="10"/>
        <v>8.2337855166362967E-3</v>
      </c>
      <c r="D363" s="13">
        <f t="shared" si="11"/>
        <v>6.6264114313448391E-2</v>
      </c>
    </row>
    <row r="364" spans="1:4" x14ac:dyDescent="0.35">
      <c r="A364" s="10">
        <v>44470</v>
      </c>
      <c r="B364" s="15">
        <f>VLOOKUP(A364,Database!A:K,MATCH($A$1,Database!$A$1:$K$1,),)</f>
        <v>75331</v>
      </c>
      <c r="C364" s="12">
        <f t="shared" si="10"/>
        <v>8.5146261463284016E-3</v>
      </c>
      <c r="D364" s="13">
        <f t="shared" si="11"/>
        <v>8.1021740690248978E-2</v>
      </c>
    </row>
    <row r="365" spans="1:4" x14ac:dyDescent="0.35">
      <c r="A365" s="11">
        <v>44501</v>
      </c>
      <c r="B365" s="15">
        <f>VLOOKUP(A365,Database!A:K,MATCH($A$1,Database!$A$1:$K$1,),)</f>
        <v>75540</v>
      </c>
      <c r="C365" s="12">
        <f t="shared" si="10"/>
        <v>2.774422216617329E-3</v>
      </c>
      <c r="D365" s="13">
        <f t="shared" si="11"/>
        <v>7.2036784741144416E-2</v>
      </c>
    </row>
    <row r="366" spans="1:4" x14ac:dyDescent="0.35">
      <c r="A366" s="11">
        <v>44531</v>
      </c>
      <c r="B366" s="15">
        <f>VLOOKUP(A366,Database!A:K,MATCH($A$1,Database!$A$1:$K$1,),)</f>
        <v>76187</v>
      </c>
      <c r="C366" s="12">
        <f t="shared" si="10"/>
        <v>8.564998676198041E-3</v>
      </c>
      <c r="D366" s="13">
        <f t="shared" si="11"/>
        <v>8.8650100738750834E-2</v>
      </c>
    </row>
    <row r="367" spans="1:4" x14ac:dyDescent="0.35">
      <c r="A367" s="11">
        <v>44562</v>
      </c>
      <c r="B367" s="15">
        <f>VLOOKUP(A367,Database!A:K,MATCH($A$1,Database!$A$1:$K$1,),)</f>
        <v>76603</v>
      </c>
      <c r="C367" s="12">
        <f t="shared" si="10"/>
        <v>5.4602491238662761E-3</v>
      </c>
      <c r="D367" s="13">
        <f t="shared" si="11"/>
        <v>8.0117313630659465E-2</v>
      </c>
    </row>
    <row r="368" spans="1:4" x14ac:dyDescent="0.35">
      <c r="A368" s="11">
        <v>44593</v>
      </c>
      <c r="B368" s="15">
        <f>VLOOKUP(A368,Database!A:K,MATCH($A$1,Database!$A$1:$K$1,),)</f>
        <v>76533</v>
      </c>
      <c r="C368" s="12">
        <f t="shared" si="10"/>
        <v>-9.1380233150137726E-4</v>
      </c>
      <c r="D368" s="13">
        <f t="shared" si="11"/>
        <v>7.8400428356042773E-2</v>
      </c>
    </row>
    <row r="369" spans="1:4" x14ac:dyDescent="0.35">
      <c r="A369" s="11">
        <v>44621</v>
      </c>
      <c r="B369" s="15">
        <f>VLOOKUP(A369,Database!A:K,MATCH($A$1,Database!$A$1:$K$1,),)</f>
        <v>77268</v>
      </c>
      <c r="C369" s="12">
        <f t="shared" si="10"/>
        <v>9.6037003645486254E-3</v>
      </c>
      <c r="D369" s="13">
        <f t="shared" si="11"/>
        <v>8.3565889298685997E-2</v>
      </c>
    </row>
    <row r="370" spans="1:4" x14ac:dyDescent="0.35">
      <c r="A370" s="10">
        <v>44652</v>
      </c>
      <c r="B370" s="15">
        <f>VLOOKUP(A370,Database!A:K,MATCH($A$1,Database!$A$1:$K$1,),)</f>
        <v>77270</v>
      </c>
      <c r="C370" s="12">
        <f t="shared" si="10"/>
        <v>2.5883936429052132E-5</v>
      </c>
      <c r="D370" s="13">
        <f t="shared" si="11"/>
        <v>7.3432985107801732E-2</v>
      </c>
    </row>
    <row r="371" spans="1:4" x14ac:dyDescent="0.35">
      <c r="A371" s="11">
        <v>44682</v>
      </c>
      <c r="B371" s="15">
        <f>VLOOKUP(A371,Database!A:K,MATCH($A$1,Database!$A$1:$K$1,),)</f>
        <v>78111</v>
      </c>
      <c r="C371" s="12">
        <f t="shared" si="10"/>
        <v>1.0883913549889997E-2</v>
      </c>
      <c r="D371" s="13">
        <f t="shared" si="11"/>
        <v>7.6947470012408661E-2</v>
      </c>
    </row>
    <row r="372" spans="1:4" x14ac:dyDescent="0.35">
      <c r="A372" s="11">
        <v>44713</v>
      </c>
      <c r="B372" s="15">
        <f>VLOOKUP(A372,Database!A:K,MATCH($A$1,Database!$A$1:$K$1,),)</f>
        <v>79000</v>
      </c>
      <c r="C372" s="12">
        <f t="shared" si="10"/>
        <v>1.1381239518121648E-2</v>
      </c>
      <c r="D372" s="13">
        <f t="shared" si="11"/>
        <v>8.0474861863340449E-2</v>
      </c>
    </row>
    <row r="373" spans="1:4" x14ac:dyDescent="0.35">
      <c r="A373" s="11">
        <v>44743</v>
      </c>
      <c r="B373" s="15">
        <f>VLOOKUP(A373,Database!A:K,MATCH($A$1,Database!$A$1:$K$1,),)</f>
        <v>78968</v>
      </c>
      <c r="C373" s="12">
        <f t="shared" si="10"/>
        <v>-4.0506329113924053E-4</v>
      </c>
      <c r="D373" s="13">
        <f t="shared" si="11"/>
        <v>8.3088739541900977E-2</v>
      </c>
    </row>
    <row r="374" spans="1:4" x14ac:dyDescent="0.35">
      <c r="A374" s="10">
        <v>44774</v>
      </c>
      <c r="B374" s="15">
        <f>VLOOKUP(A374,Database!A:K,MATCH($A$1,Database!$A$1:$K$1,),)</f>
        <v>79317</v>
      </c>
      <c r="C374" s="12">
        <f t="shared" si="10"/>
        <v>4.4195117009421534E-3</v>
      </c>
      <c r="D374" s="13">
        <f t="shared" si="11"/>
        <v>7.0621583316460818E-2</v>
      </c>
    </row>
    <row r="375" spans="1:4" x14ac:dyDescent="0.35">
      <c r="A375" s="11">
        <v>44805</v>
      </c>
      <c r="B375" s="15">
        <f>VLOOKUP(A375,Database!A:K,MATCH($A$1,Database!$A$1:$K$1,),)</f>
        <v>79984</v>
      </c>
      <c r="C375" s="12">
        <f t="shared" si="10"/>
        <v>8.4092943505175433E-3</v>
      </c>
      <c r="D375" s="13">
        <f t="shared" si="11"/>
        <v>7.0807952339514021E-2</v>
      </c>
    </row>
    <row r="376" spans="1:4" x14ac:dyDescent="0.35">
      <c r="A376" s="11">
        <v>44835</v>
      </c>
      <c r="B376" s="15">
        <f>VLOOKUP(A376,Database!A:K,MATCH($A$1,Database!$A$1:$K$1,),)</f>
        <v>81009</v>
      </c>
      <c r="C376" s="12">
        <f t="shared" si="10"/>
        <v>1.2815063012602521E-2</v>
      </c>
      <c r="D376" s="13">
        <f t="shared" si="11"/>
        <v>7.5374016009345415E-2</v>
      </c>
    </row>
    <row r="377" spans="1:4" x14ac:dyDescent="0.35">
      <c r="A377" s="10">
        <v>44866</v>
      </c>
      <c r="B377" s="15">
        <f>VLOOKUP(A377,Database!A:K,MATCH($A$1,Database!$A$1:$K$1,),)</f>
        <v>81628</v>
      </c>
      <c r="C377" s="12">
        <f t="shared" si="10"/>
        <v>7.6411262946092413E-3</v>
      </c>
      <c r="D377" s="13">
        <f t="shared" si="11"/>
        <v>8.0593063277733648E-2</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7"/>
  <sheetViews>
    <sheetView zoomScale="140" zoomScaleNormal="140" workbookViewId="0">
      <pane ySplit="6" topLeftCell="A357" activePane="bottomLeft" state="frozen"/>
      <selection activeCell="P14" sqref="P14"/>
      <selection pane="bottomLeft" activeCell="AE370" sqref="AE370"/>
    </sheetView>
  </sheetViews>
  <sheetFormatPr defaultColWidth="9.1796875" defaultRowHeight="14.5" x14ac:dyDescent="0.35"/>
  <cols>
    <col min="1" max="1" width="14" style="54" customWidth="1"/>
    <col min="2" max="4" width="14.1796875" style="54" customWidth="1"/>
    <col min="5" max="22" width="9.1796875" style="109" customWidth="1"/>
    <col min="23" max="16384" width="9.1796875" style="109"/>
  </cols>
  <sheetData>
    <row r="1" spans="1:4" x14ac:dyDescent="0.35">
      <c r="A1" s="109" t="s">
        <v>64</v>
      </c>
      <c r="B1" s="29" t="s">
        <v>98</v>
      </c>
    </row>
    <row r="2" spans="1:4" x14ac:dyDescent="0.35">
      <c r="A2" s="110" t="s">
        <v>99</v>
      </c>
      <c r="B2" s="109"/>
    </row>
    <row r="3" spans="1:4" x14ac:dyDescent="0.35">
      <c r="A3" s="9"/>
    </row>
    <row r="4" spans="1:4" x14ac:dyDescent="0.35">
      <c r="A4" s="9"/>
    </row>
    <row r="5" spans="1:4" ht="16" customHeight="1" thickBot="1" x14ac:dyDescent="0.4"/>
    <row r="6" spans="1:4" ht="57" customHeight="1" x14ac:dyDescent="0.35">
      <c r="A6" s="86" t="s">
        <v>82</v>
      </c>
      <c r="B6" s="87" t="s">
        <v>100</v>
      </c>
      <c r="C6" s="84" t="s">
        <v>12</v>
      </c>
      <c r="D6" s="85" t="s">
        <v>13</v>
      </c>
    </row>
    <row r="7" spans="1:4" x14ac:dyDescent="0.35">
      <c r="A7" s="10">
        <v>33604</v>
      </c>
      <c r="B7" s="15">
        <f>VLOOKUP(A7,Database!A:Q,MATCH($A$1,Database!$A$1:$Q$1,),)</f>
        <v>6515</v>
      </c>
      <c r="C7" s="1"/>
      <c r="D7" s="1"/>
    </row>
    <row r="8" spans="1:4" x14ac:dyDescent="0.35">
      <c r="A8" s="11">
        <v>33635</v>
      </c>
      <c r="B8" s="15">
        <f>VLOOKUP(A8,Database!A:Q,MATCH($A$1,Database!$A$1:$Q$1,),)</f>
        <v>6110</v>
      </c>
      <c r="C8" s="12">
        <f t="shared" ref="C8:C71" si="0">(B8-B7)/B7</f>
        <v>-6.2164236377590179E-2</v>
      </c>
      <c r="D8" s="1"/>
    </row>
    <row r="9" spans="1:4" x14ac:dyDescent="0.35">
      <c r="A9" s="10">
        <v>33664</v>
      </c>
      <c r="B9" s="15">
        <f>VLOOKUP(A9,Database!A:Q,MATCH($A$1,Database!$A$1:$Q$1,),)</f>
        <v>6018</v>
      </c>
      <c r="C9" s="12">
        <f t="shared" si="0"/>
        <v>-1.5057283142389525E-2</v>
      </c>
      <c r="D9" s="1"/>
    </row>
    <row r="10" spans="1:4" x14ac:dyDescent="0.35">
      <c r="A10" s="11">
        <v>33695</v>
      </c>
      <c r="B10" s="15">
        <f>VLOOKUP(A10,Database!A:Q,MATCH($A$1,Database!$A$1:$Q$1,),)</f>
        <v>6327</v>
      </c>
      <c r="C10" s="12">
        <f t="shared" si="0"/>
        <v>5.1345962113659022E-2</v>
      </c>
      <c r="D10" s="1"/>
    </row>
    <row r="11" spans="1:4" x14ac:dyDescent="0.35">
      <c r="A11" s="10">
        <v>33725</v>
      </c>
      <c r="B11" s="15">
        <f>VLOOKUP(A11,Database!A:Q,MATCH($A$1,Database!$A$1:$Q$1,),)</f>
        <v>6550</v>
      </c>
      <c r="C11" s="12">
        <f t="shared" si="0"/>
        <v>3.5245772087877353E-2</v>
      </c>
      <c r="D11" s="1"/>
    </row>
    <row r="12" spans="1:4" x14ac:dyDescent="0.35">
      <c r="A12" s="11">
        <v>33756</v>
      </c>
      <c r="B12" s="15">
        <f>VLOOKUP(A12,Database!A:Q,MATCH($A$1,Database!$A$1:$Q$1,),)</f>
        <v>6653</v>
      </c>
      <c r="C12" s="12">
        <f t="shared" si="0"/>
        <v>1.5725190839694658E-2</v>
      </c>
      <c r="D12" s="1"/>
    </row>
    <row r="13" spans="1:4" x14ac:dyDescent="0.35">
      <c r="A13" s="10">
        <v>33786</v>
      </c>
      <c r="B13" s="15">
        <f>VLOOKUP(A13,Database!A:Q,MATCH($A$1,Database!$A$1:$Q$1,),)</f>
        <v>6891</v>
      </c>
      <c r="C13" s="12">
        <f t="shared" si="0"/>
        <v>3.5773335337441758E-2</v>
      </c>
      <c r="D13" s="1"/>
    </row>
    <row r="14" spans="1:4" x14ac:dyDescent="0.35">
      <c r="A14" s="11">
        <v>33817</v>
      </c>
      <c r="B14" s="15">
        <f>VLOOKUP(A14,Database!A:Q,MATCH($A$1,Database!$A$1:$Q$1,),)</f>
        <v>6766</v>
      </c>
      <c r="C14" s="12">
        <f t="shared" si="0"/>
        <v>-1.8139602379915833E-2</v>
      </c>
      <c r="D14" s="1"/>
    </row>
    <row r="15" spans="1:4" x14ac:dyDescent="0.35">
      <c r="A15" s="10">
        <v>33848</v>
      </c>
      <c r="B15" s="15">
        <f>VLOOKUP(A15,Database!A:Q,MATCH($A$1,Database!$A$1:$Q$1,),)</f>
        <v>6714</v>
      </c>
      <c r="C15" s="12">
        <f t="shared" si="0"/>
        <v>-7.6854862548034293E-3</v>
      </c>
      <c r="D15" s="1"/>
    </row>
    <row r="16" spans="1:4" x14ac:dyDescent="0.35">
      <c r="A16" s="11">
        <v>33878</v>
      </c>
      <c r="B16" s="15">
        <f>VLOOKUP(A16,Database!A:Q,MATCH($A$1,Database!$A$1:$Q$1,),)</f>
        <v>6665</v>
      </c>
      <c r="C16" s="12">
        <f t="shared" si="0"/>
        <v>-7.2981829014000599E-3</v>
      </c>
      <c r="D16" s="1"/>
    </row>
    <row r="17" spans="1:4" x14ac:dyDescent="0.35">
      <c r="A17" s="10">
        <v>33909</v>
      </c>
      <c r="B17" s="15">
        <f>VLOOKUP(A17,Database!A:Q,MATCH($A$1,Database!$A$1:$Q$1,),)</f>
        <v>6610</v>
      </c>
      <c r="C17" s="12">
        <f t="shared" si="0"/>
        <v>-8.2520630157539385E-3</v>
      </c>
      <c r="D17" s="1"/>
    </row>
    <row r="18" spans="1:4" x14ac:dyDescent="0.35">
      <c r="A18" s="11">
        <v>33939</v>
      </c>
      <c r="B18" s="15">
        <f>VLOOKUP(A18,Database!A:Q,MATCH($A$1,Database!$A$1:$Q$1,),)</f>
        <v>6597</v>
      </c>
      <c r="C18" s="12">
        <f t="shared" si="0"/>
        <v>-1.9667170953101363E-3</v>
      </c>
      <c r="D18" s="1"/>
    </row>
    <row r="19" spans="1:4" x14ac:dyDescent="0.35">
      <c r="A19" s="10">
        <v>33970</v>
      </c>
      <c r="B19" s="15">
        <f>VLOOKUP(A19,Database!A:Q,MATCH($A$1,Database!$A$1:$Q$1,),)</f>
        <v>6644</v>
      </c>
      <c r="C19" s="12">
        <f t="shared" si="0"/>
        <v>7.124450507806579E-3</v>
      </c>
      <c r="D19" s="13">
        <f t="shared" ref="D19:D82" si="1">(B19-B7)/B7</f>
        <v>1.9800460475825021E-2</v>
      </c>
    </row>
    <row r="20" spans="1:4" x14ac:dyDescent="0.35">
      <c r="A20" s="11">
        <v>34001</v>
      </c>
      <c r="B20" s="15">
        <f>VLOOKUP(A20,Database!A:Q,MATCH($A$1,Database!$A$1:$Q$1,),)</f>
        <v>6780</v>
      </c>
      <c r="C20" s="12">
        <f t="shared" si="0"/>
        <v>2.0469596628537028E-2</v>
      </c>
      <c r="D20" s="13">
        <f t="shared" si="1"/>
        <v>0.10965630114566285</v>
      </c>
    </row>
    <row r="21" spans="1:4" x14ac:dyDescent="0.35">
      <c r="A21" s="10">
        <v>34029</v>
      </c>
      <c r="B21" s="15">
        <f>VLOOKUP(A21,Database!A:Q,MATCH($A$1,Database!$A$1:$Q$1,),)</f>
        <v>7009</v>
      </c>
      <c r="C21" s="12">
        <f t="shared" si="0"/>
        <v>3.3775811209439531E-2</v>
      </c>
      <c r="D21" s="13">
        <f t="shared" si="1"/>
        <v>0.16467264872050516</v>
      </c>
    </row>
    <row r="22" spans="1:4" x14ac:dyDescent="0.35">
      <c r="A22" s="11">
        <v>34060</v>
      </c>
      <c r="B22" s="15">
        <f>VLOOKUP(A22,Database!A:Q,MATCH($A$1,Database!$A$1:$Q$1,),)</f>
        <v>6868</v>
      </c>
      <c r="C22" s="12">
        <f t="shared" si="0"/>
        <v>-2.0116992438293624E-2</v>
      </c>
      <c r="D22" s="13">
        <f t="shared" si="1"/>
        <v>8.5506559190769715E-2</v>
      </c>
    </row>
    <row r="23" spans="1:4" x14ac:dyDescent="0.35">
      <c r="A23" s="10">
        <v>34090</v>
      </c>
      <c r="B23" s="15">
        <f>VLOOKUP(A23,Database!A:Q,MATCH($A$1,Database!$A$1:$Q$1,),)</f>
        <v>7309</v>
      </c>
      <c r="C23" s="12">
        <f t="shared" si="0"/>
        <v>6.4210832847990687E-2</v>
      </c>
      <c r="D23" s="13">
        <f t="shared" si="1"/>
        <v>0.11587786259541985</v>
      </c>
    </row>
    <row r="24" spans="1:4" x14ac:dyDescent="0.35">
      <c r="A24" s="11">
        <v>34121</v>
      </c>
      <c r="B24" s="15">
        <f>VLOOKUP(A24,Database!A:Q,MATCH($A$1,Database!$A$1:$Q$1,),)</f>
        <v>6858</v>
      </c>
      <c r="C24" s="12">
        <f t="shared" si="0"/>
        <v>-6.1704747571487209E-2</v>
      </c>
      <c r="D24" s="13">
        <f t="shared" si="1"/>
        <v>3.0813166992334284E-2</v>
      </c>
    </row>
    <row r="25" spans="1:4" x14ac:dyDescent="0.35">
      <c r="A25" s="10">
        <v>34151</v>
      </c>
      <c r="B25" s="15">
        <f>VLOOKUP(A25,Database!A:Q,MATCH($A$1,Database!$A$1:$Q$1,),)</f>
        <v>7046</v>
      </c>
      <c r="C25" s="12">
        <f t="shared" si="0"/>
        <v>2.7413240011665209E-2</v>
      </c>
      <c r="D25" s="13">
        <f t="shared" si="1"/>
        <v>2.2493106951095632E-2</v>
      </c>
    </row>
    <row r="26" spans="1:4" x14ac:dyDescent="0.35">
      <c r="A26" s="11">
        <v>34182</v>
      </c>
      <c r="B26" s="15">
        <f>VLOOKUP(A26,Database!A:Q,MATCH($A$1,Database!$A$1:$Q$1,),)</f>
        <v>6999</v>
      </c>
      <c r="C26" s="12">
        <f t="shared" si="0"/>
        <v>-6.670451319897814E-3</v>
      </c>
      <c r="D26" s="13">
        <f t="shared" si="1"/>
        <v>3.4436890334023057E-2</v>
      </c>
    </row>
    <row r="27" spans="1:4" x14ac:dyDescent="0.35">
      <c r="A27" s="10">
        <v>34213</v>
      </c>
      <c r="B27" s="15">
        <f>VLOOKUP(A27,Database!A:Q,MATCH($A$1,Database!$A$1:$Q$1,),)</f>
        <v>7486</v>
      </c>
      <c r="C27" s="12">
        <f t="shared" si="0"/>
        <v>6.9581368766966703E-2</v>
      </c>
      <c r="D27" s="13">
        <f t="shared" si="1"/>
        <v>0.1149836163240989</v>
      </c>
    </row>
    <row r="28" spans="1:4" x14ac:dyDescent="0.35">
      <c r="A28" s="11">
        <v>34243</v>
      </c>
      <c r="B28" s="15">
        <f>VLOOKUP(A28,Database!A:Q,MATCH($A$1,Database!$A$1:$Q$1,),)</f>
        <v>7343</v>
      </c>
      <c r="C28" s="12">
        <f t="shared" si="0"/>
        <v>-1.9102324338765696E-2</v>
      </c>
      <c r="D28" s="13">
        <f t="shared" si="1"/>
        <v>0.10172543135783946</v>
      </c>
    </row>
    <row r="29" spans="1:4" x14ac:dyDescent="0.35">
      <c r="A29" s="10">
        <v>34274</v>
      </c>
      <c r="B29" s="15">
        <f>VLOOKUP(A29,Database!A:Q,MATCH($A$1,Database!$A$1:$Q$1,),)</f>
        <v>7561</v>
      </c>
      <c r="C29" s="12">
        <f t="shared" si="0"/>
        <v>2.9688138363066868E-2</v>
      </c>
      <c r="D29" s="13">
        <f t="shared" si="1"/>
        <v>0.14387291981845687</v>
      </c>
    </row>
    <row r="30" spans="1:4" x14ac:dyDescent="0.35">
      <c r="A30" s="11">
        <v>34304</v>
      </c>
      <c r="B30" s="15">
        <f>VLOOKUP(A30,Database!A:Q,MATCH($A$1,Database!$A$1:$Q$1,),)</f>
        <v>7438</v>
      </c>
      <c r="C30" s="12">
        <f t="shared" si="0"/>
        <v>-1.6267689459066263E-2</v>
      </c>
      <c r="D30" s="13">
        <f t="shared" si="1"/>
        <v>0.12748218887373047</v>
      </c>
    </row>
    <row r="31" spans="1:4" x14ac:dyDescent="0.35">
      <c r="A31" s="10">
        <v>34335</v>
      </c>
      <c r="B31" s="15">
        <f>VLOOKUP(A31,Database!A:Q,MATCH($A$1,Database!$A$1:$Q$1,),)</f>
        <v>7720</v>
      </c>
      <c r="C31" s="12">
        <f t="shared" si="0"/>
        <v>3.7913417585372415E-2</v>
      </c>
      <c r="D31" s="13">
        <f t="shared" si="1"/>
        <v>0.16195063214930763</v>
      </c>
    </row>
    <row r="32" spans="1:4" x14ac:dyDescent="0.35">
      <c r="A32" s="11">
        <v>34366</v>
      </c>
      <c r="B32" s="15">
        <f>VLOOKUP(A32,Database!A:Q,MATCH($A$1,Database!$A$1:$Q$1,),)</f>
        <v>7681</v>
      </c>
      <c r="C32" s="12">
        <f t="shared" si="0"/>
        <v>-5.0518134715025909E-3</v>
      </c>
      <c r="D32" s="13">
        <f t="shared" si="1"/>
        <v>0.13289085545722715</v>
      </c>
    </row>
    <row r="33" spans="1:4" x14ac:dyDescent="0.35">
      <c r="A33" s="10">
        <v>34394</v>
      </c>
      <c r="B33" s="15">
        <f>VLOOKUP(A33,Database!A:Q,MATCH($A$1,Database!$A$1:$Q$1,),)</f>
        <v>7853</v>
      </c>
      <c r="C33" s="12">
        <f t="shared" si="0"/>
        <v>2.2392917588855619E-2</v>
      </c>
      <c r="D33" s="13">
        <f t="shared" si="1"/>
        <v>0.12041660721928948</v>
      </c>
    </row>
    <row r="34" spans="1:4" x14ac:dyDescent="0.35">
      <c r="A34" s="11">
        <v>34425</v>
      </c>
      <c r="B34" s="15">
        <f>VLOOKUP(A34,Database!A:Q,MATCH($A$1,Database!$A$1:$Q$1,),)</f>
        <v>7941</v>
      </c>
      <c r="C34" s="12">
        <f t="shared" si="0"/>
        <v>1.1205908569973258E-2</v>
      </c>
      <c r="D34" s="13">
        <f t="shared" si="1"/>
        <v>0.15623179965055328</v>
      </c>
    </row>
    <row r="35" spans="1:4" x14ac:dyDescent="0.35">
      <c r="A35" s="10">
        <v>34455</v>
      </c>
      <c r="B35" s="15">
        <f>VLOOKUP(A35,Database!A:Q,MATCH($A$1,Database!$A$1:$Q$1,),)</f>
        <v>7859</v>
      </c>
      <c r="C35" s="12">
        <f t="shared" si="0"/>
        <v>-1.0326155396045839E-2</v>
      </c>
      <c r="D35" s="13">
        <f t="shared" si="1"/>
        <v>7.5249692160350254E-2</v>
      </c>
    </row>
    <row r="36" spans="1:4" x14ac:dyDescent="0.35">
      <c r="A36" s="11">
        <v>34486</v>
      </c>
      <c r="B36" s="15">
        <f>VLOOKUP(A36,Database!A:Q,MATCH($A$1,Database!$A$1:$Q$1,),)</f>
        <v>8074</v>
      </c>
      <c r="C36" s="12">
        <f t="shared" si="0"/>
        <v>2.7357170123425371E-2</v>
      </c>
      <c r="D36" s="13">
        <f t="shared" si="1"/>
        <v>0.17731116943715369</v>
      </c>
    </row>
    <row r="37" spans="1:4" x14ac:dyDescent="0.35">
      <c r="A37" s="10">
        <v>34516</v>
      </c>
      <c r="B37" s="15">
        <f>VLOOKUP(A37,Database!A:Q,MATCH($A$1,Database!$A$1:$Q$1,),)</f>
        <v>8077</v>
      </c>
      <c r="C37" s="12">
        <f t="shared" si="0"/>
        <v>3.7156304186276937E-4</v>
      </c>
      <c r="D37" s="13">
        <f t="shared" si="1"/>
        <v>0.1463241555492478</v>
      </c>
    </row>
    <row r="38" spans="1:4" x14ac:dyDescent="0.35">
      <c r="A38" s="11">
        <v>34547</v>
      </c>
      <c r="B38" s="15">
        <f>VLOOKUP(A38,Database!A:Q,MATCH($A$1,Database!$A$1:$Q$1,),)</f>
        <v>8241</v>
      </c>
      <c r="C38" s="12">
        <f t="shared" si="0"/>
        <v>2.030456852791878E-2</v>
      </c>
      <c r="D38" s="13">
        <f t="shared" si="1"/>
        <v>0.17745392198885554</v>
      </c>
    </row>
    <row r="39" spans="1:4" x14ac:dyDescent="0.35">
      <c r="A39" s="10">
        <v>34578</v>
      </c>
      <c r="B39" s="15">
        <f>VLOOKUP(A39,Database!A:Q,MATCH($A$1,Database!$A$1:$Q$1,),)</f>
        <v>8106</v>
      </c>
      <c r="C39" s="12">
        <f t="shared" si="0"/>
        <v>-1.6381507098653075E-2</v>
      </c>
      <c r="D39" s="13">
        <f t="shared" si="1"/>
        <v>8.2821266363879237E-2</v>
      </c>
    </row>
    <row r="40" spans="1:4" x14ac:dyDescent="0.35">
      <c r="A40" s="11">
        <v>34608</v>
      </c>
      <c r="B40" s="15">
        <f>VLOOKUP(A40,Database!A:Q,MATCH($A$1,Database!$A$1:$Q$1,),)</f>
        <v>8306</v>
      </c>
      <c r="C40" s="12">
        <f t="shared" si="0"/>
        <v>2.4673081667900321E-2</v>
      </c>
      <c r="D40" s="13">
        <f t="shared" si="1"/>
        <v>0.1311453084570339</v>
      </c>
    </row>
    <row r="41" spans="1:4" x14ac:dyDescent="0.35">
      <c r="A41" s="10">
        <v>34639</v>
      </c>
      <c r="B41" s="15">
        <f>VLOOKUP(A41,Database!A:Q,MATCH($A$1,Database!$A$1:$Q$1,),)</f>
        <v>8092</v>
      </c>
      <c r="C41" s="12">
        <f t="shared" si="0"/>
        <v>-2.5764507584878402E-2</v>
      </c>
      <c r="D41" s="13">
        <f t="shared" si="1"/>
        <v>7.0228805713529963E-2</v>
      </c>
    </row>
    <row r="42" spans="1:4" x14ac:dyDescent="0.35">
      <c r="A42" s="11">
        <v>34669</v>
      </c>
      <c r="B42" s="15">
        <f>VLOOKUP(A42,Database!A:Q,MATCH($A$1,Database!$A$1:$Q$1,),)</f>
        <v>8237</v>
      </c>
      <c r="C42" s="12">
        <f t="shared" si="0"/>
        <v>1.7918932278793872E-2</v>
      </c>
      <c r="D42" s="13">
        <f t="shared" si="1"/>
        <v>0.10742134982522183</v>
      </c>
    </row>
    <row r="43" spans="1:4" x14ac:dyDescent="0.35">
      <c r="A43" s="10">
        <v>34700</v>
      </c>
      <c r="B43" s="15">
        <f>VLOOKUP(A43,Database!A:Q,MATCH($A$1,Database!$A$1:$Q$1,),)</f>
        <v>8182</v>
      </c>
      <c r="C43" s="12">
        <f t="shared" si="0"/>
        <v>-6.6771882967099671E-3</v>
      </c>
      <c r="D43" s="13">
        <f t="shared" si="1"/>
        <v>5.984455958549223E-2</v>
      </c>
    </row>
    <row r="44" spans="1:4" x14ac:dyDescent="0.35">
      <c r="A44" s="11">
        <v>34731</v>
      </c>
      <c r="B44" s="15">
        <f>VLOOKUP(A44,Database!A:Q,MATCH($A$1,Database!$A$1:$Q$1,),)</f>
        <v>8307</v>
      </c>
      <c r="C44" s="12">
        <f t="shared" si="0"/>
        <v>1.5277438279149352E-2</v>
      </c>
      <c r="D44" s="13">
        <f t="shared" si="1"/>
        <v>8.1499804712928003E-2</v>
      </c>
    </row>
    <row r="45" spans="1:4" x14ac:dyDescent="0.35">
      <c r="A45" s="10">
        <v>34759</v>
      </c>
      <c r="B45" s="15">
        <f>VLOOKUP(A45,Database!A:Q,MATCH($A$1,Database!$A$1:$Q$1,),)</f>
        <v>8216</v>
      </c>
      <c r="C45" s="12">
        <f t="shared" si="0"/>
        <v>-1.0954616588419406E-2</v>
      </c>
      <c r="D45" s="13">
        <f t="shared" si="1"/>
        <v>4.6224372851139693E-2</v>
      </c>
    </row>
    <row r="46" spans="1:4" x14ac:dyDescent="0.35">
      <c r="A46" s="11">
        <v>34790</v>
      </c>
      <c r="B46" s="15">
        <f>VLOOKUP(A46,Database!A:Q,MATCH($A$1,Database!$A$1:$Q$1,),)</f>
        <v>8365</v>
      </c>
      <c r="C46" s="12">
        <f t="shared" si="0"/>
        <v>1.8135345666991237E-2</v>
      </c>
      <c r="D46" s="13">
        <f t="shared" si="1"/>
        <v>5.3393779121017504E-2</v>
      </c>
    </row>
    <row r="47" spans="1:4" x14ac:dyDescent="0.35">
      <c r="A47" s="10">
        <v>34820</v>
      </c>
      <c r="B47" s="15">
        <f>VLOOKUP(A47,Database!A:Q,MATCH($A$1,Database!$A$1:$Q$1,),)</f>
        <v>8518</v>
      </c>
      <c r="C47" s="12">
        <f t="shared" si="0"/>
        <v>1.8290496114763896E-2</v>
      </c>
      <c r="D47" s="13">
        <f t="shared" si="1"/>
        <v>8.3852907494592191E-2</v>
      </c>
    </row>
    <row r="48" spans="1:4" x14ac:dyDescent="0.35">
      <c r="A48" s="11">
        <v>34851</v>
      </c>
      <c r="B48" s="15">
        <f>VLOOKUP(A48,Database!A:Q,MATCH($A$1,Database!$A$1:$Q$1,),)</f>
        <v>8429</v>
      </c>
      <c r="C48" s="12">
        <f t="shared" si="0"/>
        <v>-1.0448462080300541E-2</v>
      </c>
      <c r="D48" s="13">
        <f t="shared" si="1"/>
        <v>4.3968293287094375E-2</v>
      </c>
    </row>
    <row r="49" spans="1:4" x14ac:dyDescent="0.35">
      <c r="A49" s="10">
        <v>34881</v>
      </c>
      <c r="B49" s="15">
        <f>VLOOKUP(A49,Database!A:Q,MATCH($A$1,Database!$A$1:$Q$1,),)</f>
        <v>8499</v>
      </c>
      <c r="C49" s="12">
        <f t="shared" si="0"/>
        <v>8.304662474789417E-3</v>
      </c>
      <c r="D49" s="13">
        <f t="shared" si="1"/>
        <v>5.2247121455986131E-2</v>
      </c>
    </row>
    <row r="50" spans="1:4" x14ac:dyDescent="0.35">
      <c r="A50" s="11">
        <v>34912</v>
      </c>
      <c r="B50" s="15">
        <f>VLOOKUP(A50,Database!A:Q,MATCH($A$1,Database!$A$1:$Q$1,),)</f>
        <v>8699</v>
      </c>
      <c r="C50" s="12">
        <f t="shared" si="0"/>
        <v>2.3532180256500765E-2</v>
      </c>
      <c r="D50" s="13">
        <f t="shared" si="1"/>
        <v>5.5575779638393399E-2</v>
      </c>
    </row>
    <row r="51" spans="1:4" x14ac:dyDescent="0.35">
      <c r="A51" s="10">
        <v>34943</v>
      </c>
      <c r="B51" s="15">
        <f>VLOOKUP(A51,Database!A:Q,MATCH($A$1,Database!$A$1:$Q$1,),)</f>
        <v>8842</v>
      </c>
      <c r="C51" s="12">
        <f t="shared" si="0"/>
        <v>1.6438671111622026E-2</v>
      </c>
      <c r="D51" s="13">
        <f t="shared" si="1"/>
        <v>9.0796940537873183E-2</v>
      </c>
    </row>
    <row r="52" spans="1:4" x14ac:dyDescent="0.35">
      <c r="A52" s="11">
        <v>34973</v>
      </c>
      <c r="B52" s="15">
        <f>VLOOKUP(A52,Database!A:Q,MATCH($A$1,Database!$A$1:$Q$1,),)</f>
        <v>8702</v>
      </c>
      <c r="C52" s="12">
        <f t="shared" si="0"/>
        <v>-1.5833521827640806E-2</v>
      </c>
      <c r="D52" s="13">
        <f t="shared" si="1"/>
        <v>4.7676378521550683E-2</v>
      </c>
    </row>
    <row r="53" spans="1:4" x14ac:dyDescent="0.35">
      <c r="A53" s="10">
        <v>35004</v>
      </c>
      <c r="B53" s="15">
        <f>VLOOKUP(A53,Database!A:Q,MATCH($A$1,Database!$A$1:$Q$1,),)</f>
        <v>9170</v>
      </c>
      <c r="C53" s="12">
        <f t="shared" si="0"/>
        <v>5.3780740059756381E-2</v>
      </c>
      <c r="D53" s="13">
        <f t="shared" si="1"/>
        <v>0.13321799307958476</v>
      </c>
    </row>
    <row r="54" spans="1:4" x14ac:dyDescent="0.35">
      <c r="A54" s="11">
        <v>35034</v>
      </c>
      <c r="B54" s="15">
        <f>VLOOKUP(A54,Database!A:Q,MATCH($A$1,Database!$A$1:$Q$1,),)</f>
        <v>9543</v>
      </c>
      <c r="C54" s="12">
        <f t="shared" si="0"/>
        <v>4.0676117775354417E-2</v>
      </c>
      <c r="D54" s="13">
        <f t="shared" si="1"/>
        <v>0.15855287119096759</v>
      </c>
    </row>
    <row r="55" spans="1:4" x14ac:dyDescent="0.35">
      <c r="A55" s="10">
        <v>35065</v>
      </c>
      <c r="B55" s="15">
        <f>VLOOKUP(A55,Database!A:Q,MATCH($A$1,Database!$A$1:$Q$1,),)</f>
        <v>9038</v>
      </c>
      <c r="C55" s="12">
        <f t="shared" si="0"/>
        <v>-5.2918369485486741E-2</v>
      </c>
      <c r="D55" s="13">
        <f t="shared" si="1"/>
        <v>0.10461989733561476</v>
      </c>
    </row>
    <row r="56" spans="1:4" x14ac:dyDescent="0.35">
      <c r="A56" s="11">
        <v>35096</v>
      </c>
      <c r="B56" s="15">
        <f>VLOOKUP(A56,Database!A:Q,MATCH($A$1,Database!$A$1:$Q$1,),)</f>
        <v>9400</v>
      </c>
      <c r="C56" s="12">
        <f t="shared" si="0"/>
        <v>4.005310909493251E-2</v>
      </c>
      <c r="D56" s="13">
        <f t="shared" si="1"/>
        <v>0.13157577946310342</v>
      </c>
    </row>
    <row r="57" spans="1:4" x14ac:dyDescent="0.35">
      <c r="A57" s="10">
        <v>35125</v>
      </c>
      <c r="B57" s="15">
        <f>VLOOKUP(A57,Database!A:Q,MATCH($A$1,Database!$A$1:$Q$1,),)</f>
        <v>9606</v>
      </c>
      <c r="C57" s="12">
        <f t="shared" si="0"/>
        <v>2.1914893617021276E-2</v>
      </c>
      <c r="D57" s="13">
        <f t="shared" si="1"/>
        <v>0.16918208373904575</v>
      </c>
    </row>
    <row r="58" spans="1:4" x14ac:dyDescent="0.35">
      <c r="A58" s="11">
        <v>35156</v>
      </c>
      <c r="B58" s="15">
        <f>VLOOKUP(A58,Database!A:Q,MATCH($A$1,Database!$A$1:$Q$1,),)</f>
        <v>9632</v>
      </c>
      <c r="C58" s="12">
        <f t="shared" si="0"/>
        <v>2.7066416822819073E-3</v>
      </c>
      <c r="D58" s="13">
        <f t="shared" si="1"/>
        <v>0.1514644351464435</v>
      </c>
    </row>
    <row r="59" spans="1:4" x14ac:dyDescent="0.35">
      <c r="A59" s="10">
        <v>35186</v>
      </c>
      <c r="B59" s="15">
        <f>VLOOKUP(A59,Database!A:Q,MATCH($A$1,Database!$A$1:$Q$1,),)</f>
        <v>9519</v>
      </c>
      <c r="C59" s="12">
        <f t="shared" si="0"/>
        <v>-1.1731727574750831E-2</v>
      </c>
      <c r="D59" s="13">
        <f t="shared" si="1"/>
        <v>0.11751584879079596</v>
      </c>
    </row>
    <row r="60" spans="1:4" x14ac:dyDescent="0.35">
      <c r="A60" s="11">
        <v>35217</v>
      </c>
      <c r="B60" s="15">
        <f>VLOOKUP(A60,Database!A:Q,MATCH($A$1,Database!$A$1:$Q$1,),)</f>
        <v>9610</v>
      </c>
      <c r="C60" s="12">
        <f t="shared" si="0"/>
        <v>9.5598277129950622E-3</v>
      </c>
      <c r="D60" s="13">
        <f t="shared" si="1"/>
        <v>0.14011151975323288</v>
      </c>
    </row>
    <row r="61" spans="1:4" x14ac:dyDescent="0.35">
      <c r="A61" s="10">
        <v>35247</v>
      </c>
      <c r="B61" s="15">
        <f>VLOOKUP(A61,Database!A:Q,MATCH($A$1,Database!$A$1:$Q$1,),)</f>
        <v>9550</v>
      </c>
      <c r="C61" s="12">
        <f t="shared" si="0"/>
        <v>-6.2434963579604576E-3</v>
      </c>
      <c r="D61" s="13">
        <f t="shared" si="1"/>
        <v>0.12366160724791152</v>
      </c>
    </row>
    <row r="62" spans="1:4" x14ac:dyDescent="0.35">
      <c r="A62" s="11">
        <v>35278</v>
      </c>
      <c r="B62" s="15">
        <f>VLOOKUP(A62,Database!A:Q,MATCH($A$1,Database!$A$1:$Q$1,),)</f>
        <v>9468</v>
      </c>
      <c r="C62" s="12">
        <f t="shared" si="0"/>
        <v>-8.5863874345549745E-3</v>
      </c>
      <c r="D62" s="13">
        <f t="shared" si="1"/>
        <v>8.840096562823313E-2</v>
      </c>
    </row>
    <row r="63" spans="1:4" x14ac:dyDescent="0.35">
      <c r="A63" s="10">
        <v>35309</v>
      </c>
      <c r="B63" s="15">
        <f>VLOOKUP(A63,Database!A:Q,MATCH($A$1,Database!$A$1:$Q$1,),)</f>
        <v>9889</v>
      </c>
      <c r="C63" s="12">
        <f t="shared" si="0"/>
        <v>4.4465568229826787E-2</v>
      </c>
      <c r="D63" s="13">
        <f t="shared" si="1"/>
        <v>0.1184121239538566</v>
      </c>
    </row>
    <row r="64" spans="1:4" x14ac:dyDescent="0.35">
      <c r="A64" s="11">
        <v>35339</v>
      </c>
      <c r="B64" s="15">
        <f>VLOOKUP(A64,Database!A:Q,MATCH($A$1,Database!$A$1:$Q$1,),)</f>
        <v>10025</v>
      </c>
      <c r="C64" s="12">
        <f t="shared" si="0"/>
        <v>1.3752654464556579E-2</v>
      </c>
      <c r="D64" s="13">
        <f t="shared" si="1"/>
        <v>0.15203401516892667</v>
      </c>
    </row>
    <row r="65" spans="1:4" x14ac:dyDescent="0.35">
      <c r="A65" s="10">
        <v>35370</v>
      </c>
      <c r="B65" s="15">
        <f>VLOOKUP(A65,Database!A:Q,MATCH($A$1,Database!$A$1:$Q$1,),)</f>
        <v>10390</v>
      </c>
      <c r="C65" s="12">
        <f t="shared" si="0"/>
        <v>3.6408977556109723E-2</v>
      </c>
      <c r="D65" s="13">
        <f t="shared" si="1"/>
        <v>0.13304252998909488</v>
      </c>
    </row>
    <row r="66" spans="1:4" x14ac:dyDescent="0.35">
      <c r="A66" s="11">
        <v>35400</v>
      </c>
      <c r="B66" s="15">
        <f>VLOOKUP(A66,Database!A:Q,MATCH($A$1,Database!$A$1:$Q$1,),)</f>
        <v>10765</v>
      </c>
      <c r="C66" s="12">
        <f t="shared" si="0"/>
        <v>3.6092396535129932E-2</v>
      </c>
      <c r="D66" s="13">
        <f t="shared" si="1"/>
        <v>0.12805197526983128</v>
      </c>
    </row>
    <row r="67" spans="1:4" x14ac:dyDescent="0.35">
      <c r="A67" s="10">
        <v>35431</v>
      </c>
      <c r="B67" s="15">
        <f>VLOOKUP(A67,Database!A:Q,MATCH($A$1,Database!$A$1:$Q$1,),)</f>
        <v>10006</v>
      </c>
      <c r="C67" s="12">
        <f t="shared" si="0"/>
        <v>-7.0506270320483053E-2</v>
      </c>
      <c r="D67" s="13">
        <f t="shared" si="1"/>
        <v>0.10710334144722283</v>
      </c>
    </row>
    <row r="68" spans="1:4" x14ac:dyDescent="0.35">
      <c r="A68" s="11">
        <v>35462</v>
      </c>
      <c r="B68" s="15">
        <f>VLOOKUP(A68,Database!A:Q,MATCH($A$1,Database!$A$1:$Q$1,),)</f>
        <v>10350</v>
      </c>
      <c r="C68" s="12">
        <f t="shared" si="0"/>
        <v>3.4379372376574055E-2</v>
      </c>
      <c r="D68" s="13">
        <f t="shared" si="1"/>
        <v>0.10106382978723404</v>
      </c>
    </row>
    <row r="69" spans="1:4" x14ac:dyDescent="0.35">
      <c r="A69" s="10">
        <v>35490</v>
      </c>
      <c r="B69" s="15">
        <f>VLOOKUP(A69,Database!A:Q,MATCH($A$1,Database!$A$1:$Q$1,),)</f>
        <v>10488</v>
      </c>
      <c r="C69" s="12">
        <f t="shared" si="0"/>
        <v>1.3333333333333334E-2</v>
      </c>
      <c r="D69" s="13">
        <f t="shared" si="1"/>
        <v>9.1817613991255459E-2</v>
      </c>
    </row>
    <row r="70" spans="1:4" x14ac:dyDescent="0.35">
      <c r="A70" s="11">
        <v>35521</v>
      </c>
      <c r="B70" s="15">
        <f>VLOOKUP(A70,Database!A:Q,MATCH($A$1,Database!$A$1:$Q$1,),)</f>
        <v>10642</v>
      </c>
      <c r="C70" s="12">
        <f t="shared" si="0"/>
        <v>1.4683447749809305E-2</v>
      </c>
      <c r="D70" s="13">
        <f t="shared" si="1"/>
        <v>0.10485880398671096</v>
      </c>
    </row>
    <row r="71" spans="1:4" x14ac:dyDescent="0.35">
      <c r="A71" s="10">
        <v>35551</v>
      </c>
      <c r="B71" s="15">
        <f>VLOOKUP(A71,Database!A:Q,MATCH($A$1,Database!$A$1:$Q$1,),)</f>
        <v>10547</v>
      </c>
      <c r="C71" s="12">
        <f t="shared" si="0"/>
        <v>-8.9268934410825038E-3</v>
      </c>
      <c r="D71" s="13">
        <f t="shared" si="1"/>
        <v>0.10799453724130686</v>
      </c>
    </row>
    <row r="72" spans="1:4" x14ac:dyDescent="0.35">
      <c r="A72" s="11">
        <v>35582</v>
      </c>
      <c r="B72" s="15">
        <f>VLOOKUP(A72,Database!A:Q,MATCH($A$1,Database!$A$1:$Q$1,),)</f>
        <v>10643</v>
      </c>
      <c r="C72" s="12">
        <f t="shared" ref="C72:C135" si="2">(B72-B71)/B71</f>
        <v>9.1021143453114631E-3</v>
      </c>
      <c r="D72" s="13">
        <f t="shared" si="1"/>
        <v>0.10749219562955255</v>
      </c>
    </row>
    <row r="73" spans="1:4" x14ac:dyDescent="0.35">
      <c r="A73" s="10">
        <v>35612</v>
      </c>
      <c r="B73" s="15">
        <f>VLOOKUP(A73,Database!A:Q,MATCH($A$1,Database!$A$1:$Q$1,),)</f>
        <v>10836</v>
      </c>
      <c r="C73" s="12">
        <f t="shared" si="2"/>
        <v>1.8133984778727803E-2</v>
      </c>
      <c r="D73" s="13">
        <f t="shared" si="1"/>
        <v>0.13465968586387433</v>
      </c>
    </row>
    <row r="74" spans="1:4" x14ac:dyDescent="0.35">
      <c r="A74" s="11">
        <v>35643</v>
      </c>
      <c r="B74" s="15">
        <f>VLOOKUP(A74,Database!A:Q,MATCH($A$1,Database!$A$1:$Q$1,),)</f>
        <v>10432</v>
      </c>
      <c r="C74" s="12">
        <f t="shared" si="2"/>
        <v>-3.7283130306386122E-2</v>
      </c>
      <c r="D74" s="13">
        <f t="shared" si="1"/>
        <v>0.10181664554288128</v>
      </c>
    </row>
    <row r="75" spans="1:4" x14ac:dyDescent="0.35">
      <c r="A75" s="10">
        <v>35674</v>
      </c>
      <c r="B75" s="15">
        <f>VLOOKUP(A75,Database!A:Q,MATCH($A$1,Database!$A$1:$Q$1,),)</f>
        <v>10669</v>
      </c>
      <c r="C75" s="12">
        <f t="shared" si="2"/>
        <v>2.271855828220859E-2</v>
      </c>
      <c r="D75" s="13">
        <f t="shared" si="1"/>
        <v>7.8875518252603902E-2</v>
      </c>
    </row>
    <row r="76" spans="1:4" x14ac:dyDescent="0.35">
      <c r="A76" s="11">
        <v>35704</v>
      </c>
      <c r="B76" s="15">
        <f>VLOOKUP(A76,Database!A:Q,MATCH($A$1,Database!$A$1:$Q$1,),)</f>
        <v>10529</v>
      </c>
      <c r="C76" s="12">
        <f t="shared" si="2"/>
        <v>-1.3122129534164402E-2</v>
      </c>
      <c r="D76" s="13">
        <f t="shared" si="1"/>
        <v>5.0274314214463843E-2</v>
      </c>
    </row>
    <row r="77" spans="1:4" x14ac:dyDescent="0.35">
      <c r="A77" s="10">
        <v>35735</v>
      </c>
      <c r="B77" s="15">
        <f>VLOOKUP(A77,Database!A:Q,MATCH($A$1,Database!$A$1:$Q$1,),)</f>
        <v>10675</v>
      </c>
      <c r="C77" s="12">
        <f t="shared" si="2"/>
        <v>1.3866464051666826E-2</v>
      </c>
      <c r="D77" s="13">
        <f t="shared" si="1"/>
        <v>2.7430221366698749E-2</v>
      </c>
    </row>
    <row r="78" spans="1:4" x14ac:dyDescent="0.35">
      <c r="A78" s="11">
        <v>35765</v>
      </c>
      <c r="B78" s="15">
        <f>VLOOKUP(A78,Database!A:Q,MATCH($A$1,Database!$A$1:$Q$1,),)</f>
        <v>10490</v>
      </c>
      <c r="C78" s="12">
        <f t="shared" si="2"/>
        <v>-1.7330210772833723E-2</v>
      </c>
      <c r="D78" s="13">
        <f t="shared" si="1"/>
        <v>-2.5545750116117046E-2</v>
      </c>
    </row>
    <row r="79" spans="1:4" x14ac:dyDescent="0.35">
      <c r="A79" s="10">
        <v>35796</v>
      </c>
      <c r="B79" s="15">
        <f>VLOOKUP(A79,Database!A:Q,MATCH($A$1,Database!$A$1:$Q$1,),)</f>
        <v>10390</v>
      </c>
      <c r="C79" s="12">
        <f t="shared" si="2"/>
        <v>-9.5328884652049577E-3</v>
      </c>
      <c r="D79" s="13">
        <f t="shared" si="1"/>
        <v>3.837697381571057E-2</v>
      </c>
    </row>
    <row r="80" spans="1:4" x14ac:dyDescent="0.35">
      <c r="A80" s="11">
        <v>35827</v>
      </c>
      <c r="B80" s="15">
        <f>VLOOKUP(A80,Database!A:Q,MATCH($A$1,Database!$A$1:$Q$1,),)</f>
        <v>10626</v>
      </c>
      <c r="C80" s="12">
        <f t="shared" si="2"/>
        <v>2.271414821944177E-2</v>
      </c>
      <c r="D80" s="13">
        <f t="shared" si="1"/>
        <v>2.6666666666666668E-2</v>
      </c>
    </row>
    <row r="81" spans="1:4" x14ac:dyDescent="0.35">
      <c r="A81" s="10">
        <v>35855</v>
      </c>
      <c r="B81" s="15">
        <f>VLOOKUP(A81,Database!A:Q,MATCH($A$1,Database!$A$1:$Q$1,),)</f>
        <v>10844</v>
      </c>
      <c r="C81" s="12">
        <f t="shared" si="2"/>
        <v>2.051571616789008E-2</v>
      </c>
      <c r="D81" s="13">
        <f t="shared" si="1"/>
        <v>3.3943554538520215E-2</v>
      </c>
    </row>
    <row r="82" spans="1:4" x14ac:dyDescent="0.35">
      <c r="A82" s="11">
        <v>35886</v>
      </c>
      <c r="B82" s="15">
        <f>VLOOKUP(A82,Database!A:Q,MATCH($A$1,Database!$A$1:$Q$1,),)</f>
        <v>10992</v>
      </c>
      <c r="C82" s="12">
        <f t="shared" si="2"/>
        <v>1.3648100331980819E-2</v>
      </c>
      <c r="D82" s="13">
        <f t="shared" si="1"/>
        <v>3.2888554782935536E-2</v>
      </c>
    </row>
    <row r="83" spans="1:4" x14ac:dyDescent="0.35">
      <c r="A83" s="10">
        <v>35916</v>
      </c>
      <c r="B83" s="15">
        <f>VLOOKUP(A83,Database!A:Q,MATCH($A$1,Database!$A$1:$Q$1,),)</f>
        <v>11189</v>
      </c>
      <c r="C83" s="12">
        <f t="shared" si="2"/>
        <v>1.7922125181950511E-2</v>
      </c>
      <c r="D83" s="13">
        <f t="shared" ref="D83:D146" si="3">(B83-B71)/B71</f>
        <v>6.0870389684270408E-2</v>
      </c>
    </row>
    <row r="84" spans="1:4" x14ac:dyDescent="0.35">
      <c r="A84" s="11">
        <v>35947</v>
      </c>
      <c r="B84" s="15">
        <f>VLOOKUP(A84,Database!A:Q,MATCH($A$1,Database!$A$1:$Q$1,),)</f>
        <v>11103</v>
      </c>
      <c r="C84" s="12">
        <f t="shared" si="2"/>
        <v>-7.6861202967199926E-3</v>
      </c>
      <c r="D84" s="13">
        <f t="shared" si="3"/>
        <v>4.3220896363807194E-2</v>
      </c>
    </row>
    <row r="85" spans="1:4" x14ac:dyDescent="0.35">
      <c r="A85" s="10">
        <v>35977</v>
      </c>
      <c r="B85" s="15">
        <f>VLOOKUP(A85,Database!A:Q,MATCH($A$1,Database!$A$1:$Q$1,),)</f>
        <v>11580</v>
      </c>
      <c r="C85" s="12">
        <f t="shared" si="2"/>
        <v>4.2961361794109698E-2</v>
      </c>
      <c r="D85" s="13">
        <f t="shared" si="3"/>
        <v>6.8660022148394242E-2</v>
      </c>
    </row>
    <row r="86" spans="1:4" x14ac:dyDescent="0.35">
      <c r="A86" s="11">
        <v>36008</v>
      </c>
      <c r="B86" s="15">
        <f>VLOOKUP(A86,Database!A:Q,MATCH($A$1,Database!$A$1:$Q$1,),)</f>
        <v>11375</v>
      </c>
      <c r="C86" s="12">
        <f t="shared" si="2"/>
        <v>-1.7702936096718479E-2</v>
      </c>
      <c r="D86" s="13">
        <f t="shared" si="3"/>
        <v>9.0394938650306747E-2</v>
      </c>
    </row>
    <row r="87" spans="1:4" x14ac:dyDescent="0.35">
      <c r="A87" s="10">
        <v>36039</v>
      </c>
      <c r="B87" s="15">
        <f>VLOOKUP(A87,Database!A:Q,MATCH($A$1,Database!$A$1:$Q$1,),)</f>
        <v>11302</v>
      </c>
      <c r="C87" s="12">
        <f t="shared" si="2"/>
        <v>-6.4175824175824172E-3</v>
      </c>
      <c r="D87" s="13">
        <f t="shared" si="3"/>
        <v>5.9330771393757614E-2</v>
      </c>
    </row>
    <row r="88" spans="1:4" x14ac:dyDescent="0.35">
      <c r="A88" s="11">
        <v>36069</v>
      </c>
      <c r="B88" s="15">
        <f>VLOOKUP(A88,Database!A:Q,MATCH($A$1,Database!$A$1:$Q$1,),)</f>
        <v>11577</v>
      </c>
      <c r="C88" s="12">
        <f t="shared" si="2"/>
        <v>2.4331976641302426E-2</v>
      </c>
      <c r="D88" s="13">
        <f t="shared" si="3"/>
        <v>9.9534618672238576E-2</v>
      </c>
    </row>
    <row r="89" spans="1:4" x14ac:dyDescent="0.35">
      <c r="A89" s="10">
        <v>36100</v>
      </c>
      <c r="B89" s="15">
        <f>VLOOKUP(A89,Database!A:Q,MATCH($A$1,Database!$A$1:$Q$1,),)</f>
        <v>11553</v>
      </c>
      <c r="C89" s="12">
        <f t="shared" si="2"/>
        <v>-2.0730759264058047E-3</v>
      </c>
      <c r="D89" s="13">
        <f t="shared" si="3"/>
        <v>8.2248243559718964E-2</v>
      </c>
    </row>
    <row r="90" spans="1:4" x14ac:dyDescent="0.35">
      <c r="A90" s="11">
        <v>36130</v>
      </c>
      <c r="B90" s="15">
        <f>VLOOKUP(A90,Database!A:Q,MATCH($A$1,Database!$A$1:$Q$1,),)</f>
        <v>11459</v>
      </c>
      <c r="C90" s="12">
        <f t="shared" si="2"/>
        <v>-8.1364147840387781E-3</v>
      </c>
      <c r="D90" s="13">
        <f t="shared" si="3"/>
        <v>9.2373689227836037E-2</v>
      </c>
    </row>
    <row r="91" spans="1:4" x14ac:dyDescent="0.35">
      <c r="A91" s="10">
        <v>36161</v>
      </c>
      <c r="B91" s="15">
        <f>VLOOKUP(A91,Database!A:Q,MATCH($A$1,Database!$A$1:$Q$1,),)</f>
        <v>11720</v>
      </c>
      <c r="C91" s="12">
        <f t="shared" si="2"/>
        <v>2.2776856619251242E-2</v>
      </c>
      <c r="D91" s="13">
        <f t="shared" si="3"/>
        <v>0.12800769971126083</v>
      </c>
    </row>
    <row r="92" spans="1:4" x14ac:dyDescent="0.35">
      <c r="A92" s="11">
        <v>36192</v>
      </c>
      <c r="B92" s="15">
        <f>VLOOKUP(A92,Database!A:Q,MATCH($A$1,Database!$A$1:$Q$1,),)</f>
        <v>11821</v>
      </c>
      <c r="C92" s="12">
        <f t="shared" si="2"/>
        <v>8.617747440273037E-3</v>
      </c>
      <c r="D92" s="13">
        <f t="shared" si="3"/>
        <v>0.11246000376435158</v>
      </c>
    </row>
    <row r="93" spans="1:4" x14ac:dyDescent="0.35">
      <c r="A93" s="10">
        <v>36220</v>
      </c>
      <c r="B93" s="15">
        <f>VLOOKUP(A93,Database!A:Q,MATCH($A$1,Database!$A$1:$Q$1,),)</f>
        <v>12052</v>
      </c>
      <c r="C93" s="12">
        <f t="shared" si="2"/>
        <v>1.9541493951442349E-2</v>
      </c>
      <c r="D93" s="13">
        <f t="shared" si="3"/>
        <v>0.11139800811508668</v>
      </c>
    </row>
    <row r="94" spans="1:4" x14ac:dyDescent="0.35">
      <c r="A94" s="11">
        <v>36251</v>
      </c>
      <c r="B94" s="15">
        <f>VLOOKUP(A94,Database!A:Q,MATCH($A$1,Database!$A$1:$Q$1,),)</f>
        <v>12345</v>
      </c>
      <c r="C94" s="12">
        <f t="shared" si="2"/>
        <v>2.4311317623630934E-2</v>
      </c>
      <c r="D94" s="13">
        <f t="shared" si="3"/>
        <v>0.12308951965065502</v>
      </c>
    </row>
    <row r="95" spans="1:4" x14ac:dyDescent="0.35">
      <c r="A95" s="10">
        <v>36281</v>
      </c>
      <c r="B95" s="15">
        <f>VLOOKUP(A95,Database!A:Q,MATCH($A$1,Database!$A$1:$Q$1,),)</f>
        <v>12558</v>
      </c>
      <c r="C95" s="12">
        <f t="shared" si="2"/>
        <v>1.7253948967193195E-2</v>
      </c>
      <c r="D95" s="13">
        <f t="shared" si="3"/>
        <v>0.12235231030476361</v>
      </c>
    </row>
    <row r="96" spans="1:4" x14ac:dyDescent="0.35">
      <c r="A96" s="11">
        <v>36312</v>
      </c>
      <c r="B96" s="15">
        <f>VLOOKUP(A96,Database!A:Q,MATCH($A$1,Database!$A$1:$Q$1,),)</f>
        <v>12558</v>
      </c>
      <c r="C96" s="12">
        <f t="shared" si="2"/>
        <v>0</v>
      </c>
      <c r="D96" s="13">
        <f t="shared" si="3"/>
        <v>0.13104566333423398</v>
      </c>
    </row>
    <row r="97" spans="1:4" x14ac:dyDescent="0.35">
      <c r="A97" s="10">
        <v>36342</v>
      </c>
      <c r="B97" s="15">
        <f>VLOOKUP(A97,Database!A:Q,MATCH($A$1,Database!$A$1:$Q$1,),)</f>
        <v>12742</v>
      </c>
      <c r="C97" s="12">
        <f t="shared" si="2"/>
        <v>1.4652014652014652E-2</v>
      </c>
      <c r="D97" s="13">
        <f t="shared" si="3"/>
        <v>0.1003454231433506</v>
      </c>
    </row>
    <row r="98" spans="1:4" x14ac:dyDescent="0.35">
      <c r="A98" s="11">
        <v>36373</v>
      </c>
      <c r="B98" s="15">
        <f>VLOOKUP(A98,Database!A:Q,MATCH($A$1,Database!$A$1:$Q$1,),)</f>
        <v>12965</v>
      </c>
      <c r="C98" s="12">
        <f t="shared" si="2"/>
        <v>1.7501177209229321E-2</v>
      </c>
      <c r="D98" s="13">
        <f t="shared" si="3"/>
        <v>0.13978021978021979</v>
      </c>
    </row>
    <row r="99" spans="1:4" x14ac:dyDescent="0.35">
      <c r="A99" s="10">
        <v>36404</v>
      </c>
      <c r="B99" s="15">
        <f>VLOOKUP(A99,Database!A:Q,MATCH($A$1,Database!$A$1:$Q$1,),)</f>
        <v>13196</v>
      </c>
      <c r="C99" s="12">
        <f t="shared" si="2"/>
        <v>1.7817200154261473E-2</v>
      </c>
      <c r="D99" s="13">
        <f t="shared" si="3"/>
        <v>0.16758095912227924</v>
      </c>
    </row>
    <row r="100" spans="1:4" x14ac:dyDescent="0.35">
      <c r="A100" s="11">
        <v>36434</v>
      </c>
      <c r="B100" s="15">
        <f>VLOOKUP(A100,Database!A:Q,MATCH($A$1,Database!$A$1:$Q$1,),)</f>
        <v>13127</v>
      </c>
      <c r="C100" s="12">
        <f t="shared" si="2"/>
        <v>-5.2288572294634742E-3</v>
      </c>
      <c r="D100" s="13">
        <f t="shared" si="3"/>
        <v>0.13388615358037489</v>
      </c>
    </row>
    <row r="101" spans="1:4" x14ac:dyDescent="0.35">
      <c r="A101" s="10">
        <v>36465</v>
      </c>
      <c r="B101" s="15">
        <f>VLOOKUP(A101,Database!A:Q,MATCH($A$1,Database!$A$1:$Q$1,),)</f>
        <v>13110</v>
      </c>
      <c r="C101" s="12">
        <f t="shared" si="2"/>
        <v>-1.2950407556943705E-3</v>
      </c>
      <c r="D101" s="13">
        <f t="shared" si="3"/>
        <v>0.13477018956115294</v>
      </c>
    </row>
    <row r="102" spans="1:4" x14ac:dyDescent="0.35">
      <c r="A102" s="11">
        <v>36495</v>
      </c>
      <c r="B102" s="15">
        <f>VLOOKUP(A102,Database!A:Q,MATCH($A$1,Database!$A$1:$Q$1,),)</f>
        <v>13528</v>
      </c>
      <c r="C102" s="12">
        <f t="shared" si="2"/>
        <v>3.1884057971014491E-2</v>
      </c>
      <c r="D102" s="13">
        <f t="shared" si="3"/>
        <v>0.18055676760624836</v>
      </c>
    </row>
    <row r="103" spans="1:4" x14ac:dyDescent="0.35">
      <c r="A103" s="10">
        <v>36526</v>
      </c>
      <c r="B103" s="15">
        <f>VLOOKUP(A103,Database!A:Q,MATCH($A$1,Database!$A$1:$Q$1,),)</f>
        <v>13855</v>
      </c>
      <c r="C103" s="12">
        <f t="shared" si="2"/>
        <v>2.4172087522176228E-2</v>
      </c>
      <c r="D103" s="13">
        <f t="shared" si="3"/>
        <v>0.18216723549488054</v>
      </c>
    </row>
    <row r="104" spans="1:4" x14ac:dyDescent="0.35">
      <c r="A104" s="11">
        <v>36557</v>
      </c>
      <c r="B104" s="15">
        <f>VLOOKUP(A104,Database!A:Q,MATCH($A$1,Database!$A$1:$Q$1,),)</f>
        <v>14241</v>
      </c>
      <c r="C104" s="12">
        <f t="shared" si="2"/>
        <v>2.7859978347167087E-2</v>
      </c>
      <c r="D104" s="13">
        <f t="shared" si="3"/>
        <v>0.20472041282463413</v>
      </c>
    </row>
    <row r="105" spans="1:4" x14ac:dyDescent="0.35">
      <c r="A105" s="10">
        <v>36586</v>
      </c>
      <c r="B105" s="15">
        <f>VLOOKUP(A105,Database!A:Q,MATCH($A$1,Database!$A$1:$Q$1,),)</f>
        <v>14261</v>
      </c>
      <c r="C105" s="12">
        <f t="shared" si="2"/>
        <v>1.4043957587248086E-3</v>
      </c>
      <c r="D105" s="13">
        <f t="shared" si="3"/>
        <v>0.18328908065051444</v>
      </c>
    </row>
    <row r="106" spans="1:4" x14ac:dyDescent="0.35">
      <c r="A106" s="11">
        <v>36617</v>
      </c>
      <c r="B106" s="15">
        <f>VLOOKUP(A106,Database!A:Q,MATCH($A$1,Database!$A$1:$Q$1,),)</f>
        <v>14458</v>
      </c>
      <c r="C106" s="12">
        <f t="shared" si="2"/>
        <v>1.3813898043615455E-2</v>
      </c>
      <c r="D106" s="13">
        <f t="shared" si="3"/>
        <v>0.17116241393276629</v>
      </c>
    </row>
    <row r="107" spans="1:4" x14ac:dyDescent="0.35">
      <c r="A107" s="10">
        <v>36647</v>
      </c>
      <c r="B107" s="15">
        <f>VLOOKUP(A107,Database!A:Q,MATCH($A$1,Database!$A$1:$Q$1,),)</f>
        <v>14539</v>
      </c>
      <c r="C107" s="12">
        <f t="shared" si="2"/>
        <v>5.6024346382625538E-3</v>
      </c>
      <c r="D107" s="13">
        <f t="shared" si="3"/>
        <v>0.15774804905239687</v>
      </c>
    </row>
    <row r="108" spans="1:4" x14ac:dyDescent="0.35">
      <c r="A108" s="11">
        <v>36678</v>
      </c>
      <c r="B108" s="15">
        <f>VLOOKUP(A108,Database!A:Q,MATCH($A$1,Database!$A$1:$Q$1,),)</f>
        <v>14949</v>
      </c>
      <c r="C108" s="12">
        <f t="shared" si="2"/>
        <v>2.8200013756104272E-2</v>
      </c>
      <c r="D108" s="13">
        <f t="shared" si="3"/>
        <v>0.19039655996177735</v>
      </c>
    </row>
    <row r="109" spans="1:4" x14ac:dyDescent="0.35">
      <c r="A109" s="10">
        <v>36708</v>
      </c>
      <c r="B109" s="15">
        <f>VLOOKUP(A109,Database!A:Q,MATCH($A$1,Database!$A$1:$Q$1,),)</f>
        <v>15037</v>
      </c>
      <c r="C109" s="12">
        <f t="shared" si="2"/>
        <v>5.8866813833701251E-3</v>
      </c>
      <c r="D109" s="13">
        <f t="shared" si="3"/>
        <v>0.18011301208601477</v>
      </c>
    </row>
    <row r="110" spans="1:4" x14ac:dyDescent="0.35">
      <c r="A110" s="11">
        <v>36739</v>
      </c>
      <c r="B110" s="15">
        <f>VLOOKUP(A110,Database!A:Q,MATCH($A$1,Database!$A$1:$Q$1,),)</f>
        <v>15280</v>
      </c>
      <c r="C110" s="12">
        <f t="shared" si="2"/>
        <v>1.6160138325463855E-2</v>
      </c>
      <c r="D110" s="13">
        <f t="shared" si="3"/>
        <v>0.1785576552256074</v>
      </c>
    </row>
    <row r="111" spans="1:4" x14ac:dyDescent="0.35">
      <c r="A111" s="10">
        <v>36770</v>
      </c>
      <c r="B111" s="15">
        <f>VLOOKUP(A111,Database!A:Q,MATCH($A$1,Database!$A$1:$Q$1,),)</f>
        <v>15775</v>
      </c>
      <c r="C111" s="12">
        <f t="shared" si="2"/>
        <v>3.2395287958115186E-2</v>
      </c>
      <c r="D111" s="13">
        <f t="shared" si="3"/>
        <v>0.19543801151864201</v>
      </c>
    </row>
    <row r="112" spans="1:4" x14ac:dyDescent="0.35">
      <c r="A112" s="11">
        <v>36800</v>
      </c>
      <c r="B112" s="15">
        <f>VLOOKUP(A112,Database!A:Q,MATCH($A$1,Database!$A$1:$Q$1,),)</f>
        <v>15698</v>
      </c>
      <c r="C112" s="12">
        <f t="shared" si="2"/>
        <v>-4.8811410459587952E-3</v>
      </c>
      <c r="D112" s="13">
        <f t="shared" si="3"/>
        <v>0.195855869581778</v>
      </c>
    </row>
    <row r="113" spans="1:4" x14ac:dyDescent="0.35">
      <c r="A113" s="10">
        <v>36831</v>
      </c>
      <c r="B113" s="15">
        <f>VLOOKUP(A113,Database!A:Q,MATCH($A$1,Database!$A$1:$Q$1,),)</f>
        <v>15883</v>
      </c>
      <c r="C113" s="12">
        <f t="shared" si="2"/>
        <v>1.1784940756784304E-2</v>
      </c>
      <c r="D113" s="13">
        <f t="shared" si="3"/>
        <v>0.21151792524790236</v>
      </c>
    </row>
    <row r="114" spans="1:4" x14ac:dyDescent="0.35">
      <c r="A114" s="11">
        <v>36861</v>
      </c>
      <c r="B114" s="15">
        <f>VLOOKUP(A114,Database!A:Q,MATCH($A$1,Database!$A$1:$Q$1,),)</f>
        <v>16538</v>
      </c>
      <c r="C114" s="12">
        <f t="shared" si="2"/>
        <v>4.1239060630863189E-2</v>
      </c>
      <c r="D114" s="13">
        <f t="shared" si="3"/>
        <v>0.22250147841513898</v>
      </c>
    </row>
    <row r="115" spans="1:4" x14ac:dyDescent="0.35">
      <c r="A115" s="10">
        <v>36892</v>
      </c>
      <c r="B115" s="15">
        <f>VLOOKUP(A115,Database!A:Q,MATCH($A$1,Database!$A$1:$Q$1,),)</f>
        <v>15505</v>
      </c>
      <c r="C115" s="12">
        <f t="shared" si="2"/>
        <v>-6.2462208247672027E-2</v>
      </c>
      <c r="D115" s="13">
        <f t="shared" si="3"/>
        <v>0.11909058101768315</v>
      </c>
    </row>
    <row r="116" spans="1:4" x14ac:dyDescent="0.35">
      <c r="A116" s="11">
        <v>36923</v>
      </c>
      <c r="B116" s="15">
        <f>VLOOKUP(A116,Database!A:Q,MATCH($A$1,Database!$A$1:$Q$1,),)</f>
        <v>15223</v>
      </c>
      <c r="C116" s="12">
        <f t="shared" si="2"/>
        <v>-1.8187681393099002E-2</v>
      </c>
      <c r="D116" s="13">
        <f t="shared" si="3"/>
        <v>6.8955831753388111E-2</v>
      </c>
    </row>
    <row r="117" spans="1:4" x14ac:dyDescent="0.35">
      <c r="A117" s="10">
        <v>36951</v>
      </c>
      <c r="B117" s="15">
        <f>VLOOKUP(A117,Database!A:Q,MATCH($A$1,Database!$A$1:$Q$1,),)</f>
        <v>15354</v>
      </c>
      <c r="C117" s="12">
        <f t="shared" si="2"/>
        <v>8.605399724101688E-3</v>
      </c>
      <c r="D117" s="13">
        <f t="shared" si="3"/>
        <v>7.6642591683612649E-2</v>
      </c>
    </row>
    <row r="118" spans="1:4" x14ac:dyDescent="0.35">
      <c r="A118" s="11">
        <v>36982</v>
      </c>
      <c r="B118" s="15">
        <f>VLOOKUP(A118,Database!A:Q,MATCH($A$1,Database!$A$1:$Q$1,),)</f>
        <v>15289</v>
      </c>
      <c r="C118" s="12">
        <f t="shared" si="2"/>
        <v>-4.2334245147844212E-3</v>
      </c>
      <c r="D118" s="13">
        <f t="shared" si="3"/>
        <v>5.7476829436989903E-2</v>
      </c>
    </row>
    <row r="119" spans="1:4" x14ac:dyDescent="0.35">
      <c r="A119" s="10">
        <v>37012</v>
      </c>
      <c r="B119" s="15">
        <f>VLOOKUP(A119,Database!A:Q,MATCH($A$1,Database!$A$1:$Q$1,),)</f>
        <v>14876</v>
      </c>
      <c r="C119" s="12">
        <f t="shared" si="2"/>
        <v>-2.7012885080777028E-2</v>
      </c>
      <c r="D119" s="13">
        <f t="shared" si="3"/>
        <v>2.3179035697090584E-2</v>
      </c>
    </row>
    <row r="120" spans="1:4" x14ac:dyDescent="0.35">
      <c r="A120" s="11">
        <v>37043</v>
      </c>
      <c r="B120" s="15">
        <f>VLOOKUP(A120,Database!A:Q,MATCH($A$1,Database!$A$1:$Q$1,),)</f>
        <v>14981</v>
      </c>
      <c r="C120" s="12">
        <f t="shared" si="2"/>
        <v>7.0583490185533743E-3</v>
      </c>
      <c r="D120" s="13">
        <f t="shared" si="3"/>
        <v>2.1406114121345909E-3</v>
      </c>
    </row>
    <row r="121" spans="1:4" x14ac:dyDescent="0.35">
      <c r="A121" s="10">
        <v>37073</v>
      </c>
      <c r="B121" s="15">
        <f>VLOOKUP(A121,Database!A:Q,MATCH($A$1,Database!$A$1:$Q$1,),)</f>
        <v>14964</v>
      </c>
      <c r="C121" s="12">
        <f t="shared" si="2"/>
        <v>-1.1347707095654496E-3</v>
      </c>
      <c r="D121" s="13">
        <f t="shared" si="3"/>
        <v>-4.8546917603245329E-3</v>
      </c>
    </row>
    <row r="122" spans="1:4" x14ac:dyDescent="0.35">
      <c r="A122" s="11">
        <v>37104</v>
      </c>
      <c r="B122" s="15">
        <f>VLOOKUP(A122,Database!A:Q,MATCH($A$1,Database!$A$1:$Q$1,),)</f>
        <v>15214</v>
      </c>
      <c r="C122" s="12">
        <f t="shared" si="2"/>
        <v>1.6706762897620957E-2</v>
      </c>
      <c r="D122" s="13">
        <f t="shared" si="3"/>
        <v>-4.319371727748691E-3</v>
      </c>
    </row>
    <row r="123" spans="1:4" x14ac:dyDescent="0.35">
      <c r="A123" s="10">
        <v>37135</v>
      </c>
      <c r="B123" s="15">
        <f>VLOOKUP(A123,Database!A:Q,MATCH($A$1,Database!$A$1:$Q$1,),)</f>
        <v>14473</v>
      </c>
      <c r="C123" s="12">
        <f t="shared" si="2"/>
        <v>-4.8705140002629155E-2</v>
      </c>
      <c r="D123" s="13">
        <f t="shared" si="3"/>
        <v>-8.2535657686212363E-2</v>
      </c>
    </row>
    <row r="124" spans="1:4" x14ac:dyDescent="0.35">
      <c r="A124" s="11">
        <v>37165</v>
      </c>
      <c r="B124" s="15">
        <f>VLOOKUP(A124,Database!A:Q,MATCH($A$1,Database!$A$1:$Q$1,),)</f>
        <v>14979</v>
      </c>
      <c r="C124" s="12">
        <f t="shared" si="2"/>
        <v>3.4961652732674632E-2</v>
      </c>
      <c r="D124" s="13">
        <f t="shared" si="3"/>
        <v>-4.5802012995286023E-2</v>
      </c>
    </row>
    <row r="125" spans="1:4" x14ac:dyDescent="0.35">
      <c r="A125" s="10">
        <v>37196</v>
      </c>
      <c r="B125" s="15">
        <f>VLOOKUP(A125,Database!A:Q,MATCH($A$1,Database!$A$1:$Q$1,),)</f>
        <v>14837</v>
      </c>
      <c r="C125" s="12">
        <f t="shared" si="2"/>
        <v>-9.4799385806796175E-3</v>
      </c>
      <c r="D125" s="13">
        <f t="shared" si="3"/>
        <v>-6.5856576213561668E-2</v>
      </c>
    </row>
    <row r="126" spans="1:4" x14ac:dyDescent="0.35">
      <c r="A126" s="11">
        <v>37226</v>
      </c>
      <c r="B126" s="15">
        <f>VLOOKUP(A126,Database!A:Q,MATCH($A$1,Database!$A$1:$Q$1,),)</f>
        <v>14810</v>
      </c>
      <c r="C126" s="12">
        <f t="shared" si="2"/>
        <v>-1.8197748871065578E-3</v>
      </c>
      <c r="D126" s="13">
        <f t="shared" si="3"/>
        <v>-0.10448663683637682</v>
      </c>
    </row>
    <row r="127" spans="1:4" x14ac:dyDescent="0.35">
      <c r="A127" s="10">
        <v>37257</v>
      </c>
      <c r="B127" s="15">
        <f>VLOOKUP(A127,Database!A:Q,MATCH($A$1,Database!$A$1:$Q$1,),)</f>
        <v>15091</v>
      </c>
      <c r="C127" s="12">
        <f t="shared" si="2"/>
        <v>1.8973666441593519E-2</v>
      </c>
      <c r="D127" s="13">
        <f t="shared" si="3"/>
        <v>-2.6701064172847469E-2</v>
      </c>
    </row>
    <row r="128" spans="1:4" x14ac:dyDescent="0.35">
      <c r="A128" s="11">
        <v>37288</v>
      </c>
      <c r="B128" s="15">
        <f>VLOOKUP(A128,Database!A:Q,MATCH($A$1,Database!$A$1:$Q$1,),)</f>
        <v>15054</v>
      </c>
      <c r="C128" s="12">
        <f t="shared" si="2"/>
        <v>-2.4517924590815717E-3</v>
      </c>
      <c r="D128" s="13">
        <f t="shared" si="3"/>
        <v>-1.1101622544833475E-2</v>
      </c>
    </row>
    <row r="129" spans="1:4" x14ac:dyDescent="0.35">
      <c r="A129" s="10">
        <v>37316</v>
      </c>
      <c r="B129" s="15">
        <f>VLOOKUP(A129,Database!A:Q,MATCH($A$1,Database!$A$1:$Q$1,),)</f>
        <v>15345</v>
      </c>
      <c r="C129" s="12">
        <f t="shared" si="2"/>
        <v>1.9330410522120367E-2</v>
      </c>
      <c r="D129" s="13">
        <f t="shared" si="3"/>
        <v>-5.8616647127784287E-4</v>
      </c>
    </row>
    <row r="130" spans="1:4" x14ac:dyDescent="0.35">
      <c r="A130" s="11">
        <v>37347</v>
      </c>
      <c r="B130" s="15">
        <f>VLOOKUP(A130,Database!A:Q,MATCH($A$1,Database!$A$1:$Q$1,),)</f>
        <v>15675</v>
      </c>
      <c r="C130" s="12">
        <f t="shared" si="2"/>
        <v>2.1505376344086023E-2</v>
      </c>
      <c r="D130" s="13">
        <f t="shared" si="3"/>
        <v>2.5246909542808556E-2</v>
      </c>
    </row>
    <row r="131" spans="1:4" x14ac:dyDescent="0.35">
      <c r="A131" s="10">
        <v>37377</v>
      </c>
      <c r="B131" s="15">
        <f>VLOOKUP(A131,Database!A:Q,MATCH($A$1,Database!$A$1:$Q$1,),)</f>
        <v>15850</v>
      </c>
      <c r="C131" s="12">
        <f t="shared" si="2"/>
        <v>1.1164274322169059E-2</v>
      </c>
      <c r="D131" s="13">
        <f t="shared" si="3"/>
        <v>6.547458994353321E-2</v>
      </c>
    </row>
    <row r="132" spans="1:4" x14ac:dyDescent="0.35">
      <c r="A132" s="11">
        <v>37408</v>
      </c>
      <c r="B132" s="15">
        <f>VLOOKUP(A132,Database!A:Q,MATCH($A$1,Database!$A$1:$Q$1,),)</f>
        <v>15725</v>
      </c>
      <c r="C132" s="12">
        <f t="shared" si="2"/>
        <v>-7.8864353312302835E-3</v>
      </c>
      <c r="D132" s="13">
        <f t="shared" si="3"/>
        <v>4.9662906348040853E-2</v>
      </c>
    </row>
    <row r="133" spans="1:4" x14ac:dyDescent="0.35">
      <c r="A133" s="10">
        <v>37438</v>
      </c>
      <c r="B133" s="15">
        <f>VLOOKUP(A133,Database!A:Q,MATCH($A$1,Database!$A$1:$Q$1,),)</f>
        <v>16018</v>
      </c>
      <c r="C133" s="12">
        <f t="shared" si="2"/>
        <v>1.863275039745628E-2</v>
      </c>
      <c r="D133" s="13">
        <f t="shared" si="3"/>
        <v>7.0435712376369961E-2</v>
      </c>
    </row>
    <row r="134" spans="1:4" x14ac:dyDescent="0.35">
      <c r="A134" s="11">
        <v>37469</v>
      </c>
      <c r="B134" s="15">
        <f>VLOOKUP(A134,Database!A:Q,MATCH($A$1,Database!$A$1:$Q$1,),)</f>
        <v>15881</v>
      </c>
      <c r="C134" s="12">
        <f t="shared" si="2"/>
        <v>-8.5528780122362345E-3</v>
      </c>
      <c r="D134" s="13">
        <f t="shared" si="3"/>
        <v>4.3841198895753913E-2</v>
      </c>
    </row>
    <row r="135" spans="1:4" x14ac:dyDescent="0.35">
      <c r="A135" s="10">
        <v>37500</v>
      </c>
      <c r="B135" s="15">
        <f>VLOOKUP(A135,Database!A:Q,MATCH($A$1,Database!$A$1:$Q$1,),)</f>
        <v>15725</v>
      </c>
      <c r="C135" s="12">
        <f t="shared" si="2"/>
        <v>-9.8230590013223349E-3</v>
      </c>
      <c r="D135" s="13">
        <f t="shared" si="3"/>
        <v>8.6505907551993361E-2</v>
      </c>
    </row>
    <row r="136" spans="1:4" x14ac:dyDescent="0.35">
      <c r="A136" s="11">
        <v>37530</v>
      </c>
      <c r="B136" s="15">
        <f>VLOOKUP(A136,Database!A:Q,MATCH($A$1,Database!$A$1:$Q$1,),)</f>
        <v>15977</v>
      </c>
      <c r="C136" s="12">
        <f t="shared" ref="C136:C199" si="4">(B136-B135)/B135</f>
        <v>1.6025437201907789E-2</v>
      </c>
      <c r="D136" s="13">
        <f t="shared" si="3"/>
        <v>6.6626610588156748E-2</v>
      </c>
    </row>
    <row r="137" spans="1:4" x14ac:dyDescent="0.35">
      <c r="A137" s="10">
        <v>37561</v>
      </c>
      <c r="B137" s="15">
        <f>VLOOKUP(A137,Database!A:Q,MATCH($A$1,Database!$A$1:$Q$1,),)</f>
        <v>16416</v>
      </c>
      <c r="C137" s="12">
        <f t="shared" si="4"/>
        <v>2.7476998184890779E-2</v>
      </c>
      <c r="D137" s="13">
        <f t="shared" si="3"/>
        <v>0.10642313136078722</v>
      </c>
    </row>
    <row r="138" spans="1:4" x14ac:dyDescent="0.35">
      <c r="A138" s="11">
        <v>37591</v>
      </c>
      <c r="B138" s="15">
        <f>VLOOKUP(A138,Database!A:Q,MATCH($A$1,Database!$A$1:$Q$1,),)</f>
        <v>16497</v>
      </c>
      <c r="C138" s="12">
        <f t="shared" si="4"/>
        <v>4.9342105263157892E-3</v>
      </c>
      <c r="D138" s="13">
        <f t="shared" si="3"/>
        <v>0.11390952059419311</v>
      </c>
    </row>
    <row r="139" spans="1:4" x14ac:dyDescent="0.35">
      <c r="A139" s="10">
        <v>37622</v>
      </c>
      <c r="B139" s="15">
        <f>VLOOKUP(A139,Database!A:Q,MATCH($A$1,Database!$A$1:$Q$1,),)</f>
        <v>16434</v>
      </c>
      <c r="C139" s="12">
        <f t="shared" si="4"/>
        <v>-3.8188761593016913E-3</v>
      </c>
      <c r="D139" s="13">
        <f t="shared" si="3"/>
        <v>8.8993439798555424E-2</v>
      </c>
    </row>
    <row r="140" spans="1:4" x14ac:dyDescent="0.35">
      <c r="A140" s="11">
        <v>37653</v>
      </c>
      <c r="B140" s="15">
        <f>VLOOKUP(A140,Database!A:Q,MATCH($A$1,Database!$A$1:$Q$1,),)</f>
        <v>16933</v>
      </c>
      <c r="C140" s="12">
        <f t="shared" si="4"/>
        <v>3.0363879761470123E-2</v>
      </c>
      <c r="D140" s="13">
        <f t="shared" si="3"/>
        <v>0.12481732429918958</v>
      </c>
    </row>
    <row r="141" spans="1:4" x14ac:dyDescent="0.35">
      <c r="A141" s="10">
        <v>37681</v>
      </c>
      <c r="B141" s="15">
        <f>VLOOKUP(A141,Database!A:Q,MATCH($A$1,Database!$A$1:$Q$1,),)</f>
        <v>16764</v>
      </c>
      <c r="C141" s="12">
        <f t="shared" si="4"/>
        <v>-9.9805114273903029E-3</v>
      </c>
      <c r="D141" s="13">
        <f t="shared" si="3"/>
        <v>9.2473118279569888E-2</v>
      </c>
    </row>
    <row r="142" spans="1:4" x14ac:dyDescent="0.35">
      <c r="A142" s="11">
        <v>37712</v>
      </c>
      <c r="B142" s="15">
        <f>VLOOKUP(A142,Database!A:Q,MATCH($A$1,Database!$A$1:$Q$1,),)</f>
        <v>16593</v>
      </c>
      <c r="C142" s="12">
        <f t="shared" si="4"/>
        <v>-1.0200429491768075E-2</v>
      </c>
      <c r="D142" s="13">
        <f t="shared" si="3"/>
        <v>5.8564593301435409E-2</v>
      </c>
    </row>
    <row r="143" spans="1:4" x14ac:dyDescent="0.35">
      <c r="A143" s="10">
        <v>37742</v>
      </c>
      <c r="B143" s="15">
        <f>VLOOKUP(A143,Database!A:Q,MATCH($A$1,Database!$A$1:$Q$1,),)</f>
        <v>16722</v>
      </c>
      <c r="C143" s="12">
        <f t="shared" si="4"/>
        <v>7.7743626830591214E-3</v>
      </c>
      <c r="D143" s="13">
        <f t="shared" si="3"/>
        <v>5.5015772870662463E-2</v>
      </c>
    </row>
    <row r="144" spans="1:4" x14ac:dyDescent="0.35">
      <c r="A144" s="11">
        <v>37773</v>
      </c>
      <c r="B144" s="15">
        <f>VLOOKUP(A144,Database!A:Q,MATCH($A$1,Database!$A$1:$Q$1,),)</f>
        <v>16938</v>
      </c>
      <c r="C144" s="12">
        <f t="shared" si="4"/>
        <v>1.2917115177610334E-2</v>
      </c>
      <c r="D144" s="13">
        <f t="shared" si="3"/>
        <v>7.7138314785373613E-2</v>
      </c>
    </row>
    <row r="145" spans="1:4" x14ac:dyDescent="0.35">
      <c r="A145" s="10">
        <v>37803</v>
      </c>
      <c r="B145" s="15">
        <f>VLOOKUP(A145,Database!A:Q,MATCH($A$1,Database!$A$1:$Q$1,),)</f>
        <v>17049</v>
      </c>
      <c r="C145" s="12">
        <f t="shared" si="4"/>
        <v>6.5533120793482115E-3</v>
      </c>
      <c r="D145" s="13">
        <f t="shared" si="3"/>
        <v>6.4365089274566106E-2</v>
      </c>
    </row>
    <row r="146" spans="1:4" x14ac:dyDescent="0.35">
      <c r="A146" s="11">
        <v>37834</v>
      </c>
      <c r="B146" s="15">
        <f>VLOOKUP(A146,Database!A:Q,MATCH($A$1,Database!$A$1:$Q$1,),)</f>
        <v>17312</v>
      </c>
      <c r="C146" s="12">
        <f t="shared" si="4"/>
        <v>1.5426124699395858E-2</v>
      </c>
      <c r="D146" s="13">
        <f t="shared" si="3"/>
        <v>9.010767583905295E-2</v>
      </c>
    </row>
    <row r="147" spans="1:4" x14ac:dyDescent="0.35">
      <c r="A147" s="10">
        <v>37865</v>
      </c>
      <c r="B147" s="15">
        <f>VLOOKUP(A147,Database!A:Q,MATCH($A$1,Database!$A$1:$Q$1,),)</f>
        <v>17595</v>
      </c>
      <c r="C147" s="12">
        <f t="shared" si="4"/>
        <v>1.6347042513863215E-2</v>
      </c>
      <c r="D147" s="13">
        <f t="shared" ref="D147:D210" si="5">(B147-B135)/B135</f>
        <v>0.11891891891891893</v>
      </c>
    </row>
    <row r="148" spans="1:4" x14ac:dyDescent="0.35">
      <c r="A148" s="11">
        <v>37895</v>
      </c>
      <c r="B148" s="15">
        <f>VLOOKUP(A148,Database!A:Q,MATCH($A$1,Database!$A$1:$Q$1,),)</f>
        <v>17778</v>
      </c>
      <c r="C148" s="12">
        <f t="shared" si="4"/>
        <v>1.0400682011935209E-2</v>
      </c>
      <c r="D148" s="13">
        <f t="shared" si="5"/>
        <v>0.11272454152844714</v>
      </c>
    </row>
    <row r="149" spans="1:4" x14ac:dyDescent="0.35">
      <c r="A149" s="10">
        <v>37926</v>
      </c>
      <c r="B149" s="15">
        <f>VLOOKUP(A149,Database!A:Q,MATCH($A$1,Database!$A$1:$Q$1,),)</f>
        <v>17881</v>
      </c>
      <c r="C149" s="12">
        <f t="shared" si="4"/>
        <v>5.7936775790302618E-3</v>
      </c>
      <c r="D149" s="13">
        <f t="shared" si="5"/>
        <v>8.9242202729044831E-2</v>
      </c>
    </row>
    <row r="150" spans="1:4" x14ac:dyDescent="0.35">
      <c r="A150" s="11">
        <v>37956</v>
      </c>
      <c r="B150" s="15">
        <f>VLOOKUP(A150,Database!A:Q,MATCH($A$1,Database!$A$1:$Q$1,),)</f>
        <v>17742</v>
      </c>
      <c r="C150" s="12">
        <f t="shared" si="4"/>
        <v>-7.7736144510933396E-3</v>
      </c>
      <c r="D150" s="13">
        <f t="shared" si="5"/>
        <v>7.5468266957628663E-2</v>
      </c>
    </row>
    <row r="151" spans="1:4" x14ac:dyDescent="0.35">
      <c r="A151" s="10">
        <v>37987</v>
      </c>
      <c r="B151" s="15">
        <f>VLOOKUP(A151,Database!A:Q,MATCH($A$1,Database!$A$1:$Q$1,),)</f>
        <v>18275</v>
      </c>
      <c r="C151" s="12">
        <f t="shared" si="4"/>
        <v>3.0041708939240221E-2</v>
      </c>
      <c r="D151" s="13">
        <f t="shared" si="5"/>
        <v>0.11202385298770841</v>
      </c>
    </row>
    <row r="152" spans="1:4" x14ac:dyDescent="0.35">
      <c r="A152" s="11">
        <v>38018</v>
      </c>
      <c r="B152" s="15">
        <f>VLOOKUP(A152,Database!A:Q,MATCH($A$1,Database!$A$1:$Q$1,),)</f>
        <v>18566</v>
      </c>
      <c r="C152" s="12">
        <f t="shared" si="4"/>
        <v>1.5923392612859098E-2</v>
      </c>
      <c r="D152" s="13">
        <f t="shared" si="5"/>
        <v>9.6438906277682632E-2</v>
      </c>
    </row>
    <row r="153" spans="1:4" x14ac:dyDescent="0.35">
      <c r="A153" s="10">
        <v>38047</v>
      </c>
      <c r="B153" s="15">
        <f>VLOOKUP(A153,Database!A:Q,MATCH($A$1,Database!$A$1:$Q$1,),)</f>
        <v>18072</v>
      </c>
      <c r="C153" s="12">
        <f t="shared" si="4"/>
        <v>-2.6607777658084669E-2</v>
      </c>
      <c r="D153" s="13">
        <f t="shared" si="5"/>
        <v>7.8024337866857557E-2</v>
      </c>
    </row>
    <row r="154" spans="1:4" x14ac:dyDescent="0.35">
      <c r="A154" s="11">
        <v>38078</v>
      </c>
      <c r="B154" s="15">
        <f>VLOOKUP(A154,Database!A:Q,MATCH($A$1,Database!$A$1:$Q$1,),)</f>
        <v>18442</v>
      </c>
      <c r="C154" s="12">
        <f t="shared" si="4"/>
        <v>2.0473660911907925E-2</v>
      </c>
      <c r="D154" s="13">
        <f t="shared" si="5"/>
        <v>0.11143253179051407</v>
      </c>
    </row>
    <row r="155" spans="1:4" x14ac:dyDescent="0.35">
      <c r="A155" s="10">
        <v>38108</v>
      </c>
      <c r="B155" s="15">
        <f>VLOOKUP(A155,Database!A:Q,MATCH($A$1,Database!$A$1:$Q$1,),)</f>
        <v>18351</v>
      </c>
      <c r="C155" s="12">
        <f t="shared" si="4"/>
        <v>-4.9343888949137833E-3</v>
      </c>
      <c r="D155" s="13">
        <f t="shared" si="5"/>
        <v>9.7416576964477933E-2</v>
      </c>
    </row>
    <row r="156" spans="1:4" x14ac:dyDescent="0.35">
      <c r="A156" s="11">
        <v>38139</v>
      </c>
      <c r="B156" s="15">
        <f>VLOOKUP(A156,Database!A:Q,MATCH($A$1,Database!$A$1:$Q$1,),)</f>
        <v>18649</v>
      </c>
      <c r="C156" s="12">
        <f t="shared" si="4"/>
        <v>1.6238897062830365E-2</v>
      </c>
      <c r="D156" s="13">
        <f t="shared" si="5"/>
        <v>0.10101546817806116</v>
      </c>
    </row>
    <row r="157" spans="1:4" x14ac:dyDescent="0.35">
      <c r="A157" s="10">
        <v>38169</v>
      </c>
      <c r="B157" s="15">
        <f>VLOOKUP(A157,Database!A:Q,MATCH($A$1,Database!$A$1:$Q$1,),)</f>
        <v>18927</v>
      </c>
      <c r="C157" s="12">
        <f t="shared" si="4"/>
        <v>1.4906965520939461E-2</v>
      </c>
      <c r="D157" s="13">
        <f t="shared" si="5"/>
        <v>0.11015308815766321</v>
      </c>
    </row>
    <row r="158" spans="1:4" x14ac:dyDescent="0.35">
      <c r="A158" s="11">
        <v>38200</v>
      </c>
      <c r="B158" s="15">
        <f>VLOOKUP(A158,Database!A:Q,MATCH($A$1,Database!$A$1:$Q$1,),)</f>
        <v>19178</v>
      </c>
      <c r="C158" s="12">
        <f t="shared" si="4"/>
        <v>1.3261478311406985E-2</v>
      </c>
      <c r="D158" s="13">
        <f t="shared" si="5"/>
        <v>0.10778650646950093</v>
      </c>
    </row>
    <row r="159" spans="1:4" x14ac:dyDescent="0.35">
      <c r="A159" s="10">
        <v>38231</v>
      </c>
      <c r="B159" s="15">
        <f>VLOOKUP(A159,Database!A:Q,MATCH($A$1,Database!$A$1:$Q$1,),)</f>
        <v>19472</v>
      </c>
      <c r="C159" s="12">
        <f t="shared" si="4"/>
        <v>1.5330065700281573E-2</v>
      </c>
      <c r="D159" s="13">
        <f t="shared" si="5"/>
        <v>0.10667803353225348</v>
      </c>
    </row>
    <row r="160" spans="1:4" x14ac:dyDescent="0.35">
      <c r="A160" s="11">
        <v>38261</v>
      </c>
      <c r="B160" s="15">
        <f>VLOOKUP(A160,Database!A:Q,MATCH($A$1,Database!$A$1:$Q$1,),)</f>
        <v>19675</v>
      </c>
      <c r="C160" s="12">
        <f t="shared" si="4"/>
        <v>1.0425225965488907E-2</v>
      </c>
      <c r="D160" s="13">
        <f t="shared" si="5"/>
        <v>0.10670491618854765</v>
      </c>
    </row>
    <row r="161" spans="1:4" x14ac:dyDescent="0.35">
      <c r="A161" s="10">
        <v>38292</v>
      </c>
      <c r="B161" s="15">
        <f>VLOOKUP(A161,Database!A:Q,MATCH($A$1,Database!$A$1:$Q$1,),)</f>
        <v>19789</v>
      </c>
      <c r="C161" s="12">
        <f t="shared" si="4"/>
        <v>5.7941550190597204E-3</v>
      </c>
      <c r="D161" s="13">
        <f t="shared" si="5"/>
        <v>0.10670544153011577</v>
      </c>
    </row>
    <row r="162" spans="1:4" x14ac:dyDescent="0.35">
      <c r="A162" s="11">
        <v>38322</v>
      </c>
      <c r="B162" s="15">
        <f>VLOOKUP(A162,Database!A:Q,MATCH($A$1,Database!$A$1:$Q$1,),)</f>
        <v>19942</v>
      </c>
      <c r="C162" s="12">
        <f t="shared" si="4"/>
        <v>7.7315680428520894E-3</v>
      </c>
      <c r="D162" s="13">
        <f t="shared" si="5"/>
        <v>0.12399954909254876</v>
      </c>
    </row>
    <row r="163" spans="1:4" x14ac:dyDescent="0.35">
      <c r="A163" s="10">
        <v>38353</v>
      </c>
      <c r="B163" s="15">
        <f>VLOOKUP(A163,Database!A:Q,MATCH($A$1,Database!$A$1:$Q$1,),)</f>
        <v>20237</v>
      </c>
      <c r="C163" s="12">
        <f t="shared" si="4"/>
        <v>1.4792899408284023E-2</v>
      </c>
      <c r="D163" s="13">
        <f t="shared" si="5"/>
        <v>0.10735978112175103</v>
      </c>
    </row>
    <row r="164" spans="1:4" x14ac:dyDescent="0.35">
      <c r="A164" s="11">
        <v>38384</v>
      </c>
      <c r="B164" s="15">
        <f>VLOOKUP(A164,Database!A:Q,MATCH($A$1,Database!$A$1:$Q$1,),)</f>
        <v>20175</v>
      </c>
      <c r="C164" s="12">
        <f t="shared" si="4"/>
        <v>-3.0636952117408709E-3</v>
      </c>
      <c r="D164" s="13">
        <f t="shared" si="5"/>
        <v>8.6663794032101685E-2</v>
      </c>
    </row>
    <row r="165" spans="1:4" x14ac:dyDescent="0.35">
      <c r="A165" s="10">
        <v>38412</v>
      </c>
      <c r="B165" s="15">
        <f>VLOOKUP(A165,Database!A:Q,MATCH($A$1,Database!$A$1:$Q$1,),)</f>
        <v>20506</v>
      </c>
      <c r="C165" s="12">
        <f t="shared" si="4"/>
        <v>1.6406443618339529E-2</v>
      </c>
      <c r="D165" s="13">
        <f t="shared" si="5"/>
        <v>0.13468348826914564</v>
      </c>
    </row>
    <row r="166" spans="1:4" x14ac:dyDescent="0.35">
      <c r="A166" s="11">
        <v>38443</v>
      </c>
      <c r="B166" s="15">
        <f>VLOOKUP(A166,Database!A:Q,MATCH($A$1,Database!$A$1:$Q$1,),)</f>
        <v>20741</v>
      </c>
      <c r="C166" s="12">
        <f t="shared" si="4"/>
        <v>1.1460060470106311E-2</v>
      </c>
      <c r="D166" s="13">
        <f t="shared" si="5"/>
        <v>0.12466109966381086</v>
      </c>
    </row>
    <row r="167" spans="1:4" x14ac:dyDescent="0.35">
      <c r="A167" s="10">
        <v>38473</v>
      </c>
      <c r="B167" s="15">
        <f>VLOOKUP(A167,Database!A:Q,MATCH($A$1,Database!$A$1:$Q$1,),)</f>
        <v>20568</v>
      </c>
      <c r="C167" s="12">
        <f t="shared" si="4"/>
        <v>-8.3409671664818469E-3</v>
      </c>
      <c r="D167" s="13">
        <f t="shared" si="5"/>
        <v>0.12081085499427824</v>
      </c>
    </row>
    <row r="168" spans="1:4" x14ac:dyDescent="0.35">
      <c r="A168" s="11">
        <v>38504</v>
      </c>
      <c r="B168" s="15">
        <f>VLOOKUP(A168,Database!A:Q,MATCH($A$1,Database!$A$1:$Q$1,),)</f>
        <v>21024</v>
      </c>
      <c r="C168" s="12">
        <f t="shared" si="4"/>
        <v>2.2170361726954493E-2</v>
      </c>
      <c r="D168" s="13">
        <f t="shared" si="5"/>
        <v>0.12735267306557993</v>
      </c>
    </row>
    <row r="169" spans="1:4" x14ac:dyDescent="0.35">
      <c r="A169" s="10">
        <v>38534</v>
      </c>
      <c r="B169" s="15">
        <f>VLOOKUP(A169,Database!A:Q,MATCH($A$1,Database!$A$1:$Q$1,),)</f>
        <v>20988</v>
      </c>
      <c r="C169" s="12">
        <f t="shared" si="4"/>
        <v>-1.7123287671232876E-3</v>
      </c>
      <c r="D169" s="13">
        <f t="shared" si="5"/>
        <v>0.10889205896338564</v>
      </c>
    </row>
    <row r="170" spans="1:4" x14ac:dyDescent="0.35">
      <c r="A170" s="11">
        <v>38565</v>
      </c>
      <c r="B170" s="15">
        <f>VLOOKUP(A170,Database!A:Q,MATCH($A$1,Database!$A$1:$Q$1,),)</f>
        <v>21767</v>
      </c>
      <c r="C170" s="12">
        <f t="shared" si="4"/>
        <v>3.7116447493805986E-2</v>
      </c>
      <c r="D170" s="13">
        <f t="shared" si="5"/>
        <v>0.1349984357075816</v>
      </c>
    </row>
    <row r="171" spans="1:4" x14ac:dyDescent="0.35">
      <c r="A171" s="10">
        <v>38596</v>
      </c>
      <c r="B171" s="15">
        <f>VLOOKUP(A171,Database!A:Q,MATCH($A$1,Database!$A$1:$Q$1,),)</f>
        <v>21951</v>
      </c>
      <c r="C171" s="12">
        <f t="shared" si="4"/>
        <v>8.45316304497634E-3</v>
      </c>
      <c r="D171" s="13">
        <f t="shared" si="5"/>
        <v>0.12731101068200493</v>
      </c>
    </row>
    <row r="172" spans="1:4" x14ac:dyDescent="0.35">
      <c r="A172" s="11">
        <v>38626</v>
      </c>
      <c r="B172" s="15">
        <f>VLOOKUP(A172,Database!A:Q,MATCH($A$1,Database!$A$1:$Q$1,),)</f>
        <v>22255</v>
      </c>
      <c r="C172" s="12">
        <f t="shared" si="4"/>
        <v>1.384902737916268E-2</v>
      </c>
      <c r="D172" s="13">
        <f t="shared" si="5"/>
        <v>0.13113087674714105</v>
      </c>
    </row>
    <row r="173" spans="1:4" x14ac:dyDescent="0.35">
      <c r="A173" s="10">
        <v>38657</v>
      </c>
      <c r="B173" s="15">
        <f>VLOOKUP(A173,Database!A:Q,MATCH($A$1,Database!$A$1:$Q$1,),)</f>
        <v>22461</v>
      </c>
      <c r="C173" s="12">
        <f t="shared" si="4"/>
        <v>9.256346888339699E-3</v>
      </c>
      <c r="D173" s="13">
        <f t="shared" si="5"/>
        <v>0.1350245085653646</v>
      </c>
    </row>
    <row r="174" spans="1:4" x14ac:dyDescent="0.35">
      <c r="A174" s="11">
        <v>38687</v>
      </c>
      <c r="B174" s="15">
        <f>VLOOKUP(A174,Database!A:Q,MATCH($A$1,Database!$A$1:$Q$1,),)</f>
        <v>22827</v>
      </c>
      <c r="C174" s="12">
        <f t="shared" si="4"/>
        <v>1.6294911179377588E-2</v>
      </c>
      <c r="D174" s="13">
        <f t="shared" si="5"/>
        <v>0.14466954167084545</v>
      </c>
    </row>
    <row r="175" spans="1:4" x14ac:dyDescent="0.35">
      <c r="A175" s="10">
        <v>38718</v>
      </c>
      <c r="B175" s="15">
        <f>VLOOKUP(A175,Database!A:Q,MATCH($A$1,Database!$A$1:$Q$1,),)</f>
        <v>22574</v>
      </c>
      <c r="C175" s="12">
        <f t="shared" si="4"/>
        <v>-1.1083366189161958E-2</v>
      </c>
      <c r="D175" s="13">
        <f t="shared" si="5"/>
        <v>0.11548154370707121</v>
      </c>
    </row>
    <row r="176" spans="1:4" x14ac:dyDescent="0.35">
      <c r="A176" s="11">
        <v>38749</v>
      </c>
      <c r="B176" s="15">
        <f>VLOOKUP(A176,Database!A:Q,MATCH($A$1,Database!$A$1:$Q$1,),)</f>
        <v>23068</v>
      </c>
      <c r="C176" s="12">
        <f t="shared" si="4"/>
        <v>2.1883582882962702E-2</v>
      </c>
      <c r="D176" s="13">
        <f t="shared" si="5"/>
        <v>0.14339529120198266</v>
      </c>
    </row>
    <row r="177" spans="1:4" x14ac:dyDescent="0.35">
      <c r="A177" s="10">
        <v>38777</v>
      </c>
      <c r="B177" s="15">
        <f>VLOOKUP(A177,Database!A:Q,MATCH($A$1,Database!$A$1:$Q$1,),)</f>
        <v>23677</v>
      </c>
      <c r="C177" s="12">
        <f t="shared" si="4"/>
        <v>2.6400208080457777E-2</v>
      </c>
      <c r="D177" s="13">
        <f t="shared" si="5"/>
        <v>0.15463766702428558</v>
      </c>
    </row>
    <row r="178" spans="1:4" x14ac:dyDescent="0.35">
      <c r="A178" s="11">
        <v>38808</v>
      </c>
      <c r="B178" s="15">
        <f>VLOOKUP(A178,Database!A:Q,MATCH($A$1,Database!$A$1:$Q$1,),)</f>
        <v>23305</v>
      </c>
      <c r="C178" s="12">
        <f t="shared" si="4"/>
        <v>-1.5711449930312118E-2</v>
      </c>
      <c r="D178" s="13">
        <f t="shared" si="5"/>
        <v>0.12361988332288704</v>
      </c>
    </row>
    <row r="179" spans="1:4" x14ac:dyDescent="0.35">
      <c r="A179" s="10">
        <v>38838</v>
      </c>
      <c r="B179" s="15">
        <f>VLOOKUP(A179,Database!A:Q,MATCH($A$1,Database!$A$1:$Q$1,),)</f>
        <v>23794</v>
      </c>
      <c r="C179" s="12">
        <f t="shared" si="4"/>
        <v>2.09826217549882E-2</v>
      </c>
      <c r="D179" s="13">
        <f t="shared" si="5"/>
        <v>0.15684558537534032</v>
      </c>
    </row>
    <row r="180" spans="1:4" x14ac:dyDescent="0.35">
      <c r="A180" s="11">
        <v>38869</v>
      </c>
      <c r="B180" s="15">
        <f>VLOOKUP(A180,Database!A:Q,MATCH($A$1,Database!$A$1:$Q$1,),)</f>
        <v>23762</v>
      </c>
      <c r="C180" s="12">
        <f t="shared" si="4"/>
        <v>-1.3448768597125326E-3</v>
      </c>
      <c r="D180" s="13">
        <f t="shared" si="5"/>
        <v>0.13023211567732115</v>
      </c>
    </row>
    <row r="181" spans="1:4" x14ac:dyDescent="0.35">
      <c r="A181" s="10">
        <v>38899</v>
      </c>
      <c r="B181" s="15">
        <f>VLOOKUP(A181,Database!A:Q,MATCH($A$1,Database!$A$1:$Q$1,),)</f>
        <v>23638</v>
      </c>
      <c r="C181" s="12">
        <f t="shared" si="4"/>
        <v>-5.2184159582526722E-3</v>
      </c>
      <c r="D181" s="13">
        <f t="shared" si="5"/>
        <v>0.12626262626262627</v>
      </c>
    </row>
    <row r="182" spans="1:4" x14ac:dyDescent="0.35">
      <c r="A182" s="11">
        <v>38930</v>
      </c>
      <c r="B182" s="15">
        <f>VLOOKUP(A182,Database!A:Q,MATCH($A$1,Database!$A$1:$Q$1,),)</f>
        <v>24225</v>
      </c>
      <c r="C182" s="12">
        <f t="shared" si="4"/>
        <v>2.4832896184110331E-2</v>
      </c>
      <c r="D182" s="13">
        <f t="shared" si="5"/>
        <v>0.11292323241604263</v>
      </c>
    </row>
    <row r="183" spans="1:4" x14ac:dyDescent="0.35">
      <c r="A183" s="10">
        <v>38961</v>
      </c>
      <c r="B183" s="15">
        <f>VLOOKUP(A183,Database!A:Q,MATCH($A$1,Database!$A$1:$Q$1,),)</f>
        <v>24206</v>
      </c>
      <c r="C183" s="12">
        <f t="shared" si="4"/>
        <v>-7.8431372549019605E-4</v>
      </c>
      <c r="D183" s="13">
        <f t="shared" si="5"/>
        <v>0.10272880506582843</v>
      </c>
    </row>
    <row r="184" spans="1:4" x14ac:dyDescent="0.35">
      <c r="A184" s="11">
        <v>38991</v>
      </c>
      <c r="B184" s="15">
        <f>VLOOKUP(A184,Database!A:Q,MATCH($A$1,Database!$A$1:$Q$1,),)</f>
        <v>24349</v>
      </c>
      <c r="C184" s="12">
        <f t="shared" si="4"/>
        <v>5.9076262083780882E-3</v>
      </c>
      <c r="D184" s="13">
        <f t="shared" si="5"/>
        <v>9.409121545720063E-2</v>
      </c>
    </row>
    <row r="185" spans="1:4" x14ac:dyDescent="0.35">
      <c r="A185" s="10">
        <v>39022</v>
      </c>
      <c r="B185" s="15">
        <f>VLOOKUP(A185,Database!A:Q,MATCH($A$1,Database!$A$1:$Q$1,),)</f>
        <v>24259</v>
      </c>
      <c r="C185" s="12">
        <f t="shared" si="4"/>
        <v>-3.6962503593576737E-3</v>
      </c>
      <c r="D185" s="13">
        <f t="shared" si="5"/>
        <v>8.0049864209073507E-2</v>
      </c>
    </row>
    <row r="186" spans="1:4" x14ac:dyDescent="0.35">
      <c r="A186" s="11">
        <v>39052</v>
      </c>
      <c r="B186" s="15">
        <f>VLOOKUP(A186,Database!A:Q,MATCH($A$1,Database!$A$1:$Q$1,),)</f>
        <v>24206</v>
      </c>
      <c r="C186" s="12">
        <f t="shared" si="4"/>
        <v>-2.1847561729667342E-3</v>
      </c>
      <c r="D186" s="13">
        <f t="shared" si="5"/>
        <v>6.0410916896657466E-2</v>
      </c>
    </row>
    <row r="187" spans="1:4" x14ac:dyDescent="0.35">
      <c r="A187" s="10">
        <v>39083</v>
      </c>
      <c r="B187" s="15">
        <f>VLOOKUP(A187,Database!A:Q,MATCH($A$1,Database!$A$1:$Q$1,),)</f>
        <v>24243</v>
      </c>
      <c r="C187" s="12">
        <f t="shared" si="4"/>
        <v>1.5285466413285961E-3</v>
      </c>
      <c r="D187" s="13">
        <f t="shared" si="5"/>
        <v>7.3934615043855761E-2</v>
      </c>
    </row>
    <row r="188" spans="1:4" x14ac:dyDescent="0.35">
      <c r="A188" s="11">
        <v>39114</v>
      </c>
      <c r="B188" s="15">
        <f>VLOOKUP(A188,Database!A:Q,MATCH($A$1,Database!$A$1:$Q$1,),)</f>
        <v>25505</v>
      </c>
      <c r="C188" s="12">
        <f t="shared" si="4"/>
        <v>5.2056263663737987E-2</v>
      </c>
      <c r="D188" s="13">
        <f t="shared" si="5"/>
        <v>0.10564418241720132</v>
      </c>
    </row>
    <row r="189" spans="1:4" x14ac:dyDescent="0.35">
      <c r="A189" s="10">
        <v>39142</v>
      </c>
      <c r="B189" s="15">
        <f>VLOOKUP(A189,Database!A:Q,MATCH($A$1,Database!$A$1:$Q$1,),)</f>
        <v>25034</v>
      </c>
      <c r="C189" s="12">
        <f t="shared" si="4"/>
        <v>-1.8466967261321309E-2</v>
      </c>
      <c r="D189" s="13">
        <f t="shared" si="5"/>
        <v>5.7313004181272963E-2</v>
      </c>
    </row>
    <row r="190" spans="1:4" x14ac:dyDescent="0.35">
      <c r="A190" s="11">
        <v>39173</v>
      </c>
      <c r="B190" s="15">
        <f>VLOOKUP(A190,Database!A:Q,MATCH($A$1,Database!$A$1:$Q$1,),)</f>
        <v>25303</v>
      </c>
      <c r="C190" s="12">
        <f t="shared" si="4"/>
        <v>1.0745386274666454E-2</v>
      </c>
      <c r="D190" s="13">
        <f t="shared" si="5"/>
        <v>8.5732675391546873E-2</v>
      </c>
    </row>
    <row r="191" spans="1:4" x14ac:dyDescent="0.35">
      <c r="A191" s="10">
        <v>39203</v>
      </c>
      <c r="B191" s="15">
        <f>VLOOKUP(A191,Database!A:Q,MATCH($A$1,Database!$A$1:$Q$1,),)</f>
        <v>25271</v>
      </c>
      <c r="C191" s="12">
        <f t="shared" si="4"/>
        <v>-1.2646721732600878E-3</v>
      </c>
      <c r="D191" s="13">
        <f t="shared" si="5"/>
        <v>6.2074472556106583E-2</v>
      </c>
    </row>
    <row r="192" spans="1:4" x14ac:dyDescent="0.35">
      <c r="A192" s="11">
        <v>39234</v>
      </c>
      <c r="B192" s="15">
        <f>VLOOKUP(A192,Database!A:Q,MATCH($A$1,Database!$A$1:$Q$1,),)</f>
        <v>25462</v>
      </c>
      <c r="C192" s="12">
        <f t="shared" si="4"/>
        <v>7.558070515610779E-3</v>
      </c>
      <c r="D192" s="13">
        <f t="shared" si="5"/>
        <v>7.1542799427657608E-2</v>
      </c>
    </row>
    <row r="193" spans="1:4" x14ac:dyDescent="0.35">
      <c r="A193" s="10">
        <v>39264</v>
      </c>
      <c r="B193" s="15">
        <f>VLOOKUP(A193,Database!A:Q,MATCH($A$1,Database!$A$1:$Q$1,),)</f>
        <v>25970</v>
      </c>
      <c r="C193" s="12">
        <f t="shared" si="4"/>
        <v>1.9951299976435473E-2</v>
      </c>
      <c r="D193" s="13">
        <f t="shared" si="5"/>
        <v>9.8654708520179366E-2</v>
      </c>
    </row>
    <row r="194" spans="1:4" x14ac:dyDescent="0.35">
      <c r="A194" s="11">
        <v>39295</v>
      </c>
      <c r="B194" s="15">
        <f>VLOOKUP(A194,Database!A:Q,MATCH($A$1,Database!$A$1:$Q$1,),)</f>
        <v>25826</v>
      </c>
      <c r="C194" s="12">
        <f t="shared" si="4"/>
        <v>-5.5448594532152484E-3</v>
      </c>
      <c r="D194" s="13">
        <f t="shared" si="5"/>
        <v>6.6088751289989686E-2</v>
      </c>
    </row>
    <row r="195" spans="1:4" x14ac:dyDescent="0.35">
      <c r="A195" s="10">
        <v>39326</v>
      </c>
      <c r="B195" s="15">
        <f>VLOOKUP(A195,Database!A:Q,MATCH($A$1,Database!$A$1:$Q$1,),)</f>
        <v>26112</v>
      </c>
      <c r="C195" s="12">
        <f t="shared" si="4"/>
        <v>1.1074111360644312E-2</v>
      </c>
      <c r="D195" s="13">
        <f t="shared" si="5"/>
        <v>7.8740808064116333E-2</v>
      </c>
    </row>
    <row r="196" spans="1:4" x14ac:dyDescent="0.35">
      <c r="A196" s="11">
        <v>39356</v>
      </c>
      <c r="B196" s="15">
        <f>VLOOKUP(A196,Database!A:Q,MATCH($A$1,Database!$A$1:$Q$1,),)</f>
        <v>26397</v>
      </c>
      <c r="C196" s="12">
        <f t="shared" si="4"/>
        <v>1.0914522058823529E-2</v>
      </c>
      <c r="D196" s="13">
        <f t="shared" si="5"/>
        <v>8.4110230399605732E-2</v>
      </c>
    </row>
    <row r="197" spans="1:4" x14ac:dyDescent="0.35">
      <c r="A197" s="10">
        <v>39387</v>
      </c>
      <c r="B197" s="15">
        <f>VLOOKUP(A197,Database!A:Q,MATCH($A$1,Database!$A$1:$Q$1,),)</f>
        <v>27065</v>
      </c>
      <c r="C197" s="12">
        <f t="shared" si="4"/>
        <v>2.5305905974163732E-2</v>
      </c>
      <c r="D197" s="13">
        <f t="shared" si="5"/>
        <v>0.11566841172348406</v>
      </c>
    </row>
    <row r="198" spans="1:4" x14ac:dyDescent="0.35">
      <c r="A198" s="11">
        <v>39417</v>
      </c>
      <c r="B198" s="15">
        <f>VLOOKUP(A198,Database!A:Q,MATCH($A$1,Database!$A$1:$Q$1,),)</f>
        <v>26268</v>
      </c>
      <c r="C198" s="12">
        <f t="shared" si="4"/>
        <v>-2.9447626085350082E-2</v>
      </c>
      <c r="D198" s="13">
        <f t="shared" si="5"/>
        <v>8.518549120052879E-2</v>
      </c>
    </row>
    <row r="199" spans="1:4" x14ac:dyDescent="0.35">
      <c r="A199" s="10">
        <v>39448</v>
      </c>
      <c r="B199" s="15">
        <f>VLOOKUP(A199,Database!A:Q,MATCH($A$1,Database!$A$1:$Q$1,),)</f>
        <v>26019</v>
      </c>
      <c r="C199" s="12">
        <f t="shared" si="4"/>
        <v>-9.4792142530836006E-3</v>
      </c>
      <c r="D199" s="13">
        <f t="shared" si="5"/>
        <v>7.3258260116322235E-2</v>
      </c>
    </row>
    <row r="200" spans="1:4" x14ac:dyDescent="0.35">
      <c r="A200" s="11">
        <v>39479</v>
      </c>
      <c r="B200" s="15">
        <f>VLOOKUP(A200,Database!A:Q,MATCH($A$1,Database!$A$1:$Q$1,),)</f>
        <v>26101</v>
      </c>
      <c r="C200" s="12">
        <f t="shared" ref="C200:C263" si="6">(B200-B199)/B199</f>
        <v>3.151543103116953E-3</v>
      </c>
      <c r="D200" s="13">
        <f t="shared" si="5"/>
        <v>2.3367967065281318E-2</v>
      </c>
    </row>
    <row r="201" spans="1:4" x14ac:dyDescent="0.35">
      <c r="A201" s="10">
        <v>39508</v>
      </c>
      <c r="B201" s="15">
        <f>VLOOKUP(A201,Database!A:Q,MATCH($A$1,Database!$A$1:$Q$1,),)</f>
        <v>26530</v>
      </c>
      <c r="C201" s="12">
        <f t="shared" si="6"/>
        <v>1.6436151871575801E-2</v>
      </c>
      <c r="D201" s="13">
        <f t="shared" si="5"/>
        <v>5.9758728129743546E-2</v>
      </c>
    </row>
    <row r="202" spans="1:4" x14ac:dyDescent="0.35">
      <c r="A202" s="11">
        <v>39539</v>
      </c>
      <c r="B202" s="15">
        <f>VLOOKUP(A202,Database!A:Q,MATCH($A$1,Database!$A$1:$Q$1,),)</f>
        <v>27243</v>
      </c>
      <c r="C202" s="12">
        <f t="shared" si="6"/>
        <v>2.6875235582359592E-2</v>
      </c>
      <c r="D202" s="13">
        <f t="shared" si="5"/>
        <v>7.6670750503892812E-2</v>
      </c>
    </row>
    <row r="203" spans="1:4" x14ac:dyDescent="0.35">
      <c r="A203" s="10">
        <v>39569</v>
      </c>
      <c r="B203" s="15">
        <f>VLOOKUP(A203,Database!A:Q,MATCH($A$1,Database!$A$1:$Q$1,),)</f>
        <v>27526</v>
      </c>
      <c r="C203" s="12">
        <f t="shared" si="6"/>
        <v>1.0387989575303748E-2</v>
      </c>
      <c r="D203" s="13">
        <f t="shared" si="5"/>
        <v>8.923271734399113E-2</v>
      </c>
    </row>
    <row r="204" spans="1:4" x14ac:dyDescent="0.35">
      <c r="A204" s="11">
        <v>39600</v>
      </c>
      <c r="B204" s="15">
        <f>VLOOKUP(A204,Database!A:Q,MATCH($A$1,Database!$A$1:$Q$1,),)</f>
        <v>27403</v>
      </c>
      <c r="C204" s="12">
        <f t="shared" si="6"/>
        <v>-4.4685025067209188E-3</v>
      </c>
      <c r="D204" s="13">
        <f t="shared" si="5"/>
        <v>7.6231246563506397E-2</v>
      </c>
    </row>
    <row r="205" spans="1:4" x14ac:dyDescent="0.35">
      <c r="A205" s="10">
        <v>39630</v>
      </c>
      <c r="B205" s="15">
        <f>VLOOKUP(A205,Database!A:Q,MATCH($A$1,Database!$A$1:$Q$1,),)</f>
        <v>27823</v>
      </c>
      <c r="C205" s="12">
        <f t="shared" si="6"/>
        <v>1.5326789037696603E-2</v>
      </c>
      <c r="D205" s="13">
        <f t="shared" si="5"/>
        <v>7.1351559491721214E-2</v>
      </c>
    </row>
    <row r="206" spans="1:4" x14ac:dyDescent="0.35">
      <c r="A206" s="11">
        <v>39661</v>
      </c>
      <c r="B206" s="15">
        <f>VLOOKUP(A206,Database!A:Q,MATCH($A$1,Database!$A$1:$Q$1,),)</f>
        <v>27374</v>
      </c>
      <c r="C206" s="12">
        <f t="shared" si="6"/>
        <v>-1.6137727779175503E-2</v>
      </c>
      <c r="D206" s="13">
        <f t="shared" si="5"/>
        <v>5.9939595756214666E-2</v>
      </c>
    </row>
    <row r="207" spans="1:4" x14ac:dyDescent="0.35">
      <c r="A207" s="10">
        <v>39692</v>
      </c>
      <c r="B207" s="15">
        <f>VLOOKUP(A207,Database!A:Q,MATCH($A$1,Database!$A$1:$Q$1,),)</f>
        <v>27258</v>
      </c>
      <c r="C207" s="12">
        <f t="shared" si="6"/>
        <v>-4.2375977204646741E-3</v>
      </c>
      <c r="D207" s="13">
        <f t="shared" si="5"/>
        <v>4.388786764705882E-2</v>
      </c>
    </row>
    <row r="208" spans="1:4" x14ac:dyDescent="0.35">
      <c r="A208" s="11">
        <v>39722</v>
      </c>
      <c r="B208" s="15">
        <f>VLOOKUP(A208,Database!A:Q,MATCH($A$1,Database!$A$1:$Q$1,),)</f>
        <v>26333</v>
      </c>
      <c r="C208" s="12">
        <f t="shared" si="6"/>
        <v>-3.3934991562110203E-2</v>
      </c>
      <c r="D208" s="13">
        <f t="shared" si="5"/>
        <v>-2.4245179376444293E-3</v>
      </c>
    </row>
    <row r="209" spans="1:4" x14ac:dyDescent="0.35">
      <c r="A209" s="10">
        <v>39753</v>
      </c>
      <c r="B209" s="15">
        <f>VLOOKUP(A209,Database!A:Q,MATCH($A$1,Database!$A$1:$Q$1,),)</f>
        <v>25149</v>
      </c>
      <c r="C209" s="12">
        <f t="shared" si="6"/>
        <v>-4.4962594463221053E-2</v>
      </c>
      <c r="D209" s="13">
        <f t="shared" si="5"/>
        <v>-7.0792536486236832E-2</v>
      </c>
    </row>
    <row r="210" spans="1:4" x14ac:dyDescent="0.35">
      <c r="A210" s="11">
        <v>39783</v>
      </c>
      <c r="B210" s="15">
        <f>VLOOKUP(A210,Database!A:Q,MATCH($A$1,Database!$A$1:$Q$1,),)</f>
        <v>24751</v>
      </c>
      <c r="C210" s="12">
        <f t="shared" si="6"/>
        <v>-1.5825678953437512E-2</v>
      </c>
      <c r="D210" s="13">
        <f t="shared" si="5"/>
        <v>-5.7750875590071568E-2</v>
      </c>
    </row>
    <row r="211" spans="1:4" x14ac:dyDescent="0.35">
      <c r="A211" s="10">
        <v>39814</v>
      </c>
      <c r="B211" s="15">
        <f>VLOOKUP(A211,Database!A:Q,MATCH($A$1,Database!$A$1:$Q$1,),)</f>
        <v>25049</v>
      </c>
      <c r="C211" s="12">
        <f t="shared" si="6"/>
        <v>1.2039917579087714E-2</v>
      </c>
      <c r="D211" s="13">
        <f t="shared" ref="D211:D274" si="7">(B211-B199)/B199</f>
        <v>-3.728044890272493E-2</v>
      </c>
    </row>
    <row r="212" spans="1:4" x14ac:dyDescent="0.35">
      <c r="A212" s="11">
        <v>39845</v>
      </c>
      <c r="B212" s="15">
        <f>VLOOKUP(A212,Database!A:Q,MATCH($A$1,Database!$A$1:$Q$1,),)</f>
        <v>25241</v>
      </c>
      <c r="C212" s="12">
        <f t="shared" si="6"/>
        <v>7.6649766457742826E-3</v>
      </c>
      <c r="D212" s="13">
        <f t="shared" si="7"/>
        <v>-3.2948929159802305E-2</v>
      </c>
    </row>
    <row r="213" spans="1:4" x14ac:dyDescent="0.35">
      <c r="A213" s="10">
        <v>39873</v>
      </c>
      <c r="B213" s="15">
        <f>VLOOKUP(A213,Database!A:Q,MATCH($A$1,Database!$A$1:$Q$1,),)</f>
        <v>24941</v>
      </c>
      <c r="C213" s="12">
        <f t="shared" si="6"/>
        <v>-1.1885424507745336E-2</v>
      </c>
      <c r="D213" s="13">
        <f t="shared" si="7"/>
        <v>-5.9894459102902371E-2</v>
      </c>
    </row>
    <row r="214" spans="1:4" x14ac:dyDescent="0.35">
      <c r="A214" s="11">
        <v>39904</v>
      </c>
      <c r="B214" s="15">
        <f>VLOOKUP(A214,Database!A:Q,MATCH($A$1,Database!$A$1:$Q$1,),)</f>
        <v>24932</v>
      </c>
      <c r="C214" s="12">
        <f t="shared" si="6"/>
        <v>-3.6085160979912594E-4</v>
      </c>
      <c r="D214" s="13">
        <f t="shared" si="7"/>
        <v>-8.4829130418823187E-2</v>
      </c>
    </row>
    <row r="215" spans="1:4" x14ac:dyDescent="0.35">
      <c r="A215" s="10">
        <v>39934</v>
      </c>
      <c r="B215" s="15">
        <f>VLOOKUP(A215,Database!A:Q,MATCH($A$1,Database!$A$1:$Q$1,),)</f>
        <v>25159</v>
      </c>
      <c r="C215" s="12">
        <f t="shared" si="6"/>
        <v>9.1047649606930854E-3</v>
      </c>
      <c r="D215" s="13">
        <f t="shared" si="7"/>
        <v>-8.5991426287873277E-2</v>
      </c>
    </row>
    <row r="216" spans="1:4" x14ac:dyDescent="0.35">
      <c r="A216" s="11">
        <v>39965</v>
      </c>
      <c r="B216" s="15">
        <f>VLOOKUP(A216,Database!A:Q,MATCH($A$1,Database!$A$1:$Q$1,),)</f>
        <v>25768</v>
      </c>
      <c r="C216" s="12">
        <f t="shared" si="6"/>
        <v>2.4206049525020867E-2</v>
      </c>
      <c r="D216" s="13">
        <f t="shared" si="7"/>
        <v>-5.9665000182461778E-2</v>
      </c>
    </row>
    <row r="217" spans="1:4" x14ac:dyDescent="0.35">
      <c r="A217" s="10">
        <v>39995</v>
      </c>
      <c r="B217" s="15">
        <f>VLOOKUP(A217,Database!A:Q,MATCH($A$1,Database!$A$1:$Q$1,),)</f>
        <v>26110</v>
      </c>
      <c r="C217" s="12">
        <f t="shared" si="6"/>
        <v>1.3272275690779262E-2</v>
      </c>
      <c r="D217" s="13">
        <f t="shared" si="7"/>
        <v>-6.1567767674226358E-2</v>
      </c>
    </row>
    <row r="218" spans="1:4" x14ac:dyDescent="0.35">
      <c r="A218" s="11">
        <v>40026</v>
      </c>
      <c r="B218" s="15">
        <f>VLOOKUP(A218,Database!A:Q,MATCH($A$1,Database!$A$1:$Q$1,),)</f>
        <v>26150</v>
      </c>
      <c r="C218" s="12">
        <f t="shared" si="6"/>
        <v>1.5319800842589046E-3</v>
      </c>
      <c r="D218" s="13">
        <f t="shared" si="7"/>
        <v>-4.4713962153868636E-2</v>
      </c>
    </row>
    <row r="219" spans="1:4" x14ac:dyDescent="0.35">
      <c r="A219" s="10">
        <v>40057</v>
      </c>
      <c r="B219" s="15">
        <f>VLOOKUP(A219,Database!A:Q,MATCH($A$1,Database!$A$1:$Q$1,),)</f>
        <v>26339</v>
      </c>
      <c r="C219" s="12">
        <f t="shared" si="6"/>
        <v>7.2275334608030593E-3</v>
      </c>
      <c r="D219" s="13">
        <f t="shared" si="7"/>
        <v>-3.3714872697923545E-2</v>
      </c>
    </row>
    <row r="220" spans="1:4" x14ac:dyDescent="0.35">
      <c r="A220" s="11">
        <v>40087</v>
      </c>
      <c r="B220" s="15">
        <f>VLOOKUP(A220,Database!A:Q,MATCH($A$1,Database!$A$1:$Q$1,),)</f>
        <v>26634</v>
      </c>
      <c r="C220" s="12">
        <f t="shared" si="6"/>
        <v>1.1200121492843312E-2</v>
      </c>
      <c r="D220" s="13">
        <f t="shared" si="7"/>
        <v>1.143052443701819E-2</v>
      </c>
    </row>
    <row r="221" spans="1:4" x14ac:dyDescent="0.35">
      <c r="A221" s="10">
        <v>40118</v>
      </c>
      <c r="B221" s="15">
        <f>VLOOKUP(A221,Database!A:Q,MATCH($A$1,Database!$A$1:$Q$1,),)</f>
        <v>26666</v>
      </c>
      <c r="C221" s="12">
        <f t="shared" si="6"/>
        <v>1.2014718029586242E-3</v>
      </c>
      <c r="D221" s="13">
        <f t="shared" si="7"/>
        <v>6.0320489880313334E-2</v>
      </c>
    </row>
    <row r="222" spans="1:4" x14ac:dyDescent="0.35">
      <c r="A222" s="11">
        <v>40148</v>
      </c>
      <c r="B222" s="15">
        <f>VLOOKUP(A222,Database!A:Q,MATCH($A$1,Database!$A$1:$Q$1,),)</f>
        <v>26984</v>
      </c>
      <c r="C222" s="12">
        <f t="shared" si="6"/>
        <v>1.1925298132453311E-2</v>
      </c>
      <c r="D222" s="13">
        <f t="shared" si="7"/>
        <v>9.0218577027190827E-2</v>
      </c>
    </row>
    <row r="223" spans="1:4" x14ac:dyDescent="0.35">
      <c r="A223" s="10">
        <v>40179</v>
      </c>
      <c r="B223" s="15">
        <f>VLOOKUP(A223,Database!A:Q,MATCH($A$1,Database!$A$1:$Q$1,),)</f>
        <v>27236</v>
      </c>
      <c r="C223" s="12">
        <f t="shared" si="6"/>
        <v>9.3388674770234215E-3</v>
      </c>
      <c r="D223" s="13">
        <f t="shared" si="7"/>
        <v>8.7308874605772691E-2</v>
      </c>
    </row>
    <row r="224" spans="1:4" x14ac:dyDescent="0.35">
      <c r="A224" s="11">
        <v>40210</v>
      </c>
      <c r="B224" s="15">
        <f>VLOOKUP(A224,Database!A:Q,MATCH($A$1,Database!$A$1:$Q$1,),)</f>
        <v>27249</v>
      </c>
      <c r="C224" s="12">
        <f t="shared" si="6"/>
        <v>4.7730944338375677E-4</v>
      </c>
      <c r="D224" s="13">
        <f t="shared" si="7"/>
        <v>7.9553108038508777E-2</v>
      </c>
    </row>
    <row r="225" spans="1:4" x14ac:dyDescent="0.35">
      <c r="A225" s="10">
        <v>40238</v>
      </c>
      <c r="B225" s="15">
        <f>VLOOKUP(A225,Database!A:Q,MATCH($A$1,Database!$A$1:$Q$1,),)</f>
        <v>27852</v>
      </c>
      <c r="C225" s="12">
        <f t="shared" si="6"/>
        <v>2.2129252449631178E-2</v>
      </c>
      <c r="D225" s="13">
        <f t="shared" si="7"/>
        <v>0.11671544845836174</v>
      </c>
    </row>
    <row r="226" spans="1:4" x14ac:dyDescent="0.35">
      <c r="A226" s="11">
        <v>40269</v>
      </c>
      <c r="B226" s="15">
        <f>VLOOKUP(A226,Database!A:Q,MATCH($A$1,Database!$A$1:$Q$1,),)</f>
        <v>27767</v>
      </c>
      <c r="C226" s="12">
        <f t="shared" si="6"/>
        <v>-3.0518454689070803E-3</v>
      </c>
      <c r="D226" s="13">
        <f t="shared" si="7"/>
        <v>0.11370928926680571</v>
      </c>
    </row>
    <row r="227" spans="1:4" x14ac:dyDescent="0.35">
      <c r="A227" s="10">
        <v>40299</v>
      </c>
      <c r="B227" s="15">
        <f>VLOOKUP(A227,Database!A:Q,MATCH($A$1,Database!$A$1:$Q$1,),)</f>
        <v>27752</v>
      </c>
      <c r="C227" s="12">
        <f t="shared" si="6"/>
        <v>-5.4020960132531424E-4</v>
      </c>
      <c r="D227" s="13">
        <f t="shared" si="7"/>
        <v>0.1030645097181923</v>
      </c>
    </row>
    <row r="228" spans="1:4" x14ac:dyDescent="0.35">
      <c r="A228" s="11">
        <v>40330</v>
      </c>
      <c r="B228" s="15">
        <f>VLOOKUP(A228,Database!A:Q,MATCH($A$1,Database!$A$1:$Q$1,),)</f>
        <v>28465</v>
      </c>
      <c r="C228" s="12">
        <f t="shared" si="6"/>
        <v>2.5691842029403285E-2</v>
      </c>
      <c r="D228" s="13">
        <f t="shared" si="7"/>
        <v>0.10466470040360136</v>
      </c>
    </row>
    <row r="229" spans="1:4" x14ac:dyDescent="0.35">
      <c r="A229" s="10">
        <v>40360</v>
      </c>
      <c r="B229" s="15">
        <f>VLOOKUP(A229,Database!A:Q,MATCH($A$1,Database!$A$1:$Q$1,),)</f>
        <v>28113</v>
      </c>
      <c r="C229" s="12">
        <f t="shared" si="6"/>
        <v>-1.2366063586861058E-2</v>
      </c>
      <c r="D229" s="13">
        <f t="shared" si="7"/>
        <v>7.6713902719264648E-2</v>
      </c>
    </row>
    <row r="230" spans="1:4" x14ac:dyDescent="0.35">
      <c r="A230" s="11">
        <v>40391</v>
      </c>
      <c r="B230" s="15">
        <f>VLOOKUP(A230,Database!A:Q,MATCH($A$1,Database!$A$1:$Q$1,),)</f>
        <v>28764</v>
      </c>
      <c r="C230" s="12">
        <f t="shared" si="6"/>
        <v>2.3156546793298476E-2</v>
      </c>
      <c r="D230" s="13">
        <f t="shared" si="7"/>
        <v>9.996175908221798E-2</v>
      </c>
    </row>
    <row r="231" spans="1:4" x14ac:dyDescent="0.35">
      <c r="A231" s="10">
        <v>40422</v>
      </c>
      <c r="B231" s="15">
        <f>VLOOKUP(A231,Database!A:Q,MATCH($A$1,Database!$A$1:$Q$1,),)</f>
        <v>28998</v>
      </c>
      <c r="C231" s="12">
        <f t="shared" si="6"/>
        <v>8.135168961201502E-3</v>
      </c>
      <c r="D231" s="13">
        <f t="shared" si="7"/>
        <v>0.10095295948973006</v>
      </c>
    </row>
    <row r="232" spans="1:4" x14ac:dyDescent="0.35">
      <c r="A232" s="11">
        <v>40452</v>
      </c>
      <c r="B232" s="15">
        <f>VLOOKUP(A232,Database!A:Q,MATCH($A$1,Database!$A$1:$Q$1,),)</f>
        <v>28899</v>
      </c>
      <c r="C232" s="12">
        <f t="shared" si="6"/>
        <v>-3.414028553693358E-3</v>
      </c>
      <c r="D232" s="13">
        <f t="shared" si="7"/>
        <v>8.5041676053165122E-2</v>
      </c>
    </row>
    <row r="233" spans="1:4" x14ac:dyDescent="0.35">
      <c r="A233" s="10">
        <v>40483</v>
      </c>
      <c r="B233" s="15">
        <f>VLOOKUP(A233,Database!A:Q,MATCH($A$1,Database!$A$1:$Q$1,),)</f>
        <v>28943</v>
      </c>
      <c r="C233" s="12">
        <f t="shared" si="6"/>
        <v>1.5225440326654901E-3</v>
      </c>
      <c r="D233" s="13">
        <f t="shared" si="7"/>
        <v>8.5389634740868525E-2</v>
      </c>
    </row>
    <row r="234" spans="1:4" x14ac:dyDescent="0.35">
      <c r="A234" s="11">
        <v>40513</v>
      </c>
      <c r="B234" s="15">
        <f>VLOOKUP(A234,Database!A:Q,MATCH($A$1,Database!$A$1:$Q$1,),)</f>
        <v>29646</v>
      </c>
      <c r="C234" s="12">
        <f t="shared" si="6"/>
        <v>2.4289119994471892E-2</v>
      </c>
      <c r="D234" s="13">
        <f t="shared" si="7"/>
        <v>9.8651052475541068E-2</v>
      </c>
    </row>
    <row r="235" spans="1:4" x14ac:dyDescent="0.35">
      <c r="A235" s="10">
        <v>40544</v>
      </c>
      <c r="B235" s="15">
        <f>VLOOKUP(A235,Database!A:Q,MATCH($A$1,Database!$A$1:$Q$1,),)</f>
        <v>30596</v>
      </c>
      <c r="C235" s="12">
        <f t="shared" si="6"/>
        <v>3.2044795250624029E-2</v>
      </c>
      <c r="D235" s="13">
        <f t="shared" si="7"/>
        <v>0.12336613305918637</v>
      </c>
    </row>
    <row r="236" spans="1:4" x14ac:dyDescent="0.35">
      <c r="A236" s="11">
        <v>40575</v>
      </c>
      <c r="B236" s="15">
        <f>VLOOKUP(A236,Database!A:Q,MATCH($A$1,Database!$A$1:$Q$1,),)</f>
        <v>30116</v>
      </c>
      <c r="C236" s="12">
        <f t="shared" si="6"/>
        <v>-1.5688325271277292E-2</v>
      </c>
      <c r="D236" s="13">
        <f t="shared" si="7"/>
        <v>0.10521487027046864</v>
      </c>
    </row>
    <row r="237" spans="1:4" x14ac:dyDescent="0.35">
      <c r="A237" s="10">
        <v>40603</v>
      </c>
      <c r="B237" s="15">
        <f>VLOOKUP(A237,Database!A:Q,MATCH($A$1,Database!$A$1:$Q$1,),)</f>
        <v>30497</v>
      </c>
      <c r="C237" s="12">
        <f t="shared" si="6"/>
        <v>1.2651082481073184E-2</v>
      </c>
      <c r="D237" s="13">
        <f t="shared" si="7"/>
        <v>9.4966250179520317E-2</v>
      </c>
    </row>
    <row r="238" spans="1:4" x14ac:dyDescent="0.35">
      <c r="A238" s="11">
        <v>40634</v>
      </c>
      <c r="B238" s="15">
        <f>VLOOKUP(A238,Database!A:Q,MATCH($A$1,Database!$A$1:$Q$1,),)</f>
        <v>30696</v>
      </c>
      <c r="C238" s="12">
        <f t="shared" si="6"/>
        <v>6.5252319900318068E-3</v>
      </c>
      <c r="D238" s="13">
        <f t="shared" si="7"/>
        <v>0.10548492815212303</v>
      </c>
    </row>
    <row r="239" spans="1:4" x14ac:dyDescent="0.35">
      <c r="A239" s="10">
        <v>40664</v>
      </c>
      <c r="B239" s="15">
        <f>VLOOKUP(A239,Database!A:Q,MATCH($A$1,Database!$A$1:$Q$1,),)</f>
        <v>30943</v>
      </c>
      <c r="C239" s="12">
        <f t="shared" si="6"/>
        <v>8.0466510294500918E-3</v>
      </c>
      <c r="D239" s="13">
        <f t="shared" si="7"/>
        <v>0.11498270394926492</v>
      </c>
    </row>
    <row r="240" spans="1:4" x14ac:dyDescent="0.35">
      <c r="A240" s="11">
        <v>40695</v>
      </c>
      <c r="B240" s="15">
        <f>VLOOKUP(A240,Database!A:Q,MATCH($A$1,Database!$A$1:$Q$1,),)</f>
        <v>31181</v>
      </c>
      <c r="C240" s="12">
        <f t="shared" si="6"/>
        <v>7.6915619041463337E-3</v>
      </c>
      <c r="D240" s="13">
        <f t="shared" si="7"/>
        <v>9.5415422448621112E-2</v>
      </c>
    </row>
    <row r="241" spans="1:4" x14ac:dyDescent="0.35">
      <c r="A241" s="10">
        <v>40725</v>
      </c>
      <c r="B241" s="15">
        <f>VLOOKUP(A241,Database!A:Q,MATCH($A$1,Database!$A$1:$Q$1,),)</f>
        <v>31130</v>
      </c>
      <c r="C241" s="12">
        <f t="shared" si="6"/>
        <v>-1.6356114300375229E-3</v>
      </c>
      <c r="D241" s="13">
        <f t="shared" si="7"/>
        <v>0.1073168996549639</v>
      </c>
    </row>
    <row r="242" spans="1:4" x14ac:dyDescent="0.35">
      <c r="A242" s="11">
        <v>40756</v>
      </c>
      <c r="B242" s="15">
        <f>VLOOKUP(A242,Database!A:Q,MATCH($A$1,Database!$A$1:$Q$1,),)</f>
        <v>31648</v>
      </c>
      <c r="C242" s="12">
        <f t="shared" si="6"/>
        <v>1.663989720526823E-2</v>
      </c>
      <c r="D242" s="13">
        <f t="shared" si="7"/>
        <v>0.10026421916284244</v>
      </c>
    </row>
    <row r="243" spans="1:4" x14ac:dyDescent="0.35">
      <c r="A243" s="10">
        <v>40787</v>
      </c>
      <c r="B243" s="15">
        <f>VLOOKUP(A243,Database!A:Q,MATCH($A$1,Database!$A$1:$Q$1,),)</f>
        <v>31604</v>
      </c>
      <c r="C243" s="12">
        <f t="shared" si="6"/>
        <v>-1.390293225480283E-3</v>
      </c>
      <c r="D243" s="13">
        <f t="shared" si="7"/>
        <v>8.9868266777019104E-2</v>
      </c>
    </row>
    <row r="244" spans="1:4" x14ac:dyDescent="0.35">
      <c r="A244" s="11">
        <v>40817</v>
      </c>
      <c r="B244" s="15">
        <f>VLOOKUP(A244,Database!A:Q,MATCH($A$1,Database!$A$1:$Q$1,),)</f>
        <v>32441</v>
      </c>
      <c r="C244" s="12">
        <f t="shared" si="6"/>
        <v>2.6483989368434376E-2</v>
      </c>
      <c r="D244" s="13">
        <f t="shared" si="7"/>
        <v>0.12256479462957195</v>
      </c>
    </row>
    <row r="245" spans="1:4" x14ac:dyDescent="0.35">
      <c r="A245" s="10">
        <v>40848</v>
      </c>
      <c r="B245" s="15">
        <f>VLOOKUP(A245,Database!A:Q,MATCH($A$1,Database!$A$1:$Q$1,),)</f>
        <v>32722</v>
      </c>
      <c r="C245" s="12">
        <f t="shared" si="6"/>
        <v>8.6618784870996571E-3</v>
      </c>
      <c r="D245" s="13">
        <f t="shared" si="7"/>
        <v>0.13056697647099472</v>
      </c>
    </row>
    <row r="246" spans="1:4" x14ac:dyDescent="0.35">
      <c r="A246" s="11">
        <v>40878</v>
      </c>
      <c r="B246" s="15">
        <f>VLOOKUP(A246,Database!A:Q,MATCH($A$1,Database!$A$1:$Q$1,),)</f>
        <v>32460</v>
      </c>
      <c r="C246" s="12">
        <f t="shared" si="6"/>
        <v>-8.006845547338182E-3</v>
      </c>
      <c r="D246" s="13">
        <f t="shared" si="7"/>
        <v>9.492005666869055E-2</v>
      </c>
    </row>
    <row r="247" spans="1:4" x14ac:dyDescent="0.35">
      <c r="A247" s="10">
        <v>40909</v>
      </c>
      <c r="B247" s="15">
        <f>VLOOKUP(A247,Database!A:Q,MATCH($A$1,Database!$A$1:$Q$1,),)</f>
        <v>32483</v>
      </c>
      <c r="C247" s="12">
        <f t="shared" si="6"/>
        <v>7.0856438693776955E-4</v>
      </c>
      <c r="D247" s="13">
        <f t="shared" si="7"/>
        <v>6.1674728722708849E-2</v>
      </c>
    </row>
    <row r="248" spans="1:4" x14ac:dyDescent="0.35">
      <c r="A248" s="11">
        <v>40940</v>
      </c>
      <c r="B248" s="15">
        <f>VLOOKUP(A248,Database!A:Q,MATCH($A$1,Database!$A$1:$Q$1,),)</f>
        <v>32903</v>
      </c>
      <c r="C248" s="12">
        <f t="shared" si="6"/>
        <v>1.292984022411723E-2</v>
      </c>
      <c r="D248" s="13">
        <f t="shared" si="7"/>
        <v>9.2542170274936913E-2</v>
      </c>
    </row>
    <row r="249" spans="1:4" x14ac:dyDescent="0.35">
      <c r="A249" s="10">
        <v>40969</v>
      </c>
      <c r="B249" s="15">
        <f>VLOOKUP(A249,Database!A:Q,MATCH($A$1,Database!$A$1:$Q$1,),)</f>
        <v>32899</v>
      </c>
      <c r="C249" s="12">
        <f t="shared" si="6"/>
        <v>-1.215694617512081E-4</v>
      </c>
      <c r="D249" s="13">
        <f t="shared" si="7"/>
        <v>7.8761845427419097E-2</v>
      </c>
    </row>
    <row r="250" spans="1:4" x14ac:dyDescent="0.35">
      <c r="A250" s="11">
        <v>41000</v>
      </c>
      <c r="B250" s="15">
        <f>VLOOKUP(A250,Database!A:Q,MATCH($A$1,Database!$A$1:$Q$1,),)</f>
        <v>33185</v>
      </c>
      <c r="C250" s="12">
        <f t="shared" si="6"/>
        <v>8.6932733517736099E-3</v>
      </c>
      <c r="D250" s="13">
        <f t="shared" si="7"/>
        <v>8.1085483450612464E-2</v>
      </c>
    </row>
    <row r="251" spans="1:4" x14ac:dyDescent="0.35">
      <c r="A251" s="10">
        <v>41030</v>
      </c>
      <c r="B251" s="15">
        <f>VLOOKUP(A251,Database!A:Q,MATCH($A$1,Database!$A$1:$Q$1,),)</f>
        <v>33845</v>
      </c>
      <c r="C251" s="12">
        <f t="shared" si="6"/>
        <v>1.9888503842097335E-2</v>
      </c>
      <c r="D251" s="13">
        <f t="shared" si="7"/>
        <v>9.3785347251397727E-2</v>
      </c>
    </row>
    <row r="252" spans="1:4" x14ac:dyDescent="0.35">
      <c r="A252" s="11">
        <v>41061</v>
      </c>
      <c r="B252" s="15">
        <f>VLOOKUP(A252,Database!A:Q,MATCH($A$1,Database!$A$1:$Q$1,),)</f>
        <v>33686</v>
      </c>
      <c r="C252" s="12">
        <f t="shared" si="6"/>
        <v>-4.6978874279804995E-3</v>
      </c>
      <c r="D252" s="13">
        <f t="shared" si="7"/>
        <v>8.0337384945960683E-2</v>
      </c>
    </row>
    <row r="253" spans="1:4" x14ac:dyDescent="0.35">
      <c r="A253" s="10">
        <v>41091</v>
      </c>
      <c r="B253" s="15">
        <f>VLOOKUP(A253,Database!A:Q,MATCH($A$1,Database!$A$1:$Q$1,),)</f>
        <v>34154</v>
      </c>
      <c r="C253" s="12">
        <f t="shared" si="6"/>
        <v>1.3893011933741021E-2</v>
      </c>
      <c r="D253" s="13">
        <f t="shared" si="7"/>
        <v>9.7141021522646961E-2</v>
      </c>
    </row>
    <row r="254" spans="1:4" x14ac:dyDescent="0.35">
      <c r="A254" s="11">
        <v>41122</v>
      </c>
      <c r="B254" s="15">
        <f>VLOOKUP(A254,Database!A:Q,MATCH($A$1,Database!$A$1:$Q$1,),)</f>
        <v>34451</v>
      </c>
      <c r="C254" s="12">
        <f t="shared" si="6"/>
        <v>8.6959067751947068E-3</v>
      </c>
      <c r="D254" s="13">
        <f t="shared" si="7"/>
        <v>8.8567997977755303E-2</v>
      </c>
    </row>
    <row r="255" spans="1:4" x14ac:dyDescent="0.35">
      <c r="A255" s="10">
        <v>41153</v>
      </c>
      <c r="B255" s="15">
        <f>VLOOKUP(A255,Database!A:Q,MATCH($A$1,Database!$A$1:$Q$1,),)</f>
        <v>34766</v>
      </c>
      <c r="C255" s="12">
        <f t="shared" si="6"/>
        <v>9.1434210908246487E-3</v>
      </c>
      <c r="D255" s="13">
        <f t="shared" si="7"/>
        <v>0.1000506265029743</v>
      </c>
    </row>
    <row r="256" spans="1:4" x14ac:dyDescent="0.35">
      <c r="A256" s="11">
        <v>41183</v>
      </c>
      <c r="B256" s="15">
        <f>VLOOKUP(A256,Database!A:Q,MATCH($A$1,Database!$A$1:$Q$1,),)</f>
        <v>34738</v>
      </c>
      <c r="C256" s="12">
        <f t="shared" si="6"/>
        <v>-8.0538457113271591E-4</v>
      </c>
      <c r="D256" s="13">
        <f t="shared" si="7"/>
        <v>7.0805462223729229E-2</v>
      </c>
    </row>
    <row r="257" spans="1:4" x14ac:dyDescent="0.35">
      <c r="A257" s="10">
        <v>41214</v>
      </c>
      <c r="B257" s="15">
        <f>VLOOKUP(A257,Database!A:Q,MATCH($A$1,Database!$A$1:$Q$1,),)</f>
        <v>35177</v>
      </c>
      <c r="C257" s="12">
        <f t="shared" si="6"/>
        <v>1.2637457539294145E-2</v>
      </c>
      <c r="D257" s="13">
        <f t="shared" si="7"/>
        <v>7.5025976407310069E-2</v>
      </c>
    </row>
    <row r="258" spans="1:4" x14ac:dyDescent="0.35">
      <c r="A258" s="11">
        <v>41244</v>
      </c>
      <c r="B258" s="15">
        <f>VLOOKUP(A258,Database!A:Q,MATCH($A$1,Database!$A$1:$Q$1,),)</f>
        <v>35232</v>
      </c>
      <c r="C258" s="12">
        <f t="shared" si="6"/>
        <v>1.5635216192398443E-3</v>
      </c>
      <c r="D258" s="13">
        <f t="shared" si="7"/>
        <v>8.5397412199630318E-2</v>
      </c>
    </row>
    <row r="259" spans="1:4" x14ac:dyDescent="0.35">
      <c r="A259" s="10">
        <v>41275</v>
      </c>
      <c r="B259" s="15">
        <f>VLOOKUP(A259,Database!A:Q,MATCH($A$1,Database!$A$1:$Q$1,),)</f>
        <v>35822</v>
      </c>
      <c r="C259" s="12">
        <f t="shared" si="6"/>
        <v>1.6746139872842871E-2</v>
      </c>
      <c r="D259" s="13">
        <f t="shared" si="7"/>
        <v>0.10279222978173198</v>
      </c>
    </row>
    <row r="260" spans="1:4" x14ac:dyDescent="0.35">
      <c r="A260" s="11">
        <v>41306</v>
      </c>
      <c r="B260" s="15">
        <f>VLOOKUP(A260,Database!A:Q,MATCH($A$1,Database!$A$1:$Q$1,),)</f>
        <v>35555</v>
      </c>
      <c r="C260" s="12">
        <f t="shared" si="6"/>
        <v>-7.4535201831276866E-3</v>
      </c>
      <c r="D260" s="13">
        <f t="shared" si="7"/>
        <v>8.0600553141050968E-2</v>
      </c>
    </row>
    <row r="261" spans="1:4" x14ac:dyDescent="0.35">
      <c r="A261" s="10">
        <v>41334</v>
      </c>
      <c r="B261" s="15">
        <f>VLOOKUP(A261,Database!A:Q,MATCH($A$1,Database!$A$1:$Q$1,),)</f>
        <v>35372</v>
      </c>
      <c r="C261" s="12">
        <f t="shared" si="6"/>
        <v>-5.1469554211784558E-3</v>
      </c>
      <c r="D261" s="13">
        <f t="shared" si="7"/>
        <v>7.516945803823824E-2</v>
      </c>
    </row>
    <row r="262" spans="1:4" x14ac:dyDescent="0.35">
      <c r="A262" s="11">
        <v>41365</v>
      </c>
      <c r="B262" s="15">
        <f>VLOOKUP(A262,Database!A:Q,MATCH($A$1,Database!$A$1:$Q$1,),)</f>
        <v>35134</v>
      </c>
      <c r="C262" s="12">
        <f t="shared" si="6"/>
        <v>-6.7284858079837157E-3</v>
      </c>
      <c r="D262" s="13">
        <f t="shared" si="7"/>
        <v>5.8731354527648036E-2</v>
      </c>
    </row>
    <row r="263" spans="1:4" x14ac:dyDescent="0.35">
      <c r="A263" s="10">
        <v>41395</v>
      </c>
      <c r="B263" s="15">
        <f>VLOOKUP(A263,Database!A:Q,MATCH($A$1,Database!$A$1:$Q$1,),)</f>
        <v>35184</v>
      </c>
      <c r="C263" s="12">
        <f t="shared" si="6"/>
        <v>1.4231229008937211E-3</v>
      </c>
      <c r="D263" s="13">
        <f t="shared" si="7"/>
        <v>3.9562712365194271E-2</v>
      </c>
    </row>
    <row r="264" spans="1:4" x14ac:dyDescent="0.35">
      <c r="A264" s="11">
        <v>41426</v>
      </c>
      <c r="B264" s="15">
        <f>VLOOKUP(A264,Database!A:Q,MATCH($A$1,Database!$A$1:$Q$1,),)</f>
        <v>35194</v>
      </c>
      <c r="C264" s="12">
        <f t="shared" ref="C264:C327" si="8">(B264-B263)/B263</f>
        <v>2.8422010004547523E-4</v>
      </c>
      <c r="D264" s="13">
        <f t="shared" si="7"/>
        <v>4.4766371786498844E-2</v>
      </c>
    </row>
    <row r="265" spans="1:4" x14ac:dyDescent="0.35">
      <c r="A265" s="10">
        <v>41456</v>
      </c>
      <c r="B265" s="15">
        <f>VLOOKUP(A265,Database!A:Q,MATCH($A$1,Database!$A$1:$Q$1,),)</f>
        <v>35608</v>
      </c>
      <c r="C265" s="12">
        <f t="shared" si="8"/>
        <v>1.1763368756037961E-2</v>
      </c>
      <c r="D265" s="13">
        <f t="shared" si="7"/>
        <v>4.2571880306845465E-2</v>
      </c>
    </row>
    <row r="266" spans="1:4" x14ac:dyDescent="0.35">
      <c r="A266" s="11">
        <v>41487</v>
      </c>
      <c r="B266" s="15">
        <f>VLOOKUP(A266,Database!A:Q,MATCH($A$1,Database!$A$1:$Q$1,),)</f>
        <v>35763</v>
      </c>
      <c r="C266" s="12">
        <f t="shared" si="8"/>
        <v>4.3529543922713994E-3</v>
      </c>
      <c r="D266" s="13">
        <f t="shared" si="7"/>
        <v>3.8083074511625209E-2</v>
      </c>
    </row>
    <row r="267" spans="1:4" x14ac:dyDescent="0.35">
      <c r="A267" s="10">
        <v>41518</v>
      </c>
      <c r="B267" s="15">
        <f>VLOOKUP(A267,Database!A:Q,MATCH($A$1,Database!$A$1:$Q$1,),)</f>
        <v>35662</v>
      </c>
      <c r="C267" s="12">
        <f t="shared" si="8"/>
        <v>-2.8241478623158012E-3</v>
      </c>
      <c r="D267" s="13">
        <f t="shared" si="7"/>
        <v>2.5772306276246909E-2</v>
      </c>
    </row>
    <row r="268" spans="1:4" x14ac:dyDescent="0.35">
      <c r="A268" s="11">
        <v>41548</v>
      </c>
      <c r="B268" s="15">
        <f>VLOOKUP(A268,Database!A:Q,MATCH($A$1,Database!$A$1:$Q$1,),)</f>
        <v>35655</v>
      </c>
      <c r="C268" s="12">
        <f t="shared" si="8"/>
        <v>-1.9628736470192362E-4</v>
      </c>
      <c r="D268" s="13">
        <f t="shared" si="7"/>
        <v>2.6397604928320571E-2</v>
      </c>
    </row>
    <row r="269" spans="1:4" x14ac:dyDescent="0.35">
      <c r="A269" s="10">
        <v>41579</v>
      </c>
      <c r="B269" s="15">
        <f>VLOOKUP(A269,Database!A:Q,MATCH($A$1,Database!$A$1:$Q$1,),)</f>
        <v>36542</v>
      </c>
      <c r="C269" s="12">
        <f t="shared" si="8"/>
        <v>2.4877296311877718E-2</v>
      </c>
      <c r="D269" s="13">
        <f t="shared" si="7"/>
        <v>3.8803763822952496E-2</v>
      </c>
    </row>
    <row r="270" spans="1:4" x14ac:dyDescent="0.35">
      <c r="A270" s="11">
        <v>41609</v>
      </c>
      <c r="B270" s="15">
        <f>VLOOKUP(A270,Database!A:Q,MATCH($A$1,Database!$A$1:$Q$1,),)</f>
        <v>37329</v>
      </c>
      <c r="C270" s="12">
        <f t="shared" si="8"/>
        <v>2.1536861693393902E-2</v>
      </c>
      <c r="D270" s="13">
        <f t="shared" si="7"/>
        <v>5.9519754768392372E-2</v>
      </c>
    </row>
    <row r="271" spans="1:4" x14ac:dyDescent="0.35">
      <c r="A271" s="10">
        <v>41640</v>
      </c>
      <c r="B271" s="15">
        <f>VLOOKUP(A271,Database!A:Q,MATCH($A$1,Database!$A$1:$Q$1,),)</f>
        <v>36494</v>
      </c>
      <c r="C271" s="12">
        <f t="shared" si="8"/>
        <v>-2.2368667791797262E-2</v>
      </c>
      <c r="D271" s="13">
        <f t="shared" si="7"/>
        <v>1.8759421584501144E-2</v>
      </c>
    </row>
    <row r="272" spans="1:4" x14ac:dyDescent="0.35">
      <c r="A272" s="11">
        <v>41671</v>
      </c>
      <c r="B272" s="15">
        <f>VLOOKUP(A272,Database!A:Q,MATCH($A$1,Database!$A$1:$Q$1,),)</f>
        <v>37222</v>
      </c>
      <c r="C272" s="12">
        <f t="shared" si="8"/>
        <v>1.9948484682413548E-2</v>
      </c>
      <c r="D272" s="13">
        <f t="shared" si="7"/>
        <v>4.6885107579805935E-2</v>
      </c>
    </row>
    <row r="273" spans="1:4" x14ac:dyDescent="0.35">
      <c r="A273" s="10">
        <v>41699</v>
      </c>
      <c r="B273" s="15">
        <f>VLOOKUP(A273,Database!A:Q,MATCH($A$1,Database!$A$1:$Q$1,),)</f>
        <v>37682</v>
      </c>
      <c r="C273" s="12">
        <f t="shared" si="8"/>
        <v>1.2358282736016335E-2</v>
      </c>
      <c r="D273" s="13">
        <f t="shared" si="7"/>
        <v>6.53058916657243E-2</v>
      </c>
    </row>
    <row r="274" spans="1:4" x14ac:dyDescent="0.35">
      <c r="A274" s="11">
        <v>41730</v>
      </c>
      <c r="B274" s="15">
        <f>VLOOKUP(A274,Database!A:Q,MATCH($A$1,Database!$A$1:$Q$1,),)</f>
        <v>37846</v>
      </c>
      <c r="C274" s="12">
        <f t="shared" si="8"/>
        <v>4.3522106045326683E-3</v>
      </c>
      <c r="D274" s="13">
        <f t="shared" si="7"/>
        <v>7.7190186144475439E-2</v>
      </c>
    </row>
    <row r="275" spans="1:4" x14ac:dyDescent="0.35">
      <c r="A275" s="10">
        <v>41760</v>
      </c>
      <c r="B275" s="15">
        <f>VLOOKUP(A275,Database!A:Q,MATCH($A$1,Database!$A$1:$Q$1,),)</f>
        <v>37955</v>
      </c>
      <c r="C275" s="12">
        <f t="shared" si="8"/>
        <v>2.8800930085081645E-3</v>
      </c>
      <c r="D275" s="13">
        <f t="shared" ref="D275:D338" si="9">(B275-B263)/B263</f>
        <v>7.8757389722601184E-2</v>
      </c>
    </row>
    <row r="276" spans="1:4" x14ac:dyDescent="0.35">
      <c r="A276" s="11">
        <v>41791</v>
      </c>
      <c r="B276" s="15">
        <f>VLOOKUP(A276,Database!A:Q,MATCH($A$1,Database!$A$1:$Q$1,),)</f>
        <v>38559</v>
      </c>
      <c r="C276" s="12">
        <f t="shared" si="8"/>
        <v>1.5913581873270979E-2</v>
      </c>
      <c r="D276" s="13">
        <f t="shared" si="9"/>
        <v>9.5612888560550099E-2</v>
      </c>
    </row>
    <row r="277" spans="1:4" x14ac:dyDescent="0.35">
      <c r="A277" s="10">
        <v>41821</v>
      </c>
      <c r="B277" s="15">
        <f>VLOOKUP(A277,Database!A:Q,MATCH($A$1,Database!$A$1:$Q$1,),)</f>
        <v>38651</v>
      </c>
      <c r="C277" s="12">
        <f t="shared" si="8"/>
        <v>2.3859539925827952E-3</v>
      </c>
      <c r="D277" s="13">
        <f t="shared" si="9"/>
        <v>8.5458323972141093E-2</v>
      </c>
    </row>
    <row r="278" spans="1:4" x14ac:dyDescent="0.35">
      <c r="A278" s="11">
        <v>41852</v>
      </c>
      <c r="B278" s="15">
        <f>VLOOKUP(A278,Database!A:Q,MATCH($A$1,Database!$A$1:$Q$1,),)</f>
        <v>38975</v>
      </c>
      <c r="C278" s="12">
        <f t="shared" si="8"/>
        <v>8.3827067863703406E-3</v>
      </c>
      <c r="D278" s="13">
        <f t="shared" si="9"/>
        <v>8.9813494393647067E-2</v>
      </c>
    </row>
    <row r="279" spans="1:4" x14ac:dyDescent="0.35">
      <c r="A279" s="10">
        <v>41883</v>
      </c>
      <c r="B279" s="15">
        <f>VLOOKUP(A279,Database!A:Q,MATCH($A$1,Database!$A$1:$Q$1,),)</f>
        <v>39185</v>
      </c>
      <c r="C279" s="12">
        <f t="shared" si="8"/>
        <v>5.3880692751763952E-3</v>
      </c>
      <c r="D279" s="13">
        <f t="shared" si="9"/>
        <v>9.8788626549268135E-2</v>
      </c>
    </row>
    <row r="280" spans="1:4" x14ac:dyDescent="0.35">
      <c r="A280" s="11">
        <v>41913</v>
      </c>
      <c r="B280" s="15">
        <f>VLOOKUP(A280,Database!A:Q,MATCH($A$1,Database!$A$1:$Q$1,),)</f>
        <v>39547</v>
      </c>
      <c r="C280" s="12">
        <f t="shared" si="8"/>
        <v>9.2382289141253026E-3</v>
      </c>
      <c r="D280" s="13">
        <f t="shared" si="9"/>
        <v>0.10915720095358294</v>
      </c>
    </row>
    <row r="281" spans="1:4" x14ac:dyDescent="0.35">
      <c r="A281" s="10">
        <v>41944</v>
      </c>
      <c r="B281" s="15">
        <f>VLOOKUP(A281,Database!A:Q,MATCH($A$1,Database!$A$1:$Q$1,),)</f>
        <v>39811</v>
      </c>
      <c r="C281" s="12">
        <f t="shared" si="8"/>
        <v>6.6756011834020277E-3</v>
      </c>
      <c r="D281" s="13">
        <f t="shared" si="9"/>
        <v>8.9458705051721307E-2</v>
      </c>
    </row>
    <row r="282" spans="1:4" x14ac:dyDescent="0.35">
      <c r="A282" s="11">
        <v>41974</v>
      </c>
      <c r="B282" s="15">
        <f>VLOOKUP(A282,Database!A:Q,MATCH($A$1,Database!$A$1:$Q$1,),)</f>
        <v>39845</v>
      </c>
      <c r="C282" s="12">
        <f t="shared" si="8"/>
        <v>8.5403531687222123E-4</v>
      </c>
      <c r="D282" s="13">
        <f t="shared" si="9"/>
        <v>6.7400680436122046E-2</v>
      </c>
    </row>
    <row r="283" spans="1:4" x14ac:dyDescent="0.35">
      <c r="A283" s="10">
        <v>42005</v>
      </c>
      <c r="B283" s="15">
        <f>VLOOKUP(A283,Database!A:Q,MATCH($A$1,Database!$A$1:$Q$1,),)</f>
        <v>39923</v>
      </c>
      <c r="C283" s="12">
        <f t="shared" si="8"/>
        <v>1.9575856443719412E-3</v>
      </c>
      <c r="D283" s="13">
        <f t="shared" si="9"/>
        <v>9.3960651065928644E-2</v>
      </c>
    </row>
    <row r="284" spans="1:4" x14ac:dyDescent="0.35">
      <c r="A284" s="11">
        <v>42036</v>
      </c>
      <c r="B284" s="15">
        <f>VLOOKUP(A284,Database!A:Q,MATCH($A$1,Database!$A$1:$Q$1,),)</f>
        <v>40821</v>
      </c>
      <c r="C284" s="12">
        <f t="shared" si="8"/>
        <v>2.2493299601733338E-2</v>
      </c>
      <c r="D284" s="13">
        <f t="shared" si="9"/>
        <v>9.6690129493310406E-2</v>
      </c>
    </row>
    <row r="285" spans="1:4" x14ac:dyDescent="0.35">
      <c r="A285" s="10">
        <v>42064</v>
      </c>
      <c r="B285" s="15">
        <f>VLOOKUP(A285,Database!A:Q,MATCH($A$1,Database!$A$1:$Q$1,),)</f>
        <v>40614</v>
      </c>
      <c r="C285" s="12">
        <f t="shared" si="8"/>
        <v>-5.0709193797310211E-3</v>
      </c>
      <c r="D285" s="13">
        <f t="shared" si="9"/>
        <v>7.7809033490791366E-2</v>
      </c>
    </row>
    <row r="286" spans="1:4" x14ac:dyDescent="0.35">
      <c r="A286" s="11">
        <v>42095</v>
      </c>
      <c r="B286" s="15">
        <f>VLOOKUP(A286,Database!A:Q,MATCH($A$1,Database!$A$1:$Q$1,),)</f>
        <v>40977</v>
      </c>
      <c r="C286" s="12">
        <f t="shared" si="8"/>
        <v>8.9378046978874272E-3</v>
      </c>
      <c r="D286" s="13">
        <f t="shared" si="9"/>
        <v>8.2730011097606082E-2</v>
      </c>
    </row>
    <row r="287" spans="1:4" x14ac:dyDescent="0.35">
      <c r="A287" s="10">
        <v>42125</v>
      </c>
      <c r="B287" s="15">
        <f>VLOOKUP(A287,Database!A:Q,MATCH($A$1,Database!$A$1:$Q$1,),)</f>
        <v>40687</v>
      </c>
      <c r="C287" s="12">
        <f t="shared" si="8"/>
        <v>-7.0771408351026181E-3</v>
      </c>
      <c r="D287" s="13">
        <f t="shared" si="9"/>
        <v>7.1979976287709135E-2</v>
      </c>
    </row>
    <row r="288" spans="1:4" x14ac:dyDescent="0.35">
      <c r="A288" s="11">
        <v>42156</v>
      </c>
      <c r="B288" s="15">
        <f>VLOOKUP(A288,Database!A:Q,MATCH($A$1,Database!$A$1:$Q$1,),)</f>
        <v>40957</v>
      </c>
      <c r="C288" s="12">
        <f t="shared" si="8"/>
        <v>6.6360262491704965E-3</v>
      </c>
      <c r="D288" s="13">
        <f t="shared" si="9"/>
        <v>6.2190409502321117E-2</v>
      </c>
    </row>
    <row r="289" spans="1:4" x14ac:dyDescent="0.35">
      <c r="A289" s="10">
        <v>42186</v>
      </c>
      <c r="B289" s="15">
        <f>VLOOKUP(A289,Database!A:Q,MATCH($A$1,Database!$A$1:$Q$1,),)</f>
        <v>41636</v>
      </c>
      <c r="C289" s="12">
        <f t="shared" si="8"/>
        <v>1.6578362673047343E-2</v>
      </c>
      <c r="D289" s="13">
        <f t="shared" si="9"/>
        <v>7.7229567152208217E-2</v>
      </c>
    </row>
    <row r="290" spans="1:4" x14ac:dyDescent="0.35">
      <c r="A290" s="11">
        <v>42217</v>
      </c>
      <c r="B290" s="15">
        <f>VLOOKUP(A290,Database!A:Q,MATCH($A$1,Database!$A$1:$Q$1,),)</f>
        <v>41527</v>
      </c>
      <c r="C290" s="12">
        <f t="shared" si="8"/>
        <v>-2.6179267941204725E-3</v>
      </c>
      <c r="D290" s="13">
        <f t="shared" si="9"/>
        <v>6.5477870429762663E-2</v>
      </c>
    </row>
    <row r="291" spans="1:4" x14ac:dyDescent="0.35">
      <c r="A291" s="10">
        <v>42248</v>
      </c>
      <c r="B291" s="15">
        <f>VLOOKUP(A291,Database!A:Q,MATCH($A$1,Database!$A$1:$Q$1,),)</f>
        <v>42038</v>
      </c>
      <c r="C291" s="12">
        <f t="shared" si="8"/>
        <v>1.2305247188576108E-2</v>
      </c>
      <c r="D291" s="13">
        <f t="shared" si="9"/>
        <v>7.2808472629832838E-2</v>
      </c>
    </row>
    <row r="292" spans="1:4" x14ac:dyDescent="0.35">
      <c r="A292" s="11">
        <v>42278</v>
      </c>
      <c r="B292" s="15">
        <f>VLOOKUP(A292,Database!A:Q,MATCH($A$1,Database!$A$1:$Q$1,),)</f>
        <v>42287</v>
      </c>
      <c r="C292" s="12">
        <f t="shared" si="8"/>
        <v>5.9232123316998904E-3</v>
      </c>
      <c r="D292" s="13">
        <f t="shared" si="9"/>
        <v>6.9284648645914992E-2</v>
      </c>
    </row>
    <row r="293" spans="1:4" x14ac:dyDescent="0.35">
      <c r="A293" s="10">
        <v>42309</v>
      </c>
      <c r="B293" s="15">
        <f>VLOOKUP(A293,Database!A:Q,MATCH($A$1,Database!$A$1:$Q$1,),)</f>
        <v>42112</v>
      </c>
      <c r="C293" s="12">
        <f t="shared" si="8"/>
        <v>-4.1383876841582521E-3</v>
      </c>
      <c r="D293" s="13">
        <f t="shared" si="9"/>
        <v>5.7798096003617093E-2</v>
      </c>
    </row>
    <row r="294" spans="1:4" x14ac:dyDescent="0.35">
      <c r="A294" s="11">
        <v>42339</v>
      </c>
      <c r="B294" s="15">
        <f>VLOOKUP(A294,Database!A:Q,MATCH($A$1,Database!$A$1:$Q$1,),)</f>
        <v>42614</v>
      </c>
      <c r="C294" s="12">
        <f t="shared" si="8"/>
        <v>1.1920592705167174E-2</v>
      </c>
      <c r="D294" s="13">
        <f t="shared" si="9"/>
        <v>6.949429037520391E-2</v>
      </c>
    </row>
    <row r="295" spans="1:4" x14ac:dyDescent="0.35">
      <c r="A295" s="10">
        <v>42370</v>
      </c>
      <c r="B295" s="15">
        <f>VLOOKUP(A295,Database!A:Q,MATCH($A$1,Database!$A$1:$Q$1,),)</f>
        <v>43126</v>
      </c>
      <c r="C295" s="12">
        <f t="shared" si="8"/>
        <v>1.2014830806777116E-2</v>
      </c>
      <c r="D295" s="13">
        <f t="shared" si="9"/>
        <v>8.0229441675224805E-2</v>
      </c>
    </row>
    <row r="296" spans="1:4" x14ac:dyDescent="0.35">
      <c r="A296" s="11">
        <v>42401</v>
      </c>
      <c r="B296" s="15">
        <f>VLOOKUP(A296,Database!A:Q,MATCH($A$1,Database!$A$1:$Q$1,),)</f>
        <v>43429</v>
      </c>
      <c r="C296" s="12">
        <f t="shared" si="8"/>
        <v>7.0259240365440805E-3</v>
      </c>
      <c r="D296" s="13">
        <f t="shared" si="9"/>
        <v>6.3888684745596627E-2</v>
      </c>
    </row>
    <row r="297" spans="1:4" x14ac:dyDescent="0.35">
      <c r="A297" s="10">
        <v>42430</v>
      </c>
      <c r="B297" s="15">
        <f>VLOOKUP(A297,Database!A:Q,MATCH($A$1,Database!$A$1:$Q$1,),)</f>
        <v>43585</v>
      </c>
      <c r="C297" s="12">
        <f t="shared" si="8"/>
        <v>3.592069815100509E-3</v>
      </c>
      <c r="D297" s="13">
        <f t="shared" si="9"/>
        <v>7.3152115034224655E-2</v>
      </c>
    </row>
    <row r="298" spans="1:4" x14ac:dyDescent="0.35">
      <c r="A298" s="11">
        <v>42461</v>
      </c>
      <c r="B298" s="15">
        <f>VLOOKUP(A298,Database!A:Q,MATCH($A$1,Database!$A$1:$Q$1,),)</f>
        <v>43979</v>
      </c>
      <c r="C298" s="12">
        <f t="shared" si="8"/>
        <v>9.0398072731444311E-3</v>
      </c>
      <c r="D298" s="13">
        <f t="shared" si="9"/>
        <v>7.3260609610269173E-2</v>
      </c>
    </row>
    <row r="299" spans="1:4" x14ac:dyDescent="0.35">
      <c r="A299" s="10">
        <v>42491</v>
      </c>
      <c r="B299" s="15">
        <f>VLOOKUP(A299,Database!A:Q,MATCH($A$1,Database!$A$1:$Q$1,),)</f>
        <v>44826</v>
      </c>
      <c r="C299" s="12">
        <f t="shared" si="8"/>
        <v>1.9259191887036994E-2</v>
      </c>
      <c r="D299" s="13">
        <f t="shared" si="9"/>
        <v>0.10172782461228402</v>
      </c>
    </row>
    <row r="300" spans="1:4" x14ac:dyDescent="0.35">
      <c r="A300" s="11">
        <v>42522</v>
      </c>
      <c r="B300" s="15">
        <f>VLOOKUP(A300,Database!A:Q,MATCH($A$1,Database!$A$1:$Q$1,),)</f>
        <v>45352</v>
      </c>
      <c r="C300" s="12">
        <f t="shared" si="8"/>
        <v>1.1734261366171419E-2</v>
      </c>
      <c r="D300" s="13">
        <f t="shared" si="9"/>
        <v>0.1073076641355568</v>
      </c>
    </row>
    <row r="301" spans="1:4" x14ac:dyDescent="0.35">
      <c r="A301" s="10">
        <v>42552</v>
      </c>
      <c r="B301" s="15">
        <f>VLOOKUP(A301,Database!A:Q,MATCH($A$1,Database!$A$1:$Q$1,),)</f>
        <v>45204</v>
      </c>
      <c r="C301" s="12">
        <f t="shared" si="8"/>
        <v>-3.2633621449991179E-3</v>
      </c>
      <c r="D301" s="13">
        <f t="shared" si="9"/>
        <v>8.5695071572677486E-2</v>
      </c>
    </row>
    <row r="302" spans="1:4" x14ac:dyDescent="0.35">
      <c r="A302" s="11">
        <v>42583</v>
      </c>
      <c r="B302" s="15">
        <f>VLOOKUP(A302,Database!A:Q,MATCH($A$1,Database!$A$1:$Q$1,),)</f>
        <v>45596</v>
      </c>
      <c r="C302" s="12">
        <f t="shared" si="8"/>
        <v>8.6717989558446149E-3</v>
      </c>
      <c r="D302" s="13">
        <f t="shared" si="9"/>
        <v>9.7984443855804654E-2</v>
      </c>
    </row>
    <row r="303" spans="1:4" x14ac:dyDescent="0.35">
      <c r="A303" s="10">
        <v>42614</v>
      </c>
      <c r="B303" s="15">
        <f>VLOOKUP(A303,Database!A:Q,MATCH($A$1,Database!$A$1:$Q$1,),)</f>
        <v>45978</v>
      </c>
      <c r="C303" s="12">
        <f t="shared" si="8"/>
        <v>8.377927888411265E-3</v>
      </c>
      <c r="D303" s="13">
        <f t="shared" si="9"/>
        <v>9.372472524858462E-2</v>
      </c>
    </row>
    <row r="304" spans="1:4" x14ac:dyDescent="0.35">
      <c r="A304" s="11">
        <v>42644</v>
      </c>
      <c r="B304" s="15">
        <f>VLOOKUP(A304,Database!A:Q,MATCH($A$1,Database!$A$1:$Q$1,),)</f>
        <v>46397</v>
      </c>
      <c r="C304" s="12">
        <f t="shared" si="8"/>
        <v>9.1130540693375086E-3</v>
      </c>
      <c r="D304" s="13">
        <f t="shared" si="9"/>
        <v>9.7192990753659517E-2</v>
      </c>
    </row>
    <row r="305" spans="1:4" x14ac:dyDescent="0.35">
      <c r="A305" s="10">
        <v>42675</v>
      </c>
      <c r="B305" s="15">
        <f>VLOOKUP(A305,Database!A:Q,MATCH($A$1,Database!$A$1:$Q$1,),)</f>
        <v>46452</v>
      </c>
      <c r="C305" s="12">
        <f t="shared" si="8"/>
        <v>1.1854214712158115E-3</v>
      </c>
      <c r="D305" s="13">
        <f t="shared" si="9"/>
        <v>0.10305851063829788</v>
      </c>
    </row>
    <row r="306" spans="1:4" x14ac:dyDescent="0.35">
      <c r="A306" s="11">
        <v>42705</v>
      </c>
      <c r="B306" s="15">
        <f>VLOOKUP(A306,Database!A:Q,MATCH($A$1,Database!$A$1:$Q$1,),)</f>
        <v>48167</v>
      </c>
      <c r="C306" s="12">
        <f t="shared" si="8"/>
        <v>3.6919831223628692E-2</v>
      </c>
      <c r="D306" s="13">
        <f t="shared" si="9"/>
        <v>0.13030928802740882</v>
      </c>
    </row>
    <row r="307" spans="1:4" x14ac:dyDescent="0.35">
      <c r="A307" s="10">
        <v>42736</v>
      </c>
      <c r="B307" s="15">
        <f>VLOOKUP(A307,Database!A:Q,MATCH($A$1,Database!$A$1:$Q$1,),)</f>
        <v>48082</v>
      </c>
      <c r="C307" s="12">
        <f t="shared" si="8"/>
        <v>-1.7646936699400005E-3</v>
      </c>
      <c r="D307" s="13">
        <f t="shared" si="9"/>
        <v>0.11491907434030516</v>
      </c>
    </row>
    <row r="308" spans="1:4" x14ac:dyDescent="0.35">
      <c r="A308" s="11">
        <v>42767</v>
      </c>
      <c r="B308" s="15">
        <f>VLOOKUP(A308,Database!A:Q,MATCH($A$1,Database!$A$1:$Q$1,),)</f>
        <v>48270</v>
      </c>
      <c r="C308" s="12">
        <f t="shared" si="8"/>
        <v>3.9099871053616736E-3</v>
      </c>
      <c r="D308" s="13">
        <f t="shared" si="9"/>
        <v>0.11146929471090745</v>
      </c>
    </row>
    <row r="309" spans="1:4" x14ac:dyDescent="0.35">
      <c r="A309" s="10">
        <v>42795</v>
      </c>
      <c r="B309" s="15">
        <f>VLOOKUP(A309,Database!A:Q,MATCH($A$1,Database!$A$1:$Q$1,),)</f>
        <v>48919</v>
      </c>
      <c r="C309" s="12">
        <f t="shared" si="8"/>
        <v>1.3445204060493059E-2</v>
      </c>
      <c r="D309" s="13">
        <f t="shared" si="9"/>
        <v>0.1223815532866812</v>
      </c>
    </row>
    <row r="310" spans="1:4" x14ac:dyDescent="0.35">
      <c r="A310" s="11">
        <v>42826</v>
      </c>
      <c r="B310" s="15">
        <f>VLOOKUP(A310,Database!A:Q,MATCH($A$1,Database!$A$1:$Q$1,),)</f>
        <v>49435</v>
      </c>
      <c r="C310" s="12">
        <f t="shared" si="8"/>
        <v>1.0548048815388704E-2</v>
      </c>
      <c r="D310" s="13">
        <f t="shared" si="9"/>
        <v>0.12405921007753701</v>
      </c>
    </row>
    <row r="311" spans="1:4" x14ac:dyDescent="0.35">
      <c r="A311" s="10">
        <v>42856</v>
      </c>
      <c r="B311" s="15">
        <f>VLOOKUP(A311,Database!A:Q,MATCH($A$1,Database!$A$1:$Q$1,),)</f>
        <v>49924</v>
      </c>
      <c r="C311" s="12">
        <f t="shared" si="8"/>
        <v>9.8917770810154747E-3</v>
      </c>
      <c r="D311" s="13">
        <f t="shared" si="9"/>
        <v>0.11372863962878686</v>
      </c>
    </row>
    <row r="312" spans="1:4" x14ac:dyDescent="0.35">
      <c r="A312" s="11">
        <v>42887</v>
      </c>
      <c r="B312" s="15">
        <f>VLOOKUP(A312,Database!A:Q,MATCH($A$1,Database!$A$1:$Q$1,),)</f>
        <v>50255</v>
      </c>
      <c r="C312" s="12">
        <f t="shared" si="8"/>
        <v>6.6300777181315601E-3</v>
      </c>
      <c r="D312" s="13">
        <f t="shared" si="9"/>
        <v>0.10810989592520727</v>
      </c>
    </row>
    <row r="313" spans="1:4" x14ac:dyDescent="0.35">
      <c r="A313" s="10">
        <v>42917</v>
      </c>
      <c r="B313" s="15">
        <f>VLOOKUP(A313,Database!A:Q,MATCH($A$1,Database!$A$1:$Q$1,),)</f>
        <v>50606</v>
      </c>
      <c r="C313" s="12">
        <f t="shared" si="8"/>
        <v>6.9843796637150532E-3</v>
      </c>
      <c r="D313" s="13">
        <f t="shared" si="9"/>
        <v>0.11950269887620564</v>
      </c>
    </row>
    <row r="314" spans="1:4" x14ac:dyDescent="0.35">
      <c r="A314" s="11">
        <v>42948</v>
      </c>
      <c r="B314" s="15">
        <f>VLOOKUP(A314,Database!A:Q,MATCH($A$1,Database!$A$1:$Q$1,),)</f>
        <v>50947</v>
      </c>
      <c r="C314" s="12">
        <f t="shared" si="8"/>
        <v>6.7383314231514047E-3</v>
      </c>
      <c r="D314" s="13">
        <f t="shared" si="9"/>
        <v>0.11735678568295464</v>
      </c>
    </row>
    <row r="315" spans="1:4" x14ac:dyDescent="0.35">
      <c r="A315" s="10">
        <v>42979</v>
      </c>
      <c r="B315" s="15">
        <f>VLOOKUP(A315,Database!A:Q,MATCH($A$1,Database!$A$1:$Q$1,),)</f>
        <v>51433</v>
      </c>
      <c r="C315" s="12">
        <f t="shared" si="8"/>
        <v>9.5393251810705244E-3</v>
      </c>
      <c r="D315" s="13">
        <f t="shared" si="9"/>
        <v>0.11864369916046805</v>
      </c>
    </row>
    <row r="316" spans="1:4" x14ac:dyDescent="0.35">
      <c r="A316" s="11">
        <v>43009</v>
      </c>
      <c r="B316" s="15">
        <f>VLOOKUP(A316,Database!A:Q,MATCH($A$1,Database!$A$1:$Q$1,),)</f>
        <v>50938</v>
      </c>
      <c r="C316" s="12">
        <f t="shared" si="8"/>
        <v>-9.6241712519199735E-3</v>
      </c>
      <c r="D316" s="13">
        <f t="shared" si="9"/>
        <v>9.7872707287109076E-2</v>
      </c>
    </row>
    <row r="317" spans="1:4" x14ac:dyDescent="0.35">
      <c r="A317" s="10">
        <v>43040</v>
      </c>
      <c r="B317" s="15">
        <f>VLOOKUP(A317,Database!A:Q,MATCH($A$1,Database!$A$1:$Q$1,),)</f>
        <v>53336</v>
      </c>
      <c r="C317" s="12">
        <f t="shared" si="8"/>
        <v>4.707683850956064E-2</v>
      </c>
      <c r="D317" s="13">
        <f t="shared" si="9"/>
        <v>0.14819598725566177</v>
      </c>
    </row>
    <row r="318" spans="1:4" x14ac:dyDescent="0.35">
      <c r="A318" s="11">
        <v>43070</v>
      </c>
      <c r="B318" s="15">
        <f>VLOOKUP(A318,Database!A:Q,MATCH($A$1,Database!$A$1:$Q$1,),)</f>
        <v>55188</v>
      </c>
      <c r="C318" s="12">
        <f t="shared" si="8"/>
        <v>3.4723263836808162E-2</v>
      </c>
      <c r="D318" s="13">
        <f t="shared" si="9"/>
        <v>0.14576369713704404</v>
      </c>
    </row>
    <row r="319" spans="1:4" x14ac:dyDescent="0.35">
      <c r="A319" s="10">
        <v>43101</v>
      </c>
      <c r="B319" s="15">
        <f>VLOOKUP(A319,Database!A:Q,MATCH($A$1,Database!$A$1:$Q$1,),)</f>
        <v>54273</v>
      </c>
      <c r="C319" s="12">
        <f t="shared" si="8"/>
        <v>-1.6579691237225483E-2</v>
      </c>
      <c r="D319" s="13">
        <f t="shared" si="9"/>
        <v>0.12875920302816021</v>
      </c>
    </row>
    <row r="320" spans="1:4" x14ac:dyDescent="0.35">
      <c r="A320" s="11">
        <v>43132</v>
      </c>
      <c r="B320" s="15">
        <f>VLOOKUP(A320,Database!A:Q,MATCH($A$1,Database!$A$1:$Q$1,),)</f>
        <v>54595</v>
      </c>
      <c r="C320" s="12">
        <f t="shared" si="8"/>
        <v>5.9329685110460079E-3</v>
      </c>
      <c r="D320" s="13">
        <f t="shared" si="9"/>
        <v>0.13103376838616118</v>
      </c>
    </row>
    <row r="321" spans="1:4" x14ac:dyDescent="0.35">
      <c r="A321" s="10">
        <v>43160</v>
      </c>
      <c r="B321" s="15">
        <f>VLOOKUP(A321,Database!A:Q,MATCH($A$1,Database!$A$1:$Q$1,),)</f>
        <v>55486</v>
      </c>
      <c r="C321" s="12">
        <f t="shared" si="8"/>
        <v>1.6320175840278412E-2</v>
      </c>
      <c r="D321" s="13">
        <f t="shared" si="9"/>
        <v>0.13424231893538299</v>
      </c>
    </row>
    <row r="322" spans="1:4" x14ac:dyDescent="0.35">
      <c r="A322" s="11">
        <v>43191</v>
      </c>
      <c r="B322" s="15">
        <f>VLOOKUP(A322,Database!A:Q,MATCH($A$1,Database!$A$1:$Q$1,),)</f>
        <v>55831</v>
      </c>
      <c r="C322" s="12">
        <f t="shared" si="8"/>
        <v>6.2177846664023357E-3</v>
      </c>
      <c r="D322" s="13">
        <f t="shared" si="9"/>
        <v>0.12938201678972389</v>
      </c>
    </row>
    <row r="323" spans="1:4" x14ac:dyDescent="0.35">
      <c r="A323" s="10">
        <v>43221</v>
      </c>
      <c r="B323" s="15">
        <f>VLOOKUP(A323,Database!A:Q,MATCH($A$1,Database!$A$1:$Q$1,),)</f>
        <v>55791</v>
      </c>
      <c r="C323" s="12">
        <f t="shared" si="8"/>
        <v>-7.1644785155200517E-4</v>
      </c>
      <c r="D323" s="13">
        <f t="shared" si="9"/>
        <v>0.11751862831503886</v>
      </c>
    </row>
    <row r="324" spans="1:4" x14ac:dyDescent="0.35">
      <c r="A324" s="11">
        <v>43252</v>
      </c>
      <c r="B324" s="15">
        <f>VLOOKUP(A324,Database!A:Q,MATCH($A$1,Database!$A$1:$Q$1,),)</f>
        <v>55728</v>
      </c>
      <c r="C324" s="12">
        <f t="shared" si="8"/>
        <v>-1.129214389417648E-3</v>
      </c>
      <c r="D324" s="13">
        <f t="shared" si="9"/>
        <v>0.10890458660829769</v>
      </c>
    </row>
    <row r="325" spans="1:4" x14ac:dyDescent="0.35">
      <c r="A325" s="10">
        <v>43282</v>
      </c>
      <c r="B325" s="15">
        <f>VLOOKUP(A325,Database!A:Q,MATCH($A$1,Database!$A$1:$Q$1,),)</f>
        <v>56803</v>
      </c>
      <c r="C325" s="12">
        <f t="shared" si="8"/>
        <v>1.9290123456790122E-2</v>
      </c>
      <c r="D325" s="13">
        <f t="shared" si="9"/>
        <v>0.12245583527644943</v>
      </c>
    </row>
    <row r="326" spans="1:4" x14ac:dyDescent="0.35">
      <c r="A326" s="11">
        <v>43313</v>
      </c>
      <c r="B326" s="15">
        <f>VLOOKUP(A326,Database!A:Q,MATCH($A$1,Database!$A$1:$Q$1,),)</f>
        <v>57127</v>
      </c>
      <c r="C326" s="12">
        <f t="shared" si="8"/>
        <v>5.703924088516452E-3</v>
      </c>
      <c r="D326" s="13">
        <f t="shared" si="9"/>
        <v>0.12130253008027951</v>
      </c>
    </row>
    <row r="327" spans="1:4" x14ac:dyDescent="0.35">
      <c r="A327" s="10">
        <v>43344</v>
      </c>
      <c r="B327" s="15">
        <f>VLOOKUP(A327,Database!A:Q,MATCH($A$1,Database!$A$1:$Q$1,),)</f>
        <v>57839</v>
      </c>
      <c r="C327" s="12">
        <f t="shared" si="8"/>
        <v>1.246345860976421E-2</v>
      </c>
      <c r="D327" s="13">
        <f t="shared" si="9"/>
        <v>0.12455038593898858</v>
      </c>
    </row>
    <row r="328" spans="1:4" x14ac:dyDescent="0.35">
      <c r="A328" s="11">
        <v>43374</v>
      </c>
      <c r="B328" s="15">
        <f>VLOOKUP(A328,Database!A:Q,MATCH($A$1,Database!$A$1:$Q$1,),)</f>
        <v>58059</v>
      </c>
      <c r="C328" s="12">
        <f t="shared" ref="C328:C391" si="10">(B328-B327)/B327</f>
        <v>3.8036618890368089E-3</v>
      </c>
      <c r="D328" s="13">
        <f t="shared" si="9"/>
        <v>0.13979740076171032</v>
      </c>
    </row>
    <row r="329" spans="1:4" x14ac:dyDescent="0.35">
      <c r="A329" s="10">
        <v>43405</v>
      </c>
      <c r="B329" s="15">
        <f>VLOOKUP(A329,Database!A:Q,MATCH($A$1,Database!$A$1:$Q$1,),)</f>
        <v>59497</v>
      </c>
      <c r="C329" s="12">
        <f t="shared" si="10"/>
        <v>2.4767908506863709E-2</v>
      </c>
      <c r="D329" s="13">
        <f t="shared" si="9"/>
        <v>0.11551297435128244</v>
      </c>
    </row>
    <row r="330" spans="1:4" x14ac:dyDescent="0.35">
      <c r="A330" s="11">
        <v>43435</v>
      </c>
      <c r="B330" s="15">
        <f>VLOOKUP(A330,Database!A:Q,MATCH($A$1,Database!$A$1:$Q$1,),)</f>
        <v>55333</v>
      </c>
      <c r="C330" s="12">
        <f t="shared" si="10"/>
        <v>-6.998672201959763E-2</v>
      </c>
      <c r="D330" s="13">
        <f t="shared" si="9"/>
        <v>2.6273827643690656E-3</v>
      </c>
    </row>
    <row r="331" spans="1:4" x14ac:dyDescent="0.35">
      <c r="A331" s="10">
        <v>43466</v>
      </c>
      <c r="B331" s="15">
        <f>VLOOKUP(A331,Database!A:Q,MATCH($A$1,Database!$A$1:$Q$1,),)</f>
        <v>59084</v>
      </c>
      <c r="C331" s="12">
        <f t="shared" si="10"/>
        <v>6.7789564997379509E-2</v>
      </c>
      <c r="D331" s="13">
        <f t="shared" si="9"/>
        <v>8.8644445672802316E-2</v>
      </c>
    </row>
    <row r="332" spans="1:4" x14ac:dyDescent="0.35">
      <c r="A332" s="11">
        <v>43497</v>
      </c>
      <c r="B332" s="15">
        <f>VLOOKUP(A332,Database!A:Q,MATCH($A$1,Database!$A$1:$Q$1,),)</f>
        <v>59819</v>
      </c>
      <c r="C332" s="12">
        <f t="shared" si="10"/>
        <v>1.243991605172297E-2</v>
      </c>
      <c r="D332" s="13">
        <f t="shared" si="9"/>
        <v>9.5686418170162102E-2</v>
      </c>
    </row>
    <row r="333" spans="1:4" x14ac:dyDescent="0.35">
      <c r="A333" s="10">
        <v>43525</v>
      </c>
      <c r="B333" s="15">
        <f>VLOOKUP(A333,Database!A:Q,MATCH($A$1,Database!$A$1:$Q$1,),)</f>
        <v>60006</v>
      </c>
      <c r="C333" s="12">
        <f t="shared" si="10"/>
        <v>3.1260970594627125E-3</v>
      </c>
      <c r="D333" s="13">
        <f t="shared" si="9"/>
        <v>8.1461990411995824E-2</v>
      </c>
    </row>
    <row r="334" spans="1:4" x14ac:dyDescent="0.35">
      <c r="A334" s="11">
        <v>43556</v>
      </c>
      <c r="B334" s="15">
        <f>VLOOKUP(A334,Database!A:Q,MATCH($A$1,Database!$A$1:$Q$1,),)</f>
        <v>59864</v>
      </c>
      <c r="C334" s="12">
        <f t="shared" si="10"/>
        <v>-2.3664300236643002E-3</v>
      </c>
      <c r="D334" s="13">
        <f t="shared" si="9"/>
        <v>7.2235854632730925E-2</v>
      </c>
    </row>
    <row r="335" spans="1:4" x14ac:dyDescent="0.35">
      <c r="A335" s="10">
        <v>43586</v>
      </c>
      <c r="B335" s="15">
        <f>VLOOKUP(A335,Database!A:Q,MATCH($A$1,Database!$A$1:$Q$1,),)</f>
        <v>61676</v>
      </c>
      <c r="C335" s="12">
        <f t="shared" si="10"/>
        <v>3.0268608846719232E-2</v>
      </c>
      <c r="D335" s="13">
        <f t="shared" si="9"/>
        <v>0.10548296320195014</v>
      </c>
    </row>
    <row r="336" spans="1:4" x14ac:dyDescent="0.35">
      <c r="A336" s="11">
        <v>43617</v>
      </c>
      <c r="B336" s="15">
        <f>VLOOKUP(A336,Database!A:Q,MATCH($A$1,Database!$A$1:$Q$1,),)</f>
        <v>62748</v>
      </c>
      <c r="C336" s="12">
        <f t="shared" si="10"/>
        <v>1.7381153122770606E-2</v>
      </c>
      <c r="D336" s="13">
        <f t="shared" si="9"/>
        <v>0.12596899224806202</v>
      </c>
    </row>
    <row r="337" spans="1:4" x14ac:dyDescent="0.35">
      <c r="A337" s="10">
        <v>43647</v>
      </c>
      <c r="B337" s="15">
        <f>VLOOKUP(A337,Database!A:Q,MATCH($A$1,Database!$A$1:$Q$1,),)</f>
        <v>63746</v>
      </c>
      <c r="C337" s="12">
        <f t="shared" si="10"/>
        <v>1.5904889398865304E-2</v>
      </c>
      <c r="D337" s="13">
        <f t="shared" si="9"/>
        <v>0.12222945971163494</v>
      </c>
    </row>
    <row r="338" spans="1:4" x14ac:dyDescent="0.35">
      <c r="A338" s="11">
        <v>43678</v>
      </c>
      <c r="B338" s="15">
        <f>VLOOKUP(A338,Database!A:Q,MATCH($A$1,Database!$A$1:$Q$1,),)</f>
        <v>63727</v>
      </c>
      <c r="C338" s="12">
        <f t="shared" si="10"/>
        <v>-2.980579173595206E-4</v>
      </c>
      <c r="D338" s="13">
        <f t="shared" si="9"/>
        <v>0.11553206014669071</v>
      </c>
    </row>
    <row r="339" spans="1:4" x14ac:dyDescent="0.35">
      <c r="A339" s="10">
        <v>43709</v>
      </c>
      <c r="B339" s="15">
        <f>VLOOKUP(A339,Database!A:Q,MATCH($A$1,Database!$A$1:$Q$1,),)</f>
        <v>63995</v>
      </c>
      <c r="C339" s="12">
        <f t="shared" si="10"/>
        <v>4.205438824987839E-3</v>
      </c>
      <c r="D339" s="13">
        <f t="shared" ref="D339:D402" si="11">(B339-B327)/B327</f>
        <v>0.10643337540413908</v>
      </c>
    </row>
    <row r="340" spans="1:4" x14ac:dyDescent="0.35">
      <c r="A340" s="11">
        <v>43739</v>
      </c>
      <c r="B340" s="15">
        <f>VLOOKUP(A340,Database!A:Q,MATCH($A$1,Database!$A$1:$Q$1,),)</f>
        <v>64346</v>
      </c>
      <c r="C340" s="12">
        <f t="shared" si="10"/>
        <v>5.4848035002734588E-3</v>
      </c>
      <c r="D340" s="13">
        <f t="shared" si="11"/>
        <v>0.10828639831895141</v>
      </c>
    </row>
    <row r="341" spans="1:4" x14ac:dyDescent="0.35">
      <c r="A341" s="10">
        <v>43770</v>
      </c>
      <c r="B341" s="15">
        <f>VLOOKUP(A341,Database!A:Q,MATCH($A$1,Database!$A$1:$Q$1,),)</f>
        <v>64466</v>
      </c>
      <c r="C341" s="12">
        <f t="shared" si="10"/>
        <v>1.8649177882075032E-3</v>
      </c>
      <c r="D341" s="13">
        <f t="shared" si="11"/>
        <v>8.3516815973914652E-2</v>
      </c>
    </row>
    <row r="342" spans="1:4" x14ac:dyDescent="0.35">
      <c r="A342" s="11">
        <v>43800</v>
      </c>
      <c r="B342" s="15">
        <f>VLOOKUP(A342,Database!A:Q,MATCH($A$1,Database!$A$1:$Q$1,),)</f>
        <v>66026</v>
      </c>
      <c r="C342" s="12">
        <f t="shared" si="10"/>
        <v>2.4198802469518815E-2</v>
      </c>
      <c r="D342" s="13">
        <f t="shared" si="11"/>
        <v>0.19324815209730178</v>
      </c>
    </row>
    <row r="343" spans="1:4" x14ac:dyDescent="0.35">
      <c r="A343" s="10">
        <v>43831</v>
      </c>
      <c r="B343" s="15">
        <f>VLOOKUP(A343,Database!A:Q,MATCH($A$1,Database!$A$1:$Q$1,),)</f>
        <v>64673</v>
      </c>
      <c r="C343" s="12">
        <f t="shared" si="10"/>
        <v>-2.0491927422530518E-2</v>
      </c>
      <c r="D343" s="13">
        <f t="shared" si="11"/>
        <v>9.4594137160652625E-2</v>
      </c>
    </row>
    <row r="344" spans="1:4" x14ac:dyDescent="0.35">
      <c r="A344" s="11">
        <v>43862</v>
      </c>
      <c r="B344" s="15">
        <f>VLOOKUP(A344,Database!A:Q,MATCH($A$1,Database!$A$1:$Q$1,),)</f>
        <v>66932</v>
      </c>
      <c r="C344" s="12">
        <f t="shared" si="10"/>
        <v>3.4929568753575682E-2</v>
      </c>
      <c r="D344" s="13">
        <f t="shared" si="11"/>
        <v>0.11890870793560575</v>
      </c>
    </row>
    <row r="345" spans="1:4" x14ac:dyDescent="0.35">
      <c r="A345" s="10">
        <v>43891</v>
      </c>
      <c r="B345" s="15">
        <f>VLOOKUP(A345,Database!A:Q,MATCH($A$1,Database!$A$1:$Q$1,),)</f>
        <v>71863</v>
      </c>
      <c r="C345" s="12">
        <f t="shared" si="10"/>
        <v>7.3671786290563562E-2</v>
      </c>
      <c r="D345" s="13">
        <f t="shared" si="11"/>
        <v>0.19759690697596907</v>
      </c>
    </row>
    <row r="346" spans="1:4" x14ac:dyDescent="0.35">
      <c r="A346" s="11">
        <v>43922</v>
      </c>
      <c r="B346" s="15">
        <f>VLOOKUP(A346,Database!A:Q,MATCH($A$1,Database!$A$1:$Q$1,),)</f>
        <v>76674</v>
      </c>
      <c r="C346" s="12">
        <f t="shared" si="10"/>
        <v>6.6946829383688414E-2</v>
      </c>
      <c r="D346" s="13">
        <f t="shared" si="11"/>
        <v>0.28080315381531473</v>
      </c>
    </row>
    <row r="347" spans="1:4" x14ac:dyDescent="0.35">
      <c r="A347" s="10">
        <v>43952</v>
      </c>
      <c r="B347" s="15">
        <f>VLOOKUP(A347,Database!A:Q,MATCH($A$1,Database!$A$1:$Q$1,),)</f>
        <v>84419</v>
      </c>
      <c r="C347" s="12">
        <f t="shared" si="10"/>
        <v>0.10101207710566815</v>
      </c>
      <c r="D347" s="13">
        <f t="shared" si="11"/>
        <v>0.36874959465594398</v>
      </c>
    </row>
    <row r="348" spans="1:4" x14ac:dyDescent="0.35">
      <c r="A348" s="11">
        <v>43983</v>
      </c>
      <c r="B348" s="15">
        <f>VLOOKUP(A348,Database!A:Q,MATCH($A$1,Database!$A$1:$Q$1,),)</f>
        <v>82753</v>
      </c>
      <c r="C348" s="12">
        <f t="shared" si="10"/>
        <v>-1.9734893803527644E-2</v>
      </c>
      <c r="D348" s="13">
        <f t="shared" si="11"/>
        <v>0.31881494230891821</v>
      </c>
    </row>
    <row r="349" spans="1:4" x14ac:dyDescent="0.35">
      <c r="A349" s="10">
        <v>44013</v>
      </c>
      <c r="B349" s="15">
        <f>VLOOKUP(A349,Database!A:Q,MATCH($A$1,Database!$A$1:$Q$1,),)</f>
        <v>87256</v>
      </c>
      <c r="C349" s="12">
        <f t="shared" si="10"/>
        <v>5.4414945681727549E-2</v>
      </c>
      <c r="D349" s="13">
        <f t="shared" si="11"/>
        <v>0.36880745458538577</v>
      </c>
    </row>
    <row r="350" spans="1:4" x14ac:dyDescent="0.35">
      <c r="A350" s="11">
        <v>44044</v>
      </c>
      <c r="B350" s="15">
        <f>VLOOKUP(A350,Database!A:Q,MATCH($A$1,Database!$A$1:$Q$1,),)</f>
        <v>87790</v>
      </c>
      <c r="C350" s="12">
        <f t="shared" si="10"/>
        <v>6.1199229852388374E-3</v>
      </c>
      <c r="D350" s="13">
        <f t="shared" si="11"/>
        <v>0.37759505390179987</v>
      </c>
    </row>
    <row r="351" spans="1:4" x14ac:dyDescent="0.35">
      <c r="A351" s="10">
        <v>44075</v>
      </c>
      <c r="B351" s="15">
        <f>VLOOKUP(A351,Database!A:Q,MATCH($A$1,Database!$A$1:$Q$1,),)</f>
        <v>88022</v>
      </c>
      <c r="C351" s="12">
        <f t="shared" si="10"/>
        <v>2.6426700079735734E-3</v>
      </c>
      <c r="D351" s="13">
        <f t="shared" si="11"/>
        <v>0.37545120712555669</v>
      </c>
    </row>
    <row r="352" spans="1:4" x14ac:dyDescent="0.35">
      <c r="A352" s="11">
        <v>44105</v>
      </c>
      <c r="B352" s="15">
        <f>VLOOKUP(A352,Database!A:Q,MATCH($A$1,Database!$A$1:$Q$1,),)</f>
        <v>88693</v>
      </c>
      <c r="C352" s="12">
        <f t="shared" si="10"/>
        <v>7.6230942264433887E-3</v>
      </c>
      <c r="D352" s="13">
        <f t="shared" si="11"/>
        <v>0.378376278245734</v>
      </c>
    </row>
    <row r="353" spans="1:4" x14ac:dyDescent="0.35">
      <c r="A353" s="10">
        <v>44136</v>
      </c>
      <c r="B353" s="15">
        <f>VLOOKUP(A353,Database!A:Q,MATCH($A$1,Database!$A$1:$Q$1,),)</f>
        <v>88465</v>
      </c>
      <c r="C353" s="12">
        <f t="shared" si="10"/>
        <v>-2.5706651032212239E-3</v>
      </c>
      <c r="D353" s="13">
        <f t="shared" si="11"/>
        <v>0.37227375670896284</v>
      </c>
    </row>
    <row r="354" spans="1:4" x14ac:dyDescent="0.35">
      <c r="A354" s="11">
        <v>44166</v>
      </c>
      <c r="B354" s="15">
        <f>VLOOKUP(A354,Database!A:Q,MATCH($A$1,Database!$A$1:$Q$1,),)</f>
        <v>85101</v>
      </c>
      <c r="C354" s="12">
        <f t="shared" si="10"/>
        <v>-3.8026338099813484E-2</v>
      </c>
      <c r="D354" s="13">
        <f t="shared" si="11"/>
        <v>0.28890134189561689</v>
      </c>
    </row>
    <row r="355" spans="1:4" x14ac:dyDescent="0.35">
      <c r="A355" s="10">
        <v>44197</v>
      </c>
      <c r="B355" s="15">
        <f>VLOOKUP(A355,Database!A:Q,MATCH($A$1,Database!$A$1:$Q$1,),)</f>
        <v>91081</v>
      </c>
      <c r="C355" s="12">
        <f t="shared" si="10"/>
        <v>7.0269444542367304E-2</v>
      </c>
      <c r="D355" s="13">
        <f t="shared" si="11"/>
        <v>0.40833114282621807</v>
      </c>
    </row>
    <row r="356" spans="1:4" x14ac:dyDescent="0.35">
      <c r="A356" s="11">
        <v>44228</v>
      </c>
      <c r="B356" s="15">
        <f>VLOOKUP(A356,Database!A:Q,MATCH($A$1,Database!$A$1:$Q$1,),)</f>
        <v>90997</v>
      </c>
      <c r="C356" s="12">
        <f t="shared" si="10"/>
        <v>-9.2225601387775711E-4</v>
      </c>
      <c r="D356" s="13">
        <f t="shared" si="11"/>
        <v>0.35954401482101239</v>
      </c>
    </row>
    <row r="357" spans="1:4" x14ac:dyDescent="0.35">
      <c r="A357" s="10">
        <v>44256</v>
      </c>
      <c r="B357" s="15">
        <f>VLOOKUP(A357,Database!A:Q,MATCH($A$1,Database!$A$1:$Q$1,),)</f>
        <v>99351</v>
      </c>
      <c r="C357" s="12">
        <f t="shared" si="10"/>
        <v>9.1805224348055436E-2</v>
      </c>
      <c r="D357" s="13">
        <f t="shared" si="11"/>
        <v>0.38250560093511266</v>
      </c>
    </row>
    <row r="358" spans="1:4" x14ac:dyDescent="0.35">
      <c r="A358" s="11">
        <v>44287</v>
      </c>
      <c r="B358" s="15">
        <f>VLOOKUP(A358,Database!A:Q,MATCH($A$1,Database!$A$1:$Q$1,),)</f>
        <v>95121</v>
      </c>
      <c r="C358" s="12">
        <f t="shared" si="10"/>
        <v>-4.2576320318869459E-2</v>
      </c>
      <c r="D358" s="13">
        <f t="shared" si="11"/>
        <v>0.24059003051881994</v>
      </c>
    </row>
    <row r="359" spans="1:4" x14ac:dyDescent="0.35">
      <c r="A359" s="10">
        <v>44317</v>
      </c>
      <c r="B359" s="15">
        <f>VLOOKUP(A359,Database!A:Q,MATCH($A$1,Database!$A$1:$Q$1,),)</f>
        <v>96292</v>
      </c>
      <c r="C359" s="12">
        <f t="shared" si="10"/>
        <v>1.231063592687209E-2</v>
      </c>
      <c r="D359" s="13">
        <f t="shared" si="11"/>
        <v>0.14064369395515228</v>
      </c>
    </row>
    <row r="360" spans="1:4" x14ac:dyDescent="0.35">
      <c r="A360" s="11">
        <v>44348</v>
      </c>
      <c r="B360" s="15">
        <f>VLOOKUP(A360,Database!A:Q,MATCH($A$1,Database!$A$1:$Q$1,),)</f>
        <v>98517</v>
      </c>
      <c r="C360" s="12">
        <f t="shared" si="10"/>
        <v>2.3106800149545133E-2</v>
      </c>
      <c r="D360" s="13">
        <f t="shared" si="11"/>
        <v>0.19049460442521721</v>
      </c>
    </row>
    <row r="361" spans="1:4" x14ac:dyDescent="0.35">
      <c r="A361" s="10">
        <v>44378</v>
      </c>
      <c r="B361" s="15">
        <f>VLOOKUP(A361,Database!A:Q,MATCH($A$1,Database!$A$1:$Q$1,),)</f>
        <v>92162</v>
      </c>
      <c r="C361" s="12">
        <f t="shared" si="10"/>
        <v>-6.4506633372920411E-2</v>
      </c>
      <c r="D361" s="13">
        <f t="shared" si="11"/>
        <v>5.6225359860639958E-2</v>
      </c>
    </row>
    <row r="362" spans="1:4" x14ac:dyDescent="0.35">
      <c r="A362" s="11">
        <v>44409</v>
      </c>
      <c r="B362" s="15">
        <f>VLOOKUP(A362,Database!A:Q,MATCH($A$1,Database!$A$1:$Q$1,),)</f>
        <v>97186</v>
      </c>
      <c r="C362" s="12">
        <f t="shared" si="10"/>
        <v>5.4512705887459038E-2</v>
      </c>
      <c r="D362" s="13">
        <f t="shared" si="11"/>
        <v>0.10702813532292972</v>
      </c>
    </row>
    <row r="363" spans="1:4" x14ac:dyDescent="0.35">
      <c r="A363" s="11">
        <v>44440</v>
      </c>
      <c r="B363" s="15">
        <f>VLOOKUP(A363,Database!A:Q,MATCH($A$1,Database!$A$1:$Q$1,),)</f>
        <v>97674</v>
      </c>
      <c r="C363" s="12">
        <f t="shared" si="10"/>
        <v>5.0212993641059415E-3</v>
      </c>
      <c r="D363" s="13">
        <f t="shared" si="11"/>
        <v>0.10965440458067301</v>
      </c>
    </row>
    <row r="364" spans="1:4" x14ac:dyDescent="0.35">
      <c r="A364" s="10">
        <v>44470</v>
      </c>
      <c r="B364" s="15">
        <f>VLOOKUP(A364,Database!A:Q,MATCH($A$1,Database!$A$1:$Q$1,),)</f>
        <v>99875</v>
      </c>
      <c r="C364" s="12">
        <f t="shared" si="10"/>
        <v>2.2534144193951309E-2</v>
      </c>
      <c r="D364" s="13">
        <f t="shared" si="11"/>
        <v>0.12607533852727948</v>
      </c>
    </row>
    <row r="365" spans="1:4" x14ac:dyDescent="0.35">
      <c r="A365" s="11">
        <v>44501</v>
      </c>
      <c r="B365" s="15">
        <f>VLOOKUP(A365,Database!A:Q,MATCH($A$1,Database!$A$1:$Q$1,),)</f>
        <v>101265</v>
      </c>
      <c r="C365" s="12">
        <f t="shared" si="10"/>
        <v>1.3917396745932415E-2</v>
      </c>
      <c r="D365" s="13">
        <f t="shared" si="11"/>
        <v>0.14468999039168032</v>
      </c>
    </row>
    <row r="366" spans="1:4" x14ac:dyDescent="0.35">
      <c r="A366" s="11">
        <v>44531</v>
      </c>
      <c r="B366" s="15">
        <f>VLOOKUP(A366,Database!A:Q,MATCH($A$1,Database!$A$1:$Q$1,),)</f>
        <v>95958</v>
      </c>
      <c r="C366" s="12">
        <f t="shared" si="10"/>
        <v>-5.240705080728781E-2</v>
      </c>
      <c r="D366" s="13">
        <f t="shared" si="11"/>
        <v>0.12757781929707054</v>
      </c>
    </row>
    <row r="367" spans="1:4" x14ac:dyDescent="0.35">
      <c r="A367" s="11">
        <v>44562</v>
      </c>
      <c r="B367" s="15">
        <f>VLOOKUP(A367,Database!A:Q,MATCH($A$1,Database!$A$1:$Q$1,),)</f>
        <v>102773</v>
      </c>
      <c r="C367" s="12">
        <f t="shared" si="10"/>
        <v>7.1020654869838884E-2</v>
      </c>
      <c r="D367" s="13">
        <f t="shared" si="11"/>
        <v>0.12836925374117544</v>
      </c>
    </row>
    <row r="368" spans="1:4" x14ac:dyDescent="0.35">
      <c r="A368" s="11">
        <v>44593</v>
      </c>
      <c r="B368" s="15">
        <f>VLOOKUP(A368,Database!A:Q,MATCH($A$1,Database!$A$1:$Q$1,),)</f>
        <v>104095</v>
      </c>
      <c r="C368" s="12">
        <f t="shared" si="10"/>
        <v>1.286330067235558E-2</v>
      </c>
      <c r="D368" s="13">
        <f t="shared" si="11"/>
        <v>0.143938811169599</v>
      </c>
    </row>
    <row r="369" spans="1:4" x14ac:dyDescent="0.35">
      <c r="A369" s="10">
        <v>44621</v>
      </c>
      <c r="B369" s="15">
        <f>VLOOKUP(A369,Database!A:Q,MATCH($A$1,Database!$A$1:$Q$1,),)</f>
        <v>102895</v>
      </c>
      <c r="C369" s="12">
        <f t="shared" si="10"/>
        <v>-1.1527931216677074E-2</v>
      </c>
      <c r="D369" s="13">
        <f t="shared" si="11"/>
        <v>3.5671508087487792E-2</v>
      </c>
    </row>
    <row r="370" spans="1:4" x14ac:dyDescent="0.35">
      <c r="A370" s="11">
        <v>44652</v>
      </c>
      <c r="B370" s="15">
        <f>VLOOKUP(A370,Database!A:Q,MATCH($A$1,Database!$A$1:$Q$1,),)</f>
        <v>104003</v>
      </c>
      <c r="C370" s="12">
        <f t="shared" si="10"/>
        <v>1.0768258904708684E-2</v>
      </c>
      <c r="D370" s="13">
        <f t="shared" si="11"/>
        <v>9.3375805552927321E-2</v>
      </c>
    </row>
    <row r="371" spans="1:4" x14ac:dyDescent="0.35">
      <c r="A371" s="10">
        <v>44682</v>
      </c>
      <c r="B371" s="15">
        <f>VLOOKUP(A371,Database!A:Q,MATCH($A$1,Database!$A$1:$Q$1,),)</f>
        <v>106789</v>
      </c>
      <c r="C371" s="12">
        <f t="shared" si="10"/>
        <v>2.678768881666875E-2</v>
      </c>
      <c r="D371" s="13">
        <f t="shared" si="11"/>
        <v>0.10901217131225854</v>
      </c>
    </row>
    <row r="372" spans="1:4" x14ac:dyDescent="0.35">
      <c r="A372" s="11">
        <v>44713</v>
      </c>
      <c r="B372" s="15">
        <f>VLOOKUP(A372,Database!A:Q,MATCH($A$1,Database!$A$1:$Q$1,),)</f>
        <v>107157</v>
      </c>
      <c r="C372" s="12">
        <f t="shared" si="10"/>
        <v>3.4460478139134183E-3</v>
      </c>
      <c r="D372" s="13">
        <f t="shared" si="11"/>
        <v>8.7700599896464573E-2</v>
      </c>
    </row>
    <row r="373" spans="1:4" x14ac:dyDescent="0.35">
      <c r="A373" s="11">
        <v>44743</v>
      </c>
      <c r="B373" s="15">
        <f>VLOOKUP(A373,Database!A:Q,MATCH($A$1,Database!$A$1:$Q$1,),)</f>
        <v>108939</v>
      </c>
      <c r="C373" s="12">
        <f t="shared" si="10"/>
        <v>1.662980486575772E-2</v>
      </c>
      <c r="D373" s="13">
        <f t="shared" si="11"/>
        <v>0.18203815021375405</v>
      </c>
    </row>
    <row r="374" spans="1:4" x14ac:dyDescent="0.35">
      <c r="A374" s="11">
        <v>44774</v>
      </c>
      <c r="B374" s="15">
        <f>VLOOKUP(A374,Database!A:Q,MATCH($A$1,Database!$A$1:$Q$1,),)</f>
        <v>109557</v>
      </c>
      <c r="C374" s="12">
        <f t="shared" si="10"/>
        <v>5.6728995125712557E-3</v>
      </c>
      <c r="D374" s="13">
        <f t="shared" si="11"/>
        <v>0.12729199678966105</v>
      </c>
    </row>
    <row r="375" spans="1:4" x14ac:dyDescent="0.35">
      <c r="A375" s="11">
        <v>44805</v>
      </c>
      <c r="B375" s="15">
        <f>VLOOKUP(A375,Database!A:Q,MATCH($A$1,Database!$A$1:$Q$1,),)</f>
        <v>109410</v>
      </c>
      <c r="C375" s="12">
        <f t="shared" si="10"/>
        <v>-1.3417672992141077E-3</v>
      </c>
      <c r="D375" s="13">
        <f t="shared" si="11"/>
        <v>0.12015480066343141</v>
      </c>
    </row>
    <row r="376" spans="1:4" x14ac:dyDescent="0.35">
      <c r="A376" s="11">
        <v>44835</v>
      </c>
      <c r="B376" s="15">
        <f>VLOOKUP(A376,Database!A:Q,MATCH($A$1,Database!$A$1:$Q$1,),)</f>
        <v>110124</v>
      </c>
      <c r="C376" s="12">
        <f t="shared" si="10"/>
        <v>6.5259117082533593E-3</v>
      </c>
      <c r="D376" s="13">
        <f t="shared" si="11"/>
        <v>0.10261827284105131</v>
      </c>
    </row>
    <row r="377" spans="1:4" x14ac:dyDescent="0.35">
      <c r="A377" s="11">
        <v>44866</v>
      </c>
      <c r="B377" s="15">
        <f>VLOOKUP(A377,Database!A:Q,MATCH($A$1,Database!$A$1:$Q$1,),)</f>
        <v>109084</v>
      </c>
      <c r="C377" s="12">
        <f t="shared" si="10"/>
        <v>-9.4438996040826697E-3</v>
      </c>
      <c r="D377" s="13">
        <f t="shared" si="11"/>
        <v>7.7213252357675399E-2</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7"/>
  <sheetViews>
    <sheetView zoomScale="130" zoomScaleNormal="130" workbookViewId="0">
      <pane ySplit="6" topLeftCell="A357" activePane="bottomLeft" state="frozen"/>
      <selection pane="bottomLeft" activeCell="AE370" sqref="AE370"/>
    </sheetView>
  </sheetViews>
  <sheetFormatPr defaultColWidth="9.1796875" defaultRowHeight="14.5" x14ac:dyDescent="0.35"/>
  <cols>
    <col min="1" max="1" width="14" style="54" customWidth="1"/>
    <col min="2" max="2" width="20.6328125" style="54" customWidth="1"/>
    <col min="3" max="4" width="14.1796875" style="54" customWidth="1"/>
    <col min="5" max="22" width="9.1796875" style="109" customWidth="1"/>
    <col min="23" max="16384" width="9.1796875" style="109"/>
  </cols>
  <sheetData>
    <row r="1" spans="1:4" x14ac:dyDescent="0.35">
      <c r="A1" s="109" t="s">
        <v>61</v>
      </c>
      <c r="B1" s="29" t="s">
        <v>101</v>
      </c>
    </row>
    <row r="2" spans="1:4" x14ac:dyDescent="0.35">
      <c r="A2" s="110" t="s">
        <v>102</v>
      </c>
      <c r="B2" s="109"/>
    </row>
    <row r="3" spans="1:4" x14ac:dyDescent="0.35">
      <c r="A3" s="9"/>
    </row>
    <row r="4" spans="1:4" x14ac:dyDescent="0.35">
      <c r="A4" s="9"/>
    </row>
    <row r="5" spans="1:4" ht="16" customHeight="1" thickBot="1" x14ac:dyDescent="0.4"/>
    <row r="6" spans="1:4" ht="44.25" customHeight="1" x14ac:dyDescent="0.35">
      <c r="A6" s="86" t="s">
        <v>82</v>
      </c>
      <c r="B6" s="83" t="s">
        <v>103</v>
      </c>
      <c r="C6" s="84" t="s">
        <v>12</v>
      </c>
      <c r="D6" s="85" t="s">
        <v>13</v>
      </c>
    </row>
    <row r="7" spans="1:4" x14ac:dyDescent="0.35">
      <c r="A7" s="10">
        <v>33604</v>
      </c>
      <c r="B7" s="15">
        <f>VLOOKUP(A7,Database!A:Q,MATCH($A$1,Database!$A$1:$Q$1,),)</f>
        <v>7421</v>
      </c>
      <c r="C7" s="1"/>
      <c r="D7" s="1"/>
    </row>
    <row r="8" spans="1:4" x14ac:dyDescent="0.35">
      <c r="A8" s="11">
        <v>33635</v>
      </c>
      <c r="B8" s="15">
        <f>VLOOKUP(A8,Database!A:Q,MATCH($A$1,Database!$A$1:$Q$1,),)</f>
        <v>7425</v>
      </c>
      <c r="C8" s="12">
        <f t="shared" ref="C8:C71" si="0">(B8-B7)/B7</f>
        <v>5.3901091497102812E-4</v>
      </c>
      <c r="D8" s="1"/>
    </row>
    <row r="9" spans="1:4" x14ac:dyDescent="0.35">
      <c r="A9" s="10">
        <v>33664</v>
      </c>
      <c r="B9" s="15">
        <f>VLOOKUP(A9,Database!A:Q,MATCH($A$1,Database!$A$1:$Q$1,),)</f>
        <v>7443</v>
      </c>
      <c r="C9" s="12">
        <f t="shared" si="0"/>
        <v>2.4242424242424242E-3</v>
      </c>
      <c r="D9" s="1"/>
    </row>
    <row r="10" spans="1:4" x14ac:dyDescent="0.35">
      <c r="A10" s="11">
        <v>33695</v>
      </c>
      <c r="B10" s="15">
        <f>VLOOKUP(A10,Database!A:Q,MATCH($A$1,Database!$A$1:$Q$1,),)</f>
        <v>7516</v>
      </c>
      <c r="C10" s="12">
        <f t="shared" si="0"/>
        <v>9.8078731694209321E-3</v>
      </c>
      <c r="D10" s="1"/>
    </row>
    <row r="11" spans="1:4" x14ac:dyDescent="0.35">
      <c r="A11" s="10">
        <v>33725</v>
      </c>
      <c r="B11" s="15">
        <f>VLOOKUP(A11,Database!A:Q,MATCH($A$1,Database!$A$1:$Q$1,),)</f>
        <v>7458</v>
      </c>
      <c r="C11" s="12">
        <f t="shared" si="0"/>
        <v>-7.716870675891432E-3</v>
      </c>
      <c r="D11" s="1"/>
    </row>
    <row r="12" spans="1:4" x14ac:dyDescent="0.35">
      <c r="A12" s="11">
        <v>33756</v>
      </c>
      <c r="B12" s="15">
        <f>VLOOKUP(A12,Database!A:Q,MATCH($A$1,Database!$A$1:$Q$1,),)</f>
        <v>7417</v>
      </c>
      <c r="C12" s="12">
        <f t="shared" si="0"/>
        <v>-5.4974524001072675E-3</v>
      </c>
      <c r="D12" s="1"/>
    </row>
    <row r="13" spans="1:4" x14ac:dyDescent="0.35">
      <c r="A13" s="10">
        <v>33786</v>
      </c>
      <c r="B13" s="15">
        <f>VLOOKUP(A13,Database!A:Q,MATCH($A$1,Database!$A$1:$Q$1,),)</f>
        <v>7292</v>
      </c>
      <c r="C13" s="12">
        <f t="shared" si="0"/>
        <v>-1.6853175138196036E-2</v>
      </c>
      <c r="D13" s="1"/>
    </row>
    <row r="14" spans="1:4" x14ac:dyDescent="0.35">
      <c r="A14" s="11">
        <v>33817</v>
      </c>
      <c r="B14" s="15">
        <f>VLOOKUP(A14,Database!A:Q,MATCH($A$1,Database!$A$1:$Q$1,),)</f>
        <v>7508</v>
      </c>
      <c r="C14" s="12">
        <f t="shared" si="0"/>
        <v>2.9621503017004936E-2</v>
      </c>
      <c r="D14" s="1"/>
    </row>
    <row r="15" spans="1:4" x14ac:dyDescent="0.35">
      <c r="A15" s="10">
        <v>33848</v>
      </c>
      <c r="B15" s="15">
        <f>VLOOKUP(A15,Database!A:Q,MATCH($A$1,Database!$A$1:$Q$1,),)</f>
        <v>7420</v>
      </c>
      <c r="C15" s="12">
        <f t="shared" si="0"/>
        <v>-1.1720831113478956E-2</v>
      </c>
      <c r="D15" s="1"/>
    </row>
    <row r="16" spans="1:4" x14ac:dyDescent="0.35">
      <c r="A16" s="11">
        <v>33878</v>
      </c>
      <c r="B16" s="15">
        <f>VLOOKUP(A16,Database!A:Q,MATCH($A$1,Database!$A$1:$Q$1,),)</f>
        <v>7535</v>
      </c>
      <c r="C16" s="12">
        <f t="shared" si="0"/>
        <v>1.5498652291105121E-2</v>
      </c>
      <c r="D16" s="1"/>
    </row>
    <row r="17" spans="1:4" x14ac:dyDescent="0.35">
      <c r="A17" s="10">
        <v>33909</v>
      </c>
      <c r="B17" s="15">
        <f>VLOOKUP(A17,Database!A:Q,MATCH($A$1,Database!$A$1:$Q$1,),)</f>
        <v>7497</v>
      </c>
      <c r="C17" s="12">
        <f t="shared" si="0"/>
        <v>-5.0431320504313202E-3</v>
      </c>
      <c r="D17" s="1"/>
    </row>
    <row r="18" spans="1:4" x14ac:dyDescent="0.35">
      <c r="A18" s="11">
        <v>33939</v>
      </c>
      <c r="B18" s="15">
        <f>VLOOKUP(A18,Database!A:Q,MATCH($A$1,Database!$A$1:$Q$1,),)</f>
        <v>7526</v>
      </c>
      <c r="C18" s="12">
        <f t="shared" si="0"/>
        <v>3.8682139522475656E-3</v>
      </c>
      <c r="D18" s="1"/>
    </row>
    <row r="19" spans="1:4" x14ac:dyDescent="0.35">
      <c r="A19" s="10">
        <v>33970</v>
      </c>
      <c r="B19" s="15">
        <f>VLOOKUP(A19,Database!A:Q,MATCH($A$1,Database!$A$1:$Q$1,),)</f>
        <v>7518</v>
      </c>
      <c r="C19" s="12">
        <f t="shared" si="0"/>
        <v>-1.0629816635663034E-3</v>
      </c>
      <c r="D19" s="13">
        <f t="shared" ref="D19:D82" si="1">(B19-B7)/B7</f>
        <v>1.3071014688047432E-2</v>
      </c>
    </row>
    <row r="20" spans="1:4" x14ac:dyDescent="0.35">
      <c r="A20" s="11">
        <v>34001</v>
      </c>
      <c r="B20" s="15">
        <f>VLOOKUP(A20,Database!A:Q,MATCH($A$1,Database!$A$1:$Q$1,),)</f>
        <v>7651</v>
      </c>
      <c r="C20" s="12">
        <f t="shared" si="0"/>
        <v>1.7690875232774673E-2</v>
      </c>
      <c r="D20" s="13">
        <f t="shared" si="1"/>
        <v>3.0437710437710437E-2</v>
      </c>
    </row>
    <row r="21" spans="1:4" x14ac:dyDescent="0.35">
      <c r="A21" s="10">
        <v>34029</v>
      </c>
      <c r="B21" s="15">
        <f>VLOOKUP(A21,Database!A:Q,MATCH($A$1,Database!$A$1:$Q$1,),)</f>
        <v>7605</v>
      </c>
      <c r="C21" s="12">
        <f t="shared" si="0"/>
        <v>-6.012285975689452E-3</v>
      </c>
      <c r="D21" s="13">
        <f t="shared" si="1"/>
        <v>2.1765417170495769E-2</v>
      </c>
    </row>
    <row r="22" spans="1:4" x14ac:dyDescent="0.35">
      <c r="A22" s="11">
        <v>34060</v>
      </c>
      <c r="B22" s="15">
        <f>VLOOKUP(A22,Database!A:Q,MATCH($A$1,Database!$A$1:$Q$1,),)</f>
        <v>7683</v>
      </c>
      <c r="C22" s="12">
        <f t="shared" si="0"/>
        <v>1.0256410256410256E-2</v>
      </c>
      <c r="D22" s="13">
        <f t="shared" si="1"/>
        <v>2.2219265566790845E-2</v>
      </c>
    </row>
    <row r="23" spans="1:4" x14ac:dyDescent="0.35">
      <c r="A23" s="10">
        <v>34090</v>
      </c>
      <c r="B23" s="15">
        <f>VLOOKUP(A23,Database!A:Q,MATCH($A$1,Database!$A$1:$Q$1,),)</f>
        <v>7666</v>
      </c>
      <c r="C23" s="12">
        <f t="shared" si="0"/>
        <v>-2.2126773395808931E-3</v>
      </c>
      <c r="D23" s="13">
        <f t="shared" si="1"/>
        <v>2.7889514615178333E-2</v>
      </c>
    </row>
    <row r="24" spans="1:4" x14ac:dyDescent="0.35">
      <c r="A24" s="11">
        <v>34121</v>
      </c>
      <c r="B24" s="15">
        <f>VLOOKUP(A24,Database!A:Q,MATCH($A$1,Database!$A$1:$Q$1,),)</f>
        <v>7680</v>
      </c>
      <c r="C24" s="12">
        <f t="shared" si="0"/>
        <v>1.8262457605009131E-3</v>
      </c>
      <c r="D24" s="13">
        <f t="shared" si="1"/>
        <v>3.5459080490764461E-2</v>
      </c>
    </row>
    <row r="25" spans="1:4" x14ac:dyDescent="0.35">
      <c r="A25" s="10">
        <v>34151</v>
      </c>
      <c r="B25" s="15">
        <f>VLOOKUP(A25,Database!A:Q,MATCH($A$1,Database!$A$1:$Q$1,),)</f>
        <v>7756</v>
      </c>
      <c r="C25" s="12">
        <f t="shared" si="0"/>
        <v>9.8958333333333329E-3</v>
      </c>
      <c r="D25" s="13">
        <f t="shared" si="1"/>
        <v>6.3631376851343943E-2</v>
      </c>
    </row>
    <row r="26" spans="1:4" x14ac:dyDescent="0.35">
      <c r="A26" s="11">
        <v>34182</v>
      </c>
      <c r="B26" s="15">
        <f>VLOOKUP(A26,Database!A:Q,MATCH($A$1,Database!$A$1:$Q$1,),)</f>
        <v>7678</v>
      </c>
      <c r="C26" s="12">
        <f t="shared" si="0"/>
        <v>-1.0056730273336771E-2</v>
      </c>
      <c r="D26" s="13">
        <f t="shared" si="1"/>
        <v>2.2642514651038892E-2</v>
      </c>
    </row>
    <row r="27" spans="1:4" x14ac:dyDescent="0.35">
      <c r="A27" s="10">
        <v>34213</v>
      </c>
      <c r="B27" s="15">
        <f>VLOOKUP(A27,Database!A:Q,MATCH($A$1,Database!$A$1:$Q$1,),)</f>
        <v>7772</v>
      </c>
      <c r="C27" s="12">
        <f t="shared" si="0"/>
        <v>1.2242771555092472E-2</v>
      </c>
      <c r="D27" s="13">
        <f t="shared" si="1"/>
        <v>4.7439353099730457E-2</v>
      </c>
    </row>
    <row r="28" spans="1:4" x14ac:dyDescent="0.35">
      <c r="A28" s="11">
        <v>34243</v>
      </c>
      <c r="B28" s="15">
        <f>VLOOKUP(A28,Database!A:Q,MATCH($A$1,Database!$A$1:$Q$1,),)</f>
        <v>7758</v>
      </c>
      <c r="C28" s="12">
        <f t="shared" si="0"/>
        <v>-1.8013381369016985E-3</v>
      </c>
      <c r="D28" s="13">
        <f t="shared" si="1"/>
        <v>2.9595222295952222E-2</v>
      </c>
    </row>
    <row r="29" spans="1:4" x14ac:dyDescent="0.35">
      <c r="A29" s="10">
        <v>34274</v>
      </c>
      <c r="B29" s="15">
        <f>VLOOKUP(A29,Database!A:Q,MATCH($A$1,Database!$A$1:$Q$1,),)</f>
        <v>7784</v>
      </c>
      <c r="C29" s="12">
        <f t="shared" si="0"/>
        <v>3.351379221448827E-3</v>
      </c>
      <c r="D29" s="13">
        <f t="shared" si="1"/>
        <v>3.8281979458450049E-2</v>
      </c>
    </row>
    <row r="30" spans="1:4" x14ac:dyDescent="0.35">
      <c r="A30" s="11">
        <v>34304</v>
      </c>
      <c r="B30" s="15">
        <f>VLOOKUP(A30,Database!A:Q,MATCH($A$1,Database!$A$1:$Q$1,),)</f>
        <v>7989</v>
      </c>
      <c r="C30" s="12">
        <f t="shared" si="0"/>
        <v>2.6336073997944503E-2</v>
      </c>
      <c r="D30" s="13">
        <f t="shared" si="1"/>
        <v>6.1520063778899813E-2</v>
      </c>
    </row>
    <row r="31" spans="1:4" x14ac:dyDescent="0.35">
      <c r="A31" s="10">
        <v>34335</v>
      </c>
      <c r="B31" s="15">
        <f>VLOOKUP(A31,Database!A:Q,MATCH($A$1,Database!$A$1:$Q$1,),)</f>
        <v>7865</v>
      </c>
      <c r="C31" s="12">
        <f t="shared" si="0"/>
        <v>-1.5521341845036925E-2</v>
      </c>
      <c r="D31" s="13">
        <f t="shared" si="1"/>
        <v>4.6155892524607611E-2</v>
      </c>
    </row>
    <row r="32" spans="1:4" x14ac:dyDescent="0.35">
      <c r="A32" s="11">
        <v>34366</v>
      </c>
      <c r="B32" s="15">
        <f>VLOOKUP(A32,Database!A:Q,MATCH($A$1,Database!$A$1:$Q$1,),)</f>
        <v>7729</v>
      </c>
      <c r="C32" s="12">
        <f t="shared" si="0"/>
        <v>-1.7291799109980927E-2</v>
      </c>
      <c r="D32" s="13">
        <f t="shared" si="1"/>
        <v>1.0194745784864723E-2</v>
      </c>
    </row>
    <row r="33" spans="1:4" x14ac:dyDescent="0.35">
      <c r="A33" s="10">
        <v>34394</v>
      </c>
      <c r="B33" s="15">
        <f>VLOOKUP(A33,Database!A:Q,MATCH($A$1,Database!$A$1:$Q$1,),)</f>
        <v>7911</v>
      </c>
      <c r="C33" s="12">
        <f t="shared" si="0"/>
        <v>2.3547677577953164E-2</v>
      </c>
      <c r="D33" s="13">
        <f t="shared" si="1"/>
        <v>4.0236686390532544E-2</v>
      </c>
    </row>
    <row r="34" spans="1:4" x14ac:dyDescent="0.35">
      <c r="A34" s="11">
        <v>34425</v>
      </c>
      <c r="B34" s="15">
        <f>VLOOKUP(A34,Database!A:Q,MATCH($A$1,Database!$A$1:$Q$1,),)</f>
        <v>7838</v>
      </c>
      <c r="C34" s="12">
        <f t="shared" si="0"/>
        <v>-9.2276576918215135E-3</v>
      </c>
      <c r="D34" s="13">
        <f t="shared" si="1"/>
        <v>2.0174411037355199E-2</v>
      </c>
    </row>
    <row r="35" spans="1:4" x14ac:dyDescent="0.35">
      <c r="A35" s="10">
        <v>34455</v>
      </c>
      <c r="B35" s="15">
        <f>VLOOKUP(A35,Database!A:Q,MATCH($A$1,Database!$A$1:$Q$1,),)</f>
        <v>7955</v>
      </c>
      <c r="C35" s="12">
        <f t="shared" si="0"/>
        <v>1.4927277366675172E-2</v>
      </c>
      <c r="D35" s="13">
        <f t="shared" si="1"/>
        <v>3.7698930341768848E-2</v>
      </c>
    </row>
    <row r="36" spans="1:4" x14ac:dyDescent="0.35">
      <c r="A36" s="11">
        <v>34486</v>
      </c>
      <c r="B36" s="15">
        <f>VLOOKUP(A36,Database!A:Q,MATCH($A$1,Database!$A$1:$Q$1,),)</f>
        <v>8014</v>
      </c>
      <c r="C36" s="12">
        <f t="shared" si="0"/>
        <v>7.4167190446260212E-3</v>
      </c>
      <c r="D36" s="13">
        <f t="shared" si="1"/>
        <v>4.3489583333333331E-2</v>
      </c>
    </row>
    <row r="37" spans="1:4" x14ac:dyDescent="0.35">
      <c r="A37" s="10">
        <v>34516</v>
      </c>
      <c r="B37" s="15">
        <f>VLOOKUP(A37,Database!A:Q,MATCH($A$1,Database!$A$1:$Q$1,),)</f>
        <v>8084</v>
      </c>
      <c r="C37" s="12">
        <f t="shared" si="0"/>
        <v>8.7347142500623903E-3</v>
      </c>
      <c r="D37" s="13">
        <f t="shared" si="1"/>
        <v>4.2289840123775145E-2</v>
      </c>
    </row>
    <row r="38" spans="1:4" x14ac:dyDescent="0.35">
      <c r="A38" s="11">
        <v>34547</v>
      </c>
      <c r="B38" s="15">
        <f>VLOOKUP(A38,Database!A:Q,MATCH($A$1,Database!$A$1:$Q$1,),)</f>
        <v>8126</v>
      </c>
      <c r="C38" s="12">
        <f t="shared" si="0"/>
        <v>5.1954477981197428E-3</v>
      </c>
      <c r="D38" s="13">
        <f t="shared" si="1"/>
        <v>5.834852826256838E-2</v>
      </c>
    </row>
    <row r="39" spans="1:4" x14ac:dyDescent="0.35">
      <c r="A39" s="10">
        <v>34578</v>
      </c>
      <c r="B39" s="15">
        <f>VLOOKUP(A39,Database!A:Q,MATCH($A$1,Database!$A$1:$Q$1,),)</f>
        <v>8190</v>
      </c>
      <c r="C39" s="12">
        <f t="shared" si="0"/>
        <v>7.875953728771843E-3</v>
      </c>
      <c r="D39" s="13">
        <f t="shared" si="1"/>
        <v>5.3782810087493568E-2</v>
      </c>
    </row>
    <row r="40" spans="1:4" x14ac:dyDescent="0.35">
      <c r="A40" s="11">
        <v>34608</v>
      </c>
      <c r="B40" s="15">
        <f>VLOOKUP(A40,Database!A:Q,MATCH($A$1,Database!$A$1:$Q$1,),)</f>
        <v>8214</v>
      </c>
      <c r="C40" s="12">
        <f t="shared" si="0"/>
        <v>2.9304029304029304E-3</v>
      </c>
      <c r="D40" s="13">
        <f t="shared" si="1"/>
        <v>5.877803557617943E-2</v>
      </c>
    </row>
    <row r="41" spans="1:4" x14ac:dyDescent="0.35">
      <c r="A41" s="10">
        <v>34639</v>
      </c>
      <c r="B41" s="15">
        <f>VLOOKUP(A41,Database!A:Q,MATCH($A$1,Database!$A$1:$Q$1,),)</f>
        <v>8190</v>
      </c>
      <c r="C41" s="12">
        <f t="shared" si="0"/>
        <v>-2.9218407596785976E-3</v>
      </c>
      <c r="D41" s="13">
        <f t="shared" si="1"/>
        <v>5.2158273381294966E-2</v>
      </c>
    </row>
    <row r="42" spans="1:4" x14ac:dyDescent="0.35">
      <c r="A42" s="11">
        <v>34669</v>
      </c>
      <c r="B42" s="15">
        <f>VLOOKUP(A42,Database!A:Q,MATCH($A$1,Database!$A$1:$Q$1,),)</f>
        <v>8287</v>
      </c>
      <c r="C42" s="12">
        <f t="shared" si="0"/>
        <v>1.1843711843711843E-2</v>
      </c>
      <c r="D42" s="13">
        <f t="shared" si="1"/>
        <v>3.7301289272750032E-2</v>
      </c>
    </row>
    <row r="43" spans="1:4" x14ac:dyDescent="0.35">
      <c r="A43" s="10">
        <v>34700</v>
      </c>
      <c r="B43" s="15">
        <f>VLOOKUP(A43,Database!A:Q,MATCH($A$1,Database!$A$1:$Q$1,),)</f>
        <v>8306</v>
      </c>
      <c r="C43" s="12">
        <f t="shared" si="0"/>
        <v>2.2927476770845901E-3</v>
      </c>
      <c r="D43" s="13">
        <f t="shared" si="1"/>
        <v>5.6071201525746982E-2</v>
      </c>
    </row>
    <row r="44" spans="1:4" x14ac:dyDescent="0.35">
      <c r="A44" s="11">
        <v>34731</v>
      </c>
      <c r="B44" s="15">
        <f>VLOOKUP(A44,Database!A:Q,MATCH($A$1,Database!$A$1:$Q$1,),)</f>
        <v>8304</v>
      </c>
      <c r="C44" s="12">
        <f t="shared" si="0"/>
        <v>-2.4078979051288225E-4</v>
      </c>
      <c r="D44" s="13">
        <f t="shared" si="1"/>
        <v>7.4395135205071808E-2</v>
      </c>
    </row>
    <row r="45" spans="1:4" x14ac:dyDescent="0.35">
      <c r="A45" s="10">
        <v>34759</v>
      </c>
      <c r="B45" s="15">
        <f>VLOOKUP(A45,Database!A:Q,MATCH($A$1,Database!$A$1:$Q$1,),)</f>
        <v>8304</v>
      </c>
      <c r="C45" s="12">
        <f t="shared" si="0"/>
        <v>0</v>
      </c>
      <c r="D45" s="13">
        <f t="shared" si="1"/>
        <v>4.9677664012135005E-2</v>
      </c>
    </row>
    <row r="46" spans="1:4" x14ac:dyDescent="0.35">
      <c r="A46" s="11">
        <v>34790</v>
      </c>
      <c r="B46" s="15">
        <f>VLOOKUP(A46,Database!A:Q,MATCH($A$1,Database!$A$1:$Q$1,),)</f>
        <v>8450</v>
      </c>
      <c r="C46" s="12">
        <f t="shared" si="0"/>
        <v>1.7581888246628131E-2</v>
      </c>
      <c r="D46" s="13">
        <f t="shared" si="1"/>
        <v>7.8081143148762439E-2</v>
      </c>
    </row>
    <row r="47" spans="1:4" x14ac:dyDescent="0.35">
      <c r="A47" s="10">
        <v>34820</v>
      </c>
      <c r="B47" s="15">
        <f>VLOOKUP(A47,Database!A:Q,MATCH($A$1,Database!$A$1:$Q$1,),)</f>
        <v>8424</v>
      </c>
      <c r="C47" s="12">
        <f t="shared" si="0"/>
        <v>-3.0769230769230769E-3</v>
      </c>
      <c r="D47" s="13">
        <f t="shared" si="1"/>
        <v>5.8956631049654304E-2</v>
      </c>
    </row>
    <row r="48" spans="1:4" x14ac:dyDescent="0.35">
      <c r="A48" s="11">
        <v>34851</v>
      </c>
      <c r="B48" s="15">
        <f>VLOOKUP(A48,Database!A:Q,MATCH($A$1,Database!$A$1:$Q$1,),)</f>
        <v>8482</v>
      </c>
      <c r="C48" s="12">
        <f t="shared" si="0"/>
        <v>6.8850902184235518E-3</v>
      </c>
      <c r="D48" s="13">
        <f t="shared" si="1"/>
        <v>5.8397803843274268E-2</v>
      </c>
    </row>
    <row r="49" spans="1:4" x14ac:dyDescent="0.35">
      <c r="A49" s="10">
        <v>34881</v>
      </c>
      <c r="B49" s="15">
        <f>VLOOKUP(A49,Database!A:Q,MATCH($A$1,Database!$A$1:$Q$1,),)</f>
        <v>8431</v>
      </c>
      <c r="C49" s="12">
        <f t="shared" si="0"/>
        <v>-6.0127328460268803E-3</v>
      </c>
      <c r="D49" s="13">
        <f t="shared" si="1"/>
        <v>4.2924294903513113E-2</v>
      </c>
    </row>
    <row r="50" spans="1:4" x14ac:dyDescent="0.35">
      <c r="A50" s="11">
        <v>34912</v>
      </c>
      <c r="B50" s="15">
        <f>VLOOKUP(A50,Database!A:Q,MATCH($A$1,Database!$A$1:$Q$1,),)</f>
        <v>8488</v>
      </c>
      <c r="C50" s="12">
        <f t="shared" si="0"/>
        <v>6.7607638477048988E-3</v>
      </c>
      <c r="D50" s="13">
        <f t="shared" si="1"/>
        <v>4.4548363278365741E-2</v>
      </c>
    </row>
    <row r="51" spans="1:4" x14ac:dyDescent="0.35">
      <c r="A51" s="10">
        <v>34943</v>
      </c>
      <c r="B51" s="15">
        <f>VLOOKUP(A51,Database!A:Q,MATCH($A$1,Database!$A$1:$Q$1,),)</f>
        <v>8611</v>
      </c>
      <c r="C51" s="12">
        <f t="shared" si="0"/>
        <v>1.4491046182846372E-2</v>
      </c>
      <c r="D51" s="13">
        <f t="shared" si="1"/>
        <v>5.1404151404151402E-2</v>
      </c>
    </row>
    <row r="52" spans="1:4" x14ac:dyDescent="0.35">
      <c r="A52" s="11">
        <v>34973</v>
      </c>
      <c r="B52" s="15">
        <f>VLOOKUP(A52,Database!A:Q,MATCH($A$1,Database!$A$1:$Q$1,),)</f>
        <v>8584</v>
      </c>
      <c r="C52" s="12">
        <f t="shared" si="0"/>
        <v>-3.1355243293461851E-3</v>
      </c>
      <c r="D52" s="13">
        <f t="shared" si="1"/>
        <v>4.5045045045045043E-2</v>
      </c>
    </row>
    <row r="53" spans="1:4" x14ac:dyDescent="0.35">
      <c r="A53" s="10">
        <v>35004</v>
      </c>
      <c r="B53" s="15">
        <f>VLOOKUP(A53,Database!A:Q,MATCH($A$1,Database!$A$1:$Q$1,),)</f>
        <v>8691</v>
      </c>
      <c r="C53" s="12">
        <f t="shared" si="0"/>
        <v>1.2465051258154707E-2</v>
      </c>
      <c r="D53" s="13">
        <f t="shared" si="1"/>
        <v>6.117216117216117E-2</v>
      </c>
    </row>
    <row r="54" spans="1:4" x14ac:dyDescent="0.35">
      <c r="A54" s="11">
        <v>35034</v>
      </c>
      <c r="B54" s="15">
        <f>VLOOKUP(A54,Database!A:Q,MATCH($A$1,Database!$A$1:$Q$1,),)</f>
        <v>8761</v>
      </c>
      <c r="C54" s="12">
        <f t="shared" si="0"/>
        <v>8.0543090553446099E-3</v>
      </c>
      <c r="D54" s="13">
        <f t="shared" si="1"/>
        <v>5.7198020996741886E-2</v>
      </c>
    </row>
    <row r="55" spans="1:4" x14ac:dyDescent="0.35">
      <c r="A55" s="10">
        <v>35065</v>
      </c>
      <c r="B55" s="15">
        <f>VLOOKUP(A55,Database!A:Q,MATCH($A$1,Database!$A$1:$Q$1,),)</f>
        <v>8546</v>
      </c>
      <c r="C55" s="12">
        <f t="shared" si="0"/>
        <v>-2.4540577559639312E-2</v>
      </c>
      <c r="D55" s="13">
        <f t="shared" si="1"/>
        <v>2.8894774861545871E-2</v>
      </c>
    </row>
    <row r="56" spans="1:4" x14ac:dyDescent="0.35">
      <c r="A56" s="11">
        <v>35096</v>
      </c>
      <c r="B56" s="15">
        <f>VLOOKUP(A56,Database!A:Q,MATCH($A$1,Database!$A$1:$Q$1,),)</f>
        <v>8782</v>
      </c>
      <c r="C56" s="12">
        <f t="shared" si="0"/>
        <v>2.761525860051486E-2</v>
      </c>
      <c r="D56" s="13">
        <f t="shared" si="1"/>
        <v>5.7562620423892097E-2</v>
      </c>
    </row>
    <row r="57" spans="1:4" x14ac:dyDescent="0.35">
      <c r="A57" s="10">
        <v>35125</v>
      </c>
      <c r="B57" s="15">
        <f>VLOOKUP(A57,Database!A:Q,MATCH($A$1,Database!$A$1:$Q$1,),)</f>
        <v>8991</v>
      </c>
      <c r="C57" s="12">
        <f t="shared" si="0"/>
        <v>2.3798679116374403E-2</v>
      </c>
      <c r="D57" s="13">
        <f t="shared" si="1"/>
        <v>8.2731213872832374E-2</v>
      </c>
    </row>
    <row r="58" spans="1:4" x14ac:dyDescent="0.35">
      <c r="A58" s="11">
        <v>35156</v>
      </c>
      <c r="B58" s="15">
        <f>VLOOKUP(A58,Database!A:Q,MATCH($A$1,Database!$A$1:$Q$1,),)</f>
        <v>8922</v>
      </c>
      <c r="C58" s="12">
        <f t="shared" si="0"/>
        <v>-7.6743410076743407E-3</v>
      </c>
      <c r="D58" s="13">
        <f t="shared" si="1"/>
        <v>5.5857988165680474E-2</v>
      </c>
    </row>
    <row r="59" spans="1:4" x14ac:dyDescent="0.35">
      <c r="A59" s="10">
        <v>35186</v>
      </c>
      <c r="B59" s="15">
        <f>VLOOKUP(A59,Database!A:Q,MATCH($A$1,Database!$A$1:$Q$1,),)</f>
        <v>9076</v>
      </c>
      <c r="C59" s="12">
        <f t="shared" si="0"/>
        <v>1.726070387805425E-2</v>
      </c>
      <c r="D59" s="13">
        <f t="shared" si="1"/>
        <v>7.7397910731244066E-2</v>
      </c>
    </row>
    <row r="60" spans="1:4" x14ac:dyDescent="0.35">
      <c r="A60" s="11">
        <v>35217</v>
      </c>
      <c r="B60" s="15">
        <f>VLOOKUP(A60,Database!A:Q,MATCH($A$1,Database!$A$1:$Q$1,),)</f>
        <v>9072</v>
      </c>
      <c r="C60" s="12">
        <f t="shared" si="0"/>
        <v>-4.4072278536800354E-4</v>
      </c>
      <c r="D60" s="13">
        <f t="shared" si="1"/>
        <v>6.9559066257958033E-2</v>
      </c>
    </row>
    <row r="61" spans="1:4" x14ac:dyDescent="0.35">
      <c r="A61" s="10">
        <v>35247</v>
      </c>
      <c r="B61" s="15">
        <f>VLOOKUP(A61,Database!A:Q,MATCH($A$1,Database!$A$1:$Q$1,),)</f>
        <v>9134</v>
      </c>
      <c r="C61" s="12">
        <f t="shared" si="0"/>
        <v>6.8342151675485005E-3</v>
      </c>
      <c r="D61" s="13">
        <f t="shared" si="1"/>
        <v>8.3382754121693756E-2</v>
      </c>
    </row>
    <row r="62" spans="1:4" x14ac:dyDescent="0.35">
      <c r="A62" s="11">
        <v>35278</v>
      </c>
      <c r="B62" s="15">
        <f>VLOOKUP(A62,Database!A:Q,MATCH($A$1,Database!$A$1:$Q$1,),)</f>
        <v>9237</v>
      </c>
      <c r="C62" s="12">
        <f t="shared" si="0"/>
        <v>1.127654915699584E-2</v>
      </c>
      <c r="D62" s="13">
        <f t="shared" si="1"/>
        <v>8.8242224316682369E-2</v>
      </c>
    </row>
    <row r="63" spans="1:4" x14ac:dyDescent="0.35">
      <c r="A63" s="10">
        <v>35309</v>
      </c>
      <c r="B63" s="15">
        <f>VLOOKUP(A63,Database!A:Q,MATCH($A$1,Database!$A$1:$Q$1,),)</f>
        <v>9190</v>
      </c>
      <c r="C63" s="12">
        <f t="shared" si="0"/>
        <v>-5.0882321099924221E-3</v>
      </c>
      <c r="D63" s="13">
        <f t="shared" si="1"/>
        <v>6.7239577284868193E-2</v>
      </c>
    </row>
    <row r="64" spans="1:4" x14ac:dyDescent="0.35">
      <c r="A64" s="11">
        <v>35339</v>
      </c>
      <c r="B64" s="15">
        <f>VLOOKUP(A64,Database!A:Q,MATCH($A$1,Database!$A$1:$Q$1,),)</f>
        <v>9363</v>
      </c>
      <c r="C64" s="12">
        <f t="shared" si="0"/>
        <v>1.882480957562568E-2</v>
      </c>
      <c r="D64" s="13">
        <f t="shared" si="1"/>
        <v>9.0750232991612306E-2</v>
      </c>
    </row>
    <row r="65" spans="1:4" x14ac:dyDescent="0.35">
      <c r="A65" s="10">
        <v>35370</v>
      </c>
      <c r="B65" s="15">
        <f>VLOOKUP(A65,Database!A:Q,MATCH($A$1,Database!$A$1:$Q$1,),)</f>
        <v>9414</v>
      </c>
      <c r="C65" s="12">
        <f t="shared" si="0"/>
        <v>5.4469721243191284E-3</v>
      </c>
      <c r="D65" s="13">
        <f t="shared" si="1"/>
        <v>8.3189506385916462E-2</v>
      </c>
    </row>
    <row r="66" spans="1:4" x14ac:dyDescent="0.35">
      <c r="A66" s="11">
        <v>35400</v>
      </c>
      <c r="B66" s="15">
        <f>VLOOKUP(A66,Database!A:Q,MATCH($A$1,Database!$A$1:$Q$1,),)</f>
        <v>9505</v>
      </c>
      <c r="C66" s="12">
        <f t="shared" si="0"/>
        <v>9.6664542171234335E-3</v>
      </c>
      <c r="D66" s="13">
        <f t="shared" si="1"/>
        <v>8.4921812578472783E-2</v>
      </c>
    </row>
    <row r="67" spans="1:4" x14ac:dyDescent="0.35">
      <c r="A67" s="10">
        <v>35431</v>
      </c>
      <c r="B67" s="15">
        <f>VLOOKUP(A67,Database!A:Q,MATCH($A$1,Database!$A$1:$Q$1,),)</f>
        <v>9448</v>
      </c>
      <c r="C67" s="12">
        <f t="shared" si="0"/>
        <v>-5.9968437664387163E-3</v>
      </c>
      <c r="D67" s="13">
        <f t="shared" si="1"/>
        <v>0.10554645448162883</v>
      </c>
    </row>
    <row r="68" spans="1:4" x14ac:dyDescent="0.35">
      <c r="A68" s="11">
        <v>35462</v>
      </c>
      <c r="B68" s="15">
        <f>VLOOKUP(A68,Database!A:Q,MATCH($A$1,Database!$A$1:$Q$1,),)</f>
        <v>9649</v>
      </c>
      <c r="C68" s="12">
        <f t="shared" si="0"/>
        <v>2.1274343776460626E-2</v>
      </c>
      <c r="D68" s="13">
        <f t="shared" si="1"/>
        <v>9.8724664085629701E-2</v>
      </c>
    </row>
    <row r="69" spans="1:4" x14ac:dyDescent="0.35">
      <c r="A69" s="10">
        <v>35490</v>
      </c>
      <c r="B69" s="15">
        <f>VLOOKUP(A69,Database!A:Q,MATCH($A$1,Database!$A$1:$Q$1,),)</f>
        <v>9922</v>
      </c>
      <c r="C69" s="12">
        <f t="shared" si="0"/>
        <v>2.8293087366566484E-2</v>
      </c>
      <c r="D69" s="13">
        <f t="shared" si="1"/>
        <v>0.10354799243688133</v>
      </c>
    </row>
    <row r="70" spans="1:4" x14ac:dyDescent="0.35">
      <c r="A70" s="11">
        <v>35521</v>
      </c>
      <c r="B70" s="15">
        <f>VLOOKUP(A70,Database!A:Q,MATCH($A$1,Database!$A$1:$Q$1,),)</f>
        <v>9578</v>
      </c>
      <c r="C70" s="12">
        <f t="shared" si="0"/>
        <v>-3.4670429348921589E-2</v>
      </c>
      <c r="D70" s="13">
        <f t="shared" si="1"/>
        <v>7.3526115220802504E-2</v>
      </c>
    </row>
    <row r="71" spans="1:4" x14ac:dyDescent="0.35">
      <c r="A71" s="10">
        <v>35551</v>
      </c>
      <c r="B71" s="15">
        <f>VLOOKUP(A71,Database!A:Q,MATCH($A$1,Database!$A$1:$Q$1,),)</f>
        <v>9722</v>
      </c>
      <c r="C71" s="12">
        <f t="shared" si="0"/>
        <v>1.5034453956984757E-2</v>
      </c>
      <c r="D71" s="13">
        <f t="shared" si="1"/>
        <v>7.1176729836932573E-2</v>
      </c>
    </row>
    <row r="72" spans="1:4" x14ac:dyDescent="0.35">
      <c r="A72" s="11">
        <v>35582</v>
      </c>
      <c r="B72" s="15">
        <f>VLOOKUP(A72,Database!A:Q,MATCH($A$1,Database!$A$1:$Q$1,),)</f>
        <v>9916</v>
      </c>
      <c r="C72" s="12">
        <f t="shared" ref="C72:C135" si="2">(B72-B71)/B71</f>
        <v>1.9954741822670232E-2</v>
      </c>
      <c r="D72" s="13">
        <f t="shared" si="1"/>
        <v>9.3033509700176362E-2</v>
      </c>
    </row>
    <row r="73" spans="1:4" x14ac:dyDescent="0.35">
      <c r="A73" s="10">
        <v>35612</v>
      </c>
      <c r="B73" s="15">
        <f>VLOOKUP(A73,Database!A:Q,MATCH($A$1,Database!$A$1:$Q$1,),)</f>
        <v>9950</v>
      </c>
      <c r="C73" s="12">
        <f t="shared" si="2"/>
        <v>3.4288019362646227E-3</v>
      </c>
      <c r="D73" s="13">
        <f t="shared" si="1"/>
        <v>8.9336544777753449E-2</v>
      </c>
    </row>
    <row r="74" spans="1:4" x14ac:dyDescent="0.35">
      <c r="A74" s="11">
        <v>35643</v>
      </c>
      <c r="B74" s="15">
        <f>VLOOKUP(A74,Database!A:Q,MATCH($A$1,Database!$A$1:$Q$1,),)</f>
        <v>9989</v>
      </c>
      <c r="C74" s="12">
        <f t="shared" si="2"/>
        <v>3.9195979899497484E-3</v>
      </c>
      <c r="D74" s="13">
        <f t="shared" si="1"/>
        <v>8.1411713759878754E-2</v>
      </c>
    </row>
    <row r="75" spans="1:4" x14ac:dyDescent="0.35">
      <c r="A75" s="10">
        <v>35674</v>
      </c>
      <c r="B75" s="15">
        <f>VLOOKUP(A75,Database!A:Q,MATCH($A$1,Database!$A$1:$Q$1,),)</f>
        <v>10077</v>
      </c>
      <c r="C75" s="12">
        <f t="shared" si="2"/>
        <v>8.8096906597256979E-3</v>
      </c>
      <c r="D75" s="13">
        <f t="shared" si="1"/>
        <v>9.651795429815016E-2</v>
      </c>
    </row>
    <row r="76" spans="1:4" x14ac:dyDescent="0.35">
      <c r="A76" s="11">
        <v>35704</v>
      </c>
      <c r="B76" s="15">
        <f>VLOOKUP(A76,Database!A:Q,MATCH($A$1,Database!$A$1:$Q$1,),)</f>
        <v>10058</v>
      </c>
      <c r="C76" s="12">
        <f t="shared" si="2"/>
        <v>-1.8854817902153418E-3</v>
      </c>
      <c r="D76" s="13">
        <f t="shared" si="1"/>
        <v>7.4228345615721461E-2</v>
      </c>
    </row>
    <row r="77" spans="1:4" x14ac:dyDescent="0.35">
      <c r="A77" s="10">
        <v>35735</v>
      </c>
      <c r="B77" s="15">
        <f>VLOOKUP(A77,Database!A:Q,MATCH($A$1,Database!$A$1:$Q$1,),)</f>
        <v>10217</v>
      </c>
      <c r="C77" s="12">
        <f t="shared" si="2"/>
        <v>1.5808311791608669E-2</v>
      </c>
      <c r="D77" s="13">
        <f t="shared" si="1"/>
        <v>8.5298491608243043E-2</v>
      </c>
    </row>
    <row r="78" spans="1:4" x14ac:dyDescent="0.35">
      <c r="A78" s="11">
        <v>35765</v>
      </c>
      <c r="B78" s="15">
        <f>VLOOKUP(A78,Database!A:Q,MATCH($A$1,Database!$A$1:$Q$1,),)</f>
        <v>10201</v>
      </c>
      <c r="C78" s="12">
        <f t="shared" si="2"/>
        <v>-1.5660174219438191E-3</v>
      </c>
      <c r="D78" s="13">
        <f t="shared" si="1"/>
        <v>7.3224618621778009E-2</v>
      </c>
    </row>
    <row r="79" spans="1:4" x14ac:dyDescent="0.35">
      <c r="A79" s="10">
        <v>35796</v>
      </c>
      <c r="B79" s="15">
        <f>VLOOKUP(A79,Database!A:Q,MATCH($A$1,Database!$A$1:$Q$1,),)</f>
        <v>10382</v>
      </c>
      <c r="C79" s="12">
        <f t="shared" si="2"/>
        <v>1.7743358494265268E-2</v>
      </c>
      <c r="D79" s="13">
        <f t="shared" si="1"/>
        <v>9.8856900931414055E-2</v>
      </c>
    </row>
    <row r="80" spans="1:4" x14ac:dyDescent="0.35">
      <c r="A80" s="11">
        <v>35827</v>
      </c>
      <c r="B80" s="15">
        <f>VLOOKUP(A80,Database!A:Q,MATCH($A$1,Database!$A$1:$Q$1,),)</f>
        <v>10406</v>
      </c>
      <c r="C80" s="12">
        <f t="shared" si="2"/>
        <v>2.3116933153534964E-3</v>
      </c>
      <c r="D80" s="13">
        <f t="shared" si="1"/>
        <v>7.8453725774691674E-2</v>
      </c>
    </row>
    <row r="81" spans="1:4" x14ac:dyDescent="0.35">
      <c r="A81" s="10">
        <v>35855</v>
      </c>
      <c r="B81" s="15">
        <f>VLOOKUP(A81,Database!A:Q,MATCH($A$1,Database!$A$1:$Q$1,),)</f>
        <v>10393</v>
      </c>
      <c r="C81" s="12">
        <f t="shared" si="2"/>
        <v>-1.2492792619642513E-3</v>
      </c>
      <c r="D81" s="13">
        <f t="shared" si="1"/>
        <v>4.7470268091110664E-2</v>
      </c>
    </row>
    <row r="82" spans="1:4" x14ac:dyDescent="0.35">
      <c r="A82" s="11">
        <v>35886</v>
      </c>
      <c r="B82" s="15">
        <f>VLOOKUP(A82,Database!A:Q,MATCH($A$1,Database!$A$1:$Q$1,),)</f>
        <v>10620</v>
      </c>
      <c r="C82" s="12">
        <f t="shared" si="2"/>
        <v>2.1841624170114499E-2</v>
      </c>
      <c r="D82" s="13">
        <f t="shared" si="1"/>
        <v>0.10879097932762581</v>
      </c>
    </row>
    <row r="83" spans="1:4" x14ac:dyDescent="0.35">
      <c r="A83" s="10">
        <v>35916</v>
      </c>
      <c r="B83" s="15">
        <f>VLOOKUP(A83,Database!A:Q,MATCH($A$1,Database!$A$1:$Q$1,),)</f>
        <v>10645</v>
      </c>
      <c r="C83" s="12">
        <f t="shared" si="2"/>
        <v>2.3540489642184556E-3</v>
      </c>
      <c r="D83" s="13">
        <f t="shared" ref="D83:D146" si="3">(B83-B71)/B71</f>
        <v>9.4939312898580541E-2</v>
      </c>
    </row>
    <row r="84" spans="1:4" x14ac:dyDescent="0.35">
      <c r="A84" s="11">
        <v>35947</v>
      </c>
      <c r="B84" s="15">
        <f>VLOOKUP(A84,Database!A:Q,MATCH($A$1,Database!$A$1:$Q$1,),)</f>
        <v>10672</v>
      </c>
      <c r="C84" s="12">
        <f t="shared" si="2"/>
        <v>2.5364020666979801E-3</v>
      </c>
      <c r="D84" s="13">
        <f t="shared" si="3"/>
        <v>7.624041952400161E-2</v>
      </c>
    </row>
    <row r="85" spans="1:4" x14ac:dyDescent="0.35">
      <c r="A85" s="10">
        <v>35977</v>
      </c>
      <c r="B85" s="15">
        <f>VLOOKUP(A85,Database!A:Q,MATCH($A$1,Database!$A$1:$Q$1,),)</f>
        <v>10828</v>
      </c>
      <c r="C85" s="12">
        <f t="shared" si="2"/>
        <v>1.4617691154422789E-2</v>
      </c>
      <c r="D85" s="13">
        <f t="shared" si="3"/>
        <v>8.8241206030150759E-2</v>
      </c>
    </row>
    <row r="86" spans="1:4" x14ac:dyDescent="0.35">
      <c r="A86" s="11">
        <v>36008</v>
      </c>
      <c r="B86" s="15">
        <f>VLOOKUP(A86,Database!A:Q,MATCH($A$1,Database!$A$1:$Q$1,),)</f>
        <v>11019</v>
      </c>
      <c r="C86" s="12">
        <f t="shared" si="2"/>
        <v>1.7639453269301809E-2</v>
      </c>
      <c r="D86" s="13">
        <f t="shared" si="3"/>
        <v>0.10311342476724397</v>
      </c>
    </row>
    <row r="87" spans="1:4" x14ac:dyDescent="0.35">
      <c r="A87" s="10">
        <v>36039</v>
      </c>
      <c r="B87" s="15">
        <f>VLOOKUP(A87,Database!A:Q,MATCH($A$1,Database!$A$1:$Q$1,),)</f>
        <v>10985</v>
      </c>
      <c r="C87" s="12">
        <f t="shared" si="2"/>
        <v>-3.0855794536709322E-3</v>
      </c>
      <c r="D87" s="13">
        <f t="shared" si="3"/>
        <v>9.0106182395554235E-2</v>
      </c>
    </row>
    <row r="88" spans="1:4" x14ac:dyDescent="0.35">
      <c r="A88" s="11">
        <v>36069</v>
      </c>
      <c r="B88" s="15">
        <f>VLOOKUP(A88,Database!A:Q,MATCH($A$1,Database!$A$1:$Q$1,),)</f>
        <v>11106</v>
      </c>
      <c r="C88" s="12">
        <f t="shared" si="2"/>
        <v>1.1015020482476105E-2</v>
      </c>
      <c r="D88" s="13">
        <f t="shared" si="3"/>
        <v>0.10419566514217539</v>
      </c>
    </row>
    <row r="89" spans="1:4" x14ac:dyDescent="0.35">
      <c r="A89" s="10">
        <v>36100</v>
      </c>
      <c r="B89" s="15">
        <f>VLOOKUP(A89,Database!A:Q,MATCH($A$1,Database!$A$1:$Q$1,),)</f>
        <v>11232</v>
      </c>
      <c r="C89" s="12">
        <f t="shared" si="2"/>
        <v>1.1345218800648298E-2</v>
      </c>
      <c r="D89" s="13">
        <f t="shared" si="3"/>
        <v>9.9344230204561026E-2</v>
      </c>
    </row>
    <row r="90" spans="1:4" x14ac:dyDescent="0.35">
      <c r="A90" s="11">
        <v>36130</v>
      </c>
      <c r="B90" s="15">
        <f>VLOOKUP(A90,Database!A:Q,MATCH($A$1,Database!$A$1:$Q$1,),)</f>
        <v>11311</v>
      </c>
      <c r="C90" s="12">
        <f t="shared" si="2"/>
        <v>7.0334757834757834E-3</v>
      </c>
      <c r="D90" s="13">
        <f t="shared" si="3"/>
        <v>0.10881286148416822</v>
      </c>
    </row>
    <row r="91" spans="1:4" x14ac:dyDescent="0.35">
      <c r="A91" s="10">
        <v>36161</v>
      </c>
      <c r="B91" s="15">
        <f>VLOOKUP(A91,Database!A:Q,MATCH($A$1,Database!$A$1:$Q$1,),)</f>
        <v>11415</v>
      </c>
      <c r="C91" s="12">
        <f t="shared" si="2"/>
        <v>9.1945893378127478E-3</v>
      </c>
      <c r="D91" s="13">
        <f t="shared" si="3"/>
        <v>9.9499133115006744E-2</v>
      </c>
    </row>
    <row r="92" spans="1:4" x14ac:dyDescent="0.35">
      <c r="A92" s="11">
        <v>36192</v>
      </c>
      <c r="B92" s="15">
        <f>VLOOKUP(A92,Database!A:Q,MATCH($A$1,Database!$A$1:$Q$1,),)</f>
        <v>11498</v>
      </c>
      <c r="C92" s="12">
        <f t="shared" si="2"/>
        <v>7.2711344721857205E-3</v>
      </c>
      <c r="D92" s="13">
        <f t="shared" si="3"/>
        <v>0.10493945800499711</v>
      </c>
    </row>
    <row r="93" spans="1:4" x14ac:dyDescent="0.35">
      <c r="A93" s="10">
        <v>36220</v>
      </c>
      <c r="B93" s="15">
        <f>VLOOKUP(A93,Database!A:Q,MATCH($A$1,Database!$A$1:$Q$1,),)</f>
        <v>11595</v>
      </c>
      <c r="C93" s="12">
        <f t="shared" si="2"/>
        <v>8.4362497825708812E-3</v>
      </c>
      <c r="D93" s="13">
        <f t="shared" si="3"/>
        <v>0.11565476763206003</v>
      </c>
    </row>
    <row r="94" spans="1:4" x14ac:dyDescent="0.35">
      <c r="A94" s="11">
        <v>36251</v>
      </c>
      <c r="B94" s="15">
        <f>VLOOKUP(A94,Database!A:Q,MATCH($A$1,Database!$A$1:$Q$1,),)</f>
        <v>11619</v>
      </c>
      <c r="C94" s="12">
        <f t="shared" si="2"/>
        <v>2.0698576972833119E-3</v>
      </c>
      <c r="D94" s="13">
        <f t="shared" si="3"/>
        <v>9.4067796610169493E-2</v>
      </c>
    </row>
    <row r="95" spans="1:4" x14ac:dyDescent="0.35">
      <c r="A95" s="10">
        <v>36281</v>
      </c>
      <c r="B95" s="15">
        <f>VLOOKUP(A95,Database!A:Q,MATCH($A$1,Database!$A$1:$Q$1,),)</f>
        <v>11741</v>
      </c>
      <c r="C95" s="12">
        <f t="shared" si="2"/>
        <v>1.0500043032963249E-2</v>
      </c>
      <c r="D95" s="13">
        <f t="shared" si="3"/>
        <v>0.10295913574448097</v>
      </c>
    </row>
    <row r="96" spans="1:4" x14ac:dyDescent="0.35">
      <c r="A96" s="11">
        <v>36312</v>
      </c>
      <c r="B96" s="15">
        <f>VLOOKUP(A96,Database!A:Q,MATCH($A$1,Database!$A$1:$Q$1,),)</f>
        <v>11837</v>
      </c>
      <c r="C96" s="12">
        <f t="shared" si="2"/>
        <v>8.1764755983306358E-3</v>
      </c>
      <c r="D96" s="13">
        <f t="shared" si="3"/>
        <v>0.10916416791604198</v>
      </c>
    </row>
    <row r="97" spans="1:4" x14ac:dyDescent="0.35">
      <c r="A97" s="10">
        <v>36342</v>
      </c>
      <c r="B97" s="15">
        <f>VLOOKUP(A97,Database!A:Q,MATCH($A$1,Database!$A$1:$Q$1,),)</f>
        <v>11857</v>
      </c>
      <c r="C97" s="12">
        <f t="shared" si="2"/>
        <v>1.6896173016811692E-3</v>
      </c>
      <c r="D97" s="13">
        <f t="shared" si="3"/>
        <v>9.5031400073882527E-2</v>
      </c>
    </row>
    <row r="98" spans="1:4" x14ac:dyDescent="0.35">
      <c r="A98" s="11">
        <v>36373</v>
      </c>
      <c r="B98" s="15">
        <f>VLOOKUP(A98,Database!A:Q,MATCH($A$1,Database!$A$1:$Q$1,),)</f>
        <v>11848</v>
      </c>
      <c r="C98" s="12">
        <f t="shared" si="2"/>
        <v>-7.5904528970228557E-4</v>
      </c>
      <c r="D98" s="13">
        <f t="shared" si="3"/>
        <v>7.5233687267447141E-2</v>
      </c>
    </row>
    <row r="99" spans="1:4" x14ac:dyDescent="0.35">
      <c r="A99" s="10">
        <v>36404</v>
      </c>
      <c r="B99" s="15">
        <f>VLOOKUP(A99,Database!A:Q,MATCH($A$1,Database!$A$1:$Q$1,),)</f>
        <v>11993</v>
      </c>
      <c r="C99" s="12">
        <f t="shared" si="2"/>
        <v>1.2238352464550978E-2</v>
      </c>
      <c r="D99" s="13">
        <f t="shared" si="3"/>
        <v>9.1761492944924902E-2</v>
      </c>
    </row>
    <row r="100" spans="1:4" x14ac:dyDescent="0.35">
      <c r="A100" s="11">
        <v>36434</v>
      </c>
      <c r="B100" s="15">
        <f>VLOOKUP(A100,Database!A:Q,MATCH($A$1,Database!$A$1:$Q$1,),)</f>
        <v>12155</v>
      </c>
      <c r="C100" s="12">
        <f t="shared" si="2"/>
        <v>1.3507879596431252E-2</v>
      </c>
      <c r="D100" s="13">
        <f t="shared" si="3"/>
        <v>9.4453448586349714E-2</v>
      </c>
    </row>
    <row r="101" spans="1:4" x14ac:dyDescent="0.35">
      <c r="A101" s="10">
        <v>36465</v>
      </c>
      <c r="B101" s="15">
        <f>VLOOKUP(A101,Database!A:Q,MATCH($A$1,Database!$A$1:$Q$1,),)</f>
        <v>12258</v>
      </c>
      <c r="C101" s="12">
        <f t="shared" si="2"/>
        <v>8.4738790621143555E-3</v>
      </c>
      <c r="D101" s="13">
        <f t="shared" si="3"/>
        <v>9.1346153846153841E-2</v>
      </c>
    </row>
    <row r="102" spans="1:4" x14ac:dyDescent="0.35">
      <c r="A102" s="11">
        <v>36495</v>
      </c>
      <c r="B102" s="15">
        <f>VLOOKUP(A102,Database!A:Q,MATCH($A$1,Database!$A$1:$Q$1,),)</f>
        <v>12801</v>
      </c>
      <c r="C102" s="12">
        <f t="shared" si="2"/>
        <v>4.4297601566324035E-2</v>
      </c>
      <c r="D102" s="13">
        <f t="shared" si="3"/>
        <v>0.13173017416674035</v>
      </c>
    </row>
    <row r="103" spans="1:4" x14ac:dyDescent="0.35">
      <c r="A103" s="10">
        <v>36526</v>
      </c>
      <c r="B103" s="15">
        <f>VLOOKUP(A103,Database!A:Q,MATCH($A$1,Database!$A$1:$Q$1,),)</f>
        <v>12381</v>
      </c>
      <c r="C103" s="12">
        <f t="shared" si="2"/>
        <v>-3.2809936723693464E-2</v>
      </c>
      <c r="D103" s="13">
        <f t="shared" si="3"/>
        <v>8.4625492772667538E-2</v>
      </c>
    </row>
    <row r="104" spans="1:4" x14ac:dyDescent="0.35">
      <c r="A104" s="11">
        <v>36557</v>
      </c>
      <c r="B104" s="15">
        <f>VLOOKUP(A104,Database!A:Q,MATCH($A$1,Database!$A$1:$Q$1,),)</f>
        <v>12386</v>
      </c>
      <c r="C104" s="12">
        <f t="shared" si="2"/>
        <v>4.0384460059769001E-4</v>
      </c>
      <c r="D104" s="13">
        <f t="shared" si="3"/>
        <v>7.7230822751782918E-2</v>
      </c>
    </row>
    <row r="105" spans="1:4" x14ac:dyDescent="0.35">
      <c r="A105" s="10">
        <v>36586</v>
      </c>
      <c r="B105" s="15">
        <f>VLOOKUP(A105,Database!A:Q,MATCH($A$1,Database!$A$1:$Q$1,),)</f>
        <v>12580</v>
      </c>
      <c r="C105" s="12">
        <f t="shared" si="2"/>
        <v>1.5662845147747458E-2</v>
      </c>
      <c r="D105" s="13">
        <f t="shared" si="3"/>
        <v>8.4950409659335924E-2</v>
      </c>
    </row>
    <row r="106" spans="1:4" x14ac:dyDescent="0.35">
      <c r="A106" s="11">
        <v>36617</v>
      </c>
      <c r="B106" s="15">
        <f>VLOOKUP(A106,Database!A:Q,MATCH($A$1,Database!$A$1:$Q$1,),)</f>
        <v>12733</v>
      </c>
      <c r="C106" s="12">
        <f t="shared" si="2"/>
        <v>1.2162162162162163E-2</v>
      </c>
      <c r="D106" s="13">
        <f t="shared" si="3"/>
        <v>9.587744212066443E-2</v>
      </c>
    </row>
    <row r="107" spans="1:4" x14ac:dyDescent="0.35">
      <c r="A107" s="10">
        <v>36647</v>
      </c>
      <c r="B107" s="15">
        <f>VLOOKUP(A107,Database!A:Q,MATCH($A$1,Database!$A$1:$Q$1,),)</f>
        <v>12814</v>
      </c>
      <c r="C107" s="12">
        <f t="shared" si="2"/>
        <v>6.3614230739024585E-3</v>
      </c>
      <c r="D107" s="13">
        <f t="shared" si="3"/>
        <v>9.1389149135508052E-2</v>
      </c>
    </row>
    <row r="108" spans="1:4" x14ac:dyDescent="0.35">
      <c r="A108" s="11">
        <v>36678</v>
      </c>
      <c r="B108" s="15">
        <f>VLOOKUP(A108,Database!A:Q,MATCH($A$1,Database!$A$1:$Q$1,),)</f>
        <v>12864</v>
      </c>
      <c r="C108" s="12">
        <f t="shared" si="2"/>
        <v>3.9019822069611362E-3</v>
      </c>
      <c r="D108" s="13">
        <f t="shared" si="3"/>
        <v>8.6761848441328046E-2</v>
      </c>
    </row>
    <row r="109" spans="1:4" x14ac:dyDescent="0.35">
      <c r="A109" s="10">
        <v>36708</v>
      </c>
      <c r="B109" s="15">
        <f>VLOOKUP(A109,Database!A:Q,MATCH($A$1,Database!$A$1:$Q$1,),)</f>
        <v>12967</v>
      </c>
      <c r="C109" s="12">
        <f t="shared" si="2"/>
        <v>8.0068407960199005E-3</v>
      </c>
      <c r="D109" s="13">
        <f t="shared" si="3"/>
        <v>9.3615585729948547E-2</v>
      </c>
    </row>
    <row r="110" spans="1:4" x14ac:dyDescent="0.35">
      <c r="A110" s="11">
        <v>36739</v>
      </c>
      <c r="B110" s="15">
        <f>VLOOKUP(A110,Database!A:Q,MATCH($A$1,Database!$A$1:$Q$1,),)</f>
        <v>13034</v>
      </c>
      <c r="C110" s="12">
        <f t="shared" si="2"/>
        <v>5.1669622888871752E-3</v>
      </c>
      <c r="D110" s="13">
        <f t="shared" si="3"/>
        <v>0.100101282916948</v>
      </c>
    </row>
    <row r="111" spans="1:4" x14ac:dyDescent="0.35">
      <c r="A111" s="10">
        <v>36770</v>
      </c>
      <c r="B111" s="15">
        <f>VLOOKUP(A111,Database!A:Q,MATCH($A$1,Database!$A$1:$Q$1,),)</f>
        <v>13233</v>
      </c>
      <c r="C111" s="12">
        <f t="shared" si="2"/>
        <v>1.526776123983428E-2</v>
      </c>
      <c r="D111" s="13">
        <f t="shared" si="3"/>
        <v>0.1033936462936713</v>
      </c>
    </row>
    <row r="112" spans="1:4" x14ac:dyDescent="0.35">
      <c r="A112" s="11">
        <v>36800</v>
      </c>
      <c r="B112" s="15">
        <f>VLOOKUP(A112,Database!A:Q,MATCH($A$1,Database!$A$1:$Q$1,),)</f>
        <v>13302</v>
      </c>
      <c r="C112" s="12">
        <f t="shared" si="2"/>
        <v>5.2142371344366355E-3</v>
      </c>
      <c r="D112" s="13">
        <f t="shared" si="3"/>
        <v>9.4364459070341425E-2</v>
      </c>
    </row>
    <row r="113" spans="1:4" x14ac:dyDescent="0.35">
      <c r="A113" s="10">
        <v>36831</v>
      </c>
      <c r="B113" s="15">
        <f>VLOOKUP(A113,Database!A:Q,MATCH($A$1,Database!$A$1:$Q$1,),)</f>
        <v>13340</v>
      </c>
      <c r="C113" s="12">
        <f t="shared" si="2"/>
        <v>2.8567132761990678E-3</v>
      </c>
      <c r="D113" s="13">
        <f t="shared" si="3"/>
        <v>8.8268885625713819E-2</v>
      </c>
    </row>
    <row r="114" spans="1:4" x14ac:dyDescent="0.35">
      <c r="A114" s="11">
        <v>36861</v>
      </c>
      <c r="B114" s="15">
        <f>VLOOKUP(A114,Database!A:Q,MATCH($A$1,Database!$A$1:$Q$1,),)</f>
        <v>13527</v>
      </c>
      <c r="C114" s="12">
        <f t="shared" si="2"/>
        <v>1.4017991004497752E-2</v>
      </c>
      <c r="D114" s="13">
        <f t="shared" si="3"/>
        <v>5.6714319193812986E-2</v>
      </c>
    </row>
    <row r="115" spans="1:4" x14ac:dyDescent="0.35">
      <c r="A115" s="10">
        <v>36892</v>
      </c>
      <c r="B115" s="15">
        <f>VLOOKUP(A115,Database!A:Q,MATCH($A$1,Database!$A$1:$Q$1,),)</f>
        <v>13413</v>
      </c>
      <c r="C115" s="12">
        <f t="shared" si="2"/>
        <v>-8.4275892659126193E-3</v>
      </c>
      <c r="D115" s="13">
        <f t="shared" si="3"/>
        <v>8.3353525563363215E-2</v>
      </c>
    </row>
    <row r="116" spans="1:4" x14ac:dyDescent="0.35">
      <c r="A116" s="11">
        <v>36923</v>
      </c>
      <c r="B116" s="15">
        <f>VLOOKUP(A116,Database!A:Q,MATCH($A$1,Database!$A$1:$Q$1,),)</f>
        <v>13582</v>
      </c>
      <c r="C116" s="12">
        <f t="shared" si="2"/>
        <v>1.2599716692760754E-2</v>
      </c>
      <c r="D116" s="13">
        <f t="shared" si="3"/>
        <v>9.6560632972711127E-2</v>
      </c>
    </row>
    <row r="117" spans="1:4" x14ac:dyDescent="0.35">
      <c r="A117" s="10">
        <v>36951</v>
      </c>
      <c r="B117" s="15">
        <f>VLOOKUP(A117,Database!A:Q,MATCH($A$1,Database!$A$1:$Q$1,),)</f>
        <v>13650</v>
      </c>
      <c r="C117" s="12">
        <f t="shared" si="2"/>
        <v>5.006626417317037E-3</v>
      </c>
      <c r="D117" s="13">
        <f t="shared" si="3"/>
        <v>8.505564387917329E-2</v>
      </c>
    </row>
    <row r="118" spans="1:4" x14ac:dyDescent="0.35">
      <c r="A118" s="11">
        <v>36982</v>
      </c>
      <c r="B118" s="15">
        <f>VLOOKUP(A118,Database!A:Q,MATCH($A$1,Database!$A$1:$Q$1,),)</f>
        <v>13643</v>
      </c>
      <c r="C118" s="12">
        <f t="shared" si="2"/>
        <v>-5.1282051282051282E-4</v>
      </c>
      <c r="D118" s="13">
        <f t="shared" si="3"/>
        <v>7.146783947223749E-2</v>
      </c>
    </row>
    <row r="119" spans="1:4" x14ac:dyDescent="0.35">
      <c r="A119" s="10">
        <v>37012</v>
      </c>
      <c r="B119" s="15">
        <f>VLOOKUP(A119,Database!A:Q,MATCH($A$1,Database!$A$1:$Q$1,),)</f>
        <v>13812</v>
      </c>
      <c r="C119" s="12">
        <f t="shared" si="2"/>
        <v>1.2387304844975446E-2</v>
      </c>
      <c r="D119" s="13">
        <f t="shared" si="3"/>
        <v>7.7883564850944276E-2</v>
      </c>
    </row>
    <row r="120" spans="1:4" x14ac:dyDescent="0.35">
      <c r="A120" s="11">
        <v>37043</v>
      </c>
      <c r="B120" s="15">
        <f>VLOOKUP(A120,Database!A:Q,MATCH($A$1,Database!$A$1:$Q$1,),)</f>
        <v>13843</v>
      </c>
      <c r="C120" s="12">
        <f t="shared" si="2"/>
        <v>2.2444251375615407E-3</v>
      </c>
      <c r="D120" s="13">
        <f t="shared" si="3"/>
        <v>7.6103855721393041E-2</v>
      </c>
    </row>
    <row r="121" spans="1:4" x14ac:dyDescent="0.35">
      <c r="A121" s="10">
        <v>37073</v>
      </c>
      <c r="B121" s="15">
        <f>VLOOKUP(A121,Database!A:Q,MATCH($A$1,Database!$A$1:$Q$1,),)</f>
        <v>13879</v>
      </c>
      <c r="C121" s="12">
        <f t="shared" si="2"/>
        <v>2.600592357148017E-3</v>
      </c>
      <c r="D121" s="13">
        <f t="shared" si="3"/>
        <v>7.0332382200971696E-2</v>
      </c>
    </row>
    <row r="122" spans="1:4" x14ac:dyDescent="0.35">
      <c r="A122" s="11">
        <v>37104</v>
      </c>
      <c r="B122" s="15">
        <f>VLOOKUP(A122,Database!A:Q,MATCH($A$1,Database!$A$1:$Q$1,),)</f>
        <v>14004</v>
      </c>
      <c r="C122" s="12">
        <f t="shared" si="2"/>
        <v>9.0064125657468123E-3</v>
      </c>
      <c r="D122" s="13">
        <f t="shared" si="3"/>
        <v>7.4420745741905783E-2</v>
      </c>
    </row>
    <row r="123" spans="1:4" x14ac:dyDescent="0.35">
      <c r="A123" s="10">
        <v>37135</v>
      </c>
      <c r="B123" s="15">
        <f>VLOOKUP(A123,Database!A:Q,MATCH($A$1,Database!$A$1:$Q$1,),)</f>
        <v>13894</v>
      </c>
      <c r="C123" s="12">
        <f t="shared" si="2"/>
        <v>-7.8548986003998851E-3</v>
      </c>
      <c r="D123" s="13">
        <f t="shared" si="3"/>
        <v>4.9950880374820525E-2</v>
      </c>
    </row>
    <row r="124" spans="1:4" x14ac:dyDescent="0.35">
      <c r="A124" s="11">
        <v>37165</v>
      </c>
      <c r="B124" s="15">
        <f>VLOOKUP(A124,Database!A:Q,MATCH($A$1,Database!$A$1:$Q$1,),)</f>
        <v>14298</v>
      </c>
      <c r="C124" s="12">
        <f t="shared" si="2"/>
        <v>2.9077299553764216E-2</v>
      </c>
      <c r="D124" s="13">
        <f t="shared" si="3"/>
        <v>7.4875958502480827E-2</v>
      </c>
    </row>
    <row r="125" spans="1:4" x14ac:dyDescent="0.35">
      <c r="A125" s="10">
        <v>37196</v>
      </c>
      <c r="B125" s="15">
        <f>VLOOKUP(A125,Database!A:Q,MATCH($A$1,Database!$A$1:$Q$1,),)</f>
        <v>14280</v>
      </c>
      <c r="C125" s="12">
        <f t="shared" si="2"/>
        <v>-1.258917331095258E-3</v>
      </c>
      <c r="D125" s="13">
        <f t="shared" si="3"/>
        <v>7.0464767616191901E-2</v>
      </c>
    </row>
    <row r="126" spans="1:4" x14ac:dyDescent="0.35">
      <c r="A126" s="11">
        <v>37226</v>
      </c>
      <c r="B126" s="15">
        <f>VLOOKUP(A126,Database!A:Q,MATCH($A$1,Database!$A$1:$Q$1,),)</f>
        <v>14350</v>
      </c>
      <c r="C126" s="12">
        <f t="shared" si="2"/>
        <v>4.9019607843137254E-3</v>
      </c>
      <c r="D126" s="13">
        <f t="shared" si="3"/>
        <v>6.0841280402158644E-2</v>
      </c>
    </row>
    <row r="127" spans="1:4" x14ac:dyDescent="0.35">
      <c r="A127" s="10">
        <v>37257</v>
      </c>
      <c r="B127" s="15">
        <f>VLOOKUP(A127,Database!A:Q,MATCH($A$1,Database!$A$1:$Q$1,),)</f>
        <v>14525</v>
      </c>
      <c r="C127" s="12">
        <f t="shared" si="2"/>
        <v>1.2195121951219513E-2</v>
      </c>
      <c r="D127" s="13">
        <f t="shared" si="3"/>
        <v>8.29046447476329E-2</v>
      </c>
    </row>
    <row r="128" spans="1:4" x14ac:dyDescent="0.35">
      <c r="A128" s="11">
        <v>37288</v>
      </c>
      <c r="B128" s="15">
        <f>VLOOKUP(A128,Database!A:Q,MATCH($A$1,Database!$A$1:$Q$1,),)</f>
        <v>14747</v>
      </c>
      <c r="C128" s="12">
        <f t="shared" si="2"/>
        <v>1.5283993115318417E-2</v>
      </c>
      <c r="D128" s="13">
        <f t="shared" si="3"/>
        <v>8.5775290826093364E-2</v>
      </c>
    </row>
    <row r="129" spans="1:4" x14ac:dyDescent="0.35">
      <c r="A129" s="10">
        <v>37316</v>
      </c>
      <c r="B129" s="15">
        <f>VLOOKUP(A129,Database!A:Q,MATCH($A$1,Database!$A$1:$Q$1,),)</f>
        <v>14745</v>
      </c>
      <c r="C129" s="12">
        <f t="shared" si="2"/>
        <v>-1.3562080423136909E-4</v>
      </c>
      <c r="D129" s="13">
        <f t="shared" si="3"/>
        <v>8.0219780219780226E-2</v>
      </c>
    </row>
    <row r="130" spans="1:4" x14ac:dyDescent="0.35">
      <c r="A130" s="11">
        <v>37347</v>
      </c>
      <c r="B130" s="15">
        <f>VLOOKUP(A130,Database!A:Q,MATCH($A$1,Database!$A$1:$Q$1,),)</f>
        <v>14940</v>
      </c>
      <c r="C130" s="12">
        <f t="shared" si="2"/>
        <v>1.3224821973550356E-2</v>
      </c>
      <c r="D130" s="13">
        <f t="shared" si="3"/>
        <v>9.5067067360551205E-2</v>
      </c>
    </row>
    <row r="131" spans="1:4" x14ac:dyDescent="0.35">
      <c r="A131" s="10">
        <v>37377</v>
      </c>
      <c r="B131" s="15">
        <f>VLOOKUP(A131,Database!A:Q,MATCH($A$1,Database!$A$1:$Q$1,),)</f>
        <v>14903</v>
      </c>
      <c r="C131" s="12">
        <f t="shared" si="2"/>
        <v>-2.4765729585006693E-3</v>
      </c>
      <c r="D131" s="13">
        <f t="shared" si="3"/>
        <v>7.898928467998842E-2</v>
      </c>
    </row>
    <row r="132" spans="1:4" x14ac:dyDescent="0.35">
      <c r="A132" s="11">
        <v>37408</v>
      </c>
      <c r="B132" s="15">
        <f>VLOOKUP(A132,Database!A:Q,MATCH($A$1,Database!$A$1:$Q$1,),)</f>
        <v>14947</v>
      </c>
      <c r="C132" s="12">
        <f t="shared" si="2"/>
        <v>2.952425686103469E-3</v>
      </c>
      <c r="D132" s="13">
        <f t="shared" si="3"/>
        <v>7.975149895253919E-2</v>
      </c>
    </row>
    <row r="133" spans="1:4" x14ac:dyDescent="0.35">
      <c r="A133" s="10">
        <v>37438</v>
      </c>
      <c r="B133" s="15">
        <f>VLOOKUP(A133,Database!A:Q,MATCH($A$1,Database!$A$1:$Q$1,),)</f>
        <v>15004</v>
      </c>
      <c r="C133" s="12">
        <f t="shared" si="2"/>
        <v>3.8134742757744027E-3</v>
      </c>
      <c r="D133" s="13">
        <f t="shared" si="3"/>
        <v>8.1057713091721301E-2</v>
      </c>
    </row>
    <row r="134" spans="1:4" x14ac:dyDescent="0.35">
      <c r="A134" s="11">
        <v>37469</v>
      </c>
      <c r="B134" s="15">
        <f>VLOOKUP(A134,Database!A:Q,MATCH($A$1,Database!$A$1:$Q$1,),)</f>
        <v>15120</v>
      </c>
      <c r="C134" s="12">
        <f t="shared" si="2"/>
        <v>7.7312716608904288E-3</v>
      </c>
      <c r="D134" s="13">
        <f t="shared" si="3"/>
        <v>7.9691516709511565E-2</v>
      </c>
    </row>
    <row r="135" spans="1:4" x14ac:dyDescent="0.35">
      <c r="A135" s="10">
        <v>37500</v>
      </c>
      <c r="B135" s="15">
        <f>VLOOKUP(A135,Database!A:Q,MATCH($A$1,Database!$A$1:$Q$1,),)</f>
        <v>15288</v>
      </c>
      <c r="C135" s="12">
        <f t="shared" si="2"/>
        <v>1.1111111111111112E-2</v>
      </c>
      <c r="D135" s="13">
        <f t="shared" si="3"/>
        <v>0.10033107816323593</v>
      </c>
    </row>
    <row r="136" spans="1:4" x14ac:dyDescent="0.35">
      <c r="A136" s="11">
        <v>37530</v>
      </c>
      <c r="B136" s="15">
        <f>VLOOKUP(A136,Database!A:Q,MATCH($A$1,Database!$A$1:$Q$1,),)</f>
        <v>15298</v>
      </c>
      <c r="C136" s="12">
        <f t="shared" ref="C136:C199" si="4">(B136-B135)/B135</f>
        <v>6.5410779696493981E-4</v>
      </c>
      <c r="D136" s="13">
        <f t="shared" si="3"/>
        <v>6.9939851727514338E-2</v>
      </c>
    </row>
    <row r="137" spans="1:4" x14ac:dyDescent="0.35">
      <c r="A137" s="10">
        <v>37561</v>
      </c>
      <c r="B137" s="15">
        <f>VLOOKUP(A137,Database!A:Q,MATCH($A$1,Database!$A$1:$Q$1,),)</f>
        <v>15348</v>
      </c>
      <c r="C137" s="12">
        <f t="shared" si="4"/>
        <v>3.268401098182769E-3</v>
      </c>
      <c r="D137" s="13">
        <f t="shared" si="3"/>
        <v>7.4789915966386553E-2</v>
      </c>
    </row>
    <row r="138" spans="1:4" x14ac:dyDescent="0.35">
      <c r="A138" s="11">
        <v>37591</v>
      </c>
      <c r="B138" s="15">
        <f>VLOOKUP(A138,Database!A:Q,MATCH($A$1,Database!$A$1:$Q$1,),)</f>
        <v>15293</v>
      </c>
      <c r="C138" s="12">
        <f t="shared" si="4"/>
        <v>-3.5835287985405266E-3</v>
      </c>
      <c r="D138" s="13">
        <f t="shared" si="3"/>
        <v>6.5714285714285711E-2</v>
      </c>
    </row>
    <row r="139" spans="1:4" x14ac:dyDescent="0.35">
      <c r="A139" s="10">
        <v>37622</v>
      </c>
      <c r="B139" s="15">
        <f>VLOOKUP(A139,Database!A:Q,MATCH($A$1,Database!$A$1:$Q$1,),)</f>
        <v>15441</v>
      </c>
      <c r="C139" s="12">
        <f t="shared" si="4"/>
        <v>9.6776302883672272E-3</v>
      </c>
      <c r="D139" s="13">
        <f t="shared" si="3"/>
        <v>6.3063683304647164E-2</v>
      </c>
    </row>
    <row r="140" spans="1:4" x14ac:dyDescent="0.35">
      <c r="A140" s="11">
        <v>37653</v>
      </c>
      <c r="B140" s="15">
        <f>VLOOKUP(A140,Database!A:Q,MATCH($A$1,Database!$A$1:$Q$1,),)</f>
        <v>15534</v>
      </c>
      <c r="C140" s="12">
        <f t="shared" si="4"/>
        <v>6.0229259762968716E-3</v>
      </c>
      <c r="D140" s="13">
        <f t="shared" si="3"/>
        <v>5.3366786465043739E-2</v>
      </c>
    </row>
    <row r="141" spans="1:4" x14ac:dyDescent="0.35">
      <c r="A141" s="10">
        <v>37681</v>
      </c>
      <c r="B141" s="15">
        <f>VLOOKUP(A141,Database!A:Q,MATCH($A$1,Database!$A$1:$Q$1,),)</f>
        <v>15677</v>
      </c>
      <c r="C141" s="12">
        <f t="shared" si="4"/>
        <v>9.2056134929831331E-3</v>
      </c>
      <c r="D141" s="13">
        <f t="shared" si="3"/>
        <v>6.3207867073584265E-2</v>
      </c>
    </row>
    <row r="142" spans="1:4" x14ac:dyDescent="0.35">
      <c r="A142" s="11">
        <v>37712</v>
      </c>
      <c r="B142" s="15">
        <f>VLOOKUP(A142,Database!A:Q,MATCH($A$1,Database!$A$1:$Q$1,),)</f>
        <v>15705</v>
      </c>
      <c r="C142" s="12">
        <f t="shared" si="4"/>
        <v>1.7860560056133189E-3</v>
      </c>
      <c r="D142" s="13">
        <f t="shared" si="3"/>
        <v>5.1204819277108432E-2</v>
      </c>
    </row>
    <row r="143" spans="1:4" x14ac:dyDescent="0.35">
      <c r="A143" s="10">
        <v>37742</v>
      </c>
      <c r="B143" s="15">
        <f>VLOOKUP(A143,Database!A:Q,MATCH($A$1,Database!$A$1:$Q$1,),)</f>
        <v>15791</v>
      </c>
      <c r="C143" s="12">
        <f t="shared" si="4"/>
        <v>5.4759630690862779E-3</v>
      </c>
      <c r="D143" s="13">
        <f t="shared" si="3"/>
        <v>5.9585318392270013E-2</v>
      </c>
    </row>
    <row r="144" spans="1:4" x14ac:dyDescent="0.35">
      <c r="A144" s="11">
        <v>37773</v>
      </c>
      <c r="B144" s="15">
        <f>VLOOKUP(A144,Database!A:Q,MATCH($A$1,Database!$A$1:$Q$1,),)</f>
        <v>15934</v>
      </c>
      <c r="C144" s="12">
        <f t="shared" si="4"/>
        <v>9.0557912735102272E-3</v>
      </c>
      <c r="D144" s="13">
        <f t="shared" si="3"/>
        <v>6.603331772261993E-2</v>
      </c>
    </row>
    <row r="145" spans="1:4" x14ac:dyDescent="0.35">
      <c r="A145" s="10">
        <v>37803</v>
      </c>
      <c r="B145" s="15">
        <f>VLOOKUP(A145,Database!A:Q,MATCH($A$1,Database!$A$1:$Q$1,),)</f>
        <v>16182</v>
      </c>
      <c r="C145" s="12">
        <f t="shared" si="4"/>
        <v>1.556420233463035E-2</v>
      </c>
      <c r="D145" s="13">
        <f t="shared" si="3"/>
        <v>7.8512396694214878E-2</v>
      </c>
    </row>
    <row r="146" spans="1:4" x14ac:dyDescent="0.35">
      <c r="A146" s="11">
        <v>37834</v>
      </c>
      <c r="B146" s="15">
        <f>VLOOKUP(A146,Database!A:Q,MATCH($A$1,Database!$A$1:$Q$1,),)</f>
        <v>16345</v>
      </c>
      <c r="C146" s="12">
        <f t="shared" si="4"/>
        <v>1.007292052898282E-2</v>
      </c>
      <c r="D146" s="13">
        <f t="shared" si="3"/>
        <v>8.1018518518518517E-2</v>
      </c>
    </row>
    <row r="147" spans="1:4" x14ac:dyDescent="0.35">
      <c r="A147" s="10">
        <v>37865</v>
      </c>
      <c r="B147" s="15">
        <f>VLOOKUP(A147,Database!A:Q,MATCH($A$1,Database!$A$1:$Q$1,),)</f>
        <v>16339</v>
      </c>
      <c r="C147" s="12">
        <f t="shared" si="4"/>
        <v>-3.6708473539308659E-4</v>
      </c>
      <c r="D147" s="13">
        <f t="shared" ref="D147:D210" si="5">(B147-B135)/B135</f>
        <v>6.8746729461015177E-2</v>
      </c>
    </row>
    <row r="148" spans="1:4" x14ac:dyDescent="0.35">
      <c r="A148" s="11">
        <v>37895</v>
      </c>
      <c r="B148" s="15">
        <f>VLOOKUP(A148,Database!A:Q,MATCH($A$1,Database!$A$1:$Q$1,),)</f>
        <v>16434</v>
      </c>
      <c r="C148" s="12">
        <f t="shared" si="4"/>
        <v>5.814309321255891E-3</v>
      </c>
      <c r="D148" s="13">
        <f t="shared" si="5"/>
        <v>7.4258072950712517E-2</v>
      </c>
    </row>
    <row r="149" spans="1:4" x14ac:dyDescent="0.35">
      <c r="A149" s="10">
        <v>37926</v>
      </c>
      <c r="B149" s="15">
        <f>VLOOKUP(A149,Database!A:Q,MATCH($A$1,Database!$A$1:$Q$1,),)</f>
        <v>16500</v>
      </c>
      <c r="C149" s="12">
        <f t="shared" si="4"/>
        <v>4.0160642570281121E-3</v>
      </c>
      <c r="D149" s="13">
        <f t="shared" si="5"/>
        <v>7.5058639562157942E-2</v>
      </c>
    </row>
    <row r="150" spans="1:4" x14ac:dyDescent="0.35">
      <c r="A150" s="11">
        <v>37956</v>
      </c>
      <c r="B150" s="15">
        <f>VLOOKUP(A150,Database!A:Q,MATCH($A$1,Database!$A$1:$Q$1,),)</f>
        <v>16648</v>
      </c>
      <c r="C150" s="12">
        <f t="shared" si="4"/>
        <v>8.9696969696969695E-3</v>
      </c>
      <c r="D150" s="13">
        <f t="shared" si="5"/>
        <v>8.8602628653632387E-2</v>
      </c>
    </row>
    <row r="151" spans="1:4" x14ac:dyDescent="0.35">
      <c r="A151" s="10">
        <v>37987</v>
      </c>
      <c r="B151" s="15">
        <f>VLOOKUP(A151,Database!A:Q,MATCH($A$1,Database!$A$1:$Q$1,),)</f>
        <v>16287</v>
      </c>
      <c r="C151" s="12">
        <f t="shared" si="4"/>
        <v>-2.168428640076886E-2</v>
      </c>
      <c r="D151" s="13">
        <f t="shared" si="5"/>
        <v>5.4789197590829612E-2</v>
      </c>
    </row>
    <row r="152" spans="1:4" x14ac:dyDescent="0.35">
      <c r="A152" s="11">
        <v>38018</v>
      </c>
      <c r="B152" s="15">
        <f>VLOOKUP(A152,Database!A:Q,MATCH($A$1,Database!$A$1:$Q$1,),)</f>
        <v>16133</v>
      </c>
      <c r="C152" s="12">
        <f t="shared" si="4"/>
        <v>-9.4553938724135818E-3</v>
      </c>
      <c r="D152" s="13">
        <f t="shared" si="5"/>
        <v>3.8560576799279003E-2</v>
      </c>
    </row>
    <row r="153" spans="1:4" x14ac:dyDescent="0.35">
      <c r="A153" s="10">
        <v>38047</v>
      </c>
      <c r="B153" s="15">
        <f>VLOOKUP(A153,Database!A:Q,MATCH($A$1,Database!$A$1:$Q$1,),)</f>
        <v>16526</v>
      </c>
      <c r="C153" s="12">
        <f t="shared" si="4"/>
        <v>2.4360007438170211E-2</v>
      </c>
      <c r="D153" s="13">
        <f t="shared" si="5"/>
        <v>5.4155769598775279E-2</v>
      </c>
    </row>
    <row r="154" spans="1:4" x14ac:dyDescent="0.35">
      <c r="A154" s="11">
        <v>38078</v>
      </c>
      <c r="B154" s="15">
        <f>VLOOKUP(A154,Database!A:Q,MATCH($A$1,Database!$A$1:$Q$1,),)</f>
        <v>16476</v>
      </c>
      <c r="C154" s="12">
        <f t="shared" si="4"/>
        <v>-3.0255355197870023E-3</v>
      </c>
      <c r="D154" s="13">
        <f t="shared" si="5"/>
        <v>4.9092645654250242E-2</v>
      </c>
    </row>
    <row r="155" spans="1:4" x14ac:dyDescent="0.35">
      <c r="A155" s="10">
        <v>38108</v>
      </c>
      <c r="B155" s="15">
        <f>VLOOKUP(A155,Database!A:Q,MATCH($A$1,Database!$A$1:$Q$1,),)</f>
        <v>16462</v>
      </c>
      <c r="C155" s="12">
        <f t="shared" si="4"/>
        <v>-8.4972080602087883E-4</v>
      </c>
      <c r="D155" s="13">
        <f t="shared" si="5"/>
        <v>4.2492559052624911E-2</v>
      </c>
    </row>
    <row r="156" spans="1:4" x14ac:dyDescent="0.35">
      <c r="A156" s="11">
        <v>38139</v>
      </c>
      <c r="B156" s="15">
        <f>VLOOKUP(A156,Database!A:Q,MATCH($A$1,Database!$A$1:$Q$1,),)</f>
        <v>16570</v>
      </c>
      <c r="C156" s="12">
        <f t="shared" si="4"/>
        <v>6.5605637225124528E-3</v>
      </c>
      <c r="D156" s="13">
        <f t="shared" si="5"/>
        <v>3.9914647922681061E-2</v>
      </c>
    </row>
    <row r="157" spans="1:4" x14ac:dyDescent="0.35">
      <c r="A157" s="10">
        <v>38169</v>
      </c>
      <c r="B157" s="15">
        <f>VLOOKUP(A157,Database!A:Q,MATCH($A$1,Database!$A$1:$Q$1,),)</f>
        <v>16554</v>
      </c>
      <c r="C157" s="12">
        <f t="shared" si="4"/>
        <v>-9.6560048280024135E-4</v>
      </c>
      <c r="D157" s="13">
        <f t="shared" si="5"/>
        <v>2.2988505747126436E-2</v>
      </c>
    </row>
    <row r="158" spans="1:4" x14ac:dyDescent="0.35">
      <c r="A158" s="11">
        <v>38200</v>
      </c>
      <c r="B158" s="15">
        <f>VLOOKUP(A158,Database!A:Q,MATCH($A$1,Database!$A$1:$Q$1,),)</f>
        <v>16610</v>
      </c>
      <c r="C158" s="12">
        <f t="shared" si="4"/>
        <v>3.3828681889573517E-3</v>
      </c>
      <c r="D158" s="13">
        <f t="shared" si="5"/>
        <v>1.6212909146527989E-2</v>
      </c>
    </row>
    <row r="159" spans="1:4" x14ac:dyDescent="0.35">
      <c r="A159" s="10">
        <v>38231</v>
      </c>
      <c r="B159" s="15">
        <f>VLOOKUP(A159,Database!A:Q,MATCH($A$1,Database!$A$1:$Q$1,),)</f>
        <v>16635</v>
      </c>
      <c r="C159" s="12">
        <f t="shared" si="4"/>
        <v>1.5051173991571343E-3</v>
      </c>
      <c r="D159" s="13">
        <f t="shared" si="5"/>
        <v>1.811616377991309E-2</v>
      </c>
    </row>
    <row r="160" spans="1:4" x14ac:dyDescent="0.35">
      <c r="A160" s="11">
        <v>38261</v>
      </c>
      <c r="B160" s="15">
        <f>VLOOKUP(A160,Database!A:Q,MATCH($A$1,Database!$A$1:$Q$1,),)</f>
        <v>16739</v>
      </c>
      <c r="C160" s="12">
        <f t="shared" si="4"/>
        <v>6.2518785692816355E-3</v>
      </c>
      <c r="D160" s="13">
        <f t="shared" si="5"/>
        <v>1.8559084824145065E-2</v>
      </c>
    </row>
    <row r="161" spans="1:4" x14ac:dyDescent="0.35">
      <c r="A161" s="10">
        <v>38292</v>
      </c>
      <c r="B161" s="15">
        <f>VLOOKUP(A161,Database!A:Q,MATCH($A$1,Database!$A$1:$Q$1,),)</f>
        <v>16813</v>
      </c>
      <c r="C161" s="12">
        <f t="shared" si="4"/>
        <v>4.4208136686779377E-3</v>
      </c>
      <c r="D161" s="13">
        <f t="shared" si="5"/>
        <v>1.896969696969697E-2</v>
      </c>
    </row>
    <row r="162" spans="1:4" x14ac:dyDescent="0.35">
      <c r="A162" s="11">
        <v>38322</v>
      </c>
      <c r="B162" s="15">
        <f>VLOOKUP(A162,Database!A:Q,MATCH($A$1,Database!$A$1:$Q$1,),)</f>
        <v>16882</v>
      </c>
      <c r="C162" s="12">
        <f t="shared" si="4"/>
        <v>4.1039671682626538E-3</v>
      </c>
      <c r="D162" s="13">
        <f t="shared" si="5"/>
        <v>1.4055742431523306E-2</v>
      </c>
    </row>
    <row r="163" spans="1:4" x14ac:dyDescent="0.35">
      <c r="A163" s="10">
        <v>38353</v>
      </c>
      <c r="B163" s="15">
        <f>VLOOKUP(A163,Database!A:Q,MATCH($A$1,Database!$A$1:$Q$1,),)</f>
        <v>17116</v>
      </c>
      <c r="C163" s="12">
        <f t="shared" si="4"/>
        <v>1.3860916952967657E-2</v>
      </c>
      <c r="D163" s="13">
        <f t="shared" si="5"/>
        <v>5.0899490391109477E-2</v>
      </c>
    </row>
    <row r="164" spans="1:4" x14ac:dyDescent="0.35">
      <c r="A164" s="11">
        <v>38384</v>
      </c>
      <c r="B164" s="15">
        <f>VLOOKUP(A164,Database!A:Q,MATCH($A$1,Database!$A$1:$Q$1,),)</f>
        <v>17292</v>
      </c>
      <c r="C164" s="12">
        <f t="shared" si="4"/>
        <v>1.0282776349614395E-2</v>
      </c>
      <c r="D164" s="13">
        <f t="shared" si="5"/>
        <v>7.1840327279489247E-2</v>
      </c>
    </row>
    <row r="165" spans="1:4" x14ac:dyDescent="0.35">
      <c r="A165" s="10">
        <v>38412</v>
      </c>
      <c r="B165" s="15">
        <f>VLOOKUP(A165,Database!A:Q,MATCH($A$1,Database!$A$1:$Q$1,),)</f>
        <v>17245</v>
      </c>
      <c r="C165" s="12">
        <f t="shared" si="4"/>
        <v>-2.7180198935924126E-3</v>
      </c>
      <c r="D165" s="13">
        <f t="shared" si="5"/>
        <v>4.350720077453709E-2</v>
      </c>
    </row>
    <row r="166" spans="1:4" x14ac:dyDescent="0.35">
      <c r="A166" s="11">
        <v>38443</v>
      </c>
      <c r="B166" s="15">
        <f>VLOOKUP(A166,Database!A:Q,MATCH($A$1,Database!$A$1:$Q$1,),)</f>
        <v>17350</v>
      </c>
      <c r="C166" s="12">
        <f t="shared" si="4"/>
        <v>6.088721368512612E-3</v>
      </c>
      <c r="D166" s="13">
        <f t="shared" si="5"/>
        <v>5.3046856033017724E-2</v>
      </c>
    </row>
    <row r="167" spans="1:4" x14ac:dyDescent="0.35">
      <c r="A167" s="10">
        <v>38473</v>
      </c>
      <c r="B167" s="15">
        <f>VLOOKUP(A167,Database!A:Q,MATCH($A$1,Database!$A$1:$Q$1,),)</f>
        <v>17413</v>
      </c>
      <c r="C167" s="12">
        <f t="shared" si="4"/>
        <v>3.6311239193083573E-3</v>
      </c>
      <c r="D167" s="13">
        <f t="shared" si="5"/>
        <v>5.7769408334345768E-2</v>
      </c>
    </row>
    <row r="168" spans="1:4" x14ac:dyDescent="0.35">
      <c r="A168" s="11">
        <v>38504</v>
      </c>
      <c r="B168" s="15">
        <f>VLOOKUP(A168,Database!A:Q,MATCH($A$1,Database!$A$1:$Q$1,),)</f>
        <v>17392</v>
      </c>
      <c r="C168" s="12">
        <f t="shared" si="4"/>
        <v>-1.2059955205880664E-3</v>
      </c>
      <c r="D168" s="13">
        <f t="shared" si="5"/>
        <v>4.9607724803862399E-2</v>
      </c>
    </row>
    <row r="169" spans="1:4" x14ac:dyDescent="0.35">
      <c r="A169" s="10">
        <v>38534</v>
      </c>
      <c r="B169" s="15">
        <f>VLOOKUP(A169,Database!A:Q,MATCH($A$1,Database!$A$1:$Q$1,),)</f>
        <v>17635</v>
      </c>
      <c r="C169" s="12">
        <f t="shared" si="4"/>
        <v>1.3971941122355105E-2</v>
      </c>
      <c r="D169" s="13">
        <f t="shared" si="5"/>
        <v>6.530143771898031E-2</v>
      </c>
    </row>
    <row r="170" spans="1:4" x14ac:dyDescent="0.35">
      <c r="A170" s="11">
        <v>38565</v>
      </c>
      <c r="B170" s="15">
        <f>VLOOKUP(A170,Database!A:Q,MATCH($A$1,Database!$A$1:$Q$1,),)</f>
        <v>17548</v>
      </c>
      <c r="C170" s="12">
        <f t="shared" si="4"/>
        <v>-4.9333711369435778E-3</v>
      </c>
      <c r="D170" s="13">
        <f t="shared" si="5"/>
        <v>5.6472004816375675E-2</v>
      </c>
    </row>
    <row r="171" spans="1:4" x14ac:dyDescent="0.35">
      <c r="A171" s="10">
        <v>38596</v>
      </c>
      <c r="B171" s="15">
        <f>VLOOKUP(A171,Database!A:Q,MATCH($A$1,Database!$A$1:$Q$1,),)</f>
        <v>17707</v>
      </c>
      <c r="C171" s="12">
        <f t="shared" si="4"/>
        <v>9.0608616366537505E-3</v>
      </c>
      <c r="D171" s="13">
        <f t="shared" si="5"/>
        <v>6.4442440637210704E-2</v>
      </c>
    </row>
    <row r="172" spans="1:4" x14ac:dyDescent="0.35">
      <c r="A172" s="11">
        <v>38626</v>
      </c>
      <c r="B172" s="15">
        <f>VLOOKUP(A172,Database!A:Q,MATCH($A$1,Database!$A$1:$Q$1,),)</f>
        <v>17742</v>
      </c>
      <c r="C172" s="12">
        <f t="shared" si="4"/>
        <v>1.9766194160501498E-3</v>
      </c>
      <c r="D172" s="13">
        <f t="shared" si="5"/>
        <v>5.9919947428161778E-2</v>
      </c>
    </row>
    <row r="173" spans="1:4" x14ac:dyDescent="0.35">
      <c r="A173" s="10">
        <v>38657</v>
      </c>
      <c r="B173" s="15">
        <f>VLOOKUP(A173,Database!A:Q,MATCH($A$1,Database!$A$1:$Q$1,),)</f>
        <v>17859</v>
      </c>
      <c r="C173" s="12">
        <f t="shared" si="4"/>
        <v>6.5945214744673655E-3</v>
      </c>
      <c r="D173" s="13">
        <f t="shared" si="5"/>
        <v>6.2213763159459944E-2</v>
      </c>
    </row>
    <row r="174" spans="1:4" x14ac:dyDescent="0.35">
      <c r="A174" s="11">
        <v>38687</v>
      </c>
      <c r="B174" s="15">
        <f>VLOOKUP(A174,Database!A:Q,MATCH($A$1,Database!$A$1:$Q$1,),)</f>
        <v>18005</v>
      </c>
      <c r="C174" s="12">
        <f t="shared" si="4"/>
        <v>8.1751497844224207E-3</v>
      </c>
      <c r="D174" s="13">
        <f t="shared" si="5"/>
        <v>6.652055443667812E-2</v>
      </c>
    </row>
    <row r="175" spans="1:4" x14ac:dyDescent="0.35">
      <c r="A175" s="10">
        <v>38718</v>
      </c>
      <c r="B175" s="15">
        <f>VLOOKUP(A175,Database!A:Q,MATCH($A$1,Database!$A$1:$Q$1,),)</f>
        <v>18000</v>
      </c>
      <c r="C175" s="12">
        <f t="shared" si="4"/>
        <v>-2.7770063871146905E-4</v>
      </c>
      <c r="D175" s="13">
        <f t="shared" si="5"/>
        <v>5.1647581210563218E-2</v>
      </c>
    </row>
    <row r="176" spans="1:4" x14ac:dyDescent="0.35">
      <c r="A176" s="11">
        <v>38749</v>
      </c>
      <c r="B176" s="15">
        <f>VLOOKUP(A176,Database!A:Q,MATCH($A$1,Database!$A$1:$Q$1,),)</f>
        <v>18124</v>
      </c>
      <c r="C176" s="12">
        <f t="shared" si="4"/>
        <v>6.8888888888888888E-3</v>
      </c>
      <c r="D176" s="13">
        <f t="shared" si="5"/>
        <v>4.8114735137635901E-2</v>
      </c>
    </row>
    <row r="177" spans="1:4" x14ac:dyDescent="0.35">
      <c r="A177" s="10">
        <v>38777</v>
      </c>
      <c r="B177" s="15">
        <f>VLOOKUP(A177,Database!A:Q,MATCH($A$1,Database!$A$1:$Q$1,),)</f>
        <v>18222</v>
      </c>
      <c r="C177" s="12">
        <f t="shared" si="4"/>
        <v>5.4071948797175017E-3</v>
      </c>
      <c r="D177" s="13">
        <f t="shared" si="5"/>
        <v>5.6654102638445926E-2</v>
      </c>
    </row>
    <row r="178" spans="1:4" x14ac:dyDescent="0.35">
      <c r="A178" s="11">
        <v>38808</v>
      </c>
      <c r="B178" s="15">
        <f>VLOOKUP(A178,Database!A:Q,MATCH($A$1,Database!$A$1:$Q$1,),)</f>
        <v>18294</v>
      </c>
      <c r="C178" s="12">
        <f t="shared" si="4"/>
        <v>3.9512676983865661E-3</v>
      </c>
      <c r="D178" s="13">
        <f t="shared" si="5"/>
        <v>5.4409221902017288E-2</v>
      </c>
    </row>
    <row r="179" spans="1:4" x14ac:dyDescent="0.35">
      <c r="A179" s="10">
        <v>38838</v>
      </c>
      <c r="B179" s="15">
        <f>VLOOKUP(A179,Database!A:Q,MATCH($A$1,Database!$A$1:$Q$1,),)</f>
        <v>18466</v>
      </c>
      <c r="C179" s="12">
        <f t="shared" si="4"/>
        <v>9.4019897234065807E-3</v>
      </c>
      <c r="D179" s="13">
        <f t="shared" si="5"/>
        <v>6.0472061103773046E-2</v>
      </c>
    </row>
    <row r="180" spans="1:4" x14ac:dyDescent="0.35">
      <c r="A180" s="11">
        <v>38869</v>
      </c>
      <c r="B180" s="15">
        <f>VLOOKUP(A180,Database!A:Q,MATCH($A$1,Database!$A$1:$Q$1,),)</f>
        <v>18584</v>
      </c>
      <c r="C180" s="12">
        <f t="shared" si="4"/>
        <v>6.3901223870897863E-3</v>
      </c>
      <c r="D180" s="13">
        <f t="shared" si="5"/>
        <v>6.853725850965961E-2</v>
      </c>
    </row>
    <row r="181" spans="1:4" x14ac:dyDescent="0.35">
      <c r="A181" s="10">
        <v>38899</v>
      </c>
      <c r="B181" s="15">
        <f>VLOOKUP(A181,Database!A:Q,MATCH($A$1,Database!$A$1:$Q$1,),)</f>
        <v>18640</v>
      </c>
      <c r="C181" s="12">
        <f t="shared" si="4"/>
        <v>3.0133448127421438E-3</v>
      </c>
      <c r="D181" s="13">
        <f t="shared" si="5"/>
        <v>5.6988942444003404E-2</v>
      </c>
    </row>
    <row r="182" spans="1:4" x14ac:dyDescent="0.35">
      <c r="A182" s="11">
        <v>38930</v>
      </c>
      <c r="B182" s="15">
        <f>VLOOKUP(A182,Database!A:Q,MATCH($A$1,Database!$A$1:$Q$1,),)</f>
        <v>18757</v>
      </c>
      <c r="C182" s="12">
        <f t="shared" si="4"/>
        <v>6.2768240343347636E-3</v>
      </c>
      <c r="D182" s="13">
        <f t="shared" si="5"/>
        <v>6.8896740369272846E-2</v>
      </c>
    </row>
    <row r="183" spans="1:4" x14ac:dyDescent="0.35">
      <c r="A183" s="10">
        <v>38961</v>
      </c>
      <c r="B183" s="15">
        <f>VLOOKUP(A183,Database!A:Q,MATCH($A$1,Database!$A$1:$Q$1,),)</f>
        <v>18933</v>
      </c>
      <c r="C183" s="12">
        <f t="shared" si="4"/>
        <v>9.3831636189156045E-3</v>
      </c>
      <c r="D183" s="13">
        <f t="shared" si="5"/>
        <v>6.9238154402213814E-2</v>
      </c>
    </row>
    <row r="184" spans="1:4" x14ac:dyDescent="0.35">
      <c r="A184" s="11">
        <v>38991</v>
      </c>
      <c r="B184" s="15">
        <f>VLOOKUP(A184,Database!A:Q,MATCH($A$1,Database!$A$1:$Q$1,),)</f>
        <v>19044</v>
      </c>
      <c r="C184" s="12">
        <f t="shared" si="4"/>
        <v>5.8627792742829976E-3</v>
      </c>
      <c r="D184" s="13">
        <f t="shared" si="5"/>
        <v>7.3385187690226575E-2</v>
      </c>
    </row>
    <row r="185" spans="1:4" x14ac:dyDescent="0.35">
      <c r="A185" s="10">
        <v>39022</v>
      </c>
      <c r="B185" s="15">
        <f>VLOOKUP(A185,Database!A:Q,MATCH($A$1,Database!$A$1:$Q$1,),)</f>
        <v>19276</v>
      </c>
      <c r="C185" s="12">
        <f t="shared" si="4"/>
        <v>1.2182314639781559E-2</v>
      </c>
      <c r="D185" s="13">
        <f t="shared" si="5"/>
        <v>7.9343748250181978E-2</v>
      </c>
    </row>
    <row r="186" spans="1:4" x14ac:dyDescent="0.35">
      <c r="A186" s="11">
        <v>39052</v>
      </c>
      <c r="B186" s="15">
        <f>VLOOKUP(A186,Database!A:Q,MATCH($A$1,Database!$A$1:$Q$1,),)</f>
        <v>19385</v>
      </c>
      <c r="C186" s="12">
        <f t="shared" si="4"/>
        <v>5.6547001452583526E-3</v>
      </c>
      <c r="D186" s="13">
        <f t="shared" si="5"/>
        <v>7.6645376284365449E-2</v>
      </c>
    </row>
    <row r="187" spans="1:4" x14ac:dyDescent="0.35">
      <c r="A187" s="10">
        <v>39083</v>
      </c>
      <c r="B187" s="15">
        <f>VLOOKUP(A187,Database!A:Q,MATCH($A$1,Database!$A$1:$Q$1,),)</f>
        <v>19423</v>
      </c>
      <c r="C187" s="12">
        <f t="shared" si="4"/>
        <v>1.9602785659014704E-3</v>
      </c>
      <c r="D187" s="13">
        <f t="shared" si="5"/>
        <v>7.9055555555555559E-2</v>
      </c>
    </row>
    <row r="188" spans="1:4" x14ac:dyDescent="0.35">
      <c r="A188" s="11">
        <v>39114</v>
      </c>
      <c r="B188" s="15">
        <f>VLOOKUP(A188,Database!A:Q,MATCH($A$1,Database!$A$1:$Q$1,),)</f>
        <v>19401</v>
      </c>
      <c r="C188" s="12">
        <f t="shared" si="4"/>
        <v>-1.1326777531792205E-3</v>
      </c>
      <c r="D188" s="13">
        <f t="shared" si="5"/>
        <v>7.0459059810196428E-2</v>
      </c>
    </row>
    <row r="189" spans="1:4" x14ac:dyDescent="0.35">
      <c r="A189" s="10">
        <v>39142</v>
      </c>
      <c r="B189" s="15">
        <f>VLOOKUP(A189,Database!A:Q,MATCH($A$1,Database!$A$1:$Q$1,),)</f>
        <v>19540</v>
      </c>
      <c r="C189" s="12">
        <f t="shared" si="4"/>
        <v>7.1645791454048764E-3</v>
      </c>
      <c r="D189" s="13">
        <f t="shared" si="5"/>
        <v>7.2330150367687404E-2</v>
      </c>
    </row>
    <row r="190" spans="1:4" x14ac:dyDescent="0.35">
      <c r="A190" s="11">
        <v>39173</v>
      </c>
      <c r="B190" s="15">
        <f>VLOOKUP(A190,Database!A:Q,MATCH($A$1,Database!$A$1:$Q$1,),)</f>
        <v>19572</v>
      </c>
      <c r="C190" s="12">
        <f t="shared" si="4"/>
        <v>1.6376663254861821E-3</v>
      </c>
      <c r="D190" s="13">
        <f t="shared" si="5"/>
        <v>6.9858970154148894E-2</v>
      </c>
    </row>
    <row r="191" spans="1:4" x14ac:dyDescent="0.35">
      <c r="A191" s="10">
        <v>39203</v>
      </c>
      <c r="B191" s="15">
        <f>VLOOKUP(A191,Database!A:Q,MATCH($A$1,Database!$A$1:$Q$1,),)</f>
        <v>19650</v>
      </c>
      <c r="C191" s="12">
        <f t="shared" si="4"/>
        <v>3.9852851011649296E-3</v>
      </c>
      <c r="D191" s="13">
        <f t="shared" si="5"/>
        <v>6.4117838189104298E-2</v>
      </c>
    </row>
    <row r="192" spans="1:4" x14ac:dyDescent="0.35">
      <c r="A192" s="11">
        <v>39234</v>
      </c>
      <c r="B192" s="15">
        <f>VLOOKUP(A192,Database!A:Q,MATCH($A$1,Database!$A$1:$Q$1,),)</f>
        <v>19880</v>
      </c>
      <c r="C192" s="12">
        <f t="shared" si="4"/>
        <v>1.1704834605597965E-2</v>
      </c>
      <c r="D192" s="13">
        <f t="shared" si="5"/>
        <v>6.9737408523461039E-2</v>
      </c>
    </row>
    <row r="193" spans="1:4" x14ac:dyDescent="0.35">
      <c r="A193" s="10">
        <v>39264</v>
      </c>
      <c r="B193" s="15">
        <f>VLOOKUP(A193,Database!A:Q,MATCH($A$1,Database!$A$1:$Q$1,),)</f>
        <v>19831</v>
      </c>
      <c r="C193" s="12">
        <f t="shared" si="4"/>
        <v>-2.4647887323943664E-3</v>
      </c>
      <c r="D193" s="13">
        <f t="shared" si="5"/>
        <v>6.3894849785407729E-2</v>
      </c>
    </row>
    <row r="194" spans="1:4" x14ac:dyDescent="0.35">
      <c r="A194" s="11">
        <v>39295</v>
      </c>
      <c r="B194" s="15">
        <f>VLOOKUP(A194,Database!A:Q,MATCH($A$1,Database!$A$1:$Q$1,),)</f>
        <v>20014</v>
      </c>
      <c r="C194" s="12">
        <f t="shared" si="4"/>
        <v>9.2279764005849425E-3</v>
      </c>
      <c r="D194" s="13">
        <f t="shared" si="5"/>
        <v>6.701498107373248E-2</v>
      </c>
    </row>
    <row r="195" spans="1:4" x14ac:dyDescent="0.35">
      <c r="A195" s="10">
        <v>39326</v>
      </c>
      <c r="B195" s="15">
        <f>VLOOKUP(A195,Database!A:Q,MATCH($A$1,Database!$A$1:$Q$1,),)</f>
        <v>20132</v>
      </c>
      <c r="C195" s="12">
        <f t="shared" si="4"/>
        <v>5.895872888977716E-3</v>
      </c>
      <c r="D195" s="13">
        <f t="shared" si="5"/>
        <v>6.332857972851634E-2</v>
      </c>
    </row>
    <row r="196" spans="1:4" x14ac:dyDescent="0.35">
      <c r="A196" s="11">
        <v>39356</v>
      </c>
      <c r="B196" s="15">
        <f>VLOOKUP(A196,Database!A:Q,MATCH($A$1,Database!$A$1:$Q$1,),)</f>
        <v>19988</v>
      </c>
      <c r="C196" s="12">
        <f t="shared" si="4"/>
        <v>-7.1527915756010333E-3</v>
      </c>
      <c r="D196" s="13">
        <f t="shared" si="5"/>
        <v>4.9569418189455997E-2</v>
      </c>
    </row>
    <row r="197" spans="1:4" x14ac:dyDescent="0.35">
      <c r="A197" s="10">
        <v>39387</v>
      </c>
      <c r="B197" s="15">
        <f>VLOOKUP(A197,Database!A:Q,MATCH($A$1,Database!$A$1:$Q$1,),)</f>
        <v>19938</v>
      </c>
      <c r="C197" s="12">
        <f t="shared" si="4"/>
        <v>-2.501500900540324E-3</v>
      </c>
      <c r="D197" s="13">
        <f t="shared" si="5"/>
        <v>3.4343224735422284E-2</v>
      </c>
    </row>
    <row r="198" spans="1:4" x14ac:dyDescent="0.35">
      <c r="A198" s="11">
        <v>39417</v>
      </c>
      <c r="B198" s="15">
        <f>VLOOKUP(A198,Database!A:Q,MATCH($A$1,Database!$A$1:$Q$1,),)</f>
        <v>19825</v>
      </c>
      <c r="C198" s="12">
        <f t="shared" si="4"/>
        <v>-5.6675694653425621E-3</v>
      </c>
      <c r="D198" s="13">
        <f t="shared" si="5"/>
        <v>2.2697962342017024E-2</v>
      </c>
    </row>
    <row r="199" spans="1:4" x14ac:dyDescent="0.35">
      <c r="A199" s="10">
        <v>39448</v>
      </c>
      <c r="B199" s="15">
        <f>VLOOKUP(A199,Database!A:Q,MATCH($A$1,Database!$A$1:$Q$1,),)</f>
        <v>20120</v>
      </c>
      <c r="C199" s="12">
        <f t="shared" si="4"/>
        <v>1.4880201765447668E-2</v>
      </c>
      <c r="D199" s="13">
        <f t="shared" si="5"/>
        <v>3.5885290634814396E-2</v>
      </c>
    </row>
    <row r="200" spans="1:4" x14ac:dyDescent="0.35">
      <c r="A200" s="11">
        <v>39479</v>
      </c>
      <c r="B200" s="15">
        <f>VLOOKUP(A200,Database!A:Q,MATCH($A$1,Database!$A$1:$Q$1,),)</f>
        <v>20279</v>
      </c>
      <c r="C200" s="12">
        <f t="shared" ref="C200:C263" si="6">(B200-B199)/B199</f>
        <v>7.9025844930417487E-3</v>
      </c>
      <c r="D200" s="13">
        <f t="shared" si="5"/>
        <v>4.5255399206226482E-2</v>
      </c>
    </row>
    <row r="201" spans="1:4" x14ac:dyDescent="0.35">
      <c r="A201" s="10">
        <v>39508</v>
      </c>
      <c r="B201" s="15">
        <f>VLOOKUP(A201,Database!A:Q,MATCH($A$1,Database!$A$1:$Q$1,),)</f>
        <v>20288</v>
      </c>
      <c r="C201" s="12">
        <f t="shared" si="6"/>
        <v>4.4380886631490704E-4</v>
      </c>
      <c r="D201" s="13">
        <f t="shared" si="5"/>
        <v>3.8280450358239508E-2</v>
      </c>
    </row>
    <row r="202" spans="1:4" x14ac:dyDescent="0.35">
      <c r="A202" s="11">
        <v>39539</v>
      </c>
      <c r="B202" s="15">
        <f>VLOOKUP(A202,Database!A:Q,MATCH($A$1,Database!$A$1:$Q$1,),)</f>
        <v>20172</v>
      </c>
      <c r="C202" s="12">
        <f t="shared" si="6"/>
        <v>-5.7176656151419558E-3</v>
      </c>
      <c r="D202" s="13">
        <f t="shared" si="5"/>
        <v>3.0656039239730228E-2</v>
      </c>
    </row>
    <row r="203" spans="1:4" x14ac:dyDescent="0.35">
      <c r="A203" s="10">
        <v>39569</v>
      </c>
      <c r="B203" s="15">
        <f>VLOOKUP(A203,Database!A:Q,MATCH($A$1,Database!$A$1:$Q$1,),)</f>
        <v>20536</v>
      </c>
      <c r="C203" s="12">
        <f t="shared" si="6"/>
        <v>1.804481459448741E-2</v>
      </c>
      <c r="D203" s="13">
        <f t="shared" si="5"/>
        <v>4.5089058524173026E-2</v>
      </c>
    </row>
    <row r="204" spans="1:4" x14ac:dyDescent="0.35">
      <c r="A204" s="11">
        <v>39600</v>
      </c>
      <c r="B204" s="15">
        <f>VLOOKUP(A204,Database!A:Q,MATCH($A$1,Database!$A$1:$Q$1,),)</f>
        <v>20497</v>
      </c>
      <c r="C204" s="12">
        <f t="shared" si="6"/>
        <v>-1.8991040124659135E-3</v>
      </c>
      <c r="D204" s="13">
        <f t="shared" si="5"/>
        <v>3.1036217303822937E-2</v>
      </c>
    </row>
    <row r="205" spans="1:4" x14ac:dyDescent="0.35">
      <c r="A205" s="10">
        <v>39630</v>
      </c>
      <c r="B205" s="15">
        <f>VLOOKUP(A205,Database!A:Q,MATCH($A$1,Database!$A$1:$Q$1,),)</f>
        <v>20640</v>
      </c>
      <c r="C205" s="12">
        <f t="shared" si="6"/>
        <v>6.9766307264477728E-3</v>
      </c>
      <c r="D205" s="13">
        <f t="shared" si="5"/>
        <v>4.0794715344662398E-2</v>
      </c>
    </row>
    <row r="206" spans="1:4" x14ac:dyDescent="0.35">
      <c r="A206" s="11">
        <v>39661</v>
      </c>
      <c r="B206" s="15">
        <f>VLOOKUP(A206,Database!A:Q,MATCH($A$1,Database!$A$1:$Q$1,),)</f>
        <v>20620</v>
      </c>
      <c r="C206" s="12">
        <f t="shared" si="6"/>
        <v>-9.6899224806201549E-4</v>
      </c>
      <c r="D206" s="13">
        <f t="shared" si="5"/>
        <v>3.0278804836614371E-2</v>
      </c>
    </row>
    <row r="207" spans="1:4" x14ac:dyDescent="0.35">
      <c r="A207" s="10">
        <v>39692</v>
      </c>
      <c r="B207" s="15">
        <f>VLOOKUP(A207,Database!A:Q,MATCH($A$1,Database!$A$1:$Q$1,),)</f>
        <v>20654</v>
      </c>
      <c r="C207" s="12">
        <f t="shared" si="6"/>
        <v>1.6488845780795345E-3</v>
      </c>
      <c r="D207" s="13">
        <f t="shared" si="5"/>
        <v>2.5928869461553747E-2</v>
      </c>
    </row>
    <row r="208" spans="1:4" x14ac:dyDescent="0.35">
      <c r="A208" s="11">
        <v>39722</v>
      </c>
      <c r="B208" s="15">
        <f>VLOOKUP(A208,Database!A:Q,MATCH($A$1,Database!$A$1:$Q$1,),)</f>
        <v>20659</v>
      </c>
      <c r="C208" s="12">
        <f t="shared" si="6"/>
        <v>2.4208385784835868E-4</v>
      </c>
      <c r="D208" s="13">
        <f t="shared" si="5"/>
        <v>3.3570142085251151E-2</v>
      </c>
    </row>
    <row r="209" spans="1:4" x14ac:dyDescent="0.35">
      <c r="A209" s="10">
        <v>39753</v>
      </c>
      <c r="B209" s="15">
        <f>VLOOKUP(A209,Database!A:Q,MATCH($A$1,Database!$A$1:$Q$1,),)</f>
        <v>20789</v>
      </c>
      <c r="C209" s="12">
        <f t="shared" si="6"/>
        <v>6.2926569533859333E-3</v>
      </c>
      <c r="D209" s="13">
        <f t="shared" si="5"/>
        <v>4.2682315177048853E-2</v>
      </c>
    </row>
    <row r="210" spans="1:4" x14ac:dyDescent="0.35">
      <c r="A210" s="11">
        <v>39783</v>
      </c>
      <c r="B210" s="15">
        <f>VLOOKUP(A210,Database!A:Q,MATCH($A$1,Database!$A$1:$Q$1,),)</f>
        <v>20682</v>
      </c>
      <c r="C210" s="12">
        <f t="shared" si="6"/>
        <v>-5.1469527153783249E-3</v>
      </c>
      <c r="D210" s="13">
        <f t="shared" si="5"/>
        <v>4.3228247162673393E-2</v>
      </c>
    </row>
    <row r="211" spans="1:4" x14ac:dyDescent="0.35">
      <c r="A211" s="10">
        <v>39814</v>
      </c>
      <c r="B211" s="15">
        <f>VLOOKUP(A211,Database!A:Q,MATCH($A$1,Database!$A$1:$Q$1,),)</f>
        <v>20753</v>
      </c>
      <c r="C211" s="12">
        <f t="shared" si="6"/>
        <v>3.4329368533023885E-3</v>
      </c>
      <c r="D211" s="13">
        <f t="shared" ref="D211:D274" si="7">(B211-B199)/B199</f>
        <v>3.1461232604373758E-2</v>
      </c>
    </row>
    <row r="212" spans="1:4" x14ac:dyDescent="0.35">
      <c r="A212" s="11">
        <v>39845</v>
      </c>
      <c r="B212" s="15">
        <f>VLOOKUP(A212,Database!A:Q,MATCH($A$1,Database!$A$1:$Q$1,),)</f>
        <v>20906</v>
      </c>
      <c r="C212" s="12">
        <f t="shared" si="6"/>
        <v>7.3724280826868403E-3</v>
      </c>
      <c r="D212" s="13">
        <f t="shared" si="7"/>
        <v>3.0918684353271858E-2</v>
      </c>
    </row>
    <row r="213" spans="1:4" x14ac:dyDescent="0.35">
      <c r="A213" s="10">
        <v>39873</v>
      </c>
      <c r="B213" s="15">
        <f>VLOOKUP(A213,Database!A:Q,MATCH($A$1,Database!$A$1:$Q$1,),)</f>
        <v>20908</v>
      </c>
      <c r="C213" s="12">
        <f t="shared" si="6"/>
        <v>9.5666315890175063E-5</v>
      </c>
      <c r="D213" s="13">
        <f t="shared" si="7"/>
        <v>3.0559936908517351E-2</v>
      </c>
    </row>
    <row r="214" spans="1:4" x14ac:dyDescent="0.35">
      <c r="A214" s="11">
        <v>39904</v>
      </c>
      <c r="B214" s="15">
        <f>VLOOKUP(A214,Database!A:Q,MATCH($A$1,Database!$A$1:$Q$1,),)</f>
        <v>21059</v>
      </c>
      <c r="C214" s="12">
        <f t="shared" si="6"/>
        <v>7.2221159364836427E-3</v>
      </c>
      <c r="D214" s="13">
        <f t="shared" si="7"/>
        <v>4.3971842157445963E-2</v>
      </c>
    </row>
    <row r="215" spans="1:4" x14ac:dyDescent="0.35">
      <c r="A215" s="10">
        <v>39934</v>
      </c>
      <c r="B215" s="15">
        <f>VLOOKUP(A215,Database!A:Q,MATCH($A$1,Database!$A$1:$Q$1,),)</f>
        <v>21121</v>
      </c>
      <c r="C215" s="12">
        <f t="shared" si="6"/>
        <v>2.9441094069044115E-3</v>
      </c>
      <c r="D215" s="13">
        <f t="shared" si="7"/>
        <v>2.8486560186988703E-2</v>
      </c>
    </row>
    <row r="216" spans="1:4" x14ac:dyDescent="0.35">
      <c r="A216" s="11">
        <v>39965</v>
      </c>
      <c r="B216" s="15">
        <f>VLOOKUP(A216,Database!A:Q,MATCH($A$1,Database!$A$1:$Q$1,),)</f>
        <v>21055</v>
      </c>
      <c r="C216" s="12">
        <f t="shared" si="6"/>
        <v>-3.1248520429903886E-3</v>
      </c>
      <c r="D216" s="13">
        <f t="shared" si="7"/>
        <v>2.7223496121383618E-2</v>
      </c>
    </row>
    <row r="217" spans="1:4" x14ac:dyDescent="0.35">
      <c r="A217" s="10">
        <v>39995</v>
      </c>
      <c r="B217" s="15">
        <f>VLOOKUP(A217,Database!A:Q,MATCH($A$1,Database!$A$1:$Q$1,),)</f>
        <v>21027</v>
      </c>
      <c r="C217" s="12">
        <f t="shared" si="6"/>
        <v>-1.3298503918309191E-3</v>
      </c>
      <c r="D217" s="13">
        <f t="shared" si="7"/>
        <v>1.8749999999999999E-2</v>
      </c>
    </row>
    <row r="218" spans="1:4" x14ac:dyDescent="0.35">
      <c r="A218" s="11">
        <v>40026</v>
      </c>
      <c r="B218" s="15">
        <f>VLOOKUP(A218,Database!A:Q,MATCH($A$1,Database!$A$1:$Q$1,),)</f>
        <v>21070</v>
      </c>
      <c r="C218" s="12">
        <f t="shared" si="6"/>
        <v>2.0449897750511249E-3</v>
      </c>
      <c r="D218" s="13">
        <f t="shared" si="7"/>
        <v>2.1823472356935016E-2</v>
      </c>
    </row>
    <row r="219" spans="1:4" x14ac:dyDescent="0.35">
      <c r="A219" s="10">
        <v>40057</v>
      </c>
      <c r="B219" s="15">
        <f>VLOOKUP(A219,Database!A:Q,MATCH($A$1,Database!$A$1:$Q$1,),)</f>
        <v>21231</v>
      </c>
      <c r="C219" s="12">
        <f t="shared" si="6"/>
        <v>7.6411960132890368E-3</v>
      </c>
      <c r="D219" s="13">
        <f t="shared" si="7"/>
        <v>2.7936477195700592E-2</v>
      </c>
    </row>
    <row r="220" spans="1:4" x14ac:dyDescent="0.35">
      <c r="A220" s="11">
        <v>40087</v>
      </c>
      <c r="B220" s="15">
        <f>VLOOKUP(A220,Database!A:Q,MATCH($A$1,Database!$A$1:$Q$1,),)</f>
        <v>21278</v>
      </c>
      <c r="C220" s="12">
        <f t="shared" si="6"/>
        <v>2.2137440535066649E-3</v>
      </c>
      <c r="D220" s="13">
        <f t="shared" si="7"/>
        <v>2.9962728108814559E-2</v>
      </c>
    </row>
    <row r="221" spans="1:4" x14ac:dyDescent="0.35">
      <c r="A221" s="10">
        <v>40118</v>
      </c>
      <c r="B221" s="15">
        <f>VLOOKUP(A221,Database!A:Q,MATCH($A$1,Database!$A$1:$Q$1,),)</f>
        <v>21288</v>
      </c>
      <c r="C221" s="12">
        <f t="shared" si="6"/>
        <v>4.6996898204718486E-4</v>
      </c>
      <c r="D221" s="13">
        <f t="shared" si="7"/>
        <v>2.400307855115686E-2</v>
      </c>
    </row>
    <row r="222" spans="1:4" x14ac:dyDescent="0.35">
      <c r="A222" s="11">
        <v>40148</v>
      </c>
      <c r="B222" s="15">
        <f>VLOOKUP(A222,Database!A:Q,MATCH($A$1,Database!$A$1:$Q$1,),)</f>
        <v>21195</v>
      </c>
      <c r="C222" s="12">
        <f t="shared" si="6"/>
        <v>-4.3686583990980837E-3</v>
      </c>
      <c r="D222" s="13">
        <f t="shared" si="7"/>
        <v>2.4804177545691905E-2</v>
      </c>
    </row>
    <row r="223" spans="1:4" x14ac:dyDescent="0.35">
      <c r="A223" s="10">
        <v>40179</v>
      </c>
      <c r="B223" s="15">
        <f>VLOOKUP(A223,Database!A:Q,MATCH($A$1,Database!$A$1:$Q$1,),)</f>
        <v>21187</v>
      </c>
      <c r="C223" s="12">
        <f t="shared" si="6"/>
        <v>-3.7744751120547297E-4</v>
      </c>
      <c r="D223" s="13">
        <f t="shared" si="7"/>
        <v>2.0912639136510383E-2</v>
      </c>
    </row>
    <row r="224" spans="1:4" x14ac:dyDescent="0.35">
      <c r="A224" s="11">
        <v>40210</v>
      </c>
      <c r="B224" s="15">
        <f>VLOOKUP(A224,Database!A:Q,MATCH($A$1,Database!$A$1:$Q$1,),)</f>
        <v>21199</v>
      </c>
      <c r="C224" s="12">
        <f t="shared" si="6"/>
        <v>5.6638504743474773E-4</v>
      </c>
      <c r="D224" s="13">
        <f t="shared" si="7"/>
        <v>1.4015115277910647E-2</v>
      </c>
    </row>
    <row r="225" spans="1:4" x14ac:dyDescent="0.35">
      <c r="A225" s="10">
        <v>40238</v>
      </c>
      <c r="B225" s="15">
        <f>VLOOKUP(A225,Database!A:Q,MATCH($A$1,Database!$A$1:$Q$1,),)</f>
        <v>21363</v>
      </c>
      <c r="C225" s="12">
        <f t="shared" si="6"/>
        <v>7.7362139723571866E-3</v>
      </c>
      <c r="D225" s="13">
        <f t="shared" si="7"/>
        <v>2.1762004974172567E-2</v>
      </c>
    </row>
    <row r="226" spans="1:4" x14ac:dyDescent="0.35">
      <c r="A226" s="11">
        <v>40269</v>
      </c>
      <c r="B226" s="15">
        <f>VLOOKUP(A226,Database!A:Q,MATCH($A$1,Database!$A$1:$Q$1,),)</f>
        <v>21471</v>
      </c>
      <c r="C226" s="12">
        <f t="shared" si="6"/>
        <v>5.0554697373964329E-3</v>
      </c>
      <c r="D226" s="13">
        <f t="shared" si="7"/>
        <v>1.9564081865235766E-2</v>
      </c>
    </row>
    <row r="227" spans="1:4" x14ac:dyDescent="0.35">
      <c r="A227" s="10">
        <v>40299</v>
      </c>
      <c r="B227" s="15">
        <f>VLOOKUP(A227,Database!A:Q,MATCH($A$1,Database!$A$1:$Q$1,),)</f>
        <v>21399</v>
      </c>
      <c r="C227" s="12">
        <f t="shared" si="6"/>
        <v>-3.3533603465139023E-3</v>
      </c>
      <c r="D227" s="13">
        <f t="shared" si="7"/>
        <v>1.3162255575020123E-2</v>
      </c>
    </row>
    <row r="228" spans="1:4" x14ac:dyDescent="0.35">
      <c r="A228" s="11">
        <v>40330</v>
      </c>
      <c r="B228" s="15">
        <f>VLOOKUP(A228,Database!A:Q,MATCH($A$1,Database!$A$1:$Q$1,),)</f>
        <v>21661</v>
      </c>
      <c r="C228" s="12">
        <f t="shared" si="6"/>
        <v>1.2243562783307632E-2</v>
      </c>
      <c r="D228" s="13">
        <f t="shared" si="7"/>
        <v>2.8781762051769175E-2</v>
      </c>
    </row>
    <row r="229" spans="1:4" x14ac:dyDescent="0.35">
      <c r="A229" s="10">
        <v>40360</v>
      </c>
      <c r="B229" s="15">
        <f>VLOOKUP(A229,Database!A:Q,MATCH($A$1,Database!$A$1:$Q$1,),)</f>
        <v>21733</v>
      </c>
      <c r="C229" s="12">
        <f t="shared" si="6"/>
        <v>3.3239462628687501E-3</v>
      </c>
      <c r="D229" s="13">
        <f t="shared" si="7"/>
        <v>3.3575878632234747E-2</v>
      </c>
    </row>
    <row r="230" spans="1:4" x14ac:dyDescent="0.35">
      <c r="A230" s="11">
        <v>40391</v>
      </c>
      <c r="B230" s="15">
        <f>VLOOKUP(A230,Database!A:Q,MATCH($A$1,Database!$A$1:$Q$1,),)</f>
        <v>21863</v>
      </c>
      <c r="C230" s="12">
        <f t="shared" si="6"/>
        <v>5.981686835687664E-3</v>
      </c>
      <c r="D230" s="13">
        <f t="shared" si="7"/>
        <v>3.7636449928808734E-2</v>
      </c>
    </row>
    <row r="231" spans="1:4" x14ac:dyDescent="0.35">
      <c r="A231" s="10">
        <v>40422</v>
      </c>
      <c r="B231" s="15">
        <f>VLOOKUP(A231,Database!A:Q,MATCH($A$1,Database!$A$1:$Q$1,),)</f>
        <v>21888</v>
      </c>
      <c r="C231" s="12">
        <f t="shared" si="6"/>
        <v>1.1434844257421214E-3</v>
      </c>
      <c r="D231" s="13">
        <f t="shared" si="7"/>
        <v>3.0945315811784654E-2</v>
      </c>
    </row>
    <row r="232" spans="1:4" x14ac:dyDescent="0.35">
      <c r="A232" s="11">
        <v>40452</v>
      </c>
      <c r="B232" s="15">
        <f>VLOOKUP(A232,Database!A:Q,MATCH($A$1,Database!$A$1:$Q$1,),)</f>
        <v>22105</v>
      </c>
      <c r="C232" s="12">
        <f t="shared" si="6"/>
        <v>9.9141081871345037E-3</v>
      </c>
      <c r="D232" s="13">
        <f t="shared" si="7"/>
        <v>3.8866434815302192E-2</v>
      </c>
    </row>
    <row r="233" spans="1:4" x14ac:dyDescent="0.35">
      <c r="A233" s="10">
        <v>40483</v>
      </c>
      <c r="B233" s="15">
        <f>VLOOKUP(A233,Database!A:Q,MATCH($A$1,Database!$A$1:$Q$1,),)</f>
        <v>22180</v>
      </c>
      <c r="C233" s="12">
        <f t="shared" si="6"/>
        <v>3.3928975344944584E-3</v>
      </c>
      <c r="D233" s="13">
        <f t="shared" si="7"/>
        <v>4.1901540774145062E-2</v>
      </c>
    </row>
    <row r="234" spans="1:4" x14ac:dyDescent="0.35">
      <c r="A234" s="11">
        <v>40513</v>
      </c>
      <c r="B234" s="15">
        <f>VLOOKUP(A234,Database!A:Q,MATCH($A$1,Database!$A$1:$Q$1,),)</f>
        <v>22272</v>
      </c>
      <c r="C234" s="12">
        <f t="shared" si="6"/>
        <v>4.147880973850316E-3</v>
      </c>
      <c r="D234" s="13">
        <f t="shared" si="7"/>
        <v>5.0813871196036801E-2</v>
      </c>
    </row>
    <row r="235" spans="1:4" x14ac:dyDescent="0.35">
      <c r="A235" s="10">
        <v>40544</v>
      </c>
      <c r="B235" s="15">
        <f>VLOOKUP(A235,Database!A:Q,MATCH($A$1,Database!$A$1:$Q$1,),)</f>
        <v>22695</v>
      </c>
      <c r="C235" s="12">
        <f t="shared" si="6"/>
        <v>1.8992456896551723E-2</v>
      </c>
      <c r="D235" s="13">
        <f t="shared" si="7"/>
        <v>7.1175720960966624E-2</v>
      </c>
    </row>
    <row r="236" spans="1:4" x14ac:dyDescent="0.35">
      <c r="A236" s="11">
        <v>40575</v>
      </c>
      <c r="B236" s="15">
        <f>VLOOKUP(A236,Database!A:Q,MATCH($A$1,Database!$A$1:$Q$1,),)</f>
        <v>22428</v>
      </c>
      <c r="C236" s="12">
        <f t="shared" si="6"/>
        <v>-1.1764705882352941E-2</v>
      </c>
      <c r="D236" s="13">
        <f t="shared" si="7"/>
        <v>5.7974432756262087E-2</v>
      </c>
    </row>
    <row r="237" spans="1:4" x14ac:dyDescent="0.35">
      <c r="A237" s="10">
        <v>40603</v>
      </c>
      <c r="B237" s="15">
        <f>VLOOKUP(A237,Database!A:Q,MATCH($A$1,Database!$A$1:$Q$1,),)</f>
        <v>22563</v>
      </c>
      <c r="C237" s="12">
        <f t="shared" si="6"/>
        <v>6.0192616372391657E-3</v>
      </c>
      <c r="D237" s="13">
        <f t="shared" si="7"/>
        <v>5.6171885971071478E-2</v>
      </c>
    </row>
    <row r="238" spans="1:4" x14ac:dyDescent="0.35">
      <c r="A238" s="11">
        <v>40634</v>
      </c>
      <c r="B238" s="15">
        <f>VLOOKUP(A238,Database!A:Q,MATCH($A$1,Database!$A$1:$Q$1,),)</f>
        <v>22448</v>
      </c>
      <c r="C238" s="12">
        <f t="shared" si="6"/>
        <v>-5.0968399592252805E-3</v>
      </c>
      <c r="D238" s="13">
        <f t="shared" si="7"/>
        <v>4.5503236924223374E-2</v>
      </c>
    </row>
    <row r="239" spans="1:4" x14ac:dyDescent="0.35">
      <c r="A239" s="10">
        <v>40664</v>
      </c>
      <c r="B239" s="15">
        <f>VLOOKUP(A239,Database!A:Q,MATCH($A$1,Database!$A$1:$Q$1,),)</f>
        <v>22608</v>
      </c>
      <c r="C239" s="12">
        <f t="shared" si="6"/>
        <v>7.1275837491090524E-3</v>
      </c>
      <c r="D239" s="13">
        <f t="shared" si="7"/>
        <v>5.6497967194728722E-2</v>
      </c>
    </row>
    <row r="240" spans="1:4" x14ac:dyDescent="0.35">
      <c r="A240" s="11">
        <v>40695</v>
      </c>
      <c r="B240" s="15">
        <f>VLOOKUP(A240,Database!A:Q,MATCH($A$1,Database!$A$1:$Q$1,),)</f>
        <v>22607</v>
      </c>
      <c r="C240" s="12">
        <f t="shared" si="6"/>
        <v>-4.4232130219391367E-5</v>
      </c>
      <c r="D240" s="13">
        <f t="shared" si="7"/>
        <v>4.3672960620469971E-2</v>
      </c>
    </row>
    <row r="241" spans="1:4" x14ac:dyDescent="0.35">
      <c r="A241" s="10">
        <v>40725</v>
      </c>
      <c r="B241" s="15">
        <f>VLOOKUP(A241,Database!A:Q,MATCH($A$1,Database!$A$1:$Q$1,),)</f>
        <v>22728</v>
      </c>
      <c r="C241" s="12">
        <f t="shared" si="6"/>
        <v>5.3523245012606713E-3</v>
      </c>
      <c r="D241" s="13">
        <f t="shared" si="7"/>
        <v>4.5782910780840194E-2</v>
      </c>
    </row>
    <row r="242" spans="1:4" x14ac:dyDescent="0.35">
      <c r="A242" s="11">
        <v>40756</v>
      </c>
      <c r="B242" s="15">
        <f>VLOOKUP(A242,Database!A:Q,MATCH($A$1,Database!$A$1:$Q$1,),)</f>
        <v>22822</v>
      </c>
      <c r="C242" s="12">
        <f t="shared" si="6"/>
        <v>4.1358676522351284E-3</v>
      </c>
      <c r="D242" s="13">
        <f t="shared" si="7"/>
        <v>4.3864062571467778E-2</v>
      </c>
    </row>
    <row r="243" spans="1:4" x14ac:dyDescent="0.35">
      <c r="A243" s="10">
        <v>40787</v>
      </c>
      <c r="B243" s="15">
        <f>VLOOKUP(A243,Database!A:Q,MATCH($A$1,Database!$A$1:$Q$1,),)</f>
        <v>22718</v>
      </c>
      <c r="C243" s="12">
        <f t="shared" si="6"/>
        <v>-4.5570063973359044E-3</v>
      </c>
      <c r="D243" s="13">
        <f t="shared" si="7"/>
        <v>3.7920321637426903E-2</v>
      </c>
    </row>
    <row r="244" spans="1:4" x14ac:dyDescent="0.35">
      <c r="A244" s="11">
        <v>40817</v>
      </c>
      <c r="B244" s="15">
        <f>VLOOKUP(A244,Database!A:Q,MATCH($A$1,Database!$A$1:$Q$1,),)</f>
        <v>22830</v>
      </c>
      <c r="C244" s="12">
        <f t="shared" si="6"/>
        <v>4.9300114446694252E-3</v>
      </c>
      <c r="D244" s="13">
        <f t="shared" si="7"/>
        <v>3.27980095001131E-2</v>
      </c>
    </row>
    <row r="245" spans="1:4" x14ac:dyDescent="0.35">
      <c r="A245" s="10">
        <v>40848</v>
      </c>
      <c r="B245" s="15">
        <f>VLOOKUP(A245,Database!A:Q,MATCH($A$1,Database!$A$1:$Q$1,),)</f>
        <v>22735</v>
      </c>
      <c r="C245" s="12">
        <f t="shared" si="6"/>
        <v>-4.1611914148050808E-3</v>
      </c>
      <c r="D245" s="13">
        <f t="shared" si="7"/>
        <v>2.502254283137962E-2</v>
      </c>
    </row>
    <row r="246" spans="1:4" x14ac:dyDescent="0.35">
      <c r="A246" s="11">
        <v>40878</v>
      </c>
      <c r="B246" s="15">
        <f>VLOOKUP(A246,Database!A:Q,MATCH($A$1,Database!$A$1:$Q$1,),)</f>
        <v>22656</v>
      </c>
      <c r="C246" s="12">
        <f t="shared" si="6"/>
        <v>-3.4748185616890258E-3</v>
      </c>
      <c r="D246" s="13">
        <f t="shared" si="7"/>
        <v>1.7241379310344827E-2</v>
      </c>
    </row>
    <row r="247" spans="1:4" x14ac:dyDescent="0.35">
      <c r="A247" s="10">
        <v>40909</v>
      </c>
      <c r="B247" s="15">
        <f>VLOOKUP(A247,Database!A:Q,MATCH($A$1,Database!$A$1:$Q$1,),)</f>
        <v>22973</v>
      </c>
      <c r="C247" s="12">
        <f t="shared" si="6"/>
        <v>1.3991878531073447E-2</v>
      </c>
      <c r="D247" s="13">
        <f t="shared" si="7"/>
        <v>1.2249394139678344E-2</v>
      </c>
    </row>
    <row r="248" spans="1:4" x14ac:dyDescent="0.35">
      <c r="A248" s="11">
        <v>40940</v>
      </c>
      <c r="B248" s="15">
        <f>VLOOKUP(A248,Database!A:Q,MATCH($A$1,Database!$A$1:$Q$1,),)</f>
        <v>22999</v>
      </c>
      <c r="C248" s="12">
        <f t="shared" si="6"/>
        <v>1.1317633743960301E-3</v>
      </c>
      <c r="D248" s="13">
        <f t="shared" si="7"/>
        <v>2.5459247369359728E-2</v>
      </c>
    </row>
    <row r="249" spans="1:4" x14ac:dyDescent="0.35">
      <c r="A249" s="10">
        <v>40969</v>
      </c>
      <c r="B249" s="15">
        <f>VLOOKUP(A249,Database!A:Q,MATCH($A$1,Database!$A$1:$Q$1,),)</f>
        <v>22945</v>
      </c>
      <c r="C249" s="12">
        <f t="shared" si="6"/>
        <v>-2.3479281707900345E-3</v>
      </c>
      <c r="D249" s="13">
        <f t="shared" si="7"/>
        <v>1.6930372734122234E-2</v>
      </c>
    </row>
    <row r="250" spans="1:4" x14ac:dyDescent="0.35">
      <c r="A250" s="11">
        <v>41000</v>
      </c>
      <c r="B250" s="15">
        <f>VLOOKUP(A250,Database!A:Q,MATCH($A$1,Database!$A$1:$Q$1,),)</f>
        <v>23045</v>
      </c>
      <c r="C250" s="12">
        <f t="shared" si="6"/>
        <v>4.3582479843103069E-3</v>
      </c>
      <c r="D250" s="13">
        <f t="shared" si="7"/>
        <v>2.6594796863863152E-2</v>
      </c>
    </row>
    <row r="251" spans="1:4" x14ac:dyDescent="0.35">
      <c r="A251" s="10">
        <v>41030</v>
      </c>
      <c r="B251" s="15">
        <f>VLOOKUP(A251,Database!A:Q,MATCH($A$1,Database!$A$1:$Q$1,),)</f>
        <v>22883</v>
      </c>
      <c r="C251" s="12">
        <f t="shared" si="6"/>
        <v>-7.0297244521588193E-3</v>
      </c>
      <c r="D251" s="13">
        <f t="shared" si="7"/>
        <v>1.2163835810332625E-2</v>
      </c>
    </row>
    <row r="252" spans="1:4" x14ac:dyDescent="0.35">
      <c r="A252" s="11">
        <v>41061</v>
      </c>
      <c r="B252" s="15">
        <f>VLOOKUP(A252,Database!A:Q,MATCH($A$1,Database!$A$1:$Q$1,),)</f>
        <v>22471</v>
      </c>
      <c r="C252" s="12">
        <f t="shared" si="6"/>
        <v>-1.800463225975615E-2</v>
      </c>
      <c r="D252" s="13">
        <f t="shared" si="7"/>
        <v>-6.0158358030698456E-3</v>
      </c>
    </row>
    <row r="253" spans="1:4" x14ac:dyDescent="0.35">
      <c r="A253" s="10">
        <v>41091</v>
      </c>
      <c r="B253" s="15">
        <f>VLOOKUP(A253,Database!A:Q,MATCH($A$1,Database!$A$1:$Q$1,),)</f>
        <v>22793</v>
      </c>
      <c r="C253" s="12">
        <f t="shared" si="6"/>
        <v>1.4329580348004094E-2</v>
      </c>
      <c r="D253" s="13">
        <f t="shared" si="7"/>
        <v>2.8599084829285461E-3</v>
      </c>
    </row>
    <row r="254" spans="1:4" x14ac:dyDescent="0.35">
      <c r="A254" s="11">
        <v>41122</v>
      </c>
      <c r="B254" s="15">
        <f>VLOOKUP(A254,Database!A:Q,MATCH($A$1,Database!$A$1:$Q$1,),)</f>
        <v>22741</v>
      </c>
      <c r="C254" s="12">
        <f t="shared" si="6"/>
        <v>-2.281402184881323E-3</v>
      </c>
      <c r="D254" s="13">
        <f t="shared" si="7"/>
        <v>-3.5492069056173867E-3</v>
      </c>
    </row>
    <row r="255" spans="1:4" x14ac:dyDescent="0.35">
      <c r="A255" s="10">
        <v>41153</v>
      </c>
      <c r="B255" s="15">
        <f>VLOOKUP(A255,Database!A:Q,MATCH($A$1,Database!$A$1:$Q$1,),)</f>
        <v>22608</v>
      </c>
      <c r="C255" s="12">
        <f t="shared" si="6"/>
        <v>-5.8484675256145289E-3</v>
      </c>
      <c r="D255" s="13">
        <f t="shared" si="7"/>
        <v>-4.8419755260146139E-3</v>
      </c>
    </row>
    <row r="256" spans="1:4" x14ac:dyDescent="0.35">
      <c r="A256" s="11">
        <v>41183</v>
      </c>
      <c r="B256" s="15">
        <f>VLOOKUP(A256,Database!A:Q,MATCH($A$1,Database!$A$1:$Q$1,),)</f>
        <v>22504</v>
      </c>
      <c r="C256" s="12">
        <f t="shared" si="6"/>
        <v>-4.6001415428167025E-3</v>
      </c>
      <c r="D256" s="13">
        <f t="shared" si="7"/>
        <v>-1.4279456855015331E-2</v>
      </c>
    </row>
    <row r="257" spans="1:4" x14ac:dyDescent="0.35">
      <c r="A257" s="10">
        <v>41214</v>
      </c>
      <c r="B257" s="15">
        <f>VLOOKUP(A257,Database!A:Q,MATCH($A$1,Database!$A$1:$Q$1,),)</f>
        <v>22661</v>
      </c>
      <c r="C257" s="12">
        <f t="shared" si="6"/>
        <v>6.9765375044436541E-3</v>
      </c>
      <c r="D257" s="13">
        <f t="shared" si="7"/>
        <v>-3.2548933362656698E-3</v>
      </c>
    </row>
    <row r="258" spans="1:4" x14ac:dyDescent="0.35">
      <c r="A258" s="11">
        <v>41244</v>
      </c>
      <c r="B258" s="15">
        <f>VLOOKUP(A258,Database!A:Q,MATCH($A$1,Database!$A$1:$Q$1,),)</f>
        <v>22898</v>
      </c>
      <c r="C258" s="12">
        <f t="shared" si="6"/>
        <v>1.0458496977185473E-2</v>
      </c>
      <c r="D258" s="13">
        <f t="shared" si="7"/>
        <v>1.0681497175141243E-2</v>
      </c>
    </row>
    <row r="259" spans="1:4" x14ac:dyDescent="0.35">
      <c r="A259" s="10">
        <v>41275</v>
      </c>
      <c r="B259" s="15">
        <f>VLOOKUP(A259,Database!A:Q,MATCH($A$1,Database!$A$1:$Q$1,),)</f>
        <v>23167</v>
      </c>
      <c r="C259" s="12">
        <f t="shared" si="6"/>
        <v>1.1747750895274696E-2</v>
      </c>
      <c r="D259" s="13">
        <f t="shared" si="7"/>
        <v>8.4446959474165327E-3</v>
      </c>
    </row>
    <row r="260" spans="1:4" x14ac:dyDescent="0.35">
      <c r="A260" s="11">
        <v>41306</v>
      </c>
      <c r="B260" s="15">
        <f>VLOOKUP(A260,Database!A:Q,MATCH($A$1,Database!$A$1:$Q$1,),)</f>
        <v>22992</v>
      </c>
      <c r="C260" s="12">
        <f t="shared" si="6"/>
        <v>-7.5538481460698404E-3</v>
      </c>
      <c r="D260" s="13">
        <f t="shared" si="7"/>
        <v>-3.0436105917648593E-4</v>
      </c>
    </row>
    <row r="261" spans="1:4" x14ac:dyDescent="0.35">
      <c r="A261" s="10">
        <v>41334</v>
      </c>
      <c r="B261" s="15">
        <f>VLOOKUP(A261,Database!A:Q,MATCH($A$1,Database!$A$1:$Q$1,),)</f>
        <v>23025</v>
      </c>
      <c r="C261" s="12">
        <f t="shared" si="6"/>
        <v>1.4352818371607516E-3</v>
      </c>
      <c r="D261" s="13">
        <f t="shared" si="7"/>
        <v>3.4865983874482458E-3</v>
      </c>
    </row>
    <row r="262" spans="1:4" x14ac:dyDescent="0.35">
      <c r="A262" s="11">
        <v>41365</v>
      </c>
      <c r="B262" s="15">
        <f>VLOOKUP(A262,Database!A:Q,MATCH($A$1,Database!$A$1:$Q$1,),)</f>
        <v>22925</v>
      </c>
      <c r="C262" s="12">
        <f t="shared" si="6"/>
        <v>-4.3431053203040176E-3</v>
      </c>
      <c r="D262" s="13">
        <f t="shared" si="7"/>
        <v>-5.2072032978954224E-3</v>
      </c>
    </row>
    <row r="263" spans="1:4" x14ac:dyDescent="0.35">
      <c r="A263" s="10">
        <v>41395</v>
      </c>
      <c r="B263" s="15">
        <f>VLOOKUP(A263,Database!A:Q,MATCH($A$1,Database!$A$1:$Q$1,),)</f>
        <v>23021</v>
      </c>
      <c r="C263" s="12">
        <f t="shared" si="6"/>
        <v>4.1875681570338061E-3</v>
      </c>
      <c r="D263" s="13">
        <f t="shared" si="7"/>
        <v>6.0306777957435647E-3</v>
      </c>
    </row>
    <row r="264" spans="1:4" x14ac:dyDescent="0.35">
      <c r="A264" s="11">
        <v>41426</v>
      </c>
      <c r="B264" s="15">
        <f>VLOOKUP(A264,Database!A:Q,MATCH($A$1,Database!$A$1:$Q$1,),)</f>
        <v>23001</v>
      </c>
      <c r="C264" s="12">
        <f t="shared" ref="C264:C327" si="8">(B264-B263)/B263</f>
        <v>-8.6877199079101689E-4</v>
      </c>
      <c r="D264" s="13">
        <f t="shared" si="7"/>
        <v>2.3585955231186864E-2</v>
      </c>
    </row>
    <row r="265" spans="1:4" x14ac:dyDescent="0.35">
      <c r="A265" s="10">
        <v>41456</v>
      </c>
      <c r="B265" s="15">
        <f>VLOOKUP(A265,Database!A:Q,MATCH($A$1,Database!$A$1:$Q$1,),)</f>
        <v>23262</v>
      </c>
      <c r="C265" s="12">
        <f t="shared" si="8"/>
        <v>1.1347332724664145E-2</v>
      </c>
      <c r="D265" s="13">
        <f t="shared" si="7"/>
        <v>2.0576492782871936E-2</v>
      </c>
    </row>
    <row r="266" spans="1:4" x14ac:dyDescent="0.35">
      <c r="A266" s="11">
        <v>41487</v>
      </c>
      <c r="B266" s="15">
        <f>VLOOKUP(A266,Database!A:Q,MATCH($A$1,Database!$A$1:$Q$1,),)</f>
        <v>23254</v>
      </c>
      <c r="C266" s="12">
        <f t="shared" si="8"/>
        <v>-3.4390852033359124E-4</v>
      </c>
      <c r="D266" s="13">
        <f t="shared" si="7"/>
        <v>2.2558374741656041E-2</v>
      </c>
    </row>
    <row r="267" spans="1:4" x14ac:dyDescent="0.35">
      <c r="A267" s="10">
        <v>41518</v>
      </c>
      <c r="B267" s="15">
        <f>VLOOKUP(A267,Database!A:Q,MATCH($A$1,Database!$A$1:$Q$1,),)</f>
        <v>23674</v>
      </c>
      <c r="C267" s="12">
        <f t="shared" si="8"/>
        <v>1.8061408789885613E-2</v>
      </c>
      <c r="D267" s="13">
        <f t="shared" si="7"/>
        <v>4.7151450813871197E-2</v>
      </c>
    </row>
    <row r="268" spans="1:4" x14ac:dyDescent="0.35">
      <c r="A268" s="11">
        <v>41548</v>
      </c>
      <c r="B268" s="15">
        <f>VLOOKUP(A268,Database!A:Q,MATCH($A$1,Database!$A$1:$Q$1,),)</f>
        <v>23690</v>
      </c>
      <c r="C268" s="12">
        <f t="shared" si="8"/>
        <v>6.7584692067246765E-4</v>
      </c>
      <c r="D268" s="13">
        <f t="shared" si="7"/>
        <v>5.270174191254888E-2</v>
      </c>
    </row>
    <row r="269" spans="1:4" x14ac:dyDescent="0.35">
      <c r="A269" s="10">
        <v>41579</v>
      </c>
      <c r="B269" s="15">
        <f>VLOOKUP(A269,Database!A:Q,MATCH($A$1,Database!$A$1:$Q$1,),)</f>
        <v>23711</v>
      </c>
      <c r="C269" s="12">
        <f t="shared" si="8"/>
        <v>8.8644997889404816E-4</v>
      </c>
      <c r="D269" s="13">
        <f t="shared" si="7"/>
        <v>4.633511319006222E-2</v>
      </c>
    </row>
    <row r="270" spans="1:4" x14ac:dyDescent="0.35">
      <c r="A270" s="11">
        <v>41609</v>
      </c>
      <c r="B270" s="15">
        <f>VLOOKUP(A270,Database!A:Q,MATCH($A$1,Database!$A$1:$Q$1,),)</f>
        <v>23755</v>
      </c>
      <c r="C270" s="12">
        <f t="shared" si="8"/>
        <v>1.8556787988697229E-3</v>
      </c>
      <c r="D270" s="13">
        <f t="shared" si="7"/>
        <v>3.7426849506507119E-2</v>
      </c>
    </row>
    <row r="271" spans="1:4" x14ac:dyDescent="0.35">
      <c r="A271" s="10">
        <v>41640</v>
      </c>
      <c r="B271" s="15">
        <f>VLOOKUP(A271,Database!A:Q,MATCH($A$1,Database!$A$1:$Q$1,),)</f>
        <v>23735</v>
      </c>
      <c r="C271" s="12">
        <f t="shared" si="8"/>
        <v>-8.4192801515470424E-4</v>
      </c>
      <c r="D271" s="13">
        <f t="shared" si="7"/>
        <v>2.4517632839815253E-2</v>
      </c>
    </row>
    <row r="272" spans="1:4" x14ac:dyDescent="0.35">
      <c r="A272" s="11">
        <v>41671</v>
      </c>
      <c r="B272" s="15">
        <f>VLOOKUP(A272,Database!A:Q,MATCH($A$1,Database!$A$1:$Q$1,),)</f>
        <v>23842</v>
      </c>
      <c r="C272" s="12">
        <f t="shared" si="8"/>
        <v>4.5081103855066354E-3</v>
      </c>
      <c r="D272" s="13">
        <f t="shared" si="7"/>
        <v>3.6969380654140571E-2</v>
      </c>
    </row>
    <row r="273" spans="1:4" x14ac:dyDescent="0.35">
      <c r="A273" s="10">
        <v>41699</v>
      </c>
      <c r="B273" s="15">
        <f>VLOOKUP(A273,Database!A:Q,MATCH($A$1,Database!$A$1:$Q$1,),)</f>
        <v>23989</v>
      </c>
      <c r="C273" s="12">
        <f t="shared" si="8"/>
        <v>6.1655901350557837E-3</v>
      </c>
      <c r="D273" s="13">
        <f t="shared" si="7"/>
        <v>4.1867535287730726E-2</v>
      </c>
    </row>
    <row r="274" spans="1:4" x14ac:dyDescent="0.35">
      <c r="A274" s="11">
        <v>41730</v>
      </c>
      <c r="B274" s="15">
        <f>VLOOKUP(A274,Database!A:Q,MATCH($A$1,Database!$A$1:$Q$1,),)</f>
        <v>24191</v>
      </c>
      <c r="C274" s="12">
        <f t="shared" si="8"/>
        <v>8.4205260744507904E-3</v>
      </c>
      <c r="D274" s="13">
        <f t="shared" si="7"/>
        <v>5.5223555070883314E-2</v>
      </c>
    </row>
    <row r="275" spans="1:4" x14ac:dyDescent="0.35">
      <c r="A275" s="10">
        <v>41760</v>
      </c>
      <c r="B275" s="15">
        <f>VLOOKUP(A275,Database!A:Q,MATCH($A$1,Database!$A$1:$Q$1,),)</f>
        <v>24523</v>
      </c>
      <c r="C275" s="12">
        <f t="shared" si="8"/>
        <v>1.372411227315944E-2</v>
      </c>
      <c r="D275" s="13">
        <f t="shared" ref="D275:D338" si="9">(B275-B263)/B263</f>
        <v>6.5244776508405364E-2</v>
      </c>
    </row>
    <row r="276" spans="1:4" x14ac:dyDescent="0.35">
      <c r="A276" s="11">
        <v>41791</v>
      </c>
      <c r="B276" s="15">
        <f>VLOOKUP(A276,Database!A:Q,MATCH($A$1,Database!$A$1:$Q$1,),)</f>
        <v>24717</v>
      </c>
      <c r="C276" s="12">
        <f t="shared" si="8"/>
        <v>7.9109407495004686E-3</v>
      </c>
      <c r="D276" s="13">
        <f t="shared" si="9"/>
        <v>7.4605451936872305E-2</v>
      </c>
    </row>
    <row r="277" spans="1:4" x14ac:dyDescent="0.35">
      <c r="A277" s="10">
        <v>41821</v>
      </c>
      <c r="B277" s="15">
        <f>VLOOKUP(A277,Database!A:Q,MATCH($A$1,Database!$A$1:$Q$1,),)</f>
        <v>24730</v>
      </c>
      <c r="C277" s="12">
        <f t="shared" si="8"/>
        <v>5.2595379698183438E-4</v>
      </c>
      <c r="D277" s="13">
        <f t="shared" si="9"/>
        <v>6.3107213481213995E-2</v>
      </c>
    </row>
    <row r="278" spans="1:4" x14ac:dyDescent="0.35">
      <c r="A278" s="11">
        <v>41852</v>
      </c>
      <c r="B278" s="15">
        <f>VLOOKUP(A278,Database!A:Q,MATCH($A$1,Database!$A$1:$Q$1,),)</f>
        <v>24836</v>
      </c>
      <c r="C278" s="12">
        <f t="shared" si="8"/>
        <v>4.2862919530934091E-3</v>
      </c>
      <c r="D278" s="13">
        <f t="shared" si="9"/>
        <v>6.8031306441902473E-2</v>
      </c>
    </row>
    <row r="279" spans="1:4" x14ac:dyDescent="0.35">
      <c r="A279" s="10">
        <v>41883</v>
      </c>
      <c r="B279" s="15">
        <f>VLOOKUP(A279,Database!A:Q,MATCH($A$1,Database!$A$1:$Q$1,),)</f>
        <v>24949</v>
      </c>
      <c r="C279" s="12">
        <f t="shared" si="8"/>
        <v>4.5498469962957002E-3</v>
      </c>
      <c r="D279" s="13">
        <f t="shared" si="9"/>
        <v>5.3856551491087271E-2</v>
      </c>
    </row>
    <row r="280" spans="1:4" x14ac:dyDescent="0.35">
      <c r="A280" s="11">
        <v>41913</v>
      </c>
      <c r="B280" s="15">
        <f>VLOOKUP(A280,Database!A:Q,MATCH($A$1,Database!$A$1:$Q$1,),)</f>
        <v>24859</v>
      </c>
      <c r="C280" s="12">
        <f t="shared" si="8"/>
        <v>-3.6073590123852661E-3</v>
      </c>
      <c r="D280" s="13">
        <f t="shared" si="9"/>
        <v>4.934571549176868E-2</v>
      </c>
    </row>
    <row r="281" spans="1:4" x14ac:dyDescent="0.35">
      <c r="A281" s="10">
        <v>41944</v>
      </c>
      <c r="B281" s="15">
        <f>VLOOKUP(A281,Database!A:Q,MATCH($A$1,Database!$A$1:$Q$1,),)</f>
        <v>24950</v>
      </c>
      <c r="C281" s="12">
        <f t="shared" si="8"/>
        <v>3.6606460436863913E-3</v>
      </c>
      <c r="D281" s="13">
        <f t="shared" si="9"/>
        <v>5.225422799544515E-2</v>
      </c>
    </row>
    <row r="282" spans="1:4" x14ac:dyDescent="0.35">
      <c r="A282" s="11">
        <v>41974</v>
      </c>
      <c r="B282" s="15">
        <f>VLOOKUP(A282,Database!A:Q,MATCH($A$1,Database!$A$1:$Q$1,),)</f>
        <v>25117</v>
      </c>
      <c r="C282" s="12">
        <f t="shared" si="8"/>
        <v>6.6933867735470944E-3</v>
      </c>
      <c r="D282" s="13">
        <f t="shared" si="9"/>
        <v>5.7335297832035358E-2</v>
      </c>
    </row>
    <row r="283" spans="1:4" x14ac:dyDescent="0.35">
      <c r="A283" s="10">
        <v>42005</v>
      </c>
      <c r="B283" s="15">
        <f>VLOOKUP(A283,Database!A:Q,MATCH($A$1,Database!$A$1:$Q$1,),)</f>
        <v>25313</v>
      </c>
      <c r="C283" s="12">
        <f t="shared" si="8"/>
        <v>7.8034797149341088E-3</v>
      </c>
      <c r="D283" s="13">
        <f t="shared" si="9"/>
        <v>6.6484095218032446E-2</v>
      </c>
    </row>
    <row r="284" spans="1:4" x14ac:dyDescent="0.35">
      <c r="A284" s="11">
        <v>42036</v>
      </c>
      <c r="B284" s="15">
        <f>VLOOKUP(A284,Database!A:Q,MATCH($A$1,Database!$A$1:$Q$1,),)</f>
        <v>25111</v>
      </c>
      <c r="C284" s="12">
        <f t="shared" si="8"/>
        <v>-7.9800892821870178E-3</v>
      </c>
      <c r="D284" s="13">
        <f t="shared" si="9"/>
        <v>5.322540055364483E-2</v>
      </c>
    </row>
    <row r="285" spans="1:4" x14ac:dyDescent="0.35">
      <c r="A285" s="10">
        <v>42064</v>
      </c>
      <c r="B285" s="15">
        <f>VLOOKUP(A285,Database!A:Q,MATCH($A$1,Database!$A$1:$Q$1,),)</f>
        <v>25650</v>
      </c>
      <c r="C285" s="12">
        <f t="shared" si="8"/>
        <v>2.1464696746445782E-2</v>
      </c>
      <c r="D285" s="13">
        <f t="shared" si="9"/>
        <v>6.9240068364667146E-2</v>
      </c>
    </row>
    <row r="286" spans="1:4" x14ac:dyDescent="0.35">
      <c r="A286" s="11">
        <v>42095</v>
      </c>
      <c r="B286" s="15">
        <f>VLOOKUP(A286,Database!A:Q,MATCH($A$1,Database!$A$1:$Q$1,),)</f>
        <v>25225</v>
      </c>
      <c r="C286" s="12">
        <f t="shared" si="8"/>
        <v>-1.6569200779727095E-2</v>
      </c>
      <c r="D286" s="13">
        <f t="shared" si="9"/>
        <v>4.2743168947129095E-2</v>
      </c>
    </row>
    <row r="287" spans="1:4" x14ac:dyDescent="0.35">
      <c r="A287" s="10">
        <v>42125</v>
      </c>
      <c r="B287" s="15">
        <f>VLOOKUP(A287,Database!A:Q,MATCH($A$1,Database!$A$1:$Q$1,),)</f>
        <v>25202</v>
      </c>
      <c r="C287" s="12">
        <f t="shared" si="8"/>
        <v>-9.1179385530227946E-4</v>
      </c>
      <c r="D287" s="13">
        <f t="shared" si="9"/>
        <v>2.7688292623251641E-2</v>
      </c>
    </row>
    <row r="288" spans="1:4" x14ac:dyDescent="0.35">
      <c r="A288" s="11">
        <v>42156</v>
      </c>
      <c r="B288" s="15">
        <f>VLOOKUP(A288,Database!A:Q,MATCH($A$1,Database!$A$1:$Q$1,),)</f>
        <v>25362</v>
      </c>
      <c r="C288" s="12">
        <f t="shared" si="8"/>
        <v>6.3487024839298471E-3</v>
      </c>
      <c r="D288" s="13">
        <f t="shared" si="9"/>
        <v>2.609539992717563E-2</v>
      </c>
    </row>
    <row r="289" spans="1:4" x14ac:dyDescent="0.35">
      <c r="A289" s="10">
        <v>42186</v>
      </c>
      <c r="B289" s="15">
        <f>VLOOKUP(A289,Database!A:Q,MATCH($A$1,Database!$A$1:$Q$1,),)</f>
        <v>25642</v>
      </c>
      <c r="C289" s="12">
        <f t="shared" si="8"/>
        <v>1.1040138790316222E-2</v>
      </c>
      <c r="D289" s="13">
        <f t="shared" si="9"/>
        <v>3.687828548321876E-2</v>
      </c>
    </row>
    <row r="290" spans="1:4" x14ac:dyDescent="0.35">
      <c r="A290" s="11">
        <v>42217</v>
      </c>
      <c r="B290" s="15">
        <f>VLOOKUP(A290,Database!A:Q,MATCH($A$1,Database!$A$1:$Q$1,),)</f>
        <v>25816</v>
      </c>
      <c r="C290" s="12">
        <f t="shared" si="8"/>
        <v>6.7857421417986119E-3</v>
      </c>
      <c r="D290" s="13">
        <f t="shared" si="9"/>
        <v>3.9458850056369787E-2</v>
      </c>
    </row>
    <row r="291" spans="1:4" x14ac:dyDescent="0.35">
      <c r="A291" s="10">
        <v>42248</v>
      </c>
      <c r="B291" s="15">
        <f>VLOOKUP(A291,Database!A:Q,MATCH($A$1,Database!$A$1:$Q$1,),)</f>
        <v>26062</v>
      </c>
      <c r="C291" s="12">
        <f t="shared" si="8"/>
        <v>9.5289742795165791E-3</v>
      </c>
      <c r="D291" s="13">
        <f t="shared" si="9"/>
        <v>4.4611006453164452E-2</v>
      </c>
    </row>
    <row r="292" spans="1:4" x14ac:dyDescent="0.35">
      <c r="A292" s="11">
        <v>42278</v>
      </c>
      <c r="B292" s="15">
        <f>VLOOKUP(A292,Database!A:Q,MATCH($A$1,Database!$A$1:$Q$1,),)</f>
        <v>25924</v>
      </c>
      <c r="C292" s="12">
        <f t="shared" si="8"/>
        <v>-5.2950656127695494E-3</v>
      </c>
      <c r="D292" s="13">
        <f t="shared" si="9"/>
        <v>4.2841626775011063E-2</v>
      </c>
    </row>
    <row r="293" spans="1:4" x14ac:dyDescent="0.35">
      <c r="A293" s="10">
        <v>42309</v>
      </c>
      <c r="B293" s="15">
        <f>VLOOKUP(A293,Database!A:Q,MATCH($A$1,Database!$A$1:$Q$1,),)</f>
        <v>26098</v>
      </c>
      <c r="C293" s="12">
        <f t="shared" si="8"/>
        <v>6.7119271717327577E-3</v>
      </c>
      <c r="D293" s="13">
        <f t="shared" si="9"/>
        <v>4.6012024048096192E-2</v>
      </c>
    </row>
    <row r="294" spans="1:4" x14ac:dyDescent="0.35">
      <c r="A294" s="11">
        <v>42339</v>
      </c>
      <c r="B294" s="15">
        <f>VLOOKUP(A294,Database!A:Q,MATCH($A$1,Database!$A$1:$Q$1,),)</f>
        <v>26298</v>
      </c>
      <c r="C294" s="12">
        <f t="shared" si="8"/>
        <v>7.663422484481569E-3</v>
      </c>
      <c r="D294" s="13">
        <f t="shared" si="9"/>
        <v>4.7019946649679498E-2</v>
      </c>
    </row>
    <row r="295" spans="1:4" x14ac:dyDescent="0.35">
      <c r="A295" s="10">
        <v>42370</v>
      </c>
      <c r="B295" s="15">
        <f>VLOOKUP(A295,Database!A:Q,MATCH($A$1,Database!$A$1:$Q$1,),)</f>
        <v>26178</v>
      </c>
      <c r="C295" s="12">
        <f t="shared" si="8"/>
        <v>-4.5630846452201692E-3</v>
      </c>
      <c r="D295" s="13">
        <f t="shared" si="9"/>
        <v>3.4172164500454315E-2</v>
      </c>
    </row>
    <row r="296" spans="1:4" x14ac:dyDescent="0.35">
      <c r="A296" s="11">
        <v>42401</v>
      </c>
      <c r="B296" s="15">
        <f>VLOOKUP(A296,Database!A:Q,MATCH($A$1,Database!$A$1:$Q$1,),)</f>
        <v>26752</v>
      </c>
      <c r="C296" s="12">
        <f t="shared" si="8"/>
        <v>2.1926808770723508E-2</v>
      </c>
      <c r="D296" s="13">
        <f t="shared" si="9"/>
        <v>6.5349846680737525E-2</v>
      </c>
    </row>
    <row r="297" spans="1:4" x14ac:dyDescent="0.35">
      <c r="A297" s="10">
        <v>42430</v>
      </c>
      <c r="B297" s="15">
        <f>VLOOKUP(A297,Database!A:Q,MATCH($A$1,Database!$A$1:$Q$1,),)</f>
        <v>26567</v>
      </c>
      <c r="C297" s="12">
        <f t="shared" si="8"/>
        <v>-6.9153708133971288E-3</v>
      </c>
      <c r="D297" s="13">
        <f t="shared" si="9"/>
        <v>3.5750487329434699E-2</v>
      </c>
    </row>
    <row r="298" spans="1:4" x14ac:dyDescent="0.35">
      <c r="A298" s="11">
        <v>42461</v>
      </c>
      <c r="B298" s="15">
        <f>VLOOKUP(A298,Database!A:Q,MATCH($A$1,Database!$A$1:$Q$1,),)</f>
        <v>26781</v>
      </c>
      <c r="C298" s="12">
        <f t="shared" si="8"/>
        <v>8.0551059585199682E-3</v>
      </c>
      <c r="D298" s="13">
        <f t="shared" si="9"/>
        <v>6.1684836471754212E-2</v>
      </c>
    </row>
    <row r="299" spans="1:4" x14ac:dyDescent="0.35">
      <c r="A299" s="10">
        <v>42491</v>
      </c>
      <c r="B299" s="15">
        <f>VLOOKUP(A299,Database!A:Q,MATCH($A$1,Database!$A$1:$Q$1,),)</f>
        <v>26700</v>
      </c>
      <c r="C299" s="12">
        <f t="shared" si="8"/>
        <v>-3.0245323176879132E-3</v>
      </c>
      <c r="D299" s="13">
        <f t="shared" si="9"/>
        <v>5.943972700579319E-2</v>
      </c>
    </row>
    <row r="300" spans="1:4" x14ac:dyDescent="0.35">
      <c r="A300" s="11">
        <v>42522</v>
      </c>
      <c r="B300" s="15">
        <f>VLOOKUP(A300,Database!A:Q,MATCH($A$1,Database!$A$1:$Q$1,),)</f>
        <v>26877</v>
      </c>
      <c r="C300" s="12">
        <f t="shared" si="8"/>
        <v>6.6292134831460675E-3</v>
      </c>
      <c r="D300" s="13">
        <f t="shared" si="9"/>
        <v>5.9735036669032411E-2</v>
      </c>
    </row>
    <row r="301" spans="1:4" x14ac:dyDescent="0.35">
      <c r="A301" s="10">
        <v>42552</v>
      </c>
      <c r="B301" s="15">
        <f>VLOOKUP(A301,Database!A:Q,MATCH($A$1,Database!$A$1:$Q$1,),)</f>
        <v>26845</v>
      </c>
      <c r="C301" s="12">
        <f t="shared" si="8"/>
        <v>-1.1906090709528593E-3</v>
      </c>
      <c r="D301" s="13">
        <f t="shared" si="9"/>
        <v>4.6915217221745575E-2</v>
      </c>
    </row>
    <row r="302" spans="1:4" x14ac:dyDescent="0.35">
      <c r="A302" s="11">
        <v>42583</v>
      </c>
      <c r="B302" s="15">
        <f>VLOOKUP(A302,Database!A:Q,MATCH($A$1,Database!$A$1:$Q$1,),)</f>
        <v>26744</v>
      </c>
      <c r="C302" s="12">
        <f t="shared" si="8"/>
        <v>-3.7623393555596945E-3</v>
      </c>
      <c r="D302" s="13">
        <f t="shared" si="9"/>
        <v>3.594669972110319E-2</v>
      </c>
    </row>
    <row r="303" spans="1:4" x14ac:dyDescent="0.35">
      <c r="A303" s="10">
        <v>42614</v>
      </c>
      <c r="B303" s="15">
        <f>VLOOKUP(A303,Database!A:Q,MATCH($A$1,Database!$A$1:$Q$1,),)</f>
        <v>26682</v>
      </c>
      <c r="C303" s="12">
        <f t="shared" si="8"/>
        <v>-2.3182769967095423E-3</v>
      </c>
      <c r="D303" s="13">
        <f t="shared" si="9"/>
        <v>2.3789425216790731E-2</v>
      </c>
    </row>
    <row r="304" spans="1:4" x14ac:dyDescent="0.35">
      <c r="A304" s="11">
        <v>42644</v>
      </c>
      <c r="B304" s="15">
        <f>VLOOKUP(A304,Database!A:Q,MATCH($A$1,Database!$A$1:$Q$1,),)</f>
        <v>25894</v>
      </c>
      <c r="C304" s="12">
        <f t="shared" si="8"/>
        <v>-2.9533018514354248E-2</v>
      </c>
      <c r="D304" s="13">
        <f t="shared" si="9"/>
        <v>-1.1572288227125443E-3</v>
      </c>
    </row>
    <row r="305" spans="1:4" x14ac:dyDescent="0.35">
      <c r="A305" s="10">
        <v>42675</v>
      </c>
      <c r="B305" s="15">
        <f>VLOOKUP(A305,Database!A:Q,MATCH($A$1,Database!$A$1:$Q$1,),)</f>
        <v>26119</v>
      </c>
      <c r="C305" s="12">
        <f t="shared" si="8"/>
        <v>8.6892716459411445E-3</v>
      </c>
      <c r="D305" s="13">
        <f t="shared" si="9"/>
        <v>8.0465936087056476E-4</v>
      </c>
    </row>
    <row r="306" spans="1:4" x14ac:dyDescent="0.35">
      <c r="A306" s="11">
        <v>42705</v>
      </c>
      <c r="B306" s="15">
        <f>VLOOKUP(A306,Database!A:Q,MATCH($A$1,Database!$A$1:$Q$1,),)</f>
        <v>26179</v>
      </c>
      <c r="C306" s="12">
        <f t="shared" si="8"/>
        <v>2.2971782993223325E-3</v>
      </c>
      <c r="D306" s="13">
        <f t="shared" si="9"/>
        <v>-4.5250589398433344E-3</v>
      </c>
    </row>
    <row r="307" spans="1:4" x14ac:dyDescent="0.35">
      <c r="A307" s="10">
        <v>42736</v>
      </c>
      <c r="B307" s="15">
        <f>VLOOKUP(A307,Database!A:Q,MATCH($A$1,Database!$A$1:$Q$1,),)</f>
        <v>26149</v>
      </c>
      <c r="C307" s="12">
        <f t="shared" si="8"/>
        <v>-1.1459566828373887E-3</v>
      </c>
      <c r="D307" s="13">
        <f t="shared" si="9"/>
        <v>-1.1078004431201772E-3</v>
      </c>
    </row>
    <row r="308" spans="1:4" x14ac:dyDescent="0.35">
      <c r="A308" s="11">
        <v>42767</v>
      </c>
      <c r="B308" s="15">
        <f>VLOOKUP(A308,Database!A:Q,MATCH($A$1,Database!$A$1:$Q$1,),)</f>
        <v>26447</v>
      </c>
      <c r="C308" s="12">
        <f t="shared" si="8"/>
        <v>1.1396229301311714E-2</v>
      </c>
      <c r="D308" s="13">
        <f t="shared" si="9"/>
        <v>-1.1401016746411483E-2</v>
      </c>
    </row>
    <row r="309" spans="1:4" x14ac:dyDescent="0.35">
      <c r="A309" s="10">
        <v>42795</v>
      </c>
      <c r="B309" s="15">
        <f>VLOOKUP(A309,Database!A:Q,MATCH($A$1,Database!$A$1:$Q$1,),)</f>
        <v>26580</v>
      </c>
      <c r="C309" s="12">
        <f t="shared" si="8"/>
        <v>5.028925776080463E-3</v>
      </c>
      <c r="D309" s="13">
        <f t="shared" si="9"/>
        <v>4.8932886663906349E-4</v>
      </c>
    </row>
    <row r="310" spans="1:4" x14ac:dyDescent="0.35">
      <c r="A310" s="11">
        <v>42826</v>
      </c>
      <c r="B310" s="15">
        <f>VLOOKUP(A310,Database!A:Q,MATCH($A$1,Database!$A$1:$Q$1,),)</f>
        <v>26763</v>
      </c>
      <c r="C310" s="12">
        <f t="shared" si="8"/>
        <v>6.8848758465011282E-3</v>
      </c>
      <c r="D310" s="13">
        <f t="shared" si="9"/>
        <v>-6.7211829281953628E-4</v>
      </c>
    </row>
    <row r="311" spans="1:4" x14ac:dyDescent="0.35">
      <c r="A311" s="10">
        <v>42856</v>
      </c>
      <c r="B311" s="15">
        <f>VLOOKUP(A311,Database!A:Q,MATCH($A$1,Database!$A$1:$Q$1,),)</f>
        <v>26765</v>
      </c>
      <c r="C311" s="12">
        <f t="shared" si="8"/>
        <v>7.4730037738669053E-5</v>
      </c>
      <c r="D311" s="13">
        <f t="shared" si="9"/>
        <v>2.4344569288389513E-3</v>
      </c>
    </row>
    <row r="312" spans="1:4" x14ac:dyDescent="0.35">
      <c r="A312" s="11">
        <v>42887</v>
      </c>
      <c r="B312" s="15">
        <f>VLOOKUP(A312,Database!A:Q,MATCH($A$1,Database!$A$1:$Q$1,),)</f>
        <v>27011</v>
      </c>
      <c r="C312" s="12">
        <f t="shared" si="8"/>
        <v>9.191107790024286E-3</v>
      </c>
      <c r="D312" s="13">
        <f t="shared" si="9"/>
        <v>4.9856754846150982E-3</v>
      </c>
    </row>
    <row r="313" spans="1:4" x14ac:dyDescent="0.35">
      <c r="A313" s="10">
        <v>42917</v>
      </c>
      <c r="B313" s="15">
        <f>VLOOKUP(A313,Database!A:Q,MATCH($A$1,Database!$A$1:$Q$1,),)</f>
        <v>27047</v>
      </c>
      <c r="C313" s="12">
        <f t="shared" si="8"/>
        <v>1.3327903446743918E-3</v>
      </c>
      <c r="D313" s="13">
        <f t="shared" si="9"/>
        <v>7.524678711119389E-3</v>
      </c>
    </row>
    <row r="314" spans="1:4" x14ac:dyDescent="0.35">
      <c r="A314" s="11">
        <v>42948</v>
      </c>
      <c r="B314" s="15">
        <f>VLOOKUP(A314,Database!A:Q,MATCH($A$1,Database!$A$1:$Q$1,),)</f>
        <v>27333</v>
      </c>
      <c r="C314" s="12">
        <f t="shared" si="8"/>
        <v>1.0574185676784855E-2</v>
      </c>
      <c r="D314" s="13">
        <f t="shared" si="9"/>
        <v>2.2023631468740652E-2</v>
      </c>
    </row>
    <row r="315" spans="1:4" x14ac:dyDescent="0.35">
      <c r="A315" s="10">
        <v>42979</v>
      </c>
      <c r="B315" s="15">
        <f>VLOOKUP(A315,Database!A:Q,MATCH($A$1,Database!$A$1:$Q$1,),)</f>
        <v>27395</v>
      </c>
      <c r="C315" s="12">
        <f t="shared" si="8"/>
        <v>2.2683203453700653E-3</v>
      </c>
      <c r="D315" s="13">
        <f t="shared" si="9"/>
        <v>2.6722134772505811E-2</v>
      </c>
    </row>
    <row r="316" spans="1:4" x14ac:dyDescent="0.35">
      <c r="A316" s="11">
        <v>43009</v>
      </c>
      <c r="B316" s="15">
        <f>VLOOKUP(A316,Database!A:Q,MATCH($A$1,Database!$A$1:$Q$1,),)</f>
        <v>27559</v>
      </c>
      <c r="C316" s="12">
        <f t="shared" si="8"/>
        <v>5.986493885745574E-3</v>
      </c>
      <c r="D316" s="13">
        <f t="shared" si="9"/>
        <v>6.4300610179964468E-2</v>
      </c>
    </row>
    <row r="317" spans="1:4" x14ac:dyDescent="0.35">
      <c r="A317" s="10">
        <v>43040</v>
      </c>
      <c r="B317" s="15">
        <f>VLOOKUP(A317,Database!A:Q,MATCH($A$1,Database!$A$1:$Q$1,),)</f>
        <v>27721</v>
      </c>
      <c r="C317" s="12">
        <f t="shared" si="8"/>
        <v>5.8782974708806559E-3</v>
      </c>
      <c r="D317" s="13">
        <f t="shared" si="9"/>
        <v>6.1334660591906273E-2</v>
      </c>
    </row>
    <row r="318" spans="1:4" x14ac:dyDescent="0.35">
      <c r="A318" s="11">
        <v>43070</v>
      </c>
      <c r="B318" s="15">
        <f>VLOOKUP(A318,Database!A:Q,MATCH($A$1,Database!$A$1:$Q$1,),)</f>
        <v>27603</v>
      </c>
      <c r="C318" s="12">
        <f t="shared" si="8"/>
        <v>-4.2567006962230796E-3</v>
      </c>
      <c r="D318" s="13">
        <f t="shared" si="9"/>
        <v>5.4394743878681387E-2</v>
      </c>
    </row>
    <row r="319" spans="1:4" x14ac:dyDescent="0.35">
      <c r="A319" s="10">
        <v>43101</v>
      </c>
      <c r="B319" s="15">
        <f>VLOOKUP(A319,Database!A:Q,MATCH($A$1,Database!$A$1:$Q$1,),)</f>
        <v>27603</v>
      </c>
      <c r="C319" s="12">
        <f t="shared" si="8"/>
        <v>0</v>
      </c>
      <c r="D319" s="13">
        <f t="shared" si="9"/>
        <v>5.5604420819151783E-2</v>
      </c>
    </row>
    <row r="320" spans="1:4" x14ac:dyDescent="0.35">
      <c r="A320" s="11">
        <v>43132</v>
      </c>
      <c r="B320" s="15">
        <f>VLOOKUP(A320,Database!A:Q,MATCH($A$1,Database!$A$1:$Q$1,),)</f>
        <v>27494</v>
      </c>
      <c r="C320" s="12">
        <f t="shared" si="8"/>
        <v>-3.948846139912328E-3</v>
      </c>
      <c r="D320" s="13">
        <f t="shared" si="9"/>
        <v>3.9588611184633415E-2</v>
      </c>
    </row>
    <row r="321" spans="1:4" x14ac:dyDescent="0.35">
      <c r="A321" s="10">
        <v>43160</v>
      </c>
      <c r="B321" s="15">
        <f>VLOOKUP(A321,Database!A:Q,MATCH($A$1,Database!$A$1:$Q$1,),)</f>
        <v>27656</v>
      </c>
      <c r="C321" s="12">
        <f t="shared" si="8"/>
        <v>5.8921946606532334E-3</v>
      </c>
      <c r="D321" s="13">
        <f t="shared" si="9"/>
        <v>4.0481565086531224E-2</v>
      </c>
    </row>
    <row r="322" spans="1:4" x14ac:dyDescent="0.35">
      <c r="A322" s="11">
        <v>43191</v>
      </c>
      <c r="B322" s="15">
        <f>VLOOKUP(A322,Database!A:Q,MATCH($A$1,Database!$A$1:$Q$1,),)</f>
        <v>27950</v>
      </c>
      <c r="C322" s="12">
        <f t="shared" si="8"/>
        <v>1.0630604570436795E-2</v>
      </c>
      <c r="D322" s="13">
        <f t="shared" si="9"/>
        <v>4.4352277397900083E-2</v>
      </c>
    </row>
    <row r="323" spans="1:4" x14ac:dyDescent="0.35">
      <c r="A323" s="10">
        <v>43221</v>
      </c>
      <c r="B323" s="15">
        <f>VLOOKUP(A323,Database!A:Q,MATCH($A$1,Database!$A$1:$Q$1,),)</f>
        <v>28294</v>
      </c>
      <c r="C323" s="12">
        <f t="shared" si="8"/>
        <v>1.2307692307692308E-2</v>
      </c>
      <c r="D323" s="13">
        <f t="shared" si="9"/>
        <v>5.7126844759947691E-2</v>
      </c>
    </row>
    <row r="324" spans="1:4" x14ac:dyDescent="0.35">
      <c r="A324" s="11">
        <v>43252</v>
      </c>
      <c r="B324" s="15">
        <f>VLOOKUP(A324,Database!A:Q,MATCH($A$1,Database!$A$1:$Q$1,),)</f>
        <v>28127</v>
      </c>
      <c r="C324" s="12">
        <f t="shared" si="8"/>
        <v>-5.9023114441224284E-3</v>
      </c>
      <c r="D324" s="13">
        <f t="shared" si="9"/>
        <v>4.1316500684906152E-2</v>
      </c>
    </row>
    <row r="325" spans="1:4" x14ac:dyDescent="0.35">
      <c r="A325" s="10">
        <v>43282</v>
      </c>
      <c r="B325" s="15">
        <f>VLOOKUP(A325,Database!A:Q,MATCH($A$1,Database!$A$1:$Q$1,),)</f>
        <v>28308</v>
      </c>
      <c r="C325" s="12">
        <f t="shared" si="8"/>
        <v>6.4350979485903225E-3</v>
      </c>
      <c r="D325" s="13">
        <f t="shared" si="9"/>
        <v>4.6622545938551412E-2</v>
      </c>
    </row>
    <row r="326" spans="1:4" x14ac:dyDescent="0.35">
      <c r="A326" s="11">
        <v>43313</v>
      </c>
      <c r="B326" s="15">
        <f>VLOOKUP(A326,Database!A:Q,MATCH($A$1,Database!$A$1:$Q$1,),)</f>
        <v>28535</v>
      </c>
      <c r="C326" s="12">
        <f t="shared" si="8"/>
        <v>8.0189345767980782E-3</v>
      </c>
      <c r="D326" s="13">
        <f t="shared" si="9"/>
        <v>4.397614605056159E-2</v>
      </c>
    </row>
    <row r="327" spans="1:4" x14ac:dyDescent="0.35">
      <c r="A327" s="10">
        <v>43344</v>
      </c>
      <c r="B327" s="15">
        <f>VLOOKUP(A327,Database!A:Q,MATCH($A$1,Database!$A$1:$Q$1,),)</f>
        <v>28358</v>
      </c>
      <c r="C327" s="12">
        <f t="shared" si="8"/>
        <v>-6.2029087086034693E-3</v>
      </c>
      <c r="D327" s="13">
        <f t="shared" si="9"/>
        <v>3.5152400073006025E-2</v>
      </c>
    </row>
    <row r="328" spans="1:4" x14ac:dyDescent="0.35">
      <c r="A328" s="11">
        <v>43374</v>
      </c>
      <c r="B328" s="15">
        <f>VLOOKUP(A328,Database!A:Q,MATCH($A$1,Database!$A$1:$Q$1,),)</f>
        <v>28542</v>
      </c>
      <c r="C328" s="12">
        <f t="shared" ref="C328:C391" si="10">(B328-B327)/B327</f>
        <v>6.4884688624021443E-3</v>
      </c>
      <c r="D328" s="13">
        <f t="shared" si="9"/>
        <v>3.5668928480714103E-2</v>
      </c>
    </row>
    <row r="329" spans="1:4" x14ac:dyDescent="0.35">
      <c r="A329" s="10">
        <v>43405</v>
      </c>
      <c r="B329" s="15">
        <f>VLOOKUP(A329,Database!A:Q,MATCH($A$1,Database!$A$1:$Q$1,),)</f>
        <v>29088</v>
      </c>
      <c r="C329" s="12">
        <f t="shared" si="10"/>
        <v>1.9129703594702542E-2</v>
      </c>
      <c r="D329" s="13">
        <f t="shared" si="9"/>
        <v>4.9312795353702969E-2</v>
      </c>
    </row>
    <row r="330" spans="1:4" x14ac:dyDescent="0.35">
      <c r="A330" s="11">
        <v>43435</v>
      </c>
      <c r="B330" s="15">
        <f>VLOOKUP(A330,Database!A:Q,MATCH($A$1,Database!$A$1:$Q$1,),)</f>
        <v>27847</v>
      </c>
      <c r="C330" s="12">
        <f t="shared" si="10"/>
        <v>-4.2663641364136411E-2</v>
      </c>
      <c r="D330" s="13">
        <f t="shared" si="9"/>
        <v>8.8396188820055784E-3</v>
      </c>
    </row>
    <row r="331" spans="1:4" x14ac:dyDescent="0.35">
      <c r="A331" s="10">
        <v>43466</v>
      </c>
      <c r="B331" s="15">
        <f>VLOOKUP(A331,Database!A:Q,MATCH($A$1,Database!$A$1:$Q$1,),)</f>
        <v>28629</v>
      </c>
      <c r="C331" s="12">
        <f t="shared" si="10"/>
        <v>2.8082019607139009E-2</v>
      </c>
      <c r="D331" s="13">
        <f t="shared" si="9"/>
        <v>3.7169872839908705E-2</v>
      </c>
    </row>
    <row r="332" spans="1:4" x14ac:dyDescent="0.35">
      <c r="A332" s="11">
        <v>43497</v>
      </c>
      <c r="B332" s="15">
        <f>VLOOKUP(A332,Database!A:Q,MATCH($A$1,Database!$A$1:$Q$1,),)</f>
        <v>28875</v>
      </c>
      <c r="C332" s="12">
        <f t="shared" si="10"/>
        <v>8.5926857382374513E-3</v>
      </c>
      <c r="D332" s="13">
        <f t="shared" si="9"/>
        <v>5.0229140903469846E-2</v>
      </c>
    </row>
    <row r="333" spans="1:4" x14ac:dyDescent="0.35">
      <c r="A333" s="10">
        <v>43525</v>
      </c>
      <c r="B333" s="15">
        <f>VLOOKUP(A333,Database!A:Q,MATCH($A$1,Database!$A$1:$Q$1,),)</f>
        <v>28827</v>
      </c>
      <c r="C333" s="12">
        <f t="shared" si="10"/>
        <v>-1.6623376623376624E-3</v>
      </c>
      <c r="D333" s="13">
        <f t="shared" si="9"/>
        <v>4.2341625687011858E-2</v>
      </c>
    </row>
    <row r="334" spans="1:4" x14ac:dyDescent="0.35">
      <c r="A334" s="11">
        <v>43556</v>
      </c>
      <c r="B334" s="15">
        <f>VLOOKUP(A334,Database!A:Q,MATCH($A$1,Database!$A$1:$Q$1,),)</f>
        <v>28719</v>
      </c>
      <c r="C334" s="12">
        <f t="shared" si="10"/>
        <v>-3.746487667811427E-3</v>
      </c>
      <c r="D334" s="13">
        <f t="shared" si="9"/>
        <v>2.7513416815742396E-2</v>
      </c>
    </row>
    <row r="335" spans="1:4" x14ac:dyDescent="0.35">
      <c r="A335" s="10">
        <v>43586</v>
      </c>
      <c r="B335" s="15">
        <f>VLOOKUP(A335,Database!A:Q,MATCH($A$1,Database!$A$1:$Q$1,),)</f>
        <v>28862</v>
      </c>
      <c r="C335" s="12">
        <f t="shared" si="10"/>
        <v>4.9792820084264772E-3</v>
      </c>
      <c r="D335" s="13">
        <f t="shared" si="9"/>
        <v>2.0074927546476284E-2</v>
      </c>
    </row>
    <row r="336" spans="1:4" x14ac:dyDescent="0.35">
      <c r="A336" s="11">
        <v>43617</v>
      </c>
      <c r="B336" s="15">
        <f>VLOOKUP(A336,Database!A:Q,MATCH($A$1,Database!$A$1:$Q$1,),)</f>
        <v>28805</v>
      </c>
      <c r="C336" s="12">
        <f t="shared" si="10"/>
        <v>-1.9749151132977616E-3</v>
      </c>
      <c r="D336" s="13">
        <f t="shared" si="9"/>
        <v>2.4104952536708499E-2</v>
      </c>
    </row>
    <row r="337" spans="1:4" x14ac:dyDescent="0.35">
      <c r="A337" s="10">
        <v>43647</v>
      </c>
      <c r="B337" s="15">
        <f>VLOOKUP(A337,Database!A:Q,MATCH($A$1,Database!$A$1:$Q$1,),)</f>
        <v>28665</v>
      </c>
      <c r="C337" s="12">
        <f t="shared" si="10"/>
        <v>-4.8602673147023082E-3</v>
      </c>
      <c r="D337" s="13">
        <f t="shared" si="9"/>
        <v>1.2611275964391691E-2</v>
      </c>
    </row>
    <row r="338" spans="1:4" x14ac:dyDescent="0.35">
      <c r="A338" s="11">
        <v>43678</v>
      </c>
      <c r="B338" s="15">
        <f>VLOOKUP(A338,Database!A:Q,MATCH($A$1,Database!$A$1:$Q$1,),)</f>
        <v>28580</v>
      </c>
      <c r="C338" s="12">
        <f t="shared" si="10"/>
        <v>-2.9652886795743937E-3</v>
      </c>
      <c r="D338" s="13">
        <f t="shared" si="9"/>
        <v>1.5770106886280008E-3</v>
      </c>
    </row>
    <row r="339" spans="1:4" x14ac:dyDescent="0.35">
      <c r="A339" s="10">
        <v>43709</v>
      </c>
      <c r="B339" s="15">
        <f>VLOOKUP(A339,Database!A:Q,MATCH($A$1,Database!$A$1:$Q$1,),)</f>
        <v>28600</v>
      </c>
      <c r="C339" s="12">
        <f t="shared" si="10"/>
        <v>6.9979006298110562E-4</v>
      </c>
      <c r="D339" s="13">
        <f t="shared" ref="D339:D402" si="11">(B339-B327)/B327</f>
        <v>8.5337470907680367E-3</v>
      </c>
    </row>
    <row r="340" spans="1:4" x14ac:dyDescent="0.35">
      <c r="A340" s="11">
        <v>43739</v>
      </c>
      <c r="B340" s="15">
        <f>VLOOKUP(A340,Database!A:Q,MATCH($A$1,Database!$A$1:$Q$1,),)</f>
        <v>28809</v>
      </c>
      <c r="C340" s="12">
        <f t="shared" si="10"/>
        <v>7.3076923076923076E-3</v>
      </c>
      <c r="D340" s="13">
        <f t="shared" si="11"/>
        <v>9.3546352743325619E-3</v>
      </c>
    </row>
    <row r="341" spans="1:4" x14ac:dyDescent="0.35">
      <c r="A341" s="10">
        <v>43770</v>
      </c>
      <c r="B341" s="15">
        <f>VLOOKUP(A341,Database!A:Q,MATCH($A$1,Database!$A$1:$Q$1,),)</f>
        <v>28576</v>
      </c>
      <c r="C341" s="12">
        <f t="shared" si="10"/>
        <v>-8.0877503557915936E-3</v>
      </c>
      <c r="D341" s="13">
        <f t="shared" si="11"/>
        <v>-1.7601760176017601E-2</v>
      </c>
    </row>
    <row r="342" spans="1:4" x14ac:dyDescent="0.35">
      <c r="A342" s="11">
        <v>43800</v>
      </c>
      <c r="B342" s="15">
        <f>VLOOKUP(A342,Database!A:Q,MATCH($A$1,Database!$A$1:$Q$1,),)</f>
        <v>28267</v>
      </c>
      <c r="C342" s="12">
        <f t="shared" si="10"/>
        <v>-1.0813269876819709E-2</v>
      </c>
      <c r="D342" s="13">
        <f t="shared" si="11"/>
        <v>1.5082414622760082E-2</v>
      </c>
    </row>
    <row r="343" spans="1:4" x14ac:dyDescent="0.35">
      <c r="A343" s="10">
        <v>43831</v>
      </c>
      <c r="B343" s="15">
        <f>VLOOKUP(A343,Database!A:Q,MATCH($A$1,Database!$A$1:$Q$1,),)</f>
        <v>28983</v>
      </c>
      <c r="C343" s="12">
        <f t="shared" si="10"/>
        <v>2.5329889977712527E-2</v>
      </c>
      <c r="D343" s="13">
        <f t="shared" si="11"/>
        <v>1.2365084355024626E-2</v>
      </c>
    </row>
    <row r="344" spans="1:4" x14ac:dyDescent="0.35">
      <c r="A344" s="11">
        <v>43862</v>
      </c>
      <c r="B344" s="15">
        <f>VLOOKUP(A344,Database!A:Q,MATCH($A$1,Database!$A$1:$Q$1,),)</f>
        <v>29290</v>
      </c>
      <c r="C344" s="12">
        <f t="shared" si="10"/>
        <v>1.0592416244005106E-2</v>
      </c>
      <c r="D344" s="13">
        <f t="shared" si="11"/>
        <v>1.4372294372294373E-2</v>
      </c>
    </row>
    <row r="345" spans="1:4" x14ac:dyDescent="0.35">
      <c r="A345" s="10">
        <v>43891</v>
      </c>
      <c r="B345" s="15">
        <f>VLOOKUP(A345,Database!A:Q,MATCH($A$1,Database!$A$1:$Q$1,),)</f>
        <v>30733</v>
      </c>
      <c r="C345" s="12">
        <f t="shared" si="10"/>
        <v>4.9265961078866508E-2</v>
      </c>
      <c r="D345" s="13">
        <f t="shared" si="11"/>
        <v>6.611856939674611E-2</v>
      </c>
    </row>
    <row r="346" spans="1:4" x14ac:dyDescent="0.35">
      <c r="A346" s="11">
        <v>43922</v>
      </c>
      <c r="B346" s="15">
        <f>VLOOKUP(A346,Database!A:Q,MATCH($A$1,Database!$A$1:$Q$1,),)</f>
        <v>26103</v>
      </c>
      <c r="C346" s="12">
        <f t="shared" si="10"/>
        <v>-0.15065239319298473</v>
      </c>
      <c r="D346" s="13">
        <f t="shared" si="11"/>
        <v>-9.1089522615689963E-2</v>
      </c>
    </row>
    <row r="347" spans="1:4" x14ac:dyDescent="0.35">
      <c r="A347" s="10">
        <v>43952</v>
      </c>
      <c r="B347" s="15">
        <f>VLOOKUP(A347,Database!A:Q,MATCH($A$1,Database!$A$1:$Q$1,),)</f>
        <v>26413</v>
      </c>
      <c r="C347" s="12">
        <f t="shared" si="10"/>
        <v>1.1876029575144619E-2</v>
      </c>
      <c r="D347" s="13">
        <f t="shared" si="11"/>
        <v>-8.4852054604670504E-2</v>
      </c>
    </row>
    <row r="348" spans="1:4" x14ac:dyDescent="0.35">
      <c r="A348" s="11">
        <v>43983</v>
      </c>
      <c r="B348" s="15">
        <f>VLOOKUP(A348,Database!A:Q,MATCH($A$1,Database!$A$1:$Q$1,),)</f>
        <v>28579</v>
      </c>
      <c r="C348" s="12">
        <f t="shared" si="10"/>
        <v>8.2005073259379849E-2</v>
      </c>
      <c r="D348" s="13">
        <f t="shared" si="11"/>
        <v>-7.845860093733727E-3</v>
      </c>
    </row>
    <row r="349" spans="1:4" x14ac:dyDescent="0.35">
      <c r="A349" s="10">
        <v>44013</v>
      </c>
      <c r="B349" s="15">
        <f>VLOOKUP(A349,Database!A:Q,MATCH($A$1,Database!$A$1:$Q$1,),)</f>
        <v>30173</v>
      </c>
      <c r="C349" s="12">
        <f t="shared" si="10"/>
        <v>5.5775219566814797E-2</v>
      </c>
      <c r="D349" s="13">
        <f t="shared" si="11"/>
        <v>5.2607709750566896E-2</v>
      </c>
    </row>
    <row r="350" spans="1:4" x14ac:dyDescent="0.35">
      <c r="A350" s="11">
        <v>44044</v>
      </c>
      <c r="B350" s="15">
        <f>VLOOKUP(A350,Database!A:Q,MATCH($A$1,Database!$A$1:$Q$1,),)</f>
        <v>29802</v>
      </c>
      <c r="C350" s="12">
        <f t="shared" si="10"/>
        <v>-1.2295761110926987E-2</v>
      </c>
      <c r="D350" s="13">
        <f t="shared" si="11"/>
        <v>4.2757172848145557E-2</v>
      </c>
    </row>
    <row r="351" spans="1:4" x14ac:dyDescent="0.35">
      <c r="A351" s="10">
        <v>44075</v>
      </c>
      <c r="B351" s="15">
        <f>VLOOKUP(A351,Database!A:Q,MATCH($A$1,Database!$A$1:$Q$1,),)</f>
        <v>30274</v>
      </c>
      <c r="C351" s="12">
        <f t="shared" si="10"/>
        <v>1.5837863230655662E-2</v>
      </c>
      <c r="D351" s="13">
        <f t="shared" si="11"/>
        <v>5.8531468531468532E-2</v>
      </c>
    </row>
    <row r="352" spans="1:4" x14ac:dyDescent="0.35">
      <c r="A352" s="11">
        <v>44105</v>
      </c>
      <c r="B352" s="15">
        <f>VLOOKUP(A352,Database!A:Q,MATCH($A$1,Database!$A$1:$Q$1,),)</f>
        <v>30170</v>
      </c>
      <c r="C352" s="12">
        <f t="shared" si="10"/>
        <v>-3.4352910087864174E-3</v>
      </c>
      <c r="D352" s="13">
        <f t="shared" si="11"/>
        <v>4.7242181262799818E-2</v>
      </c>
    </row>
    <row r="353" spans="1:4" x14ac:dyDescent="0.35">
      <c r="A353" s="10">
        <v>44136</v>
      </c>
      <c r="B353" s="15">
        <f>VLOOKUP(A353,Database!A:Q,MATCH($A$1,Database!$A$1:$Q$1,),)</f>
        <v>29698</v>
      </c>
      <c r="C353" s="12">
        <f t="shared" si="10"/>
        <v>-1.564468014584024E-2</v>
      </c>
      <c r="D353" s="13">
        <f t="shared" si="11"/>
        <v>3.9263717805151178E-2</v>
      </c>
    </row>
    <row r="354" spans="1:4" x14ac:dyDescent="0.35">
      <c r="A354" s="11">
        <v>44166</v>
      </c>
      <c r="B354" s="15">
        <f>VLOOKUP(A354,Database!A:Q,MATCH($A$1,Database!$A$1:$Q$1,),)</f>
        <v>29948</v>
      </c>
      <c r="C354" s="12">
        <f t="shared" si="10"/>
        <v>8.4180752912654047E-3</v>
      </c>
      <c r="D354" s="13">
        <f t="shared" si="11"/>
        <v>5.946863834152899E-2</v>
      </c>
    </row>
    <row r="355" spans="1:4" x14ac:dyDescent="0.35">
      <c r="A355" s="10">
        <v>44197</v>
      </c>
      <c r="B355" s="15">
        <f>VLOOKUP(A355,Database!A:Q,MATCH($A$1,Database!$A$1:$Q$1,),)</f>
        <v>29977</v>
      </c>
      <c r="C355" s="12">
        <f t="shared" si="10"/>
        <v>9.6834513156137303E-4</v>
      </c>
      <c r="D355" s="13">
        <f t="shared" si="11"/>
        <v>3.4295966601110998E-2</v>
      </c>
    </row>
    <row r="356" spans="1:4" x14ac:dyDescent="0.35">
      <c r="A356" s="11">
        <v>44228</v>
      </c>
      <c r="B356" s="15">
        <f>VLOOKUP(A356,Database!A:Q,MATCH($A$1,Database!$A$1:$Q$1,),)</f>
        <v>29740</v>
      </c>
      <c r="C356" s="12">
        <f t="shared" si="10"/>
        <v>-7.9060613136738168E-3</v>
      </c>
      <c r="D356" s="13">
        <f t="shared" si="11"/>
        <v>1.5363605326049846E-2</v>
      </c>
    </row>
    <row r="357" spans="1:4" x14ac:dyDescent="0.35">
      <c r="A357" s="10">
        <v>44256</v>
      </c>
      <c r="B357" s="15">
        <f>VLOOKUP(A357,Database!A:Q,MATCH($A$1,Database!$A$1:$Q$1,),)</f>
        <v>32383</v>
      </c>
      <c r="C357" s="12">
        <f t="shared" si="10"/>
        <v>8.8870208473436449E-2</v>
      </c>
      <c r="D357" s="13">
        <f t="shared" si="11"/>
        <v>5.3688217876549635E-2</v>
      </c>
    </row>
    <row r="358" spans="1:4" x14ac:dyDescent="0.35">
      <c r="A358" s="11">
        <v>44287</v>
      </c>
      <c r="B358" s="15">
        <f>VLOOKUP(A358,Database!A:Q,MATCH($A$1,Database!$A$1:$Q$1,),)</f>
        <v>32315</v>
      </c>
      <c r="C358" s="12">
        <f t="shared" si="10"/>
        <v>-2.0998672142790971E-3</v>
      </c>
      <c r="D358" s="13">
        <f t="shared" si="11"/>
        <v>0.23798030877676896</v>
      </c>
    </row>
    <row r="359" spans="1:4" x14ac:dyDescent="0.35">
      <c r="A359" s="10">
        <v>44317</v>
      </c>
      <c r="B359" s="15">
        <f>VLOOKUP(A359,Database!A:Q,MATCH($A$1,Database!$A$1:$Q$1,),)</f>
        <v>31531</v>
      </c>
      <c r="C359" s="12">
        <f t="shared" si="10"/>
        <v>-2.4261179019031409E-2</v>
      </c>
      <c r="D359" s="13">
        <f t="shared" si="11"/>
        <v>0.19376822019460113</v>
      </c>
    </row>
    <row r="360" spans="1:4" x14ac:dyDescent="0.35">
      <c r="A360" s="11">
        <v>44348</v>
      </c>
      <c r="B360" s="15">
        <f>VLOOKUP(A360,Database!A:Q,MATCH($A$1,Database!$A$1:$Q$1,),)</f>
        <v>32715</v>
      </c>
      <c r="C360" s="12">
        <f t="shared" si="10"/>
        <v>3.7550347277282674E-2</v>
      </c>
      <c r="D360" s="13">
        <f t="shared" si="11"/>
        <v>0.14472164876307778</v>
      </c>
    </row>
    <row r="361" spans="1:4" x14ac:dyDescent="0.35">
      <c r="A361" s="10">
        <v>44378</v>
      </c>
      <c r="B361" s="15">
        <f>VLOOKUP(A361,Database!A:Q,MATCH($A$1,Database!$A$1:$Q$1,),)</f>
        <v>32512</v>
      </c>
      <c r="C361" s="12">
        <f t="shared" si="10"/>
        <v>-6.2051046920372915E-3</v>
      </c>
      <c r="D361" s="13">
        <f t="shared" si="11"/>
        <v>7.7519636761342922E-2</v>
      </c>
    </row>
    <row r="362" spans="1:4" x14ac:dyDescent="0.35">
      <c r="A362" s="11">
        <v>44409</v>
      </c>
      <c r="B362" s="15">
        <f>VLOOKUP(A362,Database!A:Q,MATCH($A$1,Database!$A$1:$Q$1,),)</f>
        <v>32799</v>
      </c>
      <c r="C362" s="12">
        <f t="shared" si="10"/>
        <v>8.827509842519685E-3</v>
      </c>
      <c r="D362" s="13">
        <f t="shared" si="11"/>
        <v>0.10056372055566741</v>
      </c>
    </row>
    <row r="363" spans="1:4" x14ac:dyDescent="0.35">
      <c r="A363" s="11">
        <v>44440</v>
      </c>
      <c r="B363" s="15">
        <f>VLOOKUP(A363,Database!A:Q,MATCH($A$1,Database!$A$1:$Q$1,),)</f>
        <v>32611</v>
      </c>
      <c r="C363" s="12">
        <f t="shared" si="10"/>
        <v>-5.7318820695752924E-3</v>
      </c>
      <c r="D363" s="13">
        <f t="shared" si="11"/>
        <v>7.7194952764748623E-2</v>
      </c>
    </row>
    <row r="364" spans="1:4" x14ac:dyDescent="0.35">
      <c r="A364" s="10">
        <v>44470</v>
      </c>
      <c r="B364" s="15">
        <f>VLOOKUP(A364,Database!A:Q,MATCH($A$1,Database!$A$1:$Q$1,),)</f>
        <v>32444</v>
      </c>
      <c r="C364" s="12">
        <f t="shared" si="10"/>
        <v>-5.1209714513507712E-3</v>
      </c>
      <c r="D364" s="13">
        <f t="shared" si="11"/>
        <v>7.5372886973815043E-2</v>
      </c>
    </row>
    <row r="365" spans="1:4" x14ac:dyDescent="0.35">
      <c r="A365" s="11">
        <v>44501</v>
      </c>
      <c r="B365" s="15">
        <f>VLOOKUP(A365,Database!A:Q,MATCH($A$1,Database!$A$1:$Q$1,),)</f>
        <v>32694</v>
      </c>
      <c r="C365" s="12">
        <f t="shared" si="10"/>
        <v>7.7055850080138084E-3</v>
      </c>
      <c r="D365" s="13">
        <f t="shared" si="11"/>
        <v>0.10088221429052462</v>
      </c>
    </row>
    <row r="366" spans="1:4" x14ac:dyDescent="0.35">
      <c r="A366" s="10">
        <v>44531</v>
      </c>
      <c r="B366" s="15">
        <f>VLOOKUP(A366,Database!A:Q,MATCH($A$1,Database!$A$1:$Q$1,),)</f>
        <v>32797</v>
      </c>
      <c r="C366" s="12">
        <f t="shared" si="10"/>
        <v>3.1504251544625926E-3</v>
      </c>
      <c r="D366" s="13">
        <f t="shared" si="11"/>
        <v>9.5131561373046611E-2</v>
      </c>
    </row>
    <row r="367" spans="1:4" x14ac:dyDescent="0.35">
      <c r="A367" s="11">
        <v>44562</v>
      </c>
      <c r="B367" s="15">
        <f>VLOOKUP(A367,Database!A:Q,MATCH($A$1,Database!$A$1:$Q$1,),)</f>
        <v>32815</v>
      </c>
      <c r="C367" s="12">
        <f t="shared" si="10"/>
        <v>5.4883068573345118E-4</v>
      </c>
      <c r="D367" s="13">
        <f t="shared" si="11"/>
        <v>9.4672582313106712E-2</v>
      </c>
    </row>
    <row r="368" spans="1:4" x14ac:dyDescent="0.35">
      <c r="A368" s="11">
        <v>44593</v>
      </c>
      <c r="B368" s="15">
        <f>VLOOKUP(A368,Database!A:Q,MATCH($A$1,Database!$A$1:$Q$1,),)</f>
        <v>32445</v>
      </c>
      <c r="C368" s="12">
        <f t="shared" si="10"/>
        <v>-1.1275331403321652E-2</v>
      </c>
      <c r="D368" s="13">
        <f t="shared" si="11"/>
        <v>9.0954942837928709E-2</v>
      </c>
    </row>
    <row r="369" spans="1:4" x14ac:dyDescent="0.35">
      <c r="A369" s="11">
        <v>44621</v>
      </c>
      <c r="B369" s="15">
        <f>VLOOKUP(A369,Database!A:Q,MATCH($A$1,Database!$A$1:$Q$1,),)</f>
        <v>32763</v>
      </c>
      <c r="C369" s="12">
        <f t="shared" si="10"/>
        <v>9.801202034211743E-3</v>
      </c>
      <c r="D369" s="13">
        <f t="shared" si="11"/>
        <v>1.1734552079794954E-2</v>
      </c>
    </row>
    <row r="370" spans="1:4" x14ac:dyDescent="0.35">
      <c r="A370" s="10">
        <v>44652</v>
      </c>
      <c r="B370" s="15">
        <f>VLOOKUP(A370,Database!A:Q,MATCH($A$1,Database!$A$1:$Q$1,),)</f>
        <v>32962</v>
      </c>
      <c r="C370" s="12">
        <f t="shared" si="10"/>
        <v>6.0739248542563259E-3</v>
      </c>
      <c r="D370" s="13">
        <f t="shared" si="11"/>
        <v>2.0021661766981277E-2</v>
      </c>
    </row>
    <row r="371" spans="1:4" x14ac:dyDescent="0.35">
      <c r="A371" s="11">
        <v>44682</v>
      </c>
      <c r="B371" s="15">
        <f>VLOOKUP(A371,Database!A:Q,MATCH($A$1,Database!$A$1:$Q$1,),)</f>
        <v>32985</v>
      </c>
      <c r="C371" s="12">
        <f t="shared" si="10"/>
        <v>6.9777319337418846E-4</v>
      </c>
      <c r="D371" s="13">
        <f t="shared" si="11"/>
        <v>4.6113348767879231E-2</v>
      </c>
    </row>
    <row r="372" spans="1:4" x14ac:dyDescent="0.35">
      <c r="A372" s="10">
        <v>44713</v>
      </c>
      <c r="B372" s="15">
        <f>VLOOKUP(A372,Database!A:Q,MATCH($A$1,Database!$A$1:$Q$1,),)</f>
        <v>33426</v>
      </c>
      <c r="C372" s="12">
        <f t="shared" si="10"/>
        <v>1.3369713506139155E-2</v>
      </c>
      <c r="D372" s="13">
        <f t="shared" si="11"/>
        <v>2.1733149931224209E-2</v>
      </c>
    </row>
    <row r="373" spans="1:4" x14ac:dyDescent="0.35">
      <c r="A373" s="11">
        <v>44743</v>
      </c>
      <c r="B373" s="15">
        <f>VLOOKUP(A373,Database!A:Q,MATCH($A$1,Database!$A$1:$Q$1,),)</f>
        <v>33641</v>
      </c>
      <c r="C373" s="12">
        <f t="shared" si="10"/>
        <v>6.4321187099862379E-3</v>
      </c>
      <c r="D373" s="13">
        <f t="shared" si="11"/>
        <v>3.4725639763779528E-2</v>
      </c>
    </row>
    <row r="374" spans="1:4" x14ac:dyDescent="0.35">
      <c r="A374" s="10">
        <v>44774</v>
      </c>
      <c r="B374" s="15">
        <f>VLOOKUP(A374,Database!A:Q,MATCH($A$1,Database!$A$1:$Q$1,),)</f>
        <v>33649</v>
      </c>
      <c r="C374" s="12">
        <f t="shared" si="10"/>
        <v>2.3780505930263667E-4</v>
      </c>
      <c r="D374" s="13">
        <f t="shared" si="11"/>
        <v>2.5915424250739352E-2</v>
      </c>
    </row>
    <row r="375" spans="1:4" x14ac:dyDescent="0.35">
      <c r="A375" s="10">
        <v>44805</v>
      </c>
      <c r="B375" s="15">
        <f>VLOOKUP(A375,Database!A:Q,MATCH($A$1,Database!$A$1:$Q$1,),)</f>
        <v>33932</v>
      </c>
      <c r="C375" s="12">
        <f t="shared" si="10"/>
        <v>8.4103539481113852E-3</v>
      </c>
      <c r="D375" s="13">
        <f t="shared" si="11"/>
        <v>4.0507804115175863E-2</v>
      </c>
    </row>
    <row r="376" spans="1:4" x14ac:dyDescent="0.35">
      <c r="A376" s="10">
        <v>44835</v>
      </c>
      <c r="B376" s="15">
        <f>VLOOKUP(A376,Database!A:Q,MATCH($A$1,Database!$A$1:$Q$1,),)</f>
        <v>33928</v>
      </c>
      <c r="C376" s="12">
        <f t="shared" si="10"/>
        <v>-1.1788282447247436E-4</v>
      </c>
      <c r="D376" s="13">
        <f t="shared" si="11"/>
        <v>4.5740352607569965E-2</v>
      </c>
    </row>
    <row r="377" spans="1:4" x14ac:dyDescent="0.35">
      <c r="A377" s="10">
        <v>44866</v>
      </c>
      <c r="B377" s="15">
        <f>VLOOKUP(A377,Database!A:Q,MATCH($A$1,Database!$A$1:$Q$1,),)</f>
        <v>34168</v>
      </c>
      <c r="C377" s="12">
        <f t="shared" si="10"/>
        <v>7.0738033482669179E-3</v>
      </c>
      <c r="D377" s="13">
        <f t="shared" si="11"/>
        <v>4.5084725025998654E-2</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7"/>
  <sheetViews>
    <sheetView zoomScale="130" zoomScaleNormal="130" workbookViewId="0">
      <pane ySplit="6" topLeftCell="A350" activePane="bottomLeft" state="frozen"/>
      <selection pane="bottomLeft" activeCell="AF367" sqref="AF367"/>
    </sheetView>
  </sheetViews>
  <sheetFormatPr defaultColWidth="9.1796875" defaultRowHeight="14.5" x14ac:dyDescent="0.35"/>
  <cols>
    <col min="1" max="1" width="14" style="54" customWidth="1"/>
    <col min="2" max="2" width="20.6328125" style="54" customWidth="1"/>
    <col min="3" max="4" width="14.1796875" style="54" customWidth="1"/>
    <col min="5" max="22" width="9.1796875" style="109" customWidth="1"/>
    <col min="23" max="16384" width="9.1796875" style="109"/>
  </cols>
  <sheetData>
    <row r="1" spans="1:4" x14ac:dyDescent="0.35">
      <c r="A1" s="109" t="s">
        <v>65</v>
      </c>
      <c r="B1" s="29" t="s">
        <v>104</v>
      </c>
    </row>
    <row r="2" spans="1:4" x14ac:dyDescent="0.35">
      <c r="A2" s="110" t="s">
        <v>105</v>
      </c>
      <c r="B2" s="109"/>
    </row>
    <row r="3" spans="1:4" x14ac:dyDescent="0.35">
      <c r="A3" s="9"/>
    </row>
    <row r="4" spans="1:4" x14ac:dyDescent="0.35">
      <c r="A4" s="9"/>
    </row>
    <row r="5" spans="1:4" ht="16" customHeight="1" thickBot="1" x14ac:dyDescent="0.4"/>
    <row r="6" spans="1:4" ht="44.25" customHeight="1" x14ac:dyDescent="0.35">
      <c r="A6" s="86" t="s">
        <v>82</v>
      </c>
      <c r="B6" s="83" t="s">
        <v>106</v>
      </c>
      <c r="C6" s="84" t="s">
        <v>12</v>
      </c>
      <c r="D6" s="85" t="s">
        <v>13</v>
      </c>
    </row>
    <row r="7" spans="1:4" x14ac:dyDescent="0.35">
      <c r="A7" s="10">
        <v>33604</v>
      </c>
      <c r="B7" s="15">
        <f>VLOOKUP(A7,Database!A:Q,MATCH($A$1,Database!$A$1:$Q$1,),)</f>
        <v>3385</v>
      </c>
      <c r="C7" s="1"/>
      <c r="D7" s="1"/>
    </row>
    <row r="8" spans="1:4" x14ac:dyDescent="0.35">
      <c r="A8" s="11">
        <v>33635</v>
      </c>
      <c r="B8" s="15">
        <f>VLOOKUP(A8,Database!A:Q,MATCH($A$1,Database!$A$1:$Q$1,),)</f>
        <v>3516</v>
      </c>
      <c r="C8" s="12">
        <f t="shared" ref="C8:C71" si="0">(B8-B7)/B7</f>
        <v>3.8700147710487444E-2</v>
      </c>
      <c r="D8" s="1"/>
    </row>
    <row r="9" spans="1:4" x14ac:dyDescent="0.35">
      <c r="A9" s="10">
        <v>33664</v>
      </c>
      <c r="B9" s="15">
        <f>VLOOKUP(A9,Database!A:Q,MATCH($A$1,Database!$A$1:$Q$1,),)</f>
        <v>3482</v>
      </c>
      <c r="C9" s="12">
        <f t="shared" si="0"/>
        <v>-9.6700796359499436E-3</v>
      </c>
      <c r="D9" s="1"/>
    </row>
    <row r="10" spans="1:4" x14ac:dyDescent="0.35">
      <c r="A10" s="11">
        <v>33695</v>
      </c>
      <c r="B10" s="15">
        <f>VLOOKUP(A10,Database!A:Q,MATCH($A$1,Database!$A$1:$Q$1,),)</f>
        <v>3535</v>
      </c>
      <c r="C10" s="12">
        <f t="shared" si="0"/>
        <v>1.5221137277426766E-2</v>
      </c>
      <c r="D10" s="1"/>
    </row>
    <row r="11" spans="1:4" x14ac:dyDescent="0.35">
      <c r="A11" s="10">
        <v>33725</v>
      </c>
      <c r="B11" s="15">
        <f>VLOOKUP(A11,Database!A:Q,MATCH($A$1,Database!$A$1:$Q$1,),)</f>
        <v>3512</v>
      </c>
      <c r="C11" s="12">
        <f t="shared" si="0"/>
        <v>-6.5063649222065062E-3</v>
      </c>
      <c r="D11" s="1"/>
    </row>
    <row r="12" spans="1:4" x14ac:dyDescent="0.35">
      <c r="A12" s="11">
        <v>33756</v>
      </c>
      <c r="B12" s="15">
        <f>VLOOKUP(A12,Database!A:Q,MATCH($A$1,Database!$A$1:$Q$1,),)</f>
        <v>3549</v>
      </c>
      <c r="C12" s="12">
        <f t="shared" si="0"/>
        <v>1.0535307517084282E-2</v>
      </c>
      <c r="D12" s="1"/>
    </row>
    <row r="13" spans="1:4" x14ac:dyDescent="0.35">
      <c r="A13" s="10">
        <v>33786</v>
      </c>
      <c r="B13" s="15">
        <f>VLOOKUP(A13,Database!A:Q,MATCH($A$1,Database!$A$1:$Q$1,),)</f>
        <v>3586</v>
      </c>
      <c r="C13" s="12">
        <f t="shared" si="0"/>
        <v>1.0425471963933503E-2</v>
      </c>
      <c r="D13" s="1"/>
    </row>
    <row r="14" spans="1:4" x14ac:dyDescent="0.35">
      <c r="A14" s="11">
        <v>33817</v>
      </c>
      <c r="B14" s="15">
        <f>VLOOKUP(A14,Database!A:Q,MATCH($A$1,Database!$A$1:$Q$1,),)</f>
        <v>3512</v>
      </c>
      <c r="C14" s="12">
        <f t="shared" si="0"/>
        <v>-2.063580591187953E-2</v>
      </c>
      <c r="D14" s="1"/>
    </row>
    <row r="15" spans="1:4" x14ac:dyDescent="0.35">
      <c r="A15" s="10">
        <v>33848</v>
      </c>
      <c r="B15" s="15">
        <f>VLOOKUP(A15,Database!A:Q,MATCH($A$1,Database!$A$1:$Q$1,),)</f>
        <v>3566</v>
      </c>
      <c r="C15" s="12">
        <f t="shared" si="0"/>
        <v>1.5375854214123007E-2</v>
      </c>
      <c r="D15" s="1"/>
    </row>
    <row r="16" spans="1:4" x14ac:dyDescent="0.35">
      <c r="A16" s="11">
        <v>33878</v>
      </c>
      <c r="B16" s="15">
        <f>VLOOKUP(A16,Database!A:Q,MATCH($A$1,Database!$A$1:$Q$1,),)</f>
        <v>3607</v>
      </c>
      <c r="C16" s="12">
        <f t="shared" si="0"/>
        <v>1.1497476163768929E-2</v>
      </c>
      <c r="D16" s="1"/>
    </row>
    <row r="17" spans="1:4" x14ac:dyDescent="0.35">
      <c r="A17" s="10">
        <v>33909</v>
      </c>
      <c r="B17" s="15">
        <f>VLOOKUP(A17,Database!A:Q,MATCH($A$1,Database!$A$1:$Q$1,),)</f>
        <v>3626</v>
      </c>
      <c r="C17" s="12">
        <f t="shared" si="0"/>
        <v>5.2675353479345721E-3</v>
      </c>
      <c r="D17" s="1"/>
    </row>
    <row r="18" spans="1:4" x14ac:dyDescent="0.35">
      <c r="A18" s="11">
        <v>33939</v>
      </c>
      <c r="B18" s="15">
        <f>VLOOKUP(A18,Database!A:Q,MATCH($A$1,Database!$A$1:$Q$1,),)</f>
        <v>3800</v>
      </c>
      <c r="C18" s="12">
        <f t="shared" si="0"/>
        <v>4.7986762272476557E-2</v>
      </c>
      <c r="D18" s="1"/>
    </row>
    <row r="19" spans="1:4" x14ac:dyDescent="0.35">
      <c r="A19" s="10">
        <v>33970</v>
      </c>
      <c r="B19" s="15">
        <f>VLOOKUP(A19,Database!A:Q,MATCH($A$1,Database!$A$1:$Q$1,),)</f>
        <v>3648</v>
      </c>
      <c r="C19" s="12">
        <f t="shared" si="0"/>
        <v>-0.04</v>
      </c>
      <c r="D19" s="13">
        <f t="shared" ref="D19:D82" si="1">(B19-B7)/B7</f>
        <v>7.7695716395864103E-2</v>
      </c>
    </row>
    <row r="20" spans="1:4" x14ac:dyDescent="0.35">
      <c r="A20" s="11">
        <v>34001</v>
      </c>
      <c r="B20" s="15">
        <f>VLOOKUP(A20,Database!A:Q,MATCH($A$1,Database!$A$1:$Q$1,),)</f>
        <v>3585</v>
      </c>
      <c r="C20" s="12">
        <f t="shared" si="0"/>
        <v>-1.7269736842105265E-2</v>
      </c>
      <c r="D20" s="13">
        <f t="shared" si="1"/>
        <v>1.9624573378839591E-2</v>
      </c>
    </row>
    <row r="21" spans="1:4" x14ac:dyDescent="0.35">
      <c r="A21" s="10">
        <v>34029</v>
      </c>
      <c r="B21" s="15">
        <f>VLOOKUP(A21,Database!A:Q,MATCH($A$1,Database!$A$1:$Q$1,),)</f>
        <v>3608</v>
      </c>
      <c r="C21" s="12">
        <f t="shared" si="0"/>
        <v>6.4156206415620642E-3</v>
      </c>
      <c r="D21" s="13">
        <f t="shared" si="1"/>
        <v>3.6186099942561743E-2</v>
      </c>
    </row>
    <row r="22" spans="1:4" x14ac:dyDescent="0.35">
      <c r="A22" s="11">
        <v>34060</v>
      </c>
      <c r="B22" s="15">
        <f>VLOOKUP(A22,Database!A:Q,MATCH($A$1,Database!$A$1:$Q$1,),)</f>
        <v>3749</v>
      </c>
      <c r="C22" s="12">
        <f t="shared" si="0"/>
        <v>3.907982261640798E-2</v>
      </c>
      <c r="D22" s="13">
        <f t="shared" si="1"/>
        <v>6.0537482319660538E-2</v>
      </c>
    </row>
    <row r="23" spans="1:4" x14ac:dyDescent="0.35">
      <c r="A23" s="10">
        <v>34090</v>
      </c>
      <c r="B23" s="15">
        <f>VLOOKUP(A23,Database!A:Q,MATCH($A$1,Database!$A$1:$Q$1,),)</f>
        <v>3746</v>
      </c>
      <c r="C23" s="12">
        <f t="shared" si="0"/>
        <v>-8.0021339023739668E-4</v>
      </c>
      <c r="D23" s="13">
        <f t="shared" si="1"/>
        <v>6.6628701594533032E-2</v>
      </c>
    </row>
    <row r="24" spans="1:4" x14ac:dyDescent="0.35">
      <c r="A24" s="11">
        <v>34121</v>
      </c>
      <c r="B24" s="15">
        <f>VLOOKUP(A24,Database!A:Q,MATCH($A$1,Database!$A$1:$Q$1,),)</f>
        <v>3702</v>
      </c>
      <c r="C24" s="12">
        <f t="shared" si="0"/>
        <v>-1.1745862253069941E-2</v>
      </c>
      <c r="D24" s="13">
        <f t="shared" si="1"/>
        <v>4.3110735418427727E-2</v>
      </c>
    </row>
    <row r="25" spans="1:4" x14ac:dyDescent="0.35">
      <c r="A25" s="10">
        <v>34151</v>
      </c>
      <c r="B25" s="15">
        <f>VLOOKUP(A25,Database!A:Q,MATCH($A$1,Database!$A$1:$Q$1,),)</f>
        <v>3810</v>
      </c>
      <c r="C25" s="12">
        <f t="shared" si="0"/>
        <v>2.9173419773095625E-2</v>
      </c>
      <c r="D25" s="13">
        <f t="shared" si="1"/>
        <v>6.2465142219743447E-2</v>
      </c>
    </row>
    <row r="26" spans="1:4" x14ac:dyDescent="0.35">
      <c r="A26" s="11">
        <v>34182</v>
      </c>
      <c r="B26" s="15">
        <f>VLOOKUP(A26,Database!A:Q,MATCH($A$1,Database!$A$1:$Q$1,),)</f>
        <v>3804</v>
      </c>
      <c r="C26" s="12">
        <f t="shared" si="0"/>
        <v>-1.5748031496062992E-3</v>
      </c>
      <c r="D26" s="13">
        <f t="shared" si="1"/>
        <v>8.3143507972665148E-2</v>
      </c>
    </row>
    <row r="27" spans="1:4" x14ac:dyDescent="0.35">
      <c r="A27" s="10">
        <v>34213</v>
      </c>
      <c r="B27" s="15">
        <f>VLOOKUP(A27,Database!A:Q,MATCH($A$1,Database!$A$1:$Q$1,),)</f>
        <v>3825</v>
      </c>
      <c r="C27" s="12">
        <f t="shared" si="0"/>
        <v>5.5205047318611991E-3</v>
      </c>
      <c r="D27" s="13">
        <f t="shared" si="1"/>
        <v>7.263039820527202E-2</v>
      </c>
    </row>
    <row r="28" spans="1:4" x14ac:dyDescent="0.35">
      <c r="A28" s="11">
        <v>34243</v>
      </c>
      <c r="B28" s="15">
        <f>VLOOKUP(A28,Database!A:Q,MATCH($A$1,Database!$A$1:$Q$1,),)</f>
        <v>3817</v>
      </c>
      <c r="C28" s="12">
        <f t="shared" si="0"/>
        <v>-2.0915032679738564E-3</v>
      </c>
      <c r="D28" s="13">
        <f t="shared" si="1"/>
        <v>5.8220127529803163E-2</v>
      </c>
    </row>
    <row r="29" spans="1:4" x14ac:dyDescent="0.35">
      <c r="A29" s="10">
        <v>34274</v>
      </c>
      <c r="B29" s="15">
        <f>VLOOKUP(A29,Database!A:Q,MATCH($A$1,Database!$A$1:$Q$1,),)</f>
        <v>3930</v>
      </c>
      <c r="C29" s="12">
        <f t="shared" si="0"/>
        <v>2.9604401362326435E-2</v>
      </c>
      <c r="D29" s="13">
        <f t="shared" si="1"/>
        <v>8.383894098179813E-2</v>
      </c>
    </row>
    <row r="30" spans="1:4" x14ac:dyDescent="0.35">
      <c r="A30" s="11">
        <v>34304</v>
      </c>
      <c r="B30" s="15">
        <f>VLOOKUP(A30,Database!A:Q,MATCH($A$1,Database!$A$1:$Q$1,),)</f>
        <v>4018</v>
      </c>
      <c r="C30" s="12">
        <f t="shared" si="0"/>
        <v>2.2391857506361322E-2</v>
      </c>
      <c r="D30" s="13">
        <f t="shared" si="1"/>
        <v>5.7368421052631575E-2</v>
      </c>
    </row>
    <row r="31" spans="1:4" x14ac:dyDescent="0.35">
      <c r="A31" s="10">
        <v>34335</v>
      </c>
      <c r="B31" s="15">
        <f>VLOOKUP(A31,Database!A:Q,MATCH($A$1,Database!$A$1:$Q$1,),)</f>
        <v>3981</v>
      </c>
      <c r="C31" s="12">
        <f t="shared" si="0"/>
        <v>-9.2085614733698352E-3</v>
      </c>
      <c r="D31" s="13">
        <f t="shared" si="1"/>
        <v>9.1282894736842105E-2</v>
      </c>
    </row>
    <row r="32" spans="1:4" x14ac:dyDescent="0.35">
      <c r="A32" s="11">
        <v>34366</v>
      </c>
      <c r="B32" s="15">
        <f>VLOOKUP(A32,Database!A:Q,MATCH($A$1,Database!$A$1:$Q$1,),)</f>
        <v>4095</v>
      </c>
      <c r="C32" s="12">
        <f t="shared" si="0"/>
        <v>2.8636021100226075E-2</v>
      </c>
      <c r="D32" s="13">
        <f t="shared" si="1"/>
        <v>0.14225941422594143</v>
      </c>
    </row>
    <row r="33" spans="1:4" x14ac:dyDescent="0.35">
      <c r="A33" s="10">
        <v>34394</v>
      </c>
      <c r="B33" s="15">
        <f>VLOOKUP(A33,Database!A:Q,MATCH($A$1,Database!$A$1:$Q$1,),)</f>
        <v>4131</v>
      </c>
      <c r="C33" s="12">
        <f t="shared" si="0"/>
        <v>8.7912087912087912E-3</v>
      </c>
      <c r="D33" s="13">
        <f t="shared" si="1"/>
        <v>0.14495565410199557</v>
      </c>
    </row>
    <row r="34" spans="1:4" x14ac:dyDescent="0.35">
      <c r="A34" s="11">
        <v>34425</v>
      </c>
      <c r="B34" s="15">
        <f>VLOOKUP(A34,Database!A:Q,MATCH($A$1,Database!$A$1:$Q$1,),)</f>
        <v>4035</v>
      </c>
      <c r="C34" s="12">
        <f t="shared" si="0"/>
        <v>-2.3238925199709513E-2</v>
      </c>
      <c r="D34" s="13">
        <f t="shared" si="1"/>
        <v>7.6287009869298483E-2</v>
      </c>
    </row>
    <row r="35" spans="1:4" x14ac:dyDescent="0.35">
      <c r="A35" s="10">
        <v>34455</v>
      </c>
      <c r="B35" s="15">
        <f>VLOOKUP(A35,Database!A:Q,MATCH($A$1,Database!$A$1:$Q$1,),)</f>
        <v>4119</v>
      </c>
      <c r="C35" s="12">
        <f t="shared" si="0"/>
        <v>2.0817843866171002E-2</v>
      </c>
      <c r="D35" s="13">
        <f t="shared" si="1"/>
        <v>9.9572877736252008E-2</v>
      </c>
    </row>
    <row r="36" spans="1:4" x14ac:dyDescent="0.35">
      <c r="A36" s="11">
        <v>34486</v>
      </c>
      <c r="B36" s="15">
        <f>VLOOKUP(A36,Database!A:Q,MATCH($A$1,Database!$A$1:$Q$1,),)</f>
        <v>4135</v>
      </c>
      <c r="C36" s="12">
        <f t="shared" si="0"/>
        <v>3.8844379703811605E-3</v>
      </c>
      <c r="D36" s="13">
        <f t="shared" si="1"/>
        <v>0.11696380334954079</v>
      </c>
    </row>
    <row r="37" spans="1:4" x14ac:dyDescent="0.35">
      <c r="A37" s="10">
        <v>34516</v>
      </c>
      <c r="B37" s="15">
        <f>VLOOKUP(A37,Database!A:Q,MATCH($A$1,Database!$A$1:$Q$1,),)</f>
        <v>4111</v>
      </c>
      <c r="C37" s="12">
        <f t="shared" si="0"/>
        <v>-5.8041112454655383E-3</v>
      </c>
      <c r="D37" s="13">
        <f t="shared" si="1"/>
        <v>7.9002624671916016E-2</v>
      </c>
    </row>
    <row r="38" spans="1:4" x14ac:dyDescent="0.35">
      <c r="A38" s="11">
        <v>34547</v>
      </c>
      <c r="B38" s="15">
        <f>VLOOKUP(A38,Database!A:Q,MATCH($A$1,Database!$A$1:$Q$1,),)</f>
        <v>4249</v>
      </c>
      <c r="C38" s="12">
        <f t="shared" si="0"/>
        <v>3.3568474823643883E-2</v>
      </c>
      <c r="D38" s="13">
        <f t="shared" si="1"/>
        <v>0.11698212407991587</v>
      </c>
    </row>
    <row r="39" spans="1:4" x14ac:dyDescent="0.35">
      <c r="A39" s="10">
        <v>34578</v>
      </c>
      <c r="B39" s="15">
        <f>VLOOKUP(A39,Database!A:Q,MATCH($A$1,Database!$A$1:$Q$1,),)</f>
        <v>4306</v>
      </c>
      <c r="C39" s="12">
        <f t="shared" si="0"/>
        <v>1.3414921157919511E-2</v>
      </c>
      <c r="D39" s="13">
        <f t="shared" si="1"/>
        <v>0.1257516339869281</v>
      </c>
    </row>
    <row r="40" spans="1:4" x14ac:dyDescent="0.35">
      <c r="A40" s="11">
        <v>34608</v>
      </c>
      <c r="B40" s="15">
        <f>VLOOKUP(A40,Database!A:Q,MATCH($A$1,Database!$A$1:$Q$1,),)</f>
        <v>4347</v>
      </c>
      <c r="C40" s="12">
        <f t="shared" si="0"/>
        <v>9.5215977705527168E-3</v>
      </c>
      <c r="D40" s="13">
        <f t="shared" si="1"/>
        <v>0.1388525019648939</v>
      </c>
    </row>
    <row r="41" spans="1:4" x14ac:dyDescent="0.35">
      <c r="A41" s="10">
        <v>34639</v>
      </c>
      <c r="B41" s="15">
        <f>VLOOKUP(A41,Database!A:Q,MATCH($A$1,Database!$A$1:$Q$1,),)</f>
        <v>4221</v>
      </c>
      <c r="C41" s="12">
        <f t="shared" si="0"/>
        <v>-2.8985507246376812E-2</v>
      </c>
      <c r="D41" s="13">
        <f t="shared" si="1"/>
        <v>7.4045801526717553E-2</v>
      </c>
    </row>
    <row r="42" spans="1:4" x14ac:dyDescent="0.35">
      <c r="A42" s="11">
        <v>34669</v>
      </c>
      <c r="B42" s="15">
        <f>VLOOKUP(A42,Database!A:Q,MATCH($A$1,Database!$A$1:$Q$1,),)</f>
        <v>4255</v>
      </c>
      <c r="C42" s="12">
        <f t="shared" si="0"/>
        <v>8.0549632788438751E-3</v>
      </c>
      <c r="D42" s="13">
        <f t="shared" si="1"/>
        <v>5.8984569437531109E-2</v>
      </c>
    </row>
    <row r="43" spans="1:4" x14ac:dyDescent="0.35">
      <c r="A43" s="10">
        <v>34700</v>
      </c>
      <c r="B43" s="15">
        <f>VLOOKUP(A43,Database!A:Q,MATCH($A$1,Database!$A$1:$Q$1,),)</f>
        <v>4436</v>
      </c>
      <c r="C43" s="12">
        <f t="shared" si="0"/>
        <v>4.253819036427732E-2</v>
      </c>
      <c r="D43" s="13">
        <f t="shared" si="1"/>
        <v>0.11429289123335845</v>
      </c>
    </row>
    <row r="44" spans="1:4" x14ac:dyDescent="0.35">
      <c r="A44" s="11">
        <v>34731</v>
      </c>
      <c r="B44" s="15">
        <f>VLOOKUP(A44,Database!A:Q,MATCH($A$1,Database!$A$1:$Q$1,),)</f>
        <v>4298</v>
      </c>
      <c r="C44" s="12">
        <f t="shared" si="0"/>
        <v>-3.1109107303877368E-2</v>
      </c>
      <c r="D44" s="13">
        <f t="shared" si="1"/>
        <v>4.957264957264957E-2</v>
      </c>
    </row>
    <row r="45" spans="1:4" x14ac:dyDescent="0.35">
      <c r="A45" s="10">
        <v>34759</v>
      </c>
      <c r="B45" s="15">
        <f>VLOOKUP(A45,Database!A:Q,MATCH($A$1,Database!$A$1:$Q$1,),)</f>
        <v>4347</v>
      </c>
      <c r="C45" s="12">
        <f t="shared" si="0"/>
        <v>1.1400651465798045E-2</v>
      </c>
      <c r="D45" s="13">
        <f t="shared" si="1"/>
        <v>5.2287581699346407E-2</v>
      </c>
    </row>
    <row r="46" spans="1:4" x14ac:dyDescent="0.35">
      <c r="A46" s="11">
        <v>34790</v>
      </c>
      <c r="B46" s="15">
        <f>VLOOKUP(A46,Database!A:Q,MATCH($A$1,Database!$A$1:$Q$1,),)</f>
        <v>4345</v>
      </c>
      <c r="C46" s="12">
        <f t="shared" si="0"/>
        <v>-4.6008741660915573E-4</v>
      </c>
      <c r="D46" s="13">
        <f t="shared" si="1"/>
        <v>7.6827757125154897E-2</v>
      </c>
    </row>
    <row r="47" spans="1:4" x14ac:dyDescent="0.35">
      <c r="A47" s="10">
        <v>34820</v>
      </c>
      <c r="B47" s="15">
        <f>VLOOKUP(A47,Database!A:Q,MATCH($A$1,Database!$A$1:$Q$1,),)</f>
        <v>4380</v>
      </c>
      <c r="C47" s="12">
        <f t="shared" si="0"/>
        <v>8.0552359033371698E-3</v>
      </c>
      <c r="D47" s="13">
        <f t="shared" si="1"/>
        <v>6.3364894391842674E-2</v>
      </c>
    </row>
    <row r="48" spans="1:4" x14ac:dyDescent="0.35">
      <c r="A48" s="11">
        <v>34851</v>
      </c>
      <c r="B48" s="15">
        <f>VLOOKUP(A48,Database!A:Q,MATCH($A$1,Database!$A$1:$Q$1,),)</f>
        <v>4421</v>
      </c>
      <c r="C48" s="12">
        <f t="shared" si="0"/>
        <v>9.3607305936073051E-3</v>
      </c>
      <c r="D48" s="13">
        <f t="shared" si="1"/>
        <v>6.9165659008464331E-2</v>
      </c>
    </row>
    <row r="49" spans="1:4" x14ac:dyDescent="0.35">
      <c r="A49" s="10">
        <v>34881</v>
      </c>
      <c r="B49" s="15">
        <f>VLOOKUP(A49,Database!A:Q,MATCH($A$1,Database!$A$1:$Q$1,),)</f>
        <v>4429</v>
      </c>
      <c r="C49" s="12">
        <f t="shared" si="0"/>
        <v>1.8095453517303778E-3</v>
      </c>
      <c r="D49" s="13">
        <f t="shared" si="1"/>
        <v>7.7353441984918517E-2</v>
      </c>
    </row>
    <row r="50" spans="1:4" x14ac:dyDescent="0.35">
      <c r="A50" s="11">
        <v>34912</v>
      </c>
      <c r="B50" s="15">
        <f>VLOOKUP(A50,Database!A:Q,MATCH($A$1,Database!$A$1:$Q$1,),)</f>
        <v>4462</v>
      </c>
      <c r="C50" s="12">
        <f t="shared" si="0"/>
        <v>7.4508918491758861E-3</v>
      </c>
      <c r="D50" s="13">
        <f t="shared" si="1"/>
        <v>5.0129442221699225E-2</v>
      </c>
    </row>
    <row r="51" spans="1:4" x14ac:dyDescent="0.35">
      <c r="A51" s="10">
        <v>34943</v>
      </c>
      <c r="B51" s="15">
        <f>VLOOKUP(A51,Database!A:Q,MATCH($A$1,Database!$A$1:$Q$1,),)</f>
        <v>4441</v>
      </c>
      <c r="C51" s="12">
        <f t="shared" si="0"/>
        <v>-4.7064096817570596E-3</v>
      </c>
      <c r="D51" s="13">
        <f t="shared" si="1"/>
        <v>3.1351602415234554E-2</v>
      </c>
    </row>
    <row r="52" spans="1:4" x14ac:dyDescent="0.35">
      <c r="A52" s="11">
        <v>34973</v>
      </c>
      <c r="B52" s="15">
        <f>VLOOKUP(A52,Database!A:Q,MATCH($A$1,Database!$A$1:$Q$1,),)</f>
        <v>4414</v>
      </c>
      <c r="C52" s="12">
        <f t="shared" si="0"/>
        <v>-6.0797117766268859E-3</v>
      </c>
      <c r="D52" s="13">
        <f t="shared" si="1"/>
        <v>1.5412928456406717E-2</v>
      </c>
    </row>
    <row r="53" spans="1:4" x14ac:dyDescent="0.35">
      <c r="A53" s="10">
        <v>35004</v>
      </c>
      <c r="B53" s="15">
        <f>VLOOKUP(A53,Database!A:Q,MATCH($A$1,Database!$A$1:$Q$1,),)</f>
        <v>4532</v>
      </c>
      <c r="C53" s="12">
        <f t="shared" si="0"/>
        <v>2.6733121884911646E-2</v>
      </c>
      <c r="D53" s="13">
        <f t="shared" si="1"/>
        <v>7.3679222932954272E-2</v>
      </c>
    </row>
    <row r="54" spans="1:4" x14ac:dyDescent="0.35">
      <c r="A54" s="11">
        <v>35034</v>
      </c>
      <c r="B54" s="15">
        <f>VLOOKUP(A54,Database!A:Q,MATCH($A$1,Database!$A$1:$Q$1,),)</f>
        <v>4505</v>
      </c>
      <c r="C54" s="12">
        <f t="shared" si="0"/>
        <v>-5.9576345984112978E-3</v>
      </c>
      <c r="D54" s="13">
        <f t="shared" si="1"/>
        <v>5.8754406580493537E-2</v>
      </c>
    </row>
    <row r="55" spans="1:4" x14ac:dyDescent="0.35">
      <c r="A55" s="10">
        <v>35065</v>
      </c>
      <c r="B55" s="15">
        <f>VLOOKUP(A55,Database!A:Q,MATCH($A$1,Database!$A$1:$Q$1,),)</f>
        <v>4600</v>
      </c>
      <c r="C55" s="12">
        <f t="shared" si="0"/>
        <v>2.1087680355160933E-2</v>
      </c>
      <c r="D55" s="13">
        <f t="shared" si="1"/>
        <v>3.6970243462578899E-2</v>
      </c>
    </row>
    <row r="56" spans="1:4" x14ac:dyDescent="0.35">
      <c r="A56" s="11">
        <v>35096</v>
      </c>
      <c r="B56" s="15">
        <f>VLOOKUP(A56,Database!A:Q,MATCH($A$1,Database!$A$1:$Q$1,),)</f>
        <v>4485</v>
      </c>
      <c r="C56" s="12">
        <f t="shared" si="0"/>
        <v>-2.5000000000000001E-2</v>
      </c>
      <c r="D56" s="13">
        <f t="shared" si="1"/>
        <v>4.3508608655188463E-2</v>
      </c>
    </row>
    <row r="57" spans="1:4" x14ac:dyDescent="0.35">
      <c r="A57" s="10">
        <v>35125</v>
      </c>
      <c r="B57" s="15">
        <f>VLOOKUP(A57,Database!A:Q,MATCH($A$1,Database!$A$1:$Q$1,),)</f>
        <v>4548</v>
      </c>
      <c r="C57" s="12">
        <f t="shared" si="0"/>
        <v>1.4046822742474917E-2</v>
      </c>
      <c r="D57" s="13">
        <f t="shared" si="1"/>
        <v>4.6238785369220152E-2</v>
      </c>
    </row>
    <row r="58" spans="1:4" x14ac:dyDescent="0.35">
      <c r="A58" s="11">
        <v>35156</v>
      </c>
      <c r="B58" s="15">
        <f>VLOOKUP(A58,Database!A:Q,MATCH($A$1,Database!$A$1:$Q$1,),)</f>
        <v>4628</v>
      </c>
      <c r="C58" s="12">
        <f t="shared" si="0"/>
        <v>1.759014951627089E-2</v>
      </c>
      <c r="D58" s="13">
        <f t="shared" si="1"/>
        <v>6.5132336018411965E-2</v>
      </c>
    </row>
    <row r="59" spans="1:4" x14ac:dyDescent="0.35">
      <c r="A59" s="10">
        <v>35186</v>
      </c>
      <c r="B59" s="15">
        <f>VLOOKUP(A59,Database!A:Q,MATCH($A$1,Database!$A$1:$Q$1,),)</f>
        <v>4432</v>
      </c>
      <c r="C59" s="12">
        <f t="shared" si="0"/>
        <v>-4.2350907519446847E-2</v>
      </c>
      <c r="D59" s="13">
        <f t="shared" si="1"/>
        <v>1.1872146118721462E-2</v>
      </c>
    </row>
    <row r="60" spans="1:4" x14ac:dyDescent="0.35">
      <c r="A60" s="11">
        <v>35217</v>
      </c>
      <c r="B60" s="15">
        <f>VLOOKUP(A60,Database!A:Q,MATCH($A$1,Database!$A$1:$Q$1,),)</f>
        <v>4609</v>
      </c>
      <c r="C60" s="12">
        <f t="shared" si="0"/>
        <v>3.9936823104693139E-2</v>
      </c>
      <c r="D60" s="13">
        <f t="shared" si="1"/>
        <v>4.252431576566388E-2</v>
      </c>
    </row>
    <row r="61" spans="1:4" x14ac:dyDescent="0.35">
      <c r="A61" s="10">
        <v>35247</v>
      </c>
      <c r="B61" s="15">
        <f>VLOOKUP(A61,Database!A:Q,MATCH($A$1,Database!$A$1:$Q$1,),)</f>
        <v>4655</v>
      </c>
      <c r="C61" s="12">
        <f t="shared" si="0"/>
        <v>9.9804729876328928E-3</v>
      </c>
      <c r="D61" s="13">
        <f t="shared" si="1"/>
        <v>5.1027319936780315E-2</v>
      </c>
    </row>
    <row r="62" spans="1:4" x14ac:dyDescent="0.35">
      <c r="A62" s="11">
        <v>35278</v>
      </c>
      <c r="B62" s="15">
        <f>VLOOKUP(A62,Database!A:Q,MATCH($A$1,Database!$A$1:$Q$1,),)</f>
        <v>4738</v>
      </c>
      <c r="C62" s="12">
        <f t="shared" si="0"/>
        <v>1.7830290010741139E-2</v>
      </c>
      <c r="D62" s="13">
        <f t="shared" si="1"/>
        <v>6.1855670103092786E-2</v>
      </c>
    </row>
    <row r="63" spans="1:4" x14ac:dyDescent="0.35">
      <c r="A63" s="10">
        <v>35309</v>
      </c>
      <c r="B63" s="15">
        <f>VLOOKUP(A63,Database!A:Q,MATCH($A$1,Database!$A$1:$Q$1,),)</f>
        <v>4690</v>
      </c>
      <c r="C63" s="12">
        <f t="shared" si="0"/>
        <v>-1.0130856901646263E-2</v>
      </c>
      <c r="D63" s="13">
        <f t="shared" si="1"/>
        <v>5.6068453051114617E-2</v>
      </c>
    </row>
    <row r="64" spans="1:4" x14ac:dyDescent="0.35">
      <c r="A64" s="11">
        <v>35339</v>
      </c>
      <c r="B64" s="15">
        <f>VLOOKUP(A64,Database!A:Q,MATCH($A$1,Database!$A$1:$Q$1,),)</f>
        <v>4769</v>
      </c>
      <c r="C64" s="12">
        <f t="shared" si="0"/>
        <v>1.6844349680170574E-2</v>
      </c>
      <c r="D64" s="13">
        <f t="shared" si="1"/>
        <v>8.0425917535115535E-2</v>
      </c>
    </row>
    <row r="65" spans="1:4" x14ac:dyDescent="0.35">
      <c r="A65" s="10">
        <v>35370</v>
      </c>
      <c r="B65" s="15">
        <f>VLOOKUP(A65,Database!A:Q,MATCH($A$1,Database!$A$1:$Q$1,),)</f>
        <v>4692</v>
      </c>
      <c r="C65" s="12">
        <f t="shared" si="0"/>
        <v>-1.6145942545607046E-2</v>
      </c>
      <c r="D65" s="13">
        <f t="shared" si="1"/>
        <v>3.5304501323918797E-2</v>
      </c>
    </row>
    <row r="66" spans="1:4" x14ac:dyDescent="0.35">
      <c r="A66" s="11">
        <v>35400</v>
      </c>
      <c r="B66" s="15">
        <f>VLOOKUP(A66,Database!A:Q,MATCH($A$1,Database!$A$1:$Q$1,),)</f>
        <v>4940</v>
      </c>
      <c r="C66" s="12">
        <f t="shared" si="0"/>
        <v>5.285592497868713E-2</v>
      </c>
      <c r="D66" s="13">
        <f t="shared" si="1"/>
        <v>9.6559378468368484E-2</v>
      </c>
    </row>
    <row r="67" spans="1:4" x14ac:dyDescent="0.35">
      <c r="A67" s="10">
        <v>35431</v>
      </c>
      <c r="B67" s="15">
        <f>VLOOKUP(A67,Database!A:Q,MATCH($A$1,Database!$A$1:$Q$1,),)</f>
        <v>4748</v>
      </c>
      <c r="C67" s="12">
        <f t="shared" si="0"/>
        <v>-3.8866396761133605E-2</v>
      </c>
      <c r="D67" s="13">
        <f t="shared" si="1"/>
        <v>3.2173913043478261E-2</v>
      </c>
    </row>
    <row r="68" spans="1:4" x14ac:dyDescent="0.35">
      <c r="A68" s="11">
        <v>35462</v>
      </c>
      <c r="B68" s="15">
        <f>VLOOKUP(A68,Database!A:Q,MATCH($A$1,Database!$A$1:$Q$1,),)</f>
        <v>4666</v>
      </c>
      <c r="C68" s="12">
        <f t="shared" si="0"/>
        <v>-1.7270429654591406E-2</v>
      </c>
      <c r="D68" s="13">
        <f t="shared" si="1"/>
        <v>4.0356744704570791E-2</v>
      </c>
    </row>
    <row r="69" spans="1:4" x14ac:dyDescent="0.35">
      <c r="A69" s="10">
        <v>35490</v>
      </c>
      <c r="B69" s="15">
        <f>VLOOKUP(A69,Database!A:Q,MATCH($A$1,Database!$A$1:$Q$1,),)</f>
        <v>4698</v>
      </c>
      <c r="C69" s="12">
        <f t="shared" si="0"/>
        <v>6.8581225889412772E-3</v>
      </c>
      <c r="D69" s="13">
        <f t="shared" si="1"/>
        <v>3.2981530343007916E-2</v>
      </c>
    </row>
    <row r="70" spans="1:4" x14ac:dyDescent="0.35">
      <c r="A70" s="11">
        <v>35521</v>
      </c>
      <c r="B70" s="15">
        <f>VLOOKUP(A70,Database!A:Q,MATCH($A$1,Database!$A$1:$Q$1,),)</f>
        <v>4725</v>
      </c>
      <c r="C70" s="12">
        <f t="shared" si="0"/>
        <v>5.7471264367816091E-3</v>
      </c>
      <c r="D70" s="13">
        <f t="shared" si="1"/>
        <v>2.0959377700950736E-2</v>
      </c>
    </row>
    <row r="71" spans="1:4" x14ac:dyDescent="0.35">
      <c r="A71" s="10">
        <v>35551</v>
      </c>
      <c r="B71" s="15">
        <f>VLOOKUP(A71,Database!A:Q,MATCH($A$1,Database!$A$1:$Q$1,),)</f>
        <v>4763</v>
      </c>
      <c r="C71" s="12">
        <f t="shared" si="0"/>
        <v>8.0423280423280417E-3</v>
      </c>
      <c r="D71" s="13">
        <f t="shared" si="1"/>
        <v>7.4684115523465711E-2</v>
      </c>
    </row>
    <row r="72" spans="1:4" x14ac:dyDescent="0.35">
      <c r="A72" s="11">
        <v>35582</v>
      </c>
      <c r="B72" s="15">
        <f>VLOOKUP(A72,Database!A:Q,MATCH($A$1,Database!$A$1:$Q$1,),)</f>
        <v>4838</v>
      </c>
      <c r="C72" s="12">
        <f t="shared" ref="C72:C135" si="2">(B72-B71)/B71</f>
        <v>1.5746378332983414E-2</v>
      </c>
      <c r="D72" s="13">
        <f t="shared" si="1"/>
        <v>4.9685398134085484E-2</v>
      </c>
    </row>
    <row r="73" spans="1:4" x14ac:dyDescent="0.35">
      <c r="A73" s="10">
        <v>35612</v>
      </c>
      <c r="B73" s="15">
        <f>VLOOKUP(A73,Database!A:Q,MATCH($A$1,Database!$A$1:$Q$1,),)</f>
        <v>4786</v>
      </c>
      <c r="C73" s="12">
        <f t="shared" si="2"/>
        <v>-1.0748243075651096E-2</v>
      </c>
      <c r="D73" s="13">
        <f t="shared" si="1"/>
        <v>2.8141783029001072E-2</v>
      </c>
    </row>
    <row r="74" spans="1:4" x14ac:dyDescent="0.35">
      <c r="A74" s="11">
        <v>35643</v>
      </c>
      <c r="B74" s="15">
        <f>VLOOKUP(A74,Database!A:Q,MATCH($A$1,Database!$A$1:$Q$1,),)</f>
        <v>4745</v>
      </c>
      <c r="C74" s="12">
        <f t="shared" si="2"/>
        <v>-8.5666527371500208E-3</v>
      </c>
      <c r="D74" s="13">
        <f t="shared" si="1"/>
        <v>1.4774166314900801E-3</v>
      </c>
    </row>
    <row r="75" spans="1:4" x14ac:dyDescent="0.35">
      <c r="A75" s="10">
        <v>35674</v>
      </c>
      <c r="B75" s="15">
        <f>VLOOKUP(A75,Database!A:Q,MATCH($A$1,Database!$A$1:$Q$1,),)</f>
        <v>4827</v>
      </c>
      <c r="C75" s="12">
        <f t="shared" si="2"/>
        <v>1.7281348788198102E-2</v>
      </c>
      <c r="D75" s="13">
        <f t="shared" si="1"/>
        <v>2.9211087420042643E-2</v>
      </c>
    </row>
    <row r="76" spans="1:4" x14ac:dyDescent="0.35">
      <c r="A76" s="11">
        <v>35704</v>
      </c>
      <c r="B76" s="15">
        <f>VLOOKUP(A76,Database!A:Q,MATCH($A$1,Database!$A$1:$Q$1,),)</f>
        <v>4878</v>
      </c>
      <c r="C76" s="12">
        <f t="shared" si="2"/>
        <v>1.0565568676196395E-2</v>
      </c>
      <c r="D76" s="13">
        <f t="shared" si="1"/>
        <v>2.2855944642482702E-2</v>
      </c>
    </row>
    <row r="77" spans="1:4" x14ac:dyDescent="0.35">
      <c r="A77" s="10">
        <v>35735</v>
      </c>
      <c r="B77" s="15">
        <f>VLOOKUP(A77,Database!A:Q,MATCH($A$1,Database!$A$1:$Q$1,),)</f>
        <v>5015</v>
      </c>
      <c r="C77" s="12">
        <f t="shared" si="2"/>
        <v>2.8085280852808529E-2</v>
      </c>
      <c r="D77" s="13">
        <f t="shared" si="1"/>
        <v>6.8840579710144928E-2</v>
      </c>
    </row>
    <row r="78" spans="1:4" x14ac:dyDescent="0.35">
      <c r="A78" s="11">
        <v>35765</v>
      </c>
      <c r="B78" s="15">
        <f>VLOOKUP(A78,Database!A:Q,MATCH($A$1,Database!$A$1:$Q$1,),)</f>
        <v>4915</v>
      </c>
      <c r="C78" s="12">
        <f t="shared" si="2"/>
        <v>-1.9940179461615155E-2</v>
      </c>
      <c r="D78" s="13">
        <f t="shared" si="1"/>
        <v>-5.0607287449392713E-3</v>
      </c>
    </row>
    <row r="79" spans="1:4" x14ac:dyDescent="0.35">
      <c r="A79" s="10">
        <v>35796</v>
      </c>
      <c r="B79" s="15">
        <f>VLOOKUP(A79,Database!A:Q,MATCH($A$1,Database!$A$1:$Q$1,),)</f>
        <v>4834</v>
      </c>
      <c r="C79" s="12">
        <f t="shared" si="2"/>
        <v>-1.6480162767039674E-2</v>
      </c>
      <c r="D79" s="13">
        <f t="shared" si="1"/>
        <v>1.8112889637742206E-2</v>
      </c>
    </row>
    <row r="80" spans="1:4" x14ac:dyDescent="0.35">
      <c r="A80" s="11">
        <v>35827</v>
      </c>
      <c r="B80" s="15">
        <f>VLOOKUP(A80,Database!A:Q,MATCH($A$1,Database!$A$1:$Q$1,),)</f>
        <v>5027</v>
      </c>
      <c r="C80" s="12">
        <f t="shared" si="2"/>
        <v>3.992552751344642E-2</v>
      </c>
      <c r="D80" s="13">
        <f t="shared" si="1"/>
        <v>7.7368195456493788E-2</v>
      </c>
    </row>
    <row r="81" spans="1:4" x14ac:dyDescent="0.35">
      <c r="A81" s="10">
        <v>35855</v>
      </c>
      <c r="B81" s="15">
        <f>VLOOKUP(A81,Database!A:Q,MATCH($A$1,Database!$A$1:$Q$1,),)</f>
        <v>5008</v>
      </c>
      <c r="C81" s="12">
        <f t="shared" si="2"/>
        <v>-3.7795902128506067E-3</v>
      </c>
      <c r="D81" s="13">
        <f t="shared" si="1"/>
        <v>6.5985525755640692E-2</v>
      </c>
    </row>
    <row r="82" spans="1:4" x14ac:dyDescent="0.35">
      <c r="A82" s="11">
        <v>35886</v>
      </c>
      <c r="B82" s="15">
        <f>VLOOKUP(A82,Database!A:Q,MATCH($A$1,Database!$A$1:$Q$1,),)</f>
        <v>5036</v>
      </c>
      <c r="C82" s="12">
        <f t="shared" si="2"/>
        <v>5.5910543130990413E-3</v>
      </c>
      <c r="D82" s="13">
        <f t="shared" si="1"/>
        <v>6.582010582010582E-2</v>
      </c>
    </row>
    <row r="83" spans="1:4" x14ac:dyDescent="0.35">
      <c r="A83" s="10">
        <v>35916</v>
      </c>
      <c r="B83" s="15">
        <f>VLOOKUP(A83,Database!A:Q,MATCH($A$1,Database!$A$1:$Q$1,),)</f>
        <v>4986</v>
      </c>
      <c r="C83" s="12">
        <f t="shared" si="2"/>
        <v>-9.9285146942017476E-3</v>
      </c>
      <c r="D83" s="13">
        <f t="shared" ref="D83:D146" si="3">(B83-B71)/B71</f>
        <v>4.6819231576737348E-2</v>
      </c>
    </row>
    <row r="84" spans="1:4" x14ac:dyDescent="0.35">
      <c r="A84" s="11">
        <v>35947</v>
      </c>
      <c r="B84" s="15">
        <f>VLOOKUP(A84,Database!A:Q,MATCH($A$1,Database!$A$1:$Q$1,),)</f>
        <v>5083</v>
      </c>
      <c r="C84" s="12">
        <f t="shared" si="2"/>
        <v>1.9454472523064582E-2</v>
      </c>
      <c r="D84" s="13">
        <f t="shared" si="3"/>
        <v>5.0640760644894582E-2</v>
      </c>
    </row>
    <row r="85" spans="1:4" x14ac:dyDescent="0.35">
      <c r="A85" s="10">
        <v>35977</v>
      </c>
      <c r="B85" s="15">
        <f>VLOOKUP(A85,Database!A:Q,MATCH($A$1,Database!$A$1:$Q$1,),)</f>
        <v>5032</v>
      </c>
      <c r="C85" s="12">
        <f t="shared" si="2"/>
        <v>-1.0033444816053512E-2</v>
      </c>
      <c r="D85" s="13">
        <f t="shared" si="3"/>
        <v>5.1399916422900128E-2</v>
      </c>
    </row>
    <row r="86" spans="1:4" x14ac:dyDescent="0.35">
      <c r="A86" s="11">
        <v>36008</v>
      </c>
      <c r="B86" s="15">
        <f>VLOOKUP(A86,Database!A:Q,MATCH($A$1,Database!$A$1:$Q$1,),)</f>
        <v>5057</v>
      </c>
      <c r="C86" s="12">
        <f t="shared" si="2"/>
        <v>4.9682034976152624E-3</v>
      </c>
      <c r="D86" s="13">
        <f t="shared" si="3"/>
        <v>6.575342465753424E-2</v>
      </c>
    </row>
    <row r="87" spans="1:4" x14ac:dyDescent="0.35">
      <c r="A87" s="10">
        <v>36039</v>
      </c>
      <c r="B87" s="15">
        <f>VLOOKUP(A87,Database!A:Q,MATCH($A$1,Database!$A$1:$Q$1,),)</f>
        <v>5047</v>
      </c>
      <c r="C87" s="12">
        <f t="shared" si="2"/>
        <v>-1.9774569903104606E-3</v>
      </c>
      <c r="D87" s="13">
        <f t="shared" si="3"/>
        <v>4.5576962916925624E-2</v>
      </c>
    </row>
    <row r="88" spans="1:4" x14ac:dyDescent="0.35">
      <c r="A88" s="11">
        <v>36069</v>
      </c>
      <c r="B88" s="15">
        <f>VLOOKUP(A88,Database!A:Q,MATCH($A$1,Database!$A$1:$Q$1,),)</f>
        <v>5108</v>
      </c>
      <c r="C88" s="12">
        <f t="shared" si="2"/>
        <v>1.2086387953239549E-2</v>
      </c>
      <c r="D88" s="13">
        <f t="shared" si="3"/>
        <v>4.7150471504715047E-2</v>
      </c>
    </row>
    <row r="89" spans="1:4" x14ac:dyDescent="0.35">
      <c r="A89" s="10">
        <v>36100</v>
      </c>
      <c r="B89" s="15">
        <f>VLOOKUP(A89,Database!A:Q,MATCH($A$1,Database!$A$1:$Q$1,),)</f>
        <v>5093</v>
      </c>
      <c r="C89" s="12">
        <f t="shared" si="2"/>
        <v>-2.9365700861393894E-3</v>
      </c>
      <c r="D89" s="13">
        <f t="shared" si="3"/>
        <v>1.5553339980059821E-2</v>
      </c>
    </row>
    <row r="90" spans="1:4" x14ac:dyDescent="0.35">
      <c r="A90" s="11">
        <v>36130</v>
      </c>
      <c r="B90" s="15">
        <f>VLOOKUP(A90,Database!A:Q,MATCH($A$1,Database!$A$1:$Q$1,),)</f>
        <v>5154</v>
      </c>
      <c r="C90" s="12">
        <f t="shared" si="2"/>
        <v>1.1977223640290595E-2</v>
      </c>
      <c r="D90" s="13">
        <f t="shared" si="3"/>
        <v>4.8626653102746692E-2</v>
      </c>
    </row>
    <row r="91" spans="1:4" x14ac:dyDescent="0.35">
      <c r="A91" s="10">
        <v>36161</v>
      </c>
      <c r="B91" s="15">
        <f>VLOOKUP(A91,Database!A:Q,MATCH($A$1,Database!$A$1:$Q$1,),)</f>
        <v>5122</v>
      </c>
      <c r="C91" s="12">
        <f t="shared" si="2"/>
        <v>-6.2087698874660454E-3</v>
      </c>
      <c r="D91" s="13">
        <f t="shared" si="3"/>
        <v>5.9577989242863054E-2</v>
      </c>
    </row>
    <row r="92" spans="1:4" x14ac:dyDescent="0.35">
      <c r="A92" s="11">
        <v>36192</v>
      </c>
      <c r="B92" s="15">
        <f>VLOOKUP(A92,Database!A:Q,MATCH($A$1,Database!$A$1:$Q$1,),)</f>
        <v>5292</v>
      </c>
      <c r="C92" s="12">
        <f t="shared" si="2"/>
        <v>3.3190160093713394E-2</v>
      </c>
      <c r="D92" s="13">
        <f t="shared" si="3"/>
        <v>5.2715337179232144E-2</v>
      </c>
    </row>
    <row r="93" spans="1:4" x14ac:dyDescent="0.35">
      <c r="A93" s="10">
        <v>36220</v>
      </c>
      <c r="B93" s="15">
        <f>VLOOKUP(A93,Database!A:Q,MATCH($A$1,Database!$A$1:$Q$1,),)</f>
        <v>5273</v>
      </c>
      <c r="C93" s="12">
        <f t="shared" si="2"/>
        <v>-3.5903250188964475E-3</v>
      </c>
      <c r="D93" s="13">
        <f t="shared" si="3"/>
        <v>5.2915335463258786E-2</v>
      </c>
    </row>
    <row r="94" spans="1:4" x14ac:dyDescent="0.35">
      <c r="A94" s="11">
        <v>36251</v>
      </c>
      <c r="B94" s="15">
        <f>VLOOKUP(A94,Database!A:Q,MATCH($A$1,Database!$A$1:$Q$1,),)</f>
        <v>5277</v>
      </c>
      <c r="C94" s="12">
        <f t="shared" si="2"/>
        <v>7.5858145268348188E-4</v>
      </c>
      <c r="D94" s="13">
        <f t="shared" si="3"/>
        <v>4.785544082605242E-2</v>
      </c>
    </row>
    <row r="95" spans="1:4" x14ac:dyDescent="0.35">
      <c r="A95" s="10">
        <v>36281</v>
      </c>
      <c r="B95" s="15">
        <f>VLOOKUP(A95,Database!A:Q,MATCH($A$1,Database!$A$1:$Q$1,),)</f>
        <v>5328</v>
      </c>
      <c r="C95" s="12">
        <f t="shared" si="2"/>
        <v>9.6645821489482666E-3</v>
      </c>
      <c r="D95" s="13">
        <f t="shared" si="3"/>
        <v>6.8592057761732855E-2</v>
      </c>
    </row>
    <row r="96" spans="1:4" x14ac:dyDescent="0.35">
      <c r="A96" s="11">
        <v>36312</v>
      </c>
      <c r="B96" s="15">
        <f>VLOOKUP(A96,Database!A:Q,MATCH($A$1,Database!$A$1:$Q$1,),)</f>
        <v>5367</v>
      </c>
      <c r="C96" s="12">
        <f t="shared" si="2"/>
        <v>7.3198198198198196E-3</v>
      </c>
      <c r="D96" s="13">
        <f t="shared" si="3"/>
        <v>5.5872516230572496E-2</v>
      </c>
    </row>
    <row r="97" spans="1:4" x14ac:dyDescent="0.35">
      <c r="A97" s="10">
        <v>36342</v>
      </c>
      <c r="B97" s="15">
        <f>VLOOKUP(A97,Database!A:Q,MATCH($A$1,Database!$A$1:$Q$1,),)</f>
        <v>5326</v>
      </c>
      <c r="C97" s="12">
        <f t="shared" si="2"/>
        <v>-7.639277063536426E-3</v>
      </c>
      <c r="D97" s="13">
        <f t="shared" si="3"/>
        <v>5.8426073131955483E-2</v>
      </c>
    </row>
    <row r="98" spans="1:4" x14ac:dyDescent="0.35">
      <c r="A98" s="11">
        <v>36373</v>
      </c>
      <c r="B98" s="15">
        <f>VLOOKUP(A98,Database!A:Q,MATCH($A$1,Database!$A$1:$Q$1,),)</f>
        <v>5290</v>
      </c>
      <c r="C98" s="12">
        <f t="shared" si="2"/>
        <v>-6.7592940292902741E-3</v>
      </c>
      <c r="D98" s="13">
        <f t="shared" si="3"/>
        <v>4.6074747874233733E-2</v>
      </c>
    </row>
    <row r="99" spans="1:4" x14ac:dyDescent="0.35">
      <c r="A99" s="10">
        <v>36404</v>
      </c>
      <c r="B99" s="15">
        <f>VLOOKUP(A99,Database!A:Q,MATCH($A$1,Database!$A$1:$Q$1,),)</f>
        <v>5385</v>
      </c>
      <c r="C99" s="12">
        <f t="shared" si="2"/>
        <v>1.7958412098298678E-2</v>
      </c>
      <c r="D99" s="13">
        <f t="shared" si="3"/>
        <v>6.6970477511392901E-2</v>
      </c>
    </row>
    <row r="100" spans="1:4" x14ac:dyDescent="0.35">
      <c r="A100" s="11">
        <v>36434</v>
      </c>
      <c r="B100" s="15">
        <f>VLOOKUP(A100,Database!A:Q,MATCH($A$1,Database!$A$1:$Q$1,),)</f>
        <v>5373</v>
      </c>
      <c r="C100" s="12">
        <f t="shared" si="2"/>
        <v>-2.2284122562674096E-3</v>
      </c>
      <c r="D100" s="13">
        <f t="shared" si="3"/>
        <v>5.1879404855129208E-2</v>
      </c>
    </row>
    <row r="101" spans="1:4" x14ac:dyDescent="0.35">
      <c r="A101" s="10">
        <v>36465</v>
      </c>
      <c r="B101" s="15">
        <f>VLOOKUP(A101,Database!A:Q,MATCH($A$1,Database!$A$1:$Q$1,),)</f>
        <v>5414</v>
      </c>
      <c r="C101" s="12">
        <f t="shared" si="2"/>
        <v>7.630746324213661E-3</v>
      </c>
      <c r="D101" s="13">
        <f t="shared" si="3"/>
        <v>6.3027685057922639E-2</v>
      </c>
    </row>
    <row r="102" spans="1:4" x14ac:dyDescent="0.35">
      <c r="A102" s="11">
        <v>36495</v>
      </c>
      <c r="B102" s="15">
        <f>VLOOKUP(A102,Database!A:Q,MATCH($A$1,Database!$A$1:$Q$1,),)</f>
        <v>5455</v>
      </c>
      <c r="C102" s="12">
        <f t="shared" si="2"/>
        <v>7.5729589951976355E-3</v>
      </c>
      <c r="D102" s="13">
        <f t="shared" si="3"/>
        <v>5.8401241753977491E-2</v>
      </c>
    </row>
    <row r="103" spans="1:4" x14ac:dyDescent="0.35">
      <c r="A103" s="10">
        <v>36526</v>
      </c>
      <c r="B103" s="15">
        <f>VLOOKUP(A103,Database!A:Q,MATCH($A$1,Database!$A$1:$Q$1,),)</f>
        <v>5232</v>
      </c>
      <c r="C103" s="12">
        <f t="shared" si="2"/>
        <v>-4.0879926672777268E-2</v>
      </c>
      <c r="D103" s="13">
        <f t="shared" si="3"/>
        <v>2.1475985942991018E-2</v>
      </c>
    </row>
    <row r="104" spans="1:4" x14ac:dyDescent="0.35">
      <c r="A104" s="11">
        <v>36557</v>
      </c>
      <c r="B104" s="15">
        <f>VLOOKUP(A104,Database!A:Q,MATCH($A$1,Database!$A$1:$Q$1,),)</f>
        <v>5541</v>
      </c>
      <c r="C104" s="12">
        <f t="shared" si="2"/>
        <v>5.9059633027522936E-2</v>
      </c>
      <c r="D104" s="13">
        <f t="shared" si="3"/>
        <v>4.7052154195011339E-2</v>
      </c>
    </row>
    <row r="105" spans="1:4" x14ac:dyDescent="0.35">
      <c r="A105" s="10">
        <v>36586</v>
      </c>
      <c r="B105" s="15">
        <f>VLOOKUP(A105,Database!A:Q,MATCH($A$1,Database!$A$1:$Q$1,),)</f>
        <v>5635</v>
      </c>
      <c r="C105" s="12">
        <f t="shared" si="2"/>
        <v>1.6964446850748962E-2</v>
      </c>
      <c r="D105" s="13">
        <f t="shared" si="3"/>
        <v>6.8651621467855112E-2</v>
      </c>
    </row>
    <row r="106" spans="1:4" x14ac:dyDescent="0.35">
      <c r="A106" s="11">
        <v>36617</v>
      </c>
      <c r="B106" s="15">
        <f>VLOOKUP(A106,Database!A:Q,MATCH($A$1,Database!$A$1:$Q$1,),)</f>
        <v>5649</v>
      </c>
      <c r="C106" s="12">
        <f t="shared" si="2"/>
        <v>2.4844720496894411E-3</v>
      </c>
      <c r="D106" s="13">
        <f t="shared" si="3"/>
        <v>7.0494599204093233E-2</v>
      </c>
    </row>
    <row r="107" spans="1:4" x14ac:dyDescent="0.35">
      <c r="A107" s="10">
        <v>36647</v>
      </c>
      <c r="B107" s="15">
        <f>VLOOKUP(A107,Database!A:Q,MATCH($A$1,Database!$A$1:$Q$1,),)</f>
        <v>5757</v>
      </c>
      <c r="C107" s="12">
        <f t="shared" si="2"/>
        <v>1.9118428040361127E-2</v>
      </c>
      <c r="D107" s="13">
        <f t="shared" si="3"/>
        <v>8.0518018018018014E-2</v>
      </c>
    </row>
    <row r="108" spans="1:4" x14ac:dyDescent="0.35">
      <c r="A108" s="11">
        <v>36678</v>
      </c>
      <c r="B108" s="15">
        <f>VLOOKUP(A108,Database!A:Q,MATCH($A$1,Database!$A$1:$Q$1,),)</f>
        <v>5686</v>
      </c>
      <c r="C108" s="12">
        <f t="shared" si="2"/>
        <v>-1.233281222859128E-2</v>
      </c>
      <c r="D108" s="13">
        <f t="shared" si="3"/>
        <v>5.9437302030929756E-2</v>
      </c>
    </row>
    <row r="109" spans="1:4" x14ac:dyDescent="0.35">
      <c r="A109" s="10">
        <v>36708</v>
      </c>
      <c r="B109" s="15">
        <f>VLOOKUP(A109,Database!A:Q,MATCH($A$1,Database!$A$1:$Q$1,),)</f>
        <v>5800</v>
      </c>
      <c r="C109" s="12">
        <f t="shared" si="2"/>
        <v>2.0049243756595145E-2</v>
      </c>
      <c r="D109" s="13">
        <f t="shared" si="3"/>
        <v>8.8997371385655277E-2</v>
      </c>
    </row>
    <row r="110" spans="1:4" x14ac:dyDescent="0.35">
      <c r="A110" s="11">
        <v>36739</v>
      </c>
      <c r="B110" s="15">
        <f>VLOOKUP(A110,Database!A:Q,MATCH($A$1,Database!$A$1:$Q$1,),)</f>
        <v>5633</v>
      </c>
      <c r="C110" s="12">
        <f t="shared" si="2"/>
        <v>-2.8793103448275861E-2</v>
      </c>
      <c r="D110" s="13">
        <f t="shared" si="3"/>
        <v>6.483931947069943E-2</v>
      </c>
    </row>
    <row r="111" spans="1:4" x14ac:dyDescent="0.35">
      <c r="A111" s="10">
        <v>36770</v>
      </c>
      <c r="B111" s="15">
        <f>VLOOKUP(A111,Database!A:Q,MATCH($A$1,Database!$A$1:$Q$1,),)</f>
        <v>5728</v>
      </c>
      <c r="C111" s="12">
        <f t="shared" si="2"/>
        <v>1.6864903248712943E-2</v>
      </c>
      <c r="D111" s="13">
        <f t="shared" si="3"/>
        <v>6.3695450324976782E-2</v>
      </c>
    </row>
    <row r="112" spans="1:4" x14ac:dyDescent="0.35">
      <c r="A112" s="11">
        <v>36800</v>
      </c>
      <c r="B112" s="15">
        <f>VLOOKUP(A112,Database!A:Q,MATCH($A$1,Database!$A$1:$Q$1,),)</f>
        <v>5626</v>
      </c>
      <c r="C112" s="12">
        <f t="shared" si="2"/>
        <v>-1.7807262569832401E-2</v>
      </c>
      <c r="D112" s="13">
        <f t="shared" si="3"/>
        <v>4.7087288293318444E-2</v>
      </c>
    </row>
    <row r="113" spans="1:4" x14ac:dyDescent="0.35">
      <c r="A113" s="10">
        <v>36831</v>
      </c>
      <c r="B113" s="15">
        <f>VLOOKUP(A113,Database!A:Q,MATCH($A$1,Database!$A$1:$Q$1,),)</f>
        <v>5615</v>
      </c>
      <c r="C113" s="12">
        <f t="shared" si="2"/>
        <v>-1.9552079630287948E-3</v>
      </c>
      <c r="D113" s="13">
        <f t="shared" si="3"/>
        <v>3.7125969708164022E-2</v>
      </c>
    </row>
    <row r="114" spans="1:4" x14ac:dyDescent="0.35">
      <c r="A114" s="11">
        <v>36861</v>
      </c>
      <c r="B114" s="15">
        <f>VLOOKUP(A114,Database!A:Q,MATCH($A$1,Database!$A$1:$Q$1,),)</f>
        <v>5601</v>
      </c>
      <c r="C114" s="12">
        <f t="shared" si="2"/>
        <v>-2.4933214603739982E-3</v>
      </c>
      <c r="D114" s="13">
        <f t="shared" si="3"/>
        <v>2.6764436296975253E-2</v>
      </c>
    </row>
    <row r="115" spans="1:4" x14ac:dyDescent="0.35">
      <c r="A115" s="10">
        <v>36892</v>
      </c>
      <c r="B115" s="15">
        <f>VLOOKUP(A115,Database!A:Q,MATCH($A$1,Database!$A$1:$Q$1,),)</f>
        <v>5386</v>
      </c>
      <c r="C115" s="12">
        <f t="shared" si="2"/>
        <v>-3.8386002499553651E-2</v>
      </c>
      <c r="D115" s="13">
        <f t="shared" si="3"/>
        <v>2.9434250764525993E-2</v>
      </c>
    </row>
    <row r="116" spans="1:4" x14ac:dyDescent="0.35">
      <c r="A116" s="11">
        <v>36923</v>
      </c>
      <c r="B116" s="15">
        <f>VLOOKUP(A116,Database!A:Q,MATCH($A$1,Database!$A$1:$Q$1,),)</f>
        <v>5715</v>
      </c>
      <c r="C116" s="12">
        <f t="shared" si="2"/>
        <v>6.1084292610471595E-2</v>
      </c>
      <c r="D116" s="13">
        <f t="shared" si="3"/>
        <v>3.1402273957769358E-2</v>
      </c>
    </row>
    <row r="117" spans="1:4" x14ac:dyDescent="0.35">
      <c r="A117" s="10">
        <v>36951</v>
      </c>
      <c r="B117" s="15">
        <f>VLOOKUP(A117,Database!A:Q,MATCH($A$1,Database!$A$1:$Q$1,),)</f>
        <v>5723</v>
      </c>
      <c r="C117" s="12">
        <f t="shared" si="2"/>
        <v>1.3998250218722659E-3</v>
      </c>
      <c r="D117" s="13">
        <f t="shared" si="3"/>
        <v>1.5616681455190773E-2</v>
      </c>
    </row>
    <row r="118" spans="1:4" x14ac:dyDescent="0.35">
      <c r="A118" s="11">
        <v>36982</v>
      </c>
      <c r="B118" s="15">
        <f>VLOOKUP(A118,Database!A:Q,MATCH($A$1,Database!$A$1:$Q$1,),)</f>
        <v>5658</v>
      </c>
      <c r="C118" s="12">
        <f t="shared" si="2"/>
        <v>-1.1357679538703477E-2</v>
      </c>
      <c r="D118" s="13">
        <f t="shared" si="3"/>
        <v>1.5932023366967605E-3</v>
      </c>
    </row>
    <row r="119" spans="1:4" x14ac:dyDescent="0.35">
      <c r="A119" s="10">
        <v>37012</v>
      </c>
      <c r="B119" s="15">
        <f>VLOOKUP(A119,Database!A:Q,MATCH($A$1,Database!$A$1:$Q$1,),)</f>
        <v>5679</v>
      </c>
      <c r="C119" s="12">
        <f t="shared" si="2"/>
        <v>3.711558854718982E-3</v>
      </c>
      <c r="D119" s="13">
        <f t="shared" si="3"/>
        <v>-1.354872329338197E-2</v>
      </c>
    </row>
    <row r="120" spans="1:4" x14ac:dyDescent="0.35">
      <c r="A120" s="11">
        <v>37043</v>
      </c>
      <c r="B120" s="15">
        <f>VLOOKUP(A120,Database!A:Q,MATCH($A$1,Database!$A$1:$Q$1,),)</f>
        <v>5621</v>
      </c>
      <c r="C120" s="12">
        <f t="shared" si="2"/>
        <v>-1.0213065680577567E-2</v>
      </c>
      <c r="D120" s="13">
        <f t="shared" si="3"/>
        <v>-1.14315863524446E-2</v>
      </c>
    </row>
    <row r="121" spans="1:4" x14ac:dyDescent="0.35">
      <c r="A121" s="10">
        <v>37073</v>
      </c>
      <c r="B121" s="15">
        <f>VLOOKUP(A121,Database!A:Q,MATCH($A$1,Database!$A$1:$Q$1,),)</f>
        <v>5703</v>
      </c>
      <c r="C121" s="12">
        <f t="shared" si="2"/>
        <v>1.4588151574452944E-2</v>
      </c>
      <c r="D121" s="13">
        <f t="shared" si="3"/>
        <v>-1.6724137931034482E-2</v>
      </c>
    </row>
    <row r="122" spans="1:4" x14ac:dyDescent="0.35">
      <c r="A122" s="11">
        <v>37104</v>
      </c>
      <c r="B122" s="15">
        <f>VLOOKUP(A122,Database!A:Q,MATCH($A$1,Database!$A$1:$Q$1,),)</f>
        <v>5775</v>
      </c>
      <c r="C122" s="12">
        <f t="shared" si="2"/>
        <v>1.262493424513414E-2</v>
      </c>
      <c r="D122" s="13">
        <f t="shared" si="3"/>
        <v>2.5208592224391976E-2</v>
      </c>
    </row>
    <row r="123" spans="1:4" x14ac:dyDescent="0.35">
      <c r="A123" s="10">
        <v>37135</v>
      </c>
      <c r="B123" s="15">
        <f>VLOOKUP(A123,Database!A:Q,MATCH($A$1,Database!$A$1:$Q$1,),)</f>
        <v>5672</v>
      </c>
      <c r="C123" s="12">
        <f t="shared" si="2"/>
        <v>-1.7835497835497836E-2</v>
      </c>
      <c r="D123" s="13">
        <f t="shared" si="3"/>
        <v>-9.7765363128491621E-3</v>
      </c>
    </row>
    <row r="124" spans="1:4" x14ac:dyDescent="0.35">
      <c r="A124" s="11">
        <v>37165</v>
      </c>
      <c r="B124" s="15">
        <f>VLOOKUP(A124,Database!A:Q,MATCH($A$1,Database!$A$1:$Q$1,),)</f>
        <v>5798</v>
      </c>
      <c r="C124" s="12">
        <f t="shared" si="2"/>
        <v>2.2214386459802539E-2</v>
      </c>
      <c r="D124" s="13">
        <f t="shared" si="3"/>
        <v>3.0572342694632066E-2</v>
      </c>
    </row>
    <row r="125" spans="1:4" x14ac:dyDescent="0.35">
      <c r="A125" s="10">
        <v>37196</v>
      </c>
      <c r="B125" s="15">
        <f>VLOOKUP(A125,Database!A:Q,MATCH($A$1,Database!$A$1:$Q$1,),)</f>
        <v>6066</v>
      </c>
      <c r="C125" s="12">
        <f t="shared" si="2"/>
        <v>4.6222835460503625E-2</v>
      </c>
      <c r="D125" s="13">
        <f t="shared" si="3"/>
        <v>8.0320569902048083E-2</v>
      </c>
    </row>
    <row r="126" spans="1:4" x14ac:dyDescent="0.35">
      <c r="A126" s="11">
        <v>37226</v>
      </c>
      <c r="B126" s="15">
        <f>VLOOKUP(A126,Database!A:Q,MATCH($A$1,Database!$A$1:$Q$1,),)</f>
        <v>5797</v>
      </c>
      <c r="C126" s="12">
        <f t="shared" si="2"/>
        <v>-4.4345532476096274E-2</v>
      </c>
      <c r="D126" s="13">
        <f t="shared" si="3"/>
        <v>3.4993751115872163E-2</v>
      </c>
    </row>
    <row r="127" spans="1:4" x14ac:dyDescent="0.35">
      <c r="A127" s="10">
        <v>37257</v>
      </c>
      <c r="B127" s="15">
        <f>VLOOKUP(A127,Database!A:Q,MATCH($A$1,Database!$A$1:$Q$1,),)</f>
        <v>5775</v>
      </c>
      <c r="C127" s="12">
        <f t="shared" si="2"/>
        <v>-3.7950664136622392E-3</v>
      </c>
      <c r="D127" s="13">
        <f t="shared" si="3"/>
        <v>7.2224285183809883E-2</v>
      </c>
    </row>
    <row r="128" spans="1:4" x14ac:dyDescent="0.35">
      <c r="A128" s="11">
        <v>37288</v>
      </c>
      <c r="B128" s="15">
        <f>VLOOKUP(A128,Database!A:Q,MATCH($A$1,Database!$A$1:$Q$1,),)</f>
        <v>5711</v>
      </c>
      <c r="C128" s="12">
        <f t="shared" si="2"/>
        <v>-1.1082251082251082E-2</v>
      </c>
      <c r="D128" s="13">
        <f t="shared" si="3"/>
        <v>-6.9991251093613294E-4</v>
      </c>
    </row>
    <row r="129" spans="1:4" x14ac:dyDescent="0.35">
      <c r="A129" s="10">
        <v>37316</v>
      </c>
      <c r="B129" s="15">
        <f>VLOOKUP(A129,Database!A:Q,MATCH($A$1,Database!$A$1:$Q$1,),)</f>
        <v>5717</v>
      </c>
      <c r="C129" s="12">
        <f t="shared" si="2"/>
        <v>1.0506040973559797E-3</v>
      </c>
      <c r="D129" s="13">
        <f t="shared" si="3"/>
        <v>-1.0484011881880134E-3</v>
      </c>
    </row>
    <row r="130" spans="1:4" x14ac:dyDescent="0.35">
      <c r="A130" s="11">
        <v>37347</v>
      </c>
      <c r="B130" s="15">
        <f>VLOOKUP(A130,Database!A:Q,MATCH($A$1,Database!$A$1:$Q$1,),)</f>
        <v>5799</v>
      </c>
      <c r="C130" s="12">
        <f t="shared" si="2"/>
        <v>1.4343186986181564E-2</v>
      </c>
      <c r="D130" s="13">
        <f t="shared" si="3"/>
        <v>2.4920466595970307E-2</v>
      </c>
    </row>
    <row r="131" spans="1:4" x14ac:dyDescent="0.35">
      <c r="A131" s="10">
        <v>37377</v>
      </c>
      <c r="B131" s="15">
        <f>VLOOKUP(A131,Database!A:Q,MATCH($A$1,Database!$A$1:$Q$1,),)</f>
        <v>5731</v>
      </c>
      <c r="C131" s="12">
        <f t="shared" si="2"/>
        <v>-1.1726159682703914E-2</v>
      </c>
      <c r="D131" s="13">
        <f t="shared" si="3"/>
        <v>9.1565416446557496E-3</v>
      </c>
    </row>
    <row r="132" spans="1:4" x14ac:dyDescent="0.35">
      <c r="A132" s="11">
        <v>37408</v>
      </c>
      <c r="B132" s="15">
        <f>VLOOKUP(A132,Database!A:Q,MATCH($A$1,Database!$A$1:$Q$1,),)</f>
        <v>5670</v>
      </c>
      <c r="C132" s="12">
        <f t="shared" si="2"/>
        <v>-1.0643866689931948E-2</v>
      </c>
      <c r="D132" s="13">
        <f t="shared" si="3"/>
        <v>8.717310087173101E-3</v>
      </c>
    </row>
    <row r="133" spans="1:4" x14ac:dyDescent="0.35">
      <c r="A133" s="10">
        <v>37438</v>
      </c>
      <c r="B133" s="15">
        <f>VLOOKUP(A133,Database!A:Q,MATCH($A$1,Database!$A$1:$Q$1,),)</f>
        <v>5666</v>
      </c>
      <c r="C133" s="12">
        <f t="shared" si="2"/>
        <v>-7.0546737213403885E-4</v>
      </c>
      <c r="D133" s="13">
        <f t="shared" si="3"/>
        <v>-6.4878134315272664E-3</v>
      </c>
    </row>
    <row r="134" spans="1:4" x14ac:dyDescent="0.35">
      <c r="A134" s="11">
        <v>37469</v>
      </c>
      <c r="B134" s="15">
        <f>VLOOKUP(A134,Database!A:Q,MATCH($A$1,Database!$A$1:$Q$1,),)</f>
        <v>5689</v>
      </c>
      <c r="C134" s="12">
        <f t="shared" si="2"/>
        <v>4.0593010942463819E-3</v>
      </c>
      <c r="D134" s="13">
        <f t="shared" si="3"/>
        <v>-1.4891774891774892E-2</v>
      </c>
    </row>
    <row r="135" spans="1:4" x14ac:dyDescent="0.35">
      <c r="A135" s="10">
        <v>37500</v>
      </c>
      <c r="B135" s="15">
        <f>VLOOKUP(A135,Database!A:Q,MATCH($A$1,Database!$A$1:$Q$1,),)</f>
        <v>5852</v>
      </c>
      <c r="C135" s="12">
        <f t="shared" si="2"/>
        <v>2.865178414484092E-2</v>
      </c>
      <c r="D135" s="13">
        <f t="shared" si="3"/>
        <v>3.1734837799717912E-2</v>
      </c>
    </row>
    <row r="136" spans="1:4" x14ac:dyDescent="0.35">
      <c r="A136" s="11">
        <v>37530</v>
      </c>
      <c r="B136" s="15">
        <f>VLOOKUP(A136,Database!A:Q,MATCH($A$1,Database!$A$1:$Q$1,),)</f>
        <v>5839</v>
      </c>
      <c r="C136" s="12">
        <f t="shared" ref="C136:C199" si="4">(B136-B135)/B135</f>
        <v>-2.2214627477785374E-3</v>
      </c>
      <c r="D136" s="13">
        <f t="shared" si="3"/>
        <v>7.0714039323904795E-3</v>
      </c>
    </row>
    <row r="137" spans="1:4" x14ac:dyDescent="0.35">
      <c r="A137" s="10">
        <v>37561</v>
      </c>
      <c r="B137" s="15">
        <f>VLOOKUP(A137,Database!A:Q,MATCH($A$1,Database!$A$1:$Q$1,),)</f>
        <v>5985</v>
      </c>
      <c r="C137" s="12">
        <f t="shared" si="4"/>
        <v>2.5004281555060799E-2</v>
      </c>
      <c r="D137" s="13">
        <f t="shared" si="3"/>
        <v>-1.3353115727002967E-2</v>
      </c>
    </row>
    <row r="138" spans="1:4" x14ac:dyDescent="0.35">
      <c r="A138" s="11">
        <v>37591</v>
      </c>
      <c r="B138" s="15">
        <f>VLOOKUP(A138,Database!A:Q,MATCH($A$1,Database!$A$1:$Q$1,),)</f>
        <v>5809</v>
      </c>
      <c r="C138" s="12">
        <f t="shared" si="4"/>
        <v>-2.9406850459482037E-2</v>
      </c>
      <c r="D138" s="13">
        <f t="shared" si="3"/>
        <v>2.0700362256339485E-3</v>
      </c>
    </row>
    <row r="139" spans="1:4" x14ac:dyDescent="0.35">
      <c r="A139" s="10">
        <v>37622</v>
      </c>
      <c r="B139" s="15">
        <f>VLOOKUP(A139,Database!A:Q,MATCH($A$1,Database!$A$1:$Q$1,),)</f>
        <v>5794</v>
      </c>
      <c r="C139" s="12">
        <f t="shared" si="4"/>
        <v>-2.5822000344293337E-3</v>
      </c>
      <c r="D139" s="13">
        <f t="shared" si="3"/>
        <v>3.29004329004329E-3</v>
      </c>
    </row>
    <row r="140" spans="1:4" x14ac:dyDescent="0.35">
      <c r="A140" s="11">
        <v>37653</v>
      </c>
      <c r="B140" s="15">
        <f>VLOOKUP(A140,Database!A:Q,MATCH($A$1,Database!$A$1:$Q$1,),)</f>
        <v>5576</v>
      </c>
      <c r="C140" s="12">
        <f t="shared" si="4"/>
        <v>-3.7625129444252677E-2</v>
      </c>
      <c r="D140" s="13">
        <f t="shared" si="3"/>
        <v>-2.3638592190509542E-2</v>
      </c>
    </row>
    <row r="141" spans="1:4" x14ac:dyDescent="0.35">
      <c r="A141" s="10">
        <v>37681</v>
      </c>
      <c r="B141" s="15">
        <f>VLOOKUP(A141,Database!A:Q,MATCH($A$1,Database!$A$1:$Q$1,),)</f>
        <v>5660</v>
      </c>
      <c r="C141" s="12">
        <f t="shared" si="4"/>
        <v>1.5064562410329985E-2</v>
      </c>
      <c r="D141" s="13">
        <f t="shared" si="3"/>
        <v>-9.9702641245408424E-3</v>
      </c>
    </row>
    <row r="142" spans="1:4" x14ac:dyDescent="0.35">
      <c r="A142" s="11">
        <v>37712</v>
      </c>
      <c r="B142" s="15">
        <f>VLOOKUP(A142,Database!A:Q,MATCH($A$1,Database!$A$1:$Q$1,),)</f>
        <v>5709</v>
      </c>
      <c r="C142" s="12">
        <f t="shared" si="4"/>
        <v>8.6572438162544167E-3</v>
      </c>
      <c r="D142" s="13">
        <f t="shared" si="3"/>
        <v>-1.5519917227108122E-2</v>
      </c>
    </row>
    <row r="143" spans="1:4" x14ac:dyDescent="0.35">
      <c r="A143" s="10">
        <v>37742</v>
      </c>
      <c r="B143" s="15">
        <f>VLOOKUP(A143,Database!A:Q,MATCH($A$1,Database!$A$1:$Q$1,),)</f>
        <v>5748</v>
      </c>
      <c r="C143" s="12">
        <f t="shared" si="4"/>
        <v>6.8313189700472936E-3</v>
      </c>
      <c r="D143" s="13">
        <f t="shared" si="3"/>
        <v>2.9663235037515269E-3</v>
      </c>
    </row>
    <row r="144" spans="1:4" x14ac:dyDescent="0.35">
      <c r="A144" s="11">
        <v>37773</v>
      </c>
      <c r="B144" s="15">
        <f>VLOOKUP(A144,Database!A:Q,MATCH($A$1,Database!$A$1:$Q$1,),)</f>
        <v>5908</v>
      </c>
      <c r="C144" s="12">
        <f t="shared" si="4"/>
        <v>2.7835768963117607E-2</v>
      </c>
      <c r="D144" s="13">
        <f t="shared" si="3"/>
        <v>4.1975308641975309E-2</v>
      </c>
    </row>
    <row r="145" spans="1:4" x14ac:dyDescent="0.35">
      <c r="A145" s="10">
        <v>37803</v>
      </c>
      <c r="B145" s="15">
        <f>VLOOKUP(A145,Database!A:Q,MATCH($A$1,Database!$A$1:$Q$1,),)</f>
        <v>5808</v>
      </c>
      <c r="C145" s="12">
        <f t="shared" si="4"/>
        <v>-1.6926201760324982E-2</v>
      </c>
      <c r="D145" s="13">
        <f t="shared" si="3"/>
        <v>2.5061771973173313E-2</v>
      </c>
    </row>
    <row r="146" spans="1:4" x14ac:dyDescent="0.35">
      <c r="A146" s="11">
        <v>37834</v>
      </c>
      <c r="B146" s="15">
        <f>VLOOKUP(A146,Database!A:Q,MATCH($A$1,Database!$A$1:$Q$1,),)</f>
        <v>6132</v>
      </c>
      <c r="C146" s="12">
        <f t="shared" si="4"/>
        <v>5.578512396694215E-2</v>
      </c>
      <c r="D146" s="13">
        <f t="shared" si="3"/>
        <v>7.7869572859905076E-2</v>
      </c>
    </row>
    <row r="147" spans="1:4" x14ac:dyDescent="0.35">
      <c r="A147" s="10">
        <v>37865</v>
      </c>
      <c r="B147" s="15">
        <f>VLOOKUP(A147,Database!A:Q,MATCH($A$1,Database!$A$1:$Q$1,),)</f>
        <v>5954</v>
      </c>
      <c r="C147" s="12">
        <f t="shared" si="4"/>
        <v>-2.902804957599478E-2</v>
      </c>
      <c r="D147" s="13">
        <f t="shared" ref="D147:D210" si="5">(B147-B135)/B135</f>
        <v>1.7429938482570063E-2</v>
      </c>
    </row>
    <row r="148" spans="1:4" x14ac:dyDescent="0.35">
      <c r="A148" s="11">
        <v>37895</v>
      </c>
      <c r="B148" s="15">
        <f>VLOOKUP(A148,Database!A:Q,MATCH($A$1,Database!$A$1:$Q$1,),)</f>
        <v>5841</v>
      </c>
      <c r="C148" s="12">
        <f t="shared" si="4"/>
        <v>-1.8978837756130334E-2</v>
      </c>
      <c r="D148" s="13">
        <f t="shared" si="5"/>
        <v>3.4252440486384652E-4</v>
      </c>
    </row>
    <row r="149" spans="1:4" x14ac:dyDescent="0.35">
      <c r="A149" s="10">
        <v>37926</v>
      </c>
      <c r="B149" s="15">
        <f>VLOOKUP(A149,Database!A:Q,MATCH($A$1,Database!$A$1:$Q$1,),)</f>
        <v>6011</v>
      </c>
      <c r="C149" s="12">
        <f t="shared" si="4"/>
        <v>2.9104605375791816E-2</v>
      </c>
      <c r="D149" s="13">
        <f t="shared" si="5"/>
        <v>4.344193817878028E-3</v>
      </c>
    </row>
    <row r="150" spans="1:4" x14ac:dyDescent="0.35">
      <c r="A150" s="11">
        <v>37956</v>
      </c>
      <c r="B150" s="15">
        <f>VLOOKUP(A150,Database!A:Q,MATCH($A$1,Database!$A$1:$Q$1,),)</f>
        <v>6013</v>
      </c>
      <c r="C150" s="12">
        <f t="shared" si="4"/>
        <v>3.3272334054233906E-4</v>
      </c>
      <c r="D150" s="13">
        <f t="shared" si="5"/>
        <v>3.5117920468238938E-2</v>
      </c>
    </row>
    <row r="151" spans="1:4" x14ac:dyDescent="0.35">
      <c r="A151" s="10">
        <v>37987</v>
      </c>
      <c r="B151" s="15">
        <f>VLOOKUP(A151,Database!A:Q,MATCH($A$1,Database!$A$1:$Q$1,),)</f>
        <v>6087</v>
      </c>
      <c r="C151" s="12">
        <f t="shared" si="4"/>
        <v>1.2306668884084484E-2</v>
      </c>
      <c r="D151" s="13">
        <f t="shared" si="5"/>
        <v>5.0569554711770798E-2</v>
      </c>
    </row>
    <row r="152" spans="1:4" x14ac:dyDescent="0.35">
      <c r="A152" s="11">
        <v>38018</v>
      </c>
      <c r="B152" s="15">
        <f>VLOOKUP(A152,Database!A:Q,MATCH($A$1,Database!$A$1:$Q$1,),)</f>
        <v>6093</v>
      </c>
      <c r="C152" s="12">
        <f t="shared" si="4"/>
        <v>9.8570724494825043E-4</v>
      </c>
      <c r="D152" s="13">
        <f t="shared" si="5"/>
        <v>9.2718794835007168E-2</v>
      </c>
    </row>
    <row r="153" spans="1:4" x14ac:dyDescent="0.35">
      <c r="A153" s="10">
        <v>38047</v>
      </c>
      <c r="B153" s="15">
        <f>VLOOKUP(A153,Database!A:Q,MATCH($A$1,Database!$A$1:$Q$1,),)</f>
        <v>6067</v>
      </c>
      <c r="C153" s="12">
        <f t="shared" si="4"/>
        <v>-4.2671918595109139E-3</v>
      </c>
      <c r="D153" s="13">
        <f t="shared" si="5"/>
        <v>7.1908127208480568E-2</v>
      </c>
    </row>
    <row r="154" spans="1:4" x14ac:dyDescent="0.35">
      <c r="A154" s="11">
        <v>38078</v>
      </c>
      <c r="B154" s="15">
        <f>VLOOKUP(A154,Database!A:Q,MATCH($A$1,Database!$A$1:$Q$1,),)</f>
        <v>5941</v>
      </c>
      <c r="C154" s="12">
        <f t="shared" si="4"/>
        <v>-2.0768089665403E-2</v>
      </c>
      <c r="D154" s="13">
        <f t="shared" si="5"/>
        <v>4.0637589770537746E-2</v>
      </c>
    </row>
    <row r="155" spans="1:4" x14ac:dyDescent="0.35">
      <c r="A155" s="10">
        <v>38108</v>
      </c>
      <c r="B155" s="15">
        <f>VLOOKUP(A155,Database!A:Q,MATCH($A$1,Database!$A$1:$Q$1,),)</f>
        <v>5985</v>
      </c>
      <c r="C155" s="12">
        <f t="shared" si="4"/>
        <v>7.4061605790270999E-3</v>
      </c>
      <c r="D155" s="13">
        <f t="shared" si="5"/>
        <v>4.1231732776617951E-2</v>
      </c>
    </row>
    <row r="156" spans="1:4" x14ac:dyDescent="0.35">
      <c r="A156" s="11">
        <v>38139</v>
      </c>
      <c r="B156" s="15">
        <f>VLOOKUP(A156,Database!A:Q,MATCH($A$1,Database!$A$1:$Q$1,),)</f>
        <v>6017</v>
      </c>
      <c r="C156" s="12">
        <f t="shared" si="4"/>
        <v>5.346700083542189E-3</v>
      </c>
      <c r="D156" s="13">
        <f t="shared" si="5"/>
        <v>1.8449559918754233E-2</v>
      </c>
    </row>
    <row r="157" spans="1:4" x14ac:dyDescent="0.35">
      <c r="A157" s="10">
        <v>38169</v>
      </c>
      <c r="B157" s="15">
        <f>VLOOKUP(A157,Database!A:Q,MATCH($A$1,Database!$A$1:$Q$1,),)</f>
        <v>6124</v>
      </c>
      <c r="C157" s="12">
        <f t="shared" si="4"/>
        <v>1.7782948313112848E-2</v>
      </c>
      <c r="D157" s="13">
        <f t="shared" si="5"/>
        <v>5.4407713498622591E-2</v>
      </c>
    </row>
    <row r="158" spans="1:4" x14ac:dyDescent="0.35">
      <c r="A158" s="11">
        <v>38200</v>
      </c>
      <c r="B158" s="15">
        <f>VLOOKUP(A158,Database!A:Q,MATCH($A$1,Database!$A$1:$Q$1,),)</f>
        <v>6192</v>
      </c>
      <c r="C158" s="12">
        <f t="shared" si="4"/>
        <v>1.1103853690398433E-2</v>
      </c>
      <c r="D158" s="13">
        <f t="shared" si="5"/>
        <v>9.7847358121330719E-3</v>
      </c>
    </row>
    <row r="159" spans="1:4" x14ac:dyDescent="0.35">
      <c r="A159" s="10">
        <v>38231</v>
      </c>
      <c r="B159" s="15">
        <f>VLOOKUP(A159,Database!A:Q,MATCH($A$1,Database!$A$1:$Q$1,),)</f>
        <v>6111</v>
      </c>
      <c r="C159" s="12">
        <f t="shared" si="4"/>
        <v>-1.308139534883721E-2</v>
      </c>
      <c r="D159" s="13">
        <f t="shared" si="5"/>
        <v>2.6368827678871345E-2</v>
      </c>
    </row>
    <row r="160" spans="1:4" x14ac:dyDescent="0.35">
      <c r="A160" s="11">
        <v>38261</v>
      </c>
      <c r="B160" s="15">
        <f>VLOOKUP(A160,Database!A:Q,MATCH($A$1,Database!$A$1:$Q$1,),)</f>
        <v>6094</v>
      </c>
      <c r="C160" s="12">
        <f t="shared" si="4"/>
        <v>-2.7818687612502046E-3</v>
      </c>
      <c r="D160" s="13">
        <f t="shared" si="5"/>
        <v>4.3314500941619587E-2</v>
      </c>
    </row>
    <row r="161" spans="1:4" x14ac:dyDescent="0.35">
      <c r="A161" s="10">
        <v>38292</v>
      </c>
      <c r="B161" s="15">
        <f>VLOOKUP(A161,Database!A:Q,MATCH($A$1,Database!$A$1:$Q$1,),)</f>
        <v>6140</v>
      </c>
      <c r="C161" s="12">
        <f t="shared" si="4"/>
        <v>7.5484082704299314E-3</v>
      </c>
      <c r="D161" s="13">
        <f t="shared" si="5"/>
        <v>2.1460655464980868E-2</v>
      </c>
    </row>
    <row r="162" spans="1:4" x14ac:dyDescent="0.35">
      <c r="A162" s="11">
        <v>38322</v>
      </c>
      <c r="B162" s="15">
        <f>VLOOKUP(A162,Database!A:Q,MATCH($A$1,Database!$A$1:$Q$1,),)</f>
        <v>6122</v>
      </c>
      <c r="C162" s="12">
        <f t="shared" si="4"/>
        <v>-2.9315960912052116E-3</v>
      </c>
      <c r="D162" s="13">
        <f t="shared" si="5"/>
        <v>1.8127390653583902E-2</v>
      </c>
    </row>
    <row r="163" spans="1:4" x14ac:dyDescent="0.35">
      <c r="A163" s="10">
        <v>38353</v>
      </c>
      <c r="B163" s="15">
        <f>VLOOKUP(A163,Database!A:Q,MATCH($A$1,Database!$A$1:$Q$1,),)</f>
        <v>6192</v>
      </c>
      <c r="C163" s="12">
        <f t="shared" si="4"/>
        <v>1.1434171839268212E-2</v>
      </c>
      <c r="D163" s="13">
        <f t="shared" si="5"/>
        <v>1.7249876786594381E-2</v>
      </c>
    </row>
    <row r="164" spans="1:4" x14ac:dyDescent="0.35">
      <c r="A164" s="11">
        <v>38384</v>
      </c>
      <c r="B164" s="15">
        <f>VLOOKUP(A164,Database!A:Q,MATCH($A$1,Database!$A$1:$Q$1,),)</f>
        <v>6269</v>
      </c>
      <c r="C164" s="12">
        <f t="shared" si="4"/>
        <v>1.2435400516795866E-2</v>
      </c>
      <c r="D164" s="13">
        <f t="shared" si="5"/>
        <v>2.8885606433612342E-2</v>
      </c>
    </row>
    <row r="165" spans="1:4" x14ac:dyDescent="0.35">
      <c r="A165" s="10">
        <v>38412</v>
      </c>
      <c r="B165" s="15">
        <f>VLOOKUP(A165,Database!A:Q,MATCH($A$1,Database!$A$1:$Q$1,),)</f>
        <v>6137</v>
      </c>
      <c r="C165" s="12">
        <f t="shared" si="4"/>
        <v>-2.1055989791035252E-2</v>
      </c>
      <c r="D165" s="13">
        <f t="shared" si="5"/>
        <v>1.1537827591890556E-2</v>
      </c>
    </row>
    <row r="166" spans="1:4" x14ac:dyDescent="0.35">
      <c r="A166" s="11">
        <v>38443</v>
      </c>
      <c r="B166" s="15">
        <f>VLOOKUP(A166,Database!A:Q,MATCH($A$1,Database!$A$1:$Q$1,),)</f>
        <v>6318</v>
      </c>
      <c r="C166" s="12">
        <f t="shared" si="4"/>
        <v>2.9493237738308621E-2</v>
      </c>
      <c r="D166" s="13">
        <f t="shared" si="5"/>
        <v>6.3457330415754923E-2</v>
      </c>
    </row>
    <row r="167" spans="1:4" x14ac:dyDescent="0.35">
      <c r="A167" s="10">
        <v>38473</v>
      </c>
      <c r="B167" s="15">
        <f>VLOOKUP(A167,Database!A:Q,MATCH($A$1,Database!$A$1:$Q$1,),)</f>
        <v>6232</v>
      </c>
      <c r="C167" s="12">
        <f t="shared" si="4"/>
        <v>-1.361190250079139E-2</v>
      </c>
      <c r="D167" s="13">
        <f t="shared" si="5"/>
        <v>4.1269841269841269E-2</v>
      </c>
    </row>
    <row r="168" spans="1:4" x14ac:dyDescent="0.35">
      <c r="A168" s="11">
        <v>38504</v>
      </c>
      <c r="B168" s="15">
        <f>VLOOKUP(A168,Database!A:Q,MATCH($A$1,Database!$A$1:$Q$1,),)</f>
        <v>6135</v>
      </c>
      <c r="C168" s="12">
        <f t="shared" si="4"/>
        <v>-1.5564826700898588E-2</v>
      </c>
      <c r="D168" s="13">
        <f t="shared" si="5"/>
        <v>1.9611101878012297E-2</v>
      </c>
    </row>
    <row r="169" spans="1:4" x14ac:dyDescent="0.35">
      <c r="A169" s="10">
        <v>38534</v>
      </c>
      <c r="B169" s="15">
        <f>VLOOKUP(A169,Database!A:Q,MATCH($A$1,Database!$A$1:$Q$1,),)</f>
        <v>6239</v>
      </c>
      <c r="C169" s="12">
        <f t="shared" si="4"/>
        <v>1.6951915240423797E-2</v>
      </c>
      <c r="D169" s="13">
        <f t="shared" si="5"/>
        <v>1.8778576094056171E-2</v>
      </c>
    </row>
    <row r="170" spans="1:4" x14ac:dyDescent="0.35">
      <c r="A170" s="11">
        <v>38565</v>
      </c>
      <c r="B170" s="15">
        <f>VLOOKUP(A170,Database!A:Q,MATCH($A$1,Database!$A$1:$Q$1,),)</f>
        <v>6274</v>
      </c>
      <c r="C170" s="12">
        <f t="shared" si="4"/>
        <v>5.6098733771437733E-3</v>
      </c>
      <c r="D170" s="13">
        <f t="shared" si="5"/>
        <v>1.3242894056847546E-2</v>
      </c>
    </row>
    <row r="171" spans="1:4" x14ac:dyDescent="0.35">
      <c r="A171" s="10">
        <v>38596</v>
      </c>
      <c r="B171" s="15">
        <f>VLOOKUP(A171,Database!A:Q,MATCH($A$1,Database!$A$1:$Q$1,),)</f>
        <v>6155</v>
      </c>
      <c r="C171" s="12">
        <f t="shared" si="4"/>
        <v>-1.8967166082244181E-2</v>
      </c>
      <c r="D171" s="13">
        <f t="shared" si="5"/>
        <v>7.2001309114711172E-3</v>
      </c>
    </row>
    <row r="172" spans="1:4" x14ac:dyDescent="0.35">
      <c r="A172" s="11">
        <v>38626</v>
      </c>
      <c r="B172" s="15">
        <f>VLOOKUP(A172,Database!A:Q,MATCH($A$1,Database!$A$1:$Q$1,),)</f>
        <v>6377</v>
      </c>
      <c r="C172" s="12">
        <f t="shared" si="4"/>
        <v>3.6068237205523962E-2</v>
      </c>
      <c r="D172" s="13">
        <f t="shared" si="5"/>
        <v>4.6439120446340666E-2</v>
      </c>
    </row>
    <row r="173" spans="1:4" x14ac:dyDescent="0.35">
      <c r="A173" s="10">
        <v>38657</v>
      </c>
      <c r="B173" s="15">
        <f>VLOOKUP(A173,Database!A:Q,MATCH($A$1,Database!$A$1:$Q$1,),)</f>
        <v>6287</v>
      </c>
      <c r="C173" s="12">
        <f t="shared" si="4"/>
        <v>-1.4113219382154618E-2</v>
      </c>
      <c r="D173" s="13">
        <f t="shared" si="5"/>
        <v>2.3941368078175897E-2</v>
      </c>
    </row>
    <row r="174" spans="1:4" x14ac:dyDescent="0.35">
      <c r="A174" s="11">
        <v>38687</v>
      </c>
      <c r="B174" s="15">
        <f>VLOOKUP(A174,Database!A:Q,MATCH($A$1,Database!$A$1:$Q$1,),)</f>
        <v>6462</v>
      </c>
      <c r="C174" s="12">
        <f t="shared" si="4"/>
        <v>2.7835215524097345E-2</v>
      </c>
      <c r="D174" s="13">
        <f t="shared" si="5"/>
        <v>5.5537406076445604E-2</v>
      </c>
    </row>
    <row r="175" spans="1:4" x14ac:dyDescent="0.35">
      <c r="A175" s="10">
        <v>38718</v>
      </c>
      <c r="B175" s="15">
        <f>VLOOKUP(A175,Database!A:Q,MATCH($A$1,Database!$A$1:$Q$1,),)</f>
        <v>6735</v>
      </c>
      <c r="C175" s="12">
        <f t="shared" si="4"/>
        <v>4.2246982358402969E-2</v>
      </c>
      <c r="D175" s="13">
        <f t="shared" si="5"/>
        <v>8.7693798449612406E-2</v>
      </c>
    </row>
    <row r="176" spans="1:4" x14ac:dyDescent="0.35">
      <c r="A176" s="11">
        <v>38749</v>
      </c>
      <c r="B176" s="15">
        <f>VLOOKUP(A176,Database!A:Q,MATCH($A$1,Database!$A$1:$Q$1,),)</f>
        <v>6629</v>
      </c>
      <c r="C176" s="12">
        <f t="shared" si="4"/>
        <v>-1.5738678544914626E-2</v>
      </c>
      <c r="D176" s="13">
        <f t="shared" si="5"/>
        <v>5.7425426702823419E-2</v>
      </c>
    </row>
    <row r="177" spans="1:4" x14ac:dyDescent="0.35">
      <c r="A177" s="10">
        <v>38777</v>
      </c>
      <c r="B177" s="15">
        <f>VLOOKUP(A177,Database!A:Q,MATCH($A$1,Database!$A$1:$Q$1,),)</f>
        <v>6610</v>
      </c>
      <c r="C177" s="12">
        <f t="shared" si="4"/>
        <v>-2.86619399607784E-3</v>
      </c>
      <c r="D177" s="13">
        <f t="shared" si="5"/>
        <v>7.7073488675248492E-2</v>
      </c>
    </row>
    <row r="178" spans="1:4" x14ac:dyDescent="0.35">
      <c r="A178" s="11">
        <v>38808</v>
      </c>
      <c r="B178" s="15">
        <f>VLOOKUP(A178,Database!A:Q,MATCH($A$1,Database!$A$1:$Q$1,),)</f>
        <v>6580</v>
      </c>
      <c r="C178" s="12">
        <f t="shared" si="4"/>
        <v>-4.5385779122541605E-3</v>
      </c>
      <c r="D178" s="13">
        <f t="shared" si="5"/>
        <v>4.1468819246597025E-2</v>
      </c>
    </row>
    <row r="179" spans="1:4" x14ac:dyDescent="0.35">
      <c r="A179" s="10">
        <v>38838</v>
      </c>
      <c r="B179" s="15">
        <f>VLOOKUP(A179,Database!A:Q,MATCH($A$1,Database!$A$1:$Q$1,),)</f>
        <v>6503</v>
      </c>
      <c r="C179" s="12">
        <f t="shared" si="4"/>
        <v>-1.1702127659574468E-2</v>
      </c>
      <c r="D179" s="13">
        <f t="shared" si="5"/>
        <v>4.348523748395379E-2</v>
      </c>
    </row>
    <row r="180" spans="1:4" x14ac:dyDescent="0.35">
      <c r="A180" s="11">
        <v>38869</v>
      </c>
      <c r="B180" s="15">
        <f>VLOOKUP(A180,Database!A:Q,MATCH($A$1,Database!$A$1:$Q$1,),)</f>
        <v>6524</v>
      </c>
      <c r="C180" s="12">
        <f t="shared" si="4"/>
        <v>3.2292787944025836E-3</v>
      </c>
      <c r="D180" s="13">
        <f t="shared" si="5"/>
        <v>6.3406682966585165E-2</v>
      </c>
    </row>
    <row r="181" spans="1:4" x14ac:dyDescent="0.35">
      <c r="A181" s="10">
        <v>38899</v>
      </c>
      <c r="B181" s="15">
        <f>VLOOKUP(A181,Database!A:Q,MATCH($A$1,Database!$A$1:$Q$1,),)</f>
        <v>6461</v>
      </c>
      <c r="C181" s="12">
        <f t="shared" si="4"/>
        <v>-9.6566523605150223E-3</v>
      </c>
      <c r="D181" s="13">
        <f t="shared" si="5"/>
        <v>3.5582625420740505E-2</v>
      </c>
    </row>
    <row r="182" spans="1:4" x14ac:dyDescent="0.35">
      <c r="A182" s="11">
        <v>38930</v>
      </c>
      <c r="B182" s="15">
        <f>VLOOKUP(A182,Database!A:Q,MATCH($A$1,Database!$A$1:$Q$1,),)</f>
        <v>6412</v>
      </c>
      <c r="C182" s="12">
        <f t="shared" si="4"/>
        <v>-7.5839653304442039E-3</v>
      </c>
      <c r="D182" s="13">
        <f t="shared" si="5"/>
        <v>2.1995537137392412E-2</v>
      </c>
    </row>
    <row r="183" spans="1:4" x14ac:dyDescent="0.35">
      <c r="A183" s="10">
        <v>38961</v>
      </c>
      <c r="B183" s="15">
        <f>VLOOKUP(A183,Database!A:Q,MATCH($A$1,Database!$A$1:$Q$1,),)</f>
        <v>6690</v>
      </c>
      <c r="C183" s="12">
        <f t="shared" si="4"/>
        <v>4.3356207111665629E-2</v>
      </c>
      <c r="D183" s="13">
        <f t="shared" si="5"/>
        <v>8.692120227457352E-2</v>
      </c>
    </row>
    <row r="184" spans="1:4" x14ac:dyDescent="0.35">
      <c r="A184" s="11">
        <v>38991</v>
      </c>
      <c r="B184" s="15">
        <f>VLOOKUP(A184,Database!A:Q,MATCH($A$1,Database!$A$1:$Q$1,),)</f>
        <v>6589</v>
      </c>
      <c r="C184" s="12">
        <f t="shared" si="4"/>
        <v>-1.5097159940209267E-2</v>
      </c>
      <c r="D184" s="13">
        <f t="shared" si="5"/>
        <v>3.3244472322408659E-2</v>
      </c>
    </row>
    <row r="185" spans="1:4" x14ac:dyDescent="0.35">
      <c r="A185" s="10">
        <v>39022</v>
      </c>
      <c r="B185" s="15">
        <f>VLOOKUP(A185,Database!A:Q,MATCH($A$1,Database!$A$1:$Q$1,),)</f>
        <v>6461</v>
      </c>
      <c r="C185" s="12">
        <f t="shared" si="4"/>
        <v>-1.942631658825315E-2</v>
      </c>
      <c r="D185" s="13">
        <f t="shared" si="5"/>
        <v>2.7676157149673929E-2</v>
      </c>
    </row>
    <row r="186" spans="1:4" x14ac:dyDescent="0.35">
      <c r="A186" s="11">
        <v>39052</v>
      </c>
      <c r="B186" s="15">
        <f>VLOOKUP(A186,Database!A:Q,MATCH($A$1,Database!$A$1:$Q$1,),)</f>
        <v>6566</v>
      </c>
      <c r="C186" s="12">
        <f t="shared" si="4"/>
        <v>1.6251354279523293E-2</v>
      </c>
      <c r="D186" s="13">
        <f t="shared" si="5"/>
        <v>1.6094088517486844E-2</v>
      </c>
    </row>
    <row r="187" spans="1:4" x14ac:dyDescent="0.35">
      <c r="A187" s="10">
        <v>39083</v>
      </c>
      <c r="B187" s="15">
        <f>VLOOKUP(A187,Database!A:Q,MATCH($A$1,Database!$A$1:$Q$1,),)</f>
        <v>6489</v>
      </c>
      <c r="C187" s="12">
        <f t="shared" si="4"/>
        <v>-1.1727078891257996E-2</v>
      </c>
      <c r="D187" s="13">
        <f t="shared" si="5"/>
        <v>-3.6525612472160358E-2</v>
      </c>
    </row>
    <row r="188" spans="1:4" x14ac:dyDescent="0.35">
      <c r="A188" s="11">
        <v>39114</v>
      </c>
      <c r="B188" s="15">
        <f>VLOOKUP(A188,Database!A:Q,MATCH($A$1,Database!$A$1:$Q$1,),)</f>
        <v>6494</v>
      </c>
      <c r="C188" s="12">
        <f t="shared" si="4"/>
        <v>7.7053475111727538E-4</v>
      </c>
      <c r="D188" s="13">
        <f t="shared" si="5"/>
        <v>-2.0365062603710966E-2</v>
      </c>
    </row>
    <row r="189" spans="1:4" x14ac:dyDescent="0.35">
      <c r="A189" s="10">
        <v>39142</v>
      </c>
      <c r="B189" s="15">
        <f>VLOOKUP(A189,Database!A:Q,MATCH($A$1,Database!$A$1:$Q$1,),)</f>
        <v>6779</v>
      </c>
      <c r="C189" s="12">
        <f t="shared" si="4"/>
        <v>4.3886664613489376E-2</v>
      </c>
      <c r="D189" s="13">
        <f t="shared" si="5"/>
        <v>2.556732223903177E-2</v>
      </c>
    </row>
    <row r="190" spans="1:4" x14ac:dyDescent="0.35">
      <c r="A190" s="11">
        <v>39173</v>
      </c>
      <c r="B190" s="15">
        <f>VLOOKUP(A190,Database!A:Q,MATCH($A$1,Database!$A$1:$Q$1,),)</f>
        <v>6640</v>
      </c>
      <c r="C190" s="12">
        <f t="shared" si="4"/>
        <v>-2.0504499188670894E-2</v>
      </c>
      <c r="D190" s="13">
        <f t="shared" si="5"/>
        <v>9.11854103343465E-3</v>
      </c>
    </row>
    <row r="191" spans="1:4" x14ac:dyDescent="0.35">
      <c r="A191" s="10">
        <v>39203</v>
      </c>
      <c r="B191" s="15">
        <f>VLOOKUP(A191,Database!A:Q,MATCH($A$1,Database!$A$1:$Q$1,),)</f>
        <v>6805</v>
      </c>
      <c r="C191" s="12">
        <f t="shared" si="4"/>
        <v>2.4849397590361446E-2</v>
      </c>
      <c r="D191" s="13">
        <f t="shared" si="5"/>
        <v>4.6440104567122865E-2</v>
      </c>
    </row>
    <row r="192" spans="1:4" x14ac:dyDescent="0.35">
      <c r="A192" s="11">
        <v>39234</v>
      </c>
      <c r="B192" s="15">
        <f>VLOOKUP(A192,Database!A:Q,MATCH($A$1,Database!$A$1:$Q$1,),)</f>
        <v>6850</v>
      </c>
      <c r="C192" s="12">
        <f t="shared" si="4"/>
        <v>6.6127847171197646E-3</v>
      </c>
      <c r="D192" s="13">
        <f t="shared" si="5"/>
        <v>4.9969343960760269E-2</v>
      </c>
    </row>
    <row r="193" spans="1:4" x14ac:dyDescent="0.35">
      <c r="A193" s="10">
        <v>39264</v>
      </c>
      <c r="B193" s="15">
        <f>VLOOKUP(A193,Database!A:Q,MATCH($A$1,Database!$A$1:$Q$1,),)</f>
        <v>6936</v>
      </c>
      <c r="C193" s="12">
        <f t="shared" si="4"/>
        <v>1.2554744525547445E-2</v>
      </c>
      <c r="D193" s="13">
        <f t="shared" si="5"/>
        <v>7.3518031264510134E-2</v>
      </c>
    </row>
    <row r="194" spans="1:4" x14ac:dyDescent="0.35">
      <c r="A194" s="11">
        <v>39295</v>
      </c>
      <c r="B194" s="15">
        <f>VLOOKUP(A194,Database!A:Q,MATCH($A$1,Database!$A$1:$Q$1,),)</f>
        <v>6780</v>
      </c>
      <c r="C194" s="12">
        <f t="shared" si="4"/>
        <v>-2.2491349480968859E-2</v>
      </c>
      <c r="D194" s="13">
        <f t="shared" si="5"/>
        <v>5.7392389270118527E-2</v>
      </c>
    </row>
    <row r="195" spans="1:4" x14ac:dyDescent="0.35">
      <c r="A195" s="10">
        <v>39326</v>
      </c>
      <c r="B195" s="15">
        <f>VLOOKUP(A195,Database!A:Q,MATCH($A$1,Database!$A$1:$Q$1,),)</f>
        <v>6749</v>
      </c>
      <c r="C195" s="12">
        <f t="shared" si="4"/>
        <v>-4.5722713864306784E-3</v>
      </c>
      <c r="D195" s="13">
        <f t="shared" si="5"/>
        <v>8.8191330343796708E-3</v>
      </c>
    </row>
    <row r="196" spans="1:4" x14ac:dyDescent="0.35">
      <c r="A196" s="11">
        <v>39356</v>
      </c>
      <c r="B196" s="15">
        <f>VLOOKUP(A196,Database!A:Q,MATCH($A$1,Database!$A$1:$Q$1,),)</f>
        <v>6834</v>
      </c>
      <c r="C196" s="12">
        <f t="shared" si="4"/>
        <v>1.2594458438287154E-2</v>
      </c>
      <c r="D196" s="13">
        <f t="shared" si="5"/>
        <v>3.7183184094703295E-2</v>
      </c>
    </row>
    <row r="197" spans="1:4" x14ac:dyDescent="0.35">
      <c r="A197" s="10">
        <v>39387</v>
      </c>
      <c r="B197" s="15">
        <f>VLOOKUP(A197,Database!A:Q,MATCH($A$1,Database!$A$1:$Q$1,),)</f>
        <v>6940</v>
      </c>
      <c r="C197" s="12">
        <f t="shared" si="4"/>
        <v>1.5510681884694176E-2</v>
      </c>
      <c r="D197" s="13">
        <f t="shared" si="5"/>
        <v>7.4137130475158644E-2</v>
      </c>
    </row>
    <row r="198" spans="1:4" x14ac:dyDescent="0.35">
      <c r="A198" s="11">
        <v>39417</v>
      </c>
      <c r="B198" s="15">
        <f>VLOOKUP(A198,Database!A:Q,MATCH($A$1,Database!$A$1:$Q$1,),)</f>
        <v>6756</v>
      </c>
      <c r="C198" s="12">
        <f t="shared" si="4"/>
        <v>-2.6512968299711816E-2</v>
      </c>
      <c r="D198" s="13">
        <f t="shared" si="5"/>
        <v>2.8936947913493757E-2</v>
      </c>
    </row>
    <row r="199" spans="1:4" x14ac:dyDescent="0.35">
      <c r="A199" s="10">
        <v>39448</v>
      </c>
      <c r="B199" s="15">
        <f>VLOOKUP(A199,Database!A:Q,MATCH($A$1,Database!$A$1:$Q$1,),)</f>
        <v>6818</v>
      </c>
      <c r="C199" s="12">
        <f t="shared" si="4"/>
        <v>9.1770278271166364E-3</v>
      </c>
      <c r="D199" s="13">
        <f t="shared" si="5"/>
        <v>5.070118662351672E-2</v>
      </c>
    </row>
    <row r="200" spans="1:4" x14ac:dyDescent="0.35">
      <c r="A200" s="11">
        <v>39479</v>
      </c>
      <c r="B200" s="15">
        <f>VLOOKUP(A200,Database!A:Q,MATCH($A$1,Database!$A$1:$Q$1,),)</f>
        <v>6751</v>
      </c>
      <c r="C200" s="12">
        <f t="shared" ref="C200:C263" si="6">(B200-B199)/B199</f>
        <v>-9.82692871809915E-3</v>
      </c>
      <c r="D200" s="13">
        <f t="shared" si="5"/>
        <v>3.9574992300585157E-2</v>
      </c>
    </row>
    <row r="201" spans="1:4" x14ac:dyDescent="0.35">
      <c r="A201" s="10">
        <v>39508</v>
      </c>
      <c r="B201" s="15">
        <f>VLOOKUP(A201,Database!A:Q,MATCH($A$1,Database!$A$1:$Q$1,),)</f>
        <v>6733</v>
      </c>
      <c r="C201" s="12">
        <f t="shared" si="6"/>
        <v>-2.6662716634572657E-3</v>
      </c>
      <c r="D201" s="13">
        <f t="shared" si="5"/>
        <v>-6.7856616020061959E-3</v>
      </c>
    </row>
    <row r="202" spans="1:4" x14ac:dyDescent="0.35">
      <c r="A202" s="11">
        <v>39539</v>
      </c>
      <c r="B202" s="15">
        <f>VLOOKUP(A202,Database!A:Q,MATCH($A$1,Database!$A$1:$Q$1,),)</f>
        <v>6809</v>
      </c>
      <c r="C202" s="12">
        <f t="shared" si="6"/>
        <v>1.1287687509282638E-2</v>
      </c>
      <c r="D202" s="13">
        <f t="shared" si="5"/>
        <v>2.5451807228915664E-2</v>
      </c>
    </row>
    <row r="203" spans="1:4" x14ac:dyDescent="0.35">
      <c r="A203" s="10">
        <v>39569</v>
      </c>
      <c r="B203" s="15">
        <f>VLOOKUP(A203,Database!A:Q,MATCH($A$1,Database!$A$1:$Q$1,),)</f>
        <v>6949</v>
      </c>
      <c r="C203" s="12">
        <f t="shared" si="6"/>
        <v>2.0561022176531062E-2</v>
      </c>
      <c r="D203" s="13">
        <f t="shared" si="5"/>
        <v>2.1160911094783248E-2</v>
      </c>
    </row>
    <row r="204" spans="1:4" x14ac:dyDescent="0.35">
      <c r="A204" s="11">
        <v>39600</v>
      </c>
      <c r="B204" s="15">
        <f>VLOOKUP(A204,Database!A:Q,MATCH($A$1,Database!$A$1:$Q$1,),)</f>
        <v>6879</v>
      </c>
      <c r="C204" s="12">
        <f t="shared" si="6"/>
        <v>-1.0073391854943157E-2</v>
      </c>
      <c r="D204" s="13">
        <f t="shared" si="5"/>
        <v>4.2335766423357664E-3</v>
      </c>
    </row>
    <row r="205" spans="1:4" x14ac:dyDescent="0.35">
      <c r="A205" s="10">
        <v>39630</v>
      </c>
      <c r="B205" s="15">
        <f>VLOOKUP(A205,Database!A:Q,MATCH($A$1,Database!$A$1:$Q$1,),)</f>
        <v>6858</v>
      </c>
      <c r="C205" s="12">
        <f t="shared" si="6"/>
        <v>-3.0527692978630614E-3</v>
      </c>
      <c r="D205" s="13">
        <f t="shared" si="5"/>
        <v>-1.124567474048443E-2</v>
      </c>
    </row>
    <row r="206" spans="1:4" x14ac:dyDescent="0.35">
      <c r="A206" s="11">
        <v>39661</v>
      </c>
      <c r="B206" s="15">
        <f>VLOOKUP(A206,Database!A:Q,MATCH($A$1,Database!$A$1:$Q$1,),)</f>
        <v>6931</v>
      </c>
      <c r="C206" s="12">
        <f t="shared" si="6"/>
        <v>1.0644502770487023E-2</v>
      </c>
      <c r="D206" s="13">
        <f t="shared" si="5"/>
        <v>2.2271386430678466E-2</v>
      </c>
    </row>
    <row r="207" spans="1:4" x14ac:dyDescent="0.35">
      <c r="A207" s="10">
        <v>39692</v>
      </c>
      <c r="B207" s="15">
        <f>VLOOKUP(A207,Database!A:Q,MATCH($A$1,Database!$A$1:$Q$1,),)</f>
        <v>6536</v>
      </c>
      <c r="C207" s="12">
        <f t="shared" si="6"/>
        <v>-5.6990333285240224E-2</v>
      </c>
      <c r="D207" s="13">
        <f t="shared" si="5"/>
        <v>-3.1560231145354868E-2</v>
      </c>
    </row>
    <row r="208" spans="1:4" x14ac:dyDescent="0.35">
      <c r="A208" s="11">
        <v>39722</v>
      </c>
      <c r="B208" s="15">
        <f>VLOOKUP(A208,Database!A:Q,MATCH($A$1,Database!$A$1:$Q$1,),)</f>
        <v>6426</v>
      </c>
      <c r="C208" s="12">
        <f t="shared" si="6"/>
        <v>-1.6829865361077112E-2</v>
      </c>
      <c r="D208" s="13">
        <f t="shared" si="5"/>
        <v>-5.9701492537313432E-2</v>
      </c>
    </row>
    <row r="209" spans="1:4" x14ac:dyDescent="0.35">
      <c r="A209" s="10">
        <v>39753</v>
      </c>
      <c r="B209" s="15">
        <f>VLOOKUP(A209,Database!A:Q,MATCH($A$1,Database!$A$1:$Q$1,),)</f>
        <v>6431</v>
      </c>
      <c r="C209" s="12">
        <f t="shared" si="6"/>
        <v>7.7808901338313101E-4</v>
      </c>
      <c r="D209" s="13">
        <f t="shared" si="5"/>
        <v>-7.3342939481268007E-2</v>
      </c>
    </row>
    <row r="210" spans="1:4" x14ac:dyDescent="0.35">
      <c r="A210" s="11">
        <v>39783</v>
      </c>
      <c r="B210" s="15">
        <f>VLOOKUP(A210,Database!A:Q,MATCH($A$1,Database!$A$1:$Q$1,),)</f>
        <v>6470</v>
      </c>
      <c r="C210" s="12">
        <f t="shared" si="6"/>
        <v>6.0643756802985539E-3</v>
      </c>
      <c r="D210" s="13">
        <f t="shared" si="5"/>
        <v>-4.2332741267021905E-2</v>
      </c>
    </row>
    <row r="211" spans="1:4" x14ac:dyDescent="0.35">
      <c r="A211" s="10">
        <v>39814</v>
      </c>
      <c r="B211" s="15">
        <f>VLOOKUP(A211,Database!A:Q,MATCH($A$1,Database!$A$1:$Q$1,),)</f>
        <v>6661</v>
      </c>
      <c r="C211" s="12">
        <f t="shared" si="6"/>
        <v>2.9520865533230294E-2</v>
      </c>
      <c r="D211" s="13">
        <f t="shared" ref="D211:D274" si="7">(B211-B199)/B199</f>
        <v>-2.3027280727486065E-2</v>
      </c>
    </row>
    <row r="212" spans="1:4" x14ac:dyDescent="0.35">
      <c r="A212" s="11">
        <v>39845</v>
      </c>
      <c r="B212" s="15">
        <f>VLOOKUP(A212,Database!A:Q,MATCH($A$1,Database!$A$1:$Q$1,),)</f>
        <v>6535</v>
      </c>
      <c r="C212" s="12">
        <f t="shared" si="6"/>
        <v>-1.8916078666866835E-2</v>
      </c>
      <c r="D212" s="13">
        <f t="shared" si="7"/>
        <v>-3.1995259961487187E-2</v>
      </c>
    </row>
    <row r="213" spans="1:4" x14ac:dyDescent="0.35">
      <c r="A213" s="10">
        <v>39873</v>
      </c>
      <c r="B213" s="15">
        <f>VLOOKUP(A213,Database!A:Q,MATCH($A$1,Database!$A$1:$Q$1,),)</f>
        <v>6360</v>
      </c>
      <c r="C213" s="12">
        <f t="shared" si="6"/>
        <v>-2.6778882938026015E-2</v>
      </c>
      <c r="D213" s="13">
        <f t="shared" si="7"/>
        <v>-5.5398782117926627E-2</v>
      </c>
    </row>
    <row r="214" spans="1:4" x14ac:dyDescent="0.35">
      <c r="A214" s="11">
        <v>39904</v>
      </c>
      <c r="B214" s="15">
        <f>VLOOKUP(A214,Database!A:Q,MATCH($A$1,Database!$A$1:$Q$1,),)</f>
        <v>6514</v>
      </c>
      <c r="C214" s="12">
        <f t="shared" si="6"/>
        <v>2.4213836477987423E-2</v>
      </c>
      <c r="D214" s="13">
        <f t="shared" si="7"/>
        <v>-4.3325011014833312E-2</v>
      </c>
    </row>
    <row r="215" spans="1:4" x14ac:dyDescent="0.35">
      <c r="A215" s="10">
        <v>39934</v>
      </c>
      <c r="B215" s="15">
        <f>VLOOKUP(A215,Database!A:Q,MATCH($A$1,Database!$A$1:$Q$1,),)</f>
        <v>6453</v>
      </c>
      <c r="C215" s="12">
        <f t="shared" si="6"/>
        <v>-9.364445809026711E-3</v>
      </c>
      <c r="D215" s="13">
        <f t="shared" si="7"/>
        <v>-7.137717657216866E-2</v>
      </c>
    </row>
    <row r="216" spans="1:4" x14ac:dyDescent="0.35">
      <c r="A216" s="11">
        <v>39965</v>
      </c>
      <c r="B216" s="15">
        <f>VLOOKUP(A216,Database!A:Q,MATCH($A$1,Database!$A$1:$Q$1,),)</f>
        <v>6473</v>
      </c>
      <c r="C216" s="12">
        <f t="shared" si="6"/>
        <v>3.0993336432666978E-3</v>
      </c>
      <c r="D216" s="13">
        <f t="shared" si="7"/>
        <v>-5.9020206425352523E-2</v>
      </c>
    </row>
    <row r="217" spans="1:4" x14ac:dyDescent="0.35">
      <c r="A217" s="10">
        <v>39995</v>
      </c>
      <c r="B217" s="15">
        <f>VLOOKUP(A217,Database!A:Q,MATCH($A$1,Database!$A$1:$Q$1,),)</f>
        <v>6455</v>
      </c>
      <c r="C217" s="12">
        <f t="shared" si="6"/>
        <v>-2.7807817086358722E-3</v>
      </c>
      <c r="D217" s="13">
        <f t="shared" si="7"/>
        <v>-5.8763487897346166E-2</v>
      </c>
    </row>
    <row r="218" spans="1:4" x14ac:dyDescent="0.35">
      <c r="A218" s="11">
        <v>40026</v>
      </c>
      <c r="B218" s="15">
        <f>VLOOKUP(A218,Database!A:Q,MATCH($A$1,Database!$A$1:$Q$1,),)</f>
        <v>6628</v>
      </c>
      <c r="C218" s="12">
        <f t="shared" si="6"/>
        <v>2.6800929512006195E-2</v>
      </c>
      <c r="D218" s="13">
        <f t="shared" si="7"/>
        <v>-4.3716635406146301E-2</v>
      </c>
    </row>
    <row r="219" spans="1:4" x14ac:dyDescent="0.35">
      <c r="A219" s="10">
        <v>40057</v>
      </c>
      <c r="B219" s="15">
        <f>VLOOKUP(A219,Database!A:Q,MATCH($A$1,Database!$A$1:$Q$1,),)</f>
        <v>6484</v>
      </c>
      <c r="C219" s="12">
        <f t="shared" si="6"/>
        <v>-2.1726010863005431E-2</v>
      </c>
      <c r="D219" s="13">
        <f t="shared" si="7"/>
        <v>-7.9559363525091801E-3</v>
      </c>
    </row>
    <row r="220" spans="1:4" x14ac:dyDescent="0.35">
      <c r="A220" s="11">
        <v>40087</v>
      </c>
      <c r="B220" s="15">
        <f>VLOOKUP(A220,Database!A:Q,MATCH($A$1,Database!$A$1:$Q$1,),)</f>
        <v>6408</v>
      </c>
      <c r="C220" s="12">
        <f t="shared" si="6"/>
        <v>-1.1721159777914868E-2</v>
      </c>
      <c r="D220" s="13">
        <f t="shared" si="7"/>
        <v>-2.8011204481792717E-3</v>
      </c>
    </row>
    <row r="221" spans="1:4" x14ac:dyDescent="0.35">
      <c r="A221" s="10">
        <v>40118</v>
      </c>
      <c r="B221" s="15">
        <f>VLOOKUP(A221,Database!A:Q,MATCH($A$1,Database!$A$1:$Q$1,),)</f>
        <v>6307</v>
      </c>
      <c r="C221" s="12">
        <f t="shared" si="6"/>
        <v>-1.5761548064918852E-2</v>
      </c>
      <c r="D221" s="13">
        <f t="shared" si="7"/>
        <v>-1.9281604727103094E-2</v>
      </c>
    </row>
    <row r="222" spans="1:4" x14ac:dyDescent="0.35">
      <c r="A222" s="11">
        <v>40148</v>
      </c>
      <c r="B222" s="15">
        <f>VLOOKUP(A222,Database!A:Q,MATCH($A$1,Database!$A$1:$Q$1,),)</f>
        <v>6523</v>
      </c>
      <c r="C222" s="12">
        <f t="shared" si="6"/>
        <v>3.4247661328682413E-2</v>
      </c>
      <c r="D222" s="13">
        <f t="shared" si="7"/>
        <v>8.191653786707883E-3</v>
      </c>
    </row>
    <row r="223" spans="1:4" x14ac:dyDescent="0.35">
      <c r="A223" s="10">
        <v>40179</v>
      </c>
      <c r="B223" s="15">
        <f>VLOOKUP(A223,Database!A:Q,MATCH($A$1,Database!$A$1:$Q$1,),)</f>
        <v>6507</v>
      </c>
      <c r="C223" s="12">
        <f t="shared" si="6"/>
        <v>-2.4528591139046452E-3</v>
      </c>
      <c r="D223" s="13">
        <f t="shared" si="7"/>
        <v>-2.3119651703948356E-2</v>
      </c>
    </row>
    <row r="224" spans="1:4" x14ac:dyDescent="0.35">
      <c r="A224" s="11">
        <v>40210</v>
      </c>
      <c r="B224" s="15">
        <f>VLOOKUP(A224,Database!A:Q,MATCH($A$1,Database!$A$1:$Q$1,),)</f>
        <v>6412</v>
      </c>
      <c r="C224" s="12">
        <f t="shared" si="6"/>
        <v>-1.4599661902566468E-2</v>
      </c>
      <c r="D224" s="13">
        <f t="shared" si="7"/>
        <v>-1.8821729150726857E-2</v>
      </c>
    </row>
    <row r="225" spans="1:4" x14ac:dyDescent="0.35">
      <c r="A225" s="10">
        <v>40238</v>
      </c>
      <c r="B225" s="15">
        <f>VLOOKUP(A225,Database!A:Q,MATCH($A$1,Database!$A$1:$Q$1,),)</f>
        <v>6515</v>
      </c>
      <c r="C225" s="12">
        <f t="shared" si="6"/>
        <v>1.6063630692451654E-2</v>
      </c>
      <c r="D225" s="13">
        <f t="shared" si="7"/>
        <v>2.4371069182389939E-2</v>
      </c>
    </row>
    <row r="226" spans="1:4" x14ac:dyDescent="0.35">
      <c r="A226" s="11">
        <v>40269</v>
      </c>
      <c r="B226" s="15">
        <f>VLOOKUP(A226,Database!A:Q,MATCH($A$1,Database!$A$1:$Q$1,),)</f>
        <v>6409</v>
      </c>
      <c r="C226" s="12">
        <f t="shared" si="6"/>
        <v>-1.6270145817344591E-2</v>
      </c>
      <c r="D226" s="13">
        <f t="shared" si="7"/>
        <v>-1.6119128031931225E-2</v>
      </c>
    </row>
    <row r="227" spans="1:4" x14ac:dyDescent="0.35">
      <c r="A227" s="10">
        <v>40299</v>
      </c>
      <c r="B227" s="15">
        <f>VLOOKUP(A227,Database!A:Q,MATCH($A$1,Database!$A$1:$Q$1,),)</f>
        <v>6496</v>
      </c>
      <c r="C227" s="12">
        <f t="shared" si="6"/>
        <v>1.3574660633484163E-2</v>
      </c>
      <c r="D227" s="13">
        <f t="shared" si="7"/>
        <v>6.6635673330234001E-3</v>
      </c>
    </row>
    <row r="228" spans="1:4" x14ac:dyDescent="0.35">
      <c r="A228" s="11">
        <v>40330</v>
      </c>
      <c r="B228" s="15">
        <f>VLOOKUP(A228,Database!A:Q,MATCH($A$1,Database!$A$1:$Q$1,),)</f>
        <v>6497</v>
      </c>
      <c r="C228" s="12">
        <f t="shared" si="6"/>
        <v>1.5394088669950739E-4</v>
      </c>
      <c r="D228" s="13">
        <f t="shared" si="7"/>
        <v>3.7077089448478294E-3</v>
      </c>
    </row>
    <row r="229" spans="1:4" x14ac:dyDescent="0.35">
      <c r="A229" s="10">
        <v>40360</v>
      </c>
      <c r="B229" s="15">
        <f>VLOOKUP(A229,Database!A:Q,MATCH($A$1,Database!$A$1:$Q$1,),)</f>
        <v>6516</v>
      </c>
      <c r="C229" s="12">
        <f t="shared" si="6"/>
        <v>2.9244266584577496E-3</v>
      </c>
      <c r="D229" s="13">
        <f t="shared" si="7"/>
        <v>9.450038729666925E-3</v>
      </c>
    </row>
    <row r="230" spans="1:4" x14ac:dyDescent="0.35">
      <c r="A230" s="11">
        <v>40391</v>
      </c>
      <c r="B230" s="15">
        <f>VLOOKUP(A230,Database!A:Q,MATCH($A$1,Database!$A$1:$Q$1,),)</f>
        <v>6441</v>
      </c>
      <c r="C230" s="12">
        <f t="shared" si="6"/>
        <v>-1.1510128913443831E-2</v>
      </c>
      <c r="D230" s="13">
        <f t="shared" si="7"/>
        <v>-2.8213639106819552E-2</v>
      </c>
    </row>
    <row r="231" spans="1:4" x14ac:dyDescent="0.35">
      <c r="A231" s="10">
        <v>40422</v>
      </c>
      <c r="B231" s="15">
        <f>VLOOKUP(A231,Database!A:Q,MATCH($A$1,Database!$A$1:$Q$1,),)</f>
        <v>6469</v>
      </c>
      <c r="C231" s="12">
        <f t="shared" si="6"/>
        <v>4.3471510634994562E-3</v>
      </c>
      <c r="D231" s="13">
        <f t="shared" si="7"/>
        <v>-2.3133867982726712E-3</v>
      </c>
    </row>
    <row r="232" spans="1:4" x14ac:dyDescent="0.35">
      <c r="A232" s="11">
        <v>40452</v>
      </c>
      <c r="B232" s="15">
        <f>VLOOKUP(A232,Database!A:Q,MATCH($A$1,Database!$A$1:$Q$1,),)</f>
        <v>6579</v>
      </c>
      <c r="C232" s="12">
        <f t="shared" si="6"/>
        <v>1.7004173751739064E-2</v>
      </c>
      <c r="D232" s="13">
        <f t="shared" si="7"/>
        <v>2.6685393258426966E-2</v>
      </c>
    </row>
    <row r="233" spans="1:4" x14ac:dyDescent="0.35">
      <c r="A233" s="10">
        <v>40483</v>
      </c>
      <c r="B233" s="15">
        <f>VLOOKUP(A233,Database!A:Q,MATCH($A$1,Database!$A$1:$Q$1,),)</f>
        <v>6723</v>
      </c>
      <c r="C233" s="12">
        <f t="shared" si="6"/>
        <v>2.188782489740082E-2</v>
      </c>
      <c r="D233" s="13">
        <f t="shared" si="7"/>
        <v>6.595845885524021E-2</v>
      </c>
    </row>
    <row r="234" spans="1:4" x14ac:dyDescent="0.35">
      <c r="A234" s="11">
        <v>40513</v>
      </c>
      <c r="B234" s="15">
        <f>VLOOKUP(A234,Database!A:Q,MATCH($A$1,Database!$A$1:$Q$1,),)</f>
        <v>6588</v>
      </c>
      <c r="C234" s="12">
        <f t="shared" si="6"/>
        <v>-2.0080321285140562E-2</v>
      </c>
      <c r="D234" s="13">
        <f t="shared" si="7"/>
        <v>9.9647401502376207E-3</v>
      </c>
    </row>
    <row r="235" spans="1:4" x14ac:dyDescent="0.35">
      <c r="A235" s="10">
        <v>40544</v>
      </c>
      <c r="B235" s="15">
        <f>VLOOKUP(A235,Database!A:Q,MATCH($A$1,Database!$A$1:$Q$1,),)</f>
        <v>6565</v>
      </c>
      <c r="C235" s="12">
        <f t="shared" si="6"/>
        <v>-3.4911961141469339E-3</v>
      </c>
      <c r="D235" s="13">
        <f t="shared" si="7"/>
        <v>8.9134777931458437E-3</v>
      </c>
    </row>
    <row r="236" spans="1:4" x14ac:dyDescent="0.35">
      <c r="A236" s="11">
        <v>40575</v>
      </c>
      <c r="B236" s="15">
        <f>VLOOKUP(A236,Database!A:Q,MATCH($A$1,Database!$A$1:$Q$1,),)</f>
        <v>6611</v>
      </c>
      <c r="C236" s="12">
        <f t="shared" si="6"/>
        <v>7.0068545316070065E-3</v>
      </c>
      <c r="D236" s="13">
        <f t="shared" si="7"/>
        <v>3.1035558328134746E-2</v>
      </c>
    </row>
    <row r="237" spans="1:4" x14ac:dyDescent="0.35">
      <c r="A237" s="10">
        <v>40603</v>
      </c>
      <c r="B237" s="15">
        <f>VLOOKUP(A237,Database!A:Q,MATCH($A$1,Database!$A$1:$Q$1,),)</f>
        <v>6566</v>
      </c>
      <c r="C237" s="12">
        <f t="shared" si="6"/>
        <v>-6.8068370896989866E-3</v>
      </c>
      <c r="D237" s="13">
        <f t="shared" si="7"/>
        <v>7.8280890253261699E-3</v>
      </c>
    </row>
    <row r="238" spans="1:4" x14ac:dyDescent="0.35">
      <c r="A238" s="11">
        <v>40634</v>
      </c>
      <c r="B238" s="15">
        <f>VLOOKUP(A238,Database!A:Q,MATCH($A$1,Database!$A$1:$Q$1,),)</f>
        <v>6608</v>
      </c>
      <c r="C238" s="12">
        <f t="shared" si="6"/>
        <v>6.3965884861407248E-3</v>
      </c>
      <c r="D238" s="13">
        <f t="shared" si="7"/>
        <v>3.1050085816820096E-2</v>
      </c>
    </row>
    <row r="239" spans="1:4" x14ac:dyDescent="0.35">
      <c r="A239" s="10">
        <v>40664</v>
      </c>
      <c r="B239" s="15">
        <f>VLOOKUP(A239,Database!A:Q,MATCH($A$1,Database!$A$1:$Q$1,),)</f>
        <v>6542</v>
      </c>
      <c r="C239" s="12">
        <f t="shared" si="6"/>
        <v>-9.9878934624697338E-3</v>
      </c>
      <c r="D239" s="13">
        <f t="shared" si="7"/>
        <v>7.0812807881773399E-3</v>
      </c>
    </row>
    <row r="240" spans="1:4" x14ac:dyDescent="0.35">
      <c r="A240" s="11">
        <v>40695</v>
      </c>
      <c r="B240" s="15">
        <f>VLOOKUP(A240,Database!A:Q,MATCH($A$1,Database!$A$1:$Q$1,),)</f>
        <v>6585</v>
      </c>
      <c r="C240" s="12">
        <f t="shared" si="6"/>
        <v>6.5729134821155607E-3</v>
      </c>
      <c r="D240" s="13">
        <f t="shared" si="7"/>
        <v>1.3544712944435893E-2</v>
      </c>
    </row>
    <row r="241" spans="1:4" x14ac:dyDescent="0.35">
      <c r="A241" s="10">
        <v>40725</v>
      </c>
      <c r="B241" s="15">
        <f>VLOOKUP(A241,Database!A:Q,MATCH($A$1,Database!$A$1:$Q$1,),)</f>
        <v>6462</v>
      </c>
      <c r="C241" s="12">
        <f t="shared" si="6"/>
        <v>-1.867881548974943E-2</v>
      </c>
      <c r="D241" s="13">
        <f t="shared" si="7"/>
        <v>-8.2872928176795577E-3</v>
      </c>
    </row>
    <row r="242" spans="1:4" x14ac:dyDescent="0.35">
      <c r="A242" s="11">
        <v>40756</v>
      </c>
      <c r="B242" s="15">
        <f>VLOOKUP(A242,Database!A:Q,MATCH($A$1,Database!$A$1:$Q$1,),)</f>
        <v>6661</v>
      </c>
      <c r="C242" s="12">
        <f t="shared" si="6"/>
        <v>3.0795419374806562E-2</v>
      </c>
      <c r="D242" s="13">
        <f t="shared" si="7"/>
        <v>3.4156186927495731E-2</v>
      </c>
    </row>
    <row r="243" spans="1:4" x14ac:dyDescent="0.35">
      <c r="A243" s="10">
        <v>40787</v>
      </c>
      <c r="B243" s="15">
        <f>VLOOKUP(A243,Database!A:Q,MATCH($A$1,Database!$A$1:$Q$1,),)</f>
        <v>6686</v>
      </c>
      <c r="C243" s="12">
        <f t="shared" si="6"/>
        <v>3.7531902116799279E-3</v>
      </c>
      <c r="D243" s="13">
        <f t="shared" si="7"/>
        <v>3.3544597310248878E-2</v>
      </c>
    </row>
    <row r="244" spans="1:4" x14ac:dyDescent="0.35">
      <c r="A244" s="11">
        <v>40817</v>
      </c>
      <c r="B244" s="15">
        <f>VLOOKUP(A244,Database!A:Q,MATCH($A$1,Database!$A$1:$Q$1,),)</f>
        <v>6605</v>
      </c>
      <c r="C244" s="12">
        <f t="shared" si="6"/>
        <v>-1.2114866886030511E-2</v>
      </c>
      <c r="D244" s="13">
        <f t="shared" si="7"/>
        <v>3.9519683842529256E-3</v>
      </c>
    </row>
    <row r="245" spans="1:4" x14ac:dyDescent="0.35">
      <c r="A245" s="10">
        <v>40848</v>
      </c>
      <c r="B245" s="15">
        <f>VLOOKUP(A245,Database!A:Q,MATCH($A$1,Database!$A$1:$Q$1,),)</f>
        <v>6544</v>
      </c>
      <c r="C245" s="12">
        <f t="shared" si="6"/>
        <v>-9.2354277062831197E-3</v>
      </c>
      <c r="D245" s="13">
        <f t="shared" si="7"/>
        <v>-2.6625018592890078E-2</v>
      </c>
    </row>
    <row r="246" spans="1:4" x14ac:dyDescent="0.35">
      <c r="A246" s="11">
        <v>40878</v>
      </c>
      <c r="B246" s="15">
        <f>VLOOKUP(A246,Database!A:Q,MATCH($A$1,Database!$A$1:$Q$1,),)</f>
        <v>6353</v>
      </c>
      <c r="C246" s="12">
        <f t="shared" si="6"/>
        <v>-2.9187041564792175E-2</v>
      </c>
      <c r="D246" s="13">
        <f t="shared" si="7"/>
        <v>-3.5670916818457805E-2</v>
      </c>
    </row>
    <row r="247" spans="1:4" x14ac:dyDescent="0.35">
      <c r="A247" s="10">
        <v>40909</v>
      </c>
      <c r="B247" s="15">
        <f>VLOOKUP(A247,Database!A:Q,MATCH($A$1,Database!$A$1:$Q$1,),)</f>
        <v>6575</v>
      </c>
      <c r="C247" s="12">
        <f t="shared" si="6"/>
        <v>3.4944120887769554E-2</v>
      </c>
      <c r="D247" s="13">
        <f t="shared" si="7"/>
        <v>1.5232292460015233E-3</v>
      </c>
    </row>
    <row r="248" spans="1:4" x14ac:dyDescent="0.35">
      <c r="A248" s="11">
        <v>40940</v>
      </c>
      <c r="B248" s="15">
        <f>VLOOKUP(A248,Database!A:Q,MATCH($A$1,Database!$A$1:$Q$1,),)</f>
        <v>6683</v>
      </c>
      <c r="C248" s="12">
        <f t="shared" si="6"/>
        <v>1.6425855513307986E-2</v>
      </c>
      <c r="D248" s="13">
        <f t="shared" si="7"/>
        <v>1.0890939343518379E-2</v>
      </c>
    </row>
    <row r="249" spans="1:4" x14ac:dyDescent="0.35">
      <c r="A249" s="10">
        <v>40969</v>
      </c>
      <c r="B249" s="15">
        <f>VLOOKUP(A249,Database!A:Q,MATCH($A$1,Database!$A$1:$Q$1,),)</f>
        <v>6815</v>
      </c>
      <c r="C249" s="12">
        <f t="shared" si="6"/>
        <v>1.9751608559030374E-2</v>
      </c>
      <c r="D249" s="13">
        <f t="shared" si="7"/>
        <v>3.7922631739262871E-2</v>
      </c>
    </row>
    <row r="250" spans="1:4" x14ac:dyDescent="0.35">
      <c r="A250" s="11">
        <v>41000</v>
      </c>
      <c r="B250" s="15">
        <f>VLOOKUP(A250,Database!A:Q,MATCH($A$1,Database!$A$1:$Q$1,),)</f>
        <v>6859</v>
      </c>
      <c r="C250" s="12">
        <f t="shared" si="6"/>
        <v>6.4563462949376376E-3</v>
      </c>
      <c r="D250" s="13">
        <f t="shared" si="7"/>
        <v>3.7984261501210655E-2</v>
      </c>
    </row>
    <row r="251" spans="1:4" x14ac:dyDescent="0.35">
      <c r="A251" s="10">
        <v>41030</v>
      </c>
      <c r="B251" s="15">
        <f>VLOOKUP(A251,Database!A:Q,MATCH($A$1,Database!$A$1:$Q$1,),)</f>
        <v>6869</v>
      </c>
      <c r="C251" s="12">
        <f t="shared" si="6"/>
        <v>1.4579384749963552E-3</v>
      </c>
      <c r="D251" s="13">
        <f t="shared" si="7"/>
        <v>4.9984714154692751E-2</v>
      </c>
    </row>
    <row r="252" spans="1:4" x14ac:dyDescent="0.35">
      <c r="A252" s="11">
        <v>41061</v>
      </c>
      <c r="B252" s="15">
        <f>VLOOKUP(A252,Database!A:Q,MATCH($A$1,Database!$A$1:$Q$1,),)</f>
        <v>6797</v>
      </c>
      <c r="C252" s="12">
        <f t="shared" si="6"/>
        <v>-1.04818750909885E-2</v>
      </c>
      <c r="D252" s="13">
        <f t="shared" si="7"/>
        <v>3.2194381169324222E-2</v>
      </c>
    </row>
    <row r="253" spans="1:4" x14ac:dyDescent="0.35">
      <c r="A253" s="10">
        <v>41091</v>
      </c>
      <c r="B253" s="15">
        <f>VLOOKUP(A253,Database!A:Q,MATCH($A$1,Database!$A$1:$Q$1,),)</f>
        <v>6813</v>
      </c>
      <c r="C253" s="12">
        <f t="shared" si="6"/>
        <v>2.3539796969251139E-3</v>
      </c>
      <c r="D253" s="13">
        <f t="shared" si="7"/>
        <v>5.4317548746518104E-2</v>
      </c>
    </row>
    <row r="254" spans="1:4" x14ac:dyDescent="0.35">
      <c r="A254" s="11">
        <v>41122</v>
      </c>
      <c r="B254" s="15">
        <f>VLOOKUP(A254,Database!A:Q,MATCH($A$1,Database!$A$1:$Q$1,),)</f>
        <v>6715</v>
      </c>
      <c r="C254" s="12">
        <f t="shared" si="6"/>
        <v>-1.4384265375018346E-2</v>
      </c>
      <c r="D254" s="13">
        <f t="shared" si="7"/>
        <v>8.1068908572286442E-3</v>
      </c>
    </row>
    <row r="255" spans="1:4" x14ac:dyDescent="0.35">
      <c r="A255" s="10">
        <v>41153</v>
      </c>
      <c r="B255" s="15">
        <f>VLOOKUP(A255,Database!A:Q,MATCH($A$1,Database!$A$1:$Q$1,),)</f>
        <v>6720</v>
      </c>
      <c r="C255" s="12">
        <f t="shared" si="6"/>
        <v>7.4460163812360388E-4</v>
      </c>
      <c r="D255" s="13">
        <f t="shared" si="7"/>
        <v>5.0852527669757704E-3</v>
      </c>
    </row>
    <row r="256" spans="1:4" x14ac:dyDescent="0.35">
      <c r="A256" s="11">
        <v>41183</v>
      </c>
      <c r="B256" s="15">
        <f>VLOOKUP(A256,Database!A:Q,MATCH($A$1,Database!$A$1:$Q$1,),)</f>
        <v>6749</v>
      </c>
      <c r="C256" s="12">
        <f t="shared" si="6"/>
        <v>4.3154761904761908E-3</v>
      </c>
      <c r="D256" s="13">
        <f t="shared" si="7"/>
        <v>2.1801665404996215E-2</v>
      </c>
    </row>
    <row r="257" spans="1:4" x14ac:dyDescent="0.35">
      <c r="A257" s="10">
        <v>41214</v>
      </c>
      <c r="B257" s="15">
        <f>VLOOKUP(A257,Database!A:Q,MATCH($A$1,Database!$A$1:$Q$1,),)</f>
        <v>6675</v>
      </c>
      <c r="C257" s="12">
        <f t="shared" si="6"/>
        <v>-1.0964587346273522E-2</v>
      </c>
      <c r="D257" s="13">
        <f t="shared" si="7"/>
        <v>2.0018337408312957E-2</v>
      </c>
    </row>
    <row r="258" spans="1:4" x14ac:dyDescent="0.35">
      <c r="A258" s="11">
        <v>41244</v>
      </c>
      <c r="B258" s="15">
        <f>VLOOKUP(A258,Database!A:Q,MATCH($A$1,Database!$A$1:$Q$1,),)</f>
        <v>6828</v>
      </c>
      <c r="C258" s="12">
        <f t="shared" si="6"/>
        <v>2.2921348314606741E-2</v>
      </c>
      <c r="D258" s="13">
        <f t="shared" si="7"/>
        <v>7.4767826223831255E-2</v>
      </c>
    </row>
    <row r="259" spans="1:4" x14ac:dyDescent="0.35">
      <c r="A259" s="10">
        <v>41275</v>
      </c>
      <c r="B259" s="15">
        <f>VLOOKUP(A259,Database!A:Q,MATCH($A$1,Database!$A$1:$Q$1,),)</f>
        <v>7012</v>
      </c>
      <c r="C259" s="12">
        <f t="shared" si="6"/>
        <v>2.6947861745752782E-2</v>
      </c>
      <c r="D259" s="13">
        <f t="shared" si="7"/>
        <v>6.6463878326996198E-2</v>
      </c>
    </row>
    <row r="260" spans="1:4" x14ac:dyDescent="0.35">
      <c r="A260" s="11">
        <v>41306</v>
      </c>
      <c r="B260" s="15">
        <f>VLOOKUP(A260,Database!A:Q,MATCH($A$1,Database!$A$1:$Q$1,),)</f>
        <v>7021</v>
      </c>
      <c r="C260" s="12">
        <f t="shared" si="6"/>
        <v>1.2835139760410724E-3</v>
      </c>
      <c r="D260" s="13">
        <f t="shared" si="7"/>
        <v>5.0576088582971718E-2</v>
      </c>
    </row>
    <row r="261" spans="1:4" x14ac:dyDescent="0.35">
      <c r="A261" s="10">
        <v>41334</v>
      </c>
      <c r="B261" s="15">
        <f>VLOOKUP(A261,Database!A:Q,MATCH($A$1,Database!$A$1:$Q$1,),)</f>
        <v>6899</v>
      </c>
      <c r="C261" s="12">
        <f t="shared" si="6"/>
        <v>-1.7376442102264633E-2</v>
      </c>
      <c r="D261" s="13">
        <f t="shared" si="7"/>
        <v>1.2325752017608218E-2</v>
      </c>
    </row>
    <row r="262" spans="1:4" x14ac:dyDescent="0.35">
      <c r="A262" s="11">
        <v>41365</v>
      </c>
      <c r="B262" s="15">
        <f>VLOOKUP(A262,Database!A:Q,MATCH($A$1,Database!$A$1:$Q$1,),)</f>
        <v>6795</v>
      </c>
      <c r="C262" s="12">
        <f t="shared" si="6"/>
        <v>-1.5074648499782578E-2</v>
      </c>
      <c r="D262" s="13">
        <f t="shared" si="7"/>
        <v>-9.3308062399766727E-3</v>
      </c>
    </row>
    <row r="263" spans="1:4" x14ac:dyDescent="0.35">
      <c r="A263" s="10">
        <v>41395</v>
      </c>
      <c r="B263" s="15">
        <f>VLOOKUP(A263,Database!A:Q,MATCH($A$1,Database!$A$1:$Q$1,),)</f>
        <v>6862</v>
      </c>
      <c r="C263" s="12">
        <f t="shared" si="6"/>
        <v>9.8601913171449604E-3</v>
      </c>
      <c r="D263" s="13">
        <f t="shared" si="7"/>
        <v>-1.0190711894016596E-3</v>
      </c>
    </row>
    <row r="264" spans="1:4" x14ac:dyDescent="0.35">
      <c r="A264" s="11">
        <v>41426</v>
      </c>
      <c r="B264" s="15">
        <f>VLOOKUP(A264,Database!A:Q,MATCH($A$1,Database!$A$1:$Q$1,),)</f>
        <v>6913</v>
      </c>
      <c r="C264" s="12">
        <f t="shared" ref="C264:C327" si="8">(B264-B263)/B263</f>
        <v>7.4322354998542697E-3</v>
      </c>
      <c r="D264" s="13">
        <f t="shared" si="7"/>
        <v>1.7066352802707078E-2</v>
      </c>
    </row>
    <row r="265" spans="1:4" x14ac:dyDescent="0.35">
      <c r="A265" s="10">
        <v>41456</v>
      </c>
      <c r="B265" s="15">
        <f>VLOOKUP(A265,Database!A:Q,MATCH($A$1,Database!$A$1:$Q$1,),)</f>
        <v>6938</v>
      </c>
      <c r="C265" s="12">
        <f t="shared" si="8"/>
        <v>3.6163749457543757E-3</v>
      </c>
      <c r="D265" s="13">
        <f t="shared" si="7"/>
        <v>1.8347277264054013E-2</v>
      </c>
    </row>
    <row r="266" spans="1:4" x14ac:dyDescent="0.35">
      <c r="A266" s="11">
        <v>41487</v>
      </c>
      <c r="B266" s="15">
        <f>VLOOKUP(A266,Database!A:Q,MATCH($A$1,Database!$A$1:$Q$1,),)</f>
        <v>6713</v>
      </c>
      <c r="C266" s="12">
        <f t="shared" si="8"/>
        <v>-3.2430095128279046E-2</v>
      </c>
      <c r="D266" s="13">
        <f t="shared" si="7"/>
        <v>-2.9784065524944157E-4</v>
      </c>
    </row>
    <row r="267" spans="1:4" x14ac:dyDescent="0.35">
      <c r="A267" s="10">
        <v>41518</v>
      </c>
      <c r="B267" s="15">
        <f>VLOOKUP(A267,Database!A:Q,MATCH($A$1,Database!$A$1:$Q$1,),)</f>
        <v>6877</v>
      </c>
      <c r="C267" s="12">
        <f t="shared" si="8"/>
        <v>2.4430210040220467E-2</v>
      </c>
      <c r="D267" s="13">
        <f t="shared" si="7"/>
        <v>2.3363095238095238E-2</v>
      </c>
    </row>
    <row r="268" spans="1:4" x14ac:dyDescent="0.35">
      <c r="A268" s="11">
        <v>41548</v>
      </c>
      <c r="B268" s="15">
        <f>VLOOKUP(A268,Database!A:Q,MATCH($A$1,Database!$A$1:$Q$1,),)</f>
        <v>6860</v>
      </c>
      <c r="C268" s="12">
        <f t="shared" si="8"/>
        <v>-2.4720081430856479E-3</v>
      </c>
      <c r="D268" s="13">
        <f t="shared" si="7"/>
        <v>1.6446881019410282E-2</v>
      </c>
    </row>
    <row r="269" spans="1:4" x14ac:dyDescent="0.35">
      <c r="A269" s="10">
        <v>41579</v>
      </c>
      <c r="B269" s="15">
        <f>VLOOKUP(A269,Database!A:Q,MATCH($A$1,Database!$A$1:$Q$1,),)</f>
        <v>6875</v>
      </c>
      <c r="C269" s="12">
        <f t="shared" si="8"/>
        <v>2.1865889212827989E-3</v>
      </c>
      <c r="D269" s="13">
        <f t="shared" si="7"/>
        <v>2.9962546816479401E-2</v>
      </c>
    </row>
    <row r="270" spans="1:4" x14ac:dyDescent="0.35">
      <c r="A270" s="11">
        <v>41609</v>
      </c>
      <c r="B270" s="15">
        <f>VLOOKUP(A270,Database!A:Q,MATCH($A$1,Database!$A$1:$Q$1,),)</f>
        <v>6861</v>
      </c>
      <c r="C270" s="12">
        <f t="shared" si="8"/>
        <v>-2.0363636363636365E-3</v>
      </c>
      <c r="D270" s="13">
        <f t="shared" si="7"/>
        <v>4.8330404217926184E-3</v>
      </c>
    </row>
    <row r="271" spans="1:4" x14ac:dyDescent="0.35">
      <c r="A271" s="10">
        <v>41640</v>
      </c>
      <c r="B271" s="15">
        <f>VLOOKUP(A271,Database!A:Q,MATCH($A$1,Database!$A$1:$Q$1,),)</f>
        <v>6488</v>
      </c>
      <c r="C271" s="12">
        <f t="shared" si="8"/>
        <v>-5.4365252878589128E-2</v>
      </c>
      <c r="D271" s="13">
        <f t="shared" si="7"/>
        <v>-7.4729035938391336E-2</v>
      </c>
    </row>
    <row r="272" spans="1:4" x14ac:dyDescent="0.35">
      <c r="A272" s="11">
        <v>41671</v>
      </c>
      <c r="B272" s="15">
        <f>VLOOKUP(A272,Database!A:Q,MATCH($A$1,Database!$A$1:$Q$1,),)</f>
        <v>6795</v>
      </c>
      <c r="C272" s="12">
        <f t="shared" si="8"/>
        <v>4.7318125770653516E-2</v>
      </c>
      <c r="D272" s="13">
        <f t="shared" si="7"/>
        <v>-3.2189146845178748E-2</v>
      </c>
    </row>
    <row r="273" spans="1:4" x14ac:dyDescent="0.35">
      <c r="A273" s="10">
        <v>41699</v>
      </c>
      <c r="B273" s="15">
        <f>VLOOKUP(A273,Database!A:Q,MATCH($A$1,Database!$A$1:$Q$1,),)</f>
        <v>6803</v>
      </c>
      <c r="C273" s="12">
        <f t="shared" si="8"/>
        <v>1.177336276674025E-3</v>
      </c>
      <c r="D273" s="13">
        <f t="shared" si="7"/>
        <v>-1.3915060153645456E-2</v>
      </c>
    </row>
    <row r="274" spans="1:4" x14ac:dyDescent="0.35">
      <c r="A274" s="11">
        <v>41730</v>
      </c>
      <c r="B274" s="15">
        <f>VLOOKUP(A274,Database!A:Q,MATCH($A$1,Database!$A$1:$Q$1,),)</f>
        <v>6894</v>
      </c>
      <c r="C274" s="12">
        <f t="shared" si="8"/>
        <v>1.3376451565485815E-2</v>
      </c>
      <c r="D274" s="13">
        <f t="shared" si="7"/>
        <v>1.456953642384106E-2</v>
      </c>
    </row>
    <row r="275" spans="1:4" x14ac:dyDescent="0.35">
      <c r="A275" s="10">
        <v>41760</v>
      </c>
      <c r="B275" s="15">
        <f>VLOOKUP(A275,Database!A:Q,MATCH($A$1,Database!$A$1:$Q$1,),)</f>
        <v>6860</v>
      </c>
      <c r="C275" s="12">
        <f t="shared" si="8"/>
        <v>-4.9318247751668114E-3</v>
      </c>
      <c r="D275" s="13">
        <f t="shared" ref="D275:D338" si="9">(B275-B263)/B263</f>
        <v>-2.9146021568055963E-4</v>
      </c>
    </row>
    <row r="276" spans="1:4" x14ac:dyDescent="0.35">
      <c r="A276" s="11">
        <v>41791</v>
      </c>
      <c r="B276" s="15">
        <f>VLOOKUP(A276,Database!A:Q,MATCH($A$1,Database!$A$1:$Q$1,),)</f>
        <v>6950</v>
      </c>
      <c r="C276" s="12">
        <f t="shared" si="8"/>
        <v>1.3119533527696793E-2</v>
      </c>
      <c r="D276" s="13">
        <f t="shared" si="9"/>
        <v>5.3522349197164766E-3</v>
      </c>
    </row>
    <row r="277" spans="1:4" x14ac:dyDescent="0.35">
      <c r="A277" s="10">
        <v>41821</v>
      </c>
      <c r="B277" s="15">
        <f>VLOOKUP(A277,Database!A:Q,MATCH($A$1,Database!$A$1:$Q$1,),)</f>
        <v>6922</v>
      </c>
      <c r="C277" s="12">
        <f t="shared" si="8"/>
        <v>-4.028776978417266E-3</v>
      </c>
      <c r="D277" s="13">
        <f t="shared" si="9"/>
        <v>-2.3061400980109543E-3</v>
      </c>
    </row>
    <row r="278" spans="1:4" x14ac:dyDescent="0.35">
      <c r="A278" s="11">
        <v>41852</v>
      </c>
      <c r="B278" s="15">
        <f>VLOOKUP(A278,Database!A:Q,MATCH($A$1,Database!$A$1:$Q$1,),)</f>
        <v>7122</v>
      </c>
      <c r="C278" s="12">
        <f t="shared" si="8"/>
        <v>2.8893383415197919E-2</v>
      </c>
      <c r="D278" s="13">
        <f t="shared" si="9"/>
        <v>6.0926560405183974E-2</v>
      </c>
    </row>
    <row r="279" spans="1:4" x14ac:dyDescent="0.35">
      <c r="A279" s="10">
        <v>41883</v>
      </c>
      <c r="B279" s="15">
        <f>VLOOKUP(A279,Database!A:Q,MATCH($A$1,Database!$A$1:$Q$1,),)</f>
        <v>7043</v>
      </c>
      <c r="C279" s="12">
        <f t="shared" si="8"/>
        <v>-1.1092389778152205E-2</v>
      </c>
      <c r="D279" s="13">
        <f t="shared" si="9"/>
        <v>2.4138432456012795E-2</v>
      </c>
    </row>
    <row r="280" spans="1:4" x14ac:dyDescent="0.35">
      <c r="A280" s="11">
        <v>41913</v>
      </c>
      <c r="B280" s="15">
        <f>VLOOKUP(A280,Database!A:Q,MATCH($A$1,Database!$A$1:$Q$1,),)</f>
        <v>7156</v>
      </c>
      <c r="C280" s="12">
        <f t="shared" si="8"/>
        <v>1.6044299304273747E-2</v>
      </c>
      <c r="D280" s="13">
        <f t="shared" si="9"/>
        <v>4.3148688046647232E-2</v>
      </c>
    </row>
    <row r="281" spans="1:4" x14ac:dyDescent="0.35">
      <c r="A281" s="10">
        <v>41944</v>
      </c>
      <c r="B281" s="15">
        <f>VLOOKUP(A281,Database!A:Q,MATCH($A$1,Database!$A$1:$Q$1,),)</f>
        <v>7147</v>
      </c>
      <c r="C281" s="12">
        <f t="shared" si="8"/>
        <v>-1.257685858021241E-3</v>
      </c>
      <c r="D281" s="13">
        <f t="shared" si="9"/>
        <v>3.9563636363636363E-2</v>
      </c>
    </row>
    <row r="282" spans="1:4" x14ac:dyDescent="0.35">
      <c r="A282" s="11">
        <v>41974</v>
      </c>
      <c r="B282" s="15">
        <f>VLOOKUP(A282,Database!A:Q,MATCH($A$1,Database!$A$1:$Q$1,),)</f>
        <v>7066</v>
      </c>
      <c r="C282" s="12">
        <f t="shared" si="8"/>
        <v>-1.1333426612564713E-2</v>
      </c>
      <c r="D282" s="13">
        <f t="shared" si="9"/>
        <v>2.9879026380994024E-2</v>
      </c>
    </row>
    <row r="283" spans="1:4" x14ac:dyDescent="0.35">
      <c r="A283" s="10">
        <v>42005</v>
      </c>
      <c r="B283" s="15">
        <f>VLOOKUP(A283,Database!A:Q,MATCH($A$1,Database!$A$1:$Q$1,),)</f>
        <v>6939</v>
      </c>
      <c r="C283" s="12">
        <f t="shared" si="8"/>
        <v>-1.7973393716388338E-2</v>
      </c>
      <c r="D283" s="13">
        <f t="shared" si="9"/>
        <v>6.9512946979038218E-2</v>
      </c>
    </row>
    <row r="284" spans="1:4" x14ac:dyDescent="0.35">
      <c r="A284" s="11">
        <v>42036</v>
      </c>
      <c r="B284" s="15">
        <f>VLOOKUP(A284,Database!A:Q,MATCH($A$1,Database!$A$1:$Q$1,),)</f>
        <v>6977</v>
      </c>
      <c r="C284" s="12">
        <f t="shared" si="8"/>
        <v>5.4762934140366046E-3</v>
      </c>
      <c r="D284" s="13">
        <f t="shared" si="9"/>
        <v>2.6784400294334071E-2</v>
      </c>
    </row>
    <row r="285" spans="1:4" x14ac:dyDescent="0.35">
      <c r="A285" s="10">
        <v>42064</v>
      </c>
      <c r="B285" s="15">
        <f>VLOOKUP(A285,Database!A:Q,MATCH($A$1,Database!$A$1:$Q$1,),)</f>
        <v>7061</v>
      </c>
      <c r="C285" s="12">
        <f t="shared" si="8"/>
        <v>1.203955854951985E-2</v>
      </c>
      <c r="D285" s="13">
        <f t="shared" si="9"/>
        <v>3.7924445097750989E-2</v>
      </c>
    </row>
    <row r="286" spans="1:4" x14ac:dyDescent="0.35">
      <c r="A286" s="11">
        <v>42095</v>
      </c>
      <c r="B286" s="15">
        <f>VLOOKUP(A286,Database!A:Q,MATCH($A$1,Database!$A$1:$Q$1,),)</f>
        <v>7084</v>
      </c>
      <c r="C286" s="12">
        <f t="shared" si="8"/>
        <v>3.2573289902280132E-3</v>
      </c>
      <c r="D286" s="13">
        <f t="shared" si="9"/>
        <v>2.7560197272991006E-2</v>
      </c>
    </row>
    <row r="287" spans="1:4" x14ac:dyDescent="0.35">
      <c r="A287" s="10">
        <v>42125</v>
      </c>
      <c r="B287" s="15">
        <f>VLOOKUP(A287,Database!A:Q,MATCH($A$1,Database!$A$1:$Q$1,),)</f>
        <v>7121</v>
      </c>
      <c r="C287" s="12">
        <f t="shared" si="8"/>
        <v>5.223037831733484E-3</v>
      </c>
      <c r="D287" s="13">
        <f t="shared" si="9"/>
        <v>3.8046647230320703E-2</v>
      </c>
    </row>
    <row r="288" spans="1:4" x14ac:dyDescent="0.35">
      <c r="A288" s="11">
        <v>42156</v>
      </c>
      <c r="B288" s="15">
        <f>VLOOKUP(A288,Database!A:Q,MATCH($A$1,Database!$A$1:$Q$1,),)</f>
        <v>7069</v>
      </c>
      <c r="C288" s="12">
        <f t="shared" si="8"/>
        <v>-7.3023451762392923E-3</v>
      </c>
      <c r="D288" s="13">
        <f t="shared" si="9"/>
        <v>1.7122302158273383E-2</v>
      </c>
    </row>
    <row r="289" spans="1:4" x14ac:dyDescent="0.35">
      <c r="A289" s="10">
        <v>42186</v>
      </c>
      <c r="B289" s="15">
        <f>VLOOKUP(A289,Database!A:Q,MATCH($A$1,Database!$A$1:$Q$1,),)</f>
        <v>7124</v>
      </c>
      <c r="C289" s="12">
        <f t="shared" si="8"/>
        <v>7.7804498514641388E-3</v>
      </c>
      <c r="D289" s="13">
        <f t="shared" si="9"/>
        <v>2.9182317249349898E-2</v>
      </c>
    </row>
    <row r="290" spans="1:4" x14ac:dyDescent="0.35">
      <c r="A290" s="11">
        <v>42217</v>
      </c>
      <c r="B290" s="15">
        <f>VLOOKUP(A290,Database!A:Q,MATCH($A$1,Database!$A$1:$Q$1,),)</f>
        <v>7158</v>
      </c>
      <c r="C290" s="12">
        <f t="shared" si="8"/>
        <v>4.7725996631106122E-3</v>
      </c>
      <c r="D290" s="13">
        <f t="shared" si="9"/>
        <v>5.054759898904802E-3</v>
      </c>
    </row>
    <row r="291" spans="1:4" x14ac:dyDescent="0.35">
      <c r="A291" s="10">
        <v>42248</v>
      </c>
      <c r="B291" s="15">
        <f>VLOOKUP(A291,Database!A:Q,MATCH($A$1,Database!$A$1:$Q$1,),)</f>
        <v>7188</v>
      </c>
      <c r="C291" s="12">
        <f t="shared" si="8"/>
        <v>4.1911148365465214E-3</v>
      </c>
      <c r="D291" s="13">
        <f t="shared" si="9"/>
        <v>2.0587817691324721E-2</v>
      </c>
    </row>
    <row r="292" spans="1:4" x14ac:dyDescent="0.35">
      <c r="A292" s="11">
        <v>42278</v>
      </c>
      <c r="B292" s="15">
        <f>VLOOKUP(A292,Database!A:Q,MATCH($A$1,Database!$A$1:$Q$1,),)</f>
        <v>7082</v>
      </c>
      <c r="C292" s="12">
        <f t="shared" si="8"/>
        <v>-1.474680022259321E-2</v>
      </c>
      <c r="D292" s="13">
        <f t="shared" si="9"/>
        <v>-1.0340972610396871E-2</v>
      </c>
    </row>
    <row r="293" spans="1:4" x14ac:dyDescent="0.35">
      <c r="A293" s="10">
        <v>42309</v>
      </c>
      <c r="B293" s="15">
        <f>VLOOKUP(A293,Database!A:Q,MATCH($A$1,Database!$A$1:$Q$1,),)</f>
        <v>7195</v>
      </c>
      <c r="C293" s="12">
        <f t="shared" si="8"/>
        <v>1.5955944648404406E-2</v>
      </c>
      <c r="D293" s="13">
        <f t="shared" si="9"/>
        <v>6.7161046592976075E-3</v>
      </c>
    </row>
    <row r="294" spans="1:4" x14ac:dyDescent="0.35">
      <c r="A294" s="11">
        <v>42339</v>
      </c>
      <c r="B294" s="15">
        <f>VLOOKUP(A294,Database!A:Q,MATCH($A$1,Database!$A$1:$Q$1,),)</f>
        <v>7336</v>
      </c>
      <c r="C294" s="12">
        <f t="shared" si="8"/>
        <v>1.9596942321056288E-2</v>
      </c>
      <c r="D294" s="13">
        <f t="shared" si="9"/>
        <v>3.8211151995471274E-2</v>
      </c>
    </row>
    <row r="295" spans="1:4" x14ac:dyDescent="0.35">
      <c r="A295" s="10">
        <v>42370</v>
      </c>
      <c r="B295" s="15">
        <f>VLOOKUP(A295,Database!A:Q,MATCH($A$1,Database!$A$1:$Q$1,),)</f>
        <v>7292</v>
      </c>
      <c r="C295" s="12">
        <f t="shared" si="8"/>
        <v>-5.9978189749182115E-3</v>
      </c>
      <c r="D295" s="13">
        <f t="shared" si="9"/>
        <v>5.0871883556708457E-2</v>
      </c>
    </row>
    <row r="296" spans="1:4" x14ac:dyDescent="0.35">
      <c r="A296" s="11">
        <v>42401</v>
      </c>
      <c r="B296" s="15">
        <f>VLOOKUP(A296,Database!A:Q,MATCH($A$1,Database!$A$1:$Q$1,),)</f>
        <v>7272</v>
      </c>
      <c r="C296" s="12">
        <f t="shared" si="8"/>
        <v>-2.7427317608337905E-3</v>
      </c>
      <c r="D296" s="13">
        <f t="shared" si="9"/>
        <v>4.2281783001289951E-2</v>
      </c>
    </row>
    <row r="297" spans="1:4" x14ac:dyDescent="0.35">
      <c r="A297" s="10">
        <v>42430</v>
      </c>
      <c r="B297" s="15">
        <f>VLOOKUP(A297,Database!A:Q,MATCH($A$1,Database!$A$1:$Q$1,),)</f>
        <v>7257</v>
      </c>
      <c r="C297" s="12">
        <f t="shared" si="8"/>
        <v>-2.0627062706270625E-3</v>
      </c>
      <c r="D297" s="13">
        <f t="shared" si="9"/>
        <v>2.7758107916725675E-2</v>
      </c>
    </row>
    <row r="298" spans="1:4" x14ac:dyDescent="0.35">
      <c r="A298" s="11">
        <v>42461</v>
      </c>
      <c r="B298" s="15">
        <f>VLOOKUP(A298,Database!A:Q,MATCH($A$1,Database!$A$1:$Q$1,),)</f>
        <v>7190</v>
      </c>
      <c r="C298" s="12">
        <f t="shared" si="8"/>
        <v>-9.2324652060079924E-3</v>
      </c>
      <c r="D298" s="13">
        <f t="shared" si="9"/>
        <v>1.4963297571993224E-2</v>
      </c>
    </row>
    <row r="299" spans="1:4" x14ac:dyDescent="0.35">
      <c r="A299" s="10">
        <v>42491</v>
      </c>
      <c r="B299" s="15">
        <f>VLOOKUP(A299,Database!A:Q,MATCH($A$1,Database!$A$1:$Q$1,),)</f>
        <v>7246</v>
      </c>
      <c r="C299" s="12">
        <f t="shared" si="8"/>
        <v>7.7885952712100142E-3</v>
      </c>
      <c r="D299" s="13">
        <f t="shared" si="9"/>
        <v>1.7553714365959837E-2</v>
      </c>
    </row>
    <row r="300" spans="1:4" x14ac:dyDescent="0.35">
      <c r="A300" s="11">
        <v>42522</v>
      </c>
      <c r="B300" s="15">
        <f>VLOOKUP(A300,Database!A:Q,MATCH($A$1,Database!$A$1:$Q$1,),)</f>
        <v>7573</v>
      </c>
      <c r="C300" s="12">
        <f t="shared" si="8"/>
        <v>4.5128346674027049E-2</v>
      </c>
      <c r="D300" s="13">
        <f t="shared" si="9"/>
        <v>7.1297213184325928E-2</v>
      </c>
    </row>
    <row r="301" spans="1:4" x14ac:dyDescent="0.35">
      <c r="A301" s="10">
        <v>42552</v>
      </c>
      <c r="B301" s="15">
        <f>VLOOKUP(A301,Database!A:Q,MATCH($A$1,Database!$A$1:$Q$1,),)</f>
        <v>7203</v>
      </c>
      <c r="C301" s="12">
        <f t="shared" si="8"/>
        <v>-4.8857784233460981E-2</v>
      </c>
      <c r="D301" s="13">
        <f t="shared" si="9"/>
        <v>1.1089275687815833E-2</v>
      </c>
    </row>
    <row r="302" spans="1:4" x14ac:dyDescent="0.35">
      <c r="A302" s="11">
        <v>42583</v>
      </c>
      <c r="B302" s="15">
        <f>VLOOKUP(A302,Database!A:Q,MATCH($A$1,Database!$A$1:$Q$1,),)</f>
        <v>7013</v>
      </c>
      <c r="C302" s="12">
        <f t="shared" si="8"/>
        <v>-2.6377898098014715E-2</v>
      </c>
      <c r="D302" s="13">
        <f t="shared" si="9"/>
        <v>-2.0257055043308186E-2</v>
      </c>
    </row>
    <row r="303" spans="1:4" x14ac:dyDescent="0.35">
      <c r="A303" s="10">
        <v>42614</v>
      </c>
      <c r="B303" s="15">
        <f>VLOOKUP(A303,Database!A:Q,MATCH($A$1,Database!$A$1:$Q$1,),)</f>
        <v>7045</v>
      </c>
      <c r="C303" s="12">
        <f t="shared" si="8"/>
        <v>4.5629545130471977E-3</v>
      </c>
      <c r="D303" s="13">
        <f t="shared" si="9"/>
        <v>-1.9894268224819142E-2</v>
      </c>
    </row>
    <row r="304" spans="1:4" x14ac:dyDescent="0.35">
      <c r="A304" s="11">
        <v>42644</v>
      </c>
      <c r="B304" s="15">
        <f>VLOOKUP(A304,Database!A:Q,MATCH($A$1,Database!$A$1:$Q$1,),)</f>
        <v>7094</v>
      </c>
      <c r="C304" s="12">
        <f t="shared" si="8"/>
        <v>6.9552874378992196E-3</v>
      </c>
      <c r="D304" s="13">
        <f t="shared" si="9"/>
        <v>1.6944365998305564E-3</v>
      </c>
    </row>
    <row r="305" spans="1:4" x14ac:dyDescent="0.35">
      <c r="A305" s="10">
        <v>42675</v>
      </c>
      <c r="B305" s="15">
        <f>VLOOKUP(A305,Database!A:Q,MATCH($A$1,Database!$A$1:$Q$1,),)</f>
        <v>6952</v>
      </c>
      <c r="C305" s="12">
        <f t="shared" si="8"/>
        <v>-2.0016915703411332E-2</v>
      </c>
      <c r="D305" s="13">
        <f t="shared" si="9"/>
        <v>-3.3773453787352331E-2</v>
      </c>
    </row>
    <row r="306" spans="1:4" x14ac:dyDescent="0.35">
      <c r="A306" s="11">
        <v>42705</v>
      </c>
      <c r="B306" s="15">
        <f>VLOOKUP(A306,Database!A:Q,MATCH($A$1,Database!$A$1:$Q$1,),)</f>
        <v>7069</v>
      </c>
      <c r="C306" s="12">
        <f t="shared" si="8"/>
        <v>1.6829689298043727E-2</v>
      </c>
      <c r="D306" s="13">
        <f t="shared" si="9"/>
        <v>-3.6395856052344605E-2</v>
      </c>
    </row>
    <row r="307" spans="1:4" x14ac:dyDescent="0.35">
      <c r="A307" s="10">
        <v>42736</v>
      </c>
      <c r="B307" s="15">
        <f>VLOOKUP(A307,Database!A:Q,MATCH($A$1,Database!$A$1:$Q$1,),)</f>
        <v>7223</v>
      </c>
      <c r="C307" s="12">
        <f t="shared" si="8"/>
        <v>2.1785259584099589E-2</v>
      </c>
      <c r="D307" s="13">
        <f t="shared" si="9"/>
        <v>-9.4624245748765774E-3</v>
      </c>
    </row>
    <row r="308" spans="1:4" x14ac:dyDescent="0.35">
      <c r="A308" s="11">
        <v>42767</v>
      </c>
      <c r="B308" s="15">
        <f>VLOOKUP(A308,Database!A:Q,MATCH($A$1,Database!$A$1:$Q$1,),)</f>
        <v>7058</v>
      </c>
      <c r="C308" s="12">
        <f t="shared" si="8"/>
        <v>-2.2843693756057042E-2</v>
      </c>
      <c r="D308" s="13">
        <f t="shared" si="9"/>
        <v>-2.9427942794279429E-2</v>
      </c>
    </row>
    <row r="309" spans="1:4" x14ac:dyDescent="0.35">
      <c r="A309" s="10">
        <v>42795</v>
      </c>
      <c r="B309" s="15">
        <f>VLOOKUP(A309,Database!A:Q,MATCH($A$1,Database!$A$1:$Q$1,),)</f>
        <v>6974</v>
      </c>
      <c r="C309" s="12">
        <f t="shared" si="8"/>
        <v>-1.1901388495324454E-2</v>
      </c>
      <c r="D309" s="13">
        <f t="shared" si="9"/>
        <v>-3.8996830646272566E-2</v>
      </c>
    </row>
    <row r="310" spans="1:4" x14ac:dyDescent="0.35">
      <c r="A310" s="11">
        <v>42826</v>
      </c>
      <c r="B310" s="15">
        <f>VLOOKUP(A310,Database!A:Q,MATCH($A$1,Database!$A$1:$Q$1,),)</f>
        <v>7046</v>
      </c>
      <c r="C310" s="12">
        <f t="shared" si="8"/>
        <v>1.0324060797246917E-2</v>
      </c>
      <c r="D310" s="13">
        <f t="shared" si="9"/>
        <v>-2.0027816411682893E-2</v>
      </c>
    </row>
    <row r="311" spans="1:4" x14ac:dyDescent="0.35">
      <c r="A311" s="10">
        <v>42856</v>
      </c>
      <c r="B311" s="15">
        <f>VLOOKUP(A311,Database!A:Q,MATCH($A$1,Database!$A$1:$Q$1,),)</f>
        <v>6951</v>
      </c>
      <c r="C311" s="12">
        <f t="shared" si="8"/>
        <v>-1.3482827135963667E-2</v>
      </c>
      <c r="D311" s="13">
        <f t="shared" si="9"/>
        <v>-4.0712117030085565E-2</v>
      </c>
    </row>
    <row r="312" spans="1:4" x14ac:dyDescent="0.35">
      <c r="A312" s="11">
        <v>42887</v>
      </c>
      <c r="B312" s="15">
        <f>VLOOKUP(A312,Database!A:Q,MATCH($A$1,Database!$A$1:$Q$1,),)</f>
        <v>6963</v>
      </c>
      <c r="C312" s="12">
        <f t="shared" si="8"/>
        <v>1.7263703064307294E-3</v>
      </c>
      <c r="D312" s="13">
        <f t="shared" si="9"/>
        <v>-8.05493199524627E-2</v>
      </c>
    </row>
    <row r="313" spans="1:4" x14ac:dyDescent="0.35">
      <c r="A313" s="10">
        <v>42917</v>
      </c>
      <c r="B313" s="15">
        <f>VLOOKUP(A313,Database!A:Q,MATCH($A$1,Database!$A$1:$Q$1,),)</f>
        <v>6854</v>
      </c>
      <c r="C313" s="12">
        <f t="shared" si="8"/>
        <v>-1.5654172052276316E-2</v>
      </c>
      <c r="D313" s="13">
        <f t="shared" si="9"/>
        <v>-4.8452033874774397E-2</v>
      </c>
    </row>
    <row r="314" spans="1:4" x14ac:dyDescent="0.35">
      <c r="A314" s="11">
        <v>42948</v>
      </c>
      <c r="B314" s="15">
        <f>VLOOKUP(A314,Database!A:Q,MATCH($A$1,Database!$A$1:$Q$1,),)</f>
        <v>6921</v>
      </c>
      <c r="C314" s="12">
        <f t="shared" si="8"/>
        <v>9.7753136854391593E-3</v>
      </c>
      <c r="D314" s="13">
        <f t="shared" si="9"/>
        <v>-1.3118494225010694E-2</v>
      </c>
    </row>
    <row r="315" spans="1:4" x14ac:dyDescent="0.35">
      <c r="A315" s="10">
        <v>42979</v>
      </c>
      <c r="B315" s="15">
        <f>VLOOKUP(A315,Database!A:Q,MATCH($A$1,Database!$A$1:$Q$1,),)</f>
        <v>6985</v>
      </c>
      <c r="C315" s="12">
        <f t="shared" si="8"/>
        <v>9.2472186100274519E-3</v>
      </c>
      <c r="D315" s="13">
        <f t="shared" si="9"/>
        <v>-8.516678495386799E-3</v>
      </c>
    </row>
    <row r="316" spans="1:4" x14ac:dyDescent="0.35">
      <c r="A316" s="11">
        <v>43009</v>
      </c>
      <c r="B316" s="15">
        <f>VLOOKUP(A316,Database!A:Q,MATCH($A$1,Database!$A$1:$Q$1,),)</f>
        <v>7013</v>
      </c>
      <c r="C316" s="12">
        <f t="shared" si="8"/>
        <v>4.0085898353614891E-3</v>
      </c>
      <c r="D316" s="13">
        <f t="shared" si="9"/>
        <v>-1.1418099802650126E-2</v>
      </c>
    </row>
    <row r="317" spans="1:4" x14ac:dyDescent="0.35">
      <c r="A317" s="10">
        <v>43040</v>
      </c>
      <c r="B317" s="15">
        <f>VLOOKUP(A317,Database!A:Q,MATCH($A$1,Database!$A$1:$Q$1,),)</f>
        <v>7124</v>
      </c>
      <c r="C317" s="12">
        <f t="shared" si="8"/>
        <v>1.5827748467132467E-2</v>
      </c>
      <c r="D317" s="13">
        <f t="shared" si="9"/>
        <v>2.4741081703107019E-2</v>
      </c>
    </row>
    <row r="318" spans="1:4" x14ac:dyDescent="0.35">
      <c r="A318" s="11">
        <v>43070</v>
      </c>
      <c r="B318" s="15">
        <f>VLOOKUP(A318,Database!A:Q,MATCH($A$1,Database!$A$1:$Q$1,),)</f>
        <v>7077</v>
      </c>
      <c r="C318" s="12">
        <f t="shared" si="8"/>
        <v>-6.5974171813587869E-3</v>
      </c>
      <c r="D318" s="13">
        <f t="shared" si="9"/>
        <v>1.1317017965766021E-3</v>
      </c>
    </row>
    <row r="319" spans="1:4" x14ac:dyDescent="0.35">
      <c r="A319" s="10">
        <v>43101</v>
      </c>
      <c r="B319" s="15">
        <f>VLOOKUP(A319,Database!A:Q,MATCH($A$1,Database!$A$1:$Q$1,),)</f>
        <v>6820</v>
      </c>
      <c r="C319" s="12">
        <f t="shared" si="8"/>
        <v>-3.6314822664971033E-2</v>
      </c>
      <c r="D319" s="13">
        <f t="shared" si="9"/>
        <v>-5.5793991416309016E-2</v>
      </c>
    </row>
    <row r="320" spans="1:4" x14ac:dyDescent="0.35">
      <c r="A320" s="11">
        <v>43132</v>
      </c>
      <c r="B320" s="15">
        <f>VLOOKUP(A320,Database!A:Q,MATCH($A$1,Database!$A$1:$Q$1,),)</f>
        <v>7092</v>
      </c>
      <c r="C320" s="12">
        <f t="shared" si="8"/>
        <v>3.988269794721408E-2</v>
      </c>
      <c r="D320" s="13">
        <f t="shared" si="9"/>
        <v>4.8172286766789462E-3</v>
      </c>
    </row>
    <row r="321" spans="1:4" x14ac:dyDescent="0.35">
      <c r="A321" s="10">
        <v>43160</v>
      </c>
      <c r="B321" s="15">
        <f>VLOOKUP(A321,Database!A:Q,MATCH($A$1,Database!$A$1:$Q$1,),)</f>
        <v>7153</v>
      </c>
      <c r="C321" s="12">
        <f t="shared" si="8"/>
        <v>8.601240834743373E-3</v>
      </c>
      <c r="D321" s="13">
        <f t="shared" si="9"/>
        <v>2.5666762259822198E-2</v>
      </c>
    </row>
    <row r="322" spans="1:4" x14ac:dyDescent="0.35">
      <c r="A322" s="11">
        <v>43191</v>
      </c>
      <c r="B322" s="15">
        <f>VLOOKUP(A322,Database!A:Q,MATCH($A$1,Database!$A$1:$Q$1,),)</f>
        <v>7051</v>
      </c>
      <c r="C322" s="12">
        <f t="shared" si="8"/>
        <v>-1.4259751153362225E-2</v>
      </c>
      <c r="D322" s="13">
        <f t="shared" si="9"/>
        <v>7.09622480840193E-4</v>
      </c>
    </row>
    <row r="323" spans="1:4" x14ac:dyDescent="0.35">
      <c r="A323" s="10">
        <v>43221</v>
      </c>
      <c r="B323" s="15">
        <f>VLOOKUP(A323,Database!A:Q,MATCH($A$1,Database!$A$1:$Q$1,),)</f>
        <v>7044</v>
      </c>
      <c r="C323" s="12">
        <f t="shared" si="8"/>
        <v>-9.9276698340660893E-4</v>
      </c>
      <c r="D323" s="13">
        <f t="shared" si="9"/>
        <v>1.3379369874838154E-2</v>
      </c>
    </row>
    <row r="324" spans="1:4" x14ac:dyDescent="0.35">
      <c r="A324" s="11">
        <v>43252</v>
      </c>
      <c r="B324" s="15">
        <f>VLOOKUP(A324,Database!A:Q,MATCH($A$1,Database!$A$1:$Q$1,),)</f>
        <v>6830</v>
      </c>
      <c r="C324" s="12">
        <f t="shared" si="8"/>
        <v>-3.0380465644520158E-2</v>
      </c>
      <c r="D324" s="13">
        <f t="shared" si="9"/>
        <v>-1.9100962228924313E-2</v>
      </c>
    </row>
    <row r="325" spans="1:4" x14ac:dyDescent="0.35">
      <c r="A325" s="10">
        <v>43282</v>
      </c>
      <c r="B325" s="15">
        <f>VLOOKUP(A325,Database!A:Q,MATCH($A$1,Database!$A$1:$Q$1,),)</f>
        <v>6574</v>
      </c>
      <c r="C325" s="12">
        <f t="shared" si="8"/>
        <v>-3.7481698389458272E-2</v>
      </c>
      <c r="D325" s="13">
        <f t="shared" si="9"/>
        <v>-4.085205719288007E-2</v>
      </c>
    </row>
    <row r="326" spans="1:4" x14ac:dyDescent="0.35">
      <c r="A326" s="11">
        <v>43313</v>
      </c>
      <c r="B326" s="15">
        <f>VLOOKUP(A326,Database!A:Q,MATCH($A$1,Database!$A$1:$Q$1,),)</f>
        <v>6515</v>
      </c>
      <c r="C326" s="12">
        <f t="shared" si="8"/>
        <v>-8.9747490112564651E-3</v>
      </c>
      <c r="D326" s="13">
        <f t="shared" si="9"/>
        <v>-5.8662043057361654E-2</v>
      </c>
    </row>
    <row r="327" spans="1:4" x14ac:dyDescent="0.35">
      <c r="A327" s="10">
        <v>43344</v>
      </c>
      <c r="B327" s="15">
        <f>VLOOKUP(A327,Database!A:Q,MATCH($A$1,Database!$A$1:$Q$1,),)</f>
        <v>6426</v>
      </c>
      <c r="C327" s="12">
        <f t="shared" si="8"/>
        <v>-1.3660782808902533E-2</v>
      </c>
      <c r="D327" s="13">
        <f t="shared" si="9"/>
        <v>-8.0028632784538298E-2</v>
      </c>
    </row>
    <row r="328" spans="1:4" x14ac:dyDescent="0.35">
      <c r="A328" s="11">
        <v>43374</v>
      </c>
      <c r="B328" s="15">
        <f>VLOOKUP(A328,Database!A:Q,MATCH($A$1,Database!$A$1:$Q$1,),)</f>
        <v>6426</v>
      </c>
      <c r="C328" s="12">
        <f t="shared" ref="C328:C391" si="10">(B328-B327)/B327</f>
        <v>0</v>
      </c>
      <c r="D328" s="13">
        <f t="shared" si="9"/>
        <v>-8.3701696848709539E-2</v>
      </c>
    </row>
    <row r="329" spans="1:4" x14ac:dyDescent="0.35">
      <c r="A329" s="10">
        <v>43405</v>
      </c>
      <c r="B329" s="15">
        <f>VLOOKUP(A329,Database!A:Q,MATCH($A$1,Database!$A$1:$Q$1,),)</f>
        <v>6473</v>
      </c>
      <c r="C329" s="12">
        <f t="shared" si="10"/>
        <v>7.3140367258014314E-3</v>
      </c>
      <c r="D329" s="13">
        <f t="shared" si="9"/>
        <v>-9.1381246490735549E-2</v>
      </c>
    </row>
    <row r="330" spans="1:4" x14ac:dyDescent="0.35">
      <c r="A330" s="11">
        <v>43435</v>
      </c>
      <c r="B330" s="15">
        <f>VLOOKUP(A330,Database!A:Q,MATCH($A$1,Database!$A$1:$Q$1,),)</f>
        <v>6366</v>
      </c>
      <c r="C330" s="12">
        <f t="shared" si="10"/>
        <v>-1.6530202379113238E-2</v>
      </c>
      <c r="D330" s="13">
        <f t="shared" si="9"/>
        <v>-0.10046629927935566</v>
      </c>
    </row>
    <row r="331" spans="1:4" x14ac:dyDescent="0.35">
      <c r="A331" s="10">
        <v>43466</v>
      </c>
      <c r="B331" s="15">
        <f>VLOOKUP(A331,Database!A:Q,MATCH($A$1,Database!$A$1:$Q$1,),)</f>
        <v>6477</v>
      </c>
      <c r="C331" s="12">
        <f t="shared" si="10"/>
        <v>1.7436380772855798E-2</v>
      </c>
      <c r="D331" s="13">
        <f t="shared" si="9"/>
        <v>-5.0293255131964809E-2</v>
      </c>
    </row>
    <row r="332" spans="1:4" x14ac:dyDescent="0.35">
      <c r="A332" s="11">
        <v>43497</v>
      </c>
      <c r="B332" s="15">
        <f>VLOOKUP(A332,Database!A:Q,MATCH($A$1,Database!$A$1:$Q$1,),)</f>
        <v>6536</v>
      </c>
      <c r="C332" s="12">
        <f t="shared" si="10"/>
        <v>9.1091554732129071E-3</v>
      </c>
      <c r="D332" s="13">
        <f t="shared" si="9"/>
        <v>-7.8398195149464181E-2</v>
      </c>
    </row>
    <row r="333" spans="1:4" x14ac:dyDescent="0.35">
      <c r="A333" s="10">
        <v>43525</v>
      </c>
      <c r="B333" s="15">
        <f>VLOOKUP(A333,Database!A:Q,MATCH($A$1,Database!$A$1:$Q$1,),)</f>
        <v>6558</v>
      </c>
      <c r="C333" s="12">
        <f t="shared" si="10"/>
        <v>3.3659730722154224E-3</v>
      </c>
      <c r="D333" s="13">
        <f t="shared" si="9"/>
        <v>-8.3181881727946314E-2</v>
      </c>
    </row>
    <row r="334" spans="1:4" x14ac:dyDescent="0.35">
      <c r="A334" s="11">
        <v>43556</v>
      </c>
      <c r="B334" s="15">
        <f>VLOOKUP(A334,Database!A:Q,MATCH($A$1,Database!$A$1:$Q$1,),)</f>
        <v>6683</v>
      </c>
      <c r="C334" s="12">
        <f t="shared" si="10"/>
        <v>1.9060689234522719E-2</v>
      </c>
      <c r="D334" s="13">
        <f t="shared" si="9"/>
        <v>-5.2191178556233161E-2</v>
      </c>
    </row>
    <row r="335" spans="1:4" x14ac:dyDescent="0.35">
      <c r="A335" s="10">
        <v>43586</v>
      </c>
      <c r="B335" s="15">
        <f>VLOOKUP(A335,Database!A:Q,MATCH($A$1,Database!$A$1:$Q$1,),)</f>
        <v>6717</v>
      </c>
      <c r="C335" s="12">
        <f t="shared" si="10"/>
        <v>5.0875355379320667E-3</v>
      </c>
      <c r="D335" s="13">
        <f t="shared" si="9"/>
        <v>-4.6422487223168656E-2</v>
      </c>
    </row>
    <row r="336" spans="1:4" x14ac:dyDescent="0.35">
      <c r="A336" s="10">
        <v>43617</v>
      </c>
      <c r="B336" s="15">
        <f>VLOOKUP(A336,Database!A:Q,MATCH($A$1,Database!$A$1:$Q$1,),)</f>
        <v>6799</v>
      </c>
      <c r="C336" s="12">
        <f t="shared" si="10"/>
        <v>1.220783087687956E-2</v>
      </c>
      <c r="D336" s="13">
        <f t="shared" si="9"/>
        <v>-4.5387994143484623E-3</v>
      </c>
    </row>
    <row r="337" spans="1:4" x14ac:dyDescent="0.35">
      <c r="A337" s="11">
        <v>43647</v>
      </c>
      <c r="B337" s="15">
        <f>VLOOKUP(A337,Database!A:Q,MATCH($A$1,Database!$A$1:$Q$1,),)</f>
        <v>6680</v>
      </c>
      <c r="C337" s="12">
        <f t="shared" si="10"/>
        <v>-1.7502573907927636E-2</v>
      </c>
      <c r="D337" s="13">
        <f t="shared" si="9"/>
        <v>1.6124125342257378E-2</v>
      </c>
    </row>
    <row r="338" spans="1:4" x14ac:dyDescent="0.35">
      <c r="A338" s="10">
        <v>43678</v>
      </c>
      <c r="B338" s="15">
        <f>VLOOKUP(A338,Database!A:Q,MATCH($A$1,Database!$A$1:$Q$1,),)</f>
        <v>6740</v>
      </c>
      <c r="C338" s="12">
        <f t="shared" si="10"/>
        <v>8.9820359281437123E-3</v>
      </c>
      <c r="D338" s="13">
        <f t="shared" si="9"/>
        <v>3.4535686876438987E-2</v>
      </c>
    </row>
    <row r="339" spans="1:4" x14ac:dyDescent="0.35">
      <c r="A339" s="10">
        <v>43709</v>
      </c>
      <c r="B339" s="15">
        <f>VLOOKUP(A339,Database!A:Q,MATCH($A$1,Database!$A$1:$Q$1,),)</f>
        <v>6698</v>
      </c>
      <c r="C339" s="12">
        <f t="shared" si="10"/>
        <v>-6.231454005934718E-3</v>
      </c>
      <c r="D339" s="13">
        <f t="shared" ref="D339:D402" si="11">(B339-B327)/B327</f>
        <v>4.2328042328042326E-2</v>
      </c>
    </row>
    <row r="340" spans="1:4" x14ac:dyDescent="0.35">
      <c r="A340" s="11">
        <v>43739</v>
      </c>
      <c r="B340" s="15">
        <f>VLOOKUP(A340,Database!A:Q,MATCH($A$1,Database!$A$1:$Q$1,),)</f>
        <v>6742</v>
      </c>
      <c r="C340" s="12">
        <f t="shared" si="10"/>
        <v>6.5691251119737231E-3</v>
      </c>
      <c r="D340" s="13">
        <f t="shared" si="11"/>
        <v>4.9175225645813885E-2</v>
      </c>
    </row>
    <row r="341" spans="1:4" x14ac:dyDescent="0.35">
      <c r="A341" s="10">
        <v>43770</v>
      </c>
      <c r="B341" s="15">
        <f>VLOOKUP(A341,Database!A:Q,MATCH($A$1,Database!$A$1:$Q$1,),)</f>
        <v>6532</v>
      </c>
      <c r="C341" s="12">
        <f t="shared" si="10"/>
        <v>-3.1148027291604864E-2</v>
      </c>
      <c r="D341" s="13">
        <f t="shared" si="11"/>
        <v>9.1147844894175802E-3</v>
      </c>
    </row>
    <row r="342" spans="1:4" x14ac:dyDescent="0.35">
      <c r="A342" s="11">
        <v>43800</v>
      </c>
      <c r="B342" s="15">
        <f>VLOOKUP(A342,Database!A:Q,MATCH($A$1,Database!$A$1:$Q$1,),)</f>
        <v>6720</v>
      </c>
      <c r="C342" s="12">
        <f t="shared" si="10"/>
        <v>2.878138395590937E-2</v>
      </c>
      <c r="D342" s="13">
        <f t="shared" si="11"/>
        <v>5.5607917059377947E-2</v>
      </c>
    </row>
    <row r="343" spans="1:4" x14ac:dyDescent="0.35">
      <c r="A343" s="10">
        <v>43831</v>
      </c>
      <c r="B343" s="15">
        <f>VLOOKUP(A343,Database!A:Q,MATCH($A$1,Database!$A$1:$Q$1,),)</f>
        <v>6702</v>
      </c>
      <c r="C343" s="12">
        <f t="shared" si="10"/>
        <v>-2.6785714285714286E-3</v>
      </c>
      <c r="D343" s="13">
        <f t="shared" si="11"/>
        <v>3.4738304770727188E-2</v>
      </c>
    </row>
    <row r="344" spans="1:4" x14ac:dyDescent="0.35">
      <c r="A344" s="11">
        <v>43862</v>
      </c>
      <c r="B344" s="15">
        <f>VLOOKUP(A344,Database!A:Q,MATCH($A$1,Database!$A$1:$Q$1,),)</f>
        <v>6635</v>
      </c>
      <c r="C344" s="12">
        <f t="shared" si="10"/>
        <v>-9.9970158161742772E-3</v>
      </c>
      <c r="D344" s="13">
        <f t="shared" si="11"/>
        <v>1.5146878824969401E-2</v>
      </c>
    </row>
    <row r="345" spans="1:4" x14ac:dyDescent="0.35">
      <c r="A345" s="10">
        <v>43891</v>
      </c>
      <c r="B345" s="15">
        <f>VLOOKUP(A345,Database!A:Q,MATCH($A$1,Database!$A$1:$Q$1,),)</f>
        <v>5482</v>
      </c>
      <c r="C345" s="12">
        <f t="shared" si="10"/>
        <v>-0.17377543330821402</v>
      </c>
      <c r="D345" s="13">
        <f t="shared" si="11"/>
        <v>-0.16407441293077157</v>
      </c>
    </row>
    <row r="346" spans="1:4" x14ac:dyDescent="0.35">
      <c r="A346" s="11">
        <v>43922</v>
      </c>
      <c r="B346" s="15">
        <f>VLOOKUP(A346,Database!A:Q,MATCH($A$1,Database!$A$1:$Q$1,),)</f>
        <v>3693</v>
      </c>
      <c r="C346" s="12">
        <f t="shared" si="10"/>
        <v>-0.326340751550529</v>
      </c>
      <c r="D346" s="13">
        <f t="shared" si="11"/>
        <v>-0.44740386054167292</v>
      </c>
    </row>
    <row r="347" spans="1:4" x14ac:dyDescent="0.35">
      <c r="A347" s="10">
        <v>43952</v>
      </c>
      <c r="B347" s="15">
        <f>VLOOKUP(A347,Database!A:Q,MATCH($A$1,Database!$A$1:$Q$1,),)</f>
        <v>6455</v>
      </c>
      <c r="C347" s="12">
        <f t="shared" si="10"/>
        <v>0.74790143514757645</v>
      </c>
      <c r="D347" s="13">
        <f t="shared" si="11"/>
        <v>-3.9005508411493223E-2</v>
      </c>
    </row>
    <row r="348" spans="1:4" x14ac:dyDescent="0.35">
      <c r="A348" s="11">
        <v>43983</v>
      </c>
      <c r="B348" s="15">
        <f>VLOOKUP(A348,Database!A:Q,MATCH($A$1,Database!$A$1:$Q$1,),)</f>
        <v>8244</v>
      </c>
      <c r="C348" s="12">
        <f t="shared" si="10"/>
        <v>0.27714949651432996</v>
      </c>
      <c r="D348" s="13">
        <f t="shared" si="11"/>
        <v>0.21253125459626415</v>
      </c>
    </row>
    <row r="349" spans="1:4" x14ac:dyDescent="0.35">
      <c r="A349" s="10">
        <v>44013</v>
      </c>
      <c r="B349" s="15">
        <f>VLOOKUP(A349,Database!A:Q,MATCH($A$1,Database!$A$1:$Q$1,),)</f>
        <v>7889</v>
      </c>
      <c r="C349" s="12">
        <f t="shared" si="10"/>
        <v>-4.3061620572537603E-2</v>
      </c>
      <c r="D349" s="13">
        <f t="shared" si="11"/>
        <v>0.18098802395209582</v>
      </c>
    </row>
    <row r="350" spans="1:4" x14ac:dyDescent="0.35">
      <c r="A350" s="11">
        <v>44044</v>
      </c>
      <c r="B350" s="15">
        <f>VLOOKUP(A350,Database!A:Q,MATCH($A$1,Database!$A$1:$Q$1,),)</f>
        <v>7467</v>
      </c>
      <c r="C350" s="12">
        <f t="shared" si="10"/>
        <v>-5.3492204335150208E-2</v>
      </c>
      <c r="D350" s="13">
        <f t="shared" si="11"/>
        <v>0.10786350148367953</v>
      </c>
    </row>
    <row r="351" spans="1:4" x14ac:dyDescent="0.35">
      <c r="A351" s="10">
        <v>44075</v>
      </c>
      <c r="B351" s="15">
        <f>VLOOKUP(A351,Database!A:Q,MATCH($A$1,Database!$A$1:$Q$1,),)</f>
        <v>7855</v>
      </c>
      <c r="C351" s="12">
        <f t="shared" si="10"/>
        <v>5.1961965983661443E-2</v>
      </c>
      <c r="D351" s="13">
        <f t="shared" si="11"/>
        <v>0.17273813078530906</v>
      </c>
    </row>
    <row r="352" spans="1:4" x14ac:dyDescent="0.35">
      <c r="A352" s="11">
        <v>44105</v>
      </c>
      <c r="B352" s="15">
        <f>VLOOKUP(A352,Database!A:Q,MATCH($A$1,Database!$A$1:$Q$1,),)</f>
        <v>7764</v>
      </c>
      <c r="C352" s="12">
        <f t="shared" si="10"/>
        <v>-1.1584977721196691E-2</v>
      </c>
      <c r="D352" s="13">
        <f t="shared" si="11"/>
        <v>0.15158706615247702</v>
      </c>
    </row>
    <row r="353" spans="1:4" x14ac:dyDescent="0.35">
      <c r="A353" s="10">
        <v>44136</v>
      </c>
      <c r="B353" s="15">
        <f>VLOOKUP(A353,Database!A:Q,MATCH($A$1,Database!$A$1:$Q$1,),)</f>
        <v>7664</v>
      </c>
      <c r="C353" s="12">
        <f t="shared" si="10"/>
        <v>-1.287995878413189E-2</v>
      </c>
      <c r="D353" s="13">
        <f t="shared" si="11"/>
        <v>0.17330067360685855</v>
      </c>
    </row>
    <row r="354" spans="1:4" x14ac:dyDescent="0.35">
      <c r="A354" s="11">
        <v>44166</v>
      </c>
      <c r="B354" s="15">
        <f>VLOOKUP(A354,Database!A:Q,MATCH($A$1,Database!$A$1:$Q$1,),)</f>
        <v>7711</v>
      </c>
      <c r="C354" s="12">
        <f t="shared" si="10"/>
        <v>6.132567849686848E-3</v>
      </c>
      <c r="D354" s="13">
        <f t="shared" si="11"/>
        <v>0.1474702380952381</v>
      </c>
    </row>
    <row r="355" spans="1:4" x14ac:dyDescent="0.35">
      <c r="A355" s="10">
        <v>44197</v>
      </c>
      <c r="B355" s="15">
        <f>VLOOKUP(A355,Database!A:Q,MATCH($A$1,Database!$A$1:$Q$1,),)</f>
        <v>8545</v>
      </c>
      <c r="C355" s="12">
        <f t="shared" si="10"/>
        <v>0.10815717805732071</v>
      </c>
      <c r="D355" s="13">
        <f t="shared" si="11"/>
        <v>0.27499253954043568</v>
      </c>
    </row>
    <row r="356" spans="1:4" x14ac:dyDescent="0.35">
      <c r="A356" s="11">
        <v>44228</v>
      </c>
      <c r="B356" s="15">
        <f>VLOOKUP(A356,Database!A:Q,MATCH($A$1,Database!$A$1:$Q$1,),)</f>
        <v>7830</v>
      </c>
      <c r="C356" s="12">
        <f t="shared" si="10"/>
        <v>-8.3674663545933295E-2</v>
      </c>
      <c r="D356" s="13">
        <f t="shared" si="11"/>
        <v>0.18010550113036924</v>
      </c>
    </row>
    <row r="357" spans="1:4" x14ac:dyDescent="0.35">
      <c r="A357" s="10">
        <v>44256</v>
      </c>
      <c r="B357" s="15">
        <f>VLOOKUP(A357,Database!A:Q,MATCH($A$1,Database!$A$1:$Q$1,),)</f>
        <v>9513</v>
      </c>
      <c r="C357" s="12">
        <f t="shared" si="10"/>
        <v>0.21494252873563219</v>
      </c>
      <c r="D357" s="13">
        <f t="shared" si="11"/>
        <v>0.73531557825611094</v>
      </c>
    </row>
    <row r="358" spans="1:4" x14ac:dyDescent="0.35">
      <c r="A358" s="11">
        <v>44287</v>
      </c>
      <c r="B358" s="15">
        <f>VLOOKUP(A358,Database!A:Q,MATCH($A$1,Database!$A$1:$Q$1,),)</f>
        <v>9367</v>
      </c>
      <c r="C358" s="12">
        <f t="shared" si="10"/>
        <v>-1.5347419320929255E-2</v>
      </c>
      <c r="D358" s="13">
        <f t="shared" si="11"/>
        <v>1.5364202545356078</v>
      </c>
    </row>
    <row r="359" spans="1:4" x14ac:dyDescent="0.35">
      <c r="A359" s="10">
        <v>44317</v>
      </c>
      <c r="B359" s="15">
        <f>VLOOKUP(A359,Database!A:Q,MATCH($A$1,Database!$A$1:$Q$1,),)</f>
        <v>9095</v>
      </c>
      <c r="C359" s="12">
        <f t="shared" si="10"/>
        <v>-2.9038112522686024E-2</v>
      </c>
      <c r="D359" s="13">
        <f t="shared" si="11"/>
        <v>0.40898528272656853</v>
      </c>
    </row>
    <row r="360" spans="1:4" x14ac:dyDescent="0.35">
      <c r="A360" s="11">
        <v>44348</v>
      </c>
      <c r="B360" s="15">
        <f>VLOOKUP(A360,Database!A:Q,MATCH($A$1,Database!$A$1:$Q$1,),)</f>
        <v>8957</v>
      </c>
      <c r="C360" s="12">
        <f t="shared" si="10"/>
        <v>-1.5173172072567345E-2</v>
      </c>
      <c r="D360" s="13">
        <f t="shared" si="11"/>
        <v>8.6487142163998054E-2</v>
      </c>
    </row>
    <row r="361" spans="1:4" x14ac:dyDescent="0.35">
      <c r="A361" s="10">
        <v>44378</v>
      </c>
      <c r="B361" s="15">
        <f>VLOOKUP(A361,Database!A:Q,MATCH($A$1,Database!$A$1:$Q$1,),)</f>
        <v>8912</v>
      </c>
      <c r="C361" s="12">
        <f t="shared" si="10"/>
        <v>-5.0240035726247627E-3</v>
      </c>
      <c r="D361" s="13">
        <f t="shared" si="11"/>
        <v>0.12967422994042338</v>
      </c>
    </row>
    <row r="362" spans="1:4" x14ac:dyDescent="0.35">
      <c r="A362" s="11">
        <v>44409</v>
      </c>
      <c r="B362" s="15">
        <f>VLOOKUP(A362,Database!A:Q,MATCH($A$1,Database!$A$1:$Q$1,),)</f>
        <v>8801</v>
      </c>
      <c r="C362" s="12">
        <f t="shared" si="10"/>
        <v>-1.2455116696588869E-2</v>
      </c>
      <c r="D362" s="13">
        <f t="shared" si="11"/>
        <v>0.17865273871702156</v>
      </c>
    </row>
    <row r="363" spans="1:4" x14ac:dyDescent="0.35">
      <c r="A363" s="11">
        <v>44440</v>
      </c>
      <c r="B363" s="15">
        <f>VLOOKUP(A363,Database!A:Q,MATCH($A$1,Database!$A$1:$Q$1,),)</f>
        <v>8904</v>
      </c>
      <c r="C363" s="12">
        <f t="shared" si="10"/>
        <v>1.1703215543688217E-2</v>
      </c>
      <c r="D363" s="13">
        <f t="shared" si="11"/>
        <v>0.13354551241247614</v>
      </c>
    </row>
    <row r="364" spans="1:4" x14ac:dyDescent="0.35">
      <c r="A364" s="10">
        <v>44470</v>
      </c>
      <c r="B364" s="15">
        <f>VLOOKUP(A364,Database!A:Q,MATCH($A$1,Database!$A$1:$Q$1,),)</f>
        <v>8954</v>
      </c>
      <c r="C364" s="12">
        <f t="shared" si="10"/>
        <v>5.6154537286612757E-3</v>
      </c>
      <c r="D364" s="13">
        <f t="shared" si="11"/>
        <v>0.1532715095311695</v>
      </c>
    </row>
    <row r="365" spans="1:4" x14ac:dyDescent="0.35">
      <c r="A365" s="11">
        <v>44501</v>
      </c>
      <c r="B365" s="15">
        <f>VLOOKUP(A365,Database!A:Q,MATCH($A$1,Database!$A$1:$Q$1,),)</f>
        <v>9136</v>
      </c>
      <c r="C365" s="12">
        <f t="shared" si="10"/>
        <v>2.0326111235202143E-2</v>
      </c>
      <c r="D365" s="13">
        <f t="shared" si="11"/>
        <v>0.19206680584551147</v>
      </c>
    </row>
    <row r="366" spans="1:4" x14ac:dyDescent="0.35">
      <c r="A366" s="10">
        <v>44531</v>
      </c>
      <c r="B366" s="15">
        <f>VLOOKUP(A366,Database!A:Q,MATCH($A$1,Database!$A$1:$Q$1,),)</f>
        <v>8968</v>
      </c>
      <c r="C366" s="12">
        <f t="shared" si="10"/>
        <v>-1.8388791593695272E-2</v>
      </c>
      <c r="D366" s="13">
        <f t="shared" si="11"/>
        <v>0.16301387628063804</v>
      </c>
    </row>
    <row r="367" spans="1:4" x14ac:dyDescent="0.35">
      <c r="A367" s="10">
        <v>44562</v>
      </c>
      <c r="B367" s="15">
        <f>VLOOKUP(A367,Database!A:Q,MATCH($A$1,Database!$A$1:$Q$1,),)</f>
        <v>8877</v>
      </c>
      <c r="C367" s="12">
        <f t="shared" si="10"/>
        <v>-1.0147190008920606E-2</v>
      </c>
      <c r="D367" s="13">
        <f t="shared" si="11"/>
        <v>3.8853130485664134E-2</v>
      </c>
    </row>
    <row r="368" spans="1:4" x14ac:dyDescent="0.35">
      <c r="A368" s="10">
        <v>44593</v>
      </c>
      <c r="B368" s="15">
        <f>VLOOKUP(A368,Database!A:Q,MATCH($A$1,Database!$A$1:$Q$1,),)</f>
        <v>8916</v>
      </c>
      <c r="C368" s="12">
        <f t="shared" si="10"/>
        <v>4.3933761405880369E-3</v>
      </c>
      <c r="D368" s="13">
        <f t="shared" si="11"/>
        <v>0.13869731800766283</v>
      </c>
    </row>
    <row r="369" spans="1:4" x14ac:dyDescent="0.35">
      <c r="A369" s="11">
        <v>44621</v>
      </c>
      <c r="B369" s="15">
        <f>VLOOKUP(A369,Database!A:Q,MATCH($A$1,Database!$A$1:$Q$1,),)</f>
        <v>9009</v>
      </c>
      <c r="C369" s="12">
        <f t="shared" si="10"/>
        <v>1.0430686406460296E-2</v>
      </c>
      <c r="D369" s="13">
        <f t="shared" si="11"/>
        <v>-5.2980132450331126E-2</v>
      </c>
    </row>
    <row r="370" spans="1:4" x14ac:dyDescent="0.35">
      <c r="A370" s="10">
        <v>44652</v>
      </c>
      <c r="B370" s="15">
        <f>VLOOKUP(A370,Database!A:Q,MATCH($A$1,Database!$A$1:$Q$1,),)</f>
        <v>9069</v>
      </c>
      <c r="C370" s="12">
        <f t="shared" si="10"/>
        <v>6.66000666000666E-3</v>
      </c>
      <c r="D370" s="13">
        <f t="shared" si="11"/>
        <v>-3.1813814455001602E-2</v>
      </c>
    </row>
    <row r="371" spans="1:4" x14ac:dyDescent="0.35">
      <c r="A371" s="11">
        <v>44682</v>
      </c>
      <c r="B371" s="15">
        <f>VLOOKUP(A371,Database!A:Q,MATCH($A$1,Database!$A$1:$Q$1,),)</f>
        <v>9153</v>
      </c>
      <c r="C371" s="12">
        <f t="shared" si="10"/>
        <v>9.2623221964935488E-3</v>
      </c>
      <c r="D371" s="13">
        <f t="shared" si="11"/>
        <v>6.3771302913688838E-3</v>
      </c>
    </row>
    <row r="372" spans="1:4" x14ac:dyDescent="0.35">
      <c r="A372" s="11">
        <v>44713</v>
      </c>
      <c r="B372" s="15">
        <f>VLOOKUP(A372,Database!A:Q,MATCH($A$1,Database!$A$1:$Q$1,),)</f>
        <v>9233</v>
      </c>
      <c r="C372" s="12">
        <f t="shared" si="10"/>
        <v>8.7403037255544633E-3</v>
      </c>
      <c r="D372" s="13">
        <f t="shared" si="11"/>
        <v>3.081388857876521E-2</v>
      </c>
    </row>
    <row r="373" spans="1:4" x14ac:dyDescent="0.35">
      <c r="A373" s="11">
        <v>44743</v>
      </c>
      <c r="B373" s="15">
        <f>VLOOKUP(A373,Database!A:Q,MATCH($A$1,Database!$A$1:$Q$1,),)</f>
        <v>9236</v>
      </c>
      <c r="C373" s="12">
        <f t="shared" si="10"/>
        <v>3.2492147730965018E-4</v>
      </c>
      <c r="D373" s="13">
        <f t="shared" si="11"/>
        <v>3.6355475763016155E-2</v>
      </c>
    </row>
    <row r="374" spans="1:4" x14ac:dyDescent="0.35">
      <c r="A374" s="11">
        <v>44774</v>
      </c>
      <c r="B374" s="15">
        <f>VLOOKUP(A374,Database!A:Q,MATCH($A$1,Database!$A$1:$Q$1,),)</f>
        <v>9335</v>
      </c>
      <c r="C374" s="12">
        <f t="shared" si="10"/>
        <v>1.0718925941966219E-2</v>
      </c>
      <c r="D374" s="13">
        <f t="shared" si="11"/>
        <v>6.067492330416998E-2</v>
      </c>
    </row>
    <row r="375" spans="1:4" x14ac:dyDescent="0.35">
      <c r="A375" s="11">
        <v>44805</v>
      </c>
      <c r="B375" s="15">
        <f>VLOOKUP(A375,Database!A:Q,MATCH($A$1,Database!$A$1:$Q$1,),)</f>
        <v>9295</v>
      </c>
      <c r="C375" s="12">
        <f t="shared" si="10"/>
        <v>-4.2849491162292447E-3</v>
      </c>
      <c r="D375" s="13">
        <f t="shared" si="11"/>
        <v>4.3912848158131179E-2</v>
      </c>
    </row>
    <row r="376" spans="1:4" x14ac:dyDescent="0.35">
      <c r="A376" s="11">
        <v>44835</v>
      </c>
      <c r="B376" s="15">
        <f>VLOOKUP(A376,Database!A:Q,MATCH($A$1,Database!$A$1:$Q$1,),)</f>
        <v>9357</v>
      </c>
      <c r="C376" s="12">
        <f t="shared" si="10"/>
        <v>6.6702528240989781E-3</v>
      </c>
      <c r="D376" s="13">
        <f t="shared" si="11"/>
        <v>4.5007817735090459E-2</v>
      </c>
    </row>
    <row r="377" spans="1:4" x14ac:dyDescent="0.35">
      <c r="A377" s="11">
        <v>44866</v>
      </c>
      <c r="B377" s="15">
        <f>VLOOKUP(A377,Database!A:Q,MATCH($A$1,Database!$A$1:$Q$1,),)</f>
        <v>9303</v>
      </c>
      <c r="C377" s="12">
        <f t="shared" si="10"/>
        <v>-5.7710804745110611E-3</v>
      </c>
      <c r="D377" s="13">
        <f t="shared" si="11"/>
        <v>1.8279334500875658E-2</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7"/>
  <sheetViews>
    <sheetView zoomScale="130" zoomScaleNormal="130" workbookViewId="0">
      <pane ySplit="6" topLeftCell="A354" activePane="bottomLeft" state="frozen"/>
      <selection pane="bottomLeft" activeCell="AE363" sqref="AE363"/>
    </sheetView>
  </sheetViews>
  <sheetFormatPr defaultColWidth="9.1796875" defaultRowHeight="14.5" x14ac:dyDescent="0.35"/>
  <cols>
    <col min="1" max="1" width="14" style="54" customWidth="1"/>
    <col min="2" max="2" width="20.6328125" style="54" customWidth="1"/>
    <col min="3" max="4" width="14.1796875" style="54" customWidth="1"/>
    <col min="5" max="22" width="9.1796875" style="109" customWidth="1"/>
    <col min="23" max="16384" width="9.1796875" style="109"/>
  </cols>
  <sheetData>
    <row r="1" spans="1:4" x14ac:dyDescent="0.35">
      <c r="A1" s="109" t="s">
        <v>60</v>
      </c>
      <c r="B1" s="29" t="s">
        <v>107</v>
      </c>
    </row>
    <row r="2" spans="1:4" x14ac:dyDescent="0.35">
      <c r="A2" s="110" t="s">
        <v>108</v>
      </c>
      <c r="B2" s="109"/>
    </row>
    <row r="3" spans="1:4" x14ac:dyDescent="0.35">
      <c r="A3" s="9"/>
    </row>
    <row r="4" spans="1:4" x14ac:dyDescent="0.35">
      <c r="A4" s="9"/>
    </row>
    <row r="5" spans="1:4" ht="16" customHeight="1" thickBot="1" x14ac:dyDescent="0.4"/>
    <row r="6" spans="1:4" ht="44.25" customHeight="1" x14ac:dyDescent="0.35">
      <c r="A6" s="86" t="s">
        <v>82</v>
      </c>
      <c r="B6" s="83" t="s">
        <v>109</v>
      </c>
      <c r="C6" s="84" t="s">
        <v>12</v>
      </c>
      <c r="D6" s="85" t="s">
        <v>13</v>
      </c>
    </row>
    <row r="7" spans="1:4" x14ac:dyDescent="0.35">
      <c r="A7" s="10">
        <v>33604</v>
      </c>
      <c r="B7" s="15">
        <f>VLOOKUP(A7,Database!A:Q,MATCH($A$1,Database!$A$1:$Q$1,),)</f>
        <v>19879</v>
      </c>
      <c r="C7" s="1"/>
      <c r="D7" s="1"/>
    </row>
    <row r="8" spans="1:4" x14ac:dyDescent="0.35">
      <c r="A8" s="11">
        <v>33635</v>
      </c>
      <c r="B8" s="15">
        <f>VLOOKUP(A8,Database!A:Q,MATCH($A$1,Database!$A$1:$Q$1,),)</f>
        <v>20202</v>
      </c>
      <c r="C8" s="12">
        <f t="shared" ref="C8:C71" si="0">(B8-B7)/B7</f>
        <v>1.6248302228482319E-2</v>
      </c>
      <c r="D8" s="1"/>
    </row>
    <row r="9" spans="1:4" x14ac:dyDescent="0.35">
      <c r="A9" s="10">
        <v>33664</v>
      </c>
      <c r="B9" s="15">
        <f>VLOOKUP(A9,Database!A:Q,MATCH($A$1,Database!$A$1:$Q$1,),)</f>
        <v>20168</v>
      </c>
      <c r="C9" s="12">
        <f t="shared" si="0"/>
        <v>-1.6830016830016829E-3</v>
      </c>
      <c r="D9" s="1"/>
    </row>
    <row r="10" spans="1:4" x14ac:dyDescent="0.35">
      <c r="A10" s="11">
        <v>33695</v>
      </c>
      <c r="B10" s="15">
        <f>VLOOKUP(A10,Database!A:Q,MATCH($A$1,Database!$A$1:$Q$1,),)</f>
        <v>20258</v>
      </c>
      <c r="C10" s="12">
        <f t="shared" si="0"/>
        <v>4.4625148750495839E-3</v>
      </c>
      <c r="D10" s="1"/>
    </row>
    <row r="11" spans="1:4" x14ac:dyDescent="0.35">
      <c r="A11" s="10">
        <v>33725</v>
      </c>
      <c r="B11" s="15">
        <f>VLOOKUP(A11,Database!A:Q,MATCH($A$1,Database!$A$1:$Q$1,),)</f>
        <v>20345</v>
      </c>
      <c r="C11" s="12">
        <f t="shared" si="0"/>
        <v>4.2945996643301409E-3</v>
      </c>
      <c r="D11" s="1"/>
    </row>
    <row r="12" spans="1:4" x14ac:dyDescent="0.35">
      <c r="A12" s="11">
        <v>33756</v>
      </c>
      <c r="B12" s="15">
        <f>VLOOKUP(A12,Database!A:Q,MATCH($A$1,Database!$A$1:$Q$1,),)</f>
        <v>20298</v>
      </c>
      <c r="C12" s="12">
        <f t="shared" si="0"/>
        <v>-2.3101499139837798E-3</v>
      </c>
      <c r="D12" s="1"/>
    </row>
    <row r="13" spans="1:4" x14ac:dyDescent="0.35">
      <c r="A13" s="10">
        <v>33786</v>
      </c>
      <c r="B13" s="15">
        <f>VLOOKUP(A13,Database!A:Q,MATCH($A$1,Database!$A$1:$Q$1,),)</f>
        <v>20205</v>
      </c>
      <c r="C13" s="12">
        <f t="shared" si="0"/>
        <v>-4.5817321903635824E-3</v>
      </c>
      <c r="D13" s="1"/>
    </row>
    <row r="14" spans="1:4" x14ac:dyDescent="0.35">
      <c r="A14" s="11">
        <v>33817</v>
      </c>
      <c r="B14" s="15">
        <f>VLOOKUP(A14,Database!A:Q,MATCH($A$1,Database!$A$1:$Q$1,),)</f>
        <v>20593</v>
      </c>
      <c r="C14" s="12">
        <f t="shared" si="0"/>
        <v>1.9203167532788914E-2</v>
      </c>
      <c r="D14" s="1"/>
    </row>
    <row r="15" spans="1:4" x14ac:dyDescent="0.35">
      <c r="A15" s="10">
        <v>33848</v>
      </c>
      <c r="B15" s="15">
        <f>VLOOKUP(A15,Database!A:Q,MATCH($A$1,Database!$A$1:$Q$1,),)</f>
        <v>20684</v>
      </c>
      <c r="C15" s="12">
        <f t="shared" si="0"/>
        <v>4.4189773223911035E-3</v>
      </c>
      <c r="D15" s="1"/>
    </row>
    <row r="16" spans="1:4" x14ac:dyDescent="0.35">
      <c r="A16" s="11">
        <v>33878</v>
      </c>
      <c r="B16" s="15">
        <f>VLOOKUP(A16,Database!A:Q,MATCH($A$1,Database!$A$1:$Q$1,),)</f>
        <v>20851</v>
      </c>
      <c r="C16" s="12">
        <f t="shared" si="0"/>
        <v>8.0738735254302849E-3</v>
      </c>
      <c r="D16" s="1"/>
    </row>
    <row r="17" spans="1:4" x14ac:dyDescent="0.35">
      <c r="A17" s="10">
        <v>33909</v>
      </c>
      <c r="B17" s="15">
        <f>VLOOKUP(A17,Database!A:Q,MATCH($A$1,Database!$A$1:$Q$1,),)</f>
        <v>21078</v>
      </c>
      <c r="C17" s="12">
        <f t="shared" si="0"/>
        <v>1.088676802071843E-2</v>
      </c>
      <c r="D17" s="1"/>
    </row>
    <row r="18" spans="1:4" x14ac:dyDescent="0.35">
      <c r="A18" s="11">
        <v>33939</v>
      </c>
      <c r="B18" s="15">
        <f>VLOOKUP(A18,Database!A:Q,MATCH($A$1,Database!$A$1:$Q$1,),)</f>
        <v>21752</v>
      </c>
      <c r="C18" s="12">
        <f t="shared" si="0"/>
        <v>3.1976468355631463E-2</v>
      </c>
      <c r="D18" s="1"/>
    </row>
    <row r="19" spans="1:4" x14ac:dyDescent="0.35">
      <c r="A19" s="10">
        <v>33970</v>
      </c>
      <c r="B19" s="15">
        <f>VLOOKUP(A19,Database!A:Q,MATCH($A$1,Database!$A$1:$Q$1,),)</f>
        <v>21383</v>
      </c>
      <c r="C19" s="12">
        <f t="shared" si="0"/>
        <v>-1.6963957337256343E-2</v>
      </c>
      <c r="D19" s="13">
        <f t="shared" ref="D19:D82" si="1">(B19-B7)/B7</f>
        <v>7.5657729262035317E-2</v>
      </c>
    </row>
    <row r="20" spans="1:4" x14ac:dyDescent="0.35">
      <c r="A20" s="11">
        <v>34001</v>
      </c>
      <c r="B20" s="15">
        <f>VLOOKUP(A20,Database!A:Q,MATCH($A$1,Database!$A$1:$Q$1,),)</f>
        <v>21392</v>
      </c>
      <c r="C20" s="12">
        <f t="shared" si="0"/>
        <v>4.2089510358696161E-4</v>
      </c>
      <c r="D20" s="13">
        <f t="shared" si="1"/>
        <v>5.8905058905058906E-2</v>
      </c>
    </row>
    <row r="21" spans="1:4" x14ac:dyDescent="0.35">
      <c r="A21" s="10">
        <v>34029</v>
      </c>
      <c r="B21" s="15">
        <f>VLOOKUP(A21,Database!A:Q,MATCH($A$1,Database!$A$1:$Q$1,),)</f>
        <v>21273</v>
      </c>
      <c r="C21" s="12">
        <f t="shared" si="0"/>
        <v>-5.5628272251308898E-3</v>
      </c>
      <c r="D21" s="13">
        <f t="shared" si="1"/>
        <v>5.4789765965886555E-2</v>
      </c>
    </row>
    <row r="22" spans="1:4" x14ac:dyDescent="0.35">
      <c r="A22" s="11">
        <v>34060</v>
      </c>
      <c r="B22" s="15">
        <f>VLOOKUP(A22,Database!A:Q,MATCH($A$1,Database!$A$1:$Q$1,),)</f>
        <v>21759</v>
      </c>
      <c r="C22" s="12">
        <f t="shared" si="0"/>
        <v>2.2845860950500636E-2</v>
      </c>
      <c r="D22" s="13">
        <f t="shared" si="1"/>
        <v>7.4094185013328068E-2</v>
      </c>
    </row>
    <row r="23" spans="1:4" x14ac:dyDescent="0.35">
      <c r="A23" s="10">
        <v>34090</v>
      </c>
      <c r="B23" s="15">
        <f>VLOOKUP(A23,Database!A:Q,MATCH($A$1,Database!$A$1:$Q$1,),)</f>
        <v>21993</v>
      </c>
      <c r="C23" s="12">
        <f t="shared" si="0"/>
        <v>1.0754170687991177E-2</v>
      </c>
      <c r="D23" s="13">
        <f t="shared" si="1"/>
        <v>8.1002703366920614E-2</v>
      </c>
    </row>
    <row r="24" spans="1:4" x14ac:dyDescent="0.35">
      <c r="A24" s="11">
        <v>34121</v>
      </c>
      <c r="B24" s="15">
        <f>VLOOKUP(A24,Database!A:Q,MATCH($A$1,Database!$A$1:$Q$1,),)</f>
        <v>21957</v>
      </c>
      <c r="C24" s="12">
        <f t="shared" si="0"/>
        <v>-1.6368844632383031E-3</v>
      </c>
      <c r="D24" s="13">
        <f t="shared" si="1"/>
        <v>8.1732190363582619E-2</v>
      </c>
    </row>
    <row r="25" spans="1:4" x14ac:dyDescent="0.35">
      <c r="A25" s="10">
        <v>34151</v>
      </c>
      <c r="B25" s="15">
        <f>VLOOKUP(A25,Database!A:Q,MATCH($A$1,Database!$A$1:$Q$1,),)</f>
        <v>22343</v>
      </c>
      <c r="C25" s="12">
        <f t="shared" si="0"/>
        <v>1.7579815093136584E-2</v>
      </c>
      <c r="D25" s="13">
        <f t="shared" si="1"/>
        <v>0.10581539222964613</v>
      </c>
    </row>
    <row r="26" spans="1:4" x14ac:dyDescent="0.35">
      <c r="A26" s="11">
        <v>34182</v>
      </c>
      <c r="B26" s="15">
        <f>VLOOKUP(A26,Database!A:Q,MATCH($A$1,Database!$A$1:$Q$1,),)</f>
        <v>22315</v>
      </c>
      <c r="C26" s="12">
        <f t="shared" si="0"/>
        <v>-1.2531889182294232E-3</v>
      </c>
      <c r="D26" s="13">
        <f t="shared" si="1"/>
        <v>8.3620647792939345E-2</v>
      </c>
    </row>
    <row r="27" spans="1:4" x14ac:dyDescent="0.35">
      <c r="A27" s="10">
        <v>34213</v>
      </c>
      <c r="B27" s="15">
        <f>VLOOKUP(A27,Database!A:Q,MATCH($A$1,Database!$A$1:$Q$1,),)</f>
        <v>22429</v>
      </c>
      <c r="C27" s="12">
        <f t="shared" si="0"/>
        <v>5.1086712973336321E-3</v>
      </c>
      <c r="D27" s="13">
        <f t="shared" si="1"/>
        <v>8.4364726358538006E-2</v>
      </c>
    </row>
    <row r="28" spans="1:4" x14ac:dyDescent="0.35">
      <c r="A28" s="11">
        <v>34243</v>
      </c>
      <c r="B28" s="15">
        <f>VLOOKUP(A28,Database!A:Q,MATCH($A$1,Database!$A$1:$Q$1,),)</f>
        <v>22647</v>
      </c>
      <c r="C28" s="12">
        <f t="shared" si="0"/>
        <v>9.7195594988630785E-3</v>
      </c>
      <c r="D28" s="13">
        <f t="shared" si="1"/>
        <v>8.6134957555992514E-2</v>
      </c>
    </row>
    <row r="29" spans="1:4" x14ac:dyDescent="0.35">
      <c r="A29" s="10">
        <v>34274</v>
      </c>
      <c r="B29" s="15">
        <f>VLOOKUP(A29,Database!A:Q,MATCH($A$1,Database!$A$1:$Q$1,),)</f>
        <v>22760</v>
      </c>
      <c r="C29" s="12">
        <f t="shared" si="0"/>
        <v>4.9896233496710381E-3</v>
      </c>
      <c r="D29" s="13">
        <f t="shared" si="1"/>
        <v>7.9798842394914124E-2</v>
      </c>
    </row>
    <row r="30" spans="1:4" x14ac:dyDescent="0.35">
      <c r="A30" s="11">
        <v>34304</v>
      </c>
      <c r="B30" s="15">
        <f>VLOOKUP(A30,Database!A:Q,MATCH($A$1,Database!$A$1:$Q$1,),)</f>
        <v>22905</v>
      </c>
      <c r="C30" s="12">
        <f t="shared" si="0"/>
        <v>6.3708260105448155E-3</v>
      </c>
      <c r="D30" s="13">
        <f t="shared" si="1"/>
        <v>5.3006620080912101E-2</v>
      </c>
    </row>
    <row r="31" spans="1:4" x14ac:dyDescent="0.35">
      <c r="A31" s="10">
        <v>34335</v>
      </c>
      <c r="B31" s="15">
        <f>VLOOKUP(A31,Database!A:Q,MATCH($A$1,Database!$A$1:$Q$1,),)</f>
        <v>22706</v>
      </c>
      <c r="C31" s="12">
        <f t="shared" si="0"/>
        <v>-8.6880593756821656E-3</v>
      </c>
      <c r="D31" s="13">
        <f t="shared" si="1"/>
        <v>6.1871580227283354E-2</v>
      </c>
    </row>
    <row r="32" spans="1:4" x14ac:dyDescent="0.35">
      <c r="A32" s="11">
        <v>34366</v>
      </c>
      <c r="B32" s="15">
        <f>VLOOKUP(A32,Database!A:Q,MATCH($A$1,Database!$A$1:$Q$1,),)</f>
        <v>23070</v>
      </c>
      <c r="C32" s="12">
        <f t="shared" si="0"/>
        <v>1.6031005020699374E-2</v>
      </c>
      <c r="D32" s="13">
        <f t="shared" si="1"/>
        <v>7.8440538519072553E-2</v>
      </c>
    </row>
    <row r="33" spans="1:4" x14ac:dyDescent="0.35">
      <c r="A33" s="10">
        <v>34394</v>
      </c>
      <c r="B33" s="15">
        <f>VLOOKUP(A33,Database!A:Q,MATCH($A$1,Database!$A$1:$Q$1,),)</f>
        <v>23657</v>
      </c>
      <c r="C33" s="12">
        <f t="shared" si="0"/>
        <v>2.5444299956653663E-2</v>
      </c>
      <c r="D33" s="13">
        <f t="shared" si="1"/>
        <v>0.11206693931274385</v>
      </c>
    </row>
    <row r="34" spans="1:4" x14ac:dyDescent="0.35">
      <c r="A34" s="11">
        <v>34425</v>
      </c>
      <c r="B34" s="15">
        <f>VLOOKUP(A34,Database!A:Q,MATCH($A$1,Database!$A$1:$Q$1,),)</f>
        <v>23354</v>
      </c>
      <c r="C34" s="12">
        <f t="shared" si="0"/>
        <v>-1.2808048357779938E-2</v>
      </c>
      <c r="D34" s="13">
        <f t="shared" si="1"/>
        <v>7.330300105703387E-2</v>
      </c>
    </row>
    <row r="35" spans="1:4" x14ac:dyDescent="0.35">
      <c r="A35" s="10">
        <v>34455</v>
      </c>
      <c r="B35" s="15">
        <f>VLOOKUP(A35,Database!A:Q,MATCH($A$1,Database!$A$1:$Q$1,),)</f>
        <v>23271</v>
      </c>
      <c r="C35" s="12">
        <f t="shared" si="0"/>
        <v>-3.5539950329707974E-3</v>
      </c>
      <c r="D35" s="13">
        <f t="shared" si="1"/>
        <v>5.8109398444959763E-2</v>
      </c>
    </row>
    <row r="36" spans="1:4" x14ac:dyDescent="0.35">
      <c r="A36" s="11">
        <v>34486</v>
      </c>
      <c r="B36" s="15">
        <f>VLOOKUP(A36,Database!A:Q,MATCH($A$1,Database!$A$1:$Q$1,),)</f>
        <v>23626</v>
      </c>
      <c r="C36" s="12">
        <f t="shared" si="0"/>
        <v>1.5255038459885694E-2</v>
      </c>
      <c r="D36" s="13">
        <f t="shared" si="1"/>
        <v>7.6012205674727884E-2</v>
      </c>
    </row>
    <row r="37" spans="1:4" x14ac:dyDescent="0.35">
      <c r="A37" s="10">
        <v>34516</v>
      </c>
      <c r="B37" s="15">
        <f>VLOOKUP(A37,Database!A:Q,MATCH($A$1,Database!$A$1:$Q$1,),)</f>
        <v>23635</v>
      </c>
      <c r="C37" s="12">
        <f t="shared" si="0"/>
        <v>3.809362566663845E-4</v>
      </c>
      <c r="D37" s="13">
        <f t="shared" si="1"/>
        <v>5.782571722687195E-2</v>
      </c>
    </row>
    <row r="38" spans="1:4" x14ac:dyDescent="0.35">
      <c r="A38" s="11">
        <v>34547</v>
      </c>
      <c r="B38" s="15">
        <f>VLOOKUP(A38,Database!A:Q,MATCH($A$1,Database!$A$1:$Q$1,),)</f>
        <v>23889</v>
      </c>
      <c r="C38" s="12">
        <f t="shared" si="0"/>
        <v>1.0746773852337636E-2</v>
      </c>
      <c r="D38" s="13">
        <f t="shared" si="1"/>
        <v>7.0535514228097687E-2</v>
      </c>
    </row>
    <row r="39" spans="1:4" x14ac:dyDescent="0.35">
      <c r="A39" s="10">
        <v>34578</v>
      </c>
      <c r="B39" s="15">
        <f>VLOOKUP(A39,Database!A:Q,MATCH($A$1,Database!$A$1:$Q$1,),)</f>
        <v>23995</v>
      </c>
      <c r="C39" s="12">
        <f t="shared" si="0"/>
        <v>4.4371886642387707E-3</v>
      </c>
      <c r="D39" s="13">
        <f t="shared" si="1"/>
        <v>6.9820321904676977E-2</v>
      </c>
    </row>
    <row r="40" spans="1:4" x14ac:dyDescent="0.35">
      <c r="A40" s="11">
        <v>34608</v>
      </c>
      <c r="B40" s="15">
        <f>VLOOKUP(A40,Database!A:Q,MATCH($A$1,Database!$A$1:$Q$1,),)</f>
        <v>24255</v>
      </c>
      <c r="C40" s="12">
        <f t="shared" si="0"/>
        <v>1.0835590748072515E-2</v>
      </c>
      <c r="D40" s="13">
        <f t="shared" si="1"/>
        <v>7.1002781825407341E-2</v>
      </c>
    </row>
    <row r="41" spans="1:4" x14ac:dyDescent="0.35">
      <c r="A41" s="10">
        <v>34639</v>
      </c>
      <c r="B41" s="15">
        <f>VLOOKUP(A41,Database!A:Q,MATCH($A$1,Database!$A$1:$Q$1,),)</f>
        <v>24356</v>
      </c>
      <c r="C41" s="12">
        <f t="shared" si="0"/>
        <v>4.1640898783755929E-3</v>
      </c>
      <c r="D41" s="13">
        <f t="shared" si="1"/>
        <v>7.0123022847100175E-2</v>
      </c>
    </row>
    <row r="42" spans="1:4" x14ac:dyDescent="0.35">
      <c r="A42" s="11">
        <v>34669</v>
      </c>
      <c r="B42" s="15">
        <f>VLOOKUP(A42,Database!A:Q,MATCH($A$1,Database!$A$1:$Q$1,),)</f>
        <v>24583</v>
      </c>
      <c r="C42" s="12">
        <f t="shared" si="0"/>
        <v>9.3200853999014614E-3</v>
      </c>
      <c r="D42" s="13">
        <f t="shared" si="1"/>
        <v>7.3259113730626504E-2</v>
      </c>
    </row>
    <row r="43" spans="1:4" x14ac:dyDescent="0.35">
      <c r="A43" s="10">
        <v>34700</v>
      </c>
      <c r="B43" s="15">
        <f>VLOOKUP(A43,Database!A:Q,MATCH($A$1,Database!$A$1:$Q$1,),)</f>
        <v>24936</v>
      </c>
      <c r="C43" s="12">
        <f t="shared" si="0"/>
        <v>1.4359516739210024E-2</v>
      </c>
      <c r="D43" s="13">
        <f t="shared" si="1"/>
        <v>9.8211926363075838E-2</v>
      </c>
    </row>
    <row r="44" spans="1:4" x14ac:dyDescent="0.35">
      <c r="A44" s="11">
        <v>34731</v>
      </c>
      <c r="B44" s="15">
        <f>VLOOKUP(A44,Database!A:Q,MATCH($A$1,Database!$A$1:$Q$1,),)</f>
        <v>24115</v>
      </c>
      <c r="C44" s="12">
        <f t="shared" si="0"/>
        <v>-3.292428617260186E-2</v>
      </c>
      <c r="D44" s="13">
        <f t="shared" si="1"/>
        <v>4.5296922410056353E-2</v>
      </c>
    </row>
    <row r="45" spans="1:4" x14ac:dyDescent="0.35">
      <c r="A45" s="10">
        <v>34759</v>
      </c>
      <c r="B45" s="15">
        <f>VLOOKUP(A45,Database!A:Q,MATCH($A$1,Database!$A$1:$Q$1,),)</f>
        <v>24579</v>
      </c>
      <c r="C45" s="12">
        <f t="shared" si="0"/>
        <v>1.9241136222268296E-2</v>
      </c>
      <c r="D45" s="13">
        <f t="shared" si="1"/>
        <v>3.8973665299911232E-2</v>
      </c>
    </row>
    <row r="46" spans="1:4" x14ac:dyDescent="0.35">
      <c r="A46" s="11">
        <v>34790</v>
      </c>
      <c r="B46" s="15">
        <f>VLOOKUP(A46,Database!A:Q,MATCH($A$1,Database!$A$1:$Q$1,),)</f>
        <v>24747</v>
      </c>
      <c r="C46" s="12">
        <f t="shared" si="0"/>
        <v>6.8351031368241184E-3</v>
      </c>
      <c r="D46" s="13">
        <f t="shared" si="1"/>
        <v>5.9647169649738804E-2</v>
      </c>
    </row>
    <row r="47" spans="1:4" x14ac:dyDescent="0.35">
      <c r="A47" s="10">
        <v>34820</v>
      </c>
      <c r="B47" s="15">
        <f>VLOOKUP(A47,Database!A:Q,MATCH($A$1,Database!$A$1:$Q$1,),)</f>
        <v>24851</v>
      </c>
      <c r="C47" s="12">
        <f t="shared" si="0"/>
        <v>4.2025295995474195E-3</v>
      </c>
      <c r="D47" s="13">
        <f t="shared" si="1"/>
        <v>6.7895664131322253E-2</v>
      </c>
    </row>
    <row r="48" spans="1:4" x14ac:dyDescent="0.35">
      <c r="A48" s="11">
        <v>34851</v>
      </c>
      <c r="B48" s="15">
        <f>VLOOKUP(A48,Database!A:Q,MATCH($A$1,Database!$A$1:$Q$1,),)</f>
        <v>25166</v>
      </c>
      <c r="C48" s="12">
        <f t="shared" si="0"/>
        <v>1.2675546255683876E-2</v>
      </c>
      <c r="D48" s="13">
        <f t="shared" si="1"/>
        <v>6.5182426140692459E-2</v>
      </c>
    </row>
    <row r="49" spans="1:4" x14ac:dyDescent="0.35">
      <c r="A49" s="10">
        <v>34881</v>
      </c>
      <c r="B49" s="15">
        <f>VLOOKUP(A49,Database!A:Q,MATCH($A$1,Database!$A$1:$Q$1,),)</f>
        <v>25375</v>
      </c>
      <c r="C49" s="12">
        <f t="shared" si="0"/>
        <v>8.3048557577684173E-3</v>
      </c>
      <c r="D49" s="13">
        <f t="shared" si="1"/>
        <v>7.3619631901840496E-2</v>
      </c>
    </row>
    <row r="50" spans="1:4" x14ac:dyDescent="0.35">
      <c r="A50" s="11">
        <v>34912</v>
      </c>
      <c r="B50" s="15">
        <f>VLOOKUP(A50,Database!A:Q,MATCH($A$1,Database!$A$1:$Q$1,),)</f>
        <v>25174</v>
      </c>
      <c r="C50" s="12">
        <f t="shared" si="0"/>
        <v>-7.9211822660098519E-3</v>
      </c>
      <c r="D50" s="13">
        <f t="shared" si="1"/>
        <v>5.3790447486290763E-2</v>
      </c>
    </row>
    <row r="51" spans="1:4" x14ac:dyDescent="0.35">
      <c r="A51" s="10">
        <v>34943</v>
      </c>
      <c r="B51" s="15">
        <f>VLOOKUP(A51,Database!A:Q,MATCH($A$1,Database!$A$1:$Q$1,),)</f>
        <v>25469</v>
      </c>
      <c r="C51" s="12">
        <f t="shared" si="0"/>
        <v>1.1718439659966632E-2</v>
      </c>
      <c r="D51" s="13">
        <f t="shared" si="1"/>
        <v>6.142946447176495E-2</v>
      </c>
    </row>
    <row r="52" spans="1:4" x14ac:dyDescent="0.35">
      <c r="A52" s="11">
        <v>34973</v>
      </c>
      <c r="B52" s="15">
        <f>VLOOKUP(A52,Database!A:Q,MATCH($A$1,Database!$A$1:$Q$1,),)</f>
        <v>25135</v>
      </c>
      <c r="C52" s="12">
        <f t="shared" si="0"/>
        <v>-1.3113981703247084E-2</v>
      </c>
      <c r="D52" s="13">
        <f t="shared" si="1"/>
        <v>3.6281179138321996E-2</v>
      </c>
    </row>
    <row r="53" spans="1:4" x14ac:dyDescent="0.35">
      <c r="A53" s="10">
        <v>35004</v>
      </c>
      <c r="B53" s="15">
        <f>VLOOKUP(A53,Database!A:Q,MATCH($A$1,Database!$A$1:$Q$1,),)</f>
        <v>25414</v>
      </c>
      <c r="C53" s="12">
        <f t="shared" si="0"/>
        <v>1.1100059677740203E-2</v>
      </c>
      <c r="D53" s="13">
        <f t="shared" si="1"/>
        <v>4.3438988339628837E-2</v>
      </c>
    </row>
    <row r="54" spans="1:4" x14ac:dyDescent="0.35">
      <c r="A54" s="11">
        <v>35034</v>
      </c>
      <c r="B54" s="15">
        <f>VLOOKUP(A54,Database!A:Q,MATCH($A$1,Database!$A$1:$Q$1,),)</f>
        <v>25554</v>
      </c>
      <c r="C54" s="12">
        <f t="shared" si="0"/>
        <v>5.5087746911151331E-3</v>
      </c>
      <c r="D54" s="13">
        <f t="shared" si="1"/>
        <v>3.9498840662246265E-2</v>
      </c>
    </row>
    <row r="55" spans="1:4" x14ac:dyDescent="0.35">
      <c r="A55" s="10">
        <v>35065</v>
      </c>
      <c r="B55" s="15">
        <f>VLOOKUP(A55,Database!A:Q,MATCH($A$1,Database!$A$1:$Q$1,),)</f>
        <v>25215</v>
      </c>
      <c r="C55" s="12">
        <f t="shared" si="0"/>
        <v>-1.3266024888471473E-2</v>
      </c>
      <c r="D55" s="13">
        <f t="shared" si="1"/>
        <v>1.118864292589028E-2</v>
      </c>
    </row>
    <row r="56" spans="1:4" x14ac:dyDescent="0.35">
      <c r="A56" s="11">
        <v>35096</v>
      </c>
      <c r="B56" s="15">
        <f>VLOOKUP(A56,Database!A:Q,MATCH($A$1,Database!$A$1:$Q$1,),)</f>
        <v>25616</v>
      </c>
      <c r="C56" s="12">
        <f t="shared" si="0"/>
        <v>1.5903232203053737E-2</v>
      </c>
      <c r="D56" s="13">
        <f t="shared" si="1"/>
        <v>6.224341696039809E-2</v>
      </c>
    </row>
    <row r="57" spans="1:4" x14ac:dyDescent="0.35">
      <c r="A57" s="10">
        <v>35125</v>
      </c>
      <c r="B57" s="15">
        <f>VLOOKUP(A57,Database!A:Q,MATCH($A$1,Database!$A$1:$Q$1,),)</f>
        <v>25576</v>
      </c>
      <c r="C57" s="12">
        <f t="shared" si="0"/>
        <v>-1.5615240474703309E-3</v>
      </c>
      <c r="D57" s="13">
        <f t="shared" si="1"/>
        <v>4.0563082306033608E-2</v>
      </c>
    </row>
    <row r="58" spans="1:4" x14ac:dyDescent="0.35">
      <c r="A58" s="11">
        <v>35156</v>
      </c>
      <c r="B58" s="15">
        <f>VLOOKUP(A58,Database!A:Q,MATCH($A$1,Database!$A$1:$Q$1,),)</f>
        <v>26103</v>
      </c>
      <c r="C58" s="12">
        <f t="shared" si="0"/>
        <v>2.0605254926493587E-2</v>
      </c>
      <c r="D58" s="13">
        <f t="shared" si="1"/>
        <v>5.4794520547945202E-2</v>
      </c>
    </row>
    <row r="59" spans="1:4" x14ac:dyDescent="0.35">
      <c r="A59" s="10">
        <v>35186</v>
      </c>
      <c r="B59" s="15">
        <f>VLOOKUP(A59,Database!A:Q,MATCH($A$1,Database!$A$1:$Q$1,),)</f>
        <v>26216</v>
      </c>
      <c r="C59" s="12">
        <f t="shared" si="0"/>
        <v>4.329004329004329E-3</v>
      </c>
      <c r="D59" s="13">
        <f t="shared" si="1"/>
        <v>5.4927367107963462E-2</v>
      </c>
    </row>
    <row r="60" spans="1:4" x14ac:dyDescent="0.35">
      <c r="A60" s="11">
        <v>35217</v>
      </c>
      <c r="B60" s="15">
        <f>VLOOKUP(A60,Database!A:Q,MATCH($A$1,Database!$A$1:$Q$1,),)</f>
        <v>26085</v>
      </c>
      <c r="C60" s="12">
        <f t="shared" si="0"/>
        <v>-4.9969484284406469E-3</v>
      </c>
      <c r="D60" s="13">
        <f t="shared" si="1"/>
        <v>3.6517523643010412E-2</v>
      </c>
    </row>
    <row r="61" spans="1:4" x14ac:dyDescent="0.35">
      <c r="A61" s="10">
        <v>35247</v>
      </c>
      <c r="B61" s="15">
        <f>VLOOKUP(A61,Database!A:Q,MATCH($A$1,Database!$A$1:$Q$1,),)</f>
        <v>26209</v>
      </c>
      <c r="C61" s="12">
        <f t="shared" si="0"/>
        <v>4.7536898600728386E-3</v>
      </c>
      <c r="D61" s="13">
        <f t="shared" si="1"/>
        <v>3.2866995073891625E-2</v>
      </c>
    </row>
    <row r="62" spans="1:4" x14ac:dyDescent="0.35">
      <c r="A62" s="11">
        <v>35278</v>
      </c>
      <c r="B62" s="15">
        <f>VLOOKUP(A62,Database!A:Q,MATCH($A$1,Database!$A$1:$Q$1,),)</f>
        <v>26441</v>
      </c>
      <c r="C62" s="12">
        <f t="shared" si="0"/>
        <v>8.8519210958067831E-3</v>
      </c>
      <c r="D62" s="13">
        <f t="shared" si="1"/>
        <v>5.0329705251449912E-2</v>
      </c>
    </row>
    <row r="63" spans="1:4" x14ac:dyDescent="0.35">
      <c r="A63" s="10">
        <v>35309</v>
      </c>
      <c r="B63" s="15">
        <f>VLOOKUP(A63,Database!A:Q,MATCH($A$1,Database!$A$1:$Q$1,),)</f>
        <v>26590</v>
      </c>
      <c r="C63" s="12">
        <f t="shared" si="0"/>
        <v>5.6351877765591319E-3</v>
      </c>
      <c r="D63" s="13">
        <f t="shared" si="1"/>
        <v>4.401429188425144E-2</v>
      </c>
    </row>
    <row r="64" spans="1:4" x14ac:dyDescent="0.35">
      <c r="A64" s="11">
        <v>35339</v>
      </c>
      <c r="B64" s="15">
        <f>VLOOKUP(A64,Database!A:Q,MATCH($A$1,Database!$A$1:$Q$1,),)</f>
        <v>26904</v>
      </c>
      <c r="C64" s="12">
        <f t="shared" si="0"/>
        <v>1.1808950733358406E-2</v>
      </c>
      <c r="D64" s="13">
        <f t="shared" si="1"/>
        <v>7.0379948279291824E-2</v>
      </c>
    </row>
    <row r="65" spans="1:4" x14ac:dyDescent="0.35">
      <c r="A65" s="10">
        <v>35370</v>
      </c>
      <c r="B65" s="15">
        <f>VLOOKUP(A65,Database!A:Q,MATCH($A$1,Database!$A$1:$Q$1,),)</f>
        <v>26772</v>
      </c>
      <c r="C65" s="12">
        <f t="shared" si="0"/>
        <v>-4.906333630686887E-3</v>
      </c>
      <c r="D65" s="13">
        <f t="shared" si="1"/>
        <v>5.3435114503816793E-2</v>
      </c>
    </row>
    <row r="66" spans="1:4" x14ac:dyDescent="0.35">
      <c r="A66" s="11">
        <v>35400</v>
      </c>
      <c r="B66" s="15">
        <f>VLOOKUP(A66,Database!A:Q,MATCH($A$1,Database!$A$1:$Q$1,),)</f>
        <v>27051</v>
      </c>
      <c r="C66" s="12">
        <f t="shared" si="0"/>
        <v>1.0421335723890632E-2</v>
      </c>
      <c r="D66" s="13">
        <f t="shared" si="1"/>
        <v>5.8581826719887299E-2</v>
      </c>
    </row>
    <row r="67" spans="1:4" x14ac:dyDescent="0.35">
      <c r="A67" s="10">
        <v>35431</v>
      </c>
      <c r="B67" s="15">
        <f>VLOOKUP(A67,Database!A:Q,MATCH($A$1,Database!$A$1:$Q$1,),)</f>
        <v>27216</v>
      </c>
      <c r="C67" s="12">
        <f t="shared" si="0"/>
        <v>6.0995896639680601E-3</v>
      </c>
      <c r="D67" s="13">
        <f t="shared" si="1"/>
        <v>7.9357525282569896E-2</v>
      </c>
    </row>
    <row r="68" spans="1:4" x14ac:dyDescent="0.35">
      <c r="A68" s="11">
        <v>35462</v>
      </c>
      <c r="B68" s="15">
        <f>VLOOKUP(A68,Database!A:Q,MATCH($A$1,Database!$A$1:$Q$1,),)</f>
        <v>27262</v>
      </c>
      <c r="C68" s="12">
        <f t="shared" si="0"/>
        <v>1.6901822457378013E-3</v>
      </c>
      <c r="D68" s="13">
        <f t="shared" si="1"/>
        <v>6.4256714553404121E-2</v>
      </c>
    </row>
    <row r="69" spans="1:4" x14ac:dyDescent="0.35">
      <c r="A69" s="10">
        <v>35490</v>
      </c>
      <c r="B69" s="15">
        <f>VLOOKUP(A69,Database!A:Q,MATCH($A$1,Database!$A$1:$Q$1,),)</f>
        <v>27304</v>
      </c>
      <c r="C69" s="12">
        <f t="shared" si="0"/>
        <v>1.540605971682195E-3</v>
      </c>
      <c r="D69" s="13">
        <f t="shared" si="1"/>
        <v>6.7563340631842356E-2</v>
      </c>
    </row>
    <row r="70" spans="1:4" x14ac:dyDescent="0.35">
      <c r="A70" s="11">
        <v>35521</v>
      </c>
      <c r="B70" s="15">
        <f>VLOOKUP(A70,Database!A:Q,MATCH($A$1,Database!$A$1:$Q$1,),)</f>
        <v>27179</v>
      </c>
      <c r="C70" s="12">
        <f t="shared" si="0"/>
        <v>-4.5780837972458251E-3</v>
      </c>
      <c r="D70" s="13">
        <f t="shared" si="1"/>
        <v>4.1221315557598746E-2</v>
      </c>
    </row>
    <row r="71" spans="1:4" x14ac:dyDescent="0.35">
      <c r="A71" s="10">
        <v>35551</v>
      </c>
      <c r="B71" s="15">
        <f>VLOOKUP(A71,Database!A:Q,MATCH($A$1,Database!$A$1:$Q$1,),)</f>
        <v>27328</v>
      </c>
      <c r="C71" s="12">
        <f t="shared" si="0"/>
        <v>5.4821737370764189E-3</v>
      </c>
      <c r="D71" s="13">
        <f t="shared" si="1"/>
        <v>4.2416844675007628E-2</v>
      </c>
    </row>
    <row r="72" spans="1:4" x14ac:dyDescent="0.35">
      <c r="A72" s="11">
        <v>35582</v>
      </c>
      <c r="B72" s="15">
        <f>VLOOKUP(A72,Database!A:Q,MATCH($A$1,Database!$A$1:$Q$1,),)</f>
        <v>27433</v>
      </c>
      <c r="C72" s="12">
        <f t="shared" ref="C72:C135" si="2">(B72-B71)/B71</f>
        <v>3.8422131147540983E-3</v>
      </c>
      <c r="D72" s="13">
        <f t="shared" si="1"/>
        <v>5.1677209124017631E-2</v>
      </c>
    </row>
    <row r="73" spans="1:4" x14ac:dyDescent="0.35">
      <c r="A73" s="10">
        <v>35612</v>
      </c>
      <c r="B73" s="15">
        <f>VLOOKUP(A73,Database!A:Q,MATCH($A$1,Database!$A$1:$Q$1,),)</f>
        <v>27949</v>
      </c>
      <c r="C73" s="12">
        <f t="shared" si="2"/>
        <v>1.8809463055444172E-2</v>
      </c>
      <c r="D73" s="13">
        <f t="shared" si="1"/>
        <v>6.6389408218550883E-2</v>
      </c>
    </row>
    <row r="74" spans="1:4" x14ac:dyDescent="0.35">
      <c r="A74" s="11">
        <v>35643</v>
      </c>
      <c r="B74" s="15">
        <f>VLOOKUP(A74,Database!A:Q,MATCH($A$1,Database!$A$1:$Q$1,),)</f>
        <v>27939</v>
      </c>
      <c r="C74" s="12">
        <f t="shared" si="2"/>
        <v>-3.5779455436688251E-4</v>
      </c>
      <c r="D74" s="13">
        <f t="shared" si="1"/>
        <v>5.665443818312469E-2</v>
      </c>
    </row>
    <row r="75" spans="1:4" x14ac:dyDescent="0.35">
      <c r="A75" s="10">
        <v>35674</v>
      </c>
      <c r="B75" s="15">
        <f>VLOOKUP(A75,Database!A:Q,MATCH($A$1,Database!$A$1:$Q$1,),)</f>
        <v>27868</v>
      </c>
      <c r="C75" s="12">
        <f t="shared" si="2"/>
        <v>-2.5412505816242528E-3</v>
      </c>
      <c r="D75" s="13">
        <f t="shared" si="1"/>
        <v>4.8063181647235803E-2</v>
      </c>
    </row>
    <row r="76" spans="1:4" x14ac:dyDescent="0.35">
      <c r="A76" s="11">
        <v>35704</v>
      </c>
      <c r="B76" s="15">
        <f>VLOOKUP(A76,Database!A:Q,MATCH($A$1,Database!$A$1:$Q$1,),)</f>
        <v>28155</v>
      </c>
      <c r="C76" s="12">
        <f t="shared" si="2"/>
        <v>1.0298550308597675E-2</v>
      </c>
      <c r="D76" s="13">
        <f t="shared" si="1"/>
        <v>4.6498661909009815E-2</v>
      </c>
    </row>
    <row r="77" spans="1:4" x14ac:dyDescent="0.35">
      <c r="A77" s="10">
        <v>35735</v>
      </c>
      <c r="B77" s="15">
        <f>VLOOKUP(A77,Database!A:Q,MATCH($A$1,Database!$A$1:$Q$1,),)</f>
        <v>28151</v>
      </c>
      <c r="C77" s="12">
        <f t="shared" si="2"/>
        <v>-1.4207068016338129E-4</v>
      </c>
      <c r="D77" s="13">
        <f t="shared" si="1"/>
        <v>5.1509039294785598E-2</v>
      </c>
    </row>
    <row r="78" spans="1:4" x14ac:dyDescent="0.35">
      <c r="A78" s="11">
        <v>35765</v>
      </c>
      <c r="B78" s="15">
        <f>VLOOKUP(A78,Database!A:Q,MATCH($A$1,Database!$A$1:$Q$1,),)</f>
        <v>28008</v>
      </c>
      <c r="C78" s="12">
        <f t="shared" si="2"/>
        <v>-5.0797484991652164E-3</v>
      </c>
      <c r="D78" s="13">
        <f t="shared" si="1"/>
        <v>3.5377620051014746E-2</v>
      </c>
    </row>
    <row r="79" spans="1:4" x14ac:dyDescent="0.35">
      <c r="A79" s="10">
        <v>35796</v>
      </c>
      <c r="B79" s="15">
        <f>VLOOKUP(A79,Database!A:Q,MATCH($A$1,Database!$A$1:$Q$1,),)</f>
        <v>28402</v>
      </c>
      <c r="C79" s="12">
        <f t="shared" si="2"/>
        <v>1.4067409311625249E-2</v>
      </c>
      <c r="D79" s="13">
        <f t="shared" si="1"/>
        <v>4.3577307466196355E-2</v>
      </c>
    </row>
    <row r="80" spans="1:4" x14ac:dyDescent="0.35">
      <c r="A80" s="11">
        <v>35827</v>
      </c>
      <c r="B80" s="15">
        <f>VLOOKUP(A80,Database!A:Q,MATCH($A$1,Database!$A$1:$Q$1,),)</f>
        <v>28748</v>
      </c>
      <c r="C80" s="12">
        <f t="shared" si="2"/>
        <v>1.2182240687275544E-2</v>
      </c>
      <c r="D80" s="13">
        <f t="shared" si="1"/>
        <v>5.4508106521898615E-2</v>
      </c>
    </row>
    <row r="81" spans="1:4" x14ac:dyDescent="0.35">
      <c r="A81" s="10">
        <v>35855</v>
      </c>
      <c r="B81" s="15">
        <f>VLOOKUP(A81,Database!A:Q,MATCH($A$1,Database!$A$1:$Q$1,),)</f>
        <v>28714</v>
      </c>
      <c r="C81" s="12">
        <f t="shared" si="2"/>
        <v>-1.1826909698065952E-3</v>
      </c>
      <c r="D81" s="13">
        <f t="shared" si="1"/>
        <v>5.1640785232932904E-2</v>
      </c>
    </row>
    <row r="82" spans="1:4" x14ac:dyDescent="0.35">
      <c r="A82" s="11">
        <v>35886</v>
      </c>
      <c r="B82" s="15">
        <f>VLOOKUP(A82,Database!A:Q,MATCH($A$1,Database!$A$1:$Q$1,),)</f>
        <v>29123</v>
      </c>
      <c r="C82" s="12">
        <f t="shared" si="2"/>
        <v>1.4243922825102737E-2</v>
      </c>
      <c r="D82" s="13">
        <f t="shared" si="1"/>
        <v>7.1525810368299053E-2</v>
      </c>
    </row>
    <row r="83" spans="1:4" x14ac:dyDescent="0.35">
      <c r="A83" s="10">
        <v>35916</v>
      </c>
      <c r="B83" s="15">
        <f>VLOOKUP(A83,Database!A:Q,MATCH($A$1,Database!$A$1:$Q$1,),)</f>
        <v>29076</v>
      </c>
      <c r="C83" s="12">
        <f t="shared" si="2"/>
        <v>-1.613844727534938E-3</v>
      </c>
      <c r="D83" s="13">
        <f t="shared" ref="D83:D146" si="3">(B83-B71)/B71</f>
        <v>6.3963700234192039E-2</v>
      </c>
    </row>
    <row r="84" spans="1:4" x14ac:dyDescent="0.35">
      <c r="A84" s="11">
        <v>35947</v>
      </c>
      <c r="B84" s="15">
        <f>VLOOKUP(A84,Database!A:Q,MATCH($A$1,Database!$A$1:$Q$1,),)</f>
        <v>29170</v>
      </c>
      <c r="C84" s="12">
        <f t="shared" si="2"/>
        <v>3.2329068647681935E-3</v>
      </c>
      <c r="D84" s="13">
        <f t="shared" si="3"/>
        <v>6.3317901797105669E-2</v>
      </c>
    </row>
    <row r="85" spans="1:4" x14ac:dyDescent="0.35">
      <c r="A85" s="10">
        <v>35977</v>
      </c>
      <c r="B85" s="15">
        <f>VLOOKUP(A85,Database!A:Q,MATCH($A$1,Database!$A$1:$Q$1,),)</f>
        <v>29113</v>
      </c>
      <c r="C85" s="12">
        <f t="shared" si="2"/>
        <v>-1.9540623928693862E-3</v>
      </c>
      <c r="D85" s="13">
        <f t="shared" si="3"/>
        <v>4.1647286128305129E-2</v>
      </c>
    </row>
    <row r="86" spans="1:4" x14ac:dyDescent="0.35">
      <c r="A86" s="11">
        <v>36008</v>
      </c>
      <c r="B86" s="15">
        <f>VLOOKUP(A86,Database!A:Q,MATCH($A$1,Database!$A$1:$Q$1,),)</f>
        <v>29274</v>
      </c>
      <c r="C86" s="12">
        <f t="shared" si="2"/>
        <v>5.5301755229622508E-3</v>
      </c>
      <c r="D86" s="13">
        <f t="shared" si="3"/>
        <v>4.7782669386878557E-2</v>
      </c>
    </row>
    <row r="87" spans="1:4" x14ac:dyDescent="0.35">
      <c r="A87" s="10">
        <v>36039</v>
      </c>
      <c r="B87" s="15">
        <f>VLOOKUP(A87,Database!A:Q,MATCH($A$1,Database!$A$1:$Q$1,),)</f>
        <v>29559</v>
      </c>
      <c r="C87" s="12">
        <f t="shared" si="2"/>
        <v>9.7356015576962485E-3</v>
      </c>
      <c r="D87" s="13">
        <f t="shared" si="3"/>
        <v>6.0678914884455287E-2</v>
      </c>
    </row>
    <row r="88" spans="1:4" x14ac:dyDescent="0.35">
      <c r="A88" s="11">
        <v>36069</v>
      </c>
      <c r="B88" s="15">
        <f>VLOOKUP(A88,Database!A:Q,MATCH($A$1,Database!$A$1:$Q$1,),)</f>
        <v>29720</v>
      </c>
      <c r="C88" s="12">
        <f t="shared" si="2"/>
        <v>5.446733651341385E-3</v>
      </c>
      <c r="D88" s="13">
        <f t="shared" si="3"/>
        <v>5.5585153613922925E-2</v>
      </c>
    </row>
    <row r="89" spans="1:4" x14ac:dyDescent="0.35">
      <c r="A89" s="10">
        <v>36100</v>
      </c>
      <c r="B89" s="15">
        <f>VLOOKUP(A89,Database!A:Q,MATCH($A$1,Database!$A$1:$Q$1,),)</f>
        <v>30094</v>
      </c>
      <c r="C89" s="12">
        <f t="shared" si="2"/>
        <v>1.2584118438761777E-2</v>
      </c>
      <c r="D89" s="13">
        <f t="shared" si="3"/>
        <v>6.9020638698447656E-2</v>
      </c>
    </row>
    <row r="90" spans="1:4" x14ac:dyDescent="0.35">
      <c r="A90" s="11">
        <v>36130</v>
      </c>
      <c r="B90" s="15">
        <f>VLOOKUP(A90,Database!A:Q,MATCH($A$1,Database!$A$1:$Q$1,),)</f>
        <v>30129</v>
      </c>
      <c r="C90" s="12">
        <f t="shared" si="2"/>
        <v>1.1630225294078553E-3</v>
      </c>
      <c r="D90" s="13">
        <f t="shared" si="3"/>
        <v>7.5728363324764347E-2</v>
      </c>
    </row>
    <row r="91" spans="1:4" x14ac:dyDescent="0.35">
      <c r="A91" s="10">
        <v>36161</v>
      </c>
      <c r="B91" s="15">
        <f>VLOOKUP(A91,Database!A:Q,MATCH($A$1,Database!$A$1:$Q$1,),)</f>
        <v>30664</v>
      </c>
      <c r="C91" s="12">
        <f t="shared" si="2"/>
        <v>1.7756978326529258E-2</v>
      </c>
      <c r="D91" s="13">
        <f t="shared" si="3"/>
        <v>7.9642278712766704E-2</v>
      </c>
    </row>
    <row r="92" spans="1:4" x14ac:dyDescent="0.35">
      <c r="A92" s="11">
        <v>36192</v>
      </c>
      <c r="B92" s="15">
        <f>VLOOKUP(A92,Database!A:Q,MATCH($A$1,Database!$A$1:$Q$1,),)</f>
        <v>31094</v>
      </c>
      <c r="C92" s="12">
        <f t="shared" si="2"/>
        <v>1.4022958518132012E-2</v>
      </c>
      <c r="D92" s="13">
        <f t="shared" si="3"/>
        <v>8.1605676916655073E-2</v>
      </c>
    </row>
    <row r="93" spans="1:4" x14ac:dyDescent="0.35">
      <c r="A93" s="10">
        <v>36220</v>
      </c>
      <c r="B93" s="15">
        <f>VLOOKUP(A93,Database!A:Q,MATCH($A$1,Database!$A$1:$Q$1,),)</f>
        <v>31390</v>
      </c>
      <c r="C93" s="12">
        <f t="shared" si="2"/>
        <v>9.5195214510838105E-3</v>
      </c>
      <c r="D93" s="13">
        <f t="shared" si="3"/>
        <v>9.3194957163752867E-2</v>
      </c>
    </row>
    <row r="94" spans="1:4" x14ac:dyDescent="0.35">
      <c r="A94" s="11">
        <v>36251</v>
      </c>
      <c r="B94" s="15">
        <f>VLOOKUP(A94,Database!A:Q,MATCH($A$1,Database!$A$1:$Q$1,),)</f>
        <v>31009</v>
      </c>
      <c r="C94" s="12">
        <f t="shared" si="2"/>
        <v>-1.2137623446957629E-2</v>
      </c>
      <c r="D94" s="13">
        <f t="shared" si="3"/>
        <v>6.4759811832572192E-2</v>
      </c>
    </row>
    <row r="95" spans="1:4" x14ac:dyDescent="0.35">
      <c r="A95" s="10">
        <v>36281</v>
      </c>
      <c r="B95" s="15">
        <f>VLOOKUP(A95,Database!A:Q,MATCH($A$1,Database!$A$1:$Q$1,),)</f>
        <v>31165</v>
      </c>
      <c r="C95" s="12">
        <f t="shared" si="2"/>
        <v>5.0307975104002065E-3</v>
      </c>
      <c r="D95" s="13">
        <f t="shared" si="3"/>
        <v>7.1846196175539959E-2</v>
      </c>
    </row>
    <row r="96" spans="1:4" x14ac:dyDescent="0.35">
      <c r="A96" s="11">
        <v>36312</v>
      </c>
      <c r="B96" s="15">
        <f>VLOOKUP(A96,Database!A:Q,MATCH($A$1,Database!$A$1:$Q$1,),)</f>
        <v>31652</v>
      </c>
      <c r="C96" s="12">
        <f t="shared" si="2"/>
        <v>1.5626504091127869E-2</v>
      </c>
      <c r="D96" s="13">
        <f t="shared" si="3"/>
        <v>8.5087418580733626E-2</v>
      </c>
    </row>
    <row r="97" spans="1:4" x14ac:dyDescent="0.35">
      <c r="A97" s="10">
        <v>36342</v>
      </c>
      <c r="B97" s="15">
        <f>VLOOKUP(A97,Database!A:Q,MATCH($A$1,Database!$A$1:$Q$1,),)</f>
        <v>31549</v>
      </c>
      <c r="C97" s="12">
        <f t="shared" si="2"/>
        <v>-3.2541387590041704E-3</v>
      </c>
      <c r="D97" s="13">
        <f t="shared" si="3"/>
        <v>8.3673960086559265E-2</v>
      </c>
    </row>
    <row r="98" spans="1:4" x14ac:dyDescent="0.35">
      <c r="A98" s="11">
        <v>36373</v>
      </c>
      <c r="B98" s="15">
        <f>VLOOKUP(A98,Database!A:Q,MATCH($A$1,Database!$A$1:$Q$1,),)</f>
        <v>31806</v>
      </c>
      <c r="C98" s="12">
        <f t="shared" si="2"/>
        <v>8.146058512155694E-3</v>
      </c>
      <c r="D98" s="13">
        <f t="shared" si="3"/>
        <v>8.649313383890142E-2</v>
      </c>
    </row>
    <row r="99" spans="1:4" x14ac:dyDescent="0.35">
      <c r="A99" s="10">
        <v>36404</v>
      </c>
      <c r="B99" s="15">
        <f>VLOOKUP(A99,Database!A:Q,MATCH($A$1,Database!$A$1:$Q$1,),)</f>
        <v>32152</v>
      </c>
      <c r="C99" s="12">
        <f t="shared" si="2"/>
        <v>1.0878450606803747E-2</v>
      </c>
      <c r="D99" s="13">
        <f t="shared" si="3"/>
        <v>8.7722859366013733E-2</v>
      </c>
    </row>
    <row r="100" spans="1:4" x14ac:dyDescent="0.35">
      <c r="A100" s="11">
        <v>36434</v>
      </c>
      <c r="B100" s="15">
        <f>VLOOKUP(A100,Database!A:Q,MATCH($A$1,Database!$A$1:$Q$1,),)</f>
        <v>32085</v>
      </c>
      <c r="C100" s="12">
        <f t="shared" si="2"/>
        <v>-2.0838517044040805E-3</v>
      </c>
      <c r="D100" s="13">
        <f t="shared" si="3"/>
        <v>7.9576043068640648E-2</v>
      </c>
    </row>
    <row r="101" spans="1:4" x14ac:dyDescent="0.35">
      <c r="A101" s="10">
        <v>36465</v>
      </c>
      <c r="B101" s="15">
        <f>VLOOKUP(A101,Database!A:Q,MATCH($A$1,Database!$A$1:$Q$1,),)</f>
        <v>32161</v>
      </c>
      <c r="C101" s="12">
        <f t="shared" si="2"/>
        <v>2.36870811905875E-3</v>
      </c>
      <c r="D101" s="13">
        <f t="shared" si="3"/>
        <v>6.8684787665315342E-2</v>
      </c>
    </row>
    <row r="102" spans="1:4" x14ac:dyDescent="0.35">
      <c r="A102" s="11">
        <v>36495</v>
      </c>
      <c r="B102" s="15">
        <f>VLOOKUP(A102,Database!A:Q,MATCH($A$1,Database!$A$1:$Q$1,),)</f>
        <v>33101</v>
      </c>
      <c r="C102" s="12">
        <f t="shared" si="2"/>
        <v>2.9227946892198625E-2</v>
      </c>
      <c r="D102" s="13">
        <f t="shared" si="3"/>
        <v>9.8642503899897108E-2</v>
      </c>
    </row>
    <row r="103" spans="1:4" x14ac:dyDescent="0.35">
      <c r="A103" s="10">
        <v>36526</v>
      </c>
      <c r="B103" s="15">
        <f>VLOOKUP(A103,Database!A:Q,MATCH($A$1,Database!$A$1:$Q$1,),)</f>
        <v>32179</v>
      </c>
      <c r="C103" s="12">
        <f t="shared" si="2"/>
        <v>-2.7854143379354098E-2</v>
      </c>
      <c r="D103" s="13">
        <f t="shared" si="3"/>
        <v>4.94064701278372E-2</v>
      </c>
    </row>
    <row r="104" spans="1:4" x14ac:dyDescent="0.35">
      <c r="A104" s="11">
        <v>36557</v>
      </c>
      <c r="B104" s="15">
        <f>VLOOKUP(A104,Database!A:Q,MATCH($A$1,Database!$A$1:$Q$1,),)</f>
        <v>32576</v>
      </c>
      <c r="C104" s="12">
        <f t="shared" si="2"/>
        <v>1.2337238571739333E-2</v>
      </c>
      <c r="D104" s="13">
        <f t="shared" si="3"/>
        <v>4.7661928346304755E-2</v>
      </c>
    </row>
    <row r="105" spans="1:4" x14ac:dyDescent="0.35">
      <c r="A105" s="10">
        <v>36586</v>
      </c>
      <c r="B105" s="15">
        <f>VLOOKUP(A105,Database!A:Q,MATCH($A$1,Database!$A$1:$Q$1,),)</f>
        <v>33105</v>
      </c>
      <c r="C105" s="12">
        <f t="shared" si="2"/>
        <v>1.6238948919449901E-2</v>
      </c>
      <c r="D105" s="13">
        <f t="shared" si="3"/>
        <v>5.4635234151003506E-2</v>
      </c>
    </row>
    <row r="106" spans="1:4" x14ac:dyDescent="0.35">
      <c r="A106" s="11">
        <v>36617</v>
      </c>
      <c r="B106" s="15">
        <f>VLOOKUP(A106,Database!A:Q,MATCH($A$1,Database!$A$1:$Q$1,),)</f>
        <v>32879</v>
      </c>
      <c r="C106" s="12">
        <f t="shared" si="2"/>
        <v>-6.8267633288022957E-3</v>
      </c>
      <c r="D106" s="13">
        <f t="shared" si="3"/>
        <v>6.0305072720822986E-2</v>
      </c>
    </row>
    <row r="107" spans="1:4" x14ac:dyDescent="0.35">
      <c r="A107" s="10">
        <v>36647</v>
      </c>
      <c r="B107" s="15">
        <f>VLOOKUP(A107,Database!A:Q,MATCH($A$1,Database!$A$1:$Q$1,),)</f>
        <v>33339</v>
      </c>
      <c r="C107" s="12">
        <f t="shared" si="2"/>
        <v>1.3990693147601813E-2</v>
      </c>
      <c r="D107" s="13">
        <f t="shared" si="3"/>
        <v>6.9757741055671424E-2</v>
      </c>
    </row>
    <row r="108" spans="1:4" x14ac:dyDescent="0.35">
      <c r="A108" s="11">
        <v>36678</v>
      </c>
      <c r="B108" s="15">
        <f>VLOOKUP(A108,Database!A:Q,MATCH($A$1,Database!$A$1:$Q$1,),)</f>
        <v>33408</v>
      </c>
      <c r="C108" s="12">
        <f t="shared" si="2"/>
        <v>2.0696481598128317E-3</v>
      </c>
      <c r="D108" s="13">
        <f t="shared" si="3"/>
        <v>5.5478326803993429E-2</v>
      </c>
    </row>
    <row r="109" spans="1:4" x14ac:dyDescent="0.35">
      <c r="A109" s="10">
        <v>36708</v>
      </c>
      <c r="B109" s="15">
        <f>VLOOKUP(A109,Database!A:Q,MATCH($A$1,Database!$A$1:$Q$1,),)</f>
        <v>33586</v>
      </c>
      <c r="C109" s="12">
        <f t="shared" si="2"/>
        <v>5.3280651340996167E-3</v>
      </c>
      <c r="D109" s="13">
        <f t="shared" si="3"/>
        <v>6.4566230308409148E-2</v>
      </c>
    </row>
    <row r="110" spans="1:4" x14ac:dyDescent="0.35">
      <c r="A110" s="11">
        <v>36739</v>
      </c>
      <c r="B110" s="15">
        <f>VLOOKUP(A110,Database!A:Q,MATCH($A$1,Database!$A$1:$Q$1,),)</f>
        <v>33823</v>
      </c>
      <c r="C110" s="12">
        <f t="shared" si="2"/>
        <v>7.0565116417554931E-3</v>
      </c>
      <c r="D110" s="13">
        <f t="shared" si="3"/>
        <v>6.3415707728101622E-2</v>
      </c>
    </row>
    <row r="111" spans="1:4" x14ac:dyDescent="0.35">
      <c r="A111" s="10">
        <v>36770</v>
      </c>
      <c r="B111" s="15">
        <f>VLOOKUP(A111,Database!A:Q,MATCH($A$1,Database!$A$1:$Q$1,),)</f>
        <v>34146</v>
      </c>
      <c r="C111" s="12">
        <f t="shared" si="2"/>
        <v>9.54971469118647E-3</v>
      </c>
      <c r="D111" s="13">
        <f t="shared" si="3"/>
        <v>6.2017914904205024E-2</v>
      </c>
    </row>
    <row r="112" spans="1:4" x14ac:dyDescent="0.35">
      <c r="A112" s="11">
        <v>36800</v>
      </c>
      <c r="B112" s="15">
        <f>VLOOKUP(A112,Database!A:Q,MATCH($A$1,Database!$A$1:$Q$1,),)</f>
        <v>34280</v>
      </c>
      <c r="C112" s="12">
        <f t="shared" si="2"/>
        <v>3.9243249575352896E-3</v>
      </c>
      <c r="D112" s="13">
        <f t="shared" si="3"/>
        <v>6.8412030543867852E-2</v>
      </c>
    </row>
    <row r="113" spans="1:4" x14ac:dyDescent="0.35">
      <c r="A113" s="10">
        <v>36831</v>
      </c>
      <c r="B113" s="15">
        <f>VLOOKUP(A113,Database!A:Q,MATCH($A$1,Database!$A$1:$Q$1,),)</f>
        <v>34458</v>
      </c>
      <c r="C113" s="12">
        <f t="shared" si="2"/>
        <v>5.1925320886814473E-3</v>
      </c>
      <c r="D113" s="13">
        <f t="shared" si="3"/>
        <v>7.1421908522744937E-2</v>
      </c>
    </row>
    <row r="114" spans="1:4" x14ac:dyDescent="0.35">
      <c r="A114" s="11">
        <v>36861</v>
      </c>
      <c r="B114" s="15">
        <f>VLOOKUP(A114,Database!A:Q,MATCH($A$1,Database!$A$1:$Q$1,),)</f>
        <v>34734</v>
      </c>
      <c r="C114" s="12">
        <f t="shared" si="2"/>
        <v>8.0097510012188747E-3</v>
      </c>
      <c r="D114" s="13">
        <f t="shared" si="3"/>
        <v>4.9333856983172712E-2</v>
      </c>
    </row>
    <row r="115" spans="1:4" x14ac:dyDescent="0.35">
      <c r="A115" s="10">
        <v>36892</v>
      </c>
      <c r="B115" s="15">
        <f>VLOOKUP(A115,Database!A:Q,MATCH($A$1,Database!$A$1:$Q$1,),)</f>
        <v>35601</v>
      </c>
      <c r="C115" s="12">
        <f t="shared" si="2"/>
        <v>2.4961133183624116E-2</v>
      </c>
      <c r="D115" s="13">
        <f t="shared" si="3"/>
        <v>0.10634264582491687</v>
      </c>
    </row>
    <row r="116" spans="1:4" x14ac:dyDescent="0.35">
      <c r="A116" s="11">
        <v>36923</v>
      </c>
      <c r="B116" s="15">
        <f>VLOOKUP(A116,Database!A:Q,MATCH($A$1,Database!$A$1:$Q$1,),)</f>
        <v>34655</v>
      </c>
      <c r="C116" s="12">
        <f t="shared" si="2"/>
        <v>-2.6572287295300694E-2</v>
      </c>
      <c r="D116" s="13">
        <f t="shared" si="3"/>
        <v>6.381999017681729E-2</v>
      </c>
    </row>
    <row r="117" spans="1:4" x14ac:dyDescent="0.35">
      <c r="A117" s="10">
        <v>36951</v>
      </c>
      <c r="B117" s="15">
        <f>VLOOKUP(A117,Database!A:Q,MATCH($A$1,Database!$A$1:$Q$1,),)</f>
        <v>34069</v>
      </c>
      <c r="C117" s="12">
        <f t="shared" si="2"/>
        <v>-1.6909536863367481E-2</v>
      </c>
      <c r="D117" s="13">
        <f t="shared" si="3"/>
        <v>2.911946835825404E-2</v>
      </c>
    </row>
    <row r="118" spans="1:4" x14ac:dyDescent="0.35">
      <c r="A118" s="11">
        <v>36982</v>
      </c>
      <c r="B118" s="15">
        <f>VLOOKUP(A118,Database!A:Q,MATCH($A$1,Database!$A$1:$Q$1,),)</f>
        <v>35364</v>
      </c>
      <c r="C118" s="12">
        <f t="shared" si="2"/>
        <v>3.8011095130470518E-2</v>
      </c>
      <c r="D118" s="13">
        <f t="shared" si="3"/>
        <v>7.5580157547370658E-2</v>
      </c>
    </row>
    <row r="119" spans="1:4" x14ac:dyDescent="0.35">
      <c r="A119" s="10">
        <v>37012</v>
      </c>
      <c r="B119" s="15">
        <f>VLOOKUP(A119,Database!A:Q,MATCH($A$1,Database!$A$1:$Q$1,),)</f>
        <v>35202</v>
      </c>
      <c r="C119" s="12">
        <f t="shared" si="2"/>
        <v>-4.5809297590770279E-3</v>
      </c>
      <c r="D119" s="13">
        <f t="shared" si="3"/>
        <v>5.5880500314946457E-2</v>
      </c>
    </row>
    <row r="120" spans="1:4" x14ac:dyDescent="0.35">
      <c r="A120" s="11">
        <v>37043</v>
      </c>
      <c r="B120" s="15">
        <f>VLOOKUP(A120,Database!A:Q,MATCH($A$1,Database!$A$1:$Q$1,),)</f>
        <v>35114</v>
      </c>
      <c r="C120" s="12">
        <f t="shared" si="2"/>
        <v>-2.4998579626157604E-3</v>
      </c>
      <c r="D120" s="13">
        <f t="shared" si="3"/>
        <v>5.1065613026819924E-2</v>
      </c>
    </row>
    <row r="121" spans="1:4" x14ac:dyDescent="0.35">
      <c r="A121" s="10">
        <v>37073</v>
      </c>
      <c r="B121" s="15">
        <f>VLOOKUP(A121,Database!A:Q,MATCH($A$1,Database!$A$1:$Q$1,),)</f>
        <v>35720</v>
      </c>
      <c r="C121" s="12">
        <f t="shared" si="2"/>
        <v>1.7258073702796604E-2</v>
      </c>
      <c r="D121" s="13">
        <f t="shared" si="3"/>
        <v>6.3538379086524141E-2</v>
      </c>
    </row>
    <row r="122" spans="1:4" x14ac:dyDescent="0.35">
      <c r="A122" s="11">
        <v>37104</v>
      </c>
      <c r="B122" s="15">
        <f>VLOOKUP(A122,Database!A:Q,MATCH($A$1,Database!$A$1:$Q$1,),)</f>
        <v>35915</v>
      </c>
      <c r="C122" s="12">
        <f t="shared" si="2"/>
        <v>5.4591265397536393E-3</v>
      </c>
      <c r="D122" s="13">
        <f t="shared" si="3"/>
        <v>6.1851402891523521E-2</v>
      </c>
    </row>
    <row r="123" spans="1:4" x14ac:dyDescent="0.35">
      <c r="A123" s="10">
        <v>37135</v>
      </c>
      <c r="B123" s="15">
        <f>VLOOKUP(A123,Database!A:Q,MATCH($A$1,Database!$A$1:$Q$1,),)</f>
        <v>35822</v>
      </c>
      <c r="C123" s="12">
        <f t="shared" si="2"/>
        <v>-2.5894473061394961E-3</v>
      </c>
      <c r="D123" s="13">
        <f t="shared" si="3"/>
        <v>4.9083347976336907E-2</v>
      </c>
    </row>
    <row r="124" spans="1:4" x14ac:dyDescent="0.35">
      <c r="A124" s="11">
        <v>37165</v>
      </c>
      <c r="B124" s="15">
        <f>VLOOKUP(A124,Database!A:Q,MATCH($A$1,Database!$A$1:$Q$1,),)</f>
        <v>36229</v>
      </c>
      <c r="C124" s="12">
        <f t="shared" si="2"/>
        <v>1.1361733013232091E-2</v>
      </c>
      <c r="D124" s="13">
        <f t="shared" si="3"/>
        <v>5.6855309218203032E-2</v>
      </c>
    </row>
    <row r="125" spans="1:4" x14ac:dyDescent="0.35">
      <c r="A125" s="10">
        <v>37196</v>
      </c>
      <c r="B125" s="15">
        <f>VLOOKUP(A125,Database!A:Q,MATCH($A$1,Database!$A$1:$Q$1,),)</f>
        <v>36656</v>
      </c>
      <c r="C125" s="12">
        <f t="shared" si="2"/>
        <v>1.1786138176598857E-2</v>
      </c>
      <c r="D125" s="13">
        <f t="shared" si="3"/>
        <v>6.3787799640141626E-2</v>
      </c>
    </row>
    <row r="126" spans="1:4" x14ac:dyDescent="0.35">
      <c r="A126" s="11">
        <v>37226</v>
      </c>
      <c r="B126" s="15">
        <f>VLOOKUP(A126,Database!A:Q,MATCH($A$1,Database!$A$1:$Q$1,),)</f>
        <v>37054</v>
      </c>
      <c r="C126" s="12">
        <f t="shared" si="2"/>
        <v>1.0857704059362724E-2</v>
      </c>
      <c r="D126" s="13">
        <f t="shared" si="3"/>
        <v>6.6793343697817698E-2</v>
      </c>
    </row>
    <row r="127" spans="1:4" x14ac:dyDescent="0.35">
      <c r="A127" s="10">
        <v>37257</v>
      </c>
      <c r="B127" s="15">
        <f>VLOOKUP(A127,Database!A:Q,MATCH($A$1,Database!$A$1:$Q$1,),)</f>
        <v>36811</v>
      </c>
      <c r="C127" s="12">
        <f t="shared" si="2"/>
        <v>-6.5579964376315646E-3</v>
      </c>
      <c r="D127" s="13">
        <f t="shared" si="3"/>
        <v>3.3987809331198562E-2</v>
      </c>
    </row>
    <row r="128" spans="1:4" x14ac:dyDescent="0.35">
      <c r="A128" s="11">
        <v>37288</v>
      </c>
      <c r="B128" s="15">
        <f>VLOOKUP(A128,Database!A:Q,MATCH($A$1,Database!$A$1:$Q$1,),)</f>
        <v>36974</v>
      </c>
      <c r="C128" s="12">
        <f t="shared" si="2"/>
        <v>4.4280242318872074E-3</v>
      </c>
      <c r="D128" s="13">
        <f t="shared" si="3"/>
        <v>6.6916750829606117E-2</v>
      </c>
    </row>
    <row r="129" spans="1:4" x14ac:dyDescent="0.35">
      <c r="A129" s="10">
        <v>37316</v>
      </c>
      <c r="B129" s="15">
        <f>VLOOKUP(A129,Database!A:Q,MATCH($A$1,Database!$A$1:$Q$1,),)</f>
        <v>37144</v>
      </c>
      <c r="C129" s="12">
        <f t="shared" si="2"/>
        <v>4.5978254989992966E-3</v>
      </c>
      <c r="D129" s="13">
        <f t="shared" si="3"/>
        <v>9.0258005811735015E-2</v>
      </c>
    </row>
    <row r="130" spans="1:4" x14ac:dyDescent="0.35">
      <c r="A130" s="11">
        <v>37347</v>
      </c>
      <c r="B130" s="15">
        <f>VLOOKUP(A130,Database!A:Q,MATCH($A$1,Database!$A$1:$Q$1,),)</f>
        <v>37491</v>
      </c>
      <c r="C130" s="12">
        <f t="shared" si="2"/>
        <v>9.3420202455309076E-3</v>
      </c>
      <c r="D130" s="13">
        <f t="shared" si="3"/>
        <v>6.0145911096029861E-2</v>
      </c>
    </row>
    <row r="131" spans="1:4" x14ac:dyDescent="0.35">
      <c r="A131" s="10">
        <v>37377</v>
      </c>
      <c r="B131" s="15">
        <f>VLOOKUP(A131,Database!A:Q,MATCH($A$1,Database!$A$1:$Q$1,),)</f>
        <v>37114</v>
      </c>
      <c r="C131" s="12">
        <f t="shared" si="2"/>
        <v>-1.0055746712544344E-2</v>
      </c>
      <c r="D131" s="13">
        <f t="shared" si="3"/>
        <v>5.4315095733196976E-2</v>
      </c>
    </row>
    <row r="132" spans="1:4" x14ac:dyDescent="0.35">
      <c r="A132" s="11">
        <v>37408</v>
      </c>
      <c r="B132" s="15">
        <f>VLOOKUP(A132,Database!A:Q,MATCH($A$1,Database!$A$1:$Q$1,),)</f>
        <v>37417</v>
      </c>
      <c r="C132" s="12">
        <f t="shared" si="2"/>
        <v>8.1640351349894918E-3</v>
      </c>
      <c r="D132" s="13">
        <f t="shared" si="3"/>
        <v>6.5586375804522409E-2</v>
      </c>
    </row>
    <row r="133" spans="1:4" x14ac:dyDescent="0.35">
      <c r="A133" s="10">
        <v>37438</v>
      </c>
      <c r="B133" s="15">
        <f>VLOOKUP(A133,Database!A:Q,MATCH($A$1,Database!$A$1:$Q$1,),)</f>
        <v>37132</v>
      </c>
      <c r="C133" s="12">
        <f t="shared" si="2"/>
        <v>-7.616858647139001E-3</v>
      </c>
      <c r="D133" s="13">
        <f t="shared" si="3"/>
        <v>3.9529675251959689E-2</v>
      </c>
    </row>
    <row r="134" spans="1:4" x14ac:dyDescent="0.35">
      <c r="A134" s="11">
        <v>37469</v>
      </c>
      <c r="B134" s="15">
        <f>VLOOKUP(A134,Database!A:Q,MATCH($A$1,Database!$A$1:$Q$1,),)</f>
        <v>37202</v>
      </c>
      <c r="C134" s="12">
        <f t="shared" si="2"/>
        <v>1.8851664332651082E-3</v>
      </c>
      <c r="D134" s="13">
        <f t="shared" si="3"/>
        <v>3.5834609494640124E-2</v>
      </c>
    </row>
    <row r="135" spans="1:4" x14ac:dyDescent="0.35">
      <c r="A135" s="10">
        <v>37500</v>
      </c>
      <c r="B135" s="15">
        <f>VLOOKUP(A135,Database!A:Q,MATCH($A$1,Database!$A$1:$Q$1,),)</f>
        <v>37059</v>
      </c>
      <c r="C135" s="12">
        <f t="shared" si="2"/>
        <v>-3.84387936132466E-3</v>
      </c>
      <c r="D135" s="13">
        <f t="shared" si="3"/>
        <v>3.4531851934565351E-2</v>
      </c>
    </row>
    <row r="136" spans="1:4" x14ac:dyDescent="0.35">
      <c r="A136" s="11">
        <v>37530</v>
      </c>
      <c r="B136" s="15">
        <f>VLOOKUP(A136,Database!A:Q,MATCH($A$1,Database!$A$1:$Q$1,),)</f>
        <v>37816</v>
      </c>
      <c r="C136" s="12">
        <f t="shared" ref="C136:C199" si="4">(B136-B135)/B135</f>
        <v>2.0426886856094336E-2</v>
      </c>
      <c r="D136" s="13">
        <f t="shared" si="3"/>
        <v>4.3804686853073503E-2</v>
      </c>
    </row>
    <row r="137" spans="1:4" x14ac:dyDescent="0.35">
      <c r="A137" s="10">
        <v>37561</v>
      </c>
      <c r="B137" s="15">
        <f>VLOOKUP(A137,Database!A:Q,MATCH($A$1,Database!$A$1:$Q$1,),)</f>
        <v>37698</v>
      </c>
      <c r="C137" s="12">
        <f t="shared" si="4"/>
        <v>-3.1203723291728367E-3</v>
      </c>
      <c r="D137" s="13">
        <f t="shared" si="3"/>
        <v>2.8426451331296378E-2</v>
      </c>
    </row>
    <row r="138" spans="1:4" x14ac:dyDescent="0.35">
      <c r="A138" s="11">
        <v>37591</v>
      </c>
      <c r="B138" s="15">
        <f>VLOOKUP(A138,Database!A:Q,MATCH($A$1,Database!$A$1:$Q$1,),)</f>
        <v>37716</v>
      </c>
      <c r="C138" s="12">
        <f t="shared" si="4"/>
        <v>4.7747891134808211E-4</v>
      </c>
      <c r="D138" s="13">
        <f t="shared" si="3"/>
        <v>1.7865817455605334E-2</v>
      </c>
    </row>
    <row r="139" spans="1:4" x14ac:dyDescent="0.35">
      <c r="A139" s="10">
        <v>37622</v>
      </c>
      <c r="B139" s="15">
        <f>VLOOKUP(A139,Database!A:Q,MATCH($A$1,Database!$A$1:$Q$1,),)</f>
        <v>37740</v>
      </c>
      <c r="C139" s="12">
        <f t="shared" si="4"/>
        <v>6.3633471205854278E-4</v>
      </c>
      <c r="D139" s="13">
        <f t="shared" si="3"/>
        <v>2.5237021542473717E-2</v>
      </c>
    </row>
    <row r="140" spans="1:4" x14ac:dyDescent="0.35">
      <c r="A140" s="11">
        <v>37653</v>
      </c>
      <c r="B140" s="15">
        <f>VLOOKUP(A140,Database!A:Q,MATCH($A$1,Database!$A$1:$Q$1,),)</f>
        <v>38030</v>
      </c>
      <c r="C140" s="12">
        <f t="shared" si="4"/>
        <v>7.6841547429782721E-3</v>
      </c>
      <c r="D140" s="13">
        <f t="shared" si="3"/>
        <v>2.8560610158489749E-2</v>
      </c>
    </row>
    <row r="141" spans="1:4" x14ac:dyDescent="0.35">
      <c r="A141" s="10">
        <v>37681</v>
      </c>
      <c r="B141" s="15">
        <f>VLOOKUP(A141,Database!A:Q,MATCH($A$1,Database!$A$1:$Q$1,),)</f>
        <v>38391</v>
      </c>
      <c r="C141" s="12">
        <f t="shared" si="4"/>
        <v>9.4925059163818038E-3</v>
      </c>
      <c r="D141" s="13">
        <f t="shared" si="3"/>
        <v>3.3572043937109629E-2</v>
      </c>
    </row>
    <row r="142" spans="1:4" x14ac:dyDescent="0.35">
      <c r="A142" s="11">
        <v>37712</v>
      </c>
      <c r="B142" s="15">
        <f>VLOOKUP(A142,Database!A:Q,MATCH($A$1,Database!$A$1:$Q$1,),)</f>
        <v>38321</v>
      </c>
      <c r="C142" s="12">
        <f t="shared" si="4"/>
        <v>-1.8233440129196948E-3</v>
      </c>
      <c r="D142" s="13">
        <f t="shared" si="3"/>
        <v>2.2138646608519379E-2</v>
      </c>
    </row>
    <row r="143" spans="1:4" x14ac:dyDescent="0.35">
      <c r="A143" s="10">
        <v>37742</v>
      </c>
      <c r="B143" s="15">
        <f>VLOOKUP(A143,Database!A:Q,MATCH($A$1,Database!$A$1:$Q$1,),)</f>
        <v>38483</v>
      </c>
      <c r="C143" s="12">
        <f t="shared" si="4"/>
        <v>4.2274470916729727E-3</v>
      </c>
      <c r="D143" s="13">
        <f t="shared" si="3"/>
        <v>3.6886350164358463E-2</v>
      </c>
    </row>
    <row r="144" spans="1:4" x14ac:dyDescent="0.35">
      <c r="A144" s="11">
        <v>37773</v>
      </c>
      <c r="B144" s="15">
        <f>VLOOKUP(A144,Database!A:Q,MATCH($A$1,Database!$A$1:$Q$1,),)</f>
        <v>38866</v>
      </c>
      <c r="C144" s="12">
        <f t="shared" si="4"/>
        <v>9.9524465348335631E-3</v>
      </c>
      <c r="D144" s="13">
        <f t="shared" si="3"/>
        <v>3.8725712911243555E-2</v>
      </c>
    </row>
    <row r="145" spans="1:4" x14ac:dyDescent="0.35">
      <c r="A145" s="10">
        <v>37803</v>
      </c>
      <c r="B145" s="15">
        <f>VLOOKUP(A145,Database!A:Q,MATCH($A$1,Database!$A$1:$Q$1,),)</f>
        <v>39404</v>
      </c>
      <c r="C145" s="12">
        <f t="shared" si="4"/>
        <v>1.3842432974836618E-2</v>
      </c>
      <c r="D145" s="13">
        <f t="shared" si="3"/>
        <v>6.1187116233976088E-2</v>
      </c>
    </row>
    <row r="146" spans="1:4" x14ac:dyDescent="0.35">
      <c r="A146" s="11">
        <v>37834</v>
      </c>
      <c r="B146" s="15">
        <f>VLOOKUP(A146,Database!A:Q,MATCH($A$1,Database!$A$1:$Q$1,),)</f>
        <v>40085</v>
      </c>
      <c r="C146" s="12">
        <f t="shared" si="4"/>
        <v>1.7282509389909655E-2</v>
      </c>
      <c r="D146" s="13">
        <f t="shared" si="3"/>
        <v>7.7495833557335622E-2</v>
      </c>
    </row>
    <row r="147" spans="1:4" x14ac:dyDescent="0.35">
      <c r="A147" s="10">
        <v>37865</v>
      </c>
      <c r="B147" s="15">
        <f>VLOOKUP(A147,Database!A:Q,MATCH($A$1,Database!$A$1:$Q$1,),)</f>
        <v>39896</v>
      </c>
      <c r="C147" s="12">
        <f t="shared" si="4"/>
        <v>-4.71498066608457E-3</v>
      </c>
      <c r="D147" s="13">
        <f t="shared" ref="D147:D210" si="5">(B147-B135)/B135</f>
        <v>7.6553603712998186E-2</v>
      </c>
    </row>
    <row r="148" spans="1:4" x14ac:dyDescent="0.35">
      <c r="A148" s="11">
        <v>37895</v>
      </c>
      <c r="B148" s="15">
        <f>VLOOKUP(A148,Database!A:Q,MATCH($A$1,Database!$A$1:$Q$1,),)</f>
        <v>39649</v>
      </c>
      <c r="C148" s="12">
        <f t="shared" si="4"/>
        <v>-6.1910968518147187E-3</v>
      </c>
      <c r="D148" s="13">
        <f t="shared" si="5"/>
        <v>4.8471546435371271E-2</v>
      </c>
    </row>
    <row r="149" spans="1:4" x14ac:dyDescent="0.35">
      <c r="A149" s="10">
        <v>37926</v>
      </c>
      <c r="B149" s="15">
        <f>VLOOKUP(A149,Database!A:Q,MATCH($A$1,Database!$A$1:$Q$1,),)</f>
        <v>39945</v>
      </c>
      <c r="C149" s="12">
        <f t="shared" si="4"/>
        <v>7.4655098489243106E-3</v>
      </c>
      <c r="D149" s="13">
        <f t="shared" si="5"/>
        <v>5.9605284099952249E-2</v>
      </c>
    </row>
    <row r="150" spans="1:4" x14ac:dyDescent="0.35">
      <c r="A150" s="11">
        <v>37956</v>
      </c>
      <c r="B150" s="15">
        <f>VLOOKUP(A150,Database!A:Q,MATCH($A$1,Database!$A$1:$Q$1,),)</f>
        <v>40084</v>
      </c>
      <c r="C150" s="12">
        <f t="shared" si="4"/>
        <v>3.4797847039679561E-3</v>
      </c>
      <c r="D150" s="13">
        <f t="shared" si="5"/>
        <v>6.2785024923109556E-2</v>
      </c>
    </row>
    <row r="151" spans="1:4" x14ac:dyDescent="0.35">
      <c r="A151" s="10">
        <v>37987</v>
      </c>
      <c r="B151" s="15">
        <f>VLOOKUP(A151,Database!A:Q,MATCH($A$1,Database!$A$1:$Q$1,),)</f>
        <v>40436</v>
      </c>
      <c r="C151" s="12">
        <f t="shared" si="4"/>
        <v>8.7815587266739849E-3</v>
      </c>
      <c r="D151" s="13">
        <f t="shared" si="5"/>
        <v>7.1436142024377314E-2</v>
      </c>
    </row>
    <row r="152" spans="1:4" x14ac:dyDescent="0.35">
      <c r="A152" s="11">
        <v>38018</v>
      </c>
      <c r="B152" s="15">
        <f>VLOOKUP(A152,Database!A:Q,MATCH($A$1,Database!$A$1:$Q$1,),)</f>
        <v>40519</v>
      </c>
      <c r="C152" s="12">
        <f t="shared" si="4"/>
        <v>2.0526263725393215E-3</v>
      </c>
      <c r="D152" s="13">
        <f t="shared" si="5"/>
        <v>6.5448330265579807E-2</v>
      </c>
    </row>
    <row r="153" spans="1:4" x14ac:dyDescent="0.35">
      <c r="A153" s="10">
        <v>38047</v>
      </c>
      <c r="B153" s="15">
        <f>VLOOKUP(A153,Database!A:Q,MATCH($A$1,Database!$A$1:$Q$1,),)</f>
        <v>41079</v>
      </c>
      <c r="C153" s="12">
        <f t="shared" si="4"/>
        <v>1.3820676719563661E-2</v>
      </c>
      <c r="D153" s="13">
        <f t="shared" si="5"/>
        <v>7.0016410096116283E-2</v>
      </c>
    </row>
    <row r="154" spans="1:4" x14ac:dyDescent="0.35">
      <c r="A154" s="11">
        <v>38078</v>
      </c>
      <c r="B154" s="15">
        <f>VLOOKUP(A154,Database!A:Q,MATCH($A$1,Database!$A$1:$Q$1,),)</f>
        <v>40662</v>
      </c>
      <c r="C154" s="12">
        <f t="shared" si="4"/>
        <v>-1.0151172131746147E-2</v>
      </c>
      <c r="D154" s="13">
        <f t="shared" si="5"/>
        <v>6.1089220009916234E-2</v>
      </c>
    </row>
    <row r="155" spans="1:4" x14ac:dyDescent="0.35">
      <c r="A155" s="10">
        <v>38108</v>
      </c>
      <c r="B155" s="15">
        <f>VLOOKUP(A155,Database!A:Q,MATCH($A$1,Database!$A$1:$Q$1,),)</f>
        <v>41332</v>
      </c>
      <c r="C155" s="12">
        <f t="shared" si="4"/>
        <v>1.6477300673847818E-2</v>
      </c>
      <c r="D155" s="13">
        <f t="shared" si="5"/>
        <v>7.4032689759114409E-2</v>
      </c>
    </row>
    <row r="156" spans="1:4" x14ac:dyDescent="0.35">
      <c r="A156" s="11">
        <v>38139</v>
      </c>
      <c r="B156" s="15">
        <f>VLOOKUP(A156,Database!A:Q,MATCH($A$1,Database!$A$1:$Q$1,),)</f>
        <v>40756</v>
      </c>
      <c r="C156" s="12">
        <f t="shared" si="4"/>
        <v>-1.3935933417207006E-2</v>
      </c>
      <c r="D156" s="13">
        <f t="shared" si="5"/>
        <v>4.862862141717697E-2</v>
      </c>
    </row>
    <row r="157" spans="1:4" x14ac:dyDescent="0.35">
      <c r="A157" s="10">
        <v>38169</v>
      </c>
      <c r="B157" s="15">
        <f>VLOOKUP(A157,Database!A:Q,MATCH($A$1,Database!$A$1:$Q$1,),)</f>
        <v>41197</v>
      </c>
      <c r="C157" s="12">
        <f t="shared" si="4"/>
        <v>1.0820492688193149E-2</v>
      </c>
      <c r="D157" s="13">
        <f t="shared" si="5"/>
        <v>4.5502994619835549E-2</v>
      </c>
    </row>
    <row r="158" spans="1:4" x14ac:dyDescent="0.35">
      <c r="A158" s="11">
        <v>38200</v>
      </c>
      <c r="B158" s="15">
        <f>VLOOKUP(A158,Database!A:Q,MATCH($A$1,Database!$A$1:$Q$1,),)</f>
        <v>41323</v>
      </c>
      <c r="C158" s="12">
        <f t="shared" si="4"/>
        <v>3.0584751316843459E-3</v>
      </c>
      <c r="D158" s="13">
        <f t="shared" si="5"/>
        <v>3.0884370712236497E-2</v>
      </c>
    </row>
    <row r="159" spans="1:4" x14ac:dyDescent="0.35">
      <c r="A159" s="10">
        <v>38231</v>
      </c>
      <c r="B159" s="15">
        <f>VLOOKUP(A159,Database!A:Q,MATCH($A$1,Database!$A$1:$Q$1,),)</f>
        <v>41555</v>
      </c>
      <c r="C159" s="12">
        <f t="shared" si="4"/>
        <v>5.6143068025070785E-3</v>
      </c>
      <c r="D159" s="13">
        <f t="shared" si="5"/>
        <v>4.1583116101864846E-2</v>
      </c>
    </row>
    <row r="160" spans="1:4" x14ac:dyDescent="0.35">
      <c r="A160" s="11">
        <v>38261</v>
      </c>
      <c r="B160" s="15">
        <f>VLOOKUP(A160,Database!A:Q,MATCH($A$1,Database!$A$1:$Q$1,),)</f>
        <v>42042</v>
      </c>
      <c r="C160" s="12">
        <f t="shared" si="4"/>
        <v>1.1719408013476117E-2</v>
      </c>
      <c r="D160" s="13">
        <f t="shared" si="5"/>
        <v>6.0354611717823907E-2</v>
      </c>
    </row>
    <row r="161" spans="1:4" x14ac:dyDescent="0.35">
      <c r="A161" s="10">
        <v>38292</v>
      </c>
      <c r="B161" s="15">
        <f>VLOOKUP(A161,Database!A:Q,MATCH($A$1,Database!$A$1:$Q$1,),)</f>
        <v>42179</v>
      </c>
      <c r="C161" s="12">
        <f t="shared" si="4"/>
        <v>3.2586461157889731E-3</v>
      </c>
      <c r="D161" s="13">
        <f t="shared" si="5"/>
        <v>5.5926899486794343E-2</v>
      </c>
    </row>
    <row r="162" spans="1:4" x14ac:dyDescent="0.35">
      <c r="A162" s="11">
        <v>38322</v>
      </c>
      <c r="B162" s="15">
        <f>VLOOKUP(A162,Database!A:Q,MATCH($A$1,Database!$A$1:$Q$1,),)</f>
        <v>42656</v>
      </c>
      <c r="C162" s="12">
        <f t="shared" si="4"/>
        <v>1.130894520970151E-2</v>
      </c>
      <c r="D162" s="13">
        <f t="shared" si="5"/>
        <v>6.4165252968765588E-2</v>
      </c>
    </row>
    <row r="163" spans="1:4" x14ac:dyDescent="0.35">
      <c r="A163" s="10">
        <v>38353</v>
      </c>
      <c r="B163" s="15">
        <f>VLOOKUP(A163,Database!A:Q,MATCH($A$1,Database!$A$1:$Q$1,),)</f>
        <v>42556</v>
      </c>
      <c r="C163" s="12">
        <f t="shared" si="4"/>
        <v>-2.3443360840210052E-3</v>
      </c>
      <c r="D163" s="13">
        <f t="shared" si="5"/>
        <v>5.2428529033534475E-2</v>
      </c>
    </row>
    <row r="164" spans="1:4" x14ac:dyDescent="0.35">
      <c r="A164" s="11">
        <v>38384</v>
      </c>
      <c r="B164" s="15">
        <f>VLOOKUP(A164,Database!A:Q,MATCH($A$1,Database!$A$1:$Q$1,),)</f>
        <v>43183</v>
      </c>
      <c r="C164" s="12">
        <f t="shared" si="4"/>
        <v>1.4733527587179246E-2</v>
      </c>
      <c r="D164" s="13">
        <f t="shared" si="5"/>
        <v>6.574693353735285E-2</v>
      </c>
    </row>
    <row r="165" spans="1:4" x14ac:dyDescent="0.35">
      <c r="A165" s="10">
        <v>38412</v>
      </c>
      <c r="B165" s="15">
        <f>VLOOKUP(A165,Database!A:Q,MATCH($A$1,Database!$A$1:$Q$1,),)</f>
        <v>42949</v>
      </c>
      <c r="C165" s="12">
        <f t="shared" si="4"/>
        <v>-5.4187990644466574E-3</v>
      </c>
      <c r="D165" s="13">
        <f t="shared" si="5"/>
        <v>4.5522042892962342E-2</v>
      </c>
    </row>
    <row r="166" spans="1:4" x14ac:dyDescent="0.35">
      <c r="A166" s="11">
        <v>38443</v>
      </c>
      <c r="B166" s="15">
        <f>VLOOKUP(A166,Database!A:Q,MATCH($A$1,Database!$A$1:$Q$1,),)</f>
        <v>43601</v>
      </c>
      <c r="C166" s="12">
        <f t="shared" si="4"/>
        <v>1.518079582760949E-2</v>
      </c>
      <c r="D166" s="13">
        <f t="shared" si="5"/>
        <v>7.2278786090207076E-2</v>
      </c>
    </row>
    <row r="167" spans="1:4" x14ac:dyDescent="0.35">
      <c r="A167" s="10">
        <v>38473</v>
      </c>
      <c r="B167" s="15">
        <f>VLOOKUP(A167,Database!A:Q,MATCH($A$1,Database!$A$1:$Q$1,),)</f>
        <v>43423</v>
      </c>
      <c r="C167" s="12">
        <f t="shared" si="4"/>
        <v>-4.0824751725877847E-3</v>
      </c>
      <c r="D167" s="13">
        <f t="shared" si="5"/>
        <v>5.0590341623923354E-2</v>
      </c>
    </row>
    <row r="168" spans="1:4" x14ac:dyDescent="0.35">
      <c r="A168" s="11">
        <v>38504</v>
      </c>
      <c r="B168" s="15">
        <f>VLOOKUP(A168,Database!A:Q,MATCH($A$1,Database!$A$1:$Q$1,),)</f>
        <v>44354</v>
      </c>
      <c r="C168" s="12">
        <f t="shared" si="4"/>
        <v>2.1440250558459804E-2</v>
      </c>
      <c r="D168" s="13">
        <f t="shared" si="5"/>
        <v>8.8281480027480611E-2</v>
      </c>
    </row>
    <row r="169" spans="1:4" x14ac:dyDescent="0.35">
      <c r="A169" s="10">
        <v>38534</v>
      </c>
      <c r="B169" s="15">
        <f>VLOOKUP(A169,Database!A:Q,MATCH($A$1,Database!$A$1:$Q$1,),)</f>
        <v>44017</v>
      </c>
      <c r="C169" s="12">
        <f t="shared" si="4"/>
        <v>-7.5979618523695719E-3</v>
      </c>
      <c r="D169" s="13">
        <f t="shared" si="5"/>
        <v>6.8451586280554408E-2</v>
      </c>
    </row>
    <row r="170" spans="1:4" x14ac:dyDescent="0.35">
      <c r="A170" s="11">
        <v>38565</v>
      </c>
      <c r="B170" s="15">
        <f>VLOOKUP(A170,Database!A:Q,MATCH($A$1,Database!$A$1:$Q$1,),)</f>
        <v>44214</v>
      </c>
      <c r="C170" s="12">
        <f t="shared" si="4"/>
        <v>4.4755435399959111E-3</v>
      </c>
      <c r="D170" s="13">
        <f t="shared" si="5"/>
        <v>6.9961038646758469E-2</v>
      </c>
    </row>
    <row r="171" spans="1:4" x14ac:dyDescent="0.35">
      <c r="A171" s="10">
        <v>38596</v>
      </c>
      <c r="B171" s="15">
        <f>VLOOKUP(A171,Database!A:Q,MATCH($A$1,Database!$A$1:$Q$1,),)</f>
        <v>44502</v>
      </c>
      <c r="C171" s="12">
        <f t="shared" si="4"/>
        <v>6.5137739177636043E-3</v>
      </c>
      <c r="D171" s="13">
        <f t="shared" si="5"/>
        <v>7.0918060401877037E-2</v>
      </c>
    </row>
    <row r="172" spans="1:4" x14ac:dyDescent="0.35">
      <c r="A172" s="11">
        <v>38626</v>
      </c>
      <c r="B172" s="15">
        <f>VLOOKUP(A172,Database!A:Q,MATCH($A$1,Database!$A$1:$Q$1,),)</f>
        <v>45267</v>
      </c>
      <c r="C172" s="12">
        <f t="shared" si="4"/>
        <v>1.7190238640959955E-2</v>
      </c>
      <c r="D172" s="13">
        <f t="shared" si="5"/>
        <v>7.6709005280433853E-2</v>
      </c>
    </row>
    <row r="173" spans="1:4" x14ac:dyDescent="0.35">
      <c r="A173" s="10">
        <v>38657</v>
      </c>
      <c r="B173" s="15">
        <f>VLOOKUP(A173,Database!A:Q,MATCH($A$1,Database!$A$1:$Q$1,),)</f>
        <v>45226</v>
      </c>
      <c r="C173" s="12">
        <f t="shared" si="4"/>
        <v>-9.0573707115558792E-4</v>
      </c>
      <c r="D173" s="13">
        <f t="shared" si="5"/>
        <v>7.2239740155053467E-2</v>
      </c>
    </row>
    <row r="174" spans="1:4" x14ac:dyDescent="0.35">
      <c r="A174" s="11">
        <v>38687</v>
      </c>
      <c r="B174" s="15">
        <f>VLOOKUP(A174,Database!A:Q,MATCH($A$1,Database!$A$1:$Q$1,),)</f>
        <v>44778</v>
      </c>
      <c r="C174" s="12">
        <f t="shared" si="4"/>
        <v>-9.9058063945518058E-3</v>
      </c>
      <c r="D174" s="13">
        <f t="shared" si="5"/>
        <v>4.9746811702925733E-2</v>
      </c>
    </row>
    <row r="175" spans="1:4" x14ac:dyDescent="0.35">
      <c r="A175" s="10">
        <v>38718</v>
      </c>
      <c r="B175" s="15">
        <f>VLOOKUP(A175,Database!A:Q,MATCH($A$1,Database!$A$1:$Q$1,),)</f>
        <v>45710</v>
      </c>
      <c r="C175" s="12">
        <f t="shared" si="4"/>
        <v>2.0813792487382198E-2</v>
      </c>
      <c r="D175" s="13">
        <f t="shared" si="5"/>
        <v>7.4114108468841061E-2</v>
      </c>
    </row>
    <row r="176" spans="1:4" x14ac:dyDescent="0.35">
      <c r="A176" s="11">
        <v>38749</v>
      </c>
      <c r="B176" s="15">
        <f>VLOOKUP(A176,Database!A:Q,MATCH($A$1,Database!$A$1:$Q$1,),)</f>
        <v>45774</v>
      </c>
      <c r="C176" s="12">
        <f t="shared" si="4"/>
        <v>1.4001312623058411E-3</v>
      </c>
      <c r="D176" s="13">
        <f t="shared" si="5"/>
        <v>6.0000463145219181E-2</v>
      </c>
    </row>
    <row r="177" spans="1:4" x14ac:dyDescent="0.35">
      <c r="A177" s="10">
        <v>38777</v>
      </c>
      <c r="B177" s="15">
        <f>VLOOKUP(A177,Database!A:Q,MATCH($A$1,Database!$A$1:$Q$1,),)</f>
        <v>45635</v>
      </c>
      <c r="C177" s="12">
        <f t="shared" si="4"/>
        <v>-3.0366583650107046E-3</v>
      </c>
      <c r="D177" s="13">
        <f t="shared" si="5"/>
        <v>6.2539290786747068E-2</v>
      </c>
    </row>
    <row r="178" spans="1:4" x14ac:dyDescent="0.35">
      <c r="A178" s="11">
        <v>38808</v>
      </c>
      <c r="B178" s="15">
        <f>VLOOKUP(A178,Database!A:Q,MATCH($A$1,Database!$A$1:$Q$1,),)</f>
        <v>46048</v>
      </c>
      <c r="C178" s="12">
        <f t="shared" si="4"/>
        <v>9.0500712172674486E-3</v>
      </c>
      <c r="D178" s="13">
        <f t="shared" si="5"/>
        <v>5.6122565996192746E-2</v>
      </c>
    </row>
    <row r="179" spans="1:4" x14ac:dyDescent="0.35">
      <c r="A179" s="10">
        <v>38838</v>
      </c>
      <c r="B179" s="15">
        <f>VLOOKUP(A179,Database!A:Q,MATCH($A$1,Database!$A$1:$Q$1,),)</f>
        <v>45806</v>
      </c>
      <c r="C179" s="12">
        <f t="shared" si="4"/>
        <v>-5.2553856845031274E-3</v>
      </c>
      <c r="D179" s="13">
        <f t="shared" si="5"/>
        <v>5.4878750892384219E-2</v>
      </c>
    </row>
    <row r="180" spans="1:4" x14ac:dyDescent="0.35">
      <c r="A180" s="11">
        <v>38869</v>
      </c>
      <c r="B180" s="15">
        <f>VLOOKUP(A180,Database!A:Q,MATCH($A$1,Database!$A$1:$Q$1,),)</f>
        <v>45956</v>
      </c>
      <c r="C180" s="12">
        <f t="shared" si="4"/>
        <v>3.2746801729031131E-3</v>
      </c>
      <c r="D180" s="13">
        <f t="shared" si="5"/>
        <v>3.6118501149839922E-2</v>
      </c>
    </row>
    <row r="181" spans="1:4" x14ac:dyDescent="0.35">
      <c r="A181" s="10">
        <v>38899</v>
      </c>
      <c r="B181" s="15">
        <f>VLOOKUP(A181,Database!A:Q,MATCH($A$1,Database!$A$1:$Q$1,),)</f>
        <v>45838</v>
      </c>
      <c r="C181" s="12">
        <f t="shared" si="4"/>
        <v>-2.5676734267560276E-3</v>
      </c>
      <c r="D181" s="13">
        <f t="shared" si="5"/>
        <v>4.1370379626053569E-2</v>
      </c>
    </row>
    <row r="182" spans="1:4" x14ac:dyDescent="0.35">
      <c r="A182" s="11">
        <v>38930</v>
      </c>
      <c r="B182" s="15">
        <f>VLOOKUP(A182,Database!A:Q,MATCH($A$1,Database!$A$1:$Q$1,),)</f>
        <v>46043</v>
      </c>
      <c r="C182" s="12">
        <f t="shared" si="4"/>
        <v>4.4722719141323791E-3</v>
      </c>
      <c r="D182" s="13">
        <f t="shared" si="5"/>
        <v>4.1366987831908446E-2</v>
      </c>
    </row>
    <row r="183" spans="1:4" x14ac:dyDescent="0.35">
      <c r="A183" s="10">
        <v>38961</v>
      </c>
      <c r="B183" s="15">
        <f>VLOOKUP(A183,Database!A:Q,MATCH($A$1,Database!$A$1:$Q$1,),)</f>
        <v>46712</v>
      </c>
      <c r="C183" s="12">
        <f t="shared" si="4"/>
        <v>1.452989596681363E-2</v>
      </c>
      <c r="D183" s="13">
        <f t="shared" si="5"/>
        <v>4.9660689407217656E-2</v>
      </c>
    </row>
    <row r="184" spans="1:4" x14ac:dyDescent="0.35">
      <c r="A184" s="11">
        <v>38991</v>
      </c>
      <c r="B184" s="15">
        <f>VLOOKUP(A184,Database!A:Q,MATCH($A$1,Database!$A$1:$Q$1,),)</f>
        <v>46679</v>
      </c>
      <c r="C184" s="12">
        <f t="shared" si="4"/>
        <v>-7.0645658503168353E-4</v>
      </c>
      <c r="D184" s="13">
        <f t="shared" si="5"/>
        <v>3.1192701084675371E-2</v>
      </c>
    </row>
    <row r="185" spans="1:4" x14ac:dyDescent="0.35">
      <c r="A185" s="10">
        <v>39022</v>
      </c>
      <c r="B185" s="15">
        <f>VLOOKUP(A185,Database!A:Q,MATCH($A$1,Database!$A$1:$Q$1,),)</f>
        <v>46800</v>
      </c>
      <c r="C185" s="12">
        <f t="shared" si="4"/>
        <v>2.592172068810386E-3</v>
      </c>
      <c r="D185" s="13">
        <f t="shared" si="5"/>
        <v>3.4802989430858355E-2</v>
      </c>
    </row>
    <row r="186" spans="1:4" x14ac:dyDescent="0.35">
      <c r="A186" s="11">
        <v>39052</v>
      </c>
      <c r="B186" s="15">
        <f>VLOOKUP(A186,Database!A:Q,MATCH($A$1,Database!$A$1:$Q$1,),)</f>
        <v>47344</v>
      </c>
      <c r="C186" s="12">
        <f t="shared" si="4"/>
        <v>1.1623931623931624E-2</v>
      </c>
      <c r="D186" s="13">
        <f t="shared" si="5"/>
        <v>5.7304926526419227E-2</v>
      </c>
    </row>
    <row r="187" spans="1:4" x14ac:dyDescent="0.35">
      <c r="A187" s="10">
        <v>39083</v>
      </c>
      <c r="B187" s="15">
        <f>VLOOKUP(A187,Database!A:Q,MATCH($A$1,Database!$A$1:$Q$1,),)</f>
        <v>48034</v>
      </c>
      <c r="C187" s="12">
        <f t="shared" si="4"/>
        <v>1.4574180466373775E-2</v>
      </c>
      <c r="D187" s="13">
        <f t="shared" si="5"/>
        <v>5.0842266462480856E-2</v>
      </c>
    </row>
    <row r="188" spans="1:4" x14ac:dyDescent="0.35">
      <c r="A188" s="11">
        <v>39114</v>
      </c>
      <c r="B188" s="15">
        <f>VLOOKUP(A188,Database!A:Q,MATCH($A$1,Database!$A$1:$Q$1,),)</f>
        <v>47293</v>
      </c>
      <c r="C188" s="12">
        <f t="shared" si="4"/>
        <v>-1.5426572844235334E-2</v>
      </c>
      <c r="D188" s="13">
        <f t="shared" si="5"/>
        <v>3.3184777384541446E-2</v>
      </c>
    </row>
    <row r="189" spans="1:4" x14ac:dyDescent="0.35">
      <c r="A189" s="10">
        <v>39142</v>
      </c>
      <c r="B189" s="15">
        <f>VLOOKUP(A189,Database!A:Q,MATCH($A$1,Database!$A$1:$Q$1,),)</f>
        <v>48132</v>
      </c>
      <c r="C189" s="12">
        <f t="shared" si="4"/>
        <v>1.7740468991182628E-2</v>
      </c>
      <c r="D189" s="13">
        <f t="shared" si="5"/>
        <v>5.4716774405609729E-2</v>
      </c>
    </row>
    <row r="190" spans="1:4" x14ac:dyDescent="0.35">
      <c r="A190" s="11">
        <v>39173</v>
      </c>
      <c r="B190" s="15">
        <f>VLOOKUP(A190,Database!A:Q,MATCH($A$1,Database!$A$1:$Q$1,),)</f>
        <v>47679</v>
      </c>
      <c r="C190" s="12">
        <f t="shared" si="4"/>
        <v>-9.4116180503615067E-3</v>
      </c>
      <c r="D190" s="13">
        <f t="shared" si="5"/>
        <v>3.5419562195969423E-2</v>
      </c>
    </row>
    <row r="191" spans="1:4" x14ac:dyDescent="0.35">
      <c r="A191" s="10">
        <v>39203</v>
      </c>
      <c r="B191" s="15">
        <f>VLOOKUP(A191,Database!A:Q,MATCH($A$1,Database!$A$1:$Q$1,),)</f>
        <v>47887</v>
      </c>
      <c r="C191" s="12">
        <f t="shared" si="4"/>
        <v>4.362507602927914E-3</v>
      </c>
      <c r="D191" s="13">
        <f t="shared" si="5"/>
        <v>4.5430729598742524E-2</v>
      </c>
    </row>
    <row r="192" spans="1:4" x14ac:dyDescent="0.35">
      <c r="A192" s="11">
        <v>39234</v>
      </c>
      <c r="B192" s="15">
        <f>VLOOKUP(A192,Database!A:Q,MATCH($A$1,Database!$A$1:$Q$1,),)</f>
        <v>47852</v>
      </c>
      <c r="C192" s="12">
        <f t="shared" si="4"/>
        <v>-7.3088729717877502E-4</v>
      </c>
      <c r="D192" s="13">
        <f t="shared" si="5"/>
        <v>4.125685438245278E-2</v>
      </c>
    </row>
    <row r="193" spans="1:4" x14ac:dyDescent="0.35">
      <c r="A193" s="10">
        <v>39264</v>
      </c>
      <c r="B193" s="15">
        <f>VLOOKUP(A193,Database!A:Q,MATCH($A$1,Database!$A$1:$Q$1,),)</f>
        <v>48412</v>
      </c>
      <c r="C193" s="12">
        <f t="shared" si="4"/>
        <v>1.1702750146284377E-2</v>
      </c>
      <c r="D193" s="13">
        <f t="shared" si="5"/>
        <v>5.6154282473057288E-2</v>
      </c>
    </row>
    <row r="194" spans="1:4" x14ac:dyDescent="0.35">
      <c r="A194" s="11">
        <v>39295</v>
      </c>
      <c r="B194" s="15">
        <f>VLOOKUP(A194,Database!A:Q,MATCH($A$1,Database!$A$1:$Q$1,),)</f>
        <v>48704</v>
      </c>
      <c r="C194" s="12">
        <f t="shared" si="4"/>
        <v>6.0315624225398658E-3</v>
      </c>
      <c r="D194" s="13">
        <f t="shared" si="5"/>
        <v>5.7793801446473947E-2</v>
      </c>
    </row>
    <row r="195" spans="1:4" x14ac:dyDescent="0.35">
      <c r="A195" s="10">
        <v>39326</v>
      </c>
      <c r="B195" s="15">
        <f>VLOOKUP(A195,Database!A:Q,MATCH($A$1,Database!$A$1:$Q$1,),)</f>
        <v>48288</v>
      </c>
      <c r="C195" s="12">
        <f t="shared" si="4"/>
        <v>-8.5413929040735869E-3</v>
      </c>
      <c r="D195" s="13">
        <f t="shared" si="5"/>
        <v>3.3738653879088885E-2</v>
      </c>
    </row>
    <row r="196" spans="1:4" x14ac:dyDescent="0.35">
      <c r="A196" s="11">
        <v>39356</v>
      </c>
      <c r="B196" s="15">
        <f>VLOOKUP(A196,Database!A:Q,MATCH($A$1,Database!$A$1:$Q$1,),)</f>
        <v>48540</v>
      </c>
      <c r="C196" s="12">
        <f t="shared" si="4"/>
        <v>5.2186878727634193E-3</v>
      </c>
      <c r="D196" s="13">
        <f t="shared" si="5"/>
        <v>3.9868034876496927E-2</v>
      </c>
    </row>
    <row r="197" spans="1:4" x14ac:dyDescent="0.35">
      <c r="A197" s="10">
        <v>39387</v>
      </c>
      <c r="B197" s="15">
        <f>VLOOKUP(A197,Database!A:Q,MATCH($A$1,Database!$A$1:$Q$1,),)</f>
        <v>49047</v>
      </c>
      <c r="C197" s="12">
        <f t="shared" si="4"/>
        <v>1.0444993819530284E-2</v>
      </c>
      <c r="D197" s="13">
        <f t="shared" si="5"/>
        <v>4.8012820512820513E-2</v>
      </c>
    </row>
    <row r="198" spans="1:4" x14ac:dyDescent="0.35">
      <c r="A198" s="11">
        <v>39417</v>
      </c>
      <c r="B198" s="15">
        <f>VLOOKUP(A198,Database!A:Q,MATCH($A$1,Database!$A$1:$Q$1,),)</f>
        <v>49302</v>
      </c>
      <c r="C198" s="12">
        <f t="shared" si="4"/>
        <v>5.1990947458560154E-3</v>
      </c>
      <c r="D198" s="13">
        <f t="shared" si="5"/>
        <v>4.1356877323420076E-2</v>
      </c>
    </row>
    <row r="199" spans="1:4" x14ac:dyDescent="0.35">
      <c r="A199" s="10">
        <v>39448</v>
      </c>
      <c r="B199" s="15">
        <f>VLOOKUP(A199,Database!A:Q,MATCH($A$1,Database!$A$1:$Q$1,),)</f>
        <v>48951</v>
      </c>
      <c r="C199" s="12">
        <f t="shared" si="4"/>
        <v>-7.1193866374589269E-3</v>
      </c>
      <c r="D199" s="13">
        <f t="shared" si="5"/>
        <v>1.9090644127076655E-2</v>
      </c>
    </row>
    <row r="200" spans="1:4" x14ac:dyDescent="0.35">
      <c r="A200" s="11">
        <v>39479</v>
      </c>
      <c r="B200" s="15">
        <f>VLOOKUP(A200,Database!A:Q,MATCH($A$1,Database!$A$1:$Q$1,),)</f>
        <v>48927</v>
      </c>
      <c r="C200" s="12">
        <f t="shared" ref="C200:C263" si="6">(B200-B199)/B199</f>
        <v>-4.9028620457191891E-4</v>
      </c>
      <c r="D200" s="13">
        <f t="shared" si="5"/>
        <v>3.4550567737297276E-2</v>
      </c>
    </row>
    <row r="201" spans="1:4" x14ac:dyDescent="0.35">
      <c r="A201" s="10">
        <v>39508</v>
      </c>
      <c r="B201" s="15">
        <f>VLOOKUP(A201,Database!A:Q,MATCH($A$1,Database!$A$1:$Q$1,),)</f>
        <v>48990</v>
      </c>
      <c r="C201" s="12">
        <f t="shared" si="6"/>
        <v>1.2876325954994175E-3</v>
      </c>
      <c r="D201" s="13">
        <f t="shared" si="5"/>
        <v>1.7825978558962851E-2</v>
      </c>
    </row>
    <row r="202" spans="1:4" x14ac:dyDescent="0.35">
      <c r="A202" s="11">
        <v>39539</v>
      </c>
      <c r="B202" s="15">
        <f>VLOOKUP(A202,Database!A:Q,MATCH($A$1,Database!$A$1:$Q$1,),)</f>
        <v>49433</v>
      </c>
      <c r="C202" s="12">
        <f t="shared" si="6"/>
        <v>9.0426617677076947E-3</v>
      </c>
      <c r="D202" s="13">
        <f t="shared" si="5"/>
        <v>3.678768430545943E-2</v>
      </c>
    </row>
    <row r="203" spans="1:4" x14ac:dyDescent="0.35">
      <c r="A203" s="10">
        <v>39569</v>
      </c>
      <c r="B203" s="15">
        <f>VLOOKUP(A203,Database!A:Q,MATCH($A$1,Database!$A$1:$Q$1,),)</f>
        <v>50375</v>
      </c>
      <c r="C203" s="12">
        <f t="shared" si="6"/>
        <v>1.905609613011551E-2</v>
      </c>
      <c r="D203" s="13">
        <f t="shared" si="5"/>
        <v>5.1955645582308349E-2</v>
      </c>
    </row>
    <row r="204" spans="1:4" x14ac:dyDescent="0.35">
      <c r="A204" s="11">
        <v>39600</v>
      </c>
      <c r="B204" s="15">
        <f>VLOOKUP(A204,Database!A:Q,MATCH($A$1,Database!$A$1:$Q$1,),)</f>
        <v>50762</v>
      </c>
      <c r="C204" s="12">
        <f t="shared" si="6"/>
        <v>7.682382133995037E-3</v>
      </c>
      <c r="D204" s="13">
        <f t="shared" si="5"/>
        <v>6.081250522444203E-2</v>
      </c>
    </row>
    <row r="205" spans="1:4" x14ac:dyDescent="0.35">
      <c r="A205" s="10">
        <v>39630</v>
      </c>
      <c r="B205" s="15">
        <f>VLOOKUP(A205,Database!A:Q,MATCH($A$1,Database!$A$1:$Q$1,),)</f>
        <v>50582</v>
      </c>
      <c r="C205" s="12">
        <f t="shared" si="6"/>
        <v>-3.5459595760608327E-3</v>
      </c>
      <c r="D205" s="13">
        <f t="shared" si="5"/>
        <v>4.4823597455176403E-2</v>
      </c>
    </row>
    <row r="206" spans="1:4" x14ac:dyDescent="0.35">
      <c r="A206" s="11">
        <v>39661</v>
      </c>
      <c r="B206" s="15">
        <f>VLOOKUP(A206,Database!A:Q,MATCH($A$1,Database!$A$1:$Q$1,),)</f>
        <v>50131</v>
      </c>
      <c r="C206" s="12">
        <f t="shared" si="6"/>
        <v>-8.9162152544383384E-3</v>
      </c>
      <c r="D206" s="13">
        <f t="shared" si="5"/>
        <v>2.9299441524310119E-2</v>
      </c>
    </row>
    <row r="207" spans="1:4" x14ac:dyDescent="0.35">
      <c r="A207" s="10">
        <v>39692</v>
      </c>
      <c r="B207" s="15">
        <f>VLOOKUP(A207,Database!A:Q,MATCH($A$1,Database!$A$1:$Q$1,),)</f>
        <v>49436</v>
      </c>
      <c r="C207" s="12">
        <f t="shared" si="6"/>
        <v>-1.3863677165825537E-2</v>
      </c>
      <c r="D207" s="13">
        <f t="shared" si="5"/>
        <v>2.3774022531477802E-2</v>
      </c>
    </row>
    <row r="208" spans="1:4" x14ac:dyDescent="0.35">
      <c r="A208" s="11">
        <v>39722</v>
      </c>
      <c r="B208" s="15">
        <f>VLOOKUP(A208,Database!A:Q,MATCH($A$1,Database!$A$1:$Q$1,),)</f>
        <v>49260</v>
      </c>
      <c r="C208" s="12">
        <f t="shared" si="6"/>
        <v>-3.5601585888825958E-3</v>
      </c>
      <c r="D208" s="13">
        <f t="shared" si="5"/>
        <v>1.4833127317676144E-2</v>
      </c>
    </row>
    <row r="209" spans="1:4" x14ac:dyDescent="0.35">
      <c r="A209" s="10">
        <v>39753</v>
      </c>
      <c r="B209" s="15">
        <f>VLOOKUP(A209,Database!A:Q,MATCH($A$1,Database!$A$1:$Q$1,),)</f>
        <v>49464</v>
      </c>
      <c r="C209" s="12">
        <f t="shared" si="6"/>
        <v>4.1412911084043845E-3</v>
      </c>
      <c r="D209" s="13">
        <f t="shared" si="5"/>
        <v>8.5020490549880725E-3</v>
      </c>
    </row>
    <row r="210" spans="1:4" x14ac:dyDescent="0.35">
      <c r="A210" s="11">
        <v>39783</v>
      </c>
      <c r="B210" s="15">
        <f>VLOOKUP(A210,Database!A:Q,MATCH($A$1,Database!$A$1:$Q$1,),)</f>
        <v>48906</v>
      </c>
      <c r="C210" s="12">
        <f t="shared" si="6"/>
        <v>-1.1280931586608443E-2</v>
      </c>
      <c r="D210" s="13">
        <f t="shared" si="5"/>
        <v>-8.0321285140562242E-3</v>
      </c>
    </row>
    <row r="211" spans="1:4" x14ac:dyDescent="0.35">
      <c r="A211" s="10">
        <v>39814</v>
      </c>
      <c r="B211" s="15">
        <f>VLOOKUP(A211,Database!A:Q,MATCH($A$1,Database!$A$1:$Q$1,),)</f>
        <v>49288</v>
      </c>
      <c r="C211" s="12">
        <f t="shared" si="6"/>
        <v>7.8109025477446532E-3</v>
      </c>
      <c r="D211" s="13">
        <f t="shared" ref="D211:D274" si="7">(B211-B199)/B199</f>
        <v>6.8844354558640275E-3</v>
      </c>
    </row>
    <row r="212" spans="1:4" x14ac:dyDescent="0.35">
      <c r="A212" s="11">
        <v>39845</v>
      </c>
      <c r="B212" s="15">
        <f>VLOOKUP(A212,Database!A:Q,MATCH($A$1,Database!$A$1:$Q$1,),)</f>
        <v>49199</v>
      </c>
      <c r="C212" s="12">
        <f t="shared" si="6"/>
        <v>-1.8057133582210681E-3</v>
      </c>
      <c r="D212" s="13">
        <f t="shared" si="7"/>
        <v>5.5593026345371679E-3</v>
      </c>
    </row>
    <row r="213" spans="1:4" x14ac:dyDescent="0.35">
      <c r="A213" s="10">
        <v>39873</v>
      </c>
      <c r="B213" s="15">
        <f>VLOOKUP(A213,Database!A:Q,MATCH($A$1,Database!$A$1:$Q$1,),)</f>
        <v>48840</v>
      </c>
      <c r="C213" s="12">
        <f t="shared" si="6"/>
        <v>-7.296896278379642E-3</v>
      </c>
      <c r="D213" s="13">
        <f t="shared" si="7"/>
        <v>-3.0618493570116348E-3</v>
      </c>
    </row>
    <row r="214" spans="1:4" x14ac:dyDescent="0.35">
      <c r="A214" s="11">
        <v>39904</v>
      </c>
      <c r="B214" s="15">
        <f>VLOOKUP(A214,Database!A:Q,MATCH($A$1,Database!$A$1:$Q$1,),)</f>
        <v>48887</v>
      </c>
      <c r="C214" s="12">
        <f t="shared" si="6"/>
        <v>9.6232596232596228E-4</v>
      </c>
      <c r="D214" s="13">
        <f t="shared" si="7"/>
        <v>-1.104525317095867E-2</v>
      </c>
    </row>
    <row r="215" spans="1:4" x14ac:dyDescent="0.35">
      <c r="A215" s="10">
        <v>39934</v>
      </c>
      <c r="B215" s="15">
        <f>VLOOKUP(A215,Database!A:Q,MATCH($A$1,Database!$A$1:$Q$1,),)</f>
        <v>49085</v>
      </c>
      <c r="C215" s="12">
        <f t="shared" si="6"/>
        <v>4.0501564833186733E-3</v>
      </c>
      <c r="D215" s="13">
        <f t="shared" si="7"/>
        <v>-2.5607940446650126E-2</v>
      </c>
    </row>
    <row r="216" spans="1:4" x14ac:dyDescent="0.35">
      <c r="A216" s="11">
        <v>39965</v>
      </c>
      <c r="B216" s="15">
        <f>VLOOKUP(A216,Database!A:Q,MATCH($A$1,Database!$A$1:$Q$1,),)</f>
        <v>48792</v>
      </c>
      <c r="C216" s="12">
        <f t="shared" si="6"/>
        <v>-5.9692370377915863E-3</v>
      </c>
      <c r="D216" s="13">
        <f t="shared" si="7"/>
        <v>-3.8808557582443559E-2</v>
      </c>
    </row>
    <row r="217" spans="1:4" x14ac:dyDescent="0.35">
      <c r="A217" s="10">
        <v>39995</v>
      </c>
      <c r="B217" s="15">
        <f>VLOOKUP(A217,Database!A:Q,MATCH($A$1,Database!$A$1:$Q$1,),)</f>
        <v>48812</v>
      </c>
      <c r="C217" s="12">
        <f t="shared" si="6"/>
        <v>4.0990326282997212E-4</v>
      </c>
      <c r="D217" s="13">
        <f t="shared" si="7"/>
        <v>-3.4992685144913209E-2</v>
      </c>
    </row>
    <row r="218" spans="1:4" x14ac:dyDescent="0.35">
      <c r="A218" s="11">
        <v>40026</v>
      </c>
      <c r="B218" s="15">
        <f>VLOOKUP(A218,Database!A:Q,MATCH($A$1,Database!$A$1:$Q$1,),)</f>
        <v>48934</v>
      </c>
      <c r="C218" s="12">
        <f t="shared" si="6"/>
        <v>2.4993853970335165E-3</v>
      </c>
      <c r="D218" s="13">
        <f t="shared" si="7"/>
        <v>-2.3877441104306715E-2</v>
      </c>
    </row>
    <row r="219" spans="1:4" x14ac:dyDescent="0.35">
      <c r="A219" s="10">
        <v>40057</v>
      </c>
      <c r="B219" s="15">
        <f>VLOOKUP(A219,Database!A:Q,MATCH($A$1,Database!$A$1:$Q$1,),)</f>
        <v>49220</v>
      </c>
      <c r="C219" s="12">
        <f t="shared" si="6"/>
        <v>5.8446070217027012E-3</v>
      </c>
      <c r="D219" s="13">
        <f t="shared" si="7"/>
        <v>-4.3692855409013676E-3</v>
      </c>
    </row>
    <row r="220" spans="1:4" x14ac:dyDescent="0.35">
      <c r="A220" s="11">
        <v>40087</v>
      </c>
      <c r="B220" s="15">
        <f>VLOOKUP(A220,Database!A:Q,MATCH($A$1,Database!$A$1:$Q$1,),)</f>
        <v>49725</v>
      </c>
      <c r="C220" s="12">
        <f t="shared" si="6"/>
        <v>1.0260056887444129E-2</v>
      </c>
      <c r="D220" s="13">
        <f t="shared" si="7"/>
        <v>9.4397076735688191E-3</v>
      </c>
    </row>
    <row r="221" spans="1:4" x14ac:dyDescent="0.35">
      <c r="A221" s="10">
        <v>40118</v>
      </c>
      <c r="B221" s="15">
        <f>VLOOKUP(A221,Database!A:Q,MATCH($A$1,Database!$A$1:$Q$1,),)</f>
        <v>49156</v>
      </c>
      <c r="C221" s="12">
        <f t="shared" si="6"/>
        <v>-1.1442936148818502E-2</v>
      </c>
      <c r="D221" s="13">
        <f t="shared" si="7"/>
        <v>-6.2267507682354844E-3</v>
      </c>
    </row>
    <row r="222" spans="1:4" x14ac:dyDescent="0.35">
      <c r="A222" s="11">
        <v>40148</v>
      </c>
      <c r="B222" s="15">
        <f>VLOOKUP(A222,Database!A:Q,MATCH($A$1,Database!$A$1:$Q$1,),)</f>
        <v>49657</v>
      </c>
      <c r="C222" s="12">
        <f t="shared" si="6"/>
        <v>1.0192041663276101E-2</v>
      </c>
      <c r="D222" s="13">
        <f t="shared" si="7"/>
        <v>1.5355989040199566E-2</v>
      </c>
    </row>
    <row r="223" spans="1:4" x14ac:dyDescent="0.35">
      <c r="A223" s="10">
        <v>40179</v>
      </c>
      <c r="B223" s="15">
        <f>VLOOKUP(A223,Database!A:Q,MATCH($A$1,Database!$A$1:$Q$1,),)</f>
        <v>49844</v>
      </c>
      <c r="C223" s="12">
        <f t="shared" si="6"/>
        <v>3.7658336186237591E-3</v>
      </c>
      <c r="D223" s="13">
        <f t="shared" si="7"/>
        <v>1.1280636260347346E-2</v>
      </c>
    </row>
    <row r="224" spans="1:4" x14ac:dyDescent="0.35">
      <c r="A224" s="11">
        <v>40210</v>
      </c>
      <c r="B224" s="15">
        <f>VLOOKUP(A224,Database!A:Q,MATCH($A$1,Database!$A$1:$Q$1,),)</f>
        <v>50538</v>
      </c>
      <c r="C224" s="12">
        <f t="shared" si="6"/>
        <v>1.3923441136345398E-2</v>
      </c>
      <c r="D224" s="13">
        <f t="shared" si="7"/>
        <v>2.7216000325209863E-2</v>
      </c>
    </row>
    <row r="225" spans="1:4" x14ac:dyDescent="0.35">
      <c r="A225" s="10">
        <v>40238</v>
      </c>
      <c r="B225" s="15">
        <f>VLOOKUP(A225,Database!A:Q,MATCH($A$1,Database!$A$1:$Q$1,),)</f>
        <v>50095</v>
      </c>
      <c r="C225" s="12">
        <f t="shared" si="6"/>
        <v>-8.7656812695397525E-3</v>
      </c>
      <c r="D225" s="13">
        <f t="shared" si="7"/>
        <v>2.5696150696150697E-2</v>
      </c>
    </row>
    <row r="226" spans="1:4" x14ac:dyDescent="0.35">
      <c r="A226" s="11">
        <v>40269</v>
      </c>
      <c r="B226" s="15">
        <f>VLOOKUP(A226,Database!A:Q,MATCH($A$1,Database!$A$1:$Q$1,),)</f>
        <v>50650</v>
      </c>
      <c r="C226" s="12">
        <f t="shared" si="6"/>
        <v>1.1078949995009482E-2</v>
      </c>
      <c r="D226" s="13">
        <f t="shared" si="7"/>
        <v>3.6062756970155666E-2</v>
      </c>
    </row>
    <row r="227" spans="1:4" x14ac:dyDescent="0.35">
      <c r="A227" s="10">
        <v>40299</v>
      </c>
      <c r="B227" s="15">
        <f>VLOOKUP(A227,Database!A:Q,MATCH($A$1,Database!$A$1:$Q$1,),)</f>
        <v>50023</v>
      </c>
      <c r="C227" s="12">
        <f t="shared" si="6"/>
        <v>-1.2379072063178677E-2</v>
      </c>
      <c r="D227" s="13">
        <f t="shared" si="7"/>
        <v>1.9109707649994905E-2</v>
      </c>
    </row>
    <row r="228" spans="1:4" x14ac:dyDescent="0.35">
      <c r="A228" s="11">
        <v>40330</v>
      </c>
      <c r="B228" s="15">
        <f>VLOOKUP(A228,Database!A:Q,MATCH($A$1,Database!$A$1:$Q$1,),)</f>
        <v>49966</v>
      </c>
      <c r="C228" s="12">
        <f t="shared" si="6"/>
        <v>-1.1394758411130881E-3</v>
      </c>
      <c r="D228" s="13">
        <f t="shared" si="7"/>
        <v>2.4061321528119364E-2</v>
      </c>
    </row>
    <row r="229" spans="1:4" x14ac:dyDescent="0.35">
      <c r="A229" s="10">
        <v>40360</v>
      </c>
      <c r="B229" s="15">
        <f>VLOOKUP(A229,Database!A:Q,MATCH($A$1,Database!$A$1:$Q$1,),)</f>
        <v>49913</v>
      </c>
      <c r="C229" s="12">
        <f t="shared" si="6"/>
        <v>-1.0607212904775248E-3</v>
      </c>
      <c r="D229" s="13">
        <f t="shared" si="7"/>
        <v>2.2555928869950011E-2</v>
      </c>
    </row>
    <row r="230" spans="1:4" x14ac:dyDescent="0.35">
      <c r="A230" s="11">
        <v>40391</v>
      </c>
      <c r="B230" s="15">
        <f>VLOOKUP(A230,Database!A:Q,MATCH($A$1,Database!$A$1:$Q$1,),)</f>
        <v>50133</v>
      </c>
      <c r="C230" s="12">
        <f t="shared" si="6"/>
        <v>4.4076693446597082E-3</v>
      </c>
      <c r="D230" s="13">
        <f t="shared" si="7"/>
        <v>2.4502390975599787E-2</v>
      </c>
    </row>
    <row r="231" spans="1:4" x14ac:dyDescent="0.35">
      <c r="A231" s="10">
        <v>40422</v>
      </c>
      <c r="B231" s="15">
        <f>VLOOKUP(A231,Database!A:Q,MATCH($A$1,Database!$A$1:$Q$1,),)</f>
        <v>50297</v>
      </c>
      <c r="C231" s="12">
        <f t="shared" si="6"/>
        <v>3.2712983463985797E-3</v>
      </c>
      <c r="D231" s="13">
        <f t="shared" si="7"/>
        <v>2.1881349045103617E-2</v>
      </c>
    </row>
    <row r="232" spans="1:4" x14ac:dyDescent="0.35">
      <c r="A232" s="11">
        <v>40452</v>
      </c>
      <c r="B232" s="15">
        <f>VLOOKUP(A232,Database!A:Q,MATCH($A$1,Database!$A$1:$Q$1,),)</f>
        <v>50255</v>
      </c>
      <c r="C232" s="12">
        <f t="shared" si="6"/>
        <v>-8.3503986321251762E-4</v>
      </c>
      <c r="D232" s="13">
        <f t="shared" si="7"/>
        <v>1.0658622423328306E-2</v>
      </c>
    </row>
    <row r="233" spans="1:4" x14ac:dyDescent="0.35">
      <c r="A233" s="10">
        <v>40483</v>
      </c>
      <c r="B233" s="15">
        <f>VLOOKUP(A233,Database!A:Q,MATCH($A$1,Database!$A$1:$Q$1,),)</f>
        <v>51382</v>
      </c>
      <c r="C233" s="12">
        <f t="shared" si="6"/>
        <v>2.2425629290617848E-2</v>
      </c>
      <c r="D233" s="13">
        <f t="shared" si="7"/>
        <v>4.5284400683538124E-2</v>
      </c>
    </row>
    <row r="234" spans="1:4" x14ac:dyDescent="0.35">
      <c r="A234" s="11">
        <v>40513</v>
      </c>
      <c r="B234" s="15">
        <f>VLOOKUP(A234,Database!A:Q,MATCH($A$1,Database!$A$1:$Q$1,),)</f>
        <v>50935</v>
      </c>
      <c r="C234" s="12">
        <f t="shared" si="6"/>
        <v>-8.69954458759877E-3</v>
      </c>
      <c r="D234" s="13">
        <f t="shared" si="7"/>
        <v>2.5736552751877882E-2</v>
      </c>
    </row>
    <row r="235" spans="1:4" x14ac:dyDescent="0.35">
      <c r="A235" s="10">
        <v>40544</v>
      </c>
      <c r="B235" s="15">
        <f>VLOOKUP(A235,Database!A:Q,MATCH($A$1,Database!$A$1:$Q$1,),)</f>
        <v>50889</v>
      </c>
      <c r="C235" s="12">
        <f t="shared" si="6"/>
        <v>-9.031118091685482E-4</v>
      </c>
      <c r="D235" s="13">
        <f t="shared" si="7"/>
        <v>2.0965412085707406E-2</v>
      </c>
    </row>
    <row r="236" spans="1:4" x14ac:dyDescent="0.35">
      <c r="A236" s="11">
        <v>40575</v>
      </c>
      <c r="B236" s="15">
        <f>VLOOKUP(A236,Database!A:Q,MATCH($A$1,Database!$A$1:$Q$1,),)</f>
        <v>51513</v>
      </c>
      <c r="C236" s="12">
        <f t="shared" si="6"/>
        <v>1.2261981960738078E-2</v>
      </c>
      <c r="D236" s="13">
        <f t="shared" si="7"/>
        <v>1.9292413629348214E-2</v>
      </c>
    </row>
    <row r="237" spans="1:4" x14ac:dyDescent="0.35">
      <c r="A237" s="10">
        <v>40603</v>
      </c>
      <c r="B237" s="15">
        <f>VLOOKUP(A237,Database!A:Q,MATCH($A$1,Database!$A$1:$Q$1,),)</f>
        <v>51635</v>
      </c>
      <c r="C237" s="12">
        <f t="shared" si="6"/>
        <v>2.3683342068992292E-3</v>
      </c>
      <c r="D237" s="13">
        <f t="shared" si="7"/>
        <v>3.0741590977143428E-2</v>
      </c>
    </row>
    <row r="238" spans="1:4" x14ac:dyDescent="0.35">
      <c r="A238" s="11">
        <v>40634</v>
      </c>
      <c r="B238" s="15">
        <f>VLOOKUP(A238,Database!A:Q,MATCH($A$1,Database!$A$1:$Q$1,),)</f>
        <v>52018</v>
      </c>
      <c r="C238" s="12">
        <f t="shared" si="6"/>
        <v>7.4174494044737093E-3</v>
      </c>
      <c r="D238" s="13">
        <f t="shared" si="7"/>
        <v>2.700888450148075E-2</v>
      </c>
    </row>
    <row r="239" spans="1:4" x14ac:dyDescent="0.35">
      <c r="A239" s="10">
        <v>40664</v>
      </c>
      <c r="B239" s="15">
        <f>VLOOKUP(A239,Database!A:Q,MATCH($A$1,Database!$A$1:$Q$1,),)</f>
        <v>51752</v>
      </c>
      <c r="C239" s="12">
        <f t="shared" si="6"/>
        <v>-5.1136145180514436E-3</v>
      </c>
      <c r="D239" s="13">
        <f t="shared" si="7"/>
        <v>3.4564100513763671E-2</v>
      </c>
    </row>
    <row r="240" spans="1:4" x14ac:dyDescent="0.35">
      <c r="A240" s="11">
        <v>40695</v>
      </c>
      <c r="B240" s="15">
        <f>VLOOKUP(A240,Database!A:Q,MATCH($A$1,Database!$A$1:$Q$1,),)</f>
        <v>52419</v>
      </c>
      <c r="C240" s="12">
        <f t="shared" si="6"/>
        <v>1.2888390786829495E-2</v>
      </c>
      <c r="D240" s="13">
        <f t="shared" si="7"/>
        <v>4.9093383500780532E-2</v>
      </c>
    </row>
    <row r="241" spans="1:4" x14ac:dyDescent="0.35">
      <c r="A241" s="10">
        <v>40725</v>
      </c>
      <c r="B241" s="15">
        <f>VLOOKUP(A241,Database!A:Q,MATCH($A$1,Database!$A$1:$Q$1,),)</f>
        <v>52110</v>
      </c>
      <c r="C241" s="12">
        <f t="shared" si="6"/>
        <v>-5.8948091340925999E-3</v>
      </c>
      <c r="D241" s="13">
        <f t="shared" si="7"/>
        <v>4.4016588864624444E-2</v>
      </c>
    </row>
    <row r="242" spans="1:4" x14ac:dyDescent="0.35">
      <c r="A242" s="11">
        <v>40756</v>
      </c>
      <c r="B242" s="15">
        <f>VLOOKUP(A242,Database!A:Q,MATCH($A$1,Database!$A$1:$Q$1,),)</f>
        <v>52132</v>
      </c>
      <c r="C242" s="12">
        <f t="shared" si="6"/>
        <v>4.2218384187296107E-4</v>
      </c>
      <c r="D242" s="13">
        <f t="shared" si="7"/>
        <v>3.9873935332016837E-2</v>
      </c>
    </row>
    <row r="243" spans="1:4" x14ac:dyDescent="0.35">
      <c r="A243" s="10">
        <v>40787</v>
      </c>
      <c r="B243" s="15">
        <f>VLOOKUP(A243,Database!A:Q,MATCH($A$1,Database!$A$1:$Q$1,),)</f>
        <v>52570</v>
      </c>
      <c r="C243" s="12">
        <f t="shared" si="6"/>
        <v>8.4017494053556362E-3</v>
      </c>
      <c r="D243" s="13">
        <f t="shared" si="7"/>
        <v>4.5191562121001255E-2</v>
      </c>
    </row>
    <row r="244" spans="1:4" x14ac:dyDescent="0.35">
      <c r="A244" s="11">
        <v>40817</v>
      </c>
      <c r="B244" s="15">
        <f>VLOOKUP(A244,Database!A:Q,MATCH($A$1,Database!$A$1:$Q$1,),)</f>
        <v>52463</v>
      </c>
      <c r="C244" s="12">
        <f t="shared" si="6"/>
        <v>-2.0353813962335934E-3</v>
      </c>
      <c r="D244" s="13">
        <f t="shared" si="7"/>
        <v>4.3935926773455376E-2</v>
      </c>
    </row>
    <row r="245" spans="1:4" x14ac:dyDescent="0.35">
      <c r="A245" s="10">
        <v>40848</v>
      </c>
      <c r="B245" s="15">
        <f>VLOOKUP(A245,Database!A:Q,MATCH($A$1,Database!$A$1:$Q$1,),)</f>
        <v>52639</v>
      </c>
      <c r="C245" s="12">
        <f t="shared" si="6"/>
        <v>3.3547452490326514E-3</v>
      </c>
      <c r="D245" s="13">
        <f t="shared" si="7"/>
        <v>2.4463820014791172E-2</v>
      </c>
    </row>
    <row r="246" spans="1:4" x14ac:dyDescent="0.35">
      <c r="A246" s="11">
        <v>40878</v>
      </c>
      <c r="B246" s="15">
        <f>VLOOKUP(A246,Database!A:Q,MATCH($A$1,Database!$A$1:$Q$1,),)</f>
        <v>52459</v>
      </c>
      <c r="C246" s="12">
        <f t="shared" si="6"/>
        <v>-3.4195178479834343E-3</v>
      </c>
      <c r="D246" s="13">
        <f t="shared" si="7"/>
        <v>2.9920486895062333E-2</v>
      </c>
    </row>
    <row r="247" spans="1:4" x14ac:dyDescent="0.35">
      <c r="A247" s="10">
        <v>40909</v>
      </c>
      <c r="B247" s="15">
        <f>VLOOKUP(A247,Database!A:Q,MATCH($A$1,Database!$A$1:$Q$1,),)</f>
        <v>53097</v>
      </c>
      <c r="C247" s="12">
        <f t="shared" si="6"/>
        <v>1.2161878800587125E-2</v>
      </c>
      <c r="D247" s="13">
        <f t="shared" si="7"/>
        <v>4.3388551553380887E-2</v>
      </c>
    </row>
    <row r="248" spans="1:4" x14ac:dyDescent="0.35">
      <c r="A248" s="11">
        <v>40940</v>
      </c>
      <c r="B248" s="15">
        <f>VLOOKUP(A248,Database!A:Q,MATCH($A$1,Database!$A$1:$Q$1,),)</f>
        <v>53944</v>
      </c>
      <c r="C248" s="12">
        <f t="shared" si="6"/>
        <v>1.595193702092397E-2</v>
      </c>
      <c r="D248" s="13">
        <f t="shared" si="7"/>
        <v>4.7191970958787105E-2</v>
      </c>
    </row>
    <row r="249" spans="1:4" x14ac:dyDescent="0.35">
      <c r="A249" s="10">
        <v>40969</v>
      </c>
      <c r="B249" s="15">
        <f>VLOOKUP(A249,Database!A:Q,MATCH($A$1,Database!$A$1:$Q$1,),)</f>
        <v>53681</v>
      </c>
      <c r="C249" s="12">
        <f t="shared" si="6"/>
        <v>-4.8754263680854219E-3</v>
      </c>
      <c r="D249" s="13">
        <f t="shared" si="7"/>
        <v>3.9624285852619345E-2</v>
      </c>
    </row>
    <row r="250" spans="1:4" x14ac:dyDescent="0.35">
      <c r="A250" s="11">
        <v>41000</v>
      </c>
      <c r="B250" s="15">
        <f>VLOOKUP(A250,Database!A:Q,MATCH($A$1,Database!$A$1:$Q$1,),)</f>
        <v>53301</v>
      </c>
      <c r="C250" s="12">
        <f t="shared" si="6"/>
        <v>-7.0788547158212407E-3</v>
      </c>
      <c r="D250" s="13">
        <f t="shared" si="7"/>
        <v>2.4664539197969935E-2</v>
      </c>
    </row>
    <row r="251" spans="1:4" x14ac:dyDescent="0.35">
      <c r="A251" s="10">
        <v>41030</v>
      </c>
      <c r="B251" s="15">
        <f>VLOOKUP(A251,Database!A:Q,MATCH($A$1,Database!$A$1:$Q$1,),)</f>
        <v>53117</v>
      </c>
      <c r="C251" s="12">
        <f t="shared" si="6"/>
        <v>-3.4520928312789627E-3</v>
      </c>
      <c r="D251" s="13">
        <f t="shared" si="7"/>
        <v>2.6375792239913435E-2</v>
      </c>
    </row>
    <row r="252" spans="1:4" x14ac:dyDescent="0.35">
      <c r="A252" s="11">
        <v>41061</v>
      </c>
      <c r="B252" s="15">
        <f>VLOOKUP(A252,Database!A:Q,MATCH($A$1,Database!$A$1:$Q$1,),)</f>
        <v>53158</v>
      </c>
      <c r="C252" s="12">
        <f t="shared" si="6"/>
        <v>7.7188094207127664E-4</v>
      </c>
      <c r="D252" s="13">
        <f t="shared" si="7"/>
        <v>1.409794158606612E-2</v>
      </c>
    </row>
    <row r="253" spans="1:4" x14ac:dyDescent="0.35">
      <c r="A253" s="10">
        <v>41091</v>
      </c>
      <c r="B253" s="15">
        <f>VLOOKUP(A253,Database!A:Q,MATCH($A$1,Database!$A$1:$Q$1,),)</f>
        <v>53303</v>
      </c>
      <c r="C253" s="12">
        <f t="shared" si="6"/>
        <v>2.7277173708566914E-3</v>
      </c>
      <c r="D253" s="13">
        <f t="shared" si="7"/>
        <v>2.2893878334292843E-2</v>
      </c>
    </row>
    <row r="254" spans="1:4" x14ac:dyDescent="0.35">
      <c r="A254" s="11">
        <v>41122</v>
      </c>
      <c r="B254" s="15">
        <f>VLOOKUP(A254,Database!A:Q,MATCH($A$1,Database!$A$1:$Q$1,),)</f>
        <v>53564</v>
      </c>
      <c r="C254" s="12">
        <f t="shared" si="6"/>
        <v>4.8965349042267787E-3</v>
      </c>
      <c r="D254" s="13">
        <f t="shared" si="7"/>
        <v>2.7468733215683265E-2</v>
      </c>
    </row>
    <row r="255" spans="1:4" x14ac:dyDescent="0.35">
      <c r="A255" s="10">
        <v>41153</v>
      </c>
      <c r="B255" s="15">
        <f>VLOOKUP(A255,Database!A:Q,MATCH($A$1,Database!$A$1:$Q$1,),)</f>
        <v>53450</v>
      </c>
      <c r="C255" s="12">
        <f t="shared" si="6"/>
        <v>-2.1282951235904713E-3</v>
      </c>
      <c r="D255" s="13">
        <f t="shared" si="7"/>
        <v>1.6739585314818336E-2</v>
      </c>
    </row>
    <row r="256" spans="1:4" x14ac:dyDescent="0.35">
      <c r="A256" s="11">
        <v>41183</v>
      </c>
      <c r="B256" s="15">
        <f>VLOOKUP(A256,Database!A:Q,MATCH($A$1,Database!$A$1:$Q$1,),)</f>
        <v>53646</v>
      </c>
      <c r="C256" s="12">
        <f t="shared" si="6"/>
        <v>3.666978484565014E-3</v>
      </c>
      <c r="D256" s="13">
        <f t="shared" si="7"/>
        <v>2.2549225168213789E-2</v>
      </c>
    </row>
    <row r="257" spans="1:4" x14ac:dyDescent="0.35">
      <c r="A257" s="10">
        <v>41214</v>
      </c>
      <c r="B257" s="15">
        <f>VLOOKUP(A257,Database!A:Q,MATCH($A$1,Database!$A$1:$Q$1,),)</f>
        <v>53436</v>
      </c>
      <c r="C257" s="12">
        <f t="shared" si="6"/>
        <v>-3.9145509450844423E-3</v>
      </c>
      <c r="D257" s="13">
        <f t="shared" si="7"/>
        <v>1.514086513801554E-2</v>
      </c>
    </row>
    <row r="258" spans="1:4" x14ac:dyDescent="0.35">
      <c r="A258" s="11">
        <v>41244</v>
      </c>
      <c r="B258" s="15">
        <f>VLOOKUP(A258,Database!A:Q,MATCH($A$1,Database!$A$1:$Q$1,),)</f>
        <v>53698</v>
      </c>
      <c r="C258" s="12">
        <f t="shared" si="6"/>
        <v>4.9030616064076656E-3</v>
      </c>
      <c r="D258" s="13">
        <f t="shared" si="7"/>
        <v>2.3618444880764027E-2</v>
      </c>
    </row>
    <row r="259" spans="1:4" x14ac:dyDescent="0.35">
      <c r="A259" s="10">
        <v>41275</v>
      </c>
      <c r="B259" s="15">
        <f>VLOOKUP(A259,Database!A:Q,MATCH($A$1,Database!$A$1:$Q$1,),)</f>
        <v>54062</v>
      </c>
      <c r="C259" s="12">
        <f t="shared" si="6"/>
        <v>6.7786509739655105E-3</v>
      </c>
      <c r="D259" s="13">
        <f t="shared" si="7"/>
        <v>1.8174284799517864E-2</v>
      </c>
    </row>
    <row r="260" spans="1:4" x14ac:dyDescent="0.35">
      <c r="A260" s="11">
        <v>41306</v>
      </c>
      <c r="B260" s="15">
        <f>VLOOKUP(A260,Database!A:Q,MATCH($A$1,Database!$A$1:$Q$1,),)</f>
        <v>54584</v>
      </c>
      <c r="C260" s="12">
        <f t="shared" si="6"/>
        <v>9.6555806296474422E-3</v>
      </c>
      <c r="D260" s="13">
        <f t="shared" si="7"/>
        <v>1.1864155420436008E-2</v>
      </c>
    </row>
    <row r="261" spans="1:4" x14ac:dyDescent="0.35">
      <c r="A261" s="10">
        <v>41334</v>
      </c>
      <c r="B261" s="15">
        <f>VLOOKUP(A261,Database!A:Q,MATCH($A$1,Database!$A$1:$Q$1,),)</f>
        <v>54227</v>
      </c>
      <c r="C261" s="12">
        <f t="shared" si="6"/>
        <v>-6.5403781327861643E-3</v>
      </c>
      <c r="D261" s="13">
        <f t="shared" si="7"/>
        <v>1.0171196512732624E-2</v>
      </c>
    </row>
    <row r="262" spans="1:4" x14ac:dyDescent="0.35">
      <c r="A262" s="11">
        <v>41365</v>
      </c>
      <c r="B262" s="15">
        <f>VLOOKUP(A262,Database!A:Q,MATCH($A$1,Database!$A$1:$Q$1,),)</f>
        <v>54152</v>
      </c>
      <c r="C262" s="12">
        <f t="shared" si="6"/>
        <v>-1.3830748520109908E-3</v>
      </c>
      <c r="D262" s="13">
        <f t="shared" si="7"/>
        <v>1.5965929344665203E-2</v>
      </c>
    </row>
    <row r="263" spans="1:4" x14ac:dyDescent="0.35">
      <c r="A263" s="10">
        <v>41395</v>
      </c>
      <c r="B263" s="15">
        <f>VLOOKUP(A263,Database!A:Q,MATCH($A$1,Database!$A$1:$Q$1,),)</f>
        <v>54488</v>
      </c>
      <c r="C263" s="12">
        <f t="shared" si="6"/>
        <v>6.2047569803516025E-3</v>
      </c>
      <c r="D263" s="13">
        <f t="shared" si="7"/>
        <v>2.5810945648285861E-2</v>
      </c>
    </row>
    <row r="264" spans="1:4" x14ac:dyDescent="0.35">
      <c r="A264" s="11">
        <v>41426</v>
      </c>
      <c r="B264" s="15">
        <f>VLOOKUP(A264,Database!A:Q,MATCH($A$1,Database!$A$1:$Q$1,),)</f>
        <v>54418</v>
      </c>
      <c r="C264" s="12">
        <f t="shared" ref="C264:C327" si="8">(B264-B263)/B263</f>
        <v>-1.2846865364850976E-3</v>
      </c>
      <c r="D264" s="13">
        <f t="shared" si="7"/>
        <v>2.3702923360547801E-2</v>
      </c>
    </row>
    <row r="265" spans="1:4" x14ac:dyDescent="0.35">
      <c r="A265" s="10">
        <v>41456</v>
      </c>
      <c r="B265" s="15">
        <f>VLOOKUP(A265,Database!A:Q,MATCH($A$1,Database!$A$1:$Q$1,),)</f>
        <v>54644</v>
      </c>
      <c r="C265" s="12">
        <f t="shared" si="8"/>
        <v>4.1530375978536512E-3</v>
      </c>
      <c r="D265" s="13">
        <f t="shared" si="7"/>
        <v>2.5158058645854828E-2</v>
      </c>
    </row>
    <row r="266" spans="1:4" x14ac:dyDescent="0.35">
      <c r="A266" s="11">
        <v>41487</v>
      </c>
      <c r="B266" s="15">
        <f>VLOOKUP(A266,Database!A:Q,MATCH($A$1,Database!$A$1:$Q$1,),)</f>
        <v>54470</v>
      </c>
      <c r="C266" s="12">
        <f t="shared" si="8"/>
        <v>-3.1842471268574775E-3</v>
      </c>
      <c r="D266" s="13">
        <f t="shared" si="7"/>
        <v>1.6914345455903219E-2</v>
      </c>
    </row>
    <row r="267" spans="1:4" x14ac:dyDescent="0.35">
      <c r="A267" s="10">
        <v>41518</v>
      </c>
      <c r="B267" s="15">
        <f>VLOOKUP(A267,Database!A:Q,MATCH($A$1,Database!$A$1:$Q$1,),)</f>
        <v>54841</v>
      </c>
      <c r="C267" s="12">
        <f t="shared" si="8"/>
        <v>6.8110886726638516E-3</v>
      </c>
      <c r="D267" s="13">
        <f t="shared" si="7"/>
        <v>2.6024321796071094E-2</v>
      </c>
    </row>
    <row r="268" spans="1:4" x14ac:dyDescent="0.35">
      <c r="A268" s="11">
        <v>41548</v>
      </c>
      <c r="B268" s="15">
        <f>VLOOKUP(A268,Database!A:Q,MATCH($A$1,Database!$A$1:$Q$1,),)</f>
        <v>54845</v>
      </c>
      <c r="C268" s="12">
        <f t="shared" si="8"/>
        <v>7.2938130231031524E-5</v>
      </c>
      <c r="D268" s="13">
        <f t="shared" si="7"/>
        <v>2.2350221824553554E-2</v>
      </c>
    </row>
    <row r="269" spans="1:4" x14ac:dyDescent="0.35">
      <c r="A269" s="10">
        <v>41579</v>
      </c>
      <c r="B269" s="15">
        <f>VLOOKUP(A269,Database!A:Q,MATCH($A$1,Database!$A$1:$Q$1,),)</f>
        <v>54799</v>
      </c>
      <c r="C269" s="12">
        <f t="shared" si="8"/>
        <v>-8.3872732245418905E-4</v>
      </c>
      <c r="D269" s="13">
        <f t="shared" si="7"/>
        <v>2.5507148738678046E-2</v>
      </c>
    </row>
    <row r="270" spans="1:4" x14ac:dyDescent="0.35">
      <c r="A270" s="11">
        <v>41609</v>
      </c>
      <c r="B270" s="15">
        <f>VLOOKUP(A270,Database!A:Q,MATCH($A$1,Database!$A$1:$Q$1,),)</f>
        <v>54632</v>
      </c>
      <c r="C270" s="12">
        <f t="shared" si="8"/>
        <v>-3.0475008668041387E-3</v>
      </c>
      <c r="D270" s="13">
        <f t="shared" si="7"/>
        <v>1.7393571455175238E-2</v>
      </c>
    </row>
    <row r="271" spans="1:4" x14ac:dyDescent="0.35">
      <c r="A271" s="10">
        <v>41640</v>
      </c>
      <c r="B271" s="15">
        <f>VLOOKUP(A271,Database!A:Q,MATCH($A$1,Database!$A$1:$Q$1,),)</f>
        <v>54553</v>
      </c>
      <c r="C271" s="12">
        <f t="shared" si="8"/>
        <v>-1.4460389515302387E-3</v>
      </c>
      <c r="D271" s="13">
        <f t="shared" si="7"/>
        <v>9.0821649217565012E-3</v>
      </c>
    </row>
    <row r="272" spans="1:4" x14ac:dyDescent="0.35">
      <c r="A272" s="11">
        <v>41671</v>
      </c>
      <c r="B272" s="15">
        <f>VLOOKUP(A272,Database!A:Q,MATCH($A$1,Database!$A$1:$Q$1,),)</f>
        <v>55394</v>
      </c>
      <c r="C272" s="12">
        <f t="shared" si="8"/>
        <v>1.5416200758895019E-2</v>
      </c>
      <c r="D272" s="13">
        <f t="shared" si="7"/>
        <v>1.483951341052323E-2</v>
      </c>
    </row>
    <row r="273" spans="1:4" x14ac:dyDescent="0.35">
      <c r="A273" s="10">
        <v>41699</v>
      </c>
      <c r="B273" s="15">
        <f>VLOOKUP(A273,Database!A:Q,MATCH($A$1,Database!$A$1:$Q$1,),)</f>
        <v>55526</v>
      </c>
      <c r="C273" s="12">
        <f t="shared" si="8"/>
        <v>2.3829295591580317E-3</v>
      </c>
      <c r="D273" s="13">
        <f t="shared" si="7"/>
        <v>2.395485643683036E-2</v>
      </c>
    </row>
    <row r="274" spans="1:4" x14ac:dyDescent="0.35">
      <c r="A274" s="11">
        <v>41730</v>
      </c>
      <c r="B274" s="15">
        <f>VLOOKUP(A274,Database!A:Q,MATCH($A$1,Database!$A$1:$Q$1,),)</f>
        <v>55954</v>
      </c>
      <c r="C274" s="12">
        <f t="shared" si="8"/>
        <v>7.7081007095774956E-3</v>
      </c>
      <c r="D274" s="13">
        <f t="shared" si="7"/>
        <v>3.3276702614861868E-2</v>
      </c>
    </row>
    <row r="275" spans="1:4" x14ac:dyDescent="0.35">
      <c r="A275" s="10">
        <v>41760</v>
      </c>
      <c r="B275" s="15">
        <f>VLOOKUP(A275,Database!A:Q,MATCH($A$1,Database!$A$1:$Q$1,),)</f>
        <v>55977</v>
      </c>
      <c r="C275" s="12">
        <f t="shared" si="8"/>
        <v>4.1105193551846159E-4</v>
      </c>
      <c r="D275" s="13">
        <f t="shared" ref="D275:D338" si="9">(B275-B263)/B263</f>
        <v>2.7327117897518721E-2</v>
      </c>
    </row>
    <row r="276" spans="1:4" x14ac:dyDescent="0.35">
      <c r="A276" s="11">
        <v>41791</v>
      </c>
      <c r="B276" s="15">
        <f>VLOOKUP(A276,Database!A:Q,MATCH($A$1,Database!$A$1:$Q$1,),)</f>
        <v>55945</v>
      </c>
      <c r="C276" s="12">
        <f t="shared" si="8"/>
        <v>-5.7166336173785661E-4</v>
      </c>
      <c r="D276" s="13">
        <f t="shared" si="9"/>
        <v>2.8060568194347459E-2</v>
      </c>
    </row>
    <row r="277" spans="1:4" x14ac:dyDescent="0.35">
      <c r="A277" s="10">
        <v>41821</v>
      </c>
      <c r="B277" s="15">
        <f>VLOOKUP(A277,Database!A:Q,MATCH($A$1,Database!$A$1:$Q$1,),)</f>
        <v>56080</v>
      </c>
      <c r="C277" s="12">
        <f t="shared" si="8"/>
        <v>2.4130842792027883E-3</v>
      </c>
      <c r="D277" s="13">
        <f t="shared" si="9"/>
        <v>2.6279188931996194E-2</v>
      </c>
    </row>
    <row r="278" spans="1:4" x14ac:dyDescent="0.35">
      <c r="A278" s="11">
        <v>41852</v>
      </c>
      <c r="B278" s="15">
        <f>VLOOKUP(A278,Database!A:Q,MATCH($A$1,Database!$A$1:$Q$1,),)</f>
        <v>56404</v>
      </c>
      <c r="C278" s="12">
        <f t="shared" si="8"/>
        <v>5.7774607703281024E-3</v>
      </c>
      <c r="D278" s="13">
        <f t="shared" si="9"/>
        <v>3.550578299981641E-2</v>
      </c>
    </row>
    <row r="279" spans="1:4" x14ac:dyDescent="0.35">
      <c r="A279" s="10">
        <v>41883</v>
      </c>
      <c r="B279" s="15">
        <f>VLOOKUP(A279,Database!A:Q,MATCH($A$1,Database!$A$1:$Q$1,),)</f>
        <v>56074</v>
      </c>
      <c r="C279" s="12">
        <f t="shared" si="8"/>
        <v>-5.8506488901496345E-3</v>
      </c>
      <c r="D279" s="13">
        <f t="shared" si="9"/>
        <v>2.2483178643715469E-2</v>
      </c>
    </row>
    <row r="280" spans="1:4" x14ac:dyDescent="0.35">
      <c r="A280" s="11">
        <v>41913</v>
      </c>
      <c r="B280" s="15">
        <f>VLOOKUP(A280,Database!A:Q,MATCH($A$1,Database!$A$1:$Q$1,),)</f>
        <v>56232</v>
      </c>
      <c r="C280" s="12">
        <f t="shared" si="8"/>
        <v>2.8177051753040623E-3</v>
      </c>
      <c r="D280" s="13">
        <f t="shared" si="9"/>
        <v>2.5289452092260006E-2</v>
      </c>
    </row>
    <row r="281" spans="1:4" x14ac:dyDescent="0.35">
      <c r="A281" s="10">
        <v>41944</v>
      </c>
      <c r="B281" s="15">
        <f>VLOOKUP(A281,Database!A:Q,MATCH($A$1,Database!$A$1:$Q$1,),)</f>
        <v>56337</v>
      </c>
      <c r="C281" s="12">
        <f t="shared" si="8"/>
        <v>1.8672641912078531E-3</v>
      </c>
      <c r="D281" s="13">
        <f t="shared" si="9"/>
        <v>2.8066205587693207E-2</v>
      </c>
    </row>
    <row r="282" spans="1:4" x14ac:dyDescent="0.35">
      <c r="A282" s="11">
        <v>41974</v>
      </c>
      <c r="B282" s="15">
        <f>VLOOKUP(A282,Database!A:Q,MATCH($A$1,Database!$A$1:$Q$1,),)</f>
        <v>56353</v>
      </c>
      <c r="C282" s="12">
        <f t="shared" si="8"/>
        <v>2.8400518309459145E-4</v>
      </c>
      <c r="D282" s="13">
        <f t="shared" si="9"/>
        <v>3.1501683994728365E-2</v>
      </c>
    </row>
    <row r="283" spans="1:4" x14ac:dyDescent="0.35">
      <c r="A283" s="10">
        <v>42005</v>
      </c>
      <c r="B283" s="15">
        <f>VLOOKUP(A283,Database!A:Q,MATCH($A$1,Database!$A$1:$Q$1,),)</f>
        <v>56507</v>
      </c>
      <c r="C283" s="12">
        <f t="shared" si="8"/>
        <v>2.7327737653718522E-3</v>
      </c>
      <c r="D283" s="13">
        <f t="shared" si="9"/>
        <v>3.5818378457646689E-2</v>
      </c>
    </row>
    <row r="284" spans="1:4" x14ac:dyDescent="0.35">
      <c r="A284" s="11">
        <v>42036</v>
      </c>
      <c r="B284" s="15">
        <f>VLOOKUP(A284,Database!A:Q,MATCH($A$1,Database!$A$1:$Q$1,),)</f>
        <v>56147</v>
      </c>
      <c r="C284" s="12">
        <f t="shared" si="8"/>
        <v>-6.3708921018634859E-3</v>
      </c>
      <c r="D284" s="13">
        <f t="shared" si="9"/>
        <v>1.3593529985196954E-2</v>
      </c>
    </row>
    <row r="285" spans="1:4" x14ac:dyDescent="0.35">
      <c r="A285" s="10">
        <v>42064</v>
      </c>
      <c r="B285" s="15">
        <f>VLOOKUP(A285,Database!A:Q,MATCH($A$1,Database!$A$1:$Q$1,),)</f>
        <v>56316</v>
      </c>
      <c r="C285" s="12">
        <f t="shared" si="8"/>
        <v>3.0099560083352629E-3</v>
      </c>
      <c r="D285" s="13">
        <f t="shared" si="9"/>
        <v>1.4227569066743507E-2</v>
      </c>
    </row>
    <row r="286" spans="1:4" x14ac:dyDescent="0.35">
      <c r="A286" s="11">
        <v>42095</v>
      </c>
      <c r="B286" s="15">
        <f>VLOOKUP(A286,Database!A:Q,MATCH($A$1,Database!$A$1:$Q$1,),)</f>
        <v>56230</v>
      </c>
      <c r="C286" s="12">
        <f t="shared" si="8"/>
        <v>-1.527097094964131E-3</v>
      </c>
      <c r="D286" s="13">
        <f t="shared" si="9"/>
        <v>4.9326232262215395E-3</v>
      </c>
    </row>
    <row r="287" spans="1:4" x14ac:dyDescent="0.35">
      <c r="A287" s="10">
        <v>42125</v>
      </c>
      <c r="B287" s="15">
        <f>VLOOKUP(A287,Database!A:Q,MATCH($A$1,Database!$A$1:$Q$1,),)</f>
        <v>56735</v>
      </c>
      <c r="C287" s="12">
        <f t="shared" si="8"/>
        <v>8.980971011915348E-3</v>
      </c>
      <c r="D287" s="13">
        <f t="shared" si="9"/>
        <v>1.3541275881165479E-2</v>
      </c>
    </row>
    <row r="288" spans="1:4" x14ac:dyDescent="0.35">
      <c r="A288" s="11">
        <v>42156</v>
      </c>
      <c r="B288" s="15">
        <f>VLOOKUP(A288,Database!A:Q,MATCH($A$1,Database!$A$1:$Q$1,),)</f>
        <v>56607</v>
      </c>
      <c r="C288" s="12">
        <f t="shared" si="8"/>
        <v>-2.2561029346963957E-3</v>
      </c>
      <c r="D288" s="13">
        <f t="shared" si="9"/>
        <v>1.1833050317275896E-2</v>
      </c>
    </row>
    <row r="289" spans="1:4" x14ac:dyDescent="0.35">
      <c r="A289" s="10">
        <v>42186</v>
      </c>
      <c r="B289" s="15">
        <f>VLOOKUP(A289,Database!A:Q,MATCH($A$1,Database!$A$1:$Q$1,),)</f>
        <v>56915</v>
      </c>
      <c r="C289" s="12">
        <f t="shared" si="8"/>
        <v>5.4410231950112178E-3</v>
      </c>
      <c r="D289" s="13">
        <f t="shared" si="9"/>
        <v>1.4889443651925821E-2</v>
      </c>
    </row>
    <row r="290" spans="1:4" x14ac:dyDescent="0.35">
      <c r="A290" s="11">
        <v>42217</v>
      </c>
      <c r="B290" s="15">
        <f>VLOOKUP(A290,Database!A:Q,MATCH($A$1,Database!$A$1:$Q$1,),)</f>
        <v>56752</v>
      </c>
      <c r="C290" s="12">
        <f t="shared" si="8"/>
        <v>-2.863919880523588E-3</v>
      </c>
      <c r="D290" s="13">
        <f t="shared" si="9"/>
        <v>6.1697751932487058E-3</v>
      </c>
    </row>
    <row r="291" spans="1:4" x14ac:dyDescent="0.35">
      <c r="A291" s="10">
        <v>42248</v>
      </c>
      <c r="B291" s="15">
        <f>VLOOKUP(A291,Database!A:Q,MATCH($A$1,Database!$A$1:$Q$1,),)</f>
        <v>57139</v>
      </c>
      <c r="C291" s="12">
        <f t="shared" si="8"/>
        <v>6.8191429376938256E-3</v>
      </c>
      <c r="D291" s="13">
        <f t="shared" si="9"/>
        <v>1.8992759567714092E-2</v>
      </c>
    </row>
    <row r="292" spans="1:4" x14ac:dyDescent="0.35">
      <c r="A292" s="11">
        <v>42278</v>
      </c>
      <c r="B292" s="15">
        <f>VLOOKUP(A292,Database!A:Q,MATCH($A$1,Database!$A$1:$Q$1,),)</f>
        <v>56789</v>
      </c>
      <c r="C292" s="12">
        <f t="shared" si="8"/>
        <v>-6.1254134654089151E-3</v>
      </c>
      <c r="D292" s="13">
        <f t="shared" si="9"/>
        <v>9.9053919476454685E-3</v>
      </c>
    </row>
    <row r="293" spans="1:4" x14ac:dyDescent="0.35">
      <c r="A293" s="10">
        <v>42309</v>
      </c>
      <c r="B293" s="15">
        <f>VLOOKUP(A293,Database!A:Q,MATCH($A$1,Database!$A$1:$Q$1,),)</f>
        <v>56970</v>
      </c>
      <c r="C293" s="12">
        <f t="shared" si="8"/>
        <v>3.1872369649051753E-3</v>
      </c>
      <c r="D293" s="13">
        <f t="shared" si="9"/>
        <v>1.1235955056179775E-2</v>
      </c>
    </row>
    <row r="294" spans="1:4" x14ac:dyDescent="0.35">
      <c r="A294" s="11">
        <v>42339</v>
      </c>
      <c r="B294" s="15">
        <f>VLOOKUP(A294,Database!A:Q,MATCH($A$1,Database!$A$1:$Q$1,),)</f>
        <v>57204</v>
      </c>
      <c r="C294" s="12">
        <f t="shared" si="8"/>
        <v>4.1074249605055294E-3</v>
      </c>
      <c r="D294" s="13">
        <f t="shared" si="9"/>
        <v>1.5101236846308094E-2</v>
      </c>
    </row>
    <row r="295" spans="1:4" x14ac:dyDescent="0.35">
      <c r="A295" s="10">
        <v>42370</v>
      </c>
      <c r="B295" s="15">
        <f>VLOOKUP(A295,Database!A:Q,MATCH($A$1,Database!$A$1:$Q$1,),)</f>
        <v>56301</v>
      </c>
      <c r="C295" s="12">
        <f t="shared" si="8"/>
        <v>-1.5785609397944201E-2</v>
      </c>
      <c r="D295" s="13">
        <f t="shared" si="9"/>
        <v>-3.6455660360663281E-3</v>
      </c>
    </row>
    <row r="296" spans="1:4" x14ac:dyDescent="0.35">
      <c r="A296" s="11">
        <v>42401</v>
      </c>
      <c r="B296" s="15">
        <f>VLOOKUP(A296,Database!A:Q,MATCH($A$1,Database!$A$1:$Q$1,),)</f>
        <v>57209</v>
      </c>
      <c r="C296" s="12">
        <f t="shared" si="8"/>
        <v>1.6127599865011277E-2</v>
      </c>
      <c r="D296" s="13">
        <f t="shared" si="9"/>
        <v>1.8914634797941119E-2</v>
      </c>
    </row>
    <row r="297" spans="1:4" x14ac:dyDescent="0.35">
      <c r="A297" s="10">
        <v>42430</v>
      </c>
      <c r="B297" s="15">
        <f>VLOOKUP(A297,Database!A:Q,MATCH($A$1,Database!$A$1:$Q$1,),)</f>
        <v>56986</v>
      </c>
      <c r="C297" s="12">
        <f t="shared" si="8"/>
        <v>-3.8979880787987902E-3</v>
      </c>
      <c r="D297" s="13">
        <f t="shared" si="9"/>
        <v>1.1897151786348462E-2</v>
      </c>
    </row>
    <row r="298" spans="1:4" x14ac:dyDescent="0.35">
      <c r="A298" s="11">
        <v>42461</v>
      </c>
      <c r="B298" s="15">
        <f>VLOOKUP(A298,Database!A:Q,MATCH($A$1,Database!$A$1:$Q$1,),)</f>
        <v>56870</v>
      </c>
      <c r="C298" s="12">
        <f t="shared" si="8"/>
        <v>-2.0355876882041202E-3</v>
      </c>
      <c r="D298" s="13">
        <f t="shared" si="9"/>
        <v>1.1381824648764005E-2</v>
      </c>
    </row>
    <row r="299" spans="1:4" x14ac:dyDescent="0.35">
      <c r="A299" s="10">
        <v>42491</v>
      </c>
      <c r="B299" s="15">
        <f>VLOOKUP(A299,Database!A:Q,MATCH($A$1,Database!$A$1:$Q$1,),)</f>
        <v>56608</v>
      </c>
      <c r="C299" s="12">
        <f t="shared" si="8"/>
        <v>-4.6069984174432919E-3</v>
      </c>
      <c r="D299" s="13">
        <f t="shared" si="9"/>
        <v>-2.2384771305190799E-3</v>
      </c>
    </row>
    <row r="300" spans="1:4" x14ac:dyDescent="0.35">
      <c r="A300" s="11">
        <v>42522</v>
      </c>
      <c r="B300" s="15">
        <f>VLOOKUP(A300,Database!A:Q,MATCH($A$1,Database!$A$1:$Q$1,),)</f>
        <v>57111</v>
      </c>
      <c r="C300" s="12">
        <f t="shared" si="8"/>
        <v>8.885669869983041E-3</v>
      </c>
      <c r="D300" s="13">
        <f t="shared" si="9"/>
        <v>8.9034925009274478E-3</v>
      </c>
    </row>
    <row r="301" spans="1:4" x14ac:dyDescent="0.35">
      <c r="A301" s="10">
        <v>42552</v>
      </c>
      <c r="B301" s="15">
        <f>VLOOKUP(A301,Database!A:Q,MATCH($A$1,Database!$A$1:$Q$1,),)</f>
        <v>56779</v>
      </c>
      <c r="C301" s="12">
        <f t="shared" si="8"/>
        <v>-5.8132408817915988E-3</v>
      </c>
      <c r="D301" s="13">
        <f t="shared" si="9"/>
        <v>-2.3895282438724415E-3</v>
      </c>
    </row>
    <row r="302" spans="1:4" x14ac:dyDescent="0.35">
      <c r="A302" s="11">
        <v>42583</v>
      </c>
      <c r="B302" s="15">
        <f>VLOOKUP(A302,Database!A:Q,MATCH($A$1,Database!$A$1:$Q$1,),)</f>
        <v>56867</v>
      </c>
      <c r="C302" s="12">
        <f t="shared" si="8"/>
        <v>1.5498687895172511E-3</v>
      </c>
      <c r="D302" s="13">
        <f t="shared" si="9"/>
        <v>2.0263603044826614E-3</v>
      </c>
    </row>
    <row r="303" spans="1:4" x14ac:dyDescent="0.35">
      <c r="A303" s="10">
        <v>42614</v>
      </c>
      <c r="B303" s="15">
        <f>VLOOKUP(A303,Database!A:Q,MATCH($A$1,Database!$A$1:$Q$1,),)</f>
        <v>56370</v>
      </c>
      <c r="C303" s="12">
        <f t="shared" si="8"/>
        <v>-8.7396908576151365E-3</v>
      </c>
      <c r="D303" s="13">
        <f t="shared" si="9"/>
        <v>-1.3458408442569873E-2</v>
      </c>
    </row>
    <row r="304" spans="1:4" x14ac:dyDescent="0.35">
      <c r="A304" s="11">
        <v>42644</v>
      </c>
      <c r="B304" s="15">
        <f>VLOOKUP(A304,Database!A:Q,MATCH($A$1,Database!$A$1:$Q$1,),)</f>
        <v>56836</v>
      </c>
      <c r="C304" s="12">
        <f t="shared" si="8"/>
        <v>8.2668085861273728E-3</v>
      </c>
      <c r="D304" s="13">
        <f t="shared" si="9"/>
        <v>8.2762506823504556E-4</v>
      </c>
    </row>
    <row r="305" spans="1:4" x14ac:dyDescent="0.35">
      <c r="A305" s="10">
        <v>42675</v>
      </c>
      <c r="B305" s="15">
        <f>VLOOKUP(A305,Database!A:Q,MATCH($A$1,Database!$A$1:$Q$1,),)</f>
        <v>56518</v>
      </c>
      <c r="C305" s="12">
        <f t="shared" si="8"/>
        <v>-5.5950453937645157E-3</v>
      </c>
      <c r="D305" s="13">
        <f t="shared" si="9"/>
        <v>-7.9340003510619626E-3</v>
      </c>
    </row>
    <row r="306" spans="1:4" x14ac:dyDescent="0.35">
      <c r="A306" s="11">
        <v>42705</v>
      </c>
      <c r="B306" s="15">
        <f>VLOOKUP(A306,Database!A:Q,MATCH($A$1,Database!$A$1:$Q$1,),)</f>
        <v>56445</v>
      </c>
      <c r="C306" s="12">
        <f t="shared" si="8"/>
        <v>-1.2916239074277221E-3</v>
      </c>
      <c r="D306" s="13">
        <f t="shared" si="9"/>
        <v>-1.3268302915880008E-2</v>
      </c>
    </row>
    <row r="307" spans="1:4" x14ac:dyDescent="0.35">
      <c r="A307" s="10">
        <v>42736</v>
      </c>
      <c r="B307" s="15">
        <f>VLOOKUP(A307,Database!A:Q,MATCH($A$1,Database!$A$1:$Q$1,),)</f>
        <v>57804</v>
      </c>
      <c r="C307" s="12">
        <f t="shared" si="8"/>
        <v>2.4076534679776773E-2</v>
      </c>
      <c r="D307" s="13">
        <f t="shared" si="9"/>
        <v>2.6695795811797304E-2</v>
      </c>
    </row>
    <row r="308" spans="1:4" x14ac:dyDescent="0.35">
      <c r="A308" s="11">
        <v>42767</v>
      </c>
      <c r="B308" s="15">
        <f>VLOOKUP(A308,Database!A:Q,MATCH($A$1,Database!$A$1:$Q$1,),)</f>
        <v>57170</v>
      </c>
      <c r="C308" s="12">
        <f t="shared" si="8"/>
        <v>-1.0968099093488341E-2</v>
      </c>
      <c r="D308" s="13">
        <f t="shared" si="9"/>
        <v>-6.8171091961055077E-4</v>
      </c>
    </row>
    <row r="309" spans="1:4" x14ac:dyDescent="0.35">
      <c r="A309" s="10">
        <v>42795</v>
      </c>
      <c r="B309" s="15">
        <f>VLOOKUP(A309,Database!A:Q,MATCH($A$1,Database!$A$1:$Q$1,),)</f>
        <v>57361</v>
      </c>
      <c r="C309" s="12">
        <f t="shared" si="8"/>
        <v>3.3409130662935107E-3</v>
      </c>
      <c r="D309" s="13">
        <f t="shared" si="9"/>
        <v>6.5805636472115962E-3</v>
      </c>
    </row>
    <row r="310" spans="1:4" x14ac:dyDescent="0.35">
      <c r="A310" s="11">
        <v>42826</v>
      </c>
      <c r="B310" s="15">
        <f>VLOOKUP(A310,Database!A:Q,MATCH($A$1,Database!$A$1:$Q$1,),)</f>
        <v>57644</v>
      </c>
      <c r="C310" s="12">
        <f t="shared" si="8"/>
        <v>4.9336657310716341E-3</v>
      </c>
      <c r="D310" s="13">
        <f t="shared" si="9"/>
        <v>1.3609987691225602E-2</v>
      </c>
    </row>
    <row r="311" spans="1:4" x14ac:dyDescent="0.35">
      <c r="A311" s="10">
        <v>42856</v>
      </c>
      <c r="B311" s="15">
        <f>VLOOKUP(A311,Database!A:Q,MATCH($A$1,Database!$A$1:$Q$1,),)</f>
        <v>56574</v>
      </c>
      <c r="C311" s="12">
        <f t="shared" si="8"/>
        <v>-1.8562209423357158E-2</v>
      </c>
      <c r="D311" s="13">
        <f t="shared" si="9"/>
        <v>-6.0062182023742222E-4</v>
      </c>
    </row>
    <row r="312" spans="1:4" x14ac:dyDescent="0.35">
      <c r="A312" s="11">
        <v>42887</v>
      </c>
      <c r="B312" s="15">
        <f>VLOOKUP(A312,Database!A:Q,MATCH($A$1,Database!$A$1:$Q$1,),)</f>
        <v>57790</v>
      </c>
      <c r="C312" s="12">
        <f t="shared" si="8"/>
        <v>2.1493972496199668E-2</v>
      </c>
      <c r="D312" s="13">
        <f t="shared" si="9"/>
        <v>1.1889128188965347E-2</v>
      </c>
    </row>
    <row r="313" spans="1:4" x14ac:dyDescent="0.35">
      <c r="A313" s="10">
        <v>42917</v>
      </c>
      <c r="B313" s="15">
        <f>VLOOKUP(A313,Database!A:Q,MATCH($A$1,Database!$A$1:$Q$1,),)</f>
        <v>57475</v>
      </c>
      <c r="C313" s="12">
        <f t="shared" si="8"/>
        <v>-5.4507700294168541E-3</v>
      </c>
      <c r="D313" s="13">
        <f t="shared" si="9"/>
        <v>1.2258053153454622E-2</v>
      </c>
    </row>
    <row r="314" spans="1:4" x14ac:dyDescent="0.35">
      <c r="A314" s="11">
        <v>42948</v>
      </c>
      <c r="B314" s="15">
        <f>VLOOKUP(A314,Database!A:Q,MATCH($A$1,Database!$A$1:$Q$1,),)</f>
        <v>57612</v>
      </c>
      <c r="C314" s="12">
        <f t="shared" si="8"/>
        <v>2.3836450630709003E-3</v>
      </c>
      <c r="D314" s="13">
        <f t="shared" si="9"/>
        <v>1.3100743840891906E-2</v>
      </c>
    </row>
    <row r="315" spans="1:4" x14ac:dyDescent="0.35">
      <c r="A315" s="10">
        <v>42979</v>
      </c>
      <c r="B315" s="15">
        <f>VLOOKUP(A315,Database!A:Q,MATCH($A$1,Database!$A$1:$Q$1,),)</f>
        <v>58351</v>
      </c>
      <c r="C315" s="12">
        <f t="shared" si="8"/>
        <v>1.2827188780115253E-2</v>
      </c>
      <c r="D315" s="13">
        <f t="shared" si="9"/>
        <v>3.514280645733546E-2</v>
      </c>
    </row>
    <row r="316" spans="1:4" x14ac:dyDescent="0.35">
      <c r="A316" s="11">
        <v>43009</v>
      </c>
      <c r="B316" s="15">
        <f>VLOOKUP(A316,Database!A:Q,MATCH($A$1,Database!$A$1:$Q$1,),)</f>
        <v>57945</v>
      </c>
      <c r="C316" s="12">
        <f t="shared" si="8"/>
        <v>-6.957892752480677E-3</v>
      </c>
      <c r="D316" s="13">
        <f t="shared" si="9"/>
        <v>1.9512280948694491E-2</v>
      </c>
    </row>
    <row r="317" spans="1:4" x14ac:dyDescent="0.35">
      <c r="A317" s="10">
        <v>43040</v>
      </c>
      <c r="B317" s="15">
        <f>VLOOKUP(A317,Database!A:Q,MATCH($A$1,Database!$A$1:$Q$1,),)</f>
        <v>57965</v>
      </c>
      <c r="C317" s="12">
        <f t="shared" si="8"/>
        <v>3.4515488825610492E-4</v>
      </c>
      <c r="D317" s="13">
        <f t="shared" si="9"/>
        <v>2.5602462932163204E-2</v>
      </c>
    </row>
    <row r="318" spans="1:4" x14ac:dyDescent="0.35">
      <c r="A318" s="11">
        <v>43070</v>
      </c>
      <c r="B318" s="15">
        <f>VLOOKUP(A318,Database!A:Q,MATCH($A$1,Database!$A$1:$Q$1,),)</f>
        <v>58394</v>
      </c>
      <c r="C318" s="12">
        <f t="shared" si="8"/>
        <v>7.4010178556025187E-3</v>
      </c>
      <c r="D318" s="13">
        <f t="shared" si="9"/>
        <v>3.4529187704845428E-2</v>
      </c>
    </row>
    <row r="319" spans="1:4" x14ac:dyDescent="0.35">
      <c r="A319" s="10">
        <v>43101</v>
      </c>
      <c r="B319" s="15">
        <f>VLOOKUP(A319,Database!A:Q,MATCH($A$1,Database!$A$1:$Q$1,),)</f>
        <v>58569</v>
      </c>
      <c r="C319" s="12">
        <f t="shared" si="8"/>
        <v>2.9968832414289139E-3</v>
      </c>
      <c r="D319" s="13">
        <f t="shared" si="9"/>
        <v>1.3234378243720158E-2</v>
      </c>
    </row>
    <row r="320" spans="1:4" x14ac:dyDescent="0.35">
      <c r="A320" s="11">
        <v>43132</v>
      </c>
      <c r="B320" s="15">
        <f>VLOOKUP(A320,Database!A:Q,MATCH($A$1,Database!$A$1:$Q$1,),)</f>
        <v>58800</v>
      </c>
      <c r="C320" s="12">
        <f t="shared" si="8"/>
        <v>3.9440659734671923E-3</v>
      </c>
      <c r="D320" s="13">
        <f t="shared" si="9"/>
        <v>2.85114570578975E-2</v>
      </c>
    </row>
    <row r="321" spans="1:4" x14ac:dyDescent="0.35">
      <c r="A321" s="10">
        <v>43160</v>
      </c>
      <c r="B321" s="15">
        <f>VLOOKUP(A321,Database!A:Q,MATCH($A$1,Database!$A$1:$Q$1,),)</f>
        <v>57897</v>
      </c>
      <c r="C321" s="12">
        <f t="shared" si="8"/>
        <v>-1.5357142857142857E-2</v>
      </c>
      <c r="D321" s="13">
        <f t="shared" si="9"/>
        <v>9.3443280277540498E-3</v>
      </c>
    </row>
    <row r="322" spans="1:4" x14ac:dyDescent="0.35">
      <c r="A322" s="11">
        <v>43191</v>
      </c>
      <c r="B322" s="15">
        <f>VLOOKUP(A322,Database!A:Q,MATCH($A$1,Database!$A$1:$Q$1,),)</f>
        <v>58154</v>
      </c>
      <c r="C322" s="12">
        <f t="shared" si="8"/>
        <v>4.4389173877748414E-3</v>
      </c>
      <c r="D322" s="13">
        <f t="shared" si="9"/>
        <v>8.84740822982444E-3</v>
      </c>
    </row>
    <row r="323" spans="1:4" x14ac:dyDescent="0.35">
      <c r="A323" s="10">
        <v>43221</v>
      </c>
      <c r="B323" s="15">
        <f>VLOOKUP(A323,Database!A:Q,MATCH($A$1,Database!$A$1:$Q$1,),)</f>
        <v>59558</v>
      </c>
      <c r="C323" s="12">
        <f t="shared" si="8"/>
        <v>2.4142793273033668E-2</v>
      </c>
      <c r="D323" s="13">
        <f t="shared" si="9"/>
        <v>5.2745077243963656E-2</v>
      </c>
    </row>
    <row r="324" spans="1:4" x14ac:dyDescent="0.35">
      <c r="A324" s="11">
        <v>43252</v>
      </c>
      <c r="B324" s="15">
        <f>VLOOKUP(A324,Database!A:Q,MATCH($A$1,Database!$A$1:$Q$1,),)</f>
        <v>58534</v>
      </c>
      <c r="C324" s="12">
        <f t="shared" si="8"/>
        <v>-1.7193324154605595E-2</v>
      </c>
      <c r="D324" s="13">
        <f t="shared" si="9"/>
        <v>1.2874199688527427E-2</v>
      </c>
    </row>
    <row r="325" spans="1:4" x14ac:dyDescent="0.35">
      <c r="A325" s="10">
        <v>43282</v>
      </c>
      <c r="B325" s="15">
        <f>VLOOKUP(A325,Database!A:Q,MATCH($A$1,Database!$A$1:$Q$1,),)</f>
        <v>58872</v>
      </c>
      <c r="C325" s="12">
        <f t="shared" si="8"/>
        <v>5.7744217036252432E-3</v>
      </c>
      <c r="D325" s="13">
        <f t="shared" si="9"/>
        <v>2.4306220095693779E-2</v>
      </c>
    </row>
    <row r="326" spans="1:4" x14ac:dyDescent="0.35">
      <c r="A326" s="11">
        <v>43313</v>
      </c>
      <c r="B326" s="15">
        <f>VLOOKUP(A326,Database!A:Q,MATCH($A$1,Database!$A$1:$Q$1,),)</f>
        <v>59007</v>
      </c>
      <c r="C326" s="12">
        <f t="shared" si="8"/>
        <v>2.293110476966979E-3</v>
      </c>
      <c r="D326" s="13">
        <f t="shared" si="9"/>
        <v>2.4213705478025413E-2</v>
      </c>
    </row>
    <row r="327" spans="1:4" x14ac:dyDescent="0.35">
      <c r="A327" s="10">
        <v>43344</v>
      </c>
      <c r="B327" s="15">
        <f>VLOOKUP(A327,Database!A:Q,MATCH($A$1,Database!$A$1:$Q$1,),)</f>
        <v>58841</v>
      </c>
      <c r="C327" s="12">
        <f t="shared" si="8"/>
        <v>-2.813225549511075E-3</v>
      </c>
      <c r="D327" s="13">
        <f t="shared" si="9"/>
        <v>8.3974567702353002E-3</v>
      </c>
    </row>
    <row r="328" spans="1:4" x14ac:dyDescent="0.35">
      <c r="A328" s="11">
        <v>43374</v>
      </c>
      <c r="B328" s="15">
        <f>VLOOKUP(A328,Database!A:Q,MATCH($A$1,Database!$A$1:$Q$1,),)</f>
        <v>59247</v>
      </c>
      <c r="C328" s="12">
        <f t="shared" ref="C328:C391" si="10">(B328-B327)/B327</f>
        <v>6.8999507146377528E-3</v>
      </c>
      <c r="D328" s="13">
        <f t="shared" si="9"/>
        <v>2.246958322547243E-2</v>
      </c>
    </row>
    <row r="329" spans="1:4" x14ac:dyDescent="0.35">
      <c r="A329" s="10">
        <v>43405</v>
      </c>
      <c r="B329" s="15">
        <f>VLOOKUP(A329,Database!A:Q,MATCH($A$1,Database!$A$1:$Q$1,),)</f>
        <v>60634</v>
      </c>
      <c r="C329" s="12">
        <f t="shared" si="10"/>
        <v>2.3410468040575894E-2</v>
      </c>
      <c r="D329" s="13">
        <f t="shared" si="9"/>
        <v>4.6045027171569053E-2</v>
      </c>
    </row>
    <row r="330" spans="1:4" x14ac:dyDescent="0.35">
      <c r="A330" s="11">
        <v>43435</v>
      </c>
      <c r="B330" s="15">
        <f>VLOOKUP(A330,Database!A:Q,MATCH($A$1,Database!$A$1:$Q$1,),)</f>
        <v>59479</v>
      </c>
      <c r="C330" s="12">
        <f t="shared" si="10"/>
        <v>-1.9048718540752713E-2</v>
      </c>
      <c r="D330" s="13">
        <f t="shared" si="9"/>
        <v>1.8580676096859268E-2</v>
      </c>
    </row>
    <row r="331" spans="1:4" x14ac:dyDescent="0.35">
      <c r="A331" s="10">
        <v>43466</v>
      </c>
      <c r="B331" s="15">
        <f>VLOOKUP(A331,Database!A:Q,MATCH($A$1,Database!$A$1:$Q$1,),)</f>
        <v>59441</v>
      </c>
      <c r="C331" s="12">
        <f t="shared" si="10"/>
        <v>-6.3888094957884295E-4</v>
      </c>
      <c r="D331" s="13">
        <f t="shared" si="9"/>
        <v>1.4888422202871827E-2</v>
      </c>
    </row>
    <row r="332" spans="1:4" x14ac:dyDescent="0.35">
      <c r="A332" s="11">
        <v>43497</v>
      </c>
      <c r="B332" s="15">
        <f>VLOOKUP(A332,Database!A:Q,MATCH($A$1,Database!$A$1:$Q$1,),)</f>
        <v>59106</v>
      </c>
      <c r="C332" s="12">
        <f t="shared" si="10"/>
        <v>-5.6358405814168674E-3</v>
      </c>
      <c r="D332" s="13">
        <f t="shared" si="9"/>
        <v>5.2040816326530612E-3</v>
      </c>
    </row>
    <row r="333" spans="1:4" x14ac:dyDescent="0.35">
      <c r="A333" s="10">
        <v>43525</v>
      </c>
      <c r="B333" s="15">
        <f>VLOOKUP(A333,Database!A:Q,MATCH($A$1,Database!$A$1:$Q$1,),)</f>
        <v>59339</v>
      </c>
      <c r="C333" s="12">
        <f t="shared" si="10"/>
        <v>3.9420701790004401E-3</v>
      </c>
      <c r="D333" s="13">
        <f t="shared" si="9"/>
        <v>2.490629911739814E-2</v>
      </c>
    </row>
    <row r="334" spans="1:4" x14ac:dyDescent="0.35">
      <c r="A334" s="11">
        <v>43556</v>
      </c>
      <c r="B334" s="15">
        <f>VLOOKUP(A334,Database!A:Q,MATCH($A$1,Database!$A$1:$Q$1,),)</f>
        <v>59893</v>
      </c>
      <c r="C334" s="12">
        <f t="shared" si="10"/>
        <v>9.3361869933770367E-3</v>
      </c>
      <c r="D334" s="13">
        <f t="shared" si="9"/>
        <v>2.9903360044021048E-2</v>
      </c>
    </row>
    <row r="335" spans="1:4" x14ac:dyDescent="0.35">
      <c r="A335" s="10">
        <v>43586</v>
      </c>
      <c r="B335" s="15">
        <f>VLOOKUP(A335,Database!A:Q,MATCH($A$1,Database!$A$1:$Q$1,),)</f>
        <v>59540</v>
      </c>
      <c r="C335" s="12">
        <f t="shared" si="10"/>
        <v>-5.8938440218389461E-3</v>
      </c>
      <c r="D335" s="13">
        <f t="shared" si="9"/>
        <v>-3.0222640115517646E-4</v>
      </c>
    </row>
    <row r="336" spans="1:4" x14ac:dyDescent="0.35">
      <c r="A336" s="11">
        <v>43617</v>
      </c>
      <c r="B336" s="15">
        <f>VLOOKUP(A336,Database!A:Q,MATCH($A$1,Database!$A$1:$Q$1,),)</f>
        <v>59459</v>
      </c>
      <c r="C336" s="12">
        <f t="shared" si="10"/>
        <v>-1.3604299630500503E-3</v>
      </c>
      <c r="D336" s="13">
        <f t="shared" si="9"/>
        <v>1.5802781289506952E-2</v>
      </c>
    </row>
    <row r="337" spans="1:4" x14ac:dyDescent="0.35">
      <c r="A337" s="10">
        <v>43647</v>
      </c>
      <c r="B337" s="15">
        <f>VLOOKUP(A337,Database!A:Q,MATCH($A$1,Database!$A$1:$Q$1,),)</f>
        <v>60437</v>
      </c>
      <c r="C337" s="12">
        <f t="shared" si="10"/>
        <v>1.6448308918750737E-2</v>
      </c>
      <c r="D337" s="13">
        <f t="shared" si="9"/>
        <v>2.6583095529283871E-2</v>
      </c>
    </row>
    <row r="338" spans="1:4" x14ac:dyDescent="0.35">
      <c r="A338" s="11">
        <v>43678</v>
      </c>
      <c r="B338" s="15">
        <f>VLOOKUP(A338,Database!A:Q,MATCH($A$1,Database!$A$1:$Q$1,),)</f>
        <v>60074</v>
      </c>
      <c r="C338" s="12">
        <f t="shared" si="10"/>
        <v>-6.0062544467792906E-3</v>
      </c>
      <c r="D338" s="13">
        <f t="shared" si="9"/>
        <v>1.8082600369447692E-2</v>
      </c>
    </row>
    <row r="339" spans="1:4" x14ac:dyDescent="0.35">
      <c r="A339" s="10">
        <v>43709</v>
      </c>
      <c r="B339" s="15">
        <f>VLOOKUP(A339,Database!A:Q,MATCH($A$1,Database!$A$1:$Q$1,),)</f>
        <v>59377</v>
      </c>
      <c r="C339" s="12">
        <f t="shared" si="10"/>
        <v>-1.1602357092918734E-2</v>
      </c>
      <c r="D339" s="13">
        <f t="shared" ref="D339:D402" si="11">(B339-B327)/B327</f>
        <v>9.1092945395217628E-3</v>
      </c>
    </row>
    <row r="340" spans="1:4" x14ac:dyDescent="0.35">
      <c r="A340" s="11">
        <v>43739</v>
      </c>
      <c r="B340" s="15">
        <f>VLOOKUP(A340,Database!A:Q,MATCH($A$1,Database!$A$1:$Q$1,),)</f>
        <v>59662</v>
      </c>
      <c r="C340" s="12">
        <f t="shared" si="10"/>
        <v>4.7998383212354955E-3</v>
      </c>
      <c r="D340" s="13">
        <f t="shared" si="11"/>
        <v>7.0045740712609923E-3</v>
      </c>
    </row>
    <row r="341" spans="1:4" x14ac:dyDescent="0.35">
      <c r="A341" s="10">
        <v>43770</v>
      </c>
      <c r="B341" s="15">
        <f>VLOOKUP(A341,Database!A:Q,MATCH($A$1,Database!$A$1:$Q$1,),)</f>
        <v>60033</v>
      </c>
      <c r="C341" s="12">
        <f t="shared" si="10"/>
        <v>6.2183634474204689E-3</v>
      </c>
      <c r="D341" s="13">
        <f t="shared" si="11"/>
        <v>-9.9119305999934033E-3</v>
      </c>
    </row>
    <row r="342" spans="1:4" x14ac:dyDescent="0.35">
      <c r="A342" s="11">
        <v>43800</v>
      </c>
      <c r="B342" s="15">
        <f>VLOOKUP(A342,Database!A:Q,MATCH($A$1,Database!$A$1:$Q$1,),)</f>
        <v>60632</v>
      </c>
      <c r="C342" s="12">
        <f t="shared" si="10"/>
        <v>9.9778455182982697E-3</v>
      </c>
      <c r="D342" s="13">
        <f t="shared" si="11"/>
        <v>1.9384993022747526E-2</v>
      </c>
    </row>
    <row r="343" spans="1:4" x14ac:dyDescent="0.35">
      <c r="A343" s="10">
        <v>43831</v>
      </c>
      <c r="B343" s="15">
        <f>VLOOKUP(A343,Database!A:Q,MATCH($A$1,Database!$A$1:$Q$1,),)</f>
        <v>60118</v>
      </c>
      <c r="C343" s="12">
        <f t="shared" si="10"/>
        <v>-8.4773716849188552E-3</v>
      </c>
      <c r="D343" s="13">
        <f t="shared" si="11"/>
        <v>1.1389444995878266E-2</v>
      </c>
    </row>
    <row r="344" spans="1:4" x14ac:dyDescent="0.35">
      <c r="A344" s="11">
        <v>43862</v>
      </c>
      <c r="B344" s="15">
        <f>VLOOKUP(A344,Database!A:Q,MATCH($A$1,Database!$A$1:$Q$1,),)</f>
        <v>60618</v>
      </c>
      <c r="C344" s="12">
        <f t="shared" si="10"/>
        <v>8.3169766126617653E-3</v>
      </c>
      <c r="D344" s="13">
        <f t="shared" si="11"/>
        <v>2.5581159273170236E-2</v>
      </c>
    </row>
    <row r="345" spans="1:4" x14ac:dyDescent="0.35">
      <c r="A345" s="10">
        <v>43891</v>
      </c>
      <c r="B345" s="15">
        <f>VLOOKUP(A345,Database!A:Q,MATCH($A$1,Database!$A$1:$Q$1,),)</f>
        <v>64302</v>
      </c>
      <c r="C345" s="12">
        <f t="shared" si="10"/>
        <v>6.0774027516579232E-2</v>
      </c>
      <c r="D345" s="13">
        <f t="shared" si="11"/>
        <v>8.3638079509260346E-2</v>
      </c>
    </row>
    <row r="346" spans="1:4" x14ac:dyDescent="0.35">
      <c r="A346" s="11">
        <v>43922</v>
      </c>
      <c r="B346" s="15">
        <f>VLOOKUP(A346,Database!A:Q,MATCH($A$1,Database!$A$1:$Q$1,),)</f>
        <v>56625</v>
      </c>
      <c r="C346" s="12">
        <f t="shared" si="10"/>
        <v>-0.11938975459550247</v>
      </c>
      <c r="D346" s="13">
        <f t="shared" si="11"/>
        <v>-5.4563972417477832E-2</v>
      </c>
    </row>
    <row r="347" spans="1:4" x14ac:dyDescent="0.35">
      <c r="A347" s="10">
        <v>43952</v>
      </c>
      <c r="B347" s="15">
        <f>VLOOKUP(A347,Database!A:Q,MATCH($A$1,Database!$A$1:$Q$1,),)</f>
        <v>60494</v>
      </c>
      <c r="C347" s="12">
        <f t="shared" si="10"/>
        <v>6.8326710816777048E-2</v>
      </c>
      <c r="D347" s="13">
        <f t="shared" si="11"/>
        <v>1.6022841787033927E-2</v>
      </c>
    </row>
    <row r="348" spans="1:4" x14ac:dyDescent="0.35">
      <c r="A348" s="11">
        <v>43983</v>
      </c>
      <c r="B348" s="15">
        <f>VLOOKUP(A348,Database!A:Q,MATCH($A$1,Database!$A$1:$Q$1,),)</f>
        <v>61107</v>
      </c>
      <c r="C348" s="12">
        <f t="shared" si="10"/>
        <v>1.013323635401858E-2</v>
      </c>
      <c r="D348" s="13">
        <f t="shared" si="11"/>
        <v>2.771657780991944E-2</v>
      </c>
    </row>
    <row r="349" spans="1:4" x14ac:dyDescent="0.35">
      <c r="A349" s="10">
        <v>44013</v>
      </c>
      <c r="B349" s="15">
        <f>VLOOKUP(A349,Database!A:Q,MATCH($A$1,Database!$A$1:$Q$1,),)</f>
        <v>61181</v>
      </c>
      <c r="C349" s="12">
        <f t="shared" si="10"/>
        <v>1.2109905575465986E-3</v>
      </c>
      <c r="D349" s="13">
        <f t="shared" si="11"/>
        <v>1.231033969257243E-2</v>
      </c>
    </row>
    <row r="350" spans="1:4" x14ac:dyDescent="0.35">
      <c r="A350" s="11">
        <v>44044</v>
      </c>
      <c r="B350" s="15">
        <f>VLOOKUP(A350,Database!A:Q,MATCH($A$1,Database!$A$1:$Q$1,),)</f>
        <v>59992</v>
      </c>
      <c r="C350" s="12">
        <f t="shared" si="10"/>
        <v>-1.9434138049394419E-2</v>
      </c>
      <c r="D350" s="13">
        <f t="shared" si="11"/>
        <v>-1.3649831874022039E-3</v>
      </c>
    </row>
    <row r="351" spans="1:4" x14ac:dyDescent="0.35">
      <c r="A351" s="10">
        <v>44075</v>
      </c>
      <c r="B351" s="15">
        <f>VLOOKUP(A351,Database!A:Q,MATCH($A$1,Database!$A$1:$Q$1,),)</f>
        <v>62289</v>
      </c>
      <c r="C351" s="12">
        <f t="shared" si="10"/>
        <v>3.8288438458461131E-2</v>
      </c>
      <c r="D351" s="13">
        <f t="shared" si="11"/>
        <v>4.9042558566448291E-2</v>
      </c>
    </row>
    <row r="352" spans="1:4" x14ac:dyDescent="0.35">
      <c r="A352" s="11">
        <v>44105</v>
      </c>
      <c r="B352" s="15">
        <f>VLOOKUP(A352,Database!A:Q,MATCH($A$1,Database!$A$1:$Q$1,),)</f>
        <v>61465</v>
      </c>
      <c r="C352" s="12">
        <f t="shared" si="10"/>
        <v>-1.3228659956011494E-2</v>
      </c>
      <c r="D352" s="13">
        <f t="shared" si="11"/>
        <v>3.0220240689215916E-2</v>
      </c>
    </row>
    <row r="353" spans="1:4" x14ac:dyDescent="0.35">
      <c r="A353" s="10">
        <v>44136</v>
      </c>
      <c r="B353" s="15">
        <f>VLOOKUP(A353,Database!A:Q,MATCH($A$1,Database!$A$1:$Q$1,),)</f>
        <v>61442</v>
      </c>
      <c r="C353" s="12">
        <f t="shared" si="10"/>
        <v>-3.7419669730741074E-4</v>
      </c>
      <c r="D353" s="13">
        <f t="shared" si="11"/>
        <v>2.3470424599803443E-2</v>
      </c>
    </row>
    <row r="354" spans="1:4" x14ac:dyDescent="0.35">
      <c r="A354" s="11">
        <v>44166</v>
      </c>
      <c r="B354" s="15">
        <f>VLOOKUP(A354,Database!A:Q,MATCH($A$1,Database!$A$1:$Q$1,),)</f>
        <v>60493</v>
      </c>
      <c r="C354" s="12">
        <f t="shared" si="10"/>
        <v>-1.5445460759740895E-2</v>
      </c>
      <c r="D354" s="13">
        <f t="shared" si="11"/>
        <v>-2.2925188019527641E-3</v>
      </c>
    </row>
    <row r="355" spans="1:4" x14ac:dyDescent="0.35">
      <c r="A355" s="10">
        <v>44197</v>
      </c>
      <c r="B355" s="15">
        <f>VLOOKUP(A355,Database!A:Q,MATCH($A$1,Database!$A$1:$Q$1,),)</f>
        <v>65762</v>
      </c>
      <c r="C355" s="12">
        <f t="shared" si="10"/>
        <v>8.7100986891045243E-2</v>
      </c>
      <c r="D355" s="13">
        <f t="shared" si="11"/>
        <v>9.388203200372601E-2</v>
      </c>
    </row>
    <row r="356" spans="1:4" x14ac:dyDescent="0.35">
      <c r="A356" s="11">
        <v>44228</v>
      </c>
      <c r="B356" s="15">
        <f>VLOOKUP(A356,Database!A:Q,MATCH($A$1,Database!$A$1:$Q$1,),)</f>
        <v>62783</v>
      </c>
      <c r="C356" s="12">
        <f t="shared" si="10"/>
        <v>-4.5299717161886806E-2</v>
      </c>
      <c r="D356" s="13">
        <f t="shared" si="11"/>
        <v>3.5715464053581447E-2</v>
      </c>
    </row>
    <row r="357" spans="1:4" x14ac:dyDescent="0.35">
      <c r="A357" s="10">
        <v>44256</v>
      </c>
      <c r="B357" s="15">
        <f>VLOOKUP(A357,Database!A:Q,MATCH($A$1,Database!$A$1:$Q$1,),)</f>
        <v>69549</v>
      </c>
      <c r="C357" s="12">
        <f t="shared" si="10"/>
        <v>0.10776802637656691</v>
      </c>
      <c r="D357" s="13">
        <f t="shared" si="11"/>
        <v>8.1599328170196883E-2</v>
      </c>
    </row>
    <row r="358" spans="1:4" x14ac:dyDescent="0.35">
      <c r="A358" s="11">
        <v>44287</v>
      </c>
      <c r="B358" s="15">
        <f>VLOOKUP(A358,Database!A:Q,MATCH($A$1,Database!$A$1:$Q$1,),)</f>
        <v>68499</v>
      </c>
      <c r="C358" s="12">
        <f t="shared" si="10"/>
        <v>-1.5097269550964068E-2</v>
      </c>
      <c r="D358" s="13">
        <f t="shared" si="11"/>
        <v>0.20969536423841059</v>
      </c>
    </row>
    <row r="359" spans="1:4" x14ac:dyDescent="0.35">
      <c r="A359" s="10">
        <v>44317</v>
      </c>
      <c r="B359" s="15">
        <f>VLOOKUP(A359,Database!A:Q,MATCH($A$1,Database!$A$1:$Q$1,),)</f>
        <v>66475</v>
      </c>
      <c r="C359" s="12">
        <f t="shared" si="10"/>
        <v>-2.9547876611337391E-2</v>
      </c>
      <c r="D359" s="13">
        <f t="shared" si="11"/>
        <v>9.8869309352993678E-2</v>
      </c>
    </row>
    <row r="360" spans="1:4" x14ac:dyDescent="0.35">
      <c r="A360" s="11">
        <v>44348</v>
      </c>
      <c r="B360" s="15">
        <f>VLOOKUP(A360,Database!A:Q,MATCH($A$1,Database!$A$1:$Q$1,),)</f>
        <v>66887</v>
      </c>
      <c r="C360" s="12">
        <f t="shared" si="10"/>
        <v>6.197818728845431E-3</v>
      </c>
      <c r="D360" s="13">
        <f t="shared" si="11"/>
        <v>9.4588181386747835E-2</v>
      </c>
    </row>
    <row r="361" spans="1:4" x14ac:dyDescent="0.35">
      <c r="A361" s="10">
        <v>44378</v>
      </c>
      <c r="B361" s="15">
        <f>VLOOKUP(A361,Database!A:Q,MATCH($A$1,Database!$A$1:$Q$1,),)</f>
        <v>66654</v>
      </c>
      <c r="C361" s="12">
        <f t="shared" si="10"/>
        <v>-3.4834870752164099E-3</v>
      </c>
      <c r="D361" s="13">
        <f t="shared" si="11"/>
        <v>8.9455876824504343E-2</v>
      </c>
    </row>
    <row r="362" spans="1:4" x14ac:dyDescent="0.35">
      <c r="A362" s="11">
        <v>44409</v>
      </c>
      <c r="B362" s="15">
        <f>VLOOKUP(A362,Database!A:Q,MATCH($A$1,Database!$A$1:$Q$1,),)</f>
        <v>67314</v>
      </c>
      <c r="C362" s="12">
        <f t="shared" si="10"/>
        <v>9.901881357457917E-3</v>
      </c>
      <c r="D362" s="13">
        <f t="shared" si="11"/>
        <v>0.12204960661421523</v>
      </c>
    </row>
    <row r="363" spans="1:4" x14ac:dyDescent="0.35">
      <c r="A363" s="11">
        <v>44440</v>
      </c>
      <c r="B363" s="15">
        <f>VLOOKUP(A363,Database!A:Q,MATCH($A$1,Database!$A$1:$Q$1,),)</f>
        <v>67541</v>
      </c>
      <c r="C363" s="12">
        <f t="shared" si="10"/>
        <v>3.3722554000653652E-3</v>
      </c>
      <c r="D363" s="13">
        <f t="shared" si="11"/>
        <v>8.4316653020597543E-2</v>
      </c>
    </row>
    <row r="364" spans="1:4" x14ac:dyDescent="0.35">
      <c r="A364" s="10">
        <v>44470</v>
      </c>
      <c r="B364" s="15">
        <f>VLOOKUP(A364,Database!A:Q,MATCH($A$1,Database!$A$1:$Q$1,),)</f>
        <v>68323</v>
      </c>
      <c r="C364" s="12">
        <f t="shared" si="10"/>
        <v>1.1578152529574628E-2</v>
      </c>
      <c r="D364" s="13">
        <f t="shared" si="11"/>
        <v>0.11157569348409664</v>
      </c>
    </row>
    <row r="365" spans="1:4" x14ac:dyDescent="0.35">
      <c r="A365" s="11">
        <v>44501</v>
      </c>
      <c r="B365" s="15">
        <f>VLOOKUP(A365,Database!A:Q,MATCH($A$1,Database!$A$1:$Q$1,),)</f>
        <v>68109</v>
      </c>
      <c r="C365" s="12">
        <f t="shared" si="10"/>
        <v>-3.1321809639506463E-3</v>
      </c>
      <c r="D365" s="13">
        <f t="shared" si="11"/>
        <v>0.10850883760294261</v>
      </c>
    </row>
    <row r="366" spans="1:4" x14ac:dyDescent="0.35">
      <c r="A366" s="10">
        <v>44531</v>
      </c>
      <c r="B366" s="15">
        <f>VLOOKUP(A366,Database!A:Q,MATCH($A$1,Database!$A$1:$Q$1,),)</f>
        <v>67197</v>
      </c>
      <c r="C366" s="12">
        <f t="shared" si="10"/>
        <v>-1.3390300841298507E-2</v>
      </c>
      <c r="D366" s="13">
        <f t="shared" si="11"/>
        <v>0.11082273982113633</v>
      </c>
    </row>
    <row r="367" spans="1:4" x14ac:dyDescent="0.35">
      <c r="A367" s="11">
        <v>44562</v>
      </c>
      <c r="B367" s="15">
        <f>VLOOKUP(A367,Database!A:Q,MATCH($A$1,Database!$A$1:$Q$1,),)</f>
        <v>69233</v>
      </c>
      <c r="C367" s="12">
        <f t="shared" si="10"/>
        <v>3.0298971680283344E-2</v>
      </c>
      <c r="D367" s="13">
        <f t="shared" si="11"/>
        <v>5.2781241446428026E-2</v>
      </c>
    </row>
    <row r="368" spans="1:4" x14ac:dyDescent="0.35">
      <c r="A368" s="11">
        <v>44593</v>
      </c>
      <c r="B368" s="15">
        <f>VLOOKUP(A368,Database!A:Q,MATCH($A$1,Database!$A$1:$Q$1,),)</f>
        <v>67568</v>
      </c>
      <c r="C368" s="12">
        <f t="shared" si="10"/>
        <v>-2.4049225080525184E-2</v>
      </c>
      <c r="D368" s="13">
        <f t="shared" si="11"/>
        <v>7.6214898937610506E-2</v>
      </c>
    </row>
    <row r="369" spans="1:4" x14ac:dyDescent="0.35">
      <c r="A369" s="11">
        <v>44621</v>
      </c>
      <c r="B369" s="15">
        <f>VLOOKUP(A369,Database!A:Q,MATCH($A$1,Database!$A$1:$Q$1,),)</f>
        <v>68468</v>
      </c>
      <c r="C369" s="12">
        <f t="shared" si="10"/>
        <v>1.3319914752545584E-2</v>
      </c>
      <c r="D369" s="13">
        <f t="shared" si="11"/>
        <v>-1.5542998461516341E-2</v>
      </c>
    </row>
    <row r="370" spans="1:4" x14ac:dyDescent="0.35">
      <c r="A370" s="11">
        <v>44652</v>
      </c>
      <c r="B370" s="15">
        <f>VLOOKUP(A370,Database!A:Q,MATCH($A$1,Database!$A$1:$Q$1,),)</f>
        <v>68026</v>
      </c>
      <c r="C370" s="12">
        <f t="shared" si="10"/>
        <v>-6.4555704854822689E-3</v>
      </c>
      <c r="D370" s="13">
        <f t="shared" si="11"/>
        <v>-6.9052102950408036E-3</v>
      </c>
    </row>
    <row r="371" spans="1:4" x14ac:dyDescent="0.35">
      <c r="A371" s="10">
        <v>44682</v>
      </c>
      <c r="B371" s="15">
        <f>VLOOKUP(A371,Database!A:Q,MATCH($A$1,Database!$A$1:$Q$1,),)</f>
        <v>68053</v>
      </c>
      <c r="C371" s="12">
        <f t="shared" si="10"/>
        <v>3.9690706494575602E-4</v>
      </c>
      <c r="D371" s="13">
        <f t="shared" si="11"/>
        <v>2.3738247461451673E-2</v>
      </c>
    </row>
    <row r="372" spans="1:4" x14ac:dyDescent="0.35">
      <c r="A372" s="11">
        <v>44713</v>
      </c>
      <c r="B372" s="15">
        <f>VLOOKUP(A372,Database!A:Q,MATCH($A$1,Database!$A$1:$Q$1,),)</f>
        <v>69621</v>
      </c>
      <c r="C372" s="12">
        <f t="shared" si="10"/>
        <v>2.3040865207999646E-2</v>
      </c>
      <c r="D372" s="13">
        <f t="shared" si="11"/>
        <v>4.0874908427646628E-2</v>
      </c>
    </row>
    <row r="373" spans="1:4" x14ac:dyDescent="0.35">
      <c r="A373" s="11">
        <v>44743</v>
      </c>
      <c r="B373" s="15">
        <f>VLOOKUP(A373,Database!A:Q,MATCH($A$1,Database!$A$1:$Q$1,),)</f>
        <v>69346</v>
      </c>
      <c r="C373" s="12">
        <f t="shared" si="10"/>
        <v>-3.9499576277272665E-3</v>
      </c>
      <c r="D373" s="13">
        <f t="shared" si="11"/>
        <v>4.0387673657995019E-2</v>
      </c>
    </row>
    <row r="374" spans="1:4" x14ac:dyDescent="0.35">
      <c r="A374" s="11">
        <v>44774</v>
      </c>
      <c r="B374" s="15">
        <f>VLOOKUP(A374,Database!A:Q,MATCH($A$1,Database!$A$1:$Q$1,),)</f>
        <v>69558</v>
      </c>
      <c r="C374" s="12">
        <f t="shared" si="10"/>
        <v>3.0571337928647652E-3</v>
      </c>
      <c r="D374" s="13">
        <f t="shared" si="11"/>
        <v>3.3336304483465549E-2</v>
      </c>
    </row>
    <row r="375" spans="1:4" x14ac:dyDescent="0.35">
      <c r="A375" s="11">
        <v>44805</v>
      </c>
      <c r="B375" s="15">
        <f>VLOOKUP(A375,Database!A:Q,MATCH($A$1,Database!$A$1:$Q$1,),)</f>
        <v>70343</v>
      </c>
      <c r="C375" s="12">
        <f t="shared" si="10"/>
        <v>1.1285545875384571E-2</v>
      </c>
      <c r="D375" s="13">
        <f t="shared" si="11"/>
        <v>4.1485912260700905E-2</v>
      </c>
    </row>
    <row r="376" spans="1:4" x14ac:dyDescent="0.35">
      <c r="A376" s="11">
        <v>44835</v>
      </c>
      <c r="B376" s="15">
        <f>VLOOKUP(A376,Database!A:Q,MATCH($A$1,Database!$A$1:$Q$1,),)</f>
        <v>70145</v>
      </c>
      <c r="C376" s="12">
        <f t="shared" si="10"/>
        <v>-2.8147790114154926E-3</v>
      </c>
      <c r="D376" s="13">
        <f t="shared" si="11"/>
        <v>2.6667447272514379E-2</v>
      </c>
    </row>
    <row r="377" spans="1:4" x14ac:dyDescent="0.35">
      <c r="A377" s="11">
        <v>44866</v>
      </c>
      <c r="B377" s="15">
        <f>VLOOKUP(A377,Database!A:Q,MATCH($A$1,Database!$A$1:$Q$1,),)</f>
        <v>70070</v>
      </c>
      <c r="C377" s="12">
        <f t="shared" si="10"/>
        <v>-1.0692137714733766E-3</v>
      </c>
      <c r="D377" s="13">
        <f t="shared" si="11"/>
        <v>2.8792083278274531E-2</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7"/>
  <sheetViews>
    <sheetView zoomScale="150" zoomScaleNormal="150" workbookViewId="0">
      <pane ySplit="6" topLeftCell="A358" activePane="bottomLeft" state="frozen"/>
      <selection pane="bottomLeft" activeCell="Z368" sqref="Z368"/>
    </sheetView>
  </sheetViews>
  <sheetFormatPr defaultColWidth="9.1796875" defaultRowHeight="14.5" x14ac:dyDescent="0.35"/>
  <cols>
    <col min="1" max="1" width="14" style="54" customWidth="1"/>
    <col min="2" max="2" width="20.6328125" style="54" customWidth="1"/>
    <col min="3" max="4" width="14.1796875" style="54" customWidth="1"/>
    <col min="5" max="22" width="9.1796875" style="109" customWidth="1"/>
    <col min="23" max="16384" width="9.1796875" style="109"/>
  </cols>
  <sheetData>
    <row r="1" spans="1:4" x14ac:dyDescent="0.35">
      <c r="A1" s="109" t="s">
        <v>57</v>
      </c>
      <c r="B1" s="29" t="s">
        <v>110</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86" t="s">
        <v>82</v>
      </c>
      <c r="B6" s="83" t="s">
        <v>111</v>
      </c>
      <c r="C6" s="84" t="s">
        <v>12</v>
      </c>
      <c r="D6" s="85" t="s">
        <v>13</v>
      </c>
    </row>
    <row r="7" spans="1:4" x14ac:dyDescent="0.35">
      <c r="A7" s="10">
        <v>33604</v>
      </c>
      <c r="B7" s="15">
        <f>VLOOKUP(A7,Database!A:K,MATCH($A$1,Database!$A$1:$K$1,),)</f>
        <v>17170</v>
      </c>
      <c r="C7" s="1"/>
      <c r="D7" s="1"/>
    </row>
    <row r="8" spans="1:4" x14ac:dyDescent="0.35">
      <c r="A8" s="11">
        <v>33635</v>
      </c>
      <c r="B8" s="15">
        <f>VLOOKUP(A8,Database!A:K,MATCH($A$1,Database!$A$1:$K$1,),)</f>
        <v>16990</v>
      </c>
      <c r="C8" s="12">
        <f t="shared" ref="C8:C71" si="0">(B8-B7)/B7</f>
        <v>-1.0483401281304601E-2</v>
      </c>
      <c r="D8" s="1"/>
    </row>
    <row r="9" spans="1:4" x14ac:dyDescent="0.35">
      <c r="A9" s="10">
        <v>33664</v>
      </c>
      <c r="B9" s="15">
        <f>VLOOKUP(A9,Database!A:K,MATCH($A$1,Database!$A$1:$K$1,),)</f>
        <v>16916</v>
      </c>
      <c r="C9" s="12">
        <f t="shared" si="0"/>
        <v>-4.3555032371983523E-3</v>
      </c>
      <c r="D9" s="1"/>
    </row>
    <row r="10" spans="1:4" x14ac:dyDescent="0.35">
      <c r="A10" s="11">
        <v>33695</v>
      </c>
      <c r="B10" s="15">
        <f>VLOOKUP(A10,Database!A:K,MATCH($A$1,Database!$A$1:$K$1,),)</f>
        <v>16677</v>
      </c>
      <c r="C10" s="12">
        <f t="shared" si="0"/>
        <v>-1.4128635611255616E-2</v>
      </c>
      <c r="D10" s="1"/>
    </row>
    <row r="11" spans="1:4" x14ac:dyDescent="0.35">
      <c r="A11" s="10">
        <v>33725</v>
      </c>
      <c r="B11" s="15">
        <f>VLOOKUP(A11,Database!A:K,MATCH($A$1,Database!$A$1:$K$1,),)</f>
        <v>16602</v>
      </c>
      <c r="C11" s="12">
        <f t="shared" si="0"/>
        <v>-4.4972117287281881E-3</v>
      </c>
      <c r="D11" s="1"/>
    </row>
    <row r="12" spans="1:4" x14ac:dyDescent="0.35">
      <c r="A12" s="11">
        <v>33756</v>
      </c>
      <c r="B12" s="15">
        <f>VLOOKUP(A12,Database!A:K,MATCH($A$1,Database!$A$1:$K$1,),)</f>
        <v>16277</v>
      </c>
      <c r="C12" s="12">
        <f t="shared" si="0"/>
        <v>-1.95759547042525E-2</v>
      </c>
      <c r="D12" s="1"/>
    </row>
    <row r="13" spans="1:4" x14ac:dyDescent="0.35">
      <c r="A13" s="10">
        <v>33786</v>
      </c>
      <c r="B13" s="15">
        <f>VLOOKUP(A13,Database!A:K,MATCH($A$1,Database!$A$1:$K$1,),)</f>
        <v>16496</v>
      </c>
      <c r="C13" s="12">
        <f t="shared" si="0"/>
        <v>1.3454567795048228E-2</v>
      </c>
      <c r="D13" s="1"/>
    </row>
    <row r="14" spans="1:4" x14ac:dyDescent="0.35">
      <c r="A14" s="11">
        <v>33817</v>
      </c>
      <c r="B14" s="15">
        <f>VLOOKUP(A14,Database!A:K,MATCH($A$1,Database!$A$1:$K$1,),)</f>
        <v>16733</v>
      </c>
      <c r="C14" s="12">
        <f t="shared" si="0"/>
        <v>1.4367119301648884E-2</v>
      </c>
      <c r="D14" s="1"/>
    </row>
    <row r="15" spans="1:4" x14ac:dyDescent="0.35">
      <c r="A15" s="10">
        <v>33848</v>
      </c>
      <c r="B15" s="15">
        <f>VLOOKUP(A15,Database!A:K,MATCH($A$1,Database!$A$1:$K$1,),)</f>
        <v>16812</v>
      </c>
      <c r="C15" s="12">
        <f t="shared" si="0"/>
        <v>4.7212095858483235E-3</v>
      </c>
      <c r="D15" s="1"/>
    </row>
    <row r="16" spans="1:4" x14ac:dyDescent="0.35">
      <c r="A16" s="11">
        <v>33878</v>
      </c>
      <c r="B16" s="15">
        <f>VLOOKUP(A16,Database!A:K,MATCH($A$1,Database!$A$1:$K$1,),)</f>
        <v>17104</v>
      </c>
      <c r="C16" s="12">
        <f t="shared" si="0"/>
        <v>1.736854627646919E-2</v>
      </c>
      <c r="D16" s="1"/>
    </row>
    <row r="17" spans="1:4" x14ac:dyDescent="0.35">
      <c r="A17" s="10">
        <v>33909</v>
      </c>
      <c r="B17" s="15">
        <f>VLOOKUP(A17,Database!A:K,MATCH($A$1,Database!$A$1:$K$1,),)</f>
        <v>17420</v>
      </c>
      <c r="C17" s="12">
        <f t="shared" si="0"/>
        <v>1.8475210477081384E-2</v>
      </c>
      <c r="D17" s="1"/>
    </row>
    <row r="18" spans="1:4" x14ac:dyDescent="0.35">
      <c r="A18" s="11">
        <v>33939</v>
      </c>
      <c r="B18" s="15">
        <f>VLOOKUP(A18,Database!A:K,MATCH($A$1,Database!$A$1:$K$1,),)</f>
        <v>17491</v>
      </c>
      <c r="C18" s="12">
        <f t="shared" si="0"/>
        <v>4.0757749712973593E-3</v>
      </c>
      <c r="D18" s="1"/>
    </row>
    <row r="19" spans="1:4" x14ac:dyDescent="0.35">
      <c r="A19" s="10">
        <v>33970</v>
      </c>
      <c r="B19" s="15">
        <f>VLOOKUP(A19,Database!A:K,MATCH($A$1,Database!$A$1:$K$1,),)</f>
        <v>17553</v>
      </c>
      <c r="C19" s="12">
        <f t="shared" si="0"/>
        <v>3.5446801212051914E-3</v>
      </c>
      <c r="D19" s="13">
        <f t="shared" ref="D19:D82" si="1">(B19-B7)/B7</f>
        <v>2.2306348281887014E-2</v>
      </c>
    </row>
    <row r="20" spans="1:4" x14ac:dyDescent="0.35">
      <c r="A20" s="11">
        <v>34001</v>
      </c>
      <c r="B20" s="15">
        <f>VLOOKUP(A20,Database!A:K,MATCH($A$1,Database!$A$1:$K$1,),)</f>
        <v>17478</v>
      </c>
      <c r="C20" s="12">
        <f t="shared" si="0"/>
        <v>-4.2727738848060163E-3</v>
      </c>
      <c r="D20" s="13">
        <f t="shared" si="1"/>
        <v>2.8722778104767512E-2</v>
      </c>
    </row>
    <row r="21" spans="1:4" x14ac:dyDescent="0.35">
      <c r="A21" s="10">
        <v>34029</v>
      </c>
      <c r="B21" s="15">
        <f>VLOOKUP(A21,Database!A:K,MATCH($A$1,Database!$A$1:$K$1,),)</f>
        <v>17554</v>
      </c>
      <c r="C21" s="12">
        <f t="shared" si="0"/>
        <v>4.3483236068200025E-3</v>
      </c>
      <c r="D21" s="13">
        <f t="shared" si="1"/>
        <v>3.7715772050130054E-2</v>
      </c>
    </row>
    <row r="22" spans="1:4" x14ac:dyDescent="0.35">
      <c r="A22" s="11">
        <v>34060</v>
      </c>
      <c r="B22" s="15">
        <f>VLOOKUP(A22,Database!A:K,MATCH($A$1,Database!$A$1:$K$1,),)</f>
        <v>17770</v>
      </c>
      <c r="C22" s="12">
        <f t="shared" si="0"/>
        <v>1.2304887774866127E-2</v>
      </c>
      <c r="D22" s="13">
        <f t="shared" si="1"/>
        <v>6.5539365593332136E-2</v>
      </c>
    </row>
    <row r="23" spans="1:4" x14ac:dyDescent="0.35">
      <c r="A23" s="10">
        <v>34090</v>
      </c>
      <c r="B23" s="15">
        <f>VLOOKUP(A23,Database!A:K,MATCH($A$1,Database!$A$1:$K$1,),)</f>
        <v>17821</v>
      </c>
      <c r="C23" s="12">
        <f t="shared" si="0"/>
        <v>2.8700056274620148E-3</v>
      </c>
      <c r="D23" s="13">
        <f t="shared" si="1"/>
        <v>7.3424888567642455E-2</v>
      </c>
    </row>
    <row r="24" spans="1:4" x14ac:dyDescent="0.35">
      <c r="A24" s="11">
        <v>34121</v>
      </c>
      <c r="B24" s="15">
        <f>VLOOKUP(A24,Database!A:K,MATCH($A$1,Database!$A$1:$K$1,),)</f>
        <v>18030</v>
      </c>
      <c r="C24" s="12">
        <f t="shared" si="0"/>
        <v>1.1727736939565681E-2</v>
      </c>
      <c r="D24" s="13">
        <f t="shared" si="1"/>
        <v>0.10769797874301161</v>
      </c>
    </row>
    <row r="25" spans="1:4" x14ac:dyDescent="0.35">
      <c r="A25" s="10">
        <v>34151</v>
      </c>
      <c r="B25" s="15">
        <f>VLOOKUP(A25,Database!A:K,MATCH($A$1,Database!$A$1:$K$1,),)</f>
        <v>17927</v>
      </c>
      <c r="C25" s="12">
        <f t="shared" si="0"/>
        <v>-5.7127010537992235E-3</v>
      </c>
      <c r="D25" s="13">
        <f t="shared" si="1"/>
        <v>8.6748302618816678E-2</v>
      </c>
    </row>
    <row r="26" spans="1:4" x14ac:dyDescent="0.35">
      <c r="A26" s="11">
        <v>34182</v>
      </c>
      <c r="B26" s="15">
        <f>VLOOKUP(A26,Database!A:K,MATCH($A$1,Database!$A$1:$K$1,),)</f>
        <v>18201</v>
      </c>
      <c r="C26" s="12">
        <f t="shared" si="0"/>
        <v>1.5284208177609193E-2</v>
      </c>
      <c r="D26" s="13">
        <f t="shared" si="1"/>
        <v>8.773083129145999E-2</v>
      </c>
    </row>
    <row r="27" spans="1:4" x14ac:dyDescent="0.35">
      <c r="A27" s="10">
        <v>34213</v>
      </c>
      <c r="B27" s="15">
        <f>VLOOKUP(A27,Database!A:K,MATCH($A$1,Database!$A$1:$K$1,),)</f>
        <v>18515</v>
      </c>
      <c r="C27" s="12">
        <f t="shared" si="0"/>
        <v>1.7251799351683972E-2</v>
      </c>
      <c r="D27" s="13">
        <f t="shared" si="1"/>
        <v>0.10129669283844872</v>
      </c>
    </row>
    <row r="28" spans="1:4" x14ac:dyDescent="0.35">
      <c r="A28" s="11">
        <v>34243</v>
      </c>
      <c r="B28" s="15">
        <f>VLOOKUP(A28,Database!A:K,MATCH($A$1,Database!$A$1:$K$1,),)</f>
        <v>18199</v>
      </c>
      <c r="C28" s="12">
        <f t="shared" si="0"/>
        <v>-1.7067242776127464E-2</v>
      </c>
      <c r="D28" s="13">
        <f t="shared" si="1"/>
        <v>6.4020112254443401E-2</v>
      </c>
    </row>
    <row r="29" spans="1:4" x14ac:dyDescent="0.35">
      <c r="A29" s="10">
        <v>34274</v>
      </c>
      <c r="B29" s="15">
        <f>VLOOKUP(A29,Database!A:K,MATCH($A$1,Database!$A$1:$K$1,),)</f>
        <v>18153</v>
      </c>
      <c r="C29" s="12">
        <f t="shared" si="0"/>
        <v>-2.5276114072201768E-3</v>
      </c>
      <c r="D29" s="13">
        <f t="shared" si="1"/>
        <v>4.2078071182548797E-2</v>
      </c>
    </row>
    <row r="30" spans="1:4" x14ac:dyDescent="0.35">
      <c r="A30" s="11">
        <v>34304</v>
      </c>
      <c r="B30" s="15">
        <f>VLOOKUP(A30,Database!A:K,MATCH($A$1,Database!$A$1:$K$1,),)</f>
        <v>18238</v>
      </c>
      <c r="C30" s="12">
        <f t="shared" si="0"/>
        <v>4.6824216382967002E-3</v>
      </c>
      <c r="D30" s="13">
        <f t="shared" si="1"/>
        <v>4.270767823452061E-2</v>
      </c>
    </row>
    <row r="31" spans="1:4" x14ac:dyDescent="0.35">
      <c r="A31" s="10">
        <v>34335</v>
      </c>
      <c r="B31" s="15">
        <f>VLOOKUP(A31,Database!A:K,MATCH($A$1,Database!$A$1:$K$1,),)</f>
        <v>17624</v>
      </c>
      <c r="C31" s="12">
        <f t="shared" si="0"/>
        <v>-3.3665972146068646E-2</v>
      </c>
      <c r="D31" s="13">
        <f t="shared" si="1"/>
        <v>4.0448926109496949E-3</v>
      </c>
    </row>
    <row r="32" spans="1:4" x14ac:dyDescent="0.35">
      <c r="A32" s="11">
        <v>34366</v>
      </c>
      <c r="B32" s="15">
        <f>VLOOKUP(A32,Database!A:K,MATCH($A$1,Database!$A$1:$K$1,),)</f>
        <v>18425</v>
      </c>
      <c r="C32" s="12">
        <f t="shared" si="0"/>
        <v>4.5449387199273716E-2</v>
      </c>
      <c r="D32" s="13">
        <f t="shared" si="1"/>
        <v>5.4182400732349242E-2</v>
      </c>
    </row>
    <row r="33" spans="1:4" x14ac:dyDescent="0.35">
      <c r="A33" s="10">
        <v>34394</v>
      </c>
      <c r="B33" s="15">
        <f>VLOOKUP(A33,Database!A:K,MATCH($A$1,Database!$A$1:$K$1,),)</f>
        <v>18813</v>
      </c>
      <c r="C33" s="12">
        <f t="shared" si="0"/>
        <v>2.1058344640434191E-2</v>
      </c>
      <c r="D33" s="13">
        <f t="shared" si="1"/>
        <v>7.1721544947020627E-2</v>
      </c>
    </row>
    <row r="34" spans="1:4" x14ac:dyDescent="0.35">
      <c r="A34" s="11">
        <v>34425</v>
      </c>
      <c r="B34" s="15">
        <f>VLOOKUP(A34,Database!A:K,MATCH($A$1,Database!$A$1:$K$1,),)</f>
        <v>18533</v>
      </c>
      <c r="C34" s="12">
        <f t="shared" si="0"/>
        <v>-1.4883325360123319E-2</v>
      </c>
      <c r="D34" s="13">
        <f t="shared" si="1"/>
        <v>4.2937535171637592E-2</v>
      </c>
    </row>
    <row r="35" spans="1:4" x14ac:dyDescent="0.35">
      <c r="A35" s="10">
        <v>34455</v>
      </c>
      <c r="B35" s="15">
        <f>VLOOKUP(A35,Database!A:K,MATCH($A$1,Database!$A$1:$K$1,),)</f>
        <v>18600</v>
      </c>
      <c r="C35" s="12">
        <f t="shared" si="0"/>
        <v>3.6151729347650139E-3</v>
      </c>
      <c r="D35" s="13">
        <f t="shared" si="1"/>
        <v>4.3712474047472083E-2</v>
      </c>
    </row>
    <row r="36" spans="1:4" x14ac:dyDescent="0.35">
      <c r="A36" s="11">
        <v>34486</v>
      </c>
      <c r="B36" s="15">
        <f>VLOOKUP(A36,Database!A:K,MATCH($A$1,Database!$A$1:$K$1,),)</f>
        <v>18889</v>
      </c>
      <c r="C36" s="12">
        <f t="shared" si="0"/>
        <v>1.553763440860215E-2</v>
      </c>
      <c r="D36" s="13">
        <f t="shared" si="1"/>
        <v>4.7642817526344979E-2</v>
      </c>
    </row>
    <row r="37" spans="1:4" x14ac:dyDescent="0.35">
      <c r="A37" s="10">
        <v>34516</v>
      </c>
      <c r="B37" s="15">
        <f>VLOOKUP(A37,Database!A:K,MATCH($A$1,Database!$A$1:$K$1,),)</f>
        <v>18962</v>
      </c>
      <c r="C37" s="12">
        <f t="shared" si="0"/>
        <v>3.8646831489226536E-3</v>
      </c>
      <c r="D37" s="13">
        <f t="shared" si="1"/>
        <v>5.7734144028560273E-2</v>
      </c>
    </row>
    <row r="38" spans="1:4" x14ac:dyDescent="0.35">
      <c r="A38" s="11">
        <v>34547</v>
      </c>
      <c r="B38" s="15">
        <f>VLOOKUP(A38,Database!A:K,MATCH($A$1,Database!$A$1:$K$1,),)</f>
        <v>18868</v>
      </c>
      <c r="C38" s="12">
        <f t="shared" si="0"/>
        <v>-4.9572829870266847E-3</v>
      </c>
      <c r="D38" s="13">
        <f t="shared" si="1"/>
        <v>3.6646338113290482E-2</v>
      </c>
    </row>
    <row r="39" spans="1:4" x14ac:dyDescent="0.35">
      <c r="A39" s="10">
        <v>34578</v>
      </c>
      <c r="B39" s="15">
        <f>VLOOKUP(A39,Database!A:K,MATCH($A$1,Database!$A$1:$K$1,),)</f>
        <v>18978</v>
      </c>
      <c r="C39" s="12">
        <f t="shared" si="0"/>
        <v>5.82997668009328E-3</v>
      </c>
      <c r="D39" s="13">
        <f t="shared" si="1"/>
        <v>2.5006751282743721E-2</v>
      </c>
    </row>
    <row r="40" spans="1:4" x14ac:dyDescent="0.35">
      <c r="A40" s="11">
        <v>34608</v>
      </c>
      <c r="B40" s="15">
        <f>VLOOKUP(A40,Database!A:K,MATCH($A$1,Database!$A$1:$K$1,),)</f>
        <v>19010</v>
      </c>
      <c r="C40" s="12">
        <f t="shared" si="0"/>
        <v>1.6861629254926757E-3</v>
      </c>
      <c r="D40" s="13">
        <f t="shared" si="1"/>
        <v>4.4562888070773118E-2</v>
      </c>
    </row>
    <row r="41" spans="1:4" x14ac:dyDescent="0.35">
      <c r="A41" s="10">
        <v>34639</v>
      </c>
      <c r="B41" s="15">
        <f>VLOOKUP(A41,Database!A:K,MATCH($A$1,Database!$A$1:$K$1,),)</f>
        <v>19028</v>
      </c>
      <c r="C41" s="12">
        <f t="shared" si="0"/>
        <v>9.4687006838506046E-4</v>
      </c>
      <c r="D41" s="13">
        <f t="shared" si="1"/>
        <v>4.8201399217760149E-2</v>
      </c>
    </row>
    <row r="42" spans="1:4" x14ac:dyDescent="0.35">
      <c r="A42" s="11">
        <v>34669</v>
      </c>
      <c r="B42" s="15">
        <f>VLOOKUP(A42,Database!A:K,MATCH($A$1,Database!$A$1:$K$1,),)</f>
        <v>19178</v>
      </c>
      <c r="C42" s="12">
        <f t="shared" si="0"/>
        <v>7.8831196132015981E-3</v>
      </c>
      <c r="D42" s="13">
        <f t="shared" si="1"/>
        <v>5.1540739116131155E-2</v>
      </c>
    </row>
    <row r="43" spans="1:4" x14ac:dyDescent="0.35">
      <c r="A43" s="10">
        <v>34700</v>
      </c>
      <c r="B43" s="15">
        <f>VLOOKUP(A43,Database!A:K,MATCH($A$1,Database!$A$1:$K$1,),)</f>
        <v>19160</v>
      </c>
      <c r="C43" s="12">
        <f t="shared" si="0"/>
        <v>-9.3857545103764731E-4</v>
      </c>
      <c r="D43" s="13">
        <f t="shared" si="1"/>
        <v>8.7153881071266454E-2</v>
      </c>
    </row>
    <row r="44" spans="1:4" x14ac:dyDescent="0.35">
      <c r="A44" s="11">
        <v>34731</v>
      </c>
      <c r="B44" s="15">
        <f>VLOOKUP(A44,Database!A:K,MATCH($A$1,Database!$A$1:$K$1,),)</f>
        <v>18911</v>
      </c>
      <c r="C44" s="12">
        <f t="shared" si="0"/>
        <v>-1.2995824634655533E-2</v>
      </c>
      <c r="D44" s="13">
        <f t="shared" si="1"/>
        <v>2.637720488466757E-2</v>
      </c>
    </row>
    <row r="45" spans="1:4" x14ac:dyDescent="0.35">
      <c r="A45" s="10">
        <v>34759</v>
      </c>
      <c r="B45" s="15">
        <f>VLOOKUP(A45,Database!A:K,MATCH($A$1,Database!$A$1:$K$1,),)</f>
        <v>19234</v>
      </c>
      <c r="C45" s="12">
        <f t="shared" si="0"/>
        <v>1.7080006345513193E-2</v>
      </c>
      <c r="D45" s="13">
        <f t="shared" si="1"/>
        <v>2.2378142773613989E-2</v>
      </c>
    </row>
    <row r="46" spans="1:4" x14ac:dyDescent="0.35">
      <c r="A46" s="11">
        <v>34790</v>
      </c>
      <c r="B46" s="15">
        <f>VLOOKUP(A46,Database!A:K,MATCH($A$1,Database!$A$1:$K$1,),)</f>
        <v>19346</v>
      </c>
      <c r="C46" s="12">
        <f t="shared" si="0"/>
        <v>5.8230217323489656E-3</v>
      </c>
      <c r="D46" s="13">
        <f t="shared" si="1"/>
        <v>4.3867695462148602E-2</v>
      </c>
    </row>
    <row r="47" spans="1:4" x14ac:dyDescent="0.35">
      <c r="A47" s="10">
        <v>34820</v>
      </c>
      <c r="B47" s="15">
        <f>VLOOKUP(A47,Database!A:K,MATCH($A$1,Database!$A$1:$K$1,),)</f>
        <v>19450</v>
      </c>
      <c r="C47" s="12">
        <f t="shared" si="0"/>
        <v>5.3757882766463354E-3</v>
      </c>
      <c r="D47" s="13">
        <f t="shared" si="1"/>
        <v>4.5698924731182797E-2</v>
      </c>
    </row>
    <row r="48" spans="1:4" x14ac:dyDescent="0.35">
      <c r="A48" s="11">
        <v>34851</v>
      </c>
      <c r="B48" s="15">
        <f>VLOOKUP(A48,Database!A:K,MATCH($A$1,Database!$A$1:$K$1,),)</f>
        <v>19419</v>
      </c>
      <c r="C48" s="12">
        <f t="shared" si="0"/>
        <v>-1.5938303341902313E-3</v>
      </c>
      <c r="D48" s="13">
        <f t="shared" si="1"/>
        <v>2.8058658478479537E-2</v>
      </c>
    </row>
    <row r="49" spans="1:4" x14ac:dyDescent="0.35">
      <c r="A49" s="10">
        <v>34881</v>
      </c>
      <c r="B49" s="15">
        <f>VLOOKUP(A49,Database!A:K,MATCH($A$1,Database!$A$1:$K$1,),)</f>
        <v>19489</v>
      </c>
      <c r="C49" s="12">
        <f t="shared" si="0"/>
        <v>3.6047170297131676E-3</v>
      </c>
      <c r="D49" s="13">
        <f t="shared" si="1"/>
        <v>2.7792426959181521E-2</v>
      </c>
    </row>
    <row r="50" spans="1:4" x14ac:dyDescent="0.35">
      <c r="A50" s="11">
        <v>34912</v>
      </c>
      <c r="B50" s="15">
        <f>VLOOKUP(A50,Database!A:K,MATCH($A$1,Database!$A$1:$K$1,),)</f>
        <v>19715</v>
      </c>
      <c r="C50" s="12">
        <f t="shared" si="0"/>
        <v>1.1596285083893479E-2</v>
      </c>
      <c r="D50" s="13">
        <f t="shared" si="1"/>
        <v>4.489082043671825E-2</v>
      </c>
    </row>
    <row r="51" spans="1:4" x14ac:dyDescent="0.35">
      <c r="A51" s="10">
        <v>34943</v>
      </c>
      <c r="B51" s="15">
        <f>VLOOKUP(A51,Database!A:K,MATCH($A$1,Database!$A$1:$K$1,),)</f>
        <v>19640</v>
      </c>
      <c r="C51" s="12">
        <f t="shared" si="0"/>
        <v>-3.8042099923915802E-3</v>
      </c>
      <c r="D51" s="13">
        <f t="shared" si="1"/>
        <v>3.4882495521129729E-2</v>
      </c>
    </row>
    <row r="52" spans="1:4" x14ac:dyDescent="0.35">
      <c r="A52" s="11">
        <v>34973</v>
      </c>
      <c r="B52" s="15">
        <f>VLOOKUP(A52,Database!A:K,MATCH($A$1,Database!$A$1:$K$1,),)</f>
        <v>19611</v>
      </c>
      <c r="C52" s="12">
        <f t="shared" si="0"/>
        <v>-1.4765784114052953E-3</v>
      </c>
      <c r="D52" s="13">
        <f t="shared" si="1"/>
        <v>3.1614939505523409E-2</v>
      </c>
    </row>
    <row r="53" spans="1:4" x14ac:dyDescent="0.35">
      <c r="A53" s="10">
        <v>35004</v>
      </c>
      <c r="B53" s="15">
        <f>VLOOKUP(A53,Database!A:K,MATCH($A$1,Database!$A$1:$K$1,),)</f>
        <v>19609</v>
      </c>
      <c r="C53" s="12">
        <f t="shared" si="0"/>
        <v>-1.019835806435164E-4</v>
      </c>
      <c r="D53" s="13">
        <f t="shared" si="1"/>
        <v>3.0533949968467523E-2</v>
      </c>
    </row>
    <row r="54" spans="1:4" x14ac:dyDescent="0.35">
      <c r="A54" s="11">
        <v>35034</v>
      </c>
      <c r="B54" s="15">
        <f>VLOOKUP(A54,Database!A:K,MATCH($A$1,Database!$A$1:$K$1,),)</f>
        <v>19625</v>
      </c>
      <c r="C54" s="12">
        <f t="shared" si="0"/>
        <v>8.1595185884032837E-4</v>
      </c>
      <c r="D54" s="13">
        <f t="shared" si="1"/>
        <v>2.3307957034101576E-2</v>
      </c>
    </row>
    <row r="55" spans="1:4" x14ac:dyDescent="0.35">
      <c r="A55" s="10">
        <v>35065</v>
      </c>
      <c r="B55" s="15">
        <f>VLOOKUP(A55,Database!A:K,MATCH($A$1,Database!$A$1:$K$1,),)</f>
        <v>19564</v>
      </c>
      <c r="C55" s="12">
        <f t="shared" si="0"/>
        <v>-3.1082802547770703E-3</v>
      </c>
      <c r="D55" s="13">
        <f t="shared" si="1"/>
        <v>2.1085594989561588E-2</v>
      </c>
    </row>
    <row r="56" spans="1:4" x14ac:dyDescent="0.35">
      <c r="A56" s="11">
        <v>35096</v>
      </c>
      <c r="B56" s="15">
        <f>VLOOKUP(A56,Database!A:K,MATCH($A$1,Database!$A$1:$K$1,),)</f>
        <v>19742</v>
      </c>
      <c r="C56" s="12">
        <f t="shared" si="0"/>
        <v>9.0983438969535878E-3</v>
      </c>
      <c r="D56" s="13">
        <f t="shared" si="1"/>
        <v>4.3942678864153137E-2</v>
      </c>
    </row>
    <row r="57" spans="1:4" x14ac:dyDescent="0.35">
      <c r="A57" s="10">
        <v>35125</v>
      </c>
      <c r="B57" s="15">
        <f>VLOOKUP(A57,Database!A:K,MATCH($A$1,Database!$A$1:$K$1,),)</f>
        <v>19862</v>
      </c>
      <c r="C57" s="12">
        <f t="shared" si="0"/>
        <v>6.0784115084591226E-3</v>
      </c>
      <c r="D57" s="13">
        <f t="shared" si="1"/>
        <v>3.2650514713528124E-2</v>
      </c>
    </row>
    <row r="58" spans="1:4" x14ac:dyDescent="0.35">
      <c r="A58" s="11">
        <v>35156</v>
      </c>
      <c r="B58" s="15">
        <f>VLOOKUP(A58,Database!A:K,MATCH($A$1,Database!$A$1:$K$1,),)</f>
        <v>19932</v>
      </c>
      <c r="C58" s="12">
        <f t="shared" si="0"/>
        <v>3.5243177927701138E-3</v>
      </c>
      <c r="D58" s="13">
        <f t="shared" si="1"/>
        <v>3.0290499328026466E-2</v>
      </c>
    </row>
    <row r="59" spans="1:4" x14ac:dyDescent="0.35">
      <c r="A59" s="10">
        <v>35186</v>
      </c>
      <c r="B59" s="15">
        <f>VLOOKUP(A59,Database!A:K,MATCH($A$1,Database!$A$1:$K$1,),)</f>
        <v>20094</v>
      </c>
      <c r="C59" s="12">
        <f t="shared" si="0"/>
        <v>8.1276339554485245E-3</v>
      </c>
      <c r="D59" s="13">
        <f t="shared" si="1"/>
        <v>3.3110539845758354E-2</v>
      </c>
    </row>
    <row r="60" spans="1:4" x14ac:dyDescent="0.35">
      <c r="A60" s="11">
        <v>35217</v>
      </c>
      <c r="B60" s="15">
        <f>VLOOKUP(A60,Database!A:K,MATCH($A$1,Database!$A$1:$K$1,),)</f>
        <v>19932</v>
      </c>
      <c r="C60" s="12">
        <f t="shared" si="0"/>
        <v>-8.0621080919677512E-3</v>
      </c>
      <c r="D60" s="13">
        <f t="shared" si="1"/>
        <v>2.6417426232040783E-2</v>
      </c>
    </row>
    <row r="61" spans="1:4" x14ac:dyDescent="0.35">
      <c r="A61" s="10">
        <v>35247</v>
      </c>
      <c r="B61" s="15">
        <f>VLOOKUP(A61,Database!A:K,MATCH($A$1,Database!$A$1:$K$1,),)</f>
        <v>20145</v>
      </c>
      <c r="C61" s="12">
        <f t="shared" si="0"/>
        <v>1.0686333534015654E-2</v>
      </c>
      <c r="D61" s="13">
        <f t="shared" si="1"/>
        <v>3.3660013340858948E-2</v>
      </c>
    </row>
    <row r="62" spans="1:4" x14ac:dyDescent="0.35">
      <c r="A62" s="11">
        <v>35278</v>
      </c>
      <c r="B62" s="15">
        <f>VLOOKUP(A62,Database!A:K,MATCH($A$1,Database!$A$1:$K$1,),)</f>
        <v>20140</v>
      </c>
      <c r="C62" s="12">
        <f t="shared" si="0"/>
        <v>-2.4820054604120131E-4</v>
      </c>
      <c r="D62" s="13">
        <f t="shared" si="1"/>
        <v>2.155718995688562E-2</v>
      </c>
    </row>
    <row r="63" spans="1:4" x14ac:dyDescent="0.35">
      <c r="A63" s="10">
        <v>35309</v>
      </c>
      <c r="B63" s="15">
        <f>VLOOKUP(A63,Database!A:K,MATCH($A$1,Database!$A$1:$K$1,),)</f>
        <v>20397</v>
      </c>
      <c r="C63" s="12">
        <f t="shared" si="0"/>
        <v>1.2760675273088381E-2</v>
      </c>
      <c r="D63" s="13">
        <f t="shared" si="1"/>
        <v>3.854378818737271E-2</v>
      </c>
    </row>
    <row r="64" spans="1:4" x14ac:dyDescent="0.35">
      <c r="A64" s="11">
        <v>35339</v>
      </c>
      <c r="B64" s="15">
        <f>VLOOKUP(A64,Database!A:K,MATCH($A$1,Database!$A$1:$K$1,),)</f>
        <v>20551</v>
      </c>
      <c r="C64" s="12">
        <f t="shared" si="0"/>
        <v>7.5501299210668235E-3</v>
      </c>
      <c r="D64" s="13">
        <f t="shared" si="1"/>
        <v>4.7932282902452703E-2</v>
      </c>
    </row>
    <row r="65" spans="1:4" x14ac:dyDescent="0.35">
      <c r="A65" s="10">
        <v>35370</v>
      </c>
      <c r="B65" s="15">
        <f>VLOOKUP(A65,Database!A:K,MATCH($A$1,Database!$A$1:$K$1,),)</f>
        <v>20789</v>
      </c>
      <c r="C65" s="12">
        <f t="shared" si="0"/>
        <v>1.1580944966181695E-2</v>
      </c>
      <c r="D65" s="13">
        <f t="shared" si="1"/>
        <v>6.0176449589474219E-2</v>
      </c>
    </row>
    <row r="66" spans="1:4" x14ac:dyDescent="0.35">
      <c r="A66" s="11">
        <v>35400</v>
      </c>
      <c r="B66" s="15">
        <f>VLOOKUP(A66,Database!A:K,MATCH($A$1,Database!$A$1:$K$1,),)</f>
        <v>20707</v>
      </c>
      <c r="C66" s="12">
        <f t="shared" si="0"/>
        <v>-3.9443936697291836E-3</v>
      </c>
      <c r="D66" s="13">
        <f t="shared" si="1"/>
        <v>5.5133757961783436E-2</v>
      </c>
    </row>
    <row r="67" spans="1:4" x14ac:dyDescent="0.35">
      <c r="A67" s="10">
        <v>35431</v>
      </c>
      <c r="B67" s="15">
        <f>VLOOKUP(A67,Database!A:K,MATCH($A$1,Database!$A$1:$K$1,),)</f>
        <v>21110</v>
      </c>
      <c r="C67" s="12">
        <f t="shared" si="0"/>
        <v>1.9462017675182304E-2</v>
      </c>
      <c r="D67" s="13">
        <f t="shared" si="1"/>
        <v>7.9022694745450831E-2</v>
      </c>
    </row>
    <row r="68" spans="1:4" x14ac:dyDescent="0.35">
      <c r="A68" s="11">
        <v>35462</v>
      </c>
      <c r="B68" s="15">
        <f>VLOOKUP(A68,Database!A:K,MATCH($A$1,Database!$A$1:$K$1,),)</f>
        <v>21136</v>
      </c>
      <c r="C68" s="12">
        <f t="shared" si="0"/>
        <v>1.2316437707247749E-3</v>
      </c>
      <c r="D68" s="13">
        <f t="shared" si="1"/>
        <v>7.0610880356600139E-2</v>
      </c>
    </row>
    <row r="69" spans="1:4" x14ac:dyDescent="0.35">
      <c r="A69" s="10">
        <v>35490</v>
      </c>
      <c r="B69" s="15">
        <f>VLOOKUP(A69,Database!A:K,MATCH($A$1,Database!$A$1:$K$1,),)</f>
        <v>21171</v>
      </c>
      <c r="C69" s="12">
        <f t="shared" si="0"/>
        <v>1.6559424678274034E-3</v>
      </c>
      <c r="D69" s="13">
        <f t="shared" si="1"/>
        <v>6.5904742724801124E-2</v>
      </c>
    </row>
    <row r="70" spans="1:4" x14ac:dyDescent="0.35">
      <c r="A70" s="11">
        <v>35521</v>
      </c>
      <c r="B70" s="15">
        <f>VLOOKUP(A70,Database!A:K,MATCH($A$1,Database!$A$1:$K$1,),)</f>
        <v>21216</v>
      </c>
      <c r="C70" s="12">
        <f t="shared" si="0"/>
        <v>2.1255491001842142E-3</v>
      </c>
      <c r="D70" s="13">
        <f t="shared" si="1"/>
        <v>6.4419024683925352E-2</v>
      </c>
    </row>
    <row r="71" spans="1:4" x14ac:dyDescent="0.35">
      <c r="A71" s="10">
        <v>35551</v>
      </c>
      <c r="B71" s="15">
        <f>VLOOKUP(A71,Database!A:K,MATCH($A$1,Database!$A$1:$K$1,),)</f>
        <v>21230</v>
      </c>
      <c r="C71" s="12">
        <f t="shared" si="0"/>
        <v>6.5987933634992463E-4</v>
      </c>
      <c r="D71" s="13">
        <f t="shared" si="1"/>
        <v>5.6534288842440529E-2</v>
      </c>
    </row>
    <row r="72" spans="1:4" x14ac:dyDescent="0.35">
      <c r="A72" s="11">
        <v>35582</v>
      </c>
      <c r="B72" s="15">
        <f>VLOOKUP(A72,Database!A:K,MATCH($A$1,Database!$A$1:$K$1,),)</f>
        <v>21382</v>
      </c>
      <c r="C72" s="12">
        <f t="shared" ref="C72:C135" si="2">(B72-B71)/B71</f>
        <v>7.1596796985398019E-3</v>
      </c>
      <c r="D72" s="13">
        <f t="shared" si="1"/>
        <v>7.2747340959261483E-2</v>
      </c>
    </row>
    <row r="73" spans="1:4" x14ac:dyDescent="0.35">
      <c r="A73" s="10">
        <v>35612</v>
      </c>
      <c r="B73" s="15">
        <f>VLOOKUP(A73,Database!A:K,MATCH($A$1,Database!$A$1:$K$1,),)</f>
        <v>21689</v>
      </c>
      <c r="C73" s="12">
        <f t="shared" si="2"/>
        <v>1.435787110653821E-2</v>
      </c>
      <c r="D73" s="13">
        <f t="shared" si="1"/>
        <v>7.6644328617522961E-2</v>
      </c>
    </row>
    <row r="74" spans="1:4" x14ac:dyDescent="0.35">
      <c r="A74" s="11">
        <v>35643</v>
      </c>
      <c r="B74" s="15">
        <f>VLOOKUP(A74,Database!A:K,MATCH($A$1,Database!$A$1:$K$1,),)</f>
        <v>21674</v>
      </c>
      <c r="C74" s="12">
        <f t="shared" si="2"/>
        <v>-6.9159481764949978E-4</v>
      </c>
      <c r="D74" s="13">
        <f t="shared" si="1"/>
        <v>7.6166832174776558E-2</v>
      </c>
    </row>
    <row r="75" spans="1:4" x14ac:dyDescent="0.35">
      <c r="A75" s="10">
        <v>35674</v>
      </c>
      <c r="B75" s="15">
        <f>VLOOKUP(A75,Database!A:K,MATCH($A$1,Database!$A$1:$K$1,),)</f>
        <v>21986</v>
      </c>
      <c r="C75" s="12">
        <f t="shared" si="2"/>
        <v>1.439512780289748E-2</v>
      </c>
      <c r="D75" s="13">
        <f t="shared" si="1"/>
        <v>7.7903613276462225E-2</v>
      </c>
    </row>
    <row r="76" spans="1:4" x14ac:dyDescent="0.35">
      <c r="A76" s="11">
        <v>35704</v>
      </c>
      <c r="B76" s="15">
        <f>VLOOKUP(A76,Database!A:K,MATCH($A$1,Database!$A$1:$K$1,),)</f>
        <v>21758</v>
      </c>
      <c r="C76" s="12">
        <f t="shared" si="2"/>
        <v>-1.0370235604475576E-2</v>
      </c>
      <c r="D76" s="13">
        <f t="shared" si="1"/>
        <v>5.8731935185635735E-2</v>
      </c>
    </row>
    <row r="77" spans="1:4" x14ac:dyDescent="0.35">
      <c r="A77" s="10">
        <v>35735</v>
      </c>
      <c r="B77" s="15">
        <f>VLOOKUP(A77,Database!A:K,MATCH($A$1,Database!$A$1:$K$1,),)</f>
        <v>21504</v>
      </c>
      <c r="C77" s="12">
        <f t="shared" si="2"/>
        <v>-1.1673867083371633E-2</v>
      </c>
      <c r="D77" s="13">
        <f t="shared" si="1"/>
        <v>3.4393188705565444E-2</v>
      </c>
    </row>
    <row r="78" spans="1:4" x14ac:dyDescent="0.35">
      <c r="A78" s="11">
        <v>35765</v>
      </c>
      <c r="B78" s="15">
        <f>VLOOKUP(A78,Database!A:K,MATCH($A$1,Database!$A$1:$K$1,),)</f>
        <v>21818</v>
      </c>
      <c r="C78" s="12">
        <f t="shared" si="2"/>
        <v>1.4601934523809524E-2</v>
      </c>
      <c r="D78" s="13">
        <f t="shared" si="1"/>
        <v>5.3653353938281738E-2</v>
      </c>
    </row>
    <row r="79" spans="1:4" x14ac:dyDescent="0.35">
      <c r="A79" s="10">
        <v>35796</v>
      </c>
      <c r="B79" s="15">
        <f>VLOOKUP(A79,Database!A:K,MATCH($A$1,Database!$A$1:$K$1,),)</f>
        <v>21921</v>
      </c>
      <c r="C79" s="12">
        <f t="shared" si="2"/>
        <v>4.7208726739389499E-3</v>
      </c>
      <c r="D79" s="13">
        <f t="shared" si="1"/>
        <v>3.8417811463761248E-2</v>
      </c>
    </row>
    <row r="80" spans="1:4" x14ac:dyDescent="0.35">
      <c r="A80" s="11">
        <v>35827</v>
      </c>
      <c r="B80" s="15">
        <f>VLOOKUP(A80,Database!A:K,MATCH($A$1,Database!$A$1:$K$1,),)</f>
        <v>22132</v>
      </c>
      <c r="C80" s="12">
        <f t="shared" si="2"/>
        <v>9.625473290452078E-3</v>
      </c>
      <c r="D80" s="13">
        <f t="shared" si="1"/>
        <v>4.7123391370174107E-2</v>
      </c>
    </row>
    <row r="81" spans="1:4" x14ac:dyDescent="0.35">
      <c r="A81" s="10">
        <v>35855</v>
      </c>
      <c r="B81" s="15">
        <f>VLOOKUP(A81,Database!A:K,MATCH($A$1,Database!$A$1:$K$1,),)</f>
        <v>22251</v>
      </c>
      <c r="C81" s="12">
        <f t="shared" si="2"/>
        <v>5.3768299295138258E-3</v>
      </c>
      <c r="D81" s="13">
        <f t="shared" si="1"/>
        <v>5.1013178404421142E-2</v>
      </c>
    </row>
    <row r="82" spans="1:4" x14ac:dyDescent="0.35">
      <c r="A82" s="11">
        <v>35886</v>
      </c>
      <c r="B82" s="15">
        <f>VLOOKUP(A82,Database!A:K,MATCH($A$1,Database!$A$1:$K$1,),)</f>
        <v>22353</v>
      </c>
      <c r="C82" s="12">
        <f t="shared" si="2"/>
        <v>4.5840636375893218E-3</v>
      </c>
      <c r="D82" s="13">
        <f t="shared" si="1"/>
        <v>5.3591628959276015E-2</v>
      </c>
    </row>
    <row r="83" spans="1:4" x14ac:dyDescent="0.35">
      <c r="A83" s="10">
        <v>35916</v>
      </c>
      <c r="B83" s="15">
        <f>VLOOKUP(A83,Database!A:K,MATCH($A$1,Database!$A$1:$K$1,),)</f>
        <v>22436</v>
      </c>
      <c r="C83" s="12">
        <f t="shared" si="2"/>
        <v>3.7131481232944123E-3</v>
      </c>
      <c r="D83" s="13">
        <f t="shared" ref="D83:D146" si="3">(B83-B71)/B71</f>
        <v>5.6806406029203955E-2</v>
      </c>
    </row>
    <row r="84" spans="1:4" x14ac:dyDescent="0.35">
      <c r="A84" s="11">
        <v>35947</v>
      </c>
      <c r="B84" s="15">
        <f>VLOOKUP(A84,Database!A:K,MATCH($A$1,Database!$A$1:$K$1,),)</f>
        <v>22634</v>
      </c>
      <c r="C84" s="12">
        <f t="shared" si="2"/>
        <v>8.8251025138170805E-3</v>
      </c>
      <c r="D84" s="13">
        <f t="shared" si="3"/>
        <v>5.8553923861191653E-2</v>
      </c>
    </row>
    <row r="85" spans="1:4" x14ac:dyDescent="0.35">
      <c r="A85" s="10">
        <v>35977</v>
      </c>
      <c r="B85" s="15">
        <f>VLOOKUP(A85,Database!A:K,MATCH($A$1,Database!$A$1:$K$1,),)</f>
        <v>22570</v>
      </c>
      <c r="C85" s="12">
        <f t="shared" si="2"/>
        <v>-2.8276044888221261E-3</v>
      </c>
      <c r="D85" s="13">
        <f t="shared" si="3"/>
        <v>4.0619668956613952E-2</v>
      </c>
    </row>
    <row r="86" spans="1:4" x14ac:dyDescent="0.35">
      <c r="A86" s="11">
        <v>36008</v>
      </c>
      <c r="B86" s="15">
        <f>VLOOKUP(A86,Database!A:K,MATCH($A$1,Database!$A$1:$K$1,),)</f>
        <v>22743</v>
      </c>
      <c r="C86" s="12">
        <f t="shared" si="2"/>
        <v>7.6650420912715992E-3</v>
      </c>
      <c r="D86" s="13">
        <f t="shared" si="3"/>
        <v>4.9321768016978872E-2</v>
      </c>
    </row>
    <row r="87" spans="1:4" x14ac:dyDescent="0.35">
      <c r="A87" s="10">
        <v>36039</v>
      </c>
      <c r="B87" s="15">
        <f>VLOOKUP(A87,Database!A:K,MATCH($A$1,Database!$A$1:$K$1,),)</f>
        <v>22830</v>
      </c>
      <c r="C87" s="12">
        <f t="shared" si="2"/>
        <v>3.8253528558237701E-3</v>
      </c>
      <c r="D87" s="13">
        <f t="shared" si="3"/>
        <v>3.8388065132356958E-2</v>
      </c>
    </row>
    <row r="88" spans="1:4" x14ac:dyDescent="0.35">
      <c r="A88" s="11">
        <v>36069</v>
      </c>
      <c r="B88" s="15">
        <f>VLOOKUP(A88,Database!A:K,MATCH($A$1,Database!$A$1:$K$1,),)</f>
        <v>23066</v>
      </c>
      <c r="C88" s="12">
        <f t="shared" si="2"/>
        <v>1.0337275514673675E-2</v>
      </c>
      <c r="D88" s="13">
        <f t="shared" si="3"/>
        <v>6.0115819468701169E-2</v>
      </c>
    </row>
    <row r="89" spans="1:4" x14ac:dyDescent="0.35">
      <c r="A89" s="10">
        <v>36100</v>
      </c>
      <c r="B89" s="15">
        <f>VLOOKUP(A89,Database!A:K,MATCH($A$1,Database!$A$1:$K$1,),)</f>
        <v>23157</v>
      </c>
      <c r="C89" s="12">
        <f t="shared" si="2"/>
        <v>3.9452007283447502E-3</v>
      </c>
      <c r="D89" s="13">
        <f t="shared" si="3"/>
        <v>7.6869419642857137E-2</v>
      </c>
    </row>
    <row r="90" spans="1:4" x14ac:dyDescent="0.35">
      <c r="A90" s="11">
        <v>36130</v>
      </c>
      <c r="B90" s="15">
        <f>VLOOKUP(A90,Database!A:K,MATCH($A$1,Database!$A$1:$K$1,),)</f>
        <v>23351</v>
      </c>
      <c r="C90" s="12">
        <f t="shared" si="2"/>
        <v>8.3775964071339127E-3</v>
      </c>
      <c r="D90" s="13">
        <f t="shared" si="3"/>
        <v>7.0263085525712712E-2</v>
      </c>
    </row>
    <row r="91" spans="1:4" x14ac:dyDescent="0.35">
      <c r="A91" s="10">
        <v>36161</v>
      </c>
      <c r="B91" s="15">
        <f>VLOOKUP(A91,Database!A:K,MATCH($A$1,Database!$A$1:$K$1,),)</f>
        <v>22871</v>
      </c>
      <c r="C91" s="12">
        <f t="shared" si="2"/>
        <v>-2.0555864845188641E-2</v>
      </c>
      <c r="D91" s="13">
        <f t="shared" si="3"/>
        <v>4.3337438985447743E-2</v>
      </c>
    </row>
    <row r="92" spans="1:4" x14ac:dyDescent="0.35">
      <c r="A92" s="11">
        <v>36192</v>
      </c>
      <c r="B92" s="15">
        <f>VLOOKUP(A92,Database!A:K,MATCH($A$1,Database!$A$1:$K$1,),)</f>
        <v>23270</v>
      </c>
      <c r="C92" s="12">
        <f t="shared" si="2"/>
        <v>1.7445673560404006E-2</v>
      </c>
      <c r="D92" s="13">
        <f t="shared" si="3"/>
        <v>5.1418760166275078E-2</v>
      </c>
    </row>
    <row r="93" spans="1:4" x14ac:dyDescent="0.35">
      <c r="A93" s="10">
        <v>36220</v>
      </c>
      <c r="B93" s="15">
        <f>VLOOKUP(A93,Database!A:K,MATCH($A$1,Database!$A$1:$K$1,),)</f>
        <v>23250</v>
      </c>
      <c r="C93" s="12">
        <f t="shared" si="2"/>
        <v>-8.5947571981091536E-4</v>
      </c>
      <c r="D93" s="13">
        <f t="shared" si="3"/>
        <v>4.4896858568154244E-2</v>
      </c>
    </row>
    <row r="94" spans="1:4" x14ac:dyDescent="0.35">
      <c r="A94" s="11">
        <v>36251</v>
      </c>
      <c r="B94" s="15">
        <f>VLOOKUP(A94,Database!A:K,MATCH($A$1,Database!$A$1:$K$1,),)</f>
        <v>23440</v>
      </c>
      <c r="C94" s="12">
        <f t="shared" si="2"/>
        <v>8.172043010752689E-3</v>
      </c>
      <c r="D94" s="13">
        <f t="shared" si="3"/>
        <v>4.8628819397843692E-2</v>
      </c>
    </row>
    <row r="95" spans="1:4" x14ac:dyDescent="0.35">
      <c r="A95" s="10">
        <v>36281</v>
      </c>
      <c r="B95" s="15">
        <f>VLOOKUP(A95,Database!A:K,MATCH($A$1,Database!$A$1:$K$1,),)</f>
        <v>23500</v>
      </c>
      <c r="C95" s="12">
        <f t="shared" si="2"/>
        <v>2.5597269624573378E-3</v>
      </c>
      <c r="D95" s="13">
        <f t="shared" si="3"/>
        <v>4.7423783205562488E-2</v>
      </c>
    </row>
    <row r="96" spans="1:4" x14ac:dyDescent="0.35">
      <c r="A96" s="11">
        <v>36312</v>
      </c>
      <c r="B96" s="15">
        <f>VLOOKUP(A96,Database!A:K,MATCH($A$1,Database!$A$1:$K$1,),)</f>
        <v>23546</v>
      </c>
      <c r="C96" s="12">
        <f t="shared" si="2"/>
        <v>1.9574468085106385E-3</v>
      </c>
      <c r="D96" s="13">
        <f t="shared" si="3"/>
        <v>4.0293363965715298E-2</v>
      </c>
    </row>
    <row r="97" spans="1:4" x14ac:dyDescent="0.35">
      <c r="A97" s="10">
        <v>36342</v>
      </c>
      <c r="B97" s="15">
        <f>VLOOKUP(A97,Database!A:K,MATCH($A$1,Database!$A$1:$K$1,),)</f>
        <v>23508</v>
      </c>
      <c r="C97" s="12">
        <f t="shared" si="2"/>
        <v>-1.6138622271298735E-3</v>
      </c>
      <c r="D97" s="13">
        <f t="shared" si="3"/>
        <v>4.1559592379264508E-2</v>
      </c>
    </row>
    <row r="98" spans="1:4" x14ac:dyDescent="0.35">
      <c r="A98" s="11">
        <v>36373</v>
      </c>
      <c r="B98" s="15">
        <f>VLOOKUP(A98,Database!A:K,MATCH($A$1,Database!$A$1:$K$1,),)</f>
        <v>23664</v>
      </c>
      <c r="C98" s="12">
        <f t="shared" si="2"/>
        <v>6.636038795303726E-3</v>
      </c>
      <c r="D98" s="13">
        <f t="shared" si="3"/>
        <v>4.0495976784065427E-2</v>
      </c>
    </row>
    <row r="99" spans="1:4" x14ac:dyDescent="0.35">
      <c r="A99" s="10">
        <v>36404</v>
      </c>
      <c r="B99" s="15">
        <f>VLOOKUP(A99,Database!A:K,MATCH($A$1,Database!$A$1:$K$1,),)</f>
        <v>23836</v>
      </c>
      <c r="C99" s="12">
        <f t="shared" si="2"/>
        <v>7.2684246112237998E-3</v>
      </c>
      <c r="D99" s="13">
        <f t="shared" si="3"/>
        <v>4.4064826982041172E-2</v>
      </c>
    </row>
    <row r="100" spans="1:4" x14ac:dyDescent="0.35">
      <c r="A100" s="11">
        <v>36434</v>
      </c>
      <c r="B100" s="15">
        <f>VLOOKUP(A100,Database!A:K,MATCH($A$1,Database!$A$1:$K$1,),)</f>
        <v>24265</v>
      </c>
      <c r="C100" s="12">
        <f t="shared" si="2"/>
        <v>1.7997986239301895E-2</v>
      </c>
      <c r="D100" s="13">
        <f t="shared" si="3"/>
        <v>5.1981271135003899E-2</v>
      </c>
    </row>
    <row r="101" spans="1:4" x14ac:dyDescent="0.35">
      <c r="A101" s="10">
        <v>36465</v>
      </c>
      <c r="B101" s="15">
        <f>VLOOKUP(A101,Database!A:K,MATCH($A$1,Database!$A$1:$K$1,),)</f>
        <v>24421</v>
      </c>
      <c r="C101" s="12">
        <f t="shared" si="2"/>
        <v>6.4290129816608286E-3</v>
      </c>
      <c r="D101" s="13">
        <f t="shared" si="3"/>
        <v>5.4583927106274563E-2</v>
      </c>
    </row>
    <row r="102" spans="1:4" x14ac:dyDescent="0.35">
      <c r="A102" s="11">
        <v>36495</v>
      </c>
      <c r="B102" s="15">
        <f>VLOOKUP(A102,Database!A:K,MATCH($A$1,Database!$A$1:$K$1,),)</f>
        <v>24378</v>
      </c>
      <c r="C102" s="12">
        <f t="shared" si="2"/>
        <v>-1.7607796568527088E-3</v>
      </c>
      <c r="D102" s="13">
        <f t="shared" si="3"/>
        <v>4.39809858250182E-2</v>
      </c>
    </row>
    <row r="103" spans="1:4" x14ac:dyDescent="0.35">
      <c r="A103" s="10">
        <v>36526</v>
      </c>
      <c r="B103" s="15">
        <f>VLOOKUP(A103,Database!A:K,MATCH($A$1,Database!$A$1:$K$1,),)</f>
        <v>24608</v>
      </c>
      <c r="C103" s="12">
        <f t="shared" si="2"/>
        <v>9.4347362375912704E-3</v>
      </c>
      <c r="D103" s="13">
        <f t="shared" si="3"/>
        <v>7.5947706702811424E-2</v>
      </c>
    </row>
    <row r="104" spans="1:4" x14ac:dyDescent="0.35">
      <c r="A104" s="11">
        <v>36557</v>
      </c>
      <c r="B104" s="15">
        <f>VLOOKUP(A104,Database!A:K,MATCH($A$1,Database!$A$1:$K$1,),)</f>
        <v>24887</v>
      </c>
      <c r="C104" s="12">
        <f t="shared" si="2"/>
        <v>1.133777633289987E-2</v>
      </c>
      <c r="D104" s="13">
        <f t="shared" si="3"/>
        <v>6.9488611946712506E-2</v>
      </c>
    </row>
    <row r="105" spans="1:4" x14ac:dyDescent="0.35">
      <c r="A105" s="10">
        <v>36586</v>
      </c>
      <c r="B105" s="15">
        <f>VLOOKUP(A105,Database!A:K,MATCH($A$1,Database!$A$1:$K$1,),)</f>
        <v>25367</v>
      </c>
      <c r="C105" s="12">
        <f t="shared" si="2"/>
        <v>1.9287178044762324E-2</v>
      </c>
      <c r="D105" s="13">
        <f t="shared" si="3"/>
        <v>9.1053763440860219E-2</v>
      </c>
    </row>
    <row r="106" spans="1:4" x14ac:dyDescent="0.35">
      <c r="A106" s="11">
        <v>36617</v>
      </c>
      <c r="B106" s="15">
        <f>VLOOKUP(A106,Database!A:K,MATCH($A$1,Database!$A$1:$K$1,),)</f>
        <v>25215</v>
      </c>
      <c r="C106" s="12">
        <f t="shared" si="2"/>
        <v>-5.9920368983324788E-3</v>
      </c>
      <c r="D106" s="13">
        <f t="shared" si="3"/>
        <v>7.5725255972696248E-2</v>
      </c>
    </row>
    <row r="107" spans="1:4" x14ac:dyDescent="0.35">
      <c r="A107" s="10">
        <v>36647</v>
      </c>
      <c r="B107" s="15">
        <f>VLOOKUP(A107,Database!A:K,MATCH($A$1,Database!$A$1:$K$1,),)</f>
        <v>25193</v>
      </c>
      <c r="C107" s="12">
        <f t="shared" si="2"/>
        <v>-8.7249652984334721E-4</v>
      </c>
      <c r="D107" s="13">
        <f t="shared" si="3"/>
        <v>7.2042553191489361E-2</v>
      </c>
    </row>
    <row r="108" spans="1:4" x14ac:dyDescent="0.35">
      <c r="A108" s="11">
        <v>36678</v>
      </c>
      <c r="B108" s="15">
        <f>VLOOKUP(A108,Database!A:K,MATCH($A$1,Database!$A$1:$K$1,),)</f>
        <v>25262</v>
      </c>
      <c r="C108" s="12">
        <f t="shared" si="2"/>
        <v>2.7388560314373042E-3</v>
      </c>
      <c r="D108" s="13">
        <f t="shared" si="3"/>
        <v>7.2878620572496389E-2</v>
      </c>
    </row>
    <row r="109" spans="1:4" x14ac:dyDescent="0.35">
      <c r="A109" s="10">
        <v>36708</v>
      </c>
      <c r="B109" s="15">
        <f>VLOOKUP(A109,Database!A:K,MATCH($A$1,Database!$A$1:$K$1,),)</f>
        <v>25454</v>
      </c>
      <c r="C109" s="12">
        <f t="shared" si="2"/>
        <v>7.6003483492993427E-3</v>
      </c>
      <c r="D109" s="13">
        <f t="shared" si="3"/>
        <v>8.2780330100391361E-2</v>
      </c>
    </row>
    <row r="110" spans="1:4" x14ac:dyDescent="0.35">
      <c r="A110" s="11">
        <v>36739</v>
      </c>
      <c r="B110" s="15">
        <f>VLOOKUP(A110,Database!A:K,MATCH($A$1,Database!$A$1:$K$1,),)</f>
        <v>25342</v>
      </c>
      <c r="C110" s="12">
        <f t="shared" si="2"/>
        <v>-4.4000942877347373E-3</v>
      </c>
      <c r="D110" s="13">
        <f t="shared" si="3"/>
        <v>7.0909398242055444E-2</v>
      </c>
    </row>
    <row r="111" spans="1:4" x14ac:dyDescent="0.35">
      <c r="A111" s="10">
        <v>36770</v>
      </c>
      <c r="B111" s="15">
        <f>VLOOKUP(A111,Database!A:K,MATCH($A$1,Database!$A$1:$K$1,),)</f>
        <v>25711</v>
      </c>
      <c r="C111" s="12">
        <f t="shared" si="2"/>
        <v>1.4560808144582117E-2</v>
      </c>
      <c r="D111" s="13">
        <f t="shared" si="3"/>
        <v>7.8662527269676125E-2</v>
      </c>
    </row>
    <row r="112" spans="1:4" x14ac:dyDescent="0.35">
      <c r="A112" s="11">
        <v>36800</v>
      </c>
      <c r="B112" s="15">
        <f>VLOOKUP(A112,Database!A:K,MATCH($A$1,Database!$A$1:$K$1,),)</f>
        <v>25706</v>
      </c>
      <c r="C112" s="12">
        <f t="shared" si="2"/>
        <v>-1.9446929329858815E-4</v>
      </c>
      <c r="D112" s="13">
        <f t="shared" si="3"/>
        <v>5.9385946837008034E-2</v>
      </c>
    </row>
    <row r="113" spans="1:4" x14ac:dyDescent="0.35">
      <c r="A113" s="10">
        <v>36831</v>
      </c>
      <c r="B113" s="15">
        <f>VLOOKUP(A113,Database!A:K,MATCH($A$1,Database!$A$1:$K$1,),)</f>
        <v>25698</v>
      </c>
      <c r="C113" s="12">
        <f t="shared" si="2"/>
        <v>-3.1121139033688633E-4</v>
      </c>
      <c r="D113" s="13">
        <f t="shared" si="3"/>
        <v>5.2291060972114167E-2</v>
      </c>
    </row>
    <row r="114" spans="1:4" x14ac:dyDescent="0.35">
      <c r="A114" s="11">
        <v>36861</v>
      </c>
      <c r="B114" s="15">
        <f>VLOOKUP(A114,Database!A:K,MATCH($A$1,Database!$A$1:$K$1,),)</f>
        <v>25133</v>
      </c>
      <c r="C114" s="12">
        <f t="shared" si="2"/>
        <v>-2.1986146781850728E-2</v>
      </c>
      <c r="D114" s="13">
        <f t="shared" si="3"/>
        <v>3.0970547214701782E-2</v>
      </c>
    </row>
    <row r="115" spans="1:4" x14ac:dyDescent="0.35">
      <c r="A115" s="10">
        <v>36892</v>
      </c>
      <c r="B115" s="15">
        <f>VLOOKUP(A115,Database!A:K,MATCH($A$1,Database!$A$1:$K$1,),)</f>
        <v>26180</v>
      </c>
      <c r="C115" s="12">
        <f t="shared" si="2"/>
        <v>4.1658377432061432E-2</v>
      </c>
      <c r="D115" s="13">
        <f t="shared" si="3"/>
        <v>6.3881664499349802E-2</v>
      </c>
    </row>
    <row r="116" spans="1:4" x14ac:dyDescent="0.35">
      <c r="A116" s="11">
        <v>36923</v>
      </c>
      <c r="B116" s="15">
        <f>VLOOKUP(A116,Database!A:K,MATCH($A$1,Database!$A$1:$K$1,),)</f>
        <v>26069</v>
      </c>
      <c r="C116" s="12">
        <f t="shared" si="2"/>
        <v>-4.2398777692895344E-3</v>
      </c>
      <c r="D116" s="13">
        <f t="shared" si="3"/>
        <v>4.7494675935227229E-2</v>
      </c>
    </row>
    <row r="117" spans="1:4" x14ac:dyDescent="0.35">
      <c r="A117" s="10">
        <v>36951</v>
      </c>
      <c r="B117" s="15">
        <f>VLOOKUP(A117,Database!A:K,MATCH($A$1,Database!$A$1:$K$1,),)</f>
        <v>26122</v>
      </c>
      <c r="C117" s="12">
        <f t="shared" si="2"/>
        <v>2.0330660938279181E-3</v>
      </c>
      <c r="D117" s="13">
        <f t="shared" si="3"/>
        <v>2.9763078014743566E-2</v>
      </c>
    </row>
    <row r="118" spans="1:4" x14ac:dyDescent="0.35">
      <c r="A118" s="11">
        <v>36982</v>
      </c>
      <c r="B118" s="15">
        <f>VLOOKUP(A118,Database!A:K,MATCH($A$1,Database!$A$1:$K$1,),)</f>
        <v>26045</v>
      </c>
      <c r="C118" s="12">
        <f t="shared" si="2"/>
        <v>-2.9477069137125796E-3</v>
      </c>
      <c r="D118" s="13">
        <f t="shared" si="3"/>
        <v>3.2916914534999009E-2</v>
      </c>
    </row>
    <row r="119" spans="1:4" x14ac:dyDescent="0.35">
      <c r="A119" s="10">
        <v>37012</v>
      </c>
      <c r="B119" s="15">
        <f>VLOOKUP(A119,Database!A:K,MATCH($A$1,Database!$A$1:$K$1,),)</f>
        <v>26278</v>
      </c>
      <c r="C119" s="12">
        <f t="shared" si="2"/>
        <v>8.9460549049721633E-3</v>
      </c>
      <c r="D119" s="13">
        <f t="shared" si="3"/>
        <v>4.3067518755209783E-2</v>
      </c>
    </row>
    <row r="120" spans="1:4" x14ac:dyDescent="0.35">
      <c r="A120" s="11">
        <v>37043</v>
      </c>
      <c r="B120" s="15">
        <f>VLOOKUP(A120,Database!A:K,MATCH($A$1,Database!$A$1:$K$1,),)</f>
        <v>26379</v>
      </c>
      <c r="C120" s="12">
        <f t="shared" si="2"/>
        <v>3.8435192937057616E-3</v>
      </c>
      <c r="D120" s="13">
        <f t="shared" si="3"/>
        <v>4.4216609927955029E-2</v>
      </c>
    </row>
    <row r="121" spans="1:4" x14ac:dyDescent="0.35">
      <c r="A121" s="10">
        <v>37073</v>
      </c>
      <c r="B121" s="15">
        <f>VLOOKUP(A121,Database!A:K,MATCH($A$1,Database!$A$1:$K$1,),)</f>
        <v>26507</v>
      </c>
      <c r="C121" s="12">
        <f t="shared" si="2"/>
        <v>4.8523446681072065E-3</v>
      </c>
      <c r="D121" s="13">
        <f t="shared" si="3"/>
        <v>4.1368743615934629E-2</v>
      </c>
    </row>
    <row r="122" spans="1:4" x14ac:dyDescent="0.35">
      <c r="A122" s="11">
        <v>37104</v>
      </c>
      <c r="B122" s="15">
        <f>VLOOKUP(A122,Database!A:K,MATCH($A$1,Database!$A$1:$K$1,),)</f>
        <v>26853</v>
      </c>
      <c r="C122" s="12">
        <f t="shared" si="2"/>
        <v>1.3053155770173916E-2</v>
      </c>
      <c r="D122" s="13">
        <f t="shared" si="3"/>
        <v>5.962433904190672E-2</v>
      </c>
    </row>
    <row r="123" spans="1:4" x14ac:dyDescent="0.35">
      <c r="A123" s="10">
        <v>37135</v>
      </c>
      <c r="B123" s="15">
        <f>VLOOKUP(A123,Database!A:K,MATCH($A$1,Database!$A$1:$K$1,),)</f>
        <v>26239</v>
      </c>
      <c r="C123" s="12">
        <f t="shared" si="2"/>
        <v>-2.2865229210888915E-2</v>
      </c>
      <c r="D123" s="13">
        <f t="shared" si="3"/>
        <v>2.053595737233091E-2</v>
      </c>
    </row>
    <row r="124" spans="1:4" x14ac:dyDescent="0.35">
      <c r="A124" s="11">
        <v>37165</v>
      </c>
      <c r="B124" s="15">
        <f>VLOOKUP(A124,Database!A:K,MATCH($A$1,Database!$A$1:$K$1,),)</f>
        <v>26541</v>
      </c>
      <c r="C124" s="12">
        <f t="shared" si="2"/>
        <v>1.1509584968939364E-2</v>
      </c>
      <c r="D124" s="13">
        <f t="shared" si="3"/>
        <v>3.2482688866412514E-2</v>
      </c>
    </row>
    <row r="125" spans="1:4" x14ac:dyDescent="0.35">
      <c r="A125" s="10">
        <v>37196</v>
      </c>
      <c r="B125" s="15">
        <f>VLOOKUP(A125,Database!A:K,MATCH($A$1,Database!$A$1:$K$1,),)</f>
        <v>26597</v>
      </c>
      <c r="C125" s="12">
        <f t="shared" si="2"/>
        <v>2.109943106891225E-3</v>
      </c>
      <c r="D125" s="13">
        <f t="shared" si="3"/>
        <v>3.4983267180325316E-2</v>
      </c>
    </row>
    <row r="126" spans="1:4" x14ac:dyDescent="0.35">
      <c r="A126" s="11">
        <v>37226</v>
      </c>
      <c r="B126" s="15">
        <f>VLOOKUP(A126,Database!A:K,MATCH($A$1,Database!$A$1:$K$1,),)</f>
        <v>27156</v>
      </c>
      <c r="C126" s="12">
        <f t="shared" si="2"/>
        <v>2.1017407978343422E-2</v>
      </c>
      <c r="D126" s="13">
        <f t="shared" si="3"/>
        <v>8.0491783710659293E-2</v>
      </c>
    </row>
    <row r="127" spans="1:4" x14ac:dyDescent="0.35">
      <c r="A127" s="10">
        <v>37257</v>
      </c>
      <c r="B127" s="15">
        <f>VLOOKUP(A127,Database!A:K,MATCH($A$1,Database!$A$1:$K$1,),)</f>
        <v>27201</v>
      </c>
      <c r="C127" s="12">
        <f t="shared" si="2"/>
        <v>1.6570923552806009E-3</v>
      </c>
      <c r="D127" s="13">
        <f t="shared" si="3"/>
        <v>3.8999236058059585E-2</v>
      </c>
    </row>
    <row r="128" spans="1:4" x14ac:dyDescent="0.35">
      <c r="A128" s="11">
        <v>37288</v>
      </c>
      <c r="B128" s="15">
        <f>VLOOKUP(A128,Database!A:K,MATCH($A$1,Database!$A$1:$K$1,),)</f>
        <v>27384</v>
      </c>
      <c r="C128" s="12">
        <f t="shared" si="2"/>
        <v>6.7276938347854854E-3</v>
      </c>
      <c r="D128" s="13">
        <f t="shared" si="3"/>
        <v>5.0443054969504006E-2</v>
      </c>
    </row>
    <row r="129" spans="1:4" x14ac:dyDescent="0.35">
      <c r="A129" s="10">
        <v>37316</v>
      </c>
      <c r="B129" s="15">
        <f>VLOOKUP(A129,Database!A:K,MATCH($A$1,Database!$A$1:$K$1,),)</f>
        <v>27203</v>
      </c>
      <c r="C129" s="12">
        <f t="shared" si="2"/>
        <v>-6.6096990943616714E-3</v>
      </c>
      <c r="D129" s="13">
        <f t="shared" si="3"/>
        <v>4.1382742515886993E-2</v>
      </c>
    </row>
    <row r="130" spans="1:4" x14ac:dyDescent="0.35">
      <c r="A130" s="11">
        <v>37347</v>
      </c>
      <c r="B130" s="15">
        <f>VLOOKUP(A130,Database!A:K,MATCH($A$1,Database!$A$1:$K$1,),)</f>
        <v>27500</v>
      </c>
      <c r="C130" s="12">
        <f t="shared" si="2"/>
        <v>1.0917913465426607E-2</v>
      </c>
      <c r="D130" s="13">
        <f t="shared" si="3"/>
        <v>5.5864849299289691E-2</v>
      </c>
    </row>
    <row r="131" spans="1:4" x14ac:dyDescent="0.35">
      <c r="A131" s="10">
        <v>37377</v>
      </c>
      <c r="B131" s="15">
        <f>VLOOKUP(A131,Database!A:K,MATCH($A$1,Database!$A$1:$K$1,),)</f>
        <v>27378</v>
      </c>
      <c r="C131" s="12">
        <f t="shared" si="2"/>
        <v>-4.4363636363636367E-3</v>
      </c>
      <c r="D131" s="13">
        <f t="shared" si="3"/>
        <v>4.1860111119567701E-2</v>
      </c>
    </row>
    <row r="132" spans="1:4" x14ac:dyDescent="0.35">
      <c r="A132" s="11">
        <v>37408</v>
      </c>
      <c r="B132" s="15">
        <f>VLOOKUP(A132,Database!A:K,MATCH($A$1,Database!$A$1:$K$1,),)</f>
        <v>27586</v>
      </c>
      <c r="C132" s="12">
        <f t="shared" si="2"/>
        <v>7.5973409306742644E-3</v>
      </c>
      <c r="D132" s="13">
        <f t="shared" si="3"/>
        <v>4.5756093862542174E-2</v>
      </c>
    </row>
    <row r="133" spans="1:4" x14ac:dyDescent="0.35">
      <c r="A133" s="10">
        <v>37438</v>
      </c>
      <c r="B133" s="15">
        <f>VLOOKUP(A133,Database!A:K,MATCH($A$1,Database!$A$1:$K$1,),)</f>
        <v>27616</v>
      </c>
      <c r="C133" s="12">
        <f t="shared" si="2"/>
        <v>1.0875081563111724E-3</v>
      </c>
      <c r="D133" s="13">
        <f t="shared" si="3"/>
        <v>4.1838005055268419E-2</v>
      </c>
    </row>
    <row r="134" spans="1:4" x14ac:dyDescent="0.35">
      <c r="A134" s="11">
        <v>37469</v>
      </c>
      <c r="B134" s="15">
        <f>VLOOKUP(A134,Database!A:K,MATCH($A$1,Database!$A$1:$K$1,),)</f>
        <v>27607</v>
      </c>
      <c r="C134" s="12">
        <f t="shared" si="2"/>
        <v>-3.2589803012746235E-4</v>
      </c>
      <c r="D134" s="13">
        <f t="shared" si="3"/>
        <v>2.8078799389267495E-2</v>
      </c>
    </row>
    <row r="135" spans="1:4" x14ac:dyDescent="0.35">
      <c r="A135" s="10">
        <v>37500</v>
      </c>
      <c r="B135" s="15">
        <f>VLOOKUP(A135,Database!A:K,MATCH($A$1,Database!$A$1:$K$1,),)</f>
        <v>27784</v>
      </c>
      <c r="C135" s="12">
        <f t="shared" si="2"/>
        <v>6.4114173941391675E-3</v>
      </c>
      <c r="D135" s="13">
        <f t="shared" si="3"/>
        <v>5.8881817142421584E-2</v>
      </c>
    </row>
    <row r="136" spans="1:4" x14ac:dyDescent="0.35">
      <c r="A136" s="11">
        <v>37530</v>
      </c>
      <c r="B136" s="15">
        <f>VLOOKUP(A136,Database!A:K,MATCH($A$1,Database!$A$1:$K$1,),)</f>
        <v>27623</v>
      </c>
      <c r="C136" s="12">
        <f t="shared" ref="C136:C199" si="4">(B136-B135)/B135</f>
        <v>-5.794701986754967E-3</v>
      </c>
      <c r="D136" s="13">
        <f t="shared" si="3"/>
        <v>4.0767115029576882E-2</v>
      </c>
    </row>
    <row r="137" spans="1:4" x14ac:dyDescent="0.35">
      <c r="A137" s="10">
        <v>37561</v>
      </c>
      <c r="B137" s="15">
        <f>VLOOKUP(A137,Database!A:K,MATCH($A$1,Database!$A$1:$K$1,),)</f>
        <v>27916</v>
      </c>
      <c r="C137" s="12">
        <f t="shared" si="4"/>
        <v>1.0607102776671614E-2</v>
      </c>
      <c r="D137" s="13">
        <f t="shared" si="3"/>
        <v>4.9592059254803172E-2</v>
      </c>
    </row>
    <row r="138" spans="1:4" x14ac:dyDescent="0.35">
      <c r="A138" s="11">
        <v>37591</v>
      </c>
      <c r="B138" s="15">
        <f>VLOOKUP(A138,Database!A:K,MATCH($A$1,Database!$A$1:$K$1,),)</f>
        <v>28017</v>
      </c>
      <c r="C138" s="12">
        <f t="shared" si="4"/>
        <v>3.617996847685915E-3</v>
      </c>
      <c r="D138" s="13">
        <f t="shared" si="3"/>
        <v>3.1705700397702166E-2</v>
      </c>
    </row>
    <row r="139" spans="1:4" x14ac:dyDescent="0.35">
      <c r="A139" s="10">
        <v>37622</v>
      </c>
      <c r="B139" s="15">
        <f>VLOOKUP(A139,Database!A:K,MATCH($A$1,Database!$A$1:$K$1,),)</f>
        <v>28018</v>
      </c>
      <c r="C139" s="12">
        <f t="shared" si="4"/>
        <v>3.5692615197915549E-5</v>
      </c>
      <c r="D139" s="13">
        <f t="shared" si="3"/>
        <v>3.0035660453659793E-2</v>
      </c>
    </row>
    <row r="140" spans="1:4" x14ac:dyDescent="0.35">
      <c r="A140" s="11">
        <v>37653</v>
      </c>
      <c r="B140" s="15">
        <f>VLOOKUP(A140,Database!A:K,MATCH($A$1,Database!$A$1:$K$1,),)</f>
        <v>27979</v>
      </c>
      <c r="C140" s="12">
        <f t="shared" si="4"/>
        <v>-1.3919623099436077E-3</v>
      </c>
      <c r="D140" s="13">
        <f t="shared" si="3"/>
        <v>2.1728016359918199E-2</v>
      </c>
    </row>
    <row r="141" spans="1:4" x14ac:dyDescent="0.35">
      <c r="A141" s="10">
        <v>37681</v>
      </c>
      <c r="B141" s="15">
        <f>VLOOKUP(A141,Database!A:K,MATCH($A$1,Database!$A$1:$K$1,),)</f>
        <v>28505</v>
      </c>
      <c r="C141" s="12">
        <f t="shared" si="4"/>
        <v>1.8799814146324027E-2</v>
      </c>
      <c r="D141" s="13">
        <f t="shared" si="3"/>
        <v>4.786236812116311E-2</v>
      </c>
    </row>
    <row r="142" spans="1:4" x14ac:dyDescent="0.35">
      <c r="A142" s="11">
        <v>37712</v>
      </c>
      <c r="B142" s="15">
        <f>VLOOKUP(A142,Database!A:K,MATCH($A$1,Database!$A$1:$K$1,),)</f>
        <v>28403</v>
      </c>
      <c r="C142" s="12">
        <f t="shared" si="4"/>
        <v>-3.5783195930538503E-3</v>
      </c>
      <c r="D142" s="13">
        <f t="shared" si="3"/>
        <v>3.2836363636363636E-2</v>
      </c>
    </row>
    <row r="143" spans="1:4" x14ac:dyDescent="0.35">
      <c r="A143" s="10">
        <v>37742</v>
      </c>
      <c r="B143" s="15">
        <f>VLOOKUP(A143,Database!A:K,MATCH($A$1,Database!$A$1:$K$1,),)</f>
        <v>29048</v>
      </c>
      <c r="C143" s="12">
        <f t="shared" si="4"/>
        <v>2.2708868781466746E-2</v>
      </c>
      <c r="D143" s="13">
        <f t="shared" si="3"/>
        <v>6.0997881510702026E-2</v>
      </c>
    </row>
    <row r="144" spans="1:4" x14ac:dyDescent="0.35">
      <c r="A144" s="11">
        <v>37773</v>
      </c>
      <c r="B144" s="15">
        <f>VLOOKUP(A144,Database!A:K,MATCH($A$1,Database!$A$1:$K$1,),)</f>
        <v>29230</v>
      </c>
      <c r="C144" s="12">
        <f t="shared" si="4"/>
        <v>6.2654916001101627E-3</v>
      </c>
      <c r="D144" s="13">
        <f t="shared" si="3"/>
        <v>5.9595446965852242E-2</v>
      </c>
    </row>
    <row r="145" spans="1:4" x14ac:dyDescent="0.35">
      <c r="A145" s="10">
        <v>37803</v>
      </c>
      <c r="B145" s="15">
        <f>VLOOKUP(A145,Database!A:K,MATCH($A$1,Database!$A$1:$K$1,),)</f>
        <v>29395</v>
      </c>
      <c r="C145" s="12">
        <f t="shared" si="4"/>
        <v>5.6448853917208351E-3</v>
      </c>
      <c r="D145" s="13">
        <f t="shared" si="3"/>
        <v>6.441917728852839E-2</v>
      </c>
    </row>
    <row r="146" spans="1:4" x14ac:dyDescent="0.35">
      <c r="A146" s="11">
        <v>37834</v>
      </c>
      <c r="B146" s="15">
        <f>VLOOKUP(A146,Database!A:K,MATCH($A$1,Database!$A$1:$K$1,),)</f>
        <v>29844</v>
      </c>
      <c r="C146" s="12">
        <f t="shared" si="4"/>
        <v>1.5274706582752168E-2</v>
      </c>
      <c r="D146" s="13">
        <f t="shared" si="3"/>
        <v>8.1030173506719316E-2</v>
      </c>
    </row>
    <row r="147" spans="1:4" x14ac:dyDescent="0.35">
      <c r="A147" s="10">
        <v>37865</v>
      </c>
      <c r="B147" s="15">
        <f>VLOOKUP(A147,Database!A:K,MATCH($A$1,Database!$A$1:$K$1,),)</f>
        <v>29503</v>
      </c>
      <c r="C147" s="12">
        <f t="shared" si="4"/>
        <v>-1.1426082294598579E-2</v>
      </c>
      <c r="D147" s="13">
        <f t="shared" ref="D147:D210" si="5">(B147-B135)/B135</f>
        <v>6.1870141088396197E-2</v>
      </c>
    </row>
    <row r="148" spans="1:4" x14ac:dyDescent="0.35">
      <c r="A148" s="11">
        <v>37895</v>
      </c>
      <c r="B148" s="15">
        <f>VLOOKUP(A148,Database!A:K,MATCH($A$1,Database!$A$1:$K$1,),)</f>
        <v>30045</v>
      </c>
      <c r="C148" s="12">
        <f t="shared" si="4"/>
        <v>1.8371013117310105E-2</v>
      </c>
      <c r="D148" s="13">
        <f t="shared" si="5"/>
        <v>8.7680556058357173E-2</v>
      </c>
    </row>
    <row r="149" spans="1:4" x14ac:dyDescent="0.35">
      <c r="A149" s="10">
        <v>37926</v>
      </c>
      <c r="B149" s="15">
        <f>VLOOKUP(A149,Database!A:K,MATCH($A$1,Database!$A$1:$K$1,),)</f>
        <v>30229</v>
      </c>
      <c r="C149" s="12">
        <f t="shared" si="4"/>
        <v>6.124147112664337E-3</v>
      </c>
      <c r="D149" s="13">
        <f t="shared" si="5"/>
        <v>8.2855709987104176E-2</v>
      </c>
    </row>
    <row r="150" spans="1:4" x14ac:dyDescent="0.35">
      <c r="A150" s="11">
        <v>37956</v>
      </c>
      <c r="B150" s="15">
        <f>VLOOKUP(A150,Database!A:K,MATCH($A$1,Database!$A$1:$K$1,),)</f>
        <v>29795</v>
      </c>
      <c r="C150" s="12">
        <f t="shared" si="4"/>
        <v>-1.4357074332594529E-2</v>
      </c>
      <c r="D150" s="13">
        <f t="shared" si="5"/>
        <v>6.3461469821893851E-2</v>
      </c>
    </row>
    <row r="151" spans="1:4" x14ac:dyDescent="0.35">
      <c r="A151" s="10">
        <v>37987</v>
      </c>
      <c r="B151" s="15">
        <f>VLOOKUP(A151,Database!A:K,MATCH($A$1,Database!$A$1:$K$1,),)</f>
        <v>30341</v>
      </c>
      <c r="C151" s="12">
        <f t="shared" si="4"/>
        <v>1.832522235274375E-2</v>
      </c>
      <c r="D151" s="13">
        <f t="shared" si="5"/>
        <v>8.2910985794846168E-2</v>
      </c>
    </row>
    <row r="152" spans="1:4" x14ac:dyDescent="0.35">
      <c r="A152" s="11">
        <v>38018</v>
      </c>
      <c r="B152" s="15">
        <f>VLOOKUP(A152,Database!A:K,MATCH($A$1,Database!$A$1:$K$1,),)</f>
        <v>30461</v>
      </c>
      <c r="C152" s="12">
        <f t="shared" si="4"/>
        <v>3.9550443294551927E-3</v>
      </c>
      <c r="D152" s="13">
        <f t="shared" si="5"/>
        <v>8.8709389184745704E-2</v>
      </c>
    </row>
    <row r="153" spans="1:4" x14ac:dyDescent="0.35">
      <c r="A153" s="10">
        <v>38047</v>
      </c>
      <c r="B153" s="15">
        <f>VLOOKUP(A153,Database!A:K,MATCH($A$1,Database!$A$1:$K$1,),)</f>
        <v>30703</v>
      </c>
      <c r="C153" s="12">
        <f t="shared" si="4"/>
        <v>7.9445848790256398E-3</v>
      </c>
      <c r="D153" s="13">
        <f t="shared" si="5"/>
        <v>7.7109279073846695E-2</v>
      </c>
    </row>
    <row r="154" spans="1:4" x14ac:dyDescent="0.35">
      <c r="A154" s="11">
        <v>38078</v>
      </c>
      <c r="B154" s="15">
        <f>VLOOKUP(A154,Database!A:K,MATCH($A$1,Database!$A$1:$K$1,),)</f>
        <v>30560</v>
      </c>
      <c r="C154" s="12">
        <f t="shared" si="4"/>
        <v>-4.6575253232583134E-3</v>
      </c>
      <c r="D154" s="13">
        <f t="shared" si="5"/>
        <v>7.5942682111044602E-2</v>
      </c>
    </row>
    <row r="155" spans="1:4" x14ac:dyDescent="0.35">
      <c r="A155" s="10">
        <v>38108</v>
      </c>
      <c r="B155" s="15">
        <f>VLOOKUP(A155,Database!A:K,MATCH($A$1,Database!$A$1:$K$1,),)</f>
        <v>30712</v>
      </c>
      <c r="C155" s="12">
        <f t="shared" si="4"/>
        <v>4.9738219895287955E-3</v>
      </c>
      <c r="D155" s="13">
        <f t="shared" si="5"/>
        <v>5.7284494629578631E-2</v>
      </c>
    </row>
    <row r="156" spans="1:4" x14ac:dyDescent="0.35">
      <c r="A156" s="11">
        <v>38139</v>
      </c>
      <c r="B156" s="15">
        <f>VLOOKUP(A156,Database!A:K,MATCH($A$1,Database!$A$1:$K$1,),)</f>
        <v>30825</v>
      </c>
      <c r="C156" s="12">
        <f t="shared" si="4"/>
        <v>3.6793435790570461E-3</v>
      </c>
      <c r="D156" s="13">
        <f t="shared" si="5"/>
        <v>5.45672254533014E-2</v>
      </c>
    </row>
    <row r="157" spans="1:4" x14ac:dyDescent="0.35">
      <c r="A157" s="10">
        <v>38169</v>
      </c>
      <c r="B157" s="15">
        <f>VLOOKUP(A157,Database!A:K,MATCH($A$1,Database!$A$1:$K$1,),)</f>
        <v>31191</v>
      </c>
      <c r="C157" s="12">
        <f t="shared" si="4"/>
        <v>1.1873479318734793E-2</v>
      </c>
      <c r="D157" s="13">
        <f t="shared" si="5"/>
        <v>6.1098826331008674E-2</v>
      </c>
    </row>
    <row r="158" spans="1:4" x14ac:dyDescent="0.35">
      <c r="A158" s="11">
        <v>38200</v>
      </c>
      <c r="B158" s="15">
        <f>VLOOKUP(A158,Database!A:K,MATCH($A$1,Database!$A$1:$K$1,),)</f>
        <v>31036</v>
      </c>
      <c r="C158" s="12">
        <f t="shared" si="4"/>
        <v>-4.9693821935814821E-3</v>
      </c>
      <c r="D158" s="13">
        <f t="shared" si="5"/>
        <v>3.9941026672027875E-2</v>
      </c>
    </row>
    <row r="159" spans="1:4" x14ac:dyDescent="0.35">
      <c r="A159" s="10">
        <v>38231</v>
      </c>
      <c r="B159" s="15">
        <f>VLOOKUP(A159,Database!A:K,MATCH($A$1,Database!$A$1:$K$1,),)</f>
        <v>31430</v>
      </c>
      <c r="C159" s="12">
        <f t="shared" si="4"/>
        <v>1.2694934914293078E-2</v>
      </c>
      <c r="D159" s="13">
        <f t="shared" si="5"/>
        <v>6.531539165508593E-2</v>
      </c>
    </row>
    <row r="160" spans="1:4" x14ac:dyDescent="0.35">
      <c r="A160" s="11">
        <v>38261</v>
      </c>
      <c r="B160" s="15">
        <f>VLOOKUP(A160,Database!A:K,MATCH($A$1,Database!$A$1:$K$1,),)</f>
        <v>31625</v>
      </c>
      <c r="C160" s="12">
        <f t="shared" si="4"/>
        <v>6.2042634425707923E-3</v>
      </c>
      <c r="D160" s="13">
        <f t="shared" si="5"/>
        <v>5.2587784989182894E-2</v>
      </c>
    </row>
    <row r="161" spans="1:4" x14ac:dyDescent="0.35">
      <c r="A161" s="10">
        <v>38292</v>
      </c>
      <c r="B161" s="15">
        <f>VLOOKUP(A161,Database!A:K,MATCH($A$1,Database!$A$1:$K$1,),)</f>
        <v>31659</v>
      </c>
      <c r="C161" s="12">
        <f t="shared" si="4"/>
        <v>1.0750988142292489E-3</v>
      </c>
      <c r="D161" s="13">
        <f t="shared" si="5"/>
        <v>4.7305567501405937E-2</v>
      </c>
    </row>
    <row r="162" spans="1:4" x14ac:dyDescent="0.35">
      <c r="A162" s="11">
        <v>38322</v>
      </c>
      <c r="B162" s="15">
        <f>VLOOKUP(A162,Database!A:K,MATCH($A$1,Database!$A$1:$K$1,),)</f>
        <v>32111</v>
      </c>
      <c r="C162" s="12">
        <f t="shared" si="4"/>
        <v>1.4277140781452351E-2</v>
      </c>
      <c r="D162" s="13">
        <f t="shared" si="5"/>
        <v>7.7731162946803156E-2</v>
      </c>
    </row>
    <row r="163" spans="1:4" x14ac:dyDescent="0.35">
      <c r="A163" s="10">
        <v>38353</v>
      </c>
      <c r="B163" s="15">
        <f>VLOOKUP(A163,Database!A:K,MATCH($A$1,Database!$A$1:$K$1,),)</f>
        <v>32000</v>
      </c>
      <c r="C163" s="12">
        <f t="shared" si="4"/>
        <v>-3.456759365949363E-3</v>
      </c>
      <c r="D163" s="13">
        <f t="shared" si="5"/>
        <v>5.4678487854718037E-2</v>
      </c>
    </row>
    <row r="164" spans="1:4" x14ac:dyDescent="0.35">
      <c r="A164" s="11">
        <v>38384</v>
      </c>
      <c r="B164" s="15">
        <f>VLOOKUP(A164,Database!A:K,MATCH($A$1,Database!$A$1:$K$1,),)</f>
        <v>32469</v>
      </c>
      <c r="C164" s="12">
        <f t="shared" si="4"/>
        <v>1.4656249999999999E-2</v>
      </c>
      <c r="D164" s="13">
        <f t="shared" si="5"/>
        <v>6.5920357178030922E-2</v>
      </c>
    </row>
    <row r="165" spans="1:4" x14ac:dyDescent="0.35">
      <c r="A165" s="10">
        <v>38412</v>
      </c>
      <c r="B165" s="15">
        <f>VLOOKUP(A165,Database!A:K,MATCH($A$1,Database!$A$1:$K$1,),)</f>
        <v>32273</v>
      </c>
      <c r="C165" s="12">
        <f t="shared" si="4"/>
        <v>-6.036527148972866E-3</v>
      </c>
      <c r="D165" s="13">
        <f t="shared" si="5"/>
        <v>5.1135068234374491E-2</v>
      </c>
    </row>
    <row r="166" spans="1:4" x14ac:dyDescent="0.35">
      <c r="A166" s="11">
        <v>38443</v>
      </c>
      <c r="B166" s="15">
        <f>VLOOKUP(A166,Database!A:K,MATCH($A$1,Database!$A$1:$K$1,),)</f>
        <v>32823</v>
      </c>
      <c r="C166" s="12">
        <f t="shared" si="4"/>
        <v>1.7042109503299971E-2</v>
      </c>
      <c r="D166" s="13">
        <f t="shared" si="5"/>
        <v>7.405104712041885E-2</v>
      </c>
    </row>
    <row r="167" spans="1:4" x14ac:dyDescent="0.35">
      <c r="A167" s="10">
        <v>38473</v>
      </c>
      <c r="B167" s="15">
        <f>VLOOKUP(A167,Database!A:K,MATCH($A$1,Database!$A$1:$K$1,),)</f>
        <v>32746</v>
      </c>
      <c r="C167" s="12">
        <f t="shared" si="4"/>
        <v>-2.3459159735551289E-3</v>
      </c>
      <c r="D167" s="13">
        <f t="shared" si="5"/>
        <v>6.6228184423026831E-2</v>
      </c>
    </row>
    <row r="168" spans="1:4" x14ac:dyDescent="0.35">
      <c r="A168" s="11">
        <v>38504</v>
      </c>
      <c r="B168" s="15">
        <f>VLOOKUP(A168,Database!A:K,MATCH($A$1,Database!$A$1:$K$1,),)</f>
        <v>33009</v>
      </c>
      <c r="C168" s="12">
        <f t="shared" si="4"/>
        <v>8.031515299578575E-3</v>
      </c>
      <c r="D168" s="13">
        <f t="shared" si="5"/>
        <v>7.085158150851581E-2</v>
      </c>
    </row>
    <row r="169" spans="1:4" x14ac:dyDescent="0.35">
      <c r="A169" s="10">
        <v>38534</v>
      </c>
      <c r="B169" s="15">
        <f>VLOOKUP(A169,Database!A:K,MATCH($A$1,Database!$A$1:$K$1,),)</f>
        <v>33056</v>
      </c>
      <c r="C169" s="12">
        <f t="shared" si="4"/>
        <v>1.4238541003968614E-3</v>
      </c>
      <c r="D169" s="13">
        <f t="shared" si="5"/>
        <v>5.9792888974383639E-2</v>
      </c>
    </row>
    <row r="170" spans="1:4" x14ac:dyDescent="0.35">
      <c r="A170" s="11">
        <v>38565</v>
      </c>
      <c r="B170" s="15">
        <f>VLOOKUP(A170,Database!A:K,MATCH($A$1,Database!$A$1:$K$1,),)</f>
        <v>33261</v>
      </c>
      <c r="C170" s="12">
        <f t="shared" si="4"/>
        <v>6.201597289448209E-3</v>
      </c>
      <c r="D170" s="13">
        <f t="shared" si="5"/>
        <v>7.1690939554066246E-2</v>
      </c>
    </row>
    <row r="171" spans="1:4" x14ac:dyDescent="0.35">
      <c r="A171" s="10">
        <v>38596</v>
      </c>
      <c r="B171" s="15">
        <f>VLOOKUP(A171,Database!A:K,MATCH($A$1,Database!$A$1:$K$1,),)</f>
        <v>33283</v>
      </c>
      <c r="C171" s="12">
        <f t="shared" si="4"/>
        <v>6.6143531463275305E-4</v>
      </c>
      <c r="D171" s="13">
        <f t="shared" si="5"/>
        <v>5.8956411072223991E-2</v>
      </c>
    </row>
    <row r="172" spans="1:4" x14ac:dyDescent="0.35">
      <c r="A172" s="11">
        <v>38626</v>
      </c>
      <c r="B172" s="15">
        <f>VLOOKUP(A172,Database!A:K,MATCH($A$1,Database!$A$1:$K$1,),)</f>
        <v>33618</v>
      </c>
      <c r="C172" s="12">
        <f t="shared" si="4"/>
        <v>1.0065198449658985E-2</v>
      </c>
      <c r="D172" s="13">
        <f t="shared" si="5"/>
        <v>6.30197628458498E-2</v>
      </c>
    </row>
    <row r="173" spans="1:4" x14ac:dyDescent="0.35">
      <c r="A173" s="10">
        <v>38657</v>
      </c>
      <c r="B173" s="15">
        <f>VLOOKUP(A173,Database!A:K,MATCH($A$1,Database!$A$1:$K$1,),)</f>
        <v>34022</v>
      </c>
      <c r="C173" s="12">
        <f t="shared" si="4"/>
        <v>1.2017371646141948E-2</v>
      </c>
      <c r="D173" s="13">
        <f t="shared" si="5"/>
        <v>7.4639123156132539E-2</v>
      </c>
    </row>
    <row r="174" spans="1:4" x14ac:dyDescent="0.35">
      <c r="A174" s="11">
        <v>38687</v>
      </c>
      <c r="B174" s="15">
        <f>VLOOKUP(A174,Database!A:K,MATCH($A$1,Database!$A$1:$K$1,),)</f>
        <v>33932</v>
      </c>
      <c r="C174" s="12">
        <f t="shared" si="4"/>
        <v>-2.6453471283287284E-3</v>
      </c>
      <c r="D174" s="13">
        <f t="shared" si="5"/>
        <v>5.6709538787331447E-2</v>
      </c>
    </row>
    <row r="175" spans="1:4" x14ac:dyDescent="0.35">
      <c r="A175" s="10">
        <v>38718</v>
      </c>
      <c r="B175" s="15">
        <f>VLOOKUP(A175,Database!A:K,MATCH($A$1,Database!$A$1:$K$1,),)</f>
        <v>34983</v>
      </c>
      <c r="C175" s="12">
        <f t="shared" si="4"/>
        <v>3.0973712130142637E-2</v>
      </c>
      <c r="D175" s="13">
        <f t="shared" si="5"/>
        <v>9.3218750000000003E-2</v>
      </c>
    </row>
    <row r="176" spans="1:4" x14ac:dyDescent="0.35">
      <c r="A176" s="11">
        <v>38749</v>
      </c>
      <c r="B176" s="15">
        <f>VLOOKUP(A176,Database!A:K,MATCH($A$1,Database!$A$1:$K$1,),)</f>
        <v>34535</v>
      </c>
      <c r="C176" s="12">
        <f t="shared" si="4"/>
        <v>-1.2806220164079696E-2</v>
      </c>
      <c r="D176" s="13">
        <f t="shared" si="5"/>
        <v>6.3629923927438478E-2</v>
      </c>
    </row>
    <row r="177" spans="1:4" x14ac:dyDescent="0.35">
      <c r="A177" s="10">
        <v>38777</v>
      </c>
      <c r="B177" s="15">
        <f>VLOOKUP(A177,Database!A:K,MATCH($A$1,Database!$A$1:$K$1,),)</f>
        <v>34796</v>
      </c>
      <c r="C177" s="12">
        <f t="shared" si="4"/>
        <v>7.5575503112784133E-3</v>
      </c>
      <c r="D177" s="13">
        <f t="shared" si="5"/>
        <v>7.8176804139683323E-2</v>
      </c>
    </row>
    <row r="178" spans="1:4" x14ac:dyDescent="0.35">
      <c r="A178" s="11">
        <v>38808</v>
      </c>
      <c r="B178" s="15">
        <f>VLOOKUP(A178,Database!A:K,MATCH($A$1,Database!$A$1:$K$1,),)</f>
        <v>34862</v>
      </c>
      <c r="C178" s="12">
        <f t="shared" si="4"/>
        <v>1.8967697436486953E-3</v>
      </c>
      <c r="D178" s="13">
        <f t="shared" si="5"/>
        <v>6.2121073637388419E-2</v>
      </c>
    </row>
    <row r="179" spans="1:4" x14ac:dyDescent="0.35">
      <c r="A179" s="10">
        <v>38838</v>
      </c>
      <c r="B179" s="15">
        <f>VLOOKUP(A179,Database!A:K,MATCH($A$1,Database!$A$1:$K$1,),)</f>
        <v>34910</v>
      </c>
      <c r="C179" s="12">
        <f t="shared" si="4"/>
        <v>1.3768573231598875E-3</v>
      </c>
      <c r="D179" s="13">
        <f t="shared" si="5"/>
        <v>6.6084407255848049E-2</v>
      </c>
    </row>
    <row r="180" spans="1:4" x14ac:dyDescent="0.35">
      <c r="A180" s="11">
        <v>38869</v>
      </c>
      <c r="B180" s="15">
        <f>VLOOKUP(A180,Database!A:K,MATCH($A$1,Database!$A$1:$K$1,),)</f>
        <v>34695</v>
      </c>
      <c r="C180" s="12">
        <f t="shared" si="4"/>
        <v>-6.1586937840160411E-3</v>
      </c>
      <c r="D180" s="13">
        <f t="shared" si="5"/>
        <v>5.1076979005725713E-2</v>
      </c>
    </row>
    <row r="181" spans="1:4" x14ac:dyDescent="0.35">
      <c r="A181" s="10">
        <v>38899</v>
      </c>
      <c r="B181" s="15">
        <f>VLOOKUP(A181,Database!A:K,MATCH($A$1,Database!$A$1:$K$1,),)</f>
        <v>34802</v>
      </c>
      <c r="C181" s="12">
        <f t="shared" si="4"/>
        <v>3.0840178700100879E-3</v>
      </c>
      <c r="D181" s="13">
        <f t="shared" si="5"/>
        <v>5.2819457889641819E-2</v>
      </c>
    </row>
    <row r="182" spans="1:4" x14ac:dyDescent="0.35">
      <c r="A182" s="11">
        <v>38930</v>
      </c>
      <c r="B182" s="15">
        <f>VLOOKUP(A182,Database!A:K,MATCH($A$1,Database!$A$1:$K$1,),)</f>
        <v>35367</v>
      </c>
      <c r="C182" s="12">
        <f t="shared" si="4"/>
        <v>1.6234699155220963E-2</v>
      </c>
      <c r="D182" s="13">
        <f t="shared" si="5"/>
        <v>6.3317398755299001E-2</v>
      </c>
    </row>
    <row r="183" spans="1:4" x14ac:dyDescent="0.35">
      <c r="A183" s="10">
        <v>38961</v>
      </c>
      <c r="B183" s="15">
        <f>VLOOKUP(A183,Database!A:K,MATCH($A$1,Database!$A$1:$K$1,),)</f>
        <v>35725</v>
      </c>
      <c r="C183" s="12">
        <f t="shared" si="4"/>
        <v>1.0122430514321259E-2</v>
      </c>
      <c r="D183" s="13">
        <f t="shared" si="5"/>
        <v>7.3370789892738028E-2</v>
      </c>
    </row>
    <row r="184" spans="1:4" x14ac:dyDescent="0.35">
      <c r="A184" s="11">
        <v>38991</v>
      </c>
      <c r="B184" s="15">
        <f>VLOOKUP(A184,Database!A:K,MATCH($A$1,Database!$A$1:$K$1,),)</f>
        <v>35784</v>
      </c>
      <c r="C184" s="12">
        <f t="shared" si="4"/>
        <v>1.6515045486354093E-3</v>
      </c>
      <c r="D184" s="13">
        <f t="shared" si="5"/>
        <v>6.4429769766196687E-2</v>
      </c>
    </row>
    <row r="185" spans="1:4" x14ac:dyDescent="0.35">
      <c r="A185" s="10">
        <v>39022</v>
      </c>
      <c r="B185" s="15">
        <f>VLOOKUP(A185,Database!A:K,MATCH($A$1,Database!$A$1:$K$1,),)</f>
        <v>35923</v>
      </c>
      <c r="C185" s="12">
        <f t="shared" si="4"/>
        <v>3.8844176168119828E-3</v>
      </c>
      <c r="D185" s="13">
        <f t="shared" si="5"/>
        <v>5.5875609899476812E-2</v>
      </c>
    </row>
    <row r="186" spans="1:4" x14ac:dyDescent="0.35">
      <c r="A186" s="11">
        <v>39052</v>
      </c>
      <c r="B186" s="15">
        <f>VLOOKUP(A186,Database!A:K,MATCH($A$1,Database!$A$1:$K$1,),)</f>
        <v>36881</v>
      </c>
      <c r="C186" s="12">
        <f t="shared" si="4"/>
        <v>2.6668151323664506E-2</v>
      </c>
      <c r="D186" s="13">
        <f t="shared" si="5"/>
        <v>8.6909112342331729E-2</v>
      </c>
    </row>
    <row r="187" spans="1:4" x14ac:dyDescent="0.35">
      <c r="A187" s="10">
        <v>39083</v>
      </c>
      <c r="B187" s="15">
        <f>VLOOKUP(A187,Database!A:K,MATCH($A$1,Database!$A$1:$K$1,),)</f>
        <v>36435</v>
      </c>
      <c r="C187" s="12">
        <f t="shared" si="4"/>
        <v>-1.2092947588189041E-2</v>
      </c>
      <c r="D187" s="13">
        <f t="shared" si="5"/>
        <v>4.1505874281794017E-2</v>
      </c>
    </row>
    <row r="188" spans="1:4" x14ac:dyDescent="0.35">
      <c r="A188" s="11">
        <v>39114</v>
      </c>
      <c r="B188" s="15">
        <f>VLOOKUP(A188,Database!A:K,MATCH($A$1,Database!$A$1:$K$1,),)</f>
        <v>36053</v>
      </c>
      <c r="C188" s="12">
        <f t="shared" si="4"/>
        <v>-1.0484424317277342E-2</v>
      </c>
      <c r="D188" s="13">
        <f t="shared" si="5"/>
        <v>4.3955407557550313E-2</v>
      </c>
    </row>
    <row r="189" spans="1:4" x14ac:dyDescent="0.35">
      <c r="A189" s="10">
        <v>39142</v>
      </c>
      <c r="B189" s="15">
        <f>VLOOKUP(A189,Database!A:K,MATCH($A$1,Database!$A$1:$K$1,),)</f>
        <v>36579</v>
      </c>
      <c r="C189" s="12">
        <f t="shared" si="4"/>
        <v>1.4589631930768591E-2</v>
      </c>
      <c r="D189" s="13">
        <f t="shared" si="5"/>
        <v>5.1241522014024599E-2</v>
      </c>
    </row>
    <row r="190" spans="1:4" x14ac:dyDescent="0.35">
      <c r="A190" s="11">
        <v>39173</v>
      </c>
      <c r="B190" s="15">
        <f>VLOOKUP(A190,Database!A:K,MATCH($A$1,Database!$A$1:$K$1,),)</f>
        <v>36627</v>
      </c>
      <c r="C190" s="12">
        <f t="shared" si="4"/>
        <v>1.3122283277290248E-3</v>
      </c>
      <c r="D190" s="13">
        <f t="shared" si="5"/>
        <v>5.0628191153691701E-2</v>
      </c>
    </row>
    <row r="191" spans="1:4" x14ac:dyDescent="0.35">
      <c r="A191" s="10">
        <v>39203</v>
      </c>
      <c r="B191" s="15">
        <f>VLOOKUP(A191,Database!A:K,MATCH($A$1,Database!$A$1:$K$1,),)</f>
        <v>36732</v>
      </c>
      <c r="C191" s="12">
        <f t="shared" si="4"/>
        <v>2.8667376525513964E-3</v>
      </c>
      <c r="D191" s="13">
        <f t="shared" si="5"/>
        <v>5.219134918361501E-2</v>
      </c>
    </row>
    <row r="192" spans="1:4" x14ac:dyDescent="0.35">
      <c r="A192" s="11">
        <v>39234</v>
      </c>
      <c r="B192" s="15">
        <f>VLOOKUP(A192,Database!A:K,MATCH($A$1,Database!$A$1:$K$1,),)</f>
        <v>37078</v>
      </c>
      <c r="C192" s="12">
        <f t="shared" si="4"/>
        <v>9.4195796580638144E-3</v>
      </c>
      <c r="D192" s="13">
        <f t="shared" si="5"/>
        <v>6.8684248450785412E-2</v>
      </c>
    </row>
    <row r="193" spans="1:4" x14ac:dyDescent="0.35">
      <c r="A193" s="10">
        <v>39264</v>
      </c>
      <c r="B193" s="15">
        <f>VLOOKUP(A193,Database!A:K,MATCH($A$1,Database!$A$1:$K$1,),)</f>
        <v>37272</v>
      </c>
      <c r="C193" s="12">
        <f t="shared" si="4"/>
        <v>5.2322131722315124E-3</v>
      </c>
      <c r="D193" s="13">
        <f t="shared" si="5"/>
        <v>7.0972932590081028E-2</v>
      </c>
    </row>
    <row r="194" spans="1:4" x14ac:dyDescent="0.35">
      <c r="A194" s="11">
        <v>39295</v>
      </c>
      <c r="B194" s="15">
        <f>VLOOKUP(A194,Database!A:K,MATCH($A$1,Database!$A$1:$K$1,),)</f>
        <v>37189</v>
      </c>
      <c r="C194" s="12">
        <f t="shared" si="4"/>
        <v>-2.2268727194676968E-3</v>
      </c>
      <c r="D194" s="13">
        <f t="shared" si="5"/>
        <v>5.1516950829869651E-2</v>
      </c>
    </row>
    <row r="195" spans="1:4" x14ac:dyDescent="0.35">
      <c r="A195" s="10">
        <v>39326</v>
      </c>
      <c r="B195" s="15">
        <f>VLOOKUP(A195,Database!A:K,MATCH($A$1,Database!$A$1:$K$1,),)</f>
        <v>37427</v>
      </c>
      <c r="C195" s="12">
        <f t="shared" si="4"/>
        <v>6.3997418591518994E-3</v>
      </c>
      <c r="D195" s="13">
        <f t="shared" si="5"/>
        <v>4.7641707487753676E-2</v>
      </c>
    </row>
    <row r="196" spans="1:4" x14ac:dyDescent="0.35">
      <c r="A196" s="11">
        <v>39356</v>
      </c>
      <c r="B196" s="15">
        <f>VLOOKUP(A196,Database!A:K,MATCH($A$1,Database!$A$1:$K$1,),)</f>
        <v>37759</v>
      </c>
      <c r="C196" s="12">
        <f t="shared" si="4"/>
        <v>8.8706014374649311E-3</v>
      </c>
      <c r="D196" s="13">
        <f t="shared" si="5"/>
        <v>5.519226469930695E-2</v>
      </c>
    </row>
    <row r="197" spans="1:4" x14ac:dyDescent="0.35">
      <c r="A197" s="10">
        <v>39387</v>
      </c>
      <c r="B197" s="15">
        <f>VLOOKUP(A197,Database!A:K,MATCH($A$1,Database!$A$1:$K$1,),)</f>
        <v>37727</v>
      </c>
      <c r="C197" s="12">
        <f t="shared" si="4"/>
        <v>-8.474800709764559E-4</v>
      </c>
      <c r="D197" s="13">
        <f t="shared" si="5"/>
        <v>5.0218522951869279E-2</v>
      </c>
    </row>
    <row r="198" spans="1:4" x14ac:dyDescent="0.35">
      <c r="A198" s="11">
        <v>39417</v>
      </c>
      <c r="B198" s="15">
        <f>VLOOKUP(A198,Database!A:K,MATCH($A$1,Database!$A$1:$K$1,),)</f>
        <v>38109</v>
      </c>
      <c r="C198" s="12">
        <f t="shared" si="4"/>
        <v>1.012537440029687E-2</v>
      </c>
      <c r="D198" s="13">
        <f t="shared" si="5"/>
        <v>3.3296277215910629E-2</v>
      </c>
    </row>
    <row r="199" spans="1:4" x14ac:dyDescent="0.35">
      <c r="A199" s="10">
        <v>39448</v>
      </c>
      <c r="B199" s="15">
        <f>VLOOKUP(A199,Database!A:K,MATCH($A$1,Database!$A$1:$K$1,),)</f>
        <v>37824</v>
      </c>
      <c r="C199" s="12">
        <f t="shared" si="4"/>
        <v>-7.478548374399748E-3</v>
      </c>
      <c r="D199" s="13">
        <f t="shared" si="5"/>
        <v>3.8122684232194316E-2</v>
      </c>
    </row>
    <row r="200" spans="1:4" x14ac:dyDescent="0.35">
      <c r="A200" s="11">
        <v>39479</v>
      </c>
      <c r="B200" s="15">
        <f>VLOOKUP(A200,Database!A:K,MATCH($A$1,Database!$A$1:$K$1,),)</f>
        <v>37249</v>
      </c>
      <c r="C200" s="12">
        <f t="shared" ref="C200:C263" si="6">(B200-B199)/B199</f>
        <v>-1.5201988155668358E-2</v>
      </c>
      <c r="D200" s="13">
        <f t="shared" si="5"/>
        <v>3.3173383629656342E-2</v>
      </c>
    </row>
    <row r="201" spans="1:4" x14ac:dyDescent="0.35">
      <c r="A201" s="10">
        <v>39508</v>
      </c>
      <c r="B201" s="15">
        <f>VLOOKUP(A201,Database!A:K,MATCH($A$1,Database!$A$1:$K$1,),)</f>
        <v>37552</v>
      </c>
      <c r="C201" s="12">
        <f t="shared" si="6"/>
        <v>8.1344465623238212E-3</v>
      </c>
      <c r="D201" s="13">
        <f t="shared" si="5"/>
        <v>2.6599961726673775E-2</v>
      </c>
    </row>
    <row r="202" spans="1:4" x14ac:dyDescent="0.35">
      <c r="A202" s="11">
        <v>39539</v>
      </c>
      <c r="B202" s="15">
        <f>VLOOKUP(A202,Database!A:K,MATCH($A$1,Database!$A$1:$K$1,),)</f>
        <v>37729</v>
      </c>
      <c r="C202" s="12">
        <f t="shared" si="6"/>
        <v>4.7134639965913929E-3</v>
      </c>
      <c r="D202" s="13">
        <f t="shared" si="5"/>
        <v>3.0087094220110848E-2</v>
      </c>
    </row>
    <row r="203" spans="1:4" x14ac:dyDescent="0.35">
      <c r="A203" s="10">
        <v>39569</v>
      </c>
      <c r="B203" s="15">
        <f>VLOOKUP(A203,Database!A:K,MATCH($A$1,Database!$A$1:$K$1,),)</f>
        <v>38089</v>
      </c>
      <c r="C203" s="12">
        <f t="shared" si="6"/>
        <v>9.5417318243261155E-3</v>
      </c>
      <c r="D203" s="13">
        <f t="shared" si="5"/>
        <v>3.6943264728302297E-2</v>
      </c>
    </row>
    <row r="204" spans="1:4" x14ac:dyDescent="0.35">
      <c r="A204" s="11">
        <v>39600</v>
      </c>
      <c r="B204" s="15">
        <f>VLOOKUP(A204,Database!A:K,MATCH($A$1,Database!$A$1:$K$1,),)</f>
        <v>38144</v>
      </c>
      <c r="C204" s="12">
        <f t="shared" si="6"/>
        <v>1.4439864527816431E-3</v>
      </c>
      <c r="D204" s="13">
        <f t="shared" si="5"/>
        <v>2.875020227628243E-2</v>
      </c>
    </row>
    <row r="205" spans="1:4" x14ac:dyDescent="0.35">
      <c r="A205" s="10">
        <v>39630</v>
      </c>
      <c r="B205" s="15">
        <f>VLOOKUP(A205,Database!A:K,MATCH($A$1,Database!$A$1:$K$1,),)</f>
        <v>38267</v>
      </c>
      <c r="C205" s="12">
        <f t="shared" si="6"/>
        <v>3.2246224832214766E-3</v>
      </c>
      <c r="D205" s="13">
        <f t="shared" si="5"/>
        <v>2.6695642841811546E-2</v>
      </c>
    </row>
    <row r="206" spans="1:4" x14ac:dyDescent="0.35">
      <c r="A206" s="11">
        <v>39661</v>
      </c>
      <c r="B206" s="15">
        <f>VLOOKUP(A206,Database!A:K,MATCH($A$1,Database!$A$1:$K$1,),)</f>
        <v>38239</v>
      </c>
      <c r="C206" s="12">
        <f t="shared" si="6"/>
        <v>-7.3170094337157341E-4</v>
      </c>
      <c r="D206" s="13">
        <f t="shared" si="5"/>
        <v>2.8234155260964264E-2</v>
      </c>
    </row>
    <row r="207" spans="1:4" x14ac:dyDescent="0.35">
      <c r="A207" s="10">
        <v>39692</v>
      </c>
      <c r="B207" s="15">
        <f>VLOOKUP(A207,Database!A:K,MATCH($A$1,Database!$A$1:$K$1,),)</f>
        <v>38386</v>
      </c>
      <c r="C207" s="12">
        <f t="shared" si="6"/>
        <v>3.844242788775857E-3</v>
      </c>
      <c r="D207" s="13">
        <f t="shared" si="5"/>
        <v>2.5623213188339967E-2</v>
      </c>
    </row>
    <row r="208" spans="1:4" x14ac:dyDescent="0.35">
      <c r="A208" s="11">
        <v>39722</v>
      </c>
      <c r="B208" s="15">
        <f>VLOOKUP(A208,Database!A:K,MATCH($A$1,Database!$A$1:$K$1,),)</f>
        <v>38120</v>
      </c>
      <c r="C208" s="12">
        <f t="shared" si="6"/>
        <v>-6.9296097535559839E-3</v>
      </c>
      <c r="D208" s="13">
        <f t="shared" si="5"/>
        <v>9.560634550703143E-3</v>
      </c>
    </row>
    <row r="209" spans="1:4" x14ac:dyDescent="0.35">
      <c r="A209" s="10">
        <v>39753</v>
      </c>
      <c r="B209" s="15">
        <f>VLOOKUP(A209,Database!A:K,MATCH($A$1,Database!$A$1:$K$1,),)</f>
        <v>38018</v>
      </c>
      <c r="C209" s="12">
        <f t="shared" si="6"/>
        <v>-2.675760755508919E-3</v>
      </c>
      <c r="D209" s="13">
        <f t="shared" si="5"/>
        <v>7.713308770906778E-3</v>
      </c>
    </row>
    <row r="210" spans="1:4" x14ac:dyDescent="0.35">
      <c r="A210" s="11">
        <v>39783</v>
      </c>
      <c r="B210" s="15">
        <f>VLOOKUP(A210,Database!A:K,MATCH($A$1,Database!$A$1:$K$1,),)</f>
        <v>38066</v>
      </c>
      <c r="C210" s="12">
        <f t="shared" si="6"/>
        <v>1.2625598400757537E-3</v>
      </c>
      <c r="D210" s="13">
        <f t="shared" si="5"/>
        <v>-1.1283423863129444E-3</v>
      </c>
    </row>
    <row r="211" spans="1:4" x14ac:dyDescent="0.35">
      <c r="A211" s="10">
        <v>39814</v>
      </c>
      <c r="B211" s="15">
        <f>VLOOKUP(A211,Database!A:K,MATCH($A$1,Database!$A$1:$K$1,),)</f>
        <v>38256</v>
      </c>
      <c r="C211" s="12">
        <f t="shared" si="6"/>
        <v>4.9913308464246313E-3</v>
      </c>
      <c r="D211" s="13">
        <f t="shared" ref="D211:D274" si="7">(B211-B199)/B199</f>
        <v>1.1421319796954314E-2</v>
      </c>
    </row>
    <row r="212" spans="1:4" x14ac:dyDescent="0.35">
      <c r="A212" s="11">
        <v>39845</v>
      </c>
      <c r="B212" s="15">
        <f>VLOOKUP(A212,Database!A:K,MATCH($A$1,Database!$A$1:$K$1,),)</f>
        <v>37945</v>
      </c>
      <c r="C212" s="12">
        <f t="shared" si="6"/>
        <v>-8.1294437473860316E-3</v>
      </c>
      <c r="D212" s="13">
        <f t="shared" si="7"/>
        <v>1.868506537088244E-2</v>
      </c>
    </row>
    <row r="213" spans="1:4" x14ac:dyDescent="0.35">
      <c r="A213" s="10">
        <v>39873</v>
      </c>
      <c r="B213" s="15">
        <f>VLOOKUP(A213,Database!A:K,MATCH($A$1,Database!$A$1:$K$1,),)</f>
        <v>37447</v>
      </c>
      <c r="C213" s="12">
        <f t="shared" si="6"/>
        <v>-1.3124258795625248E-2</v>
      </c>
      <c r="D213" s="13">
        <f t="shared" si="7"/>
        <v>-2.7961227098423518E-3</v>
      </c>
    </row>
    <row r="214" spans="1:4" x14ac:dyDescent="0.35">
      <c r="A214" s="11">
        <v>39904</v>
      </c>
      <c r="B214" s="15">
        <f>VLOOKUP(A214,Database!A:K,MATCH($A$1,Database!$A$1:$K$1,),)</f>
        <v>37738</v>
      </c>
      <c r="C214" s="12">
        <f t="shared" si="6"/>
        <v>7.7709829892915324E-3</v>
      </c>
      <c r="D214" s="13">
        <f t="shared" si="7"/>
        <v>2.3854329560815289E-4</v>
      </c>
    </row>
    <row r="215" spans="1:4" x14ac:dyDescent="0.35">
      <c r="A215" s="10">
        <v>39934</v>
      </c>
      <c r="B215" s="15">
        <f>VLOOKUP(A215,Database!A:K,MATCH($A$1,Database!$A$1:$K$1,),)</f>
        <v>37755</v>
      </c>
      <c r="C215" s="12">
        <f t="shared" si="6"/>
        <v>4.5047432296359106E-4</v>
      </c>
      <c r="D215" s="13">
        <f t="shared" si="7"/>
        <v>-8.7689359132557959E-3</v>
      </c>
    </row>
    <row r="216" spans="1:4" x14ac:dyDescent="0.35">
      <c r="A216" s="11">
        <v>39965</v>
      </c>
      <c r="B216" s="15">
        <f>VLOOKUP(A216,Database!A:K,MATCH($A$1,Database!$A$1:$K$1,),)</f>
        <v>37714</v>
      </c>
      <c r="C216" s="12">
        <f t="shared" si="6"/>
        <v>-1.0859488809429215E-3</v>
      </c>
      <c r="D216" s="13">
        <f t="shared" si="7"/>
        <v>-1.1273070469798658E-2</v>
      </c>
    </row>
    <row r="217" spans="1:4" x14ac:dyDescent="0.35">
      <c r="A217" s="10">
        <v>39995</v>
      </c>
      <c r="B217" s="15">
        <f>VLOOKUP(A217,Database!A:K,MATCH($A$1,Database!$A$1:$K$1,),)</f>
        <v>37715</v>
      </c>
      <c r="C217" s="12">
        <f t="shared" si="6"/>
        <v>2.651535238903325E-5</v>
      </c>
      <c r="D217" s="13">
        <f t="shared" si="7"/>
        <v>-1.4424961455039591E-2</v>
      </c>
    </row>
    <row r="218" spans="1:4" x14ac:dyDescent="0.35">
      <c r="A218" s="11">
        <v>40026</v>
      </c>
      <c r="B218" s="15">
        <f>VLOOKUP(A218,Database!A:K,MATCH($A$1,Database!$A$1:$K$1,),)</f>
        <v>37645</v>
      </c>
      <c r="C218" s="12">
        <f t="shared" si="6"/>
        <v>-1.8560254540633701E-3</v>
      </c>
      <c r="D218" s="13">
        <f t="shared" si="7"/>
        <v>-1.5533879024033055E-2</v>
      </c>
    </row>
    <row r="219" spans="1:4" x14ac:dyDescent="0.35">
      <c r="A219" s="10">
        <v>40057</v>
      </c>
      <c r="B219" s="15">
        <f>VLOOKUP(A219,Database!A:K,MATCH($A$1,Database!$A$1:$K$1,),)</f>
        <v>37474</v>
      </c>
      <c r="C219" s="12">
        <f t="shared" si="6"/>
        <v>-4.5424359144640722E-3</v>
      </c>
      <c r="D219" s="13">
        <f t="shared" si="7"/>
        <v>-2.3758662012191945E-2</v>
      </c>
    </row>
    <row r="220" spans="1:4" x14ac:dyDescent="0.35">
      <c r="A220" s="11">
        <v>40087</v>
      </c>
      <c r="B220" s="15">
        <f>VLOOKUP(A220,Database!A:K,MATCH($A$1,Database!$A$1:$K$1,),)</f>
        <v>37500</v>
      </c>
      <c r="C220" s="12">
        <f t="shared" si="6"/>
        <v>6.9381437796872496E-4</v>
      </c>
      <c r="D220" s="13">
        <f t="shared" si="7"/>
        <v>-1.6264428121720881E-2</v>
      </c>
    </row>
    <row r="221" spans="1:4" x14ac:dyDescent="0.35">
      <c r="A221" s="10">
        <v>40118</v>
      </c>
      <c r="B221" s="15">
        <f>VLOOKUP(A221,Database!A:K,MATCH($A$1,Database!$A$1:$K$1,),)</f>
        <v>37700</v>
      </c>
      <c r="C221" s="12">
        <f t="shared" si="6"/>
        <v>5.3333333333333332E-3</v>
      </c>
      <c r="D221" s="13">
        <f t="shared" si="7"/>
        <v>-8.3644589405018673E-3</v>
      </c>
    </row>
    <row r="222" spans="1:4" x14ac:dyDescent="0.35">
      <c r="A222" s="11">
        <v>40148</v>
      </c>
      <c r="B222" s="15">
        <f>VLOOKUP(A222,Database!A:K,MATCH($A$1,Database!$A$1:$K$1,),)</f>
        <v>37659</v>
      </c>
      <c r="C222" s="12">
        <f t="shared" si="6"/>
        <v>-1.0875331564986737E-3</v>
      </c>
      <c r="D222" s="13">
        <f t="shared" si="7"/>
        <v>-1.0691956076288551E-2</v>
      </c>
    </row>
    <row r="223" spans="1:4" x14ac:dyDescent="0.35">
      <c r="A223" s="10">
        <v>40179</v>
      </c>
      <c r="B223" s="15">
        <f>VLOOKUP(A223,Database!A:K,MATCH($A$1,Database!$A$1:$K$1,),)</f>
        <v>37700</v>
      </c>
      <c r="C223" s="12">
        <f t="shared" si="6"/>
        <v>1.0887171725218407E-3</v>
      </c>
      <c r="D223" s="13">
        <f t="shared" si="7"/>
        <v>-1.4533667921371811E-2</v>
      </c>
    </row>
    <row r="224" spans="1:4" x14ac:dyDescent="0.35">
      <c r="A224" s="11">
        <v>40210</v>
      </c>
      <c r="B224" s="15">
        <f>VLOOKUP(A224,Database!A:K,MATCH($A$1,Database!$A$1:$K$1,),)</f>
        <v>38267</v>
      </c>
      <c r="C224" s="12">
        <f t="shared" si="6"/>
        <v>1.5039787798408488E-2</v>
      </c>
      <c r="D224" s="13">
        <f t="shared" si="7"/>
        <v>8.4859665305046777E-3</v>
      </c>
    </row>
    <row r="225" spans="1:4" x14ac:dyDescent="0.35">
      <c r="A225" s="10">
        <v>40238</v>
      </c>
      <c r="B225" s="15">
        <f>VLOOKUP(A225,Database!A:K,MATCH($A$1,Database!$A$1:$K$1,),)</f>
        <v>38376</v>
      </c>
      <c r="C225" s="12">
        <f t="shared" si="6"/>
        <v>2.8484072438393392E-3</v>
      </c>
      <c r="D225" s="13">
        <f t="shared" si="7"/>
        <v>2.4808395866157504E-2</v>
      </c>
    </row>
    <row r="226" spans="1:4" x14ac:dyDescent="0.35">
      <c r="A226" s="11">
        <v>40269</v>
      </c>
      <c r="B226" s="15">
        <f>VLOOKUP(A226,Database!A:K,MATCH($A$1,Database!$A$1:$K$1,),)</f>
        <v>38658</v>
      </c>
      <c r="C226" s="12">
        <f t="shared" si="6"/>
        <v>7.3483427141963729E-3</v>
      </c>
      <c r="D226" s="13">
        <f t="shared" si="7"/>
        <v>2.4378610419206106E-2</v>
      </c>
    </row>
    <row r="227" spans="1:4" x14ac:dyDescent="0.35">
      <c r="A227" s="10">
        <v>40299</v>
      </c>
      <c r="B227" s="15">
        <f>VLOOKUP(A227,Database!A:K,MATCH($A$1,Database!$A$1:$K$1,),)</f>
        <v>38695</v>
      </c>
      <c r="C227" s="12">
        <f t="shared" si="6"/>
        <v>9.5711107662062181E-4</v>
      </c>
      <c r="D227" s="13">
        <f t="shared" si="7"/>
        <v>2.4897364587471858E-2</v>
      </c>
    </row>
    <row r="228" spans="1:4" x14ac:dyDescent="0.35">
      <c r="A228" s="11">
        <v>40330</v>
      </c>
      <c r="B228" s="15">
        <f>VLOOKUP(A228,Database!A:K,MATCH($A$1,Database!$A$1:$K$1,),)</f>
        <v>38877</v>
      </c>
      <c r="C228" s="12">
        <f t="shared" si="6"/>
        <v>4.7034500581470476E-3</v>
      </c>
      <c r="D228" s="13">
        <f t="shared" si="7"/>
        <v>3.0837354828445671E-2</v>
      </c>
    </row>
    <row r="229" spans="1:4" x14ac:dyDescent="0.35">
      <c r="A229" s="10">
        <v>40360</v>
      </c>
      <c r="B229" s="15">
        <f>VLOOKUP(A229,Database!A:K,MATCH($A$1,Database!$A$1:$K$1,),)</f>
        <v>39033</v>
      </c>
      <c r="C229" s="12">
        <f t="shared" si="6"/>
        <v>4.0126552974766574E-3</v>
      </c>
      <c r="D229" s="13">
        <f t="shared" si="7"/>
        <v>3.4946307835078884E-2</v>
      </c>
    </row>
    <row r="230" spans="1:4" x14ac:dyDescent="0.35">
      <c r="A230" s="11">
        <v>40391</v>
      </c>
      <c r="B230" s="15">
        <f>VLOOKUP(A230,Database!A:K,MATCH($A$1,Database!$A$1:$K$1,),)</f>
        <v>39402</v>
      </c>
      <c r="C230" s="12">
        <f t="shared" si="6"/>
        <v>9.4535393128890935E-3</v>
      </c>
      <c r="D230" s="13">
        <f t="shared" si="7"/>
        <v>4.6672864922300439E-2</v>
      </c>
    </row>
    <row r="231" spans="1:4" x14ac:dyDescent="0.35">
      <c r="A231" s="10">
        <v>40422</v>
      </c>
      <c r="B231" s="15">
        <f>VLOOKUP(A231,Database!A:K,MATCH($A$1,Database!$A$1:$K$1,),)</f>
        <v>39385</v>
      </c>
      <c r="C231" s="12">
        <f t="shared" si="6"/>
        <v>-4.3145018019389881E-4</v>
      </c>
      <c r="D231" s="13">
        <f t="shared" si="7"/>
        <v>5.0995356780701287E-2</v>
      </c>
    </row>
    <row r="232" spans="1:4" x14ac:dyDescent="0.35">
      <c r="A232" s="11">
        <v>40452</v>
      </c>
      <c r="B232" s="15">
        <f>VLOOKUP(A232,Database!A:K,MATCH($A$1,Database!$A$1:$K$1,),)</f>
        <v>39479</v>
      </c>
      <c r="C232" s="12">
        <f t="shared" si="6"/>
        <v>2.3866954424273199E-3</v>
      </c>
      <c r="D232" s="13">
        <f t="shared" si="7"/>
        <v>5.2773333333333332E-2</v>
      </c>
    </row>
    <row r="233" spans="1:4" x14ac:dyDescent="0.35">
      <c r="A233" s="10">
        <v>40483</v>
      </c>
      <c r="B233" s="15">
        <f>VLOOKUP(A233,Database!A:K,MATCH($A$1,Database!$A$1:$K$1,),)</f>
        <v>39710</v>
      </c>
      <c r="C233" s="12">
        <f t="shared" si="6"/>
        <v>5.8512120367790474E-3</v>
      </c>
      <c r="D233" s="13">
        <f t="shared" si="7"/>
        <v>5.3315649867374006E-2</v>
      </c>
    </row>
    <row r="234" spans="1:4" x14ac:dyDescent="0.35">
      <c r="A234" s="11">
        <v>40513</v>
      </c>
      <c r="B234" s="15">
        <f>VLOOKUP(A234,Database!A:K,MATCH($A$1,Database!$A$1:$K$1,),)</f>
        <v>39469</v>
      </c>
      <c r="C234" s="12">
        <f t="shared" si="6"/>
        <v>-6.0690002518257362E-3</v>
      </c>
      <c r="D234" s="13">
        <f t="shared" si="7"/>
        <v>4.8062880055232481E-2</v>
      </c>
    </row>
    <row r="235" spans="1:4" x14ac:dyDescent="0.35">
      <c r="A235" s="10">
        <v>40544</v>
      </c>
      <c r="B235" s="15">
        <f>VLOOKUP(A235,Database!A:K,MATCH($A$1,Database!$A$1:$K$1,),)</f>
        <v>39743</v>
      </c>
      <c r="C235" s="12">
        <f t="shared" si="6"/>
        <v>6.942157135980136E-3</v>
      </c>
      <c r="D235" s="13">
        <f t="shared" si="7"/>
        <v>5.4190981432360744E-2</v>
      </c>
    </row>
    <row r="236" spans="1:4" x14ac:dyDescent="0.35">
      <c r="A236" s="11">
        <v>40575</v>
      </c>
      <c r="B236" s="15">
        <f>VLOOKUP(A236,Database!A:K,MATCH($A$1,Database!$A$1:$K$1,),)</f>
        <v>40382</v>
      </c>
      <c r="C236" s="12">
        <f t="shared" si="6"/>
        <v>1.6078303097400801E-2</v>
      </c>
      <c r="D236" s="13">
        <f t="shared" si="7"/>
        <v>5.5269553401102775E-2</v>
      </c>
    </row>
    <row r="237" spans="1:4" x14ac:dyDescent="0.35">
      <c r="A237" s="10">
        <v>40603</v>
      </c>
      <c r="B237" s="15">
        <f>VLOOKUP(A237,Database!A:K,MATCH($A$1,Database!$A$1:$K$1,),)</f>
        <v>40575</v>
      </c>
      <c r="C237" s="12">
        <f t="shared" si="6"/>
        <v>4.7793571393194992E-3</v>
      </c>
      <c r="D237" s="13">
        <f t="shared" si="7"/>
        <v>5.7301438398999371E-2</v>
      </c>
    </row>
    <row r="238" spans="1:4" x14ac:dyDescent="0.35">
      <c r="A238" s="11">
        <v>40634</v>
      </c>
      <c r="B238" s="15">
        <f>VLOOKUP(A238,Database!A:K,MATCH($A$1,Database!$A$1:$K$1,),)</f>
        <v>40624</v>
      </c>
      <c r="C238" s="12">
        <f t="shared" si="6"/>
        <v>1.2076401725200246E-3</v>
      </c>
      <c r="D238" s="13">
        <f t="shared" si="7"/>
        <v>5.085622639557142E-2</v>
      </c>
    </row>
    <row r="239" spans="1:4" x14ac:dyDescent="0.35">
      <c r="A239" s="10">
        <v>40664</v>
      </c>
      <c r="B239" s="15">
        <f>VLOOKUP(A239,Database!A:K,MATCH($A$1,Database!$A$1:$K$1,),)</f>
        <v>41050</v>
      </c>
      <c r="C239" s="12">
        <f t="shared" si="6"/>
        <v>1.0486411973217803E-2</v>
      </c>
      <c r="D239" s="13">
        <f t="shared" si="7"/>
        <v>6.0860576301847782E-2</v>
      </c>
    </row>
    <row r="240" spans="1:4" x14ac:dyDescent="0.35">
      <c r="A240" s="11">
        <v>40695</v>
      </c>
      <c r="B240" s="15">
        <f>VLOOKUP(A240,Database!A:K,MATCH($A$1,Database!$A$1:$K$1,),)</f>
        <v>41540</v>
      </c>
      <c r="C240" s="12">
        <f t="shared" si="6"/>
        <v>1.1936662606577345E-2</v>
      </c>
      <c r="D240" s="13">
        <f t="shared" si="7"/>
        <v>6.8498083699873966E-2</v>
      </c>
    </row>
    <row r="241" spans="1:4" x14ac:dyDescent="0.35">
      <c r="A241" s="10">
        <v>40725</v>
      </c>
      <c r="B241" s="15">
        <f>VLOOKUP(A241,Database!A:K,MATCH($A$1,Database!$A$1:$K$1,),)</f>
        <v>41516</v>
      </c>
      <c r="C241" s="12">
        <f t="shared" si="6"/>
        <v>-5.7775637939335583E-4</v>
      </c>
      <c r="D241" s="13">
        <f t="shared" si="7"/>
        <v>6.3612840417082983E-2</v>
      </c>
    </row>
    <row r="242" spans="1:4" x14ac:dyDescent="0.35">
      <c r="A242" s="11">
        <v>40756</v>
      </c>
      <c r="B242" s="15">
        <f>VLOOKUP(A242,Database!A:K,MATCH($A$1,Database!$A$1:$K$1,),)</f>
        <v>41718</v>
      </c>
      <c r="C242" s="12">
        <f t="shared" si="6"/>
        <v>4.8655939878601024E-3</v>
      </c>
      <c r="D242" s="13">
        <f t="shared" si="7"/>
        <v>5.877874219582762E-2</v>
      </c>
    </row>
    <row r="243" spans="1:4" x14ac:dyDescent="0.35">
      <c r="A243" s="10">
        <v>40787</v>
      </c>
      <c r="B243" s="15">
        <f>VLOOKUP(A243,Database!A:K,MATCH($A$1,Database!$A$1:$K$1,),)</f>
        <v>42013</v>
      </c>
      <c r="C243" s="12">
        <f t="shared" si="6"/>
        <v>7.0712881729709E-3</v>
      </c>
      <c r="D243" s="13">
        <f t="shared" si="7"/>
        <v>6.672591087977657E-2</v>
      </c>
    </row>
    <row r="244" spans="1:4" x14ac:dyDescent="0.35">
      <c r="A244" s="11">
        <v>40817</v>
      </c>
      <c r="B244" s="15">
        <f>VLOOKUP(A244,Database!A:K,MATCH($A$1,Database!$A$1:$K$1,),)</f>
        <v>42162</v>
      </c>
      <c r="C244" s="12">
        <f t="shared" si="6"/>
        <v>3.5465213148311238E-3</v>
      </c>
      <c r="D244" s="13">
        <f t="shared" si="7"/>
        <v>6.7960181362243216E-2</v>
      </c>
    </row>
    <row r="245" spans="1:4" x14ac:dyDescent="0.35">
      <c r="A245" s="10">
        <v>40848</v>
      </c>
      <c r="B245" s="15">
        <f>VLOOKUP(A245,Database!A:K,MATCH($A$1,Database!$A$1:$K$1,),)</f>
        <v>42237</v>
      </c>
      <c r="C245" s="12">
        <f t="shared" si="6"/>
        <v>1.7788529955884446E-3</v>
      </c>
      <c r="D245" s="13">
        <f t="shared" si="7"/>
        <v>6.363636363636363E-2</v>
      </c>
    </row>
    <row r="246" spans="1:4" x14ac:dyDescent="0.35">
      <c r="A246" s="11">
        <v>40878</v>
      </c>
      <c r="B246" s="15">
        <f>VLOOKUP(A246,Database!A:K,MATCH($A$1,Database!$A$1:$K$1,),)</f>
        <v>41864</v>
      </c>
      <c r="C246" s="12">
        <f t="shared" si="6"/>
        <v>-8.8311196344437338E-3</v>
      </c>
      <c r="D246" s="13">
        <f t="shared" si="7"/>
        <v>6.0680534090045354E-2</v>
      </c>
    </row>
    <row r="247" spans="1:4" x14ac:dyDescent="0.35">
      <c r="A247" s="10">
        <v>40909</v>
      </c>
      <c r="B247" s="15">
        <f>VLOOKUP(A247,Database!A:K,MATCH($A$1,Database!$A$1:$K$1,),)</f>
        <v>42905</v>
      </c>
      <c r="C247" s="12">
        <f t="shared" si="6"/>
        <v>2.4866233518058476E-2</v>
      </c>
      <c r="D247" s="13">
        <f t="shared" si="7"/>
        <v>7.9561180585260294E-2</v>
      </c>
    </row>
    <row r="248" spans="1:4" x14ac:dyDescent="0.35">
      <c r="A248" s="11">
        <v>40940</v>
      </c>
      <c r="B248" s="15">
        <f>VLOOKUP(A248,Database!A:K,MATCH($A$1,Database!$A$1:$K$1,),)</f>
        <v>42950</v>
      </c>
      <c r="C248" s="12">
        <f t="shared" si="6"/>
        <v>1.0488288078312551E-3</v>
      </c>
      <c r="D248" s="13">
        <f t="shared" si="7"/>
        <v>6.3592689812292602E-2</v>
      </c>
    </row>
    <row r="249" spans="1:4" x14ac:dyDescent="0.35">
      <c r="A249" s="10">
        <v>40969</v>
      </c>
      <c r="B249" s="15">
        <f>VLOOKUP(A249,Database!A:K,MATCH($A$1,Database!$A$1:$K$1,),)</f>
        <v>42942</v>
      </c>
      <c r="C249" s="12">
        <f t="shared" si="6"/>
        <v>-1.8626309662398137E-4</v>
      </c>
      <c r="D249" s="13">
        <f t="shared" si="7"/>
        <v>5.833641404805915E-2</v>
      </c>
    </row>
    <row r="250" spans="1:4" x14ac:dyDescent="0.35">
      <c r="A250" s="11">
        <v>41000</v>
      </c>
      <c r="B250" s="15">
        <f>VLOOKUP(A250,Database!A:K,MATCH($A$1,Database!$A$1:$K$1,),)</f>
        <v>43365</v>
      </c>
      <c r="C250" s="12">
        <f t="shared" si="6"/>
        <v>9.8504960178845882E-3</v>
      </c>
      <c r="D250" s="13">
        <f t="shared" si="7"/>
        <v>6.7472430090586843E-2</v>
      </c>
    </row>
    <row r="251" spans="1:4" x14ac:dyDescent="0.35">
      <c r="A251" s="10">
        <v>41030</v>
      </c>
      <c r="B251" s="15">
        <f>VLOOKUP(A251,Database!A:K,MATCH($A$1,Database!$A$1:$K$1,),)</f>
        <v>43313</v>
      </c>
      <c r="C251" s="12">
        <f t="shared" si="6"/>
        <v>-1.1991237172835237E-3</v>
      </c>
      <c r="D251" s="13">
        <f t="shared" si="7"/>
        <v>5.5127892813641902E-2</v>
      </c>
    </row>
    <row r="252" spans="1:4" x14ac:dyDescent="0.35">
      <c r="A252" s="11">
        <v>41061</v>
      </c>
      <c r="B252" s="15">
        <f>VLOOKUP(A252,Database!A:K,MATCH($A$1,Database!$A$1:$K$1,),)</f>
        <v>43542</v>
      </c>
      <c r="C252" s="12">
        <f t="shared" si="6"/>
        <v>5.2870962528571101E-3</v>
      </c>
      <c r="D252" s="13">
        <f t="shared" si="7"/>
        <v>4.8194511314395762E-2</v>
      </c>
    </row>
    <row r="253" spans="1:4" x14ac:dyDescent="0.35">
      <c r="A253" s="10">
        <v>41091</v>
      </c>
      <c r="B253" s="15">
        <f>VLOOKUP(A253,Database!A:K,MATCH($A$1,Database!$A$1:$K$1,),)</f>
        <v>43676</v>
      </c>
      <c r="C253" s="12">
        <f t="shared" si="6"/>
        <v>3.077488402002664E-3</v>
      </c>
      <c r="D253" s="13">
        <f t="shared" si="7"/>
        <v>5.2028133731573369E-2</v>
      </c>
    </row>
    <row r="254" spans="1:4" x14ac:dyDescent="0.35">
      <c r="A254" s="11">
        <v>41122</v>
      </c>
      <c r="B254" s="15">
        <f>VLOOKUP(A254,Database!A:K,MATCH($A$1,Database!$A$1:$K$1,),)</f>
        <v>43712</v>
      </c>
      <c r="C254" s="12">
        <f t="shared" si="6"/>
        <v>8.242513050645664E-4</v>
      </c>
      <c r="D254" s="13">
        <f t="shared" si="7"/>
        <v>4.7797113955606693E-2</v>
      </c>
    </row>
    <row r="255" spans="1:4" x14ac:dyDescent="0.35">
      <c r="A255" s="10">
        <v>41153</v>
      </c>
      <c r="B255" s="15">
        <f>VLOOKUP(A255,Database!A:K,MATCH($A$1,Database!$A$1:$K$1,),)</f>
        <v>44085</v>
      </c>
      <c r="C255" s="12">
        <f t="shared" si="6"/>
        <v>8.5331259150805278E-3</v>
      </c>
      <c r="D255" s="13">
        <f t="shared" si="7"/>
        <v>4.9318068216980461E-2</v>
      </c>
    </row>
    <row r="256" spans="1:4" x14ac:dyDescent="0.35">
      <c r="A256" s="11">
        <v>41183</v>
      </c>
      <c r="B256" s="15">
        <f>VLOOKUP(A256,Database!A:K,MATCH($A$1,Database!$A$1:$K$1,),)</f>
        <v>43708</v>
      </c>
      <c r="C256" s="12">
        <f t="shared" si="6"/>
        <v>-8.5516615628898722E-3</v>
      </c>
      <c r="D256" s="13">
        <f t="shared" si="7"/>
        <v>3.6668089749063139E-2</v>
      </c>
    </row>
    <row r="257" spans="1:4" x14ac:dyDescent="0.35">
      <c r="A257" s="10">
        <v>41214</v>
      </c>
      <c r="B257" s="15">
        <f>VLOOKUP(A257,Database!A:K,MATCH($A$1,Database!$A$1:$K$1,),)</f>
        <v>44520</v>
      </c>
      <c r="C257" s="12">
        <f t="shared" si="6"/>
        <v>1.8577834721332478E-2</v>
      </c>
      <c r="D257" s="13">
        <f t="shared" si="7"/>
        <v>5.4052134384544356E-2</v>
      </c>
    </row>
    <row r="258" spans="1:4" x14ac:dyDescent="0.35">
      <c r="A258" s="11">
        <v>41244</v>
      </c>
      <c r="B258" s="15">
        <f>VLOOKUP(A258,Database!A:K,MATCH($A$1,Database!$A$1:$K$1,),)</f>
        <v>44538</v>
      </c>
      <c r="C258" s="12">
        <f t="shared" si="6"/>
        <v>4.0431266846361187E-4</v>
      </c>
      <c r="D258" s="13">
        <f t="shared" si="7"/>
        <v>6.3873495127078156E-2</v>
      </c>
    </row>
    <row r="259" spans="1:4" x14ac:dyDescent="0.35">
      <c r="A259" s="10">
        <v>41275</v>
      </c>
      <c r="B259" s="15">
        <f>VLOOKUP(A259,Database!A:K,MATCH($A$1,Database!$A$1:$K$1,),)</f>
        <v>45143</v>
      </c>
      <c r="C259" s="12">
        <f t="shared" si="6"/>
        <v>1.3583905878126544E-2</v>
      </c>
      <c r="D259" s="13">
        <f t="shared" si="7"/>
        <v>5.2161752709474422E-2</v>
      </c>
    </row>
    <row r="260" spans="1:4" x14ac:dyDescent="0.35">
      <c r="A260" s="11">
        <v>41306</v>
      </c>
      <c r="B260" s="15">
        <f>VLOOKUP(A260,Database!A:K,MATCH($A$1,Database!$A$1:$K$1,),)</f>
        <v>44868</v>
      </c>
      <c r="C260" s="12">
        <f t="shared" si="6"/>
        <v>-6.0917528741997653E-3</v>
      </c>
      <c r="D260" s="13">
        <f t="shared" si="7"/>
        <v>4.4656577415599537E-2</v>
      </c>
    </row>
    <row r="261" spans="1:4" x14ac:dyDescent="0.35">
      <c r="A261" s="10">
        <v>41334</v>
      </c>
      <c r="B261" s="15">
        <f>VLOOKUP(A261,Database!A:K,MATCH($A$1,Database!$A$1:$K$1,),)</f>
        <v>45054</v>
      </c>
      <c r="C261" s="12">
        <f t="shared" si="6"/>
        <v>4.1454934474458409E-3</v>
      </c>
      <c r="D261" s="13">
        <f t="shared" si="7"/>
        <v>4.9182618415537234E-2</v>
      </c>
    </row>
    <row r="262" spans="1:4" x14ac:dyDescent="0.35">
      <c r="A262" s="11">
        <v>41365</v>
      </c>
      <c r="B262" s="15">
        <f>VLOOKUP(A262,Database!A:K,MATCH($A$1,Database!$A$1:$K$1,),)</f>
        <v>44725</v>
      </c>
      <c r="C262" s="12">
        <f t="shared" si="6"/>
        <v>-7.3023482931593199E-3</v>
      </c>
      <c r="D262" s="13">
        <f t="shared" si="7"/>
        <v>3.1361697221261385E-2</v>
      </c>
    </row>
    <row r="263" spans="1:4" x14ac:dyDescent="0.35">
      <c r="A263" s="10">
        <v>41395</v>
      </c>
      <c r="B263" s="15">
        <f>VLOOKUP(A263,Database!A:K,MATCH($A$1,Database!$A$1:$K$1,),)</f>
        <v>44818</v>
      </c>
      <c r="C263" s="12">
        <f t="shared" si="6"/>
        <v>2.0793739519284517E-3</v>
      </c>
      <c r="D263" s="13">
        <f t="shared" si="7"/>
        <v>3.4747073626855682E-2</v>
      </c>
    </row>
    <row r="264" spans="1:4" x14ac:dyDescent="0.35">
      <c r="A264" s="11">
        <v>41426</v>
      </c>
      <c r="B264" s="15">
        <f>VLOOKUP(A264,Database!A:K,MATCH($A$1,Database!$A$1:$K$1,),)</f>
        <v>44703</v>
      </c>
      <c r="C264" s="12">
        <f t="shared" ref="C264:C327" si="8">(B264-B263)/B263</f>
        <v>-2.5659333303583382E-3</v>
      </c>
      <c r="D264" s="13">
        <f t="shared" si="7"/>
        <v>2.666391070690368E-2</v>
      </c>
    </row>
    <row r="265" spans="1:4" x14ac:dyDescent="0.35">
      <c r="A265" s="10">
        <v>41456</v>
      </c>
      <c r="B265" s="15">
        <f>VLOOKUP(A265,Database!A:K,MATCH($A$1,Database!$A$1:$K$1,),)</f>
        <v>45053</v>
      </c>
      <c r="C265" s="12">
        <f t="shared" si="8"/>
        <v>7.8294521620472894E-3</v>
      </c>
      <c r="D265" s="13">
        <f t="shared" si="7"/>
        <v>3.152761241871966E-2</v>
      </c>
    </row>
    <row r="266" spans="1:4" x14ac:dyDescent="0.35">
      <c r="A266" s="11">
        <v>41487</v>
      </c>
      <c r="B266" s="15">
        <f>VLOOKUP(A266,Database!A:K,MATCH($A$1,Database!$A$1:$K$1,),)</f>
        <v>45156</v>
      </c>
      <c r="C266" s="12">
        <f t="shared" si="8"/>
        <v>2.2861962577408828E-3</v>
      </c>
      <c r="D266" s="13">
        <f t="shared" si="7"/>
        <v>3.3034407027818451E-2</v>
      </c>
    </row>
    <row r="267" spans="1:4" x14ac:dyDescent="0.35">
      <c r="A267" s="10">
        <v>41518</v>
      </c>
      <c r="B267" s="15">
        <f>VLOOKUP(A267,Database!A:K,MATCH($A$1,Database!$A$1:$K$1,),)</f>
        <v>45346</v>
      </c>
      <c r="C267" s="12">
        <f t="shared" si="8"/>
        <v>4.2076357516166183E-3</v>
      </c>
      <c r="D267" s="13">
        <f t="shared" si="7"/>
        <v>2.8603833503459228E-2</v>
      </c>
    </row>
    <row r="268" spans="1:4" x14ac:dyDescent="0.35">
      <c r="A268" s="11">
        <v>41548</v>
      </c>
      <c r="B268" s="15">
        <f>VLOOKUP(A268,Database!A:K,MATCH($A$1,Database!$A$1:$K$1,),)</f>
        <v>45942</v>
      </c>
      <c r="C268" s="12">
        <f t="shared" si="8"/>
        <v>1.3143386406739293E-2</v>
      </c>
      <c r="D268" s="13">
        <f t="shared" si="7"/>
        <v>5.1111924590463986E-2</v>
      </c>
    </row>
    <row r="269" spans="1:4" x14ac:dyDescent="0.35">
      <c r="A269" s="10">
        <v>41579</v>
      </c>
      <c r="B269" s="15">
        <f>VLOOKUP(A269,Database!A:K,MATCH($A$1,Database!$A$1:$K$1,),)</f>
        <v>46748</v>
      </c>
      <c r="C269" s="12">
        <f t="shared" si="8"/>
        <v>1.7543859649122806E-2</v>
      </c>
      <c r="D269" s="13">
        <f t="shared" si="7"/>
        <v>5.0044923629829291E-2</v>
      </c>
    </row>
    <row r="270" spans="1:4" x14ac:dyDescent="0.35">
      <c r="A270" s="11">
        <v>41609</v>
      </c>
      <c r="B270" s="15">
        <f>VLOOKUP(A270,Database!A:K,MATCH($A$1,Database!$A$1:$K$1,),)</f>
        <v>46334</v>
      </c>
      <c r="C270" s="12">
        <f t="shared" si="8"/>
        <v>-8.8559938393086342E-3</v>
      </c>
      <c r="D270" s="13">
        <f t="shared" si="7"/>
        <v>4.0325115631595493E-2</v>
      </c>
    </row>
    <row r="271" spans="1:4" x14ac:dyDescent="0.35">
      <c r="A271" s="10">
        <v>41640</v>
      </c>
      <c r="B271" s="15">
        <f>VLOOKUP(A271,Database!A:K,MATCH($A$1,Database!$A$1:$K$1,),)</f>
        <v>45918</v>
      </c>
      <c r="C271" s="12">
        <f t="shared" si="8"/>
        <v>-8.9782880821858684E-3</v>
      </c>
      <c r="D271" s="13">
        <f t="shared" si="7"/>
        <v>1.7167667190926612E-2</v>
      </c>
    </row>
    <row r="272" spans="1:4" x14ac:dyDescent="0.35">
      <c r="A272" s="11">
        <v>41671</v>
      </c>
      <c r="B272" s="15">
        <f>VLOOKUP(A272,Database!A:K,MATCH($A$1,Database!$A$1:$K$1,),)</f>
        <v>46426</v>
      </c>
      <c r="C272" s="12">
        <f t="shared" si="8"/>
        <v>1.1063199616708045E-2</v>
      </c>
      <c r="D272" s="13">
        <f t="shared" si="7"/>
        <v>3.4724079522153874E-2</v>
      </c>
    </row>
    <row r="273" spans="1:4" x14ac:dyDescent="0.35">
      <c r="A273" s="10">
        <v>41699</v>
      </c>
      <c r="B273" s="15">
        <f>VLOOKUP(A273,Database!A:K,MATCH($A$1,Database!$A$1:$K$1,),)</f>
        <v>47064</v>
      </c>
      <c r="C273" s="12">
        <f t="shared" si="8"/>
        <v>1.3742299573514841E-2</v>
      </c>
      <c r="D273" s="13">
        <f t="shared" si="7"/>
        <v>4.461313090957518E-2</v>
      </c>
    </row>
    <row r="274" spans="1:4" x14ac:dyDescent="0.35">
      <c r="A274" s="11">
        <v>41730</v>
      </c>
      <c r="B274" s="15">
        <f>VLOOKUP(A274,Database!A:K,MATCH($A$1,Database!$A$1:$K$1,),)</f>
        <v>47141</v>
      </c>
      <c r="C274" s="12">
        <f t="shared" si="8"/>
        <v>1.6360700322964473E-3</v>
      </c>
      <c r="D274" s="13">
        <f t="shared" si="7"/>
        <v>5.4019005030743431E-2</v>
      </c>
    </row>
    <row r="275" spans="1:4" x14ac:dyDescent="0.35">
      <c r="A275" s="10">
        <v>41760</v>
      </c>
      <c r="B275" s="15">
        <f>VLOOKUP(A275,Database!A:K,MATCH($A$1,Database!$A$1:$K$1,),)</f>
        <v>47542</v>
      </c>
      <c r="C275" s="12">
        <f t="shared" si="8"/>
        <v>8.5063957064975288E-3</v>
      </c>
      <c r="D275" s="13">
        <f t="shared" ref="D275:D338" si="9">(B275-B263)/B263</f>
        <v>6.0779151233879246E-2</v>
      </c>
    </row>
    <row r="276" spans="1:4" x14ac:dyDescent="0.35">
      <c r="A276" s="11">
        <v>41791</v>
      </c>
      <c r="B276" s="15">
        <f>VLOOKUP(A276,Database!A:K,MATCH($A$1,Database!$A$1:$K$1,),)</f>
        <v>47714</v>
      </c>
      <c r="C276" s="12">
        <f t="shared" si="8"/>
        <v>3.6178536872659966E-3</v>
      </c>
      <c r="D276" s="13">
        <f t="shared" si="9"/>
        <v>6.7355658456926829E-2</v>
      </c>
    </row>
    <row r="277" spans="1:4" x14ac:dyDescent="0.35">
      <c r="A277" s="10">
        <v>41821</v>
      </c>
      <c r="B277" s="15">
        <f>VLOOKUP(A277,Database!A:K,MATCH($A$1,Database!$A$1:$K$1,),)</f>
        <v>48086</v>
      </c>
      <c r="C277" s="12">
        <f t="shared" si="8"/>
        <v>7.7964538709812637E-3</v>
      </c>
      <c r="D277" s="13">
        <f t="shared" si="9"/>
        <v>6.7320711162408717E-2</v>
      </c>
    </row>
    <row r="278" spans="1:4" x14ac:dyDescent="0.35">
      <c r="A278" s="11">
        <v>41852</v>
      </c>
      <c r="B278" s="15">
        <f>VLOOKUP(A278,Database!A:K,MATCH($A$1,Database!$A$1:$K$1,),)</f>
        <v>48379</v>
      </c>
      <c r="C278" s="12">
        <f t="shared" si="8"/>
        <v>6.0932495944765628E-3</v>
      </c>
      <c r="D278" s="13">
        <f t="shared" si="9"/>
        <v>7.137478961821242E-2</v>
      </c>
    </row>
    <row r="279" spans="1:4" x14ac:dyDescent="0.35">
      <c r="A279" s="10">
        <v>41883</v>
      </c>
      <c r="B279" s="15">
        <f>VLOOKUP(A279,Database!A:K,MATCH($A$1,Database!$A$1:$K$1,),)</f>
        <v>48985</v>
      </c>
      <c r="C279" s="12">
        <f t="shared" si="8"/>
        <v>1.2526096033402923E-2</v>
      </c>
      <c r="D279" s="13">
        <f t="shared" si="9"/>
        <v>8.024963613108102E-2</v>
      </c>
    </row>
    <row r="280" spans="1:4" x14ac:dyDescent="0.35">
      <c r="A280" s="11">
        <v>41913</v>
      </c>
      <c r="B280" s="15">
        <f>VLOOKUP(A280,Database!A:K,MATCH($A$1,Database!$A$1:$K$1,),)</f>
        <v>49664</v>
      </c>
      <c r="C280" s="12">
        <f t="shared" si="8"/>
        <v>1.3861386138613862E-2</v>
      </c>
      <c r="D280" s="13">
        <f t="shared" si="9"/>
        <v>8.1015193069522443E-2</v>
      </c>
    </row>
    <row r="281" spans="1:4" x14ac:dyDescent="0.35">
      <c r="A281" s="10">
        <v>41944</v>
      </c>
      <c r="B281" s="15">
        <f>VLOOKUP(A281,Database!A:K,MATCH($A$1,Database!$A$1:$K$1,),)</f>
        <v>49736</v>
      </c>
      <c r="C281" s="12">
        <f t="shared" si="8"/>
        <v>1.4497422680412372E-3</v>
      </c>
      <c r="D281" s="13">
        <f t="shared" si="9"/>
        <v>6.3917172927184046E-2</v>
      </c>
    </row>
    <row r="282" spans="1:4" x14ac:dyDescent="0.35">
      <c r="A282" s="11">
        <v>41974</v>
      </c>
      <c r="B282" s="15">
        <f>VLOOKUP(A282,Database!A:K,MATCH($A$1,Database!$A$1:$K$1,),)</f>
        <v>50463</v>
      </c>
      <c r="C282" s="12">
        <f t="shared" si="8"/>
        <v>1.461717870355477E-2</v>
      </c>
      <c r="D282" s="13">
        <f t="shared" si="9"/>
        <v>8.9113825700349633E-2</v>
      </c>
    </row>
    <row r="283" spans="1:4" x14ac:dyDescent="0.35">
      <c r="A283" s="10">
        <v>42005</v>
      </c>
      <c r="B283" s="15">
        <f>VLOOKUP(A283,Database!A:K,MATCH($A$1,Database!$A$1:$K$1,),)</f>
        <v>50837</v>
      </c>
      <c r="C283" s="12">
        <f t="shared" si="8"/>
        <v>7.4113707072508573E-3</v>
      </c>
      <c r="D283" s="13">
        <f t="shared" si="9"/>
        <v>0.10712574589485604</v>
      </c>
    </row>
    <row r="284" spans="1:4" x14ac:dyDescent="0.35">
      <c r="A284" s="11">
        <v>42036</v>
      </c>
      <c r="B284" s="15">
        <f>VLOOKUP(A284,Database!A:K,MATCH($A$1,Database!$A$1:$K$1,),)</f>
        <v>50640</v>
      </c>
      <c r="C284" s="12">
        <f t="shared" si="8"/>
        <v>-3.8751303184688317E-3</v>
      </c>
      <c r="D284" s="13">
        <f t="shared" si="9"/>
        <v>9.0768104079610556E-2</v>
      </c>
    </row>
    <row r="285" spans="1:4" x14ac:dyDescent="0.35">
      <c r="A285" s="10">
        <v>42064</v>
      </c>
      <c r="B285" s="15">
        <f>VLOOKUP(A285,Database!A:K,MATCH($A$1,Database!$A$1:$K$1,),)</f>
        <v>51075</v>
      </c>
      <c r="C285" s="12">
        <f t="shared" si="8"/>
        <v>8.5900473933649291E-3</v>
      </c>
      <c r="D285" s="13">
        <f t="shared" si="9"/>
        <v>8.5224375318714934E-2</v>
      </c>
    </row>
    <row r="286" spans="1:4" x14ac:dyDescent="0.35">
      <c r="A286" s="11">
        <v>42095</v>
      </c>
      <c r="B286" s="15">
        <f>VLOOKUP(A286,Database!A:K,MATCH($A$1,Database!$A$1:$K$1,),)</f>
        <v>51744</v>
      </c>
      <c r="C286" s="12">
        <f t="shared" si="8"/>
        <v>1.3098384728340675E-2</v>
      </c>
      <c r="D286" s="13">
        <f t="shared" si="9"/>
        <v>9.7643240491292083E-2</v>
      </c>
    </row>
    <row r="287" spans="1:4" x14ac:dyDescent="0.35">
      <c r="A287" s="10">
        <v>42125</v>
      </c>
      <c r="B287" s="15">
        <f>VLOOKUP(A287,Database!A:K,MATCH($A$1,Database!$A$1:$K$1,),)</f>
        <v>51866</v>
      </c>
      <c r="C287" s="12">
        <f t="shared" si="8"/>
        <v>2.3577612863327148E-3</v>
      </c>
      <c r="D287" s="13">
        <f t="shared" si="9"/>
        <v>9.0951158975221907E-2</v>
      </c>
    </row>
    <row r="288" spans="1:4" x14ac:dyDescent="0.35">
      <c r="A288" s="11">
        <v>42156</v>
      </c>
      <c r="B288" s="15">
        <f>VLOOKUP(A288,Database!A:K,MATCH($A$1,Database!$A$1:$K$1,),)</f>
        <v>51885</v>
      </c>
      <c r="C288" s="12">
        <f t="shared" si="8"/>
        <v>3.6632861604904947E-4</v>
      </c>
      <c r="D288" s="13">
        <f t="shared" si="9"/>
        <v>8.741669111791088E-2</v>
      </c>
    </row>
    <row r="289" spans="1:4" x14ac:dyDescent="0.35">
      <c r="A289" s="10">
        <v>42186</v>
      </c>
      <c r="B289" s="15">
        <f>VLOOKUP(A289,Database!A:K,MATCH($A$1,Database!$A$1:$K$1,),)</f>
        <v>52115</v>
      </c>
      <c r="C289" s="12">
        <f t="shared" si="8"/>
        <v>4.4328804085959333E-3</v>
      </c>
      <c r="D289" s="13">
        <f t="shared" si="9"/>
        <v>8.3787380942478062E-2</v>
      </c>
    </row>
    <row r="290" spans="1:4" x14ac:dyDescent="0.35">
      <c r="A290" s="11">
        <v>42217</v>
      </c>
      <c r="B290" s="15">
        <f>VLOOKUP(A290,Database!A:K,MATCH($A$1,Database!$A$1:$K$1,),)</f>
        <v>52473</v>
      </c>
      <c r="C290" s="12">
        <f t="shared" si="8"/>
        <v>6.8694233905785282E-3</v>
      </c>
      <c r="D290" s="13">
        <f t="shared" si="9"/>
        <v>8.4623493664606544E-2</v>
      </c>
    </row>
    <row r="291" spans="1:4" x14ac:dyDescent="0.35">
      <c r="A291" s="10">
        <v>42248</v>
      </c>
      <c r="B291" s="15">
        <f>VLOOKUP(A291,Database!A:K,MATCH($A$1,Database!$A$1:$K$1,),)</f>
        <v>52394</v>
      </c>
      <c r="C291" s="12">
        <f t="shared" si="8"/>
        <v>-1.5055361805118824E-3</v>
      </c>
      <c r="D291" s="13">
        <f t="shared" si="9"/>
        <v>6.9592732469123203E-2</v>
      </c>
    </row>
    <row r="292" spans="1:4" x14ac:dyDescent="0.35">
      <c r="A292" s="11">
        <v>42278</v>
      </c>
      <c r="B292" s="15">
        <f>VLOOKUP(A292,Database!A:K,MATCH($A$1,Database!$A$1:$K$1,),)</f>
        <v>52766</v>
      </c>
      <c r="C292" s="12">
        <f t="shared" si="8"/>
        <v>7.1000496240027485E-3</v>
      </c>
      <c r="D292" s="13">
        <f t="shared" si="9"/>
        <v>6.2459729381443299E-2</v>
      </c>
    </row>
    <row r="293" spans="1:4" x14ac:dyDescent="0.35">
      <c r="A293" s="10">
        <v>42309</v>
      </c>
      <c r="B293" s="15">
        <f>VLOOKUP(A293,Database!A:K,MATCH($A$1,Database!$A$1:$K$1,),)</f>
        <v>52886</v>
      </c>
      <c r="C293" s="12">
        <f t="shared" si="8"/>
        <v>2.2741917143615205E-3</v>
      </c>
      <c r="D293" s="13">
        <f t="shared" si="9"/>
        <v>6.3334405661894799E-2</v>
      </c>
    </row>
    <row r="294" spans="1:4" x14ac:dyDescent="0.35">
      <c r="A294" s="11">
        <v>42339</v>
      </c>
      <c r="B294" s="15">
        <f>VLOOKUP(A294,Database!A:K,MATCH($A$1,Database!$A$1:$K$1,),)</f>
        <v>53695</v>
      </c>
      <c r="C294" s="12">
        <f t="shared" si="8"/>
        <v>1.5297054040766932E-2</v>
      </c>
      <c r="D294" s="13">
        <f t="shared" si="9"/>
        <v>6.404692547014644E-2</v>
      </c>
    </row>
    <row r="295" spans="1:4" x14ac:dyDescent="0.35">
      <c r="A295" s="10">
        <v>42370</v>
      </c>
      <c r="B295" s="15">
        <f>VLOOKUP(A295,Database!A:K,MATCH($A$1,Database!$A$1:$K$1,),)</f>
        <v>53050</v>
      </c>
      <c r="C295" s="12">
        <f t="shared" si="8"/>
        <v>-1.2012291647266971E-2</v>
      </c>
      <c r="D295" s="13">
        <f t="shared" si="9"/>
        <v>4.3531286267875759E-2</v>
      </c>
    </row>
    <row r="296" spans="1:4" x14ac:dyDescent="0.35">
      <c r="A296" s="11">
        <v>42401</v>
      </c>
      <c r="B296" s="15">
        <f>VLOOKUP(A296,Database!A:K,MATCH($A$1,Database!$A$1:$K$1,),)</f>
        <v>54244</v>
      </c>
      <c r="C296" s="12">
        <f t="shared" si="8"/>
        <v>2.2507068803016023E-2</v>
      </c>
      <c r="D296" s="13">
        <f t="shared" si="9"/>
        <v>7.1169036334913116E-2</v>
      </c>
    </row>
    <row r="297" spans="1:4" x14ac:dyDescent="0.35">
      <c r="A297" s="10">
        <v>42430</v>
      </c>
      <c r="B297" s="15">
        <f>VLOOKUP(A297,Database!A:K,MATCH($A$1,Database!$A$1:$K$1,),)</f>
        <v>53927</v>
      </c>
      <c r="C297" s="12">
        <f t="shared" si="8"/>
        <v>-5.8439643094167094E-3</v>
      </c>
      <c r="D297" s="13">
        <f t="shared" si="9"/>
        <v>5.5839451786588348E-2</v>
      </c>
    </row>
    <row r="298" spans="1:4" x14ac:dyDescent="0.35">
      <c r="A298" s="11">
        <v>42461</v>
      </c>
      <c r="B298" s="15">
        <f>VLOOKUP(A298,Database!A:K,MATCH($A$1,Database!$A$1:$K$1,),)</f>
        <v>54246</v>
      </c>
      <c r="C298" s="12">
        <f t="shared" si="8"/>
        <v>5.9154041574721386E-3</v>
      </c>
      <c r="D298" s="13">
        <f t="shared" si="9"/>
        <v>4.8353432282003714E-2</v>
      </c>
    </row>
    <row r="299" spans="1:4" x14ac:dyDescent="0.35">
      <c r="A299" s="10">
        <v>42491</v>
      </c>
      <c r="B299" s="15">
        <f>VLOOKUP(A299,Database!A:K,MATCH($A$1,Database!$A$1:$K$1,),)</f>
        <v>54302</v>
      </c>
      <c r="C299" s="12">
        <f t="shared" si="8"/>
        <v>1.0323341813221251E-3</v>
      </c>
      <c r="D299" s="13">
        <f t="shared" si="9"/>
        <v>4.6967184668183393E-2</v>
      </c>
    </row>
    <row r="300" spans="1:4" x14ac:dyDescent="0.35">
      <c r="A300" s="11">
        <v>42522</v>
      </c>
      <c r="B300" s="15">
        <f>VLOOKUP(A300,Database!A:K,MATCH($A$1,Database!$A$1:$K$1,),)</f>
        <v>54351</v>
      </c>
      <c r="C300" s="12">
        <f t="shared" si="8"/>
        <v>9.0236087068616255E-4</v>
      </c>
      <c r="D300" s="13">
        <f t="shared" si="9"/>
        <v>4.7528187337380748E-2</v>
      </c>
    </row>
    <row r="301" spans="1:4" x14ac:dyDescent="0.35">
      <c r="A301" s="10">
        <v>42552</v>
      </c>
      <c r="B301" s="15">
        <f>VLOOKUP(A301,Database!A:K,MATCH($A$1,Database!$A$1:$K$1,),)</f>
        <v>54329</v>
      </c>
      <c r="C301" s="12">
        <f t="shared" si="8"/>
        <v>-4.0477636106051409E-4</v>
      </c>
      <c r="D301" s="13">
        <f t="shared" si="9"/>
        <v>4.2482970354024756E-2</v>
      </c>
    </row>
    <row r="302" spans="1:4" x14ac:dyDescent="0.35">
      <c r="A302" s="11">
        <v>42583</v>
      </c>
      <c r="B302" s="15">
        <f>VLOOKUP(A302,Database!A:K,MATCH($A$1,Database!$A$1:$K$1,),)</f>
        <v>54794</v>
      </c>
      <c r="C302" s="12">
        <f t="shared" si="8"/>
        <v>8.5589648254155246E-3</v>
      </c>
      <c r="D302" s="13">
        <f t="shared" si="9"/>
        <v>4.4232271835038972E-2</v>
      </c>
    </row>
    <row r="303" spans="1:4" x14ac:dyDescent="0.35">
      <c r="A303" s="10">
        <v>42614</v>
      </c>
      <c r="B303" s="15">
        <f>VLOOKUP(A303,Database!A:K,MATCH($A$1,Database!$A$1:$K$1,),)</f>
        <v>55357</v>
      </c>
      <c r="C303" s="12">
        <f t="shared" si="8"/>
        <v>1.0274847611052304E-2</v>
      </c>
      <c r="D303" s="13">
        <f t="shared" si="9"/>
        <v>5.6552276978279956E-2</v>
      </c>
    </row>
    <row r="304" spans="1:4" x14ac:dyDescent="0.35">
      <c r="A304" s="11">
        <v>42644</v>
      </c>
      <c r="B304" s="15">
        <f>VLOOKUP(A304,Database!A:K,MATCH($A$1,Database!$A$1:$K$1,),)</f>
        <v>55358</v>
      </c>
      <c r="C304" s="12">
        <f t="shared" si="8"/>
        <v>1.8064562747258703E-5</v>
      </c>
      <c r="D304" s="13">
        <f t="shared" si="9"/>
        <v>4.9122541030208848E-2</v>
      </c>
    </row>
    <row r="305" spans="1:4" x14ac:dyDescent="0.35">
      <c r="A305" s="10">
        <v>42675</v>
      </c>
      <c r="B305" s="15">
        <f>VLOOKUP(A305,Database!A:K,MATCH($A$1,Database!$A$1:$K$1,),)</f>
        <v>56322</v>
      </c>
      <c r="C305" s="12">
        <f t="shared" si="8"/>
        <v>1.7413923913436179E-2</v>
      </c>
      <c r="D305" s="13">
        <f t="shared" si="9"/>
        <v>6.4969935332602202E-2</v>
      </c>
    </row>
    <row r="306" spans="1:4" x14ac:dyDescent="0.35">
      <c r="A306" s="11">
        <v>42705</v>
      </c>
      <c r="B306" s="15">
        <f>VLOOKUP(A306,Database!A:K,MATCH($A$1,Database!$A$1:$K$1,),)</f>
        <v>55371</v>
      </c>
      <c r="C306" s="12">
        <f t="shared" si="8"/>
        <v>-1.6885053797805475E-2</v>
      </c>
      <c r="D306" s="13">
        <f t="shared" si="9"/>
        <v>3.1213334574913865E-2</v>
      </c>
    </row>
    <row r="307" spans="1:4" x14ac:dyDescent="0.35">
      <c r="A307" s="10">
        <v>42736</v>
      </c>
      <c r="B307" s="15">
        <f>VLOOKUP(A307,Database!A:K,MATCH($A$1,Database!$A$1:$K$1,),)</f>
        <v>57368</v>
      </c>
      <c r="C307" s="12">
        <f t="shared" si="8"/>
        <v>3.6065810622889237E-2</v>
      </c>
      <c r="D307" s="13">
        <f t="shared" si="9"/>
        <v>8.1394910461828465E-2</v>
      </c>
    </row>
    <row r="308" spans="1:4" x14ac:dyDescent="0.35">
      <c r="A308" s="11">
        <v>42767</v>
      </c>
      <c r="B308" s="15">
        <f>VLOOKUP(A308,Database!A:K,MATCH($A$1,Database!$A$1:$K$1,),)</f>
        <v>57449</v>
      </c>
      <c r="C308" s="12">
        <f t="shared" si="8"/>
        <v>1.4119369683447218E-3</v>
      </c>
      <c r="D308" s="13">
        <f t="shared" si="9"/>
        <v>5.9084875746626353E-2</v>
      </c>
    </row>
    <row r="309" spans="1:4" x14ac:dyDescent="0.35">
      <c r="A309" s="10">
        <v>42795</v>
      </c>
      <c r="B309" s="15">
        <f>VLOOKUP(A309,Database!A:K,MATCH($A$1,Database!$A$1:$K$1,),)</f>
        <v>57341</v>
      </c>
      <c r="C309" s="12">
        <f t="shared" si="8"/>
        <v>-1.8799282842173058E-3</v>
      </c>
      <c r="D309" s="13">
        <f t="shared" si="9"/>
        <v>6.3307804995642258E-2</v>
      </c>
    </row>
    <row r="310" spans="1:4" x14ac:dyDescent="0.35">
      <c r="A310" s="11">
        <v>42826</v>
      </c>
      <c r="B310" s="15">
        <f>VLOOKUP(A310,Database!A:K,MATCH($A$1,Database!$A$1:$K$1,),)</f>
        <v>57435</v>
      </c>
      <c r="C310" s="12">
        <f t="shared" si="8"/>
        <v>1.6393156729042047E-3</v>
      </c>
      <c r="D310" s="13">
        <f t="shared" si="9"/>
        <v>5.8787744718504592E-2</v>
      </c>
    </row>
    <row r="311" spans="1:4" x14ac:dyDescent="0.35">
      <c r="A311" s="10">
        <v>42856</v>
      </c>
      <c r="B311" s="15">
        <f>VLOOKUP(A311,Database!A:K,MATCH($A$1,Database!$A$1:$K$1,),)</f>
        <v>57494</v>
      </c>
      <c r="C311" s="12">
        <f t="shared" si="8"/>
        <v>1.027248193610168E-3</v>
      </c>
      <c r="D311" s="13">
        <f t="shared" si="9"/>
        <v>5.8782365290412877E-2</v>
      </c>
    </row>
    <row r="312" spans="1:4" x14ac:dyDescent="0.35">
      <c r="A312" s="11">
        <v>42887</v>
      </c>
      <c r="B312" s="15">
        <f>VLOOKUP(A312,Database!A:K,MATCH($A$1,Database!$A$1:$K$1,),)</f>
        <v>57296</v>
      </c>
      <c r="C312" s="12">
        <f t="shared" si="8"/>
        <v>-3.4438376178383833E-3</v>
      </c>
      <c r="D312" s="13">
        <f t="shared" si="9"/>
        <v>5.4184835605600633E-2</v>
      </c>
    </row>
    <row r="313" spans="1:4" x14ac:dyDescent="0.35">
      <c r="A313" s="10">
        <v>42917</v>
      </c>
      <c r="B313" s="15">
        <f>VLOOKUP(A313,Database!A:K,MATCH($A$1,Database!$A$1:$K$1,),)</f>
        <v>57150</v>
      </c>
      <c r="C313" s="12">
        <f t="shared" si="8"/>
        <v>-2.5481709019826862E-3</v>
      </c>
      <c r="D313" s="13">
        <f t="shared" si="9"/>
        <v>5.1924386607520842E-2</v>
      </c>
    </row>
    <row r="314" spans="1:4" x14ac:dyDescent="0.35">
      <c r="A314" s="11">
        <v>42948</v>
      </c>
      <c r="B314" s="15">
        <f>VLOOKUP(A314,Database!A:K,MATCH($A$1,Database!$A$1:$K$1,),)</f>
        <v>57530</v>
      </c>
      <c r="C314" s="12">
        <f t="shared" si="8"/>
        <v>6.649168853893263E-3</v>
      </c>
      <c r="D314" s="13">
        <f t="shared" si="9"/>
        <v>4.9932474358506403E-2</v>
      </c>
    </row>
    <row r="315" spans="1:4" x14ac:dyDescent="0.35">
      <c r="A315" s="10">
        <v>42979</v>
      </c>
      <c r="B315" s="15">
        <f>VLOOKUP(A315,Database!A:K,MATCH($A$1,Database!$A$1:$K$1,),)</f>
        <v>57788</v>
      </c>
      <c r="C315" s="12">
        <f t="shared" si="8"/>
        <v>4.4846167217104122E-3</v>
      </c>
      <c r="D315" s="13">
        <f t="shared" si="9"/>
        <v>4.3914952038585905E-2</v>
      </c>
    </row>
    <row r="316" spans="1:4" x14ac:dyDescent="0.35">
      <c r="A316" s="11">
        <v>43009</v>
      </c>
      <c r="B316" s="15">
        <f>VLOOKUP(A316,Database!A:K,MATCH($A$1,Database!$A$1:$K$1,),)</f>
        <v>58224</v>
      </c>
      <c r="C316" s="12">
        <f t="shared" si="8"/>
        <v>7.5448189935626775E-3</v>
      </c>
      <c r="D316" s="13">
        <f t="shared" si="9"/>
        <v>5.1772101593265653E-2</v>
      </c>
    </row>
    <row r="317" spans="1:4" x14ac:dyDescent="0.35">
      <c r="A317" s="10">
        <v>43040</v>
      </c>
      <c r="B317" s="15">
        <f>VLOOKUP(A317,Database!A:K,MATCH($A$1,Database!$A$1:$K$1,),)</f>
        <v>58915</v>
      </c>
      <c r="C317" s="12">
        <f t="shared" si="8"/>
        <v>1.1867958230283044E-2</v>
      </c>
      <c r="D317" s="13">
        <f t="shared" si="9"/>
        <v>4.6038848052270868E-2</v>
      </c>
    </row>
    <row r="318" spans="1:4" x14ac:dyDescent="0.35">
      <c r="A318" s="11">
        <v>43070</v>
      </c>
      <c r="B318" s="15">
        <f>VLOOKUP(A318,Database!A:K,MATCH($A$1,Database!$A$1:$K$1,),)</f>
        <v>59203</v>
      </c>
      <c r="C318" s="12">
        <f t="shared" si="8"/>
        <v>4.8883985402698804E-3</v>
      </c>
      <c r="D318" s="13">
        <f t="shared" si="9"/>
        <v>6.9205902006465481E-2</v>
      </c>
    </row>
    <row r="319" spans="1:4" x14ac:dyDescent="0.35">
      <c r="A319" s="10">
        <v>43101</v>
      </c>
      <c r="B319" s="15">
        <f>VLOOKUP(A319,Database!A:K,MATCH($A$1,Database!$A$1:$K$1,),)</f>
        <v>59463</v>
      </c>
      <c r="C319" s="12">
        <f t="shared" si="8"/>
        <v>4.3916693410806888E-3</v>
      </c>
      <c r="D319" s="13">
        <f t="shared" si="9"/>
        <v>3.6518616650397434E-2</v>
      </c>
    </row>
    <row r="320" spans="1:4" x14ac:dyDescent="0.35">
      <c r="A320" s="11">
        <v>43132</v>
      </c>
      <c r="B320" s="15">
        <f>VLOOKUP(A320,Database!A:K,MATCH($A$1,Database!$A$1:$K$1,),)</f>
        <v>59793</v>
      </c>
      <c r="C320" s="12">
        <f t="shared" si="8"/>
        <v>5.5496695424045207E-3</v>
      </c>
      <c r="D320" s="13">
        <f t="shared" si="9"/>
        <v>4.0801406464864486E-2</v>
      </c>
    </row>
    <row r="321" spans="1:4" x14ac:dyDescent="0.35">
      <c r="A321" s="10">
        <v>43160</v>
      </c>
      <c r="B321" s="15">
        <f>VLOOKUP(A321,Database!A:K,MATCH($A$1,Database!$A$1:$K$1,),)</f>
        <v>60288</v>
      </c>
      <c r="C321" s="12">
        <f t="shared" si="8"/>
        <v>8.2785610355727256E-3</v>
      </c>
      <c r="D321" s="13">
        <f t="shared" si="9"/>
        <v>5.1394290298390329E-2</v>
      </c>
    </row>
    <row r="322" spans="1:4" x14ac:dyDescent="0.35">
      <c r="A322" s="11">
        <v>43191</v>
      </c>
      <c r="B322" s="15">
        <f>VLOOKUP(A322,Database!A:K,MATCH($A$1,Database!$A$1:$K$1,),)</f>
        <v>59625</v>
      </c>
      <c r="C322" s="12">
        <f t="shared" si="8"/>
        <v>-1.0997213375796178E-2</v>
      </c>
      <c r="D322" s="13">
        <f t="shared" si="9"/>
        <v>3.8130060067902843E-2</v>
      </c>
    </row>
    <row r="323" spans="1:4" x14ac:dyDescent="0.35">
      <c r="A323" s="10">
        <v>43221</v>
      </c>
      <c r="B323" s="15">
        <f>VLOOKUP(A323,Database!A:K,MATCH($A$1,Database!$A$1:$K$1,),)</f>
        <v>60912</v>
      </c>
      <c r="C323" s="12">
        <f t="shared" si="8"/>
        <v>2.1584905660377358E-2</v>
      </c>
      <c r="D323" s="13">
        <f t="shared" si="9"/>
        <v>5.9449681705917141E-2</v>
      </c>
    </row>
    <row r="324" spans="1:4" x14ac:dyDescent="0.35">
      <c r="A324" s="11">
        <v>43252</v>
      </c>
      <c r="B324" s="15">
        <f>VLOOKUP(A324,Database!A:K,MATCH($A$1,Database!$A$1:$K$1,),)</f>
        <v>61589</v>
      </c>
      <c r="C324" s="12">
        <f t="shared" si="8"/>
        <v>1.1114394536380351E-2</v>
      </c>
      <c r="D324" s="13">
        <f t="shared" si="9"/>
        <v>7.492669645350461E-2</v>
      </c>
    </row>
    <row r="325" spans="1:4" x14ac:dyDescent="0.35">
      <c r="A325" s="10">
        <v>43282</v>
      </c>
      <c r="B325" s="15">
        <f>VLOOKUP(A325,Database!A:K,MATCH($A$1,Database!$A$1:$K$1,),)</f>
        <v>62174</v>
      </c>
      <c r="C325" s="12">
        <f t="shared" si="8"/>
        <v>9.4984493984315386E-3</v>
      </c>
      <c r="D325" s="13">
        <f t="shared" si="9"/>
        <v>8.7909011373578302E-2</v>
      </c>
    </row>
    <row r="326" spans="1:4" x14ac:dyDescent="0.35">
      <c r="A326" s="11">
        <v>43313</v>
      </c>
      <c r="B326" s="15">
        <f>VLOOKUP(A326,Database!A:K,MATCH($A$1,Database!$A$1:$K$1,),)</f>
        <v>62627</v>
      </c>
      <c r="C326" s="12">
        <f t="shared" si="8"/>
        <v>7.286003795798887E-3</v>
      </c>
      <c r="D326" s="13">
        <f t="shared" si="9"/>
        <v>8.8597253606813836E-2</v>
      </c>
    </row>
    <row r="327" spans="1:4" x14ac:dyDescent="0.35">
      <c r="A327" s="10">
        <v>43344</v>
      </c>
      <c r="B327" s="15">
        <f>VLOOKUP(A327,Database!A:K,MATCH($A$1,Database!$A$1:$K$1,),)</f>
        <v>61172</v>
      </c>
      <c r="C327" s="12">
        <f t="shared" si="8"/>
        <v>-2.3232790968751495E-2</v>
      </c>
      <c r="D327" s="13">
        <f t="shared" si="9"/>
        <v>5.8558870353706653E-2</v>
      </c>
    </row>
    <row r="328" spans="1:4" x14ac:dyDescent="0.35">
      <c r="A328" s="11">
        <v>43374</v>
      </c>
      <c r="B328" s="15">
        <f>VLOOKUP(A328,Database!A:K,MATCH($A$1,Database!$A$1:$K$1,),)</f>
        <v>61817</v>
      </c>
      <c r="C328" s="12">
        <f t="shared" ref="C328:C391" si="10">(B328-B327)/B327</f>
        <v>1.0544039756751455E-2</v>
      </c>
      <c r="D328" s="13">
        <f t="shared" si="9"/>
        <v>6.1709947787853804E-2</v>
      </c>
    </row>
    <row r="329" spans="1:4" x14ac:dyDescent="0.35">
      <c r="A329" s="10">
        <v>43405</v>
      </c>
      <c r="B329" s="15">
        <f>VLOOKUP(A329,Database!A:K,MATCH($A$1,Database!$A$1:$K$1,),)</f>
        <v>61475</v>
      </c>
      <c r="C329" s="12">
        <f t="shared" si="10"/>
        <v>-5.5324587087694325E-3</v>
      </c>
      <c r="D329" s="13">
        <f t="shared" si="9"/>
        <v>4.3452431469065605E-2</v>
      </c>
    </row>
    <row r="330" spans="1:4" x14ac:dyDescent="0.35">
      <c r="A330" s="11">
        <v>43435</v>
      </c>
      <c r="B330" s="15">
        <f>VLOOKUP(A330,Database!A:K,MATCH($A$1,Database!$A$1:$K$1,),)</f>
        <v>61452</v>
      </c>
      <c r="C330" s="12">
        <f t="shared" si="10"/>
        <v>-3.7413582757218379E-4</v>
      </c>
      <c r="D330" s="13">
        <f t="shared" si="9"/>
        <v>3.7987939800347953E-2</v>
      </c>
    </row>
    <row r="331" spans="1:4" x14ac:dyDescent="0.35">
      <c r="A331" s="10">
        <v>43466</v>
      </c>
      <c r="B331" s="15">
        <f>VLOOKUP(A331,Database!A:K,MATCH($A$1,Database!$A$1:$K$1,),)</f>
        <v>61512</v>
      </c>
      <c r="C331" s="12">
        <f t="shared" si="10"/>
        <v>9.7637180238234716E-4</v>
      </c>
      <c r="D331" s="13">
        <f t="shared" si="9"/>
        <v>3.4458402704202612E-2</v>
      </c>
    </row>
    <row r="332" spans="1:4" x14ac:dyDescent="0.35">
      <c r="A332" s="11">
        <v>43497</v>
      </c>
      <c r="B332" s="15">
        <f>VLOOKUP(A332,Database!A:K,MATCH($A$1,Database!$A$1:$K$1,),)</f>
        <v>62162</v>
      </c>
      <c r="C332" s="12">
        <f t="shared" si="10"/>
        <v>1.0567043828846405E-2</v>
      </c>
      <c r="D332" s="13">
        <f t="shared" si="9"/>
        <v>3.9620022410650074E-2</v>
      </c>
    </row>
    <row r="333" spans="1:4" x14ac:dyDescent="0.35">
      <c r="A333" s="10">
        <v>43525</v>
      </c>
      <c r="B333" s="15">
        <f>VLOOKUP(A333,Database!A:K,MATCH($A$1,Database!$A$1:$K$1,),)</f>
        <v>62598</v>
      </c>
      <c r="C333" s="12">
        <f t="shared" si="10"/>
        <v>7.0139313406904543E-3</v>
      </c>
      <c r="D333" s="13">
        <f t="shared" si="9"/>
        <v>3.8316082802547773E-2</v>
      </c>
    </row>
    <row r="334" spans="1:4" x14ac:dyDescent="0.35">
      <c r="A334" s="11">
        <v>43556</v>
      </c>
      <c r="B334" s="15">
        <f>VLOOKUP(A334,Database!A:K,MATCH($A$1,Database!$A$1:$K$1,),)</f>
        <v>63137</v>
      </c>
      <c r="C334" s="12">
        <f t="shared" si="10"/>
        <v>8.6104987379788493E-3</v>
      </c>
      <c r="D334" s="13">
        <f t="shared" si="9"/>
        <v>5.8901467505241091E-2</v>
      </c>
    </row>
    <row r="335" spans="1:4" x14ac:dyDescent="0.35">
      <c r="A335" s="10">
        <v>43586</v>
      </c>
      <c r="B335" s="15">
        <f>VLOOKUP(A335,Database!A:K,MATCH($A$1,Database!$A$1:$K$1,),)</f>
        <v>63898</v>
      </c>
      <c r="C335" s="12">
        <f t="shared" si="10"/>
        <v>1.2053154251864992E-2</v>
      </c>
      <c r="D335" s="13">
        <f t="shared" si="9"/>
        <v>4.9021539269766219E-2</v>
      </c>
    </row>
    <row r="336" spans="1:4" x14ac:dyDescent="0.35">
      <c r="A336" s="11">
        <v>43617</v>
      </c>
      <c r="B336" s="15">
        <f>VLOOKUP(A336,Database!A:K,MATCH($A$1,Database!$A$1:$K$1,),)</f>
        <v>64702</v>
      </c>
      <c r="C336" s="12">
        <f t="shared" si="10"/>
        <v>1.2582553444552256E-2</v>
      </c>
      <c r="D336" s="13">
        <f t="shared" si="9"/>
        <v>5.0544740132166456E-2</v>
      </c>
    </row>
    <row r="337" spans="1:4" x14ac:dyDescent="0.35">
      <c r="A337" s="10">
        <v>43647</v>
      </c>
      <c r="B337" s="15">
        <f>VLOOKUP(A337,Database!A:K,MATCH($A$1,Database!$A$1:$K$1,),)</f>
        <v>65003</v>
      </c>
      <c r="C337" s="12">
        <f t="shared" si="10"/>
        <v>4.6520973076566415E-3</v>
      </c>
      <c r="D337" s="13">
        <f t="shared" si="9"/>
        <v>4.5501334963167883E-2</v>
      </c>
    </row>
    <row r="338" spans="1:4" x14ac:dyDescent="0.35">
      <c r="A338" s="11">
        <v>43678</v>
      </c>
      <c r="B338" s="15">
        <f>VLOOKUP(A338,Database!A:K,MATCH($A$1,Database!$A$1:$K$1,),)</f>
        <v>65191</v>
      </c>
      <c r="C338" s="12">
        <f t="shared" si="10"/>
        <v>2.8921742073442763E-3</v>
      </c>
      <c r="D338" s="13">
        <f t="shared" si="9"/>
        <v>4.0940808277579954E-2</v>
      </c>
    </row>
    <row r="339" spans="1:4" x14ac:dyDescent="0.35">
      <c r="A339" s="10">
        <v>43709</v>
      </c>
      <c r="B339" s="15">
        <f>VLOOKUP(A339,Database!A:K,MATCH($A$1,Database!$A$1:$K$1,),)</f>
        <v>65707</v>
      </c>
      <c r="C339" s="12">
        <f t="shared" si="10"/>
        <v>7.915203018821617E-3</v>
      </c>
      <c r="D339" s="13">
        <f t="shared" ref="D339:D402" si="11">(B339-B327)/B327</f>
        <v>7.4135225266461782E-2</v>
      </c>
    </row>
    <row r="340" spans="1:4" x14ac:dyDescent="0.35">
      <c r="A340" s="11">
        <v>43739</v>
      </c>
      <c r="B340" s="15">
        <f>VLOOKUP(A340,Database!A:K,MATCH($A$1,Database!$A$1:$K$1,),)</f>
        <v>66068</v>
      </c>
      <c r="C340" s="12">
        <f t="shared" si="10"/>
        <v>5.4940873879495335E-3</v>
      </c>
      <c r="D340" s="13">
        <f t="shared" si="11"/>
        <v>6.8767491143213039E-2</v>
      </c>
    </row>
    <row r="341" spans="1:4" x14ac:dyDescent="0.35">
      <c r="A341" s="10">
        <v>43770</v>
      </c>
      <c r="B341" s="15">
        <f>VLOOKUP(A341,Database!A:K,MATCH($A$1,Database!$A$1:$K$1,),)</f>
        <v>65841</v>
      </c>
      <c r="C341" s="12">
        <f t="shared" si="10"/>
        <v>-3.4358539686383726E-3</v>
      </c>
      <c r="D341" s="13">
        <f t="shared" si="11"/>
        <v>7.1020740138267591E-2</v>
      </c>
    </row>
    <row r="342" spans="1:4" x14ac:dyDescent="0.35">
      <c r="A342" s="11">
        <v>43800</v>
      </c>
      <c r="B342" s="15">
        <f>VLOOKUP(A342,Database!A:K,MATCH($A$1,Database!$A$1:$K$1,),)</f>
        <v>66980</v>
      </c>
      <c r="C342" s="12">
        <f t="shared" si="10"/>
        <v>1.7299251226439452E-2</v>
      </c>
      <c r="D342" s="13">
        <f t="shared" si="11"/>
        <v>8.9956388726160255E-2</v>
      </c>
    </row>
    <row r="343" spans="1:4" x14ac:dyDescent="0.35">
      <c r="A343" s="10">
        <v>43831</v>
      </c>
      <c r="B343" s="15">
        <f>VLOOKUP(A343,Database!A:K,MATCH($A$1,Database!$A$1:$K$1,),)</f>
        <v>67950</v>
      </c>
      <c r="C343" s="12">
        <f t="shared" si="10"/>
        <v>1.4481934905942071E-2</v>
      </c>
      <c r="D343" s="13">
        <f t="shared" si="11"/>
        <v>0.10466250487709715</v>
      </c>
    </row>
    <row r="344" spans="1:4" x14ac:dyDescent="0.35">
      <c r="A344" s="11">
        <v>43862</v>
      </c>
      <c r="B344" s="15">
        <f>VLOOKUP(A344,Database!A:K,MATCH($A$1,Database!$A$1:$K$1,),)</f>
        <v>68276</v>
      </c>
      <c r="C344" s="12">
        <f t="shared" si="10"/>
        <v>4.7976453274466519E-3</v>
      </c>
      <c r="D344" s="13">
        <f t="shared" si="11"/>
        <v>9.8355908754544571E-2</v>
      </c>
    </row>
    <row r="345" spans="1:4" x14ac:dyDescent="0.35">
      <c r="A345" s="10">
        <v>43891</v>
      </c>
      <c r="B345" s="15">
        <f>VLOOKUP(A345,Database!A:K,MATCH($A$1,Database!$A$1:$K$1,),)</f>
        <v>47758</v>
      </c>
      <c r="C345" s="12">
        <f t="shared" si="10"/>
        <v>-0.30051555451403128</v>
      </c>
      <c r="D345" s="13">
        <f t="shared" si="11"/>
        <v>-0.23706827694175533</v>
      </c>
    </row>
    <row r="346" spans="1:4" x14ac:dyDescent="0.35">
      <c r="A346" s="11">
        <v>43922</v>
      </c>
      <c r="B346" s="15">
        <f>VLOOKUP(A346,Database!A:K,MATCH($A$1,Database!$A$1:$K$1,),)</f>
        <v>31107</v>
      </c>
      <c r="C346" s="12">
        <f t="shared" si="10"/>
        <v>-0.34865362871142008</v>
      </c>
      <c r="D346" s="13">
        <f t="shared" si="11"/>
        <v>-0.50730950156009946</v>
      </c>
    </row>
    <row r="347" spans="1:4" x14ac:dyDescent="0.35">
      <c r="A347" s="10">
        <v>43952</v>
      </c>
      <c r="B347" s="15">
        <f>VLOOKUP(A347,Database!A:K,MATCH($A$1,Database!$A$1:$K$1,),)</f>
        <v>41021</v>
      </c>
      <c r="C347" s="12">
        <f t="shared" si="10"/>
        <v>0.31870640048863602</v>
      </c>
      <c r="D347" s="13">
        <f t="shared" si="11"/>
        <v>-0.35802372531221632</v>
      </c>
    </row>
    <row r="348" spans="1:4" x14ac:dyDescent="0.35">
      <c r="A348" s="11">
        <v>43983</v>
      </c>
      <c r="B348" s="15">
        <f>VLOOKUP(A348,Database!A:K,MATCH($A$1,Database!$A$1:$K$1,),)</f>
        <v>52844</v>
      </c>
      <c r="C348" s="12">
        <f t="shared" si="10"/>
        <v>0.28821822968723337</v>
      </c>
      <c r="D348" s="13">
        <f t="shared" si="11"/>
        <v>-0.18327099625977558</v>
      </c>
    </row>
    <row r="349" spans="1:4" x14ac:dyDescent="0.35">
      <c r="A349" s="10">
        <v>44013</v>
      </c>
      <c r="B349" s="15">
        <f>VLOOKUP(A349,Database!A:K,MATCH($A$1,Database!$A$1:$K$1,),)</f>
        <v>54918</v>
      </c>
      <c r="C349" s="12">
        <f t="shared" si="10"/>
        <v>3.924759669971993E-2</v>
      </c>
      <c r="D349" s="13">
        <f t="shared" si="11"/>
        <v>-0.15514668553759056</v>
      </c>
    </row>
    <row r="350" spans="1:4" x14ac:dyDescent="0.35">
      <c r="A350" s="11">
        <v>44044</v>
      </c>
      <c r="B350" s="15">
        <f>VLOOKUP(A350,Database!A:K,MATCH($A$1,Database!$A$1:$K$1,),)</f>
        <v>57687</v>
      </c>
      <c r="C350" s="12">
        <f t="shared" si="10"/>
        <v>5.0420627116792308E-2</v>
      </c>
      <c r="D350" s="13">
        <f t="shared" si="11"/>
        <v>-0.11510791366906475</v>
      </c>
    </row>
    <row r="351" spans="1:4" x14ac:dyDescent="0.35">
      <c r="A351" s="10">
        <v>44075</v>
      </c>
      <c r="B351" s="15">
        <f>VLOOKUP(A351,Database!A:K,MATCH($A$1,Database!$A$1:$K$1,),)</f>
        <v>59171</v>
      </c>
      <c r="C351" s="12">
        <f t="shared" si="10"/>
        <v>2.5725033369736684E-2</v>
      </c>
      <c r="D351" s="13">
        <f t="shared" si="11"/>
        <v>-9.9471897971296824E-2</v>
      </c>
    </row>
    <row r="352" spans="1:4" x14ac:dyDescent="0.35">
      <c r="A352" s="11">
        <v>44105</v>
      </c>
      <c r="B352" s="15">
        <f>VLOOKUP(A352,Database!A:K,MATCH($A$1,Database!$A$1:$K$1,),)</f>
        <v>59223</v>
      </c>
      <c r="C352" s="12">
        <f t="shared" si="10"/>
        <v>8.7880887596964732E-4</v>
      </c>
      <c r="D352" s="13">
        <f t="shared" si="11"/>
        <v>-0.10360537627898529</v>
      </c>
    </row>
    <row r="353" spans="1:4" x14ac:dyDescent="0.35">
      <c r="A353" s="10">
        <v>44136</v>
      </c>
      <c r="B353" s="15">
        <f>VLOOKUP(A353,Database!A:K,MATCH($A$1,Database!$A$1:$K$1,),)</f>
        <v>57001</v>
      </c>
      <c r="C353" s="12">
        <f t="shared" si="10"/>
        <v>-3.7519207064822792E-2</v>
      </c>
      <c r="D353" s="13">
        <f t="shared" si="11"/>
        <v>-0.13426284533953009</v>
      </c>
    </row>
    <row r="354" spans="1:4" x14ac:dyDescent="0.35">
      <c r="A354" s="11">
        <v>44166</v>
      </c>
      <c r="B354" s="15">
        <f>VLOOKUP(A354,Database!A:K,MATCH($A$1,Database!$A$1:$K$1,),)</f>
        <v>54066</v>
      </c>
      <c r="C354" s="12">
        <f t="shared" si="10"/>
        <v>-5.1490324731145065E-2</v>
      </c>
      <c r="D354" s="13">
        <f t="shared" si="11"/>
        <v>-0.19280382203642879</v>
      </c>
    </row>
    <row r="355" spans="1:4" x14ac:dyDescent="0.35">
      <c r="A355" s="10">
        <v>44197</v>
      </c>
      <c r="B355" s="15">
        <f>VLOOKUP(A355,Database!A:K,MATCH($A$1,Database!$A$1:$K$1,),)</f>
        <v>59553</v>
      </c>
      <c r="C355" s="12">
        <f t="shared" si="10"/>
        <v>0.10148707135723005</v>
      </c>
      <c r="D355" s="13">
        <f t="shared" si="11"/>
        <v>-0.12357615894039735</v>
      </c>
    </row>
    <row r="356" spans="1:4" x14ac:dyDescent="0.35">
      <c r="A356" s="11">
        <v>44228</v>
      </c>
      <c r="B356" s="15">
        <f>VLOOKUP(A356,Database!A:K,MATCH($A$1,Database!$A$1:$K$1,),)</f>
        <v>59036</v>
      </c>
      <c r="C356" s="12">
        <f t="shared" si="10"/>
        <v>-8.6813426695548507E-3</v>
      </c>
      <c r="D356" s="13">
        <f t="shared" si="11"/>
        <v>-0.13533305993321226</v>
      </c>
    </row>
    <row r="357" spans="1:4" x14ac:dyDescent="0.35">
      <c r="A357" s="10">
        <v>44256</v>
      </c>
      <c r="B357" s="15">
        <f>VLOOKUP(A357,Database!A:K,MATCH($A$1,Database!$A$1:$K$1,),)</f>
        <v>67362</v>
      </c>
      <c r="C357" s="12">
        <f t="shared" si="10"/>
        <v>0.14103259028389456</v>
      </c>
      <c r="D357" s="13">
        <f t="shared" si="11"/>
        <v>0.41048620126470958</v>
      </c>
    </row>
    <row r="358" spans="1:4" x14ac:dyDescent="0.35">
      <c r="A358" s="11">
        <v>44287</v>
      </c>
      <c r="B358" s="15">
        <f>VLOOKUP(A358,Database!A:K,MATCH($A$1,Database!$A$1:$K$1,),)</f>
        <v>69899</v>
      </c>
      <c r="C358" s="12">
        <f t="shared" si="10"/>
        <v>3.766218342685787E-2</v>
      </c>
      <c r="D358" s="13">
        <f t="shared" si="11"/>
        <v>1.2470505031021957</v>
      </c>
    </row>
    <row r="359" spans="1:4" x14ac:dyDescent="0.35">
      <c r="A359" s="10">
        <v>44317</v>
      </c>
      <c r="B359" s="15">
        <f>VLOOKUP(A359,Database!A:K,MATCH($A$1,Database!$A$1:$K$1,),)</f>
        <v>72480</v>
      </c>
      <c r="C359" s="12">
        <f t="shared" si="10"/>
        <v>3.692470564671884E-2</v>
      </c>
      <c r="D359" s="13">
        <f t="shared" si="11"/>
        <v>0.76689988054898706</v>
      </c>
    </row>
    <row r="360" spans="1:4" x14ac:dyDescent="0.35">
      <c r="A360" s="11">
        <v>44348</v>
      </c>
      <c r="B360" s="15">
        <f>VLOOKUP(A360,Database!A:K,MATCH($A$1,Database!$A$1:$K$1,),)</f>
        <v>75837</v>
      </c>
      <c r="C360" s="12">
        <f t="shared" si="10"/>
        <v>4.6316225165562913E-2</v>
      </c>
      <c r="D360" s="13">
        <f t="shared" si="11"/>
        <v>0.43511089243811973</v>
      </c>
    </row>
    <row r="361" spans="1:4" x14ac:dyDescent="0.35">
      <c r="A361" s="10">
        <v>44378</v>
      </c>
      <c r="B361" s="15">
        <f>VLOOKUP(A361,Database!A:K,MATCH($A$1,Database!$A$1:$K$1,),)</f>
        <v>77293</v>
      </c>
      <c r="C361" s="12">
        <f t="shared" si="10"/>
        <v>1.919907169323681E-2</v>
      </c>
      <c r="D361" s="13">
        <f t="shared" si="11"/>
        <v>0.40742561637350233</v>
      </c>
    </row>
    <row r="362" spans="1:4" x14ac:dyDescent="0.35">
      <c r="A362" s="11">
        <v>44409</v>
      </c>
      <c r="B362" s="15">
        <f>VLOOKUP(A362,Database!A:K,MATCH($A$1,Database!$A$1:$K$1,),)</f>
        <v>77564</v>
      </c>
      <c r="C362" s="12">
        <f t="shared" si="10"/>
        <v>3.5061389776564499E-3</v>
      </c>
      <c r="D362" s="13">
        <f t="shared" si="11"/>
        <v>0.3445663667724097</v>
      </c>
    </row>
    <row r="363" spans="1:4" x14ac:dyDescent="0.35">
      <c r="A363" s="11">
        <v>44440</v>
      </c>
      <c r="B363" s="15">
        <f>VLOOKUP(A363,Database!A:K,MATCH($A$1,Database!$A$1:$K$1,),)</f>
        <v>78288</v>
      </c>
      <c r="C363" s="12">
        <f t="shared" si="10"/>
        <v>9.334227218812852E-3</v>
      </c>
      <c r="D363" s="13">
        <f t="shared" si="11"/>
        <v>0.32308056311368744</v>
      </c>
    </row>
    <row r="364" spans="1:4" x14ac:dyDescent="0.35">
      <c r="A364" s="10">
        <v>44470</v>
      </c>
      <c r="B364" s="15">
        <f>VLOOKUP(A364,Database!A:K,MATCH($A$1,Database!$A$1:$K$1,),)</f>
        <v>78449</v>
      </c>
      <c r="C364" s="12">
        <f t="shared" si="10"/>
        <v>2.0565092989985696E-3</v>
      </c>
      <c r="D364" s="13">
        <f t="shared" si="11"/>
        <v>0.32463738750147747</v>
      </c>
    </row>
    <row r="365" spans="1:4" x14ac:dyDescent="0.35">
      <c r="A365" s="11">
        <v>44501</v>
      </c>
      <c r="B365" s="15">
        <f>VLOOKUP(A365,Database!A:K,MATCH($A$1,Database!$A$1:$K$1,),)</f>
        <v>79218</v>
      </c>
      <c r="C365" s="12">
        <f t="shared" si="10"/>
        <v>9.8025468775892622E-3</v>
      </c>
      <c r="D365" s="13">
        <f t="shared" si="11"/>
        <v>0.38976509184049402</v>
      </c>
    </row>
    <row r="366" spans="1:4" x14ac:dyDescent="0.35">
      <c r="A366" s="11">
        <v>44531</v>
      </c>
      <c r="B366" s="15">
        <f>VLOOKUP(A366,Database!A:K,MATCH($A$1,Database!$A$1:$K$1,),)</f>
        <v>77583</v>
      </c>
      <c r="C366" s="12">
        <f t="shared" si="10"/>
        <v>-2.0639248655608573E-2</v>
      </c>
      <c r="D366" s="13">
        <f t="shared" si="11"/>
        <v>0.43496837198979027</v>
      </c>
    </row>
    <row r="367" spans="1:4" x14ac:dyDescent="0.35">
      <c r="A367" s="11">
        <v>44562</v>
      </c>
      <c r="B367" s="15">
        <f>VLOOKUP(A367,Database!A:K,MATCH($A$1,Database!$A$1:$K$1,),)</f>
        <v>75557</v>
      </c>
      <c r="C367" s="12">
        <f t="shared" si="10"/>
        <v>-2.6113968266243893E-2</v>
      </c>
      <c r="D367" s="13">
        <f t="shared" si="11"/>
        <v>0.26873541215387975</v>
      </c>
    </row>
    <row r="368" spans="1:4" x14ac:dyDescent="0.35">
      <c r="A368" s="11">
        <v>44593</v>
      </c>
      <c r="B368" s="15">
        <f>VLOOKUP(A368,Database!A:K,MATCH($A$1,Database!$A$1:$K$1,),)</f>
        <v>80553</v>
      </c>
      <c r="C368" s="12">
        <f t="shared" si="10"/>
        <v>6.612226530963379E-2</v>
      </c>
      <c r="D368" s="13">
        <f t="shared" si="11"/>
        <v>0.36447252523883733</v>
      </c>
    </row>
    <row r="369" spans="1:4" x14ac:dyDescent="0.35">
      <c r="A369" s="11">
        <v>44621</v>
      </c>
      <c r="B369" s="15">
        <f>VLOOKUP(A369,Database!A:K,MATCH($A$1,Database!$A$1:$K$1,),)</f>
        <v>82388</v>
      </c>
      <c r="C369" s="12">
        <f t="shared" si="10"/>
        <v>2.2780033021737242E-2</v>
      </c>
      <c r="D369" s="13">
        <f t="shared" si="11"/>
        <v>0.22306344823490989</v>
      </c>
    </row>
    <row r="370" spans="1:4" x14ac:dyDescent="0.35">
      <c r="A370" s="10">
        <v>44652</v>
      </c>
      <c r="B370" s="15">
        <f>VLOOKUP(A370,Database!A:K,MATCH($A$1,Database!$A$1:$K$1,),)</f>
        <v>84481</v>
      </c>
      <c r="C370" s="12">
        <f t="shared" si="10"/>
        <v>2.5404185075496431E-2</v>
      </c>
      <c r="D370" s="13">
        <f t="shared" si="11"/>
        <v>0.20861528777235727</v>
      </c>
    </row>
    <row r="371" spans="1:4" x14ac:dyDescent="0.35">
      <c r="A371" s="11">
        <v>44682</v>
      </c>
      <c r="B371" s="15">
        <f>VLOOKUP(A371,Database!A:K,MATCH($A$1,Database!$A$1:$K$1,),)</f>
        <v>85322</v>
      </c>
      <c r="C371" s="12">
        <f t="shared" si="10"/>
        <v>9.9549011020229408E-3</v>
      </c>
      <c r="D371" s="13">
        <f t="shared" si="11"/>
        <v>0.17717991169977926</v>
      </c>
    </row>
    <row r="372" spans="1:4" x14ac:dyDescent="0.35">
      <c r="A372" s="10">
        <v>44713</v>
      </c>
      <c r="B372" s="15">
        <f>VLOOKUP(A372,Database!A:K,MATCH($A$1,Database!$A$1:$K$1,),)</f>
        <v>85939</v>
      </c>
      <c r="C372" s="12">
        <f t="shared" si="10"/>
        <v>7.2314291741871969E-3</v>
      </c>
      <c r="D372" s="13">
        <f t="shared" si="11"/>
        <v>0.13320674604744387</v>
      </c>
    </row>
    <row r="373" spans="1:4" x14ac:dyDescent="0.35">
      <c r="A373" s="11">
        <v>44743</v>
      </c>
      <c r="B373" s="15">
        <f>VLOOKUP(A373,Database!A:K,MATCH($A$1,Database!$A$1:$K$1,),)</f>
        <v>85214</v>
      </c>
      <c r="C373" s="12">
        <f t="shared" si="10"/>
        <v>-8.4362163860412613E-3</v>
      </c>
      <c r="D373" s="13">
        <f t="shared" si="11"/>
        <v>0.10248017284877027</v>
      </c>
    </row>
    <row r="374" spans="1:4" x14ac:dyDescent="0.35">
      <c r="A374" s="11">
        <v>44774</v>
      </c>
      <c r="B374" s="15">
        <f>VLOOKUP(A374,Database!A:K,MATCH($A$1,Database!$A$1:$K$1,),)</f>
        <v>87305</v>
      </c>
      <c r="C374" s="12">
        <f t="shared" si="10"/>
        <v>2.4538221419015654E-2</v>
      </c>
      <c r="D374" s="13">
        <f t="shared" si="11"/>
        <v>0.12558661234593368</v>
      </c>
    </row>
    <row r="375" spans="1:4" x14ac:dyDescent="0.35">
      <c r="A375" s="11">
        <v>44805</v>
      </c>
      <c r="B375" s="15">
        <f>VLOOKUP(A375,Database!A:K,MATCH($A$1,Database!$A$1:$K$1,),)</f>
        <v>88196</v>
      </c>
      <c r="C375" s="12">
        <f t="shared" si="10"/>
        <v>1.0205601053776988E-2</v>
      </c>
      <c r="D375" s="13">
        <f t="shared" si="11"/>
        <v>0.12655834866135296</v>
      </c>
    </row>
    <row r="376" spans="1:4" x14ac:dyDescent="0.35">
      <c r="A376" s="11">
        <v>44835</v>
      </c>
      <c r="B376" s="15">
        <f>VLOOKUP(A376,Database!A:K,MATCH($A$1,Database!$A$1:$K$1,),)</f>
        <v>89613</v>
      </c>
      <c r="C376" s="12">
        <f t="shared" si="10"/>
        <v>1.6066488276112297E-2</v>
      </c>
      <c r="D376" s="13">
        <f t="shared" si="11"/>
        <v>0.14230901604864307</v>
      </c>
    </row>
    <row r="377" spans="1:4" x14ac:dyDescent="0.35">
      <c r="A377" s="11">
        <v>44866</v>
      </c>
      <c r="B377" s="15">
        <f>VLOOKUP(A377,Database!A:K,MATCH($A$1,Database!$A$1:$K$1,),)</f>
        <v>90391</v>
      </c>
      <c r="C377" s="12">
        <f t="shared" si="10"/>
        <v>8.6817760815953039E-3</v>
      </c>
      <c r="D377" s="13">
        <f t="shared" si="11"/>
        <v>0.14104117751016182</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7"/>
  <sheetViews>
    <sheetView zoomScale="120" zoomScaleNormal="120" workbookViewId="0">
      <pane ySplit="6" topLeftCell="A347" activePane="bottomLeft" state="frozen"/>
      <selection pane="bottomLeft" activeCell="AG360" sqref="AG360"/>
    </sheetView>
  </sheetViews>
  <sheetFormatPr defaultColWidth="9.1796875" defaultRowHeight="14.5" x14ac:dyDescent="0.35"/>
  <cols>
    <col min="1" max="1" width="14" style="54" customWidth="1"/>
    <col min="2" max="2" width="20.6328125" style="54" customWidth="1"/>
    <col min="3" max="4" width="14.1796875" style="54" customWidth="1"/>
    <col min="5" max="22" width="9.1796875" style="109" customWidth="1"/>
    <col min="23" max="16384" width="9.1796875" style="109"/>
  </cols>
  <sheetData>
    <row r="1" spans="1:4" x14ac:dyDescent="0.35">
      <c r="A1" s="109" t="s">
        <v>59</v>
      </c>
      <c r="B1" s="29" t="s">
        <v>112</v>
      </c>
    </row>
    <row r="2" spans="1:4" x14ac:dyDescent="0.35">
      <c r="A2" s="110" t="s">
        <v>113</v>
      </c>
      <c r="B2" s="109"/>
    </row>
    <row r="3" spans="1:4" x14ac:dyDescent="0.35">
      <c r="A3" s="9"/>
    </row>
    <row r="4" spans="1:4" x14ac:dyDescent="0.35">
      <c r="A4" s="9"/>
    </row>
    <row r="5" spans="1:4" ht="16" customHeight="1" thickBot="1" x14ac:dyDescent="0.4"/>
    <row r="6" spans="1:4" ht="44.25" customHeight="1" x14ac:dyDescent="0.35">
      <c r="A6" s="86" t="s">
        <v>82</v>
      </c>
      <c r="B6" s="83" t="s">
        <v>114</v>
      </c>
      <c r="C6" s="84" t="s">
        <v>12</v>
      </c>
      <c r="D6" s="85" t="s">
        <v>13</v>
      </c>
    </row>
    <row r="7" spans="1:4" x14ac:dyDescent="0.35">
      <c r="A7" s="10">
        <v>33604</v>
      </c>
      <c r="B7" s="15">
        <f>VLOOKUP(A7,Database!A:K,MATCH($A$1,Database!$A$1:$K$1,),)</f>
        <v>12803</v>
      </c>
      <c r="C7" s="1"/>
      <c r="D7" s="1"/>
    </row>
    <row r="8" spans="1:4" x14ac:dyDescent="0.35">
      <c r="A8" s="11">
        <v>33635</v>
      </c>
      <c r="B8" s="15">
        <f>VLOOKUP(A8,Database!A:K,MATCH($A$1,Database!$A$1:$K$1,),)</f>
        <v>12601</v>
      </c>
      <c r="C8" s="12">
        <f t="shared" ref="C8:C71" si="0">(B8-B7)/B7</f>
        <v>-1.5777552136218075E-2</v>
      </c>
      <c r="D8" s="1"/>
    </row>
    <row r="9" spans="1:4" x14ac:dyDescent="0.35">
      <c r="A9" s="10">
        <v>33664</v>
      </c>
      <c r="B9" s="15">
        <f>VLOOKUP(A9,Database!A:K,MATCH($A$1,Database!$A$1:$K$1,),)</f>
        <v>12639</v>
      </c>
      <c r="C9" s="12">
        <f t="shared" si="0"/>
        <v>3.015633679866677E-3</v>
      </c>
      <c r="D9" s="1"/>
    </row>
    <row r="10" spans="1:4" x14ac:dyDescent="0.35">
      <c r="A10" s="11">
        <v>33695</v>
      </c>
      <c r="B10" s="15">
        <f>VLOOKUP(A10,Database!A:K,MATCH($A$1,Database!$A$1:$K$1,),)</f>
        <v>12710</v>
      </c>
      <c r="C10" s="12">
        <f t="shared" si="0"/>
        <v>5.6175330326766358E-3</v>
      </c>
      <c r="D10" s="1"/>
    </row>
    <row r="11" spans="1:4" x14ac:dyDescent="0.35">
      <c r="A11" s="10">
        <v>33725</v>
      </c>
      <c r="B11" s="15">
        <f>VLOOKUP(A11,Database!A:K,MATCH($A$1,Database!$A$1:$K$1,),)</f>
        <v>12870</v>
      </c>
      <c r="C11" s="12">
        <f t="shared" si="0"/>
        <v>1.2588512981904013E-2</v>
      </c>
      <c r="D11" s="1"/>
    </row>
    <row r="12" spans="1:4" x14ac:dyDescent="0.35">
      <c r="A12" s="11">
        <v>33756</v>
      </c>
      <c r="B12" s="15">
        <f>VLOOKUP(A12,Database!A:K,MATCH($A$1,Database!$A$1:$K$1,),)</f>
        <v>12886</v>
      </c>
      <c r="C12" s="12">
        <f t="shared" si="0"/>
        <v>1.2432012432012432E-3</v>
      </c>
      <c r="D12" s="1"/>
    </row>
    <row r="13" spans="1:4" x14ac:dyDescent="0.35">
      <c r="A13" s="10">
        <v>33786</v>
      </c>
      <c r="B13" s="15">
        <f>VLOOKUP(A13,Database!A:K,MATCH($A$1,Database!$A$1:$K$1,),)</f>
        <v>12966</v>
      </c>
      <c r="C13" s="12">
        <f t="shared" si="0"/>
        <v>6.2082880645661954E-3</v>
      </c>
      <c r="D13" s="1"/>
    </row>
    <row r="14" spans="1:4" x14ac:dyDescent="0.35">
      <c r="A14" s="11">
        <v>33817</v>
      </c>
      <c r="B14" s="15">
        <f>VLOOKUP(A14,Database!A:K,MATCH($A$1,Database!$A$1:$K$1,),)</f>
        <v>13092</v>
      </c>
      <c r="C14" s="12">
        <f t="shared" si="0"/>
        <v>9.7177232762609908E-3</v>
      </c>
      <c r="D14" s="1"/>
    </row>
    <row r="15" spans="1:4" x14ac:dyDescent="0.35">
      <c r="A15" s="10">
        <v>33848</v>
      </c>
      <c r="B15" s="15">
        <f>VLOOKUP(A15,Database!A:K,MATCH($A$1,Database!$A$1:$K$1,),)</f>
        <v>13246</v>
      </c>
      <c r="C15" s="12">
        <f t="shared" si="0"/>
        <v>1.1762908646501681E-2</v>
      </c>
      <c r="D15" s="1"/>
    </row>
    <row r="16" spans="1:4" x14ac:dyDescent="0.35">
      <c r="A16" s="11">
        <v>33878</v>
      </c>
      <c r="B16" s="15">
        <f>VLOOKUP(A16,Database!A:K,MATCH($A$1,Database!$A$1:$K$1,),)</f>
        <v>13304</v>
      </c>
      <c r="C16" s="12">
        <f t="shared" si="0"/>
        <v>4.3786803563339877E-3</v>
      </c>
      <c r="D16" s="1"/>
    </row>
    <row r="17" spans="1:4" x14ac:dyDescent="0.35">
      <c r="A17" s="10">
        <v>33909</v>
      </c>
      <c r="B17" s="15">
        <f>VLOOKUP(A17,Database!A:K,MATCH($A$1,Database!$A$1:$K$1,),)</f>
        <v>13358</v>
      </c>
      <c r="C17" s="12">
        <f t="shared" si="0"/>
        <v>4.0589296452194831E-3</v>
      </c>
      <c r="D17" s="1"/>
    </row>
    <row r="18" spans="1:4" x14ac:dyDescent="0.35">
      <c r="A18" s="11">
        <v>33939</v>
      </c>
      <c r="B18" s="15">
        <f>VLOOKUP(A18,Database!A:K,MATCH($A$1,Database!$A$1:$K$1,),)</f>
        <v>13475</v>
      </c>
      <c r="C18" s="12">
        <f t="shared" si="0"/>
        <v>8.7587962269800868E-3</v>
      </c>
      <c r="D18" s="1"/>
    </row>
    <row r="19" spans="1:4" x14ac:dyDescent="0.35">
      <c r="A19" s="10">
        <v>33970</v>
      </c>
      <c r="B19" s="15">
        <f>VLOOKUP(A19,Database!A:K,MATCH($A$1,Database!$A$1:$K$1,),)</f>
        <v>13398</v>
      </c>
      <c r="C19" s="12">
        <f t="shared" si="0"/>
        <v>-5.7142857142857143E-3</v>
      </c>
      <c r="D19" s="13">
        <f t="shared" ref="D19:D82" si="1">(B19-B7)/B7</f>
        <v>4.6473482777474026E-2</v>
      </c>
    </row>
    <row r="20" spans="1:4" x14ac:dyDescent="0.35">
      <c r="A20" s="11">
        <v>34001</v>
      </c>
      <c r="B20" s="15">
        <f>VLOOKUP(A20,Database!A:K,MATCH($A$1,Database!$A$1:$K$1,),)</f>
        <v>13596</v>
      </c>
      <c r="C20" s="12">
        <f t="shared" si="0"/>
        <v>1.4778325123152709E-2</v>
      </c>
      <c r="D20" s="13">
        <f t="shared" si="1"/>
        <v>7.8961987143877477E-2</v>
      </c>
    </row>
    <row r="21" spans="1:4" x14ac:dyDescent="0.35">
      <c r="A21" s="10">
        <v>34029</v>
      </c>
      <c r="B21" s="15">
        <f>VLOOKUP(A21,Database!A:K,MATCH($A$1,Database!$A$1:$K$1,),)</f>
        <v>13487</v>
      </c>
      <c r="C21" s="12">
        <f t="shared" si="0"/>
        <v>-8.0170638423065609E-3</v>
      </c>
      <c r="D21" s="13">
        <f t="shared" si="1"/>
        <v>6.709391565788432E-2</v>
      </c>
    </row>
    <row r="22" spans="1:4" x14ac:dyDescent="0.35">
      <c r="A22" s="11">
        <v>34060</v>
      </c>
      <c r="B22" s="15">
        <f>VLOOKUP(A22,Database!A:K,MATCH($A$1,Database!$A$1:$K$1,),)</f>
        <v>13539</v>
      </c>
      <c r="C22" s="12">
        <f t="shared" si="0"/>
        <v>3.8555646177800846E-3</v>
      </c>
      <c r="D22" s="13">
        <f t="shared" si="1"/>
        <v>6.5224232887490172E-2</v>
      </c>
    </row>
    <row r="23" spans="1:4" x14ac:dyDescent="0.35">
      <c r="A23" s="10">
        <v>34090</v>
      </c>
      <c r="B23" s="15">
        <f>VLOOKUP(A23,Database!A:K,MATCH($A$1,Database!$A$1:$K$1,),)</f>
        <v>13521</v>
      </c>
      <c r="C23" s="12">
        <f t="shared" si="0"/>
        <v>-1.3294925769997785E-3</v>
      </c>
      <c r="D23" s="13">
        <f t="shared" si="1"/>
        <v>5.058275058275058E-2</v>
      </c>
    </row>
    <row r="24" spans="1:4" x14ac:dyDescent="0.35">
      <c r="A24" s="11">
        <v>34121</v>
      </c>
      <c r="B24" s="15">
        <f>VLOOKUP(A24,Database!A:K,MATCH($A$1,Database!$A$1:$K$1,),)</f>
        <v>13461</v>
      </c>
      <c r="C24" s="12">
        <f t="shared" si="0"/>
        <v>-4.4375416019525179E-3</v>
      </c>
      <c r="D24" s="13">
        <f t="shared" si="1"/>
        <v>4.4622070464069533E-2</v>
      </c>
    </row>
    <row r="25" spans="1:4" x14ac:dyDescent="0.35">
      <c r="A25" s="10">
        <v>34151</v>
      </c>
      <c r="B25" s="15">
        <f>VLOOKUP(A25,Database!A:K,MATCH($A$1,Database!$A$1:$K$1,),)</f>
        <v>13502</v>
      </c>
      <c r="C25" s="12">
        <f t="shared" si="0"/>
        <v>3.0458361191590521E-3</v>
      </c>
      <c r="D25" s="13">
        <f t="shared" si="1"/>
        <v>4.1338886318062623E-2</v>
      </c>
    </row>
    <row r="26" spans="1:4" x14ac:dyDescent="0.35">
      <c r="A26" s="11">
        <v>34182</v>
      </c>
      <c r="B26" s="15">
        <f>VLOOKUP(A26,Database!A:K,MATCH($A$1,Database!$A$1:$K$1,),)</f>
        <v>13372</v>
      </c>
      <c r="C26" s="12">
        <f t="shared" si="0"/>
        <v>-9.6282032291512363E-3</v>
      </c>
      <c r="D26" s="13">
        <f t="shared" si="1"/>
        <v>2.1387106630003056E-2</v>
      </c>
    </row>
    <row r="27" spans="1:4" x14ac:dyDescent="0.35">
      <c r="A27" s="10">
        <v>34213</v>
      </c>
      <c r="B27" s="15">
        <f>VLOOKUP(A27,Database!A:K,MATCH($A$1,Database!$A$1:$K$1,),)</f>
        <v>13416</v>
      </c>
      <c r="C27" s="12">
        <f t="shared" si="0"/>
        <v>3.290457672749028E-3</v>
      </c>
      <c r="D27" s="13">
        <f t="shared" si="1"/>
        <v>1.2834063113392722E-2</v>
      </c>
    </row>
    <row r="28" spans="1:4" x14ac:dyDescent="0.35">
      <c r="A28" s="11">
        <v>34243</v>
      </c>
      <c r="B28" s="15">
        <f>VLOOKUP(A28,Database!A:K,MATCH($A$1,Database!$A$1:$K$1,),)</f>
        <v>13755</v>
      </c>
      <c r="C28" s="12">
        <f t="shared" si="0"/>
        <v>2.5268336314847942E-2</v>
      </c>
      <c r="D28" s="13">
        <f t="shared" si="1"/>
        <v>3.3899579073962717E-2</v>
      </c>
    </row>
    <row r="29" spans="1:4" x14ac:dyDescent="0.35">
      <c r="A29" s="10">
        <v>34274</v>
      </c>
      <c r="B29" s="15">
        <f>VLOOKUP(A29,Database!A:K,MATCH($A$1,Database!$A$1:$K$1,),)</f>
        <v>13754</v>
      </c>
      <c r="C29" s="12">
        <f t="shared" si="0"/>
        <v>-7.2700836059614679E-5</v>
      </c>
      <c r="D29" s="13">
        <f t="shared" si="1"/>
        <v>2.9645156460547988E-2</v>
      </c>
    </row>
    <row r="30" spans="1:4" x14ac:dyDescent="0.35">
      <c r="A30" s="11">
        <v>34304</v>
      </c>
      <c r="B30" s="15">
        <f>VLOOKUP(A30,Database!A:K,MATCH($A$1,Database!$A$1:$K$1,),)</f>
        <v>13627</v>
      </c>
      <c r="C30" s="12">
        <f t="shared" si="0"/>
        <v>-9.2336774756434491E-3</v>
      </c>
      <c r="D30" s="13">
        <f t="shared" si="1"/>
        <v>1.1280148423005567E-2</v>
      </c>
    </row>
    <row r="31" spans="1:4" x14ac:dyDescent="0.35">
      <c r="A31" s="10">
        <v>34335</v>
      </c>
      <c r="B31" s="15">
        <f>VLOOKUP(A31,Database!A:K,MATCH($A$1,Database!$A$1:$K$1,),)</f>
        <v>13656</v>
      </c>
      <c r="C31" s="12">
        <f t="shared" si="0"/>
        <v>2.128127981213767E-3</v>
      </c>
      <c r="D31" s="13">
        <f t="shared" si="1"/>
        <v>1.9256605463502014E-2</v>
      </c>
    </row>
    <row r="32" spans="1:4" x14ac:dyDescent="0.35">
      <c r="A32" s="11">
        <v>34366</v>
      </c>
      <c r="B32" s="15">
        <f>VLOOKUP(A32,Database!A:K,MATCH($A$1,Database!$A$1:$K$1,),)</f>
        <v>13875</v>
      </c>
      <c r="C32" s="12">
        <f t="shared" si="0"/>
        <v>1.6036906854130051E-2</v>
      </c>
      <c r="D32" s="13">
        <f t="shared" si="1"/>
        <v>2.0520741394527801E-2</v>
      </c>
    </row>
    <row r="33" spans="1:4" x14ac:dyDescent="0.35">
      <c r="A33" s="10">
        <v>34394</v>
      </c>
      <c r="B33" s="15">
        <f>VLOOKUP(A33,Database!A:K,MATCH($A$1,Database!$A$1:$K$1,),)</f>
        <v>13911</v>
      </c>
      <c r="C33" s="12">
        <f t="shared" si="0"/>
        <v>2.5945945945945945E-3</v>
      </c>
      <c r="D33" s="13">
        <f t="shared" si="1"/>
        <v>3.1437680729591459E-2</v>
      </c>
    </row>
    <row r="34" spans="1:4" x14ac:dyDescent="0.35">
      <c r="A34" s="11">
        <v>34425</v>
      </c>
      <c r="B34" s="15">
        <f>VLOOKUP(A34,Database!A:K,MATCH($A$1,Database!$A$1:$K$1,),)</f>
        <v>13867</v>
      </c>
      <c r="C34" s="12">
        <f t="shared" si="0"/>
        <v>-3.1629645604198116E-3</v>
      </c>
      <c r="D34" s="13">
        <f t="shared" si="1"/>
        <v>2.422630918088485E-2</v>
      </c>
    </row>
    <row r="35" spans="1:4" x14ac:dyDescent="0.35">
      <c r="A35" s="10">
        <v>34455</v>
      </c>
      <c r="B35" s="15">
        <f>VLOOKUP(A35,Database!A:K,MATCH($A$1,Database!$A$1:$K$1,),)</f>
        <v>13773</v>
      </c>
      <c r="C35" s="12">
        <f t="shared" si="0"/>
        <v>-6.7786832047306558E-3</v>
      </c>
      <c r="D35" s="13">
        <f t="shared" si="1"/>
        <v>1.8637674728200576E-2</v>
      </c>
    </row>
    <row r="36" spans="1:4" x14ac:dyDescent="0.35">
      <c r="A36" s="11">
        <v>34486</v>
      </c>
      <c r="B36" s="15">
        <f>VLOOKUP(A36,Database!A:K,MATCH($A$1,Database!$A$1:$K$1,),)</f>
        <v>14059</v>
      </c>
      <c r="C36" s="12">
        <f t="shared" si="0"/>
        <v>2.0765265374283016E-2</v>
      </c>
      <c r="D36" s="13">
        <f t="shared" si="1"/>
        <v>4.4424634128222271E-2</v>
      </c>
    </row>
    <row r="37" spans="1:4" x14ac:dyDescent="0.35">
      <c r="A37" s="10">
        <v>34516</v>
      </c>
      <c r="B37" s="15">
        <f>VLOOKUP(A37,Database!A:K,MATCH($A$1,Database!$A$1:$K$1,),)</f>
        <v>14322</v>
      </c>
      <c r="C37" s="12">
        <f t="shared" si="0"/>
        <v>1.8706878156341134E-2</v>
      </c>
      <c r="D37" s="13">
        <f t="shared" si="1"/>
        <v>6.0731743445415494E-2</v>
      </c>
    </row>
    <row r="38" spans="1:4" x14ac:dyDescent="0.35">
      <c r="A38" s="11">
        <v>34547</v>
      </c>
      <c r="B38" s="15">
        <f>VLOOKUP(A38,Database!A:K,MATCH($A$1,Database!$A$1:$K$1,),)</f>
        <v>14685</v>
      </c>
      <c r="C38" s="12">
        <f t="shared" si="0"/>
        <v>2.5345622119815669E-2</v>
      </c>
      <c r="D38" s="13">
        <f t="shared" si="1"/>
        <v>9.8190248279988041E-2</v>
      </c>
    </row>
    <row r="39" spans="1:4" x14ac:dyDescent="0.35">
      <c r="A39" s="10">
        <v>34578</v>
      </c>
      <c r="B39" s="15">
        <f>VLOOKUP(A39,Database!A:K,MATCH($A$1,Database!$A$1:$K$1,),)</f>
        <v>14649</v>
      </c>
      <c r="C39" s="12">
        <f t="shared" si="0"/>
        <v>-2.4514811031664963E-3</v>
      </c>
      <c r="D39" s="13">
        <f t="shared" si="1"/>
        <v>9.1905187835420399E-2</v>
      </c>
    </row>
    <row r="40" spans="1:4" x14ac:dyDescent="0.35">
      <c r="A40" s="11">
        <v>34608</v>
      </c>
      <c r="B40" s="15">
        <f>VLOOKUP(A40,Database!A:K,MATCH($A$1,Database!$A$1:$K$1,),)</f>
        <v>14709</v>
      </c>
      <c r="C40" s="12">
        <f t="shared" si="0"/>
        <v>4.0958427196395655E-3</v>
      </c>
      <c r="D40" s="13">
        <f t="shared" si="1"/>
        <v>6.9356597600872413E-2</v>
      </c>
    </row>
    <row r="41" spans="1:4" x14ac:dyDescent="0.35">
      <c r="A41" s="10">
        <v>34639</v>
      </c>
      <c r="B41" s="15">
        <f>VLOOKUP(A41,Database!A:K,MATCH($A$1,Database!$A$1:$K$1,),)</f>
        <v>14878</v>
      </c>
      <c r="C41" s="12">
        <f t="shared" si="0"/>
        <v>1.1489564212386973E-2</v>
      </c>
      <c r="D41" s="13">
        <f t="shared" si="1"/>
        <v>8.1721680965537294E-2</v>
      </c>
    </row>
    <row r="42" spans="1:4" x14ac:dyDescent="0.35">
      <c r="A42" s="11">
        <v>34669</v>
      </c>
      <c r="B42" s="15">
        <f>VLOOKUP(A42,Database!A:K,MATCH($A$1,Database!$A$1:$K$1,),)</f>
        <v>14885</v>
      </c>
      <c r="C42" s="12">
        <f t="shared" si="0"/>
        <v>4.7049334587982255E-4</v>
      </c>
      <c r="D42" s="13">
        <f t="shared" si="1"/>
        <v>9.2316724150583396E-2</v>
      </c>
    </row>
    <row r="43" spans="1:4" x14ac:dyDescent="0.35">
      <c r="A43" s="10">
        <v>34700</v>
      </c>
      <c r="B43" s="15">
        <f>VLOOKUP(A43,Database!A:K,MATCH($A$1,Database!$A$1:$K$1,),)</f>
        <v>14915</v>
      </c>
      <c r="C43" s="12">
        <f t="shared" si="0"/>
        <v>2.0154517971111858E-3</v>
      </c>
      <c r="D43" s="13">
        <f t="shared" si="1"/>
        <v>9.2193907439953135E-2</v>
      </c>
    </row>
    <row r="44" spans="1:4" x14ac:dyDescent="0.35">
      <c r="A44" s="11">
        <v>34731</v>
      </c>
      <c r="B44" s="15">
        <f>VLOOKUP(A44,Database!A:K,MATCH($A$1,Database!$A$1:$K$1,),)</f>
        <v>14963</v>
      </c>
      <c r="C44" s="12">
        <f t="shared" si="0"/>
        <v>3.2182366744887697E-3</v>
      </c>
      <c r="D44" s="13">
        <f t="shared" si="1"/>
        <v>7.8414414414414421E-2</v>
      </c>
    </row>
    <row r="45" spans="1:4" x14ac:dyDescent="0.35">
      <c r="A45" s="10">
        <v>34759</v>
      </c>
      <c r="B45" s="15">
        <f>VLOOKUP(A45,Database!A:K,MATCH($A$1,Database!$A$1:$K$1,),)</f>
        <v>14921</v>
      </c>
      <c r="C45" s="12">
        <f t="shared" si="0"/>
        <v>-2.8069237452382542E-3</v>
      </c>
      <c r="D45" s="13">
        <f t="shared" si="1"/>
        <v>7.2604413773272952E-2</v>
      </c>
    </row>
    <row r="46" spans="1:4" x14ac:dyDescent="0.35">
      <c r="A46" s="11">
        <v>34790</v>
      </c>
      <c r="B46" s="15">
        <f>VLOOKUP(A46,Database!A:K,MATCH($A$1,Database!$A$1:$K$1,),)</f>
        <v>15021</v>
      </c>
      <c r="C46" s="12">
        <f t="shared" si="0"/>
        <v>6.7019636753568798E-3</v>
      </c>
      <c r="D46" s="13">
        <f t="shared" si="1"/>
        <v>8.3219153385735919E-2</v>
      </c>
    </row>
    <row r="47" spans="1:4" x14ac:dyDescent="0.35">
      <c r="A47" s="10">
        <v>34820</v>
      </c>
      <c r="B47" s="15">
        <f>VLOOKUP(A47,Database!A:K,MATCH($A$1,Database!$A$1:$K$1,),)</f>
        <v>15215</v>
      </c>
      <c r="C47" s="12">
        <f t="shared" si="0"/>
        <v>1.2915251980560549E-2</v>
      </c>
      <c r="D47" s="13">
        <f t="shared" si="1"/>
        <v>0.10469759674725913</v>
      </c>
    </row>
    <row r="48" spans="1:4" x14ac:dyDescent="0.35">
      <c r="A48" s="11">
        <v>34851</v>
      </c>
      <c r="B48" s="15">
        <f>VLOOKUP(A48,Database!A:K,MATCH($A$1,Database!$A$1:$K$1,),)</f>
        <v>15333</v>
      </c>
      <c r="C48" s="12">
        <f t="shared" si="0"/>
        <v>7.7555044364114364E-3</v>
      </c>
      <c r="D48" s="13">
        <f t="shared" si="1"/>
        <v>9.0618109396116364E-2</v>
      </c>
    </row>
    <row r="49" spans="1:4" x14ac:dyDescent="0.35">
      <c r="A49" s="10">
        <v>34881</v>
      </c>
      <c r="B49" s="15">
        <f>VLOOKUP(A49,Database!A:K,MATCH($A$1,Database!$A$1:$K$1,),)</f>
        <v>15249</v>
      </c>
      <c r="C49" s="12">
        <f t="shared" si="0"/>
        <v>-5.4783799647818432E-3</v>
      </c>
      <c r="D49" s="13">
        <f t="shared" si="1"/>
        <v>6.4725596983661496E-2</v>
      </c>
    </row>
    <row r="50" spans="1:4" x14ac:dyDescent="0.35">
      <c r="A50" s="11">
        <v>34912</v>
      </c>
      <c r="B50" s="15">
        <f>VLOOKUP(A50,Database!A:K,MATCH($A$1,Database!$A$1:$K$1,),)</f>
        <v>15227</v>
      </c>
      <c r="C50" s="12">
        <f t="shared" si="0"/>
        <v>-1.4427175552495246E-3</v>
      </c>
      <c r="D50" s="13">
        <f t="shared" si="1"/>
        <v>3.6908409942117811E-2</v>
      </c>
    </row>
    <row r="51" spans="1:4" x14ac:dyDescent="0.35">
      <c r="A51" s="10">
        <v>34943</v>
      </c>
      <c r="B51" s="15">
        <f>VLOOKUP(A51,Database!A:K,MATCH($A$1,Database!$A$1:$K$1,),)</f>
        <v>15194</v>
      </c>
      <c r="C51" s="12">
        <f t="shared" si="0"/>
        <v>-2.1672029946805016E-3</v>
      </c>
      <c r="D51" s="13">
        <f t="shared" si="1"/>
        <v>3.7203904703392722E-2</v>
      </c>
    </row>
    <row r="52" spans="1:4" x14ac:dyDescent="0.35">
      <c r="A52" s="11">
        <v>34973</v>
      </c>
      <c r="B52" s="15">
        <f>VLOOKUP(A52,Database!A:K,MATCH($A$1,Database!$A$1:$K$1,),)</f>
        <v>15007</v>
      </c>
      <c r="C52" s="12">
        <f t="shared" si="0"/>
        <v>-1.2307489798604713E-2</v>
      </c>
      <c r="D52" s="13">
        <f t="shared" si="1"/>
        <v>2.0259704942552179E-2</v>
      </c>
    </row>
    <row r="53" spans="1:4" x14ac:dyDescent="0.35">
      <c r="A53" s="10">
        <v>35004</v>
      </c>
      <c r="B53" s="15">
        <f>VLOOKUP(A53,Database!A:K,MATCH($A$1,Database!$A$1:$K$1,),)</f>
        <v>14981</v>
      </c>
      <c r="C53" s="12">
        <f t="shared" si="0"/>
        <v>-1.7325248217498501E-3</v>
      </c>
      <c r="D53" s="13">
        <f t="shared" si="1"/>
        <v>6.9229735179459602E-3</v>
      </c>
    </row>
    <row r="54" spans="1:4" x14ac:dyDescent="0.35">
      <c r="A54" s="11">
        <v>35034</v>
      </c>
      <c r="B54" s="15">
        <f>VLOOKUP(A54,Database!A:K,MATCH($A$1,Database!$A$1:$K$1,),)</f>
        <v>15246</v>
      </c>
      <c r="C54" s="12">
        <f t="shared" si="0"/>
        <v>1.7689072825579067E-2</v>
      </c>
      <c r="D54" s="13">
        <f t="shared" si="1"/>
        <v>2.4252603291904602E-2</v>
      </c>
    </row>
    <row r="55" spans="1:4" x14ac:dyDescent="0.35">
      <c r="A55" s="10">
        <v>35065</v>
      </c>
      <c r="B55" s="15">
        <f>VLOOKUP(A55,Database!A:K,MATCH($A$1,Database!$A$1:$K$1,),)</f>
        <v>15479</v>
      </c>
      <c r="C55" s="12">
        <f t="shared" si="0"/>
        <v>1.5282697100878919E-2</v>
      </c>
      <c r="D55" s="13">
        <f t="shared" si="1"/>
        <v>3.7814280925243041E-2</v>
      </c>
    </row>
    <row r="56" spans="1:4" x14ac:dyDescent="0.35">
      <c r="A56" s="11">
        <v>35096</v>
      </c>
      <c r="B56" s="15">
        <f>VLOOKUP(A56,Database!A:K,MATCH($A$1,Database!$A$1:$K$1,),)</f>
        <v>15457</v>
      </c>
      <c r="C56" s="12">
        <f t="shared" si="0"/>
        <v>-1.4212804444731571E-3</v>
      </c>
      <c r="D56" s="13">
        <f t="shared" si="1"/>
        <v>3.3014769765421371E-2</v>
      </c>
    </row>
    <row r="57" spans="1:4" x14ac:dyDescent="0.35">
      <c r="A57" s="10">
        <v>35125</v>
      </c>
      <c r="B57" s="15">
        <f>VLOOKUP(A57,Database!A:K,MATCH($A$1,Database!$A$1:$K$1,),)</f>
        <v>15951</v>
      </c>
      <c r="C57" s="12">
        <f t="shared" si="0"/>
        <v>3.1959629941126999E-2</v>
      </c>
      <c r="D57" s="13">
        <f t="shared" si="1"/>
        <v>6.9030225856175853E-2</v>
      </c>
    </row>
    <row r="58" spans="1:4" x14ac:dyDescent="0.35">
      <c r="A58" s="11">
        <v>35156</v>
      </c>
      <c r="B58" s="15">
        <f>VLOOKUP(A58,Database!A:K,MATCH($A$1,Database!$A$1:$K$1,),)</f>
        <v>16252</v>
      </c>
      <c r="C58" s="12">
        <f t="shared" si="0"/>
        <v>1.8870290263933297E-2</v>
      </c>
      <c r="D58" s="13">
        <f t="shared" si="1"/>
        <v>8.1951933959123896E-2</v>
      </c>
    </row>
    <row r="59" spans="1:4" x14ac:dyDescent="0.35">
      <c r="A59" s="10">
        <v>35186</v>
      </c>
      <c r="B59" s="15">
        <f>VLOOKUP(A59,Database!A:K,MATCH($A$1,Database!$A$1:$K$1,),)</f>
        <v>16488</v>
      </c>
      <c r="C59" s="12">
        <f t="shared" si="0"/>
        <v>1.4521289687423087E-2</v>
      </c>
      <c r="D59" s="13">
        <f t="shared" si="1"/>
        <v>8.366743345382846E-2</v>
      </c>
    </row>
    <row r="60" spans="1:4" x14ac:dyDescent="0.35">
      <c r="A60" s="11">
        <v>35217</v>
      </c>
      <c r="B60" s="15">
        <f>VLOOKUP(A60,Database!A:K,MATCH($A$1,Database!$A$1:$K$1,),)</f>
        <v>16352</v>
      </c>
      <c r="C60" s="12">
        <f t="shared" si="0"/>
        <v>-8.2484230955846682E-3</v>
      </c>
      <c r="D60" s="13">
        <f t="shared" si="1"/>
        <v>6.6457966477532118E-2</v>
      </c>
    </row>
    <row r="61" spans="1:4" x14ac:dyDescent="0.35">
      <c r="A61" s="10">
        <v>35247</v>
      </c>
      <c r="B61" s="15">
        <f>VLOOKUP(A61,Database!A:K,MATCH($A$1,Database!$A$1:$K$1,),)</f>
        <v>16075</v>
      </c>
      <c r="C61" s="12">
        <f t="shared" si="0"/>
        <v>-1.6939823874755382E-2</v>
      </c>
      <c r="D61" s="13">
        <f t="shared" si="1"/>
        <v>5.4167486392550333E-2</v>
      </c>
    </row>
    <row r="62" spans="1:4" x14ac:dyDescent="0.35">
      <c r="A62" s="11">
        <v>35278</v>
      </c>
      <c r="B62" s="15">
        <f>VLOOKUP(A62,Database!A:K,MATCH($A$1,Database!$A$1:$K$1,),)</f>
        <v>16066</v>
      </c>
      <c r="C62" s="12">
        <f t="shared" si="0"/>
        <v>-5.5987558320373253E-4</v>
      </c>
      <c r="D62" s="13">
        <f t="shared" si="1"/>
        <v>5.5099494319301244E-2</v>
      </c>
    </row>
    <row r="63" spans="1:4" x14ac:dyDescent="0.35">
      <c r="A63" s="10">
        <v>35309</v>
      </c>
      <c r="B63" s="15">
        <f>VLOOKUP(A63,Database!A:K,MATCH($A$1,Database!$A$1:$K$1,),)</f>
        <v>16088</v>
      </c>
      <c r="C63" s="12">
        <f t="shared" si="0"/>
        <v>1.3693514253703472E-3</v>
      </c>
      <c r="D63" s="13">
        <f t="shared" si="1"/>
        <v>5.8839015400816111E-2</v>
      </c>
    </row>
    <row r="64" spans="1:4" x14ac:dyDescent="0.35">
      <c r="A64" s="11">
        <v>35339</v>
      </c>
      <c r="B64" s="15">
        <f>VLOOKUP(A64,Database!A:K,MATCH($A$1,Database!$A$1:$K$1,),)</f>
        <v>16360</v>
      </c>
      <c r="C64" s="12">
        <f t="shared" si="0"/>
        <v>1.6907011437095974E-2</v>
      </c>
      <c r="D64" s="13">
        <f t="shared" si="1"/>
        <v>9.015792630105951E-2</v>
      </c>
    </row>
    <row r="65" spans="1:4" x14ac:dyDescent="0.35">
      <c r="A65" s="10">
        <v>35370</v>
      </c>
      <c r="B65" s="15">
        <f>VLOOKUP(A65,Database!A:K,MATCH($A$1,Database!$A$1:$K$1,),)</f>
        <v>16602</v>
      </c>
      <c r="C65" s="12">
        <f t="shared" si="0"/>
        <v>1.4792176039119805E-2</v>
      </c>
      <c r="D65" s="13">
        <f t="shared" si="1"/>
        <v>0.1082037247179761</v>
      </c>
    </row>
    <row r="66" spans="1:4" x14ac:dyDescent="0.35">
      <c r="A66" s="11">
        <v>35400</v>
      </c>
      <c r="B66" s="15">
        <f>VLOOKUP(A66,Database!A:K,MATCH($A$1,Database!$A$1:$K$1,),)</f>
        <v>16759</v>
      </c>
      <c r="C66" s="12">
        <f t="shared" si="0"/>
        <v>9.4566919648235159E-3</v>
      </c>
      <c r="D66" s="13">
        <f t="shared" si="1"/>
        <v>9.9239144693690148E-2</v>
      </c>
    </row>
    <row r="67" spans="1:4" x14ac:dyDescent="0.35">
      <c r="A67" s="10">
        <v>35431</v>
      </c>
      <c r="B67" s="15">
        <f>VLOOKUP(A67,Database!A:K,MATCH($A$1,Database!$A$1:$K$1,),)</f>
        <v>16938</v>
      </c>
      <c r="C67" s="12">
        <f t="shared" si="0"/>
        <v>1.0680828211707143E-2</v>
      </c>
      <c r="D67" s="13">
        <f t="shared" si="1"/>
        <v>9.42567349311971E-2</v>
      </c>
    </row>
    <row r="68" spans="1:4" x14ac:dyDescent="0.35">
      <c r="A68" s="11">
        <v>35462</v>
      </c>
      <c r="B68" s="15">
        <f>VLOOKUP(A68,Database!A:K,MATCH($A$1,Database!$A$1:$K$1,),)</f>
        <v>16984</v>
      </c>
      <c r="C68" s="12">
        <f t="shared" si="0"/>
        <v>2.7157869878379976E-3</v>
      </c>
      <c r="D68" s="13">
        <f t="shared" si="1"/>
        <v>9.879019214595329E-2</v>
      </c>
    </row>
    <row r="69" spans="1:4" x14ac:dyDescent="0.35">
      <c r="A69" s="10">
        <v>35490</v>
      </c>
      <c r="B69" s="15">
        <f>VLOOKUP(A69,Database!A:K,MATCH($A$1,Database!$A$1:$K$1,),)</f>
        <v>16969</v>
      </c>
      <c r="C69" s="12">
        <f t="shared" si="0"/>
        <v>-8.8318417333961379E-4</v>
      </c>
      <c r="D69" s="13">
        <f t="shared" si="1"/>
        <v>6.3820450128518585E-2</v>
      </c>
    </row>
    <row r="70" spans="1:4" x14ac:dyDescent="0.35">
      <c r="A70" s="11">
        <v>35521</v>
      </c>
      <c r="B70" s="15">
        <f>VLOOKUP(A70,Database!A:K,MATCH($A$1,Database!$A$1:$K$1,),)</f>
        <v>16613</v>
      </c>
      <c r="C70" s="12">
        <f t="shared" si="0"/>
        <v>-2.0979433083858801E-2</v>
      </c>
      <c r="D70" s="13">
        <f t="shared" si="1"/>
        <v>2.2212650750676841E-2</v>
      </c>
    </row>
    <row r="71" spans="1:4" x14ac:dyDescent="0.35">
      <c r="A71" s="10">
        <v>35551</v>
      </c>
      <c r="B71" s="15">
        <f>VLOOKUP(A71,Database!A:K,MATCH($A$1,Database!$A$1:$K$1,),)</f>
        <v>16367</v>
      </c>
      <c r="C71" s="12">
        <f t="shared" si="0"/>
        <v>-1.4807680731956901E-2</v>
      </c>
      <c r="D71" s="13">
        <f t="shared" si="1"/>
        <v>-7.3386705482775347E-3</v>
      </c>
    </row>
    <row r="72" spans="1:4" x14ac:dyDescent="0.35">
      <c r="A72" s="11">
        <v>35582</v>
      </c>
      <c r="B72" s="15">
        <f>VLOOKUP(A72,Database!A:K,MATCH($A$1,Database!$A$1:$K$1,),)</f>
        <v>16378</v>
      </c>
      <c r="C72" s="12">
        <f t="shared" ref="C72:C135" si="2">(B72-B71)/B71</f>
        <v>6.720840716075029E-4</v>
      </c>
      <c r="D72" s="13">
        <f t="shared" si="1"/>
        <v>1.5900195694716242E-3</v>
      </c>
    </row>
    <row r="73" spans="1:4" x14ac:dyDescent="0.35">
      <c r="A73" s="10">
        <v>35612</v>
      </c>
      <c r="B73" s="15">
        <f>VLOOKUP(A73,Database!A:K,MATCH($A$1,Database!$A$1:$K$1,),)</f>
        <v>16396</v>
      </c>
      <c r="C73" s="12">
        <f t="shared" si="2"/>
        <v>1.0990352912443521E-3</v>
      </c>
      <c r="D73" s="13">
        <f t="shared" si="1"/>
        <v>1.9968895800933126E-2</v>
      </c>
    </row>
    <row r="74" spans="1:4" x14ac:dyDescent="0.35">
      <c r="A74" s="11">
        <v>35643</v>
      </c>
      <c r="B74" s="15">
        <f>VLOOKUP(A74,Database!A:K,MATCH($A$1,Database!$A$1:$K$1,),)</f>
        <v>16682</v>
      </c>
      <c r="C74" s="12">
        <f t="shared" si="2"/>
        <v>1.7443278848499635E-2</v>
      </c>
      <c r="D74" s="13">
        <f t="shared" si="1"/>
        <v>3.8341839910369727E-2</v>
      </c>
    </row>
    <row r="75" spans="1:4" x14ac:dyDescent="0.35">
      <c r="A75" s="10">
        <v>35674</v>
      </c>
      <c r="B75" s="15">
        <f>VLOOKUP(A75,Database!A:K,MATCH($A$1,Database!$A$1:$K$1,),)</f>
        <v>16757</v>
      </c>
      <c r="C75" s="12">
        <f t="shared" si="2"/>
        <v>4.4958638052991244E-3</v>
      </c>
      <c r="D75" s="13">
        <f t="shared" si="1"/>
        <v>4.1583789159622075E-2</v>
      </c>
    </row>
    <row r="76" spans="1:4" x14ac:dyDescent="0.35">
      <c r="A76" s="11">
        <v>35704</v>
      </c>
      <c r="B76" s="15">
        <f>VLOOKUP(A76,Database!A:K,MATCH($A$1,Database!$A$1:$K$1,),)</f>
        <v>16711</v>
      </c>
      <c r="C76" s="12">
        <f t="shared" si="2"/>
        <v>-2.7451214417855223E-3</v>
      </c>
      <c r="D76" s="13">
        <f t="shared" si="1"/>
        <v>2.145476772616137E-2</v>
      </c>
    </row>
    <row r="77" spans="1:4" x14ac:dyDescent="0.35">
      <c r="A77" s="10">
        <v>35735</v>
      </c>
      <c r="B77" s="15">
        <f>VLOOKUP(A77,Database!A:K,MATCH($A$1,Database!$A$1:$K$1,),)</f>
        <v>16638</v>
      </c>
      <c r="C77" s="12">
        <f t="shared" si="2"/>
        <v>-4.368380108910299E-3</v>
      </c>
      <c r="D77" s="13">
        <f t="shared" si="1"/>
        <v>2.1684134441633538E-3</v>
      </c>
    </row>
    <row r="78" spans="1:4" x14ac:dyDescent="0.35">
      <c r="A78" s="11">
        <v>35765</v>
      </c>
      <c r="B78" s="15">
        <f>VLOOKUP(A78,Database!A:K,MATCH($A$1,Database!$A$1:$K$1,),)</f>
        <v>16536</v>
      </c>
      <c r="C78" s="12">
        <f t="shared" si="2"/>
        <v>-6.1305445366029573E-3</v>
      </c>
      <c r="D78" s="13">
        <f t="shared" si="1"/>
        <v>-1.3306283191121189E-2</v>
      </c>
    </row>
    <row r="79" spans="1:4" x14ac:dyDescent="0.35">
      <c r="A79" s="10">
        <v>35796</v>
      </c>
      <c r="B79" s="15">
        <f>VLOOKUP(A79,Database!A:K,MATCH($A$1,Database!$A$1:$K$1,),)</f>
        <v>16225</v>
      </c>
      <c r="C79" s="12">
        <f t="shared" si="2"/>
        <v>-1.8807450411223996E-2</v>
      </c>
      <c r="D79" s="13">
        <f t="shared" si="1"/>
        <v>-4.2094698311488959E-2</v>
      </c>
    </row>
    <row r="80" spans="1:4" x14ac:dyDescent="0.35">
      <c r="A80" s="11">
        <v>35827</v>
      </c>
      <c r="B80" s="15">
        <f>VLOOKUP(A80,Database!A:K,MATCH($A$1,Database!$A$1:$K$1,),)</f>
        <v>16054</v>
      </c>
      <c r="C80" s="12">
        <f t="shared" si="2"/>
        <v>-1.0539291217257319E-2</v>
      </c>
      <c r="D80" s="13">
        <f t="shared" si="1"/>
        <v>-5.4757418747056051E-2</v>
      </c>
    </row>
    <row r="81" spans="1:4" x14ac:dyDescent="0.35">
      <c r="A81" s="10">
        <v>35855</v>
      </c>
      <c r="B81" s="15">
        <f>VLOOKUP(A81,Database!A:K,MATCH($A$1,Database!$A$1:$K$1,),)</f>
        <v>15703</v>
      </c>
      <c r="C81" s="12">
        <f t="shared" si="2"/>
        <v>-2.1863709978821477E-2</v>
      </c>
      <c r="D81" s="13">
        <f t="shared" si="1"/>
        <v>-7.4606635629677648E-2</v>
      </c>
    </row>
    <row r="82" spans="1:4" x14ac:dyDescent="0.35">
      <c r="A82" s="11">
        <v>35886</v>
      </c>
      <c r="B82" s="15">
        <f>VLOOKUP(A82,Database!A:K,MATCH($A$1,Database!$A$1:$K$1,),)</f>
        <v>15798</v>
      </c>
      <c r="C82" s="12">
        <f t="shared" si="2"/>
        <v>6.0497994013882696E-3</v>
      </c>
      <c r="D82" s="13">
        <f t="shared" si="1"/>
        <v>-4.9057966652621444E-2</v>
      </c>
    </row>
    <row r="83" spans="1:4" x14ac:dyDescent="0.35">
      <c r="A83" s="10">
        <v>35916</v>
      </c>
      <c r="B83" s="15">
        <f>VLOOKUP(A83,Database!A:K,MATCH($A$1,Database!$A$1:$K$1,),)</f>
        <v>16057</v>
      </c>
      <c r="C83" s="12">
        <f t="shared" si="2"/>
        <v>1.6394480313963792E-2</v>
      </c>
      <c r="D83" s="13">
        <f t="shared" ref="D83:D146" si="3">(B83-B71)/B71</f>
        <v>-1.8940551108938719E-2</v>
      </c>
    </row>
    <row r="84" spans="1:4" x14ac:dyDescent="0.35">
      <c r="A84" s="11">
        <v>35947</v>
      </c>
      <c r="B84" s="15">
        <f>VLOOKUP(A84,Database!A:K,MATCH($A$1,Database!$A$1:$K$1,),)</f>
        <v>15933</v>
      </c>
      <c r="C84" s="12">
        <f t="shared" si="2"/>
        <v>-7.7224886342405182E-3</v>
      </c>
      <c r="D84" s="13">
        <f t="shared" si="3"/>
        <v>-2.7170594700207596E-2</v>
      </c>
    </row>
    <row r="85" spans="1:4" x14ac:dyDescent="0.35">
      <c r="A85" s="10">
        <v>35977</v>
      </c>
      <c r="B85" s="15">
        <f>VLOOKUP(A85,Database!A:K,MATCH($A$1,Database!$A$1:$K$1,),)</f>
        <v>16087</v>
      </c>
      <c r="C85" s="12">
        <f t="shared" si="2"/>
        <v>9.6654741730998559E-3</v>
      </c>
      <c r="D85" s="13">
        <f t="shared" si="3"/>
        <v>-1.8846060014637716E-2</v>
      </c>
    </row>
    <row r="86" spans="1:4" x14ac:dyDescent="0.35">
      <c r="A86" s="11">
        <v>36008</v>
      </c>
      <c r="B86" s="15">
        <f>VLOOKUP(A86,Database!A:K,MATCH($A$1,Database!$A$1:$K$1,),)</f>
        <v>15851</v>
      </c>
      <c r="C86" s="12">
        <f t="shared" si="2"/>
        <v>-1.4670230620998322E-2</v>
      </c>
      <c r="D86" s="13">
        <f t="shared" si="3"/>
        <v>-4.9814170962714302E-2</v>
      </c>
    </row>
    <row r="87" spans="1:4" x14ac:dyDescent="0.35">
      <c r="A87" s="10">
        <v>36039</v>
      </c>
      <c r="B87" s="15">
        <f>VLOOKUP(A87,Database!A:K,MATCH($A$1,Database!$A$1:$K$1,),)</f>
        <v>15812</v>
      </c>
      <c r="C87" s="12">
        <f t="shared" si="2"/>
        <v>-2.4604125922654723E-3</v>
      </c>
      <c r="D87" s="13">
        <f t="shared" si="3"/>
        <v>-5.6394342662767799E-2</v>
      </c>
    </row>
    <row r="88" spans="1:4" x14ac:dyDescent="0.35">
      <c r="A88" s="11">
        <v>36069</v>
      </c>
      <c r="B88" s="15">
        <f>VLOOKUP(A88,Database!A:K,MATCH($A$1,Database!$A$1:$K$1,),)</f>
        <v>15948</v>
      </c>
      <c r="C88" s="12">
        <f t="shared" si="2"/>
        <v>8.601062484189223E-3</v>
      </c>
      <c r="D88" s="13">
        <f t="shared" si="3"/>
        <v>-4.5658548261624077E-2</v>
      </c>
    </row>
    <row r="89" spans="1:4" x14ac:dyDescent="0.35">
      <c r="A89" s="10">
        <v>36100</v>
      </c>
      <c r="B89" s="15">
        <f>VLOOKUP(A89,Database!A:K,MATCH($A$1,Database!$A$1:$K$1,),)</f>
        <v>16014</v>
      </c>
      <c r="C89" s="12">
        <f t="shared" si="2"/>
        <v>4.1384499623777276E-3</v>
      </c>
      <c r="D89" s="13">
        <f t="shared" si="3"/>
        <v>-3.750450775333574E-2</v>
      </c>
    </row>
    <row r="90" spans="1:4" x14ac:dyDescent="0.35">
      <c r="A90" s="11">
        <v>36130</v>
      </c>
      <c r="B90" s="15">
        <f>VLOOKUP(A90,Database!A:K,MATCH($A$1,Database!$A$1:$K$1,),)</f>
        <v>16399</v>
      </c>
      <c r="C90" s="12">
        <f t="shared" si="2"/>
        <v>2.4041463719245659E-2</v>
      </c>
      <c r="D90" s="13">
        <f t="shared" si="3"/>
        <v>-8.2849540396710206E-3</v>
      </c>
    </row>
    <row r="91" spans="1:4" x14ac:dyDescent="0.35">
      <c r="A91" s="10">
        <v>36161</v>
      </c>
      <c r="B91" s="15">
        <f>VLOOKUP(A91,Database!A:K,MATCH($A$1,Database!$A$1:$K$1,),)</f>
        <v>16394</v>
      </c>
      <c r="C91" s="12">
        <f t="shared" si="2"/>
        <v>-3.0489664003902674E-4</v>
      </c>
      <c r="D91" s="13">
        <f t="shared" si="3"/>
        <v>1.0416024653312789E-2</v>
      </c>
    </row>
    <row r="92" spans="1:4" x14ac:dyDescent="0.35">
      <c r="A92" s="11">
        <v>36192</v>
      </c>
      <c r="B92" s="15">
        <f>VLOOKUP(A92,Database!A:K,MATCH($A$1,Database!$A$1:$K$1,),)</f>
        <v>16309</v>
      </c>
      <c r="C92" s="12">
        <f t="shared" si="2"/>
        <v>-5.1848237159936566E-3</v>
      </c>
      <c r="D92" s="13">
        <f t="shared" si="3"/>
        <v>1.5883891864955774E-2</v>
      </c>
    </row>
    <row r="93" spans="1:4" x14ac:dyDescent="0.35">
      <c r="A93" s="10">
        <v>36220</v>
      </c>
      <c r="B93" s="15">
        <f>VLOOKUP(A93,Database!A:K,MATCH($A$1,Database!$A$1:$K$1,),)</f>
        <v>16529</v>
      </c>
      <c r="C93" s="12">
        <f t="shared" si="2"/>
        <v>1.3489484333803422E-2</v>
      </c>
      <c r="D93" s="13">
        <f t="shared" si="3"/>
        <v>5.2601413742596956E-2</v>
      </c>
    </row>
    <row r="94" spans="1:4" x14ac:dyDescent="0.35">
      <c r="A94" s="11">
        <v>36251</v>
      </c>
      <c r="B94" s="15">
        <f>VLOOKUP(A94,Database!A:K,MATCH($A$1,Database!$A$1:$K$1,),)</f>
        <v>17115</v>
      </c>
      <c r="C94" s="12">
        <f t="shared" si="2"/>
        <v>3.5452840462217923E-2</v>
      </c>
      <c r="D94" s="13">
        <f t="shared" si="3"/>
        <v>8.3364982909229016E-2</v>
      </c>
    </row>
    <row r="95" spans="1:4" x14ac:dyDescent="0.35">
      <c r="A95" s="10">
        <v>36281</v>
      </c>
      <c r="B95" s="15">
        <f>VLOOKUP(A95,Database!A:K,MATCH($A$1,Database!$A$1:$K$1,),)</f>
        <v>17186</v>
      </c>
      <c r="C95" s="12">
        <f t="shared" si="2"/>
        <v>4.1484078293894241E-3</v>
      </c>
      <c r="D95" s="13">
        <f t="shared" si="3"/>
        <v>7.031201345207698E-2</v>
      </c>
    </row>
    <row r="96" spans="1:4" x14ac:dyDescent="0.35">
      <c r="A96" s="11">
        <v>36312</v>
      </c>
      <c r="B96" s="15">
        <f>VLOOKUP(A96,Database!A:K,MATCH($A$1,Database!$A$1:$K$1,),)</f>
        <v>17070</v>
      </c>
      <c r="C96" s="12">
        <f t="shared" si="2"/>
        <v>-6.7496799720702895E-3</v>
      </c>
      <c r="D96" s="13">
        <f t="shared" si="3"/>
        <v>7.1361325550743746E-2</v>
      </c>
    </row>
    <row r="97" spans="1:4" x14ac:dyDescent="0.35">
      <c r="A97" s="10">
        <v>36342</v>
      </c>
      <c r="B97" s="15">
        <f>VLOOKUP(A97,Database!A:K,MATCH($A$1,Database!$A$1:$K$1,),)</f>
        <v>17704</v>
      </c>
      <c r="C97" s="12">
        <f t="shared" si="2"/>
        <v>3.7141183362624487E-2</v>
      </c>
      <c r="D97" s="13">
        <f t="shared" si="3"/>
        <v>0.10051594455150122</v>
      </c>
    </row>
    <row r="98" spans="1:4" x14ac:dyDescent="0.35">
      <c r="A98" s="11">
        <v>36373</v>
      </c>
      <c r="B98" s="15">
        <f>VLOOKUP(A98,Database!A:K,MATCH($A$1,Database!$A$1:$K$1,),)</f>
        <v>18135</v>
      </c>
      <c r="C98" s="12">
        <f t="shared" si="2"/>
        <v>2.4344780840488026E-2</v>
      </c>
      <c r="D98" s="13">
        <f t="shared" si="3"/>
        <v>0.14409185540344457</v>
      </c>
    </row>
    <row r="99" spans="1:4" x14ac:dyDescent="0.35">
      <c r="A99" s="10">
        <v>36404</v>
      </c>
      <c r="B99" s="15">
        <f>VLOOKUP(A99,Database!A:K,MATCH($A$1,Database!$A$1:$K$1,),)</f>
        <v>18339</v>
      </c>
      <c r="C99" s="12">
        <f t="shared" si="2"/>
        <v>1.1248966087675765E-2</v>
      </c>
      <c r="D99" s="13">
        <f t="shared" si="3"/>
        <v>0.15981533012901594</v>
      </c>
    </row>
    <row r="100" spans="1:4" x14ac:dyDescent="0.35">
      <c r="A100" s="11">
        <v>36434</v>
      </c>
      <c r="B100" s="15">
        <f>VLOOKUP(A100,Database!A:K,MATCH($A$1,Database!$A$1:$K$1,),)</f>
        <v>18632</v>
      </c>
      <c r="C100" s="12">
        <f t="shared" si="2"/>
        <v>1.5976879873493648E-2</v>
      </c>
      <c r="D100" s="13">
        <f t="shared" si="3"/>
        <v>0.16829696513669426</v>
      </c>
    </row>
    <row r="101" spans="1:4" x14ac:dyDescent="0.35">
      <c r="A101" s="10">
        <v>36465</v>
      </c>
      <c r="B101" s="15">
        <f>VLOOKUP(A101,Database!A:K,MATCH($A$1,Database!$A$1:$K$1,),)</f>
        <v>18992</v>
      </c>
      <c r="C101" s="12">
        <f t="shared" si="2"/>
        <v>1.9321597252039503E-2</v>
      </c>
      <c r="D101" s="13">
        <f t="shared" si="3"/>
        <v>0.18596228300237291</v>
      </c>
    </row>
    <row r="102" spans="1:4" x14ac:dyDescent="0.35">
      <c r="A102" s="11">
        <v>36495</v>
      </c>
      <c r="B102" s="15">
        <f>VLOOKUP(A102,Database!A:K,MATCH($A$1,Database!$A$1:$K$1,),)</f>
        <v>20095</v>
      </c>
      <c r="C102" s="12">
        <f t="shared" si="2"/>
        <v>5.8077085088458297E-2</v>
      </c>
      <c r="D102" s="13">
        <f t="shared" si="3"/>
        <v>0.22537959631684859</v>
      </c>
    </row>
    <row r="103" spans="1:4" x14ac:dyDescent="0.35">
      <c r="A103" s="10">
        <v>36526</v>
      </c>
      <c r="B103" s="15">
        <f>VLOOKUP(A103,Database!A:K,MATCH($A$1,Database!$A$1:$K$1,),)</f>
        <v>19358</v>
      </c>
      <c r="C103" s="12">
        <f t="shared" si="2"/>
        <v>-3.6675789997511817E-2</v>
      </c>
      <c r="D103" s="13">
        <f t="shared" si="3"/>
        <v>0.18079785287300232</v>
      </c>
    </row>
    <row r="104" spans="1:4" x14ac:dyDescent="0.35">
      <c r="A104" s="11">
        <v>36557</v>
      </c>
      <c r="B104" s="15">
        <f>VLOOKUP(A104,Database!A:K,MATCH($A$1,Database!$A$1:$K$1,),)</f>
        <v>20214</v>
      </c>
      <c r="C104" s="12">
        <f t="shared" si="2"/>
        <v>4.4219444157454282E-2</v>
      </c>
      <c r="D104" s="13">
        <f t="shared" si="3"/>
        <v>0.23943834692501073</v>
      </c>
    </row>
    <row r="105" spans="1:4" x14ac:dyDescent="0.35">
      <c r="A105" s="10">
        <v>36586</v>
      </c>
      <c r="B105" s="15">
        <f>VLOOKUP(A105,Database!A:K,MATCH($A$1,Database!$A$1:$K$1,),)</f>
        <v>20819</v>
      </c>
      <c r="C105" s="12">
        <f t="shared" si="2"/>
        <v>2.9929751657267242E-2</v>
      </c>
      <c r="D105" s="13">
        <f t="shared" si="3"/>
        <v>0.25954383205275577</v>
      </c>
    </row>
    <row r="106" spans="1:4" x14ac:dyDescent="0.35">
      <c r="A106" s="11">
        <v>36617</v>
      </c>
      <c r="B106" s="15">
        <f>VLOOKUP(A106,Database!A:K,MATCH($A$1,Database!$A$1:$K$1,),)</f>
        <v>19907</v>
      </c>
      <c r="C106" s="12">
        <f t="shared" si="2"/>
        <v>-4.3806138623372883E-2</v>
      </c>
      <c r="D106" s="13">
        <f t="shared" si="3"/>
        <v>0.16313175576979258</v>
      </c>
    </row>
    <row r="107" spans="1:4" x14ac:dyDescent="0.35">
      <c r="A107" s="10">
        <v>36647</v>
      </c>
      <c r="B107" s="15">
        <f>VLOOKUP(A107,Database!A:K,MATCH($A$1,Database!$A$1:$K$1,),)</f>
        <v>20242</v>
      </c>
      <c r="C107" s="12">
        <f t="shared" si="2"/>
        <v>1.6828251368865222E-2</v>
      </c>
      <c r="D107" s="13">
        <f t="shared" si="3"/>
        <v>0.17781915512626556</v>
      </c>
    </row>
    <row r="108" spans="1:4" x14ac:dyDescent="0.35">
      <c r="A108" s="11">
        <v>36678</v>
      </c>
      <c r="B108" s="15">
        <f>VLOOKUP(A108,Database!A:K,MATCH($A$1,Database!$A$1:$K$1,),)</f>
        <v>20885</v>
      </c>
      <c r="C108" s="12">
        <f t="shared" si="2"/>
        <v>3.1765635806738461E-2</v>
      </c>
      <c r="D108" s="13">
        <f t="shared" si="3"/>
        <v>0.22349150556531927</v>
      </c>
    </row>
    <row r="109" spans="1:4" x14ac:dyDescent="0.35">
      <c r="A109" s="10">
        <v>36708</v>
      </c>
      <c r="B109" s="15">
        <f>VLOOKUP(A109,Database!A:K,MATCH($A$1,Database!$A$1:$K$1,),)</f>
        <v>20905</v>
      </c>
      <c r="C109" s="12">
        <f t="shared" si="2"/>
        <v>9.5762508977735214E-4</v>
      </c>
      <c r="D109" s="13">
        <f t="shared" si="3"/>
        <v>0.18080659737912336</v>
      </c>
    </row>
    <row r="110" spans="1:4" x14ac:dyDescent="0.35">
      <c r="A110" s="11">
        <v>36739</v>
      </c>
      <c r="B110" s="15">
        <f>VLOOKUP(A110,Database!A:K,MATCH($A$1,Database!$A$1:$K$1,),)</f>
        <v>20574</v>
      </c>
      <c r="C110" s="12">
        <f t="shared" si="2"/>
        <v>-1.5833532647691939E-2</v>
      </c>
      <c r="D110" s="13">
        <f t="shared" si="3"/>
        <v>0.13449131513647641</v>
      </c>
    </row>
    <row r="111" spans="1:4" x14ac:dyDescent="0.35">
      <c r="A111" s="10">
        <v>36770</v>
      </c>
      <c r="B111" s="15">
        <f>VLOOKUP(A111,Database!A:K,MATCH($A$1,Database!$A$1:$K$1,),)</f>
        <v>21327</v>
      </c>
      <c r="C111" s="12">
        <f t="shared" si="2"/>
        <v>3.6599591717701954E-2</v>
      </c>
      <c r="D111" s="13">
        <f t="shared" si="3"/>
        <v>0.16293145754948471</v>
      </c>
    </row>
    <row r="112" spans="1:4" x14ac:dyDescent="0.35">
      <c r="A112" s="11">
        <v>36800</v>
      </c>
      <c r="B112" s="15">
        <f>VLOOKUP(A112,Database!A:K,MATCH($A$1,Database!$A$1:$K$1,),)</f>
        <v>21412</v>
      </c>
      <c r="C112" s="12">
        <f t="shared" si="2"/>
        <v>3.9855582125943641E-3</v>
      </c>
      <c r="D112" s="13">
        <f t="shared" si="3"/>
        <v>0.14920566766852728</v>
      </c>
    </row>
    <row r="113" spans="1:4" x14ac:dyDescent="0.35">
      <c r="A113" s="10">
        <v>36831</v>
      </c>
      <c r="B113" s="15">
        <f>VLOOKUP(A113,Database!A:K,MATCH($A$1,Database!$A$1:$K$1,),)</f>
        <v>21906</v>
      </c>
      <c r="C113" s="12">
        <f t="shared" si="2"/>
        <v>2.3071175042032505E-2</v>
      </c>
      <c r="D113" s="13">
        <f t="shared" si="3"/>
        <v>0.15343302443133952</v>
      </c>
    </row>
    <row r="114" spans="1:4" x14ac:dyDescent="0.35">
      <c r="A114" s="11">
        <v>36861</v>
      </c>
      <c r="B114" s="15">
        <f>VLOOKUP(A114,Database!A:K,MATCH($A$1,Database!$A$1:$K$1,),)</f>
        <v>22124</v>
      </c>
      <c r="C114" s="12">
        <f t="shared" si="2"/>
        <v>9.9516114306582668E-3</v>
      </c>
      <c r="D114" s="13">
        <f t="shared" si="3"/>
        <v>0.10097039064443891</v>
      </c>
    </row>
    <row r="115" spans="1:4" x14ac:dyDescent="0.35">
      <c r="A115" s="10">
        <v>36892</v>
      </c>
      <c r="B115" s="15">
        <f>VLOOKUP(A115,Database!A:K,MATCH($A$1,Database!$A$1:$K$1,),)</f>
        <v>21931</v>
      </c>
      <c r="C115" s="12">
        <f t="shared" si="2"/>
        <v>-8.7235581269209904E-3</v>
      </c>
      <c r="D115" s="13">
        <f t="shared" si="3"/>
        <v>0.13291662361814238</v>
      </c>
    </row>
    <row r="116" spans="1:4" x14ac:dyDescent="0.35">
      <c r="A116" s="11">
        <v>36923</v>
      </c>
      <c r="B116" s="15">
        <f>VLOOKUP(A116,Database!A:K,MATCH($A$1,Database!$A$1:$K$1,),)</f>
        <v>21615</v>
      </c>
      <c r="C116" s="12">
        <f t="shared" si="2"/>
        <v>-1.4408827686835986E-2</v>
      </c>
      <c r="D116" s="13">
        <f t="shared" si="3"/>
        <v>6.9308400118729588E-2</v>
      </c>
    </row>
    <row r="117" spans="1:4" x14ac:dyDescent="0.35">
      <c r="A117" s="10">
        <v>36951</v>
      </c>
      <c r="B117" s="15">
        <f>VLOOKUP(A117,Database!A:K,MATCH($A$1,Database!$A$1:$K$1,),)</f>
        <v>20652</v>
      </c>
      <c r="C117" s="12">
        <f t="shared" si="2"/>
        <v>-4.4552394170714785E-2</v>
      </c>
      <c r="D117" s="13">
        <f t="shared" si="3"/>
        <v>-8.021518804937797E-3</v>
      </c>
    </row>
    <row r="118" spans="1:4" x14ac:dyDescent="0.35">
      <c r="A118" s="11">
        <v>36982</v>
      </c>
      <c r="B118" s="15">
        <f>VLOOKUP(A118,Database!A:K,MATCH($A$1,Database!$A$1:$K$1,),)</f>
        <v>21618</v>
      </c>
      <c r="C118" s="12">
        <f t="shared" si="2"/>
        <v>4.6775130737943059E-2</v>
      </c>
      <c r="D118" s="13">
        <f t="shared" si="3"/>
        <v>8.5949665946651932E-2</v>
      </c>
    </row>
    <row r="119" spans="1:4" x14ac:dyDescent="0.35">
      <c r="A119" s="10">
        <v>37012</v>
      </c>
      <c r="B119" s="15">
        <f>VLOOKUP(A119,Database!A:K,MATCH($A$1,Database!$A$1:$K$1,),)</f>
        <v>22628</v>
      </c>
      <c r="C119" s="12">
        <f t="shared" si="2"/>
        <v>4.6720325654547139E-2</v>
      </c>
      <c r="D119" s="13">
        <f t="shared" si="3"/>
        <v>0.11787372789250074</v>
      </c>
    </row>
    <row r="120" spans="1:4" x14ac:dyDescent="0.35">
      <c r="A120" s="11">
        <v>37043</v>
      </c>
      <c r="B120" s="15">
        <f>VLOOKUP(A120,Database!A:K,MATCH($A$1,Database!$A$1:$K$1,),)</f>
        <v>21928</v>
      </c>
      <c r="C120" s="12">
        <f t="shared" si="2"/>
        <v>-3.0935124624359201E-2</v>
      </c>
      <c r="D120" s="13">
        <f t="shared" si="3"/>
        <v>4.9940148431888917E-2</v>
      </c>
    </row>
    <row r="121" spans="1:4" x14ac:dyDescent="0.35">
      <c r="A121" s="10">
        <v>37073</v>
      </c>
      <c r="B121" s="15">
        <f>VLOOKUP(A121,Database!A:K,MATCH($A$1,Database!$A$1:$K$1,),)</f>
        <v>20686</v>
      </c>
      <c r="C121" s="12">
        <f t="shared" si="2"/>
        <v>-5.6639912440715069E-2</v>
      </c>
      <c r="D121" s="13">
        <f t="shared" si="3"/>
        <v>-1.0475962688352068E-2</v>
      </c>
    </row>
    <row r="122" spans="1:4" x14ac:dyDescent="0.35">
      <c r="A122" s="11">
        <v>37104</v>
      </c>
      <c r="B122" s="15">
        <f>VLOOKUP(A122,Database!A:K,MATCH($A$1,Database!$A$1:$K$1,),)</f>
        <v>20878</v>
      </c>
      <c r="C122" s="12">
        <f t="shared" si="2"/>
        <v>9.2816397563569557E-3</v>
      </c>
      <c r="D122" s="13">
        <f t="shared" si="3"/>
        <v>1.4775930786429473E-2</v>
      </c>
    </row>
    <row r="123" spans="1:4" x14ac:dyDescent="0.35">
      <c r="A123" s="10">
        <v>37135</v>
      </c>
      <c r="B123" s="15">
        <f>VLOOKUP(A123,Database!A:K,MATCH($A$1,Database!$A$1:$K$1,),)</f>
        <v>21336</v>
      </c>
      <c r="C123" s="12">
        <f t="shared" si="2"/>
        <v>2.1936967142446594E-2</v>
      </c>
      <c r="D123" s="13">
        <f t="shared" si="3"/>
        <v>4.2200028133352089E-4</v>
      </c>
    </row>
    <row r="124" spans="1:4" x14ac:dyDescent="0.35">
      <c r="A124" s="11">
        <v>37165</v>
      </c>
      <c r="B124" s="15">
        <f>VLOOKUP(A124,Database!A:K,MATCH($A$1,Database!$A$1:$K$1,),)</f>
        <v>20033</v>
      </c>
      <c r="C124" s="12">
        <f t="shared" si="2"/>
        <v>-6.1070491188601424E-2</v>
      </c>
      <c r="D124" s="13">
        <f t="shared" si="3"/>
        <v>-6.4403138427050255E-2</v>
      </c>
    </row>
    <row r="125" spans="1:4" x14ac:dyDescent="0.35">
      <c r="A125" s="10">
        <v>37196</v>
      </c>
      <c r="B125" s="15">
        <f>VLOOKUP(A125,Database!A:K,MATCH($A$1,Database!$A$1:$K$1,),)</f>
        <v>19245</v>
      </c>
      <c r="C125" s="12">
        <f t="shared" si="2"/>
        <v>-3.9335097089801825E-2</v>
      </c>
      <c r="D125" s="13">
        <f t="shared" si="3"/>
        <v>-0.12147356888523692</v>
      </c>
    </row>
    <row r="126" spans="1:4" x14ac:dyDescent="0.35">
      <c r="A126" s="11">
        <v>37226</v>
      </c>
      <c r="B126" s="15">
        <f>VLOOKUP(A126,Database!A:K,MATCH($A$1,Database!$A$1:$K$1,),)</f>
        <v>18950</v>
      </c>
      <c r="C126" s="12">
        <f t="shared" si="2"/>
        <v>-1.532865679397246E-2</v>
      </c>
      <c r="D126" s="13">
        <f t="shared" si="3"/>
        <v>-0.14346411137226542</v>
      </c>
    </row>
    <row r="127" spans="1:4" x14ac:dyDescent="0.35">
      <c r="A127" s="10">
        <v>37257</v>
      </c>
      <c r="B127" s="15">
        <f>VLOOKUP(A127,Database!A:K,MATCH($A$1,Database!$A$1:$K$1,),)</f>
        <v>19130</v>
      </c>
      <c r="C127" s="12">
        <f t="shared" si="2"/>
        <v>9.4986807387862793E-3</v>
      </c>
      <c r="D127" s="13">
        <f t="shared" si="3"/>
        <v>-0.12771875427477086</v>
      </c>
    </row>
    <row r="128" spans="1:4" x14ac:dyDescent="0.35">
      <c r="A128" s="11">
        <v>37288</v>
      </c>
      <c r="B128" s="15">
        <f>VLOOKUP(A128,Database!A:K,MATCH($A$1,Database!$A$1:$K$1,),)</f>
        <v>19068</v>
      </c>
      <c r="C128" s="12">
        <f t="shared" si="2"/>
        <v>-3.2409827496079455E-3</v>
      </c>
      <c r="D128" s="13">
        <f t="shared" si="3"/>
        <v>-0.11783483691880639</v>
      </c>
    </row>
    <row r="129" spans="1:4" x14ac:dyDescent="0.35">
      <c r="A129" s="10">
        <v>37316</v>
      </c>
      <c r="B129" s="15">
        <f>VLOOKUP(A129,Database!A:K,MATCH($A$1,Database!$A$1:$K$1,),)</f>
        <v>19813</v>
      </c>
      <c r="C129" s="12">
        <f t="shared" si="2"/>
        <v>3.9070694357037972E-2</v>
      </c>
      <c r="D129" s="13">
        <f t="shared" si="3"/>
        <v>-4.0625605268254893E-2</v>
      </c>
    </row>
    <row r="130" spans="1:4" x14ac:dyDescent="0.35">
      <c r="A130" s="11">
        <v>37347</v>
      </c>
      <c r="B130" s="15">
        <f>VLOOKUP(A130,Database!A:K,MATCH($A$1,Database!$A$1:$K$1,),)</f>
        <v>20856</v>
      </c>
      <c r="C130" s="12">
        <f t="shared" si="2"/>
        <v>5.2642204613132793E-2</v>
      </c>
      <c r="D130" s="13">
        <f t="shared" si="3"/>
        <v>-3.5248404107688036E-2</v>
      </c>
    </row>
    <row r="131" spans="1:4" x14ac:dyDescent="0.35">
      <c r="A131" s="10">
        <v>37377</v>
      </c>
      <c r="B131" s="15">
        <f>VLOOKUP(A131,Database!A:K,MATCH($A$1,Database!$A$1:$K$1,),)</f>
        <v>20930</v>
      </c>
      <c r="C131" s="12">
        <f t="shared" si="2"/>
        <v>3.5481396240889911E-3</v>
      </c>
      <c r="D131" s="13">
        <f t="shared" si="3"/>
        <v>-7.503977373165989E-2</v>
      </c>
    </row>
    <row r="132" spans="1:4" x14ac:dyDescent="0.35">
      <c r="A132" s="11">
        <v>37408</v>
      </c>
      <c r="B132" s="15">
        <f>VLOOKUP(A132,Database!A:K,MATCH($A$1,Database!$A$1:$K$1,),)</f>
        <v>20733</v>
      </c>
      <c r="C132" s="12">
        <f t="shared" si="2"/>
        <v>-9.4123268036311516E-3</v>
      </c>
      <c r="D132" s="13">
        <f t="shared" si="3"/>
        <v>-5.4496534111638087E-2</v>
      </c>
    </row>
    <row r="133" spans="1:4" x14ac:dyDescent="0.35">
      <c r="A133" s="10">
        <v>37438</v>
      </c>
      <c r="B133" s="15">
        <f>VLOOKUP(A133,Database!A:K,MATCH($A$1,Database!$A$1:$K$1,),)</f>
        <v>21438</v>
      </c>
      <c r="C133" s="12">
        <f t="shared" si="2"/>
        <v>3.4003762118362028E-2</v>
      </c>
      <c r="D133" s="13">
        <f t="shared" si="3"/>
        <v>3.635308904573141E-2</v>
      </c>
    </row>
    <row r="134" spans="1:4" x14ac:dyDescent="0.35">
      <c r="A134" s="11">
        <v>37469</v>
      </c>
      <c r="B134" s="15">
        <f>VLOOKUP(A134,Database!A:K,MATCH($A$1,Database!$A$1:$K$1,),)</f>
        <v>21182</v>
      </c>
      <c r="C134" s="12">
        <f t="shared" si="2"/>
        <v>-1.1941412445190782E-2</v>
      </c>
      <c r="D134" s="13">
        <f t="shared" si="3"/>
        <v>1.4560781684069355E-2</v>
      </c>
    </row>
    <row r="135" spans="1:4" x14ac:dyDescent="0.35">
      <c r="A135" s="10">
        <v>37500</v>
      </c>
      <c r="B135" s="15">
        <f>VLOOKUP(A135,Database!A:K,MATCH($A$1,Database!$A$1:$K$1,),)</f>
        <v>21272</v>
      </c>
      <c r="C135" s="12">
        <f t="shared" si="2"/>
        <v>4.2488905674629403E-3</v>
      </c>
      <c r="D135" s="13">
        <f t="shared" si="3"/>
        <v>-2.9996250468691415E-3</v>
      </c>
    </row>
    <row r="136" spans="1:4" x14ac:dyDescent="0.35">
      <c r="A136" s="11">
        <v>37530</v>
      </c>
      <c r="B136" s="15">
        <f>VLOOKUP(A136,Database!A:K,MATCH($A$1,Database!$A$1:$K$1,),)</f>
        <v>21659</v>
      </c>
      <c r="C136" s="12">
        <f t="shared" ref="C136:C199" si="4">(B136-B135)/B135</f>
        <v>1.8192929672809326E-2</v>
      </c>
      <c r="D136" s="13">
        <f t="shared" si="3"/>
        <v>8.1166075974641844E-2</v>
      </c>
    </row>
    <row r="137" spans="1:4" x14ac:dyDescent="0.35">
      <c r="A137" s="10">
        <v>37561</v>
      </c>
      <c r="B137" s="15">
        <f>VLOOKUP(A137,Database!A:K,MATCH($A$1,Database!$A$1:$K$1,),)</f>
        <v>22009</v>
      </c>
      <c r="C137" s="12">
        <f t="shared" si="4"/>
        <v>1.615956415346969E-2</v>
      </c>
      <c r="D137" s="13">
        <f t="shared" si="3"/>
        <v>0.14362171992725384</v>
      </c>
    </row>
    <row r="138" spans="1:4" x14ac:dyDescent="0.35">
      <c r="A138" s="11">
        <v>37591</v>
      </c>
      <c r="B138" s="15">
        <f>VLOOKUP(A138,Database!A:K,MATCH($A$1,Database!$A$1:$K$1,),)</f>
        <v>22464</v>
      </c>
      <c r="C138" s="12">
        <f t="shared" si="4"/>
        <v>2.0673360897814529E-2</v>
      </c>
      <c r="D138" s="13">
        <f t="shared" si="3"/>
        <v>0.1854353562005277</v>
      </c>
    </row>
    <row r="139" spans="1:4" x14ac:dyDescent="0.35">
      <c r="A139" s="10">
        <v>37622</v>
      </c>
      <c r="B139" s="15">
        <f>VLOOKUP(A139,Database!A:K,MATCH($A$1,Database!$A$1:$K$1,),)</f>
        <v>23073</v>
      </c>
      <c r="C139" s="12">
        <f t="shared" si="4"/>
        <v>2.7110042735042736E-2</v>
      </c>
      <c r="D139" s="13">
        <f t="shared" si="3"/>
        <v>0.2061160480920021</v>
      </c>
    </row>
    <row r="140" spans="1:4" x14ac:dyDescent="0.35">
      <c r="A140" s="11">
        <v>37653</v>
      </c>
      <c r="B140" s="15">
        <f>VLOOKUP(A140,Database!A:K,MATCH($A$1,Database!$A$1:$K$1,),)</f>
        <v>23885</v>
      </c>
      <c r="C140" s="12">
        <f t="shared" si="4"/>
        <v>3.5192649417067567E-2</v>
      </c>
      <c r="D140" s="13">
        <f t="shared" si="3"/>
        <v>0.25262219425215021</v>
      </c>
    </row>
    <row r="141" spans="1:4" x14ac:dyDescent="0.35">
      <c r="A141" s="10">
        <v>37681</v>
      </c>
      <c r="B141" s="15">
        <f>VLOOKUP(A141,Database!A:K,MATCH($A$1,Database!$A$1:$K$1,),)</f>
        <v>23968</v>
      </c>
      <c r="C141" s="12">
        <f t="shared" si="4"/>
        <v>3.4749842997697298E-3</v>
      </c>
      <c r="D141" s="13">
        <f t="shared" si="3"/>
        <v>0.20971079594205824</v>
      </c>
    </row>
    <row r="142" spans="1:4" x14ac:dyDescent="0.35">
      <c r="A142" s="11">
        <v>37712</v>
      </c>
      <c r="B142" s="15">
        <f>VLOOKUP(A142,Database!A:K,MATCH($A$1,Database!$A$1:$K$1,),)</f>
        <v>22581</v>
      </c>
      <c r="C142" s="12">
        <f t="shared" si="4"/>
        <v>-5.7868825100133511E-2</v>
      </c>
      <c r="D142" s="13">
        <f t="shared" si="3"/>
        <v>8.2710011507479864E-2</v>
      </c>
    </row>
    <row r="143" spans="1:4" x14ac:dyDescent="0.35">
      <c r="A143" s="10">
        <v>37742</v>
      </c>
      <c r="B143" s="15">
        <f>VLOOKUP(A143,Database!A:K,MATCH($A$1,Database!$A$1:$K$1,),)</f>
        <v>21810</v>
      </c>
      <c r="C143" s="12">
        <f t="shared" si="4"/>
        <v>-3.4143749169655908E-2</v>
      </c>
      <c r="D143" s="13">
        <f t="shared" si="3"/>
        <v>4.2044911610129E-2</v>
      </c>
    </row>
    <row r="144" spans="1:4" x14ac:dyDescent="0.35">
      <c r="A144" s="11">
        <v>37773</v>
      </c>
      <c r="B144" s="15">
        <f>VLOOKUP(A144,Database!A:K,MATCH($A$1,Database!$A$1:$K$1,),)</f>
        <v>21777</v>
      </c>
      <c r="C144" s="12">
        <f t="shared" si="4"/>
        <v>-1.5130674002751031E-3</v>
      </c>
      <c r="D144" s="13">
        <f t="shared" si="3"/>
        <v>5.0354507307191432E-2</v>
      </c>
    </row>
    <row r="145" spans="1:4" x14ac:dyDescent="0.35">
      <c r="A145" s="10">
        <v>37803</v>
      </c>
      <c r="B145" s="15">
        <f>VLOOKUP(A145,Database!A:K,MATCH($A$1,Database!$A$1:$K$1,),)</f>
        <v>22196</v>
      </c>
      <c r="C145" s="12">
        <f t="shared" si="4"/>
        <v>1.9240483078477293E-2</v>
      </c>
      <c r="D145" s="13">
        <f t="shared" si="3"/>
        <v>3.5357775911932086E-2</v>
      </c>
    </row>
    <row r="146" spans="1:4" x14ac:dyDescent="0.35">
      <c r="A146" s="11">
        <v>37834</v>
      </c>
      <c r="B146" s="15">
        <f>VLOOKUP(A146,Database!A:K,MATCH($A$1,Database!$A$1:$K$1,),)</f>
        <v>23073</v>
      </c>
      <c r="C146" s="12">
        <f t="shared" si="4"/>
        <v>3.9511623715984864E-2</v>
      </c>
      <c r="D146" s="13">
        <f t="shared" si="3"/>
        <v>8.9273911811915782E-2</v>
      </c>
    </row>
    <row r="147" spans="1:4" x14ac:dyDescent="0.35">
      <c r="A147" s="10">
        <v>37865</v>
      </c>
      <c r="B147" s="15">
        <f>VLOOKUP(A147,Database!A:K,MATCH($A$1,Database!$A$1:$K$1,),)</f>
        <v>23214</v>
      </c>
      <c r="C147" s="12">
        <f t="shared" si="4"/>
        <v>6.1110388766090233E-3</v>
      </c>
      <c r="D147" s="13">
        <f t="shared" ref="D147:D210" si="5">(B147-B135)/B135</f>
        <v>9.1293719443399771E-2</v>
      </c>
    </row>
    <row r="148" spans="1:4" x14ac:dyDescent="0.35">
      <c r="A148" s="11">
        <v>37895</v>
      </c>
      <c r="B148" s="15">
        <f>VLOOKUP(A148,Database!A:K,MATCH($A$1,Database!$A$1:$K$1,),)</f>
        <v>22714</v>
      </c>
      <c r="C148" s="12">
        <f t="shared" si="4"/>
        <v>-2.1538726630481606E-2</v>
      </c>
      <c r="D148" s="13">
        <f t="shared" si="5"/>
        <v>4.8709543376887203E-2</v>
      </c>
    </row>
    <row r="149" spans="1:4" x14ac:dyDescent="0.35">
      <c r="A149" s="10">
        <v>37926</v>
      </c>
      <c r="B149" s="15">
        <f>VLOOKUP(A149,Database!A:K,MATCH($A$1,Database!$A$1:$K$1,),)</f>
        <v>23472</v>
      </c>
      <c r="C149" s="12">
        <f t="shared" si="4"/>
        <v>3.3371488949546536E-2</v>
      </c>
      <c r="D149" s="13">
        <f t="shared" si="5"/>
        <v>6.6472806579126714E-2</v>
      </c>
    </row>
    <row r="150" spans="1:4" x14ac:dyDescent="0.35">
      <c r="A150" s="11">
        <v>37956</v>
      </c>
      <c r="B150" s="15">
        <f>VLOOKUP(A150,Database!A:K,MATCH($A$1,Database!$A$1:$K$1,),)</f>
        <v>23994</v>
      </c>
      <c r="C150" s="12">
        <f t="shared" si="4"/>
        <v>2.2239263803680982E-2</v>
      </c>
      <c r="D150" s="13">
        <f t="shared" si="5"/>
        <v>6.8108974358974353E-2</v>
      </c>
    </row>
    <row r="151" spans="1:4" x14ac:dyDescent="0.35">
      <c r="A151" s="10">
        <v>37987</v>
      </c>
      <c r="B151" s="15">
        <f>VLOOKUP(A151,Database!A:K,MATCH($A$1,Database!$A$1:$K$1,),)</f>
        <v>24889</v>
      </c>
      <c r="C151" s="12">
        <f t="shared" si="4"/>
        <v>3.730099191464533E-2</v>
      </c>
      <c r="D151" s="13">
        <f t="shared" si="5"/>
        <v>7.8706713474624018E-2</v>
      </c>
    </row>
    <row r="152" spans="1:4" x14ac:dyDescent="0.35">
      <c r="A152" s="11">
        <v>38018</v>
      </c>
      <c r="B152" s="15">
        <f>VLOOKUP(A152,Database!A:K,MATCH($A$1,Database!$A$1:$K$1,),)</f>
        <v>25256</v>
      </c>
      <c r="C152" s="12">
        <f t="shared" si="4"/>
        <v>1.4745469886295151E-2</v>
      </c>
      <c r="D152" s="13">
        <f t="shared" si="5"/>
        <v>5.7400041867280718E-2</v>
      </c>
    </row>
    <row r="153" spans="1:4" x14ac:dyDescent="0.35">
      <c r="A153" s="10">
        <v>38047</v>
      </c>
      <c r="B153" s="15">
        <f>VLOOKUP(A153,Database!A:K,MATCH($A$1,Database!$A$1:$K$1,),)</f>
        <v>25679</v>
      </c>
      <c r="C153" s="12">
        <f t="shared" si="4"/>
        <v>1.6748495407031994E-2</v>
      </c>
      <c r="D153" s="13">
        <f t="shared" si="5"/>
        <v>7.1386849132176231E-2</v>
      </c>
    </row>
    <row r="154" spans="1:4" x14ac:dyDescent="0.35">
      <c r="A154" s="11">
        <v>38078</v>
      </c>
      <c r="B154" s="15">
        <f>VLOOKUP(A154,Database!A:K,MATCH($A$1,Database!$A$1:$K$1,),)</f>
        <v>25518</v>
      </c>
      <c r="C154" s="12">
        <f t="shared" si="4"/>
        <v>-6.2697145527473809E-3</v>
      </c>
      <c r="D154" s="13">
        <f t="shared" si="5"/>
        <v>0.13006509897701607</v>
      </c>
    </row>
    <row r="155" spans="1:4" x14ac:dyDescent="0.35">
      <c r="A155" s="10">
        <v>38108</v>
      </c>
      <c r="B155" s="15">
        <f>VLOOKUP(A155,Database!A:K,MATCH($A$1,Database!$A$1:$K$1,),)</f>
        <v>27011</v>
      </c>
      <c r="C155" s="12">
        <f t="shared" si="4"/>
        <v>5.8507720040755544E-2</v>
      </c>
      <c r="D155" s="13">
        <f t="shared" si="5"/>
        <v>0.23846859238881246</v>
      </c>
    </row>
    <row r="156" spans="1:4" x14ac:dyDescent="0.35">
      <c r="A156" s="11">
        <v>38139</v>
      </c>
      <c r="B156" s="15">
        <f>VLOOKUP(A156,Database!A:K,MATCH($A$1,Database!$A$1:$K$1,),)</f>
        <v>27050</v>
      </c>
      <c r="C156" s="12">
        <f t="shared" si="4"/>
        <v>1.4438562067305913E-3</v>
      </c>
      <c r="D156" s="13">
        <f t="shared" si="5"/>
        <v>0.24213619874179179</v>
      </c>
    </row>
    <row r="157" spans="1:4" x14ac:dyDescent="0.35">
      <c r="A157" s="10">
        <v>38169</v>
      </c>
      <c r="B157" s="15">
        <f>VLOOKUP(A157,Database!A:K,MATCH($A$1,Database!$A$1:$K$1,),)</f>
        <v>26745</v>
      </c>
      <c r="C157" s="12">
        <f t="shared" si="4"/>
        <v>-1.1275415896487985E-2</v>
      </c>
      <c r="D157" s="13">
        <f t="shared" si="5"/>
        <v>0.20494683726797622</v>
      </c>
    </row>
    <row r="158" spans="1:4" x14ac:dyDescent="0.35">
      <c r="A158" s="11">
        <v>38200</v>
      </c>
      <c r="B158" s="15">
        <f>VLOOKUP(A158,Database!A:K,MATCH($A$1,Database!$A$1:$K$1,),)</f>
        <v>26552</v>
      </c>
      <c r="C158" s="12">
        <f t="shared" si="4"/>
        <v>-7.2163021125444008E-3</v>
      </c>
      <c r="D158" s="13">
        <f t="shared" si="5"/>
        <v>0.15078229965760845</v>
      </c>
    </row>
    <row r="159" spans="1:4" x14ac:dyDescent="0.35">
      <c r="A159" s="10">
        <v>38231</v>
      </c>
      <c r="B159" s="15">
        <f>VLOOKUP(A159,Database!A:K,MATCH($A$1,Database!$A$1:$K$1,),)</f>
        <v>27161</v>
      </c>
      <c r="C159" s="12">
        <f t="shared" si="4"/>
        <v>2.2936125338957516E-2</v>
      </c>
      <c r="D159" s="13">
        <f t="shared" si="5"/>
        <v>0.17002670802102179</v>
      </c>
    </row>
    <row r="160" spans="1:4" x14ac:dyDescent="0.35">
      <c r="A160" s="11">
        <v>38261</v>
      </c>
      <c r="B160" s="15">
        <f>VLOOKUP(A160,Database!A:K,MATCH($A$1,Database!$A$1:$K$1,),)</f>
        <v>28656</v>
      </c>
      <c r="C160" s="12">
        <f t="shared" si="4"/>
        <v>5.5042156032546669E-2</v>
      </c>
      <c r="D160" s="13">
        <f t="shared" si="5"/>
        <v>0.26160077485251387</v>
      </c>
    </row>
    <row r="161" spans="1:4" x14ac:dyDescent="0.35">
      <c r="A161" s="10">
        <v>38292</v>
      </c>
      <c r="B161" s="15">
        <f>VLOOKUP(A161,Database!A:K,MATCH($A$1,Database!$A$1:$K$1,),)</f>
        <v>29349</v>
      </c>
      <c r="C161" s="12">
        <f t="shared" si="4"/>
        <v>2.4183417085427136E-2</v>
      </c>
      <c r="D161" s="13">
        <f t="shared" si="5"/>
        <v>0.25038343558282211</v>
      </c>
    </row>
    <row r="162" spans="1:4" x14ac:dyDescent="0.35">
      <c r="A162" s="11">
        <v>38322</v>
      </c>
      <c r="B162" s="15">
        <f>VLOOKUP(A162,Database!A:K,MATCH($A$1,Database!$A$1:$K$1,),)</f>
        <v>29046</v>
      </c>
      <c r="C162" s="12">
        <f t="shared" si="4"/>
        <v>-1.0324031483185118E-2</v>
      </c>
      <c r="D162" s="13">
        <f t="shared" si="5"/>
        <v>0.2105526381595399</v>
      </c>
    </row>
    <row r="163" spans="1:4" x14ac:dyDescent="0.35">
      <c r="A163" s="10">
        <v>38353</v>
      </c>
      <c r="B163" s="15">
        <f>VLOOKUP(A163,Database!A:K,MATCH($A$1,Database!$A$1:$K$1,),)</f>
        <v>28375</v>
      </c>
      <c r="C163" s="12">
        <f t="shared" si="4"/>
        <v>-2.3101287612752187E-2</v>
      </c>
      <c r="D163" s="13">
        <f t="shared" si="5"/>
        <v>0.14006187472377354</v>
      </c>
    </row>
    <row r="164" spans="1:4" x14ac:dyDescent="0.35">
      <c r="A164" s="11">
        <v>38384</v>
      </c>
      <c r="B164" s="15">
        <f>VLOOKUP(A164,Database!A:K,MATCH($A$1,Database!$A$1:$K$1,),)</f>
        <v>29015</v>
      </c>
      <c r="C164" s="12">
        <f t="shared" si="4"/>
        <v>2.2555066079295156E-2</v>
      </c>
      <c r="D164" s="13">
        <f t="shared" si="5"/>
        <v>0.14883592017738359</v>
      </c>
    </row>
    <row r="165" spans="1:4" x14ac:dyDescent="0.35">
      <c r="A165" s="10">
        <v>38412</v>
      </c>
      <c r="B165" s="15">
        <f>VLOOKUP(A165,Database!A:K,MATCH($A$1,Database!$A$1:$K$1,),)</f>
        <v>29498</v>
      </c>
      <c r="C165" s="12">
        <f t="shared" si="4"/>
        <v>1.6646562123039808E-2</v>
      </c>
      <c r="D165" s="13">
        <f t="shared" si="5"/>
        <v>0.14872074457728104</v>
      </c>
    </row>
    <row r="166" spans="1:4" x14ac:dyDescent="0.35">
      <c r="A166" s="11">
        <v>38443</v>
      </c>
      <c r="B166" s="15">
        <f>VLOOKUP(A166,Database!A:K,MATCH($A$1,Database!$A$1:$K$1,),)</f>
        <v>30009</v>
      </c>
      <c r="C166" s="12">
        <f t="shared" si="4"/>
        <v>1.7323208353108684E-2</v>
      </c>
      <c r="D166" s="13">
        <f t="shared" si="5"/>
        <v>0.17599341641194452</v>
      </c>
    </row>
    <row r="167" spans="1:4" x14ac:dyDescent="0.35">
      <c r="A167" s="10">
        <v>38473</v>
      </c>
      <c r="B167" s="15">
        <f>VLOOKUP(A167,Database!A:K,MATCH($A$1,Database!$A$1:$K$1,),)</f>
        <v>29140</v>
      </c>
      <c r="C167" s="12">
        <f t="shared" si="4"/>
        <v>-2.89579792728848E-2</v>
      </c>
      <c r="D167" s="13">
        <f t="shared" si="5"/>
        <v>7.8819740105882788E-2</v>
      </c>
    </row>
    <row r="168" spans="1:4" x14ac:dyDescent="0.35">
      <c r="A168" s="11">
        <v>38504</v>
      </c>
      <c r="B168" s="15">
        <f>VLOOKUP(A168,Database!A:K,MATCH($A$1,Database!$A$1:$K$1,),)</f>
        <v>29889</v>
      </c>
      <c r="C168" s="12">
        <f t="shared" si="4"/>
        <v>2.5703500343170899E-2</v>
      </c>
      <c r="D168" s="13">
        <f t="shared" si="5"/>
        <v>0.10495378927911275</v>
      </c>
    </row>
    <row r="169" spans="1:4" x14ac:dyDescent="0.35">
      <c r="A169" s="10">
        <v>38534</v>
      </c>
      <c r="B169" s="15">
        <f>VLOOKUP(A169,Database!A:K,MATCH($A$1,Database!$A$1:$K$1,),)</f>
        <v>30976</v>
      </c>
      <c r="C169" s="12">
        <f t="shared" si="4"/>
        <v>3.6367894543142959E-2</v>
      </c>
      <c r="D169" s="13">
        <f t="shared" si="5"/>
        <v>0.15819779398018322</v>
      </c>
    </row>
    <row r="170" spans="1:4" x14ac:dyDescent="0.35">
      <c r="A170" s="11">
        <v>38565</v>
      </c>
      <c r="B170" s="15">
        <f>VLOOKUP(A170,Database!A:K,MATCH($A$1,Database!$A$1:$K$1,),)</f>
        <v>33399</v>
      </c>
      <c r="C170" s="12">
        <f t="shared" si="4"/>
        <v>7.8221849173553723E-2</v>
      </c>
      <c r="D170" s="13">
        <f t="shared" si="5"/>
        <v>0.25787134679120216</v>
      </c>
    </row>
    <row r="171" spans="1:4" x14ac:dyDescent="0.35">
      <c r="A171" s="10">
        <v>38596</v>
      </c>
      <c r="B171" s="15">
        <f>VLOOKUP(A171,Database!A:K,MATCH($A$1,Database!$A$1:$K$1,),)</f>
        <v>36116</v>
      </c>
      <c r="C171" s="12">
        <f t="shared" si="4"/>
        <v>8.1349741010209892E-2</v>
      </c>
      <c r="D171" s="13">
        <f t="shared" si="5"/>
        <v>0.32970067376017081</v>
      </c>
    </row>
    <row r="172" spans="1:4" x14ac:dyDescent="0.35">
      <c r="A172" s="11">
        <v>38626</v>
      </c>
      <c r="B172" s="15">
        <f>VLOOKUP(A172,Database!A:K,MATCH($A$1,Database!$A$1:$K$1,),)</f>
        <v>35911</v>
      </c>
      <c r="C172" s="12">
        <f t="shared" si="4"/>
        <v>-5.6761546129139437E-3</v>
      </c>
      <c r="D172" s="13">
        <f t="shared" si="5"/>
        <v>0.2531756002233389</v>
      </c>
    </row>
    <row r="173" spans="1:4" x14ac:dyDescent="0.35">
      <c r="A173" s="10">
        <v>38657</v>
      </c>
      <c r="B173" s="15">
        <f>VLOOKUP(A173,Database!A:K,MATCH($A$1,Database!$A$1:$K$1,),)</f>
        <v>33185</v>
      </c>
      <c r="C173" s="12">
        <f t="shared" si="4"/>
        <v>-7.5909888335050538E-2</v>
      </c>
      <c r="D173" s="13">
        <f t="shared" si="5"/>
        <v>0.1307029200313469</v>
      </c>
    </row>
    <row r="174" spans="1:4" x14ac:dyDescent="0.35">
      <c r="A174" s="11">
        <v>38687</v>
      </c>
      <c r="B174" s="15">
        <f>VLOOKUP(A174,Database!A:K,MATCH($A$1,Database!$A$1:$K$1,),)</f>
        <v>33154</v>
      </c>
      <c r="C174" s="12">
        <f t="shared" si="4"/>
        <v>-9.341569986439656E-4</v>
      </c>
      <c r="D174" s="13">
        <f t="shared" si="5"/>
        <v>0.14143083384975555</v>
      </c>
    </row>
    <row r="175" spans="1:4" x14ac:dyDescent="0.35">
      <c r="A175" s="10">
        <v>38718</v>
      </c>
      <c r="B175" s="15">
        <f>VLOOKUP(A175,Database!A:K,MATCH($A$1,Database!$A$1:$K$1,),)</f>
        <v>34298</v>
      </c>
      <c r="C175" s="12">
        <f t="shared" si="4"/>
        <v>3.4505640345056404E-2</v>
      </c>
      <c r="D175" s="13">
        <f t="shared" si="5"/>
        <v>0.20874008810572686</v>
      </c>
    </row>
    <row r="176" spans="1:4" x14ac:dyDescent="0.35">
      <c r="A176" s="11">
        <v>38749</v>
      </c>
      <c r="B176" s="15">
        <f>VLOOKUP(A176,Database!A:K,MATCH($A$1,Database!$A$1:$K$1,),)</f>
        <v>34174</v>
      </c>
      <c r="C176" s="12">
        <f t="shared" si="4"/>
        <v>-3.6153711586681438E-3</v>
      </c>
      <c r="D176" s="13">
        <f t="shared" si="5"/>
        <v>0.17780458383594691</v>
      </c>
    </row>
    <row r="177" spans="1:4" x14ac:dyDescent="0.35">
      <c r="A177" s="10">
        <v>38777</v>
      </c>
      <c r="B177" s="15">
        <f>VLOOKUP(A177,Database!A:K,MATCH($A$1,Database!$A$1:$K$1,),)</f>
        <v>34195</v>
      </c>
      <c r="C177" s="12">
        <f t="shared" si="4"/>
        <v>6.1450225317492835E-4</v>
      </c>
      <c r="D177" s="13">
        <f t="shared" si="5"/>
        <v>0.15923113431419078</v>
      </c>
    </row>
    <row r="178" spans="1:4" x14ac:dyDescent="0.35">
      <c r="A178" s="11">
        <v>38808</v>
      </c>
      <c r="B178" s="15">
        <f>VLOOKUP(A178,Database!A:K,MATCH($A$1,Database!$A$1:$K$1,),)</f>
        <v>35646</v>
      </c>
      <c r="C178" s="12">
        <f t="shared" si="4"/>
        <v>4.2433104255008042E-2</v>
      </c>
      <c r="D178" s="13">
        <f t="shared" si="5"/>
        <v>0.18784364690592822</v>
      </c>
    </row>
    <row r="179" spans="1:4" x14ac:dyDescent="0.35">
      <c r="A179" s="10">
        <v>38838</v>
      </c>
      <c r="B179" s="15">
        <f>VLOOKUP(A179,Database!A:K,MATCH($A$1,Database!$A$1:$K$1,),)</f>
        <v>36159</v>
      </c>
      <c r="C179" s="12">
        <f t="shared" si="4"/>
        <v>1.4391516579700387E-2</v>
      </c>
      <c r="D179" s="13">
        <f t="shared" si="5"/>
        <v>0.24087165408373371</v>
      </c>
    </row>
    <row r="180" spans="1:4" x14ac:dyDescent="0.35">
      <c r="A180" s="11">
        <v>38869</v>
      </c>
      <c r="B180" s="15">
        <f>VLOOKUP(A180,Database!A:K,MATCH($A$1,Database!$A$1:$K$1,),)</f>
        <v>36228</v>
      </c>
      <c r="C180" s="12">
        <f t="shared" si="4"/>
        <v>1.9082386127934955E-3</v>
      </c>
      <c r="D180" s="13">
        <f t="shared" si="5"/>
        <v>0.21208471343972699</v>
      </c>
    </row>
    <row r="181" spans="1:4" x14ac:dyDescent="0.35">
      <c r="A181" s="10">
        <v>38899</v>
      </c>
      <c r="B181" s="15">
        <f>VLOOKUP(A181,Database!A:K,MATCH($A$1,Database!$A$1:$K$1,),)</f>
        <v>36963</v>
      </c>
      <c r="C181" s="12">
        <f t="shared" si="4"/>
        <v>2.0288174892348458E-2</v>
      </c>
      <c r="D181" s="13">
        <f t="shared" si="5"/>
        <v>0.19327866735537191</v>
      </c>
    </row>
    <row r="182" spans="1:4" x14ac:dyDescent="0.35">
      <c r="A182" s="11">
        <v>38930</v>
      </c>
      <c r="B182" s="15">
        <f>VLOOKUP(A182,Database!A:K,MATCH($A$1,Database!$A$1:$K$1,),)</f>
        <v>37696</v>
      </c>
      <c r="C182" s="12">
        <f t="shared" si="4"/>
        <v>1.9830641452263074E-2</v>
      </c>
      <c r="D182" s="13">
        <f t="shared" si="5"/>
        <v>0.1286565466031917</v>
      </c>
    </row>
    <row r="183" spans="1:4" x14ac:dyDescent="0.35">
      <c r="A183" s="10">
        <v>38961</v>
      </c>
      <c r="B183" s="15">
        <f>VLOOKUP(A183,Database!A:K,MATCH($A$1,Database!$A$1:$K$1,),)</f>
        <v>34935</v>
      </c>
      <c r="C183" s="12">
        <f t="shared" si="4"/>
        <v>-7.3243845500848892E-2</v>
      </c>
      <c r="D183" s="13">
        <f t="shared" si="5"/>
        <v>-3.2700188282201795E-2</v>
      </c>
    </row>
    <row r="184" spans="1:4" x14ac:dyDescent="0.35">
      <c r="A184" s="11">
        <v>38991</v>
      </c>
      <c r="B184" s="15">
        <f>VLOOKUP(A184,Database!A:K,MATCH($A$1,Database!$A$1:$K$1,),)</f>
        <v>32912</v>
      </c>
      <c r="C184" s="12">
        <f t="shared" si="4"/>
        <v>-5.7907542579075426E-2</v>
      </c>
      <c r="D184" s="13">
        <f t="shared" si="5"/>
        <v>-8.3512015816880628E-2</v>
      </c>
    </row>
    <row r="185" spans="1:4" x14ac:dyDescent="0.35">
      <c r="A185" s="10">
        <v>39022</v>
      </c>
      <c r="B185" s="15">
        <f>VLOOKUP(A185,Database!A:K,MATCH($A$1,Database!$A$1:$K$1,),)</f>
        <v>33322</v>
      </c>
      <c r="C185" s="12">
        <f t="shared" si="4"/>
        <v>1.2457462323772484E-2</v>
      </c>
      <c r="D185" s="13">
        <f t="shared" si="5"/>
        <v>4.128371252071719E-3</v>
      </c>
    </row>
    <row r="186" spans="1:4" x14ac:dyDescent="0.35">
      <c r="A186" s="11">
        <v>39052</v>
      </c>
      <c r="B186" s="15">
        <f>VLOOKUP(A186,Database!A:K,MATCH($A$1,Database!$A$1:$K$1,),)</f>
        <v>34895</v>
      </c>
      <c r="C186" s="12">
        <f t="shared" si="4"/>
        <v>4.7206050057019389E-2</v>
      </c>
      <c r="D186" s="13">
        <f t="shared" si="5"/>
        <v>5.2512517343306989E-2</v>
      </c>
    </row>
    <row r="187" spans="1:4" x14ac:dyDescent="0.35">
      <c r="A187" s="10">
        <v>39083</v>
      </c>
      <c r="B187" s="15">
        <f>VLOOKUP(A187,Database!A:K,MATCH($A$1,Database!$A$1:$K$1,),)</f>
        <v>34244</v>
      </c>
      <c r="C187" s="12">
        <f t="shared" si="4"/>
        <v>-1.8655967903711133E-2</v>
      </c>
      <c r="D187" s="13">
        <f t="shared" si="5"/>
        <v>-1.5744358271619337E-3</v>
      </c>
    </row>
    <row r="188" spans="1:4" x14ac:dyDescent="0.35">
      <c r="A188" s="11">
        <v>39114</v>
      </c>
      <c r="B188" s="15">
        <f>VLOOKUP(A188,Database!A:K,MATCH($A$1,Database!$A$1:$K$1,),)</f>
        <v>34932</v>
      </c>
      <c r="C188" s="12">
        <f t="shared" si="4"/>
        <v>2.0091110851536035E-2</v>
      </c>
      <c r="D188" s="13">
        <f t="shared" si="5"/>
        <v>2.2180605138409318E-2</v>
      </c>
    </row>
    <row r="189" spans="1:4" x14ac:dyDescent="0.35">
      <c r="A189" s="10">
        <v>39142</v>
      </c>
      <c r="B189" s="15">
        <f>VLOOKUP(A189,Database!A:K,MATCH($A$1,Database!$A$1:$K$1,),)</f>
        <v>35999</v>
      </c>
      <c r="C189" s="12">
        <f t="shared" si="4"/>
        <v>3.0545058971716478E-2</v>
      </c>
      <c r="D189" s="13">
        <f t="shared" si="5"/>
        <v>5.2756250913876299E-2</v>
      </c>
    </row>
    <row r="190" spans="1:4" x14ac:dyDescent="0.35">
      <c r="A190" s="11">
        <v>39173</v>
      </c>
      <c r="B190" s="15">
        <f>VLOOKUP(A190,Database!A:K,MATCH($A$1,Database!$A$1:$K$1,),)</f>
        <v>36350</v>
      </c>
      <c r="C190" s="12">
        <f t="shared" si="4"/>
        <v>9.7502708408566899E-3</v>
      </c>
      <c r="D190" s="13">
        <f t="shared" si="5"/>
        <v>1.9749761544072267E-2</v>
      </c>
    </row>
    <row r="191" spans="1:4" x14ac:dyDescent="0.35">
      <c r="A191" s="10">
        <v>39203</v>
      </c>
      <c r="B191" s="15">
        <f>VLOOKUP(A191,Database!A:K,MATCH($A$1,Database!$A$1:$K$1,),)</f>
        <v>37996</v>
      </c>
      <c r="C191" s="12">
        <f t="shared" si="4"/>
        <v>4.528198074277854E-2</v>
      </c>
      <c r="D191" s="13">
        <f t="shared" si="5"/>
        <v>5.0803396111618132E-2</v>
      </c>
    </row>
    <row r="192" spans="1:4" x14ac:dyDescent="0.35">
      <c r="A192" s="11">
        <v>39234</v>
      </c>
      <c r="B192" s="15">
        <f>VLOOKUP(A192,Database!A:K,MATCH($A$1,Database!$A$1:$K$1,),)</f>
        <v>37310</v>
      </c>
      <c r="C192" s="12">
        <f t="shared" si="4"/>
        <v>-1.8054532056005896E-2</v>
      </c>
      <c r="D192" s="13">
        <f t="shared" si="5"/>
        <v>2.9866401678259911E-2</v>
      </c>
    </row>
    <row r="193" spans="1:4" x14ac:dyDescent="0.35">
      <c r="A193" s="10">
        <v>39264</v>
      </c>
      <c r="B193" s="15">
        <f>VLOOKUP(A193,Database!A:K,MATCH($A$1,Database!$A$1:$K$1,),)</f>
        <v>36963</v>
      </c>
      <c r="C193" s="12">
        <f t="shared" si="4"/>
        <v>-9.300455641919057E-3</v>
      </c>
      <c r="D193" s="13">
        <f t="shared" si="5"/>
        <v>0</v>
      </c>
    </row>
    <row r="194" spans="1:4" x14ac:dyDescent="0.35">
      <c r="A194" s="11">
        <v>39295</v>
      </c>
      <c r="B194" s="15">
        <f>VLOOKUP(A194,Database!A:K,MATCH($A$1,Database!$A$1:$K$1,),)</f>
        <v>37223</v>
      </c>
      <c r="C194" s="12">
        <f t="shared" si="4"/>
        <v>7.0340610881151422E-3</v>
      </c>
      <c r="D194" s="13">
        <f t="shared" si="5"/>
        <v>-1.2547750424448218E-2</v>
      </c>
    </row>
    <row r="195" spans="1:4" x14ac:dyDescent="0.35">
      <c r="A195" s="10">
        <v>39326</v>
      </c>
      <c r="B195" s="15">
        <f>VLOOKUP(A195,Database!A:K,MATCH($A$1,Database!$A$1:$K$1,),)</f>
        <v>38210</v>
      </c>
      <c r="C195" s="12">
        <f t="shared" si="4"/>
        <v>2.6515863847621095E-2</v>
      </c>
      <c r="D195" s="13">
        <f t="shared" si="5"/>
        <v>9.3745527408043511E-2</v>
      </c>
    </row>
    <row r="196" spans="1:4" x14ac:dyDescent="0.35">
      <c r="A196" s="11">
        <v>39356</v>
      </c>
      <c r="B196" s="15">
        <f>VLOOKUP(A196,Database!A:K,MATCH($A$1,Database!$A$1:$K$1,),)</f>
        <v>39307</v>
      </c>
      <c r="C196" s="12">
        <f t="shared" si="4"/>
        <v>2.8709761842449621E-2</v>
      </c>
      <c r="D196" s="13">
        <f t="shared" si="5"/>
        <v>0.19430602819640252</v>
      </c>
    </row>
    <row r="197" spans="1:4" x14ac:dyDescent="0.35">
      <c r="A197" s="10">
        <v>39387</v>
      </c>
      <c r="B197" s="15">
        <f>VLOOKUP(A197,Database!A:K,MATCH($A$1,Database!$A$1:$K$1,),)</f>
        <v>41985</v>
      </c>
      <c r="C197" s="12">
        <f t="shared" si="4"/>
        <v>6.8130358460325127E-2</v>
      </c>
      <c r="D197" s="13">
        <f t="shared" si="5"/>
        <v>0.2599783926535022</v>
      </c>
    </row>
    <row r="198" spans="1:4" x14ac:dyDescent="0.35">
      <c r="A198" s="11">
        <v>39417</v>
      </c>
      <c r="B198" s="15">
        <f>VLOOKUP(A198,Database!A:K,MATCH($A$1,Database!$A$1:$K$1,),)</f>
        <v>41593</v>
      </c>
      <c r="C198" s="12">
        <f t="shared" si="4"/>
        <v>-9.3366678575681795E-3</v>
      </c>
      <c r="D198" s="13">
        <f t="shared" si="5"/>
        <v>0.19194727038257631</v>
      </c>
    </row>
    <row r="199" spans="1:4" x14ac:dyDescent="0.35">
      <c r="A199" s="10">
        <v>39448</v>
      </c>
      <c r="B199" s="15">
        <f>VLOOKUP(A199,Database!A:K,MATCH($A$1,Database!$A$1:$K$1,),)</f>
        <v>42423</v>
      </c>
      <c r="C199" s="12">
        <f t="shared" si="4"/>
        <v>1.9955280936696077E-2</v>
      </c>
      <c r="D199" s="13">
        <f t="shared" si="5"/>
        <v>0.23884476112603667</v>
      </c>
    </row>
    <row r="200" spans="1:4" x14ac:dyDescent="0.35">
      <c r="A200" s="11">
        <v>39479</v>
      </c>
      <c r="B200" s="15">
        <f>VLOOKUP(A200,Database!A:K,MATCH($A$1,Database!$A$1:$K$1,),)</f>
        <v>42504</v>
      </c>
      <c r="C200" s="12">
        <f t="shared" ref="C200:C263" si="6">(B200-B199)/B199</f>
        <v>1.9093416307191854E-3</v>
      </c>
      <c r="D200" s="13">
        <f t="shared" si="5"/>
        <v>0.21676399862590176</v>
      </c>
    </row>
    <row r="201" spans="1:4" x14ac:dyDescent="0.35">
      <c r="A201" s="10">
        <v>39508</v>
      </c>
      <c r="B201" s="15">
        <f>VLOOKUP(A201,Database!A:K,MATCH($A$1,Database!$A$1:$K$1,),)</f>
        <v>43044</v>
      </c>
      <c r="C201" s="12">
        <f t="shared" si="6"/>
        <v>1.2704686617730096E-2</v>
      </c>
      <c r="D201" s="13">
        <f t="shared" si="5"/>
        <v>0.19569988055223755</v>
      </c>
    </row>
    <row r="202" spans="1:4" x14ac:dyDescent="0.35">
      <c r="A202" s="11">
        <v>39539</v>
      </c>
      <c r="B202" s="15">
        <f>VLOOKUP(A202,Database!A:K,MATCH($A$1,Database!$A$1:$K$1,),)</f>
        <v>42933</v>
      </c>
      <c r="C202" s="12">
        <f t="shared" si="6"/>
        <v>-2.5787566211318649E-3</v>
      </c>
      <c r="D202" s="13">
        <f t="shared" si="5"/>
        <v>0.18110041265474552</v>
      </c>
    </row>
    <row r="203" spans="1:4" x14ac:dyDescent="0.35">
      <c r="A203" s="10">
        <v>39569</v>
      </c>
      <c r="B203" s="15">
        <f>VLOOKUP(A203,Database!A:K,MATCH($A$1,Database!$A$1:$K$1,),)</f>
        <v>44344</v>
      </c>
      <c r="C203" s="12">
        <f t="shared" si="6"/>
        <v>3.2865161996599355E-2</v>
      </c>
      <c r="D203" s="13">
        <f t="shared" si="5"/>
        <v>0.16707021791767554</v>
      </c>
    </row>
    <row r="204" spans="1:4" x14ac:dyDescent="0.35">
      <c r="A204" s="11">
        <v>39600</v>
      </c>
      <c r="B204" s="15">
        <f>VLOOKUP(A204,Database!A:K,MATCH($A$1,Database!$A$1:$K$1,),)</f>
        <v>46547</v>
      </c>
      <c r="C204" s="12">
        <f t="shared" si="6"/>
        <v>4.9679776294425403E-2</v>
      </c>
      <c r="D204" s="13">
        <f t="shared" si="5"/>
        <v>0.24757437684266953</v>
      </c>
    </row>
    <row r="205" spans="1:4" x14ac:dyDescent="0.35">
      <c r="A205" s="10">
        <v>39630</v>
      </c>
      <c r="B205" s="15">
        <f>VLOOKUP(A205,Database!A:K,MATCH($A$1,Database!$A$1:$K$1,),)</f>
        <v>46813</v>
      </c>
      <c r="C205" s="12">
        <f t="shared" si="6"/>
        <v>5.7146540056287193E-3</v>
      </c>
      <c r="D205" s="13">
        <f t="shared" si="5"/>
        <v>0.26648269891513132</v>
      </c>
    </row>
    <row r="206" spans="1:4" x14ac:dyDescent="0.35">
      <c r="A206" s="11">
        <v>39661</v>
      </c>
      <c r="B206" s="15">
        <f>VLOOKUP(A206,Database!A:K,MATCH($A$1,Database!$A$1:$K$1,),)</f>
        <v>45645</v>
      </c>
      <c r="C206" s="12">
        <f t="shared" si="6"/>
        <v>-2.4950334308845832E-2</v>
      </c>
      <c r="D206" s="13">
        <f t="shared" si="5"/>
        <v>0.22625795878892083</v>
      </c>
    </row>
    <row r="207" spans="1:4" x14ac:dyDescent="0.35">
      <c r="A207" s="10">
        <v>39692</v>
      </c>
      <c r="B207" s="15">
        <f>VLOOKUP(A207,Database!A:K,MATCH($A$1,Database!$A$1:$K$1,),)</f>
        <v>45777</v>
      </c>
      <c r="C207" s="12">
        <f t="shared" si="6"/>
        <v>2.891883010187315E-3</v>
      </c>
      <c r="D207" s="13">
        <f t="shared" si="5"/>
        <v>0.19803716304632296</v>
      </c>
    </row>
    <row r="208" spans="1:4" x14ac:dyDescent="0.35">
      <c r="A208" s="11">
        <v>39722</v>
      </c>
      <c r="B208" s="15">
        <f>VLOOKUP(A208,Database!A:K,MATCH($A$1,Database!$A$1:$K$1,),)</f>
        <v>40584</v>
      </c>
      <c r="C208" s="12">
        <f t="shared" si="6"/>
        <v>-0.11344124778819058</v>
      </c>
      <c r="D208" s="13">
        <f t="shared" si="5"/>
        <v>3.2487852036532934E-2</v>
      </c>
    </row>
    <row r="209" spans="1:4" x14ac:dyDescent="0.35">
      <c r="A209" s="10">
        <v>39753</v>
      </c>
      <c r="B209" s="15">
        <f>VLOOKUP(A209,Database!A:K,MATCH($A$1,Database!$A$1:$K$1,),)</f>
        <v>31776</v>
      </c>
      <c r="C209" s="12">
        <f t="shared" si="6"/>
        <v>-0.21703134240094618</v>
      </c>
      <c r="D209" s="13">
        <f t="shared" si="5"/>
        <v>-0.24315827081100394</v>
      </c>
    </row>
    <row r="210" spans="1:4" x14ac:dyDescent="0.35">
      <c r="A210" s="11">
        <v>39783</v>
      </c>
      <c r="B210" s="15">
        <f>VLOOKUP(A210,Database!A:K,MATCH($A$1,Database!$A$1:$K$1,),)</f>
        <v>27999</v>
      </c>
      <c r="C210" s="12">
        <f t="shared" si="6"/>
        <v>-0.11886329305135952</v>
      </c>
      <c r="D210" s="13">
        <f t="shared" si="5"/>
        <v>-0.32683384223306805</v>
      </c>
    </row>
    <row r="211" spans="1:4" x14ac:dyDescent="0.35">
      <c r="A211" s="10">
        <v>39814</v>
      </c>
      <c r="B211" s="15">
        <f>VLOOKUP(A211,Database!A:K,MATCH($A$1,Database!$A$1:$K$1,),)</f>
        <v>28818</v>
      </c>
      <c r="C211" s="12">
        <f t="shared" si="6"/>
        <v>2.9251044680167149E-2</v>
      </c>
      <c r="D211" s="13">
        <f t="shared" ref="D211:D274" si="7">(B211-B199)/B199</f>
        <v>-0.32069867760412984</v>
      </c>
    </row>
    <row r="212" spans="1:4" x14ac:dyDescent="0.35">
      <c r="A212" s="11">
        <v>39845</v>
      </c>
      <c r="B212" s="15">
        <f>VLOOKUP(A212,Database!A:K,MATCH($A$1,Database!$A$1:$K$1,),)</f>
        <v>29860</v>
      </c>
      <c r="C212" s="12">
        <f t="shared" si="6"/>
        <v>3.6157956832535219E-2</v>
      </c>
      <c r="D212" s="13">
        <f t="shared" si="7"/>
        <v>-0.29747788443440615</v>
      </c>
    </row>
    <row r="213" spans="1:4" x14ac:dyDescent="0.35">
      <c r="A213" s="10">
        <v>39873</v>
      </c>
      <c r="B213" s="15">
        <f>VLOOKUP(A213,Database!A:K,MATCH($A$1,Database!$A$1:$K$1,),)</f>
        <v>28825</v>
      </c>
      <c r="C213" s="12">
        <f t="shared" si="6"/>
        <v>-3.4661754855994639E-2</v>
      </c>
      <c r="D213" s="13">
        <f t="shared" si="7"/>
        <v>-0.33033639996282871</v>
      </c>
    </row>
    <row r="214" spans="1:4" x14ac:dyDescent="0.35">
      <c r="A214" s="11">
        <v>39904</v>
      </c>
      <c r="B214" s="15">
        <f>VLOOKUP(A214,Database!A:K,MATCH($A$1,Database!$A$1:$K$1,),)</f>
        <v>28747</v>
      </c>
      <c r="C214" s="12">
        <f t="shared" si="6"/>
        <v>-2.7059843885516043E-3</v>
      </c>
      <c r="D214" s="13">
        <f t="shared" si="7"/>
        <v>-0.33042182004518666</v>
      </c>
    </row>
    <row r="215" spans="1:4" x14ac:dyDescent="0.35">
      <c r="A215" s="10">
        <v>39934</v>
      </c>
      <c r="B215" s="15">
        <f>VLOOKUP(A215,Database!A:K,MATCH($A$1,Database!$A$1:$K$1,),)</f>
        <v>30488</v>
      </c>
      <c r="C215" s="12">
        <f t="shared" si="6"/>
        <v>6.0562841339965909E-2</v>
      </c>
      <c r="D215" s="13">
        <f t="shared" si="7"/>
        <v>-0.31246617355222805</v>
      </c>
    </row>
    <row r="216" spans="1:4" x14ac:dyDescent="0.35">
      <c r="A216" s="11">
        <v>39965</v>
      </c>
      <c r="B216" s="15">
        <f>VLOOKUP(A216,Database!A:K,MATCH($A$1,Database!$A$1:$K$1,),)</f>
        <v>33375</v>
      </c>
      <c r="C216" s="12">
        <f t="shared" si="6"/>
        <v>9.4692993964838629E-2</v>
      </c>
      <c r="D216" s="13">
        <f t="shared" si="7"/>
        <v>-0.28298279158699807</v>
      </c>
    </row>
    <row r="217" spans="1:4" x14ac:dyDescent="0.35">
      <c r="A217" s="10">
        <v>39995</v>
      </c>
      <c r="B217" s="15">
        <f>VLOOKUP(A217,Database!A:K,MATCH($A$1,Database!$A$1:$K$1,),)</f>
        <v>33066</v>
      </c>
      <c r="C217" s="12">
        <f t="shared" si="6"/>
        <v>-9.258426966292135E-3</v>
      </c>
      <c r="D217" s="13">
        <f t="shared" si="7"/>
        <v>-0.29365774464358191</v>
      </c>
    </row>
    <row r="218" spans="1:4" x14ac:dyDescent="0.35">
      <c r="A218" s="11">
        <v>40026</v>
      </c>
      <c r="B218" s="15">
        <f>VLOOKUP(A218,Database!A:K,MATCH($A$1,Database!$A$1:$K$1,),)</f>
        <v>34658</v>
      </c>
      <c r="C218" s="12">
        <f t="shared" si="6"/>
        <v>4.8146131978467309E-2</v>
      </c>
      <c r="D218" s="13">
        <f t="shared" si="7"/>
        <v>-0.24070544418884873</v>
      </c>
    </row>
    <row r="219" spans="1:4" x14ac:dyDescent="0.35">
      <c r="A219" s="10">
        <v>40057</v>
      </c>
      <c r="B219" s="15">
        <f>VLOOKUP(A219,Database!A:K,MATCH($A$1,Database!$A$1:$K$1,),)</f>
        <v>34800</v>
      </c>
      <c r="C219" s="12">
        <f t="shared" si="6"/>
        <v>4.0971781406890185E-3</v>
      </c>
      <c r="D219" s="13">
        <f t="shared" si="7"/>
        <v>-0.23979290910282455</v>
      </c>
    </row>
    <row r="220" spans="1:4" x14ac:dyDescent="0.35">
      <c r="A220" s="11">
        <v>40087</v>
      </c>
      <c r="B220" s="15">
        <f>VLOOKUP(A220,Database!A:K,MATCH($A$1,Database!$A$1:$K$1,),)</f>
        <v>34885</v>
      </c>
      <c r="C220" s="12">
        <f t="shared" si="6"/>
        <v>2.4425287356321839E-3</v>
      </c>
      <c r="D220" s="13">
        <f t="shared" si="7"/>
        <v>-0.14042479794993101</v>
      </c>
    </row>
    <row r="221" spans="1:4" x14ac:dyDescent="0.35">
      <c r="A221" s="10">
        <v>40118</v>
      </c>
      <c r="B221" s="15">
        <f>VLOOKUP(A221,Database!A:K,MATCH($A$1,Database!$A$1:$K$1,),)</f>
        <v>36573</v>
      </c>
      <c r="C221" s="12">
        <f t="shared" si="6"/>
        <v>4.8387559122832165E-2</v>
      </c>
      <c r="D221" s="13">
        <f t="shared" si="7"/>
        <v>0.15096299093655588</v>
      </c>
    </row>
    <row r="222" spans="1:4" x14ac:dyDescent="0.35">
      <c r="A222" s="11">
        <v>40148</v>
      </c>
      <c r="B222" s="15">
        <f>VLOOKUP(A222,Database!A:K,MATCH($A$1,Database!$A$1:$K$1,),)</f>
        <v>37182</v>
      </c>
      <c r="C222" s="12">
        <f t="shared" si="6"/>
        <v>1.6651628250348618E-2</v>
      </c>
      <c r="D222" s="13">
        <f t="shared" si="7"/>
        <v>0.32797599914282655</v>
      </c>
    </row>
    <row r="223" spans="1:4" x14ac:dyDescent="0.35">
      <c r="A223" s="10">
        <v>40179</v>
      </c>
      <c r="B223" s="15">
        <f>VLOOKUP(A223,Database!A:K,MATCH($A$1,Database!$A$1:$K$1,),)</f>
        <v>37399</v>
      </c>
      <c r="C223" s="12">
        <f t="shared" si="6"/>
        <v>5.8361572804044972E-3</v>
      </c>
      <c r="D223" s="13">
        <f t="shared" si="7"/>
        <v>0.297765285585398</v>
      </c>
    </row>
    <row r="224" spans="1:4" x14ac:dyDescent="0.35">
      <c r="A224" s="11">
        <v>40210</v>
      </c>
      <c r="B224" s="15">
        <f>VLOOKUP(A224,Database!A:K,MATCH($A$1,Database!$A$1:$K$1,),)</f>
        <v>36950</v>
      </c>
      <c r="C224" s="12">
        <f t="shared" si="6"/>
        <v>-1.2005668600764727E-2</v>
      </c>
      <c r="D224" s="13">
        <f t="shared" si="7"/>
        <v>0.23744139316811788</v>
      </c>
    </row>
    <row r="225" spans="1:4" x14ac:dyDescent="0.35">
      <c r="A225" s="10">
        <v>40238</v>
      </c>
      <c r="B225" s="15">
        <f>VLOOKUP(A225,Database!A:K,MATCH($A$1,Database!$A$1:$K$1,),)</f>
        <v>37123</v>
      </c>
      <c r="C225" s="12">
        <f t="shared" si="6"/>
        <v>4.6820027063599456E-3</v>
      </c>
      <c r="D225" s="13">
        <f t="shared" si="7"/>
        <v>0.28787510841283609</v>
      </c>
    </row>
    <row r="226" spans="1:4" x14ac:dyDescent="0.35">
      <c r="A226" s="11">
        <v>40269</v>
      </c>
      <c r="B226" s="15">
        <f>VLOOKUP(A226,Database!A:K,MATCH($A$1,Database!$A$1:$K$1,),)</f>
        <v>37218</v>
      </c>
      <c r="C226" s="12">
        <f t="shared" si="6"/>
        <v>2.5590604207634082E-3</v>
      </c>
      <c r="D226" s="13">
        <f t="shared" si="7"/>
        <v>0.29467422687584793</v>
      </c>
    </row>
    <row r="227" spans="1:4" x14ac:dyDescent="0.35">
      <c r="A227" s="10">
        <v>40299</v>
      </c>
      <c r="B227" s="15">
        <f>VLOOKUP(A227,Database!A:K,MATCH($A$1,Database!$A$1:$K$1,),)</f>
        <v>36606</v>
      </c>
      <c r="C227" s="12">
        <f t="shared" si="6"/>
        <v>-1.6443656295340964E-2</v>
      </c>
      <c r="D227" s="13">
        <f t="shared" si="7"/>
        <v>0.20066911571765941</v>
      </c>
    </row>
    <row r="228" spans="1:4" x14ac:dyDescent="0.35">
      <c r="A228" s="11">
        <v>40330</v>
      </c>
      <c r="B228" s="15">
        <f>VLOOKUP(A228,Database!A:K,MATCH($A$1,Database!$A$1:$K$1,),)</f>
        <v>35609</v>
      </c>
      <c r="C228" s="12">
        <f t="shared" si="6"/>
        <v>-2.723597224498716E-2</v>
      </c>
      <c r="D228" s="13">
        <f t="shared" si="7"/>
        <v>6.6936329588014987E-2</v>
      </c>
    </row>
    <row r="229" spans="1:4" x14ac:dyDescent="0.35">
      <c r="A229" s="10">
        <v>40360</v>
      </c>
      <c r="B229" s="15">
        <f>VLOOKUP(A229,Database!A:K,MATCH($A$1,Database!$A$1:$K$1,),)</f>
        <v>35764</v>
      </c>
      <c r="C229" s="12">
        <f t="shared" si="6"/>
        <v>4.3528321491757699E-3</v>
      </c>
      <c r="D229" s="13">
        <f t="shared" si="7"/>
        <v>8.1594386983608547E-2</v>
      </c>
    </row>
    <row r="230" spans="1:4" x14ac:dyDescent="0.35">
      <c r="A230" s="11">
        <v>40391</v>
      </c>
      <c r="B230" s="15">
        <f>VLOOKUP(A230,Database!A:K,MATCH($A$1,Database!$A$1:$K$1,),)</f>
        <v>36223</v>
      </c>
      <c r="C230" s="12">
        <f t="shared" si="6"/>
        <v>1.2834134884241136E-2</v>
      </c>
      <c r="D230" s="13">
        <f t="shared" si="7"/>
        <v>4.5155519649143057E-2</v>
      </c>
    </row>
    <row r="231" spans="1:4" x14ac:dyDescent="0.35">
      <c r="A231" s="10">
        <v>40422</v>
      </c>
      <c r="B231" s="15">
        <f>VLOOKUP(A231,Database!A:K,MATCH($A$1,Database!$A$1:$K$1,),)</f>
        <v>37357</v>
      </c>
      <c r="C231" s="12">
        <f t="shared" si="6"/>
        <v>3.1306076249896474E-2</v>
      </c>
      <c r="D231" s="13">
        <f t="shared" si="7"/>
        <v>7.347701149425287E-2</v>
      </c>
    </row>
    <row r="232" spans="1:4" x14ac:dyDescent="0.35">
      <c r="A232" s="11">
        <v>40452</v>
      </c>
      <c r="B232" s="15">
        <f>VLOOKUP(A232,Database!A:K,MATCH($A$1,Database!$A$1:$K$1,),)</f>
        <v>38519</v>
      </c>
      <c r="C232" s="12">
        <f t="shared" si="6"/>
        <v>3.1105281473351714E-2</v>
      </c>
      <c r="D232" s="13">
        <f t="shared" si="7"/>
        <v>0.10417084706894081</v>
      </c>
    </row>
    <row r="233" spans="1:4" x14ac:dyDescent="0.35">
      <c r="A233" s="10">
        <v>40483</v>
      </c>
      <c r="B233" s="15">
        <f>VLOOKUP(A233,Database!A:K,MATCH($A$1,Database!$A$1:$K$1,),)</f>
        <v>39272</v>
      </c>
      <c r="C233" s="12">
        <f t="shared" si="6"/>
        <v>1.9548794101612192E-2</v>
      </c>
      <c r="D233" s="13">
        <f t="shared" si="7"/>
        <v>7.3797610258934193E-2</v>
      </c>
    </row>
    <row r="234" spans="1:4" x14ac:dyDescent="0.35">
      <c r="A234" s="11">
        <v>40513</v>
      </c>
      <c r="B234" s="15">
        <f>VLOOKUP(A234,Database!A:K,MATCH($A$1,Database!$A$1:$K$1,),)</f>
        <v>41279</v>
      </c>
      <c r="C234" s="12">
        <f t="shared" si="6"/>
        <v>5.1105113057649212E-2</v>
      </c>
      <c r="D234" s="13">
        <f t="shared" si="7"/>
        <v>0.11018772524339734</v>
      </c>
    </row>
    <row r="235" spans="1:4" x14ac:dyDescent="0.35">
      <c r="A235" s="10">
        <v>40544</v>
      </c>
      <c r="B235" s="15">
        <f>VLOOKUP(A235,Database!A:K,MATCH($A$1,Database!$A$1:$K$1,),)</f>
        <v>41778</v>
      </c>
      <c r="C235" s="12">
        <f t="shared" si="6"/>
        <v>1.2088471135444173E-2</v>
      </c>
      <c r="D235" s="13">
        <f t="shared" si="7"/>
        <v>0.11708869221102168</v>
      </c>
    </row>
    <row r="236" spans="1:4" x14ac:dyDescent="0.35">
      <c r="A236" s="11">
        <v>40575</v>
      </c>
      <c r="B236" s="15">
        <f>VLOOKUP(A236,Database!A:K,MATCH($A$1,Database!$A$1:$K$1,),)</f>
        <v>42294</v>
      </c>
      <c r="C236" s="12">
        <f t="shared" si="6"/>
        <v>1.2350998132988655E-2</v>
      </c>
      <c r="D236" s="13">
        <f t="shared" si="7"/>
        <v>0.14462787550744249</v>
      </c>
    </row>
    <row r="237" spans="1:4" x14ac:dyDescent="0.35">
      <c r="A237" s="10">
        <v>40603</v>
      </c>
      <c r="B237" s="15">
        <f>VLOOKUP(A237,Database!A:K,MATCH($A$1,Database!$A$1:$K$1,),)</f>
        <v>43780</v>
      </c>
      <c r="C237" s="12">
        <f t="shared" si="6"/>
        <v>3.513500732964487E-2</v>
      </c>
      <c r="D237" s="13">
        <f t="shared" si="7"/>
        <v>0.17932279180023167</v>
      </c>
    </row>
    <row r="238" spans="1:4" x14ac:dyDescent="0.35">
      <c r="A238" s="11">
        <v>40634</v>
      </c>
      <c r="B238" s="15">
        <f>VLOOKUP(A238,Database!A:K,MATCH($A$1,Database!$A$1:$K$1,),)</f>
        <v>44561</v>
      </c>
      <c r="C238" s="12">
        <f t="shared" si="6"/>
        <v>1.7839195979899497E-2</v>
      </c>
      <c r="D238" s="13">
        <f t="shared" si="7"/>
        <v>0.19729700682465473</v>
      </c>
    </row>
    <row r="239" spans="1:4" x14ac:dyDescent="0.35">
      <c r="A239" s="10">
        <v>40664</v>
      </c>
      <c r="B239" s="15">
        <f>VLOOKUP(A239,Database!A:K,MATCH($A$1,Database!$A$1:$K$1,),)</f>
        <v>45300</v>
      </c>
      <c r="C239" s="12">
        <f t="shared" si="6"/>
        <v>1.6584008437871681E-2</v>
      </c>
      <c r="D239" s="13">
        <f t="shared" si="7"/>
        <v>0.23750204884445172</v>
      </c>
    </row>
    <row r="240" spans="1:4" x14ac:dyDescent="0.35">
      <c r="A240" s="11">
        <v>40695</v>
      </c>
      <c r="B240" s="15">
        <f>VLOOKUP(A240,Database!A:K,MATCH($A$1,Database!$A$1:$K$1,),)</f>
        <v>44572</v>
      </c>
      <c r="C240" s="12">
        <f t="shared" si="6"/>
        <v>-1.6070640176600443E-2</v>
      </c>
      <c r="D240" s="13">
        <f t="shared" si="7"/>
        <v>0.2517060293745963</v>
      </c>
    </row>
    <row r="241" spans="1:4" x14ac:dyDescent="0.35">
      <c r="A241" s="10">
        <v>40725</v>
      </c>
      <c r="B241" s="15">
        <f>VLOOKUP(A241,Database!A:K,MATCH($A$1,Database!$A$1:$K$1,),)</f>
        <v>44796</v>
      </c>
      <c r="C241" s="12">
        <f t="shared" si="6"/>
        <v>5.0255765951718566E-3</v>
      </c>
      <c r="D241" s="13">
        <f t="shared" si="7"/>
        <v>0.25254445811430487</v>
      </c>
    </row>
    <row r="242" spans="1:4" x14ac:dyDescent="0.35">
      <c r="A242" s="11">
        <v>40756</v>
      </c>
      <c r="B242" s="15">
        <f>VLOOKUP(A242,Database!A:K,MATCH($A$1,Database!$A$1:$K$1,),)</f>
        <v>45033</v>
      </c>
      <c r="C242" s="12">
        <f t="shared" si="6"/>
        <v>5.2906509509777662E-3</v>
      </c>
      <c r="D242" s="13">
        <f t="shared" si="7"/>
        <v>0.24321563647406344</v>
      </c>
    </row>
    <row r="243" spans="1:4" x14ac:dyDescent="0.35">
      <c r="A243" s="10">
        <v>40787</v>
      </c>
      <c r="B243" s="15">
        <f>VLOOKUP(A243,Database!A:K,MATCH($A$1,Database!$A$1:$K$1,),)</f>
        <v>45082</v>
      </c>
      <c r="C243" s="12">
        <f t="shared" si="6"/>
        <v>1.0880909555215064E-3</v>
      </c>
      <c r="D243" s="13">
        <f t="shared" si="7"/>
        <v>0.20678855368471771</v>
      </c>
    </row>
    <row r="244" spans="1:4" x14ac:dyDescent="0.35">
      <c r="A244" s="11">
        <v>40817</v>
      </c>
      <c r="B244" s="15">
        <f>VLOOKUP(A244,Database!A:K,MATCH($A$1,Database!$A$1:$K$1,),)</f>
        <v>44846</v>
      </c>
      <c r="C244" s="12">
        <f t="shared" si="6"/>
        <v>-5.2349052837052483E-3</v>
      </c>
      <c r="D244" s="13">
        <f t="shared" si="7"/>
        <v>0.16425660063864586</v>
      </c>
    </row>
    <row r="245" spans="1:4" x14ac:dyDescent="0.35">
      <c r="A245" s="10">
        <v>40848</v>
      </c>
      <c r="B245" s="15">
        <f>VLOOKUP(A245,Database!A:K,MATCH($A$1,Database!$A$1:$K$1,),)</f>
        <v>45622</v>
      </c>
      <c r="C245" s="12">
        <f t="shared" si="6"/>
        <v>1.7303661419078624E-2</v>
      </c>
      <c r="D245" s="13">
        <f t="shared" si="7"/>
        <v>0.16169280912609493</v>
      </c>
    </row>
    <row r="246" spans="1:4" x14ac:dyDescent="0.35">
      <c r="A246" s="11">
        <v>40878</v>
      </c>
      <c r="B246" s="15">
        <f>VLOOKUP(A246,Database!A:K,MATCH($A$1,Database!$A$1:$K$1,),)</f>
        <v>45291</v>
      </c>
      <c r="C246" s="12">
        <f t="shared" si="6"/>
        <v>-7.2552715795011179E-3</v>
      </c>
      <c r="D246" s="13">
        <f t="shared" si="7"/>
        <v>9.7192276944693429E-2</v>
      </c>
    </row>
    <row r="247" spans="1:4" x14ac:dyDescent="0.35">
      <c r="A247" s="10">
        <v>40909</v>
      </c>
      <c r="B247" s="15">
        <f>VLOOKUP(A247,Database!A:K,MATCH($A$1,Database!$A$1:$K$1,),)</f>
        <v>45752</v>
      </c>
      <c r="C247" s="12">
        <f t="shared" si="6"/>
        <v>1.0178622684418537E-2</v>
      </c>
      <c r="D247" s="13">
        <f t="shared" si="7"/>
        <v>9.5121834458327351E-2</v>
      </c>
    </row>
    <row r="248" spans="1:4" x14ac:dyDescent="0.35">
      <c r="A248" s="11">
        <v>40940</v>
      </c>
      <c r="B248" s="15">
        <f>VLOOKUP(A248,Database!A:K,MATCH($A$1,Database!$A$1:$K$1,),)</f>
        <v>47171</v>
      </c>
      <c r="C248" s="12">
        <f t="shared" si="6"/>
        <v>3.1015037593984961E-2</v>
      </c>
      <c r="D248" s="13">
        <f t="shared" si="7"/>
        <v>0.11531186456707808</v>
      </c>
    </row>
    <row r="249" spans="1:4" x14ac:dyDescent="0.35">
      <c r="A249" s="10">
        <v>40969</v>
      </c>
      <c r="B249" s="15">
        <f>VLOOKUP(A249,Database!A:K,MATCH($A$1,Database!$A$1:$K$1,),)</f>
        <v>47495</v>
      </c>
      <c r="C249" s="12">
        <f t="shared" si="6"/>
        <v>6.8686269106018527E-3</v>
      </c>
      <c r="D249" s="13">
        <f t="shared" si="7"/>
        <v>8.4856098675194155E-2</v>
      </c>
    </row>
    <row r="250" spans="1:4" x14ac:dyDescent="0.35">
      <c r="A250" s="11">
        <v>41000</v>
      </c>
      <c r="B250" s="15">
        <f>VLOOKUP(A250,Database!A:K,MATCH($A$1,Database!$A$1:$K$1,),)</f>
        <v>47006</v>
      </c>
      <c r="C250" s="12">
        <f t="shared" si="6"/>
        <v>-1.0295820612696073E-2</v>
      </c>
      <c r="D250" s="13">
        <f t="shared" si="7"/>
        <v>5.4868607077938107E-2</v>
      </c>
    </row>
    <row r="251" spans="1:4" x14ac:dyDescent="0.35">
      <c r="A251" s="10">
        <v>41030</v>
      </c>
      <c r="B251" s="15">
        <f>VLOOKUP(A251,Database!A:K,MATCH($A$1,Database!$A$1:$K$1,),)</f>
        <v>45766</v>
      </c>
      <c r="C251" s="12">
        <f t="shared" si="6"/>
        <v>-2.6379611113474876E-2</v>
      </c>
      <c r="D251" s="13">
        <f t="shared" si="7"/>
        <v>1.0286975717439294E-2</v>
      </c>
    </row>
    <row r="252" spans="1:4" x14ac:dyDescent="0.35">
      <c r="A252" s="11">
        <v>41061</v>
      </c>
      <c r="B252" s="15">
        <f>VLOOKUP(A252,Database!A:K,MATCH($A$1,Database!$A$1:$K$1,),)</f>
        <v>43646</v>
      </c>
      <c r="C252" s="12">
        <f t="shared" si="6"/>
        <v>-4.6322597561508541E-2</v>
      </c>
      <c r="D252" s="13">
        <f t="shared" si="7"/>
        <v>-2.0775374674683659E-2</v>
      </c>
    </row>
    <row r="253" spans="1:4" x14ac:dyDescent="0.35">
      <c r="A253" s="10">
        <v>41091</v>
      </c>
      <c r="B253" s="15">
        <f>VLOOKUP(A253,Database!A:K,MATCH($A$1,Database!$A$1:$K$1,),)</f>
        <v>43484</v>
      </c>
      <c r="C253" s="12">
        <f t="shared" si="6"/>
        <v>-3.7116803372588551E-3</v>
      </c>
      <c r="D253" s="13">
        <f t="shared" si="7"/>
        <v>-2.928832931511742E-2</v>
      </c>
    </row>
    <row r="254" spans="1:4" x14ac:dyDescent="0.35">
      <c r="A254" s="11">
        <v>41122</v>
      </c>
      <c r="B254" s="15">
        <f>VLOOKUP(A254,Database!A:K,MATCH($A$1,Database!$A$1:$K$1,),)</f>
        <v>46391</v>
      </c>
      <c r="C254" s="12">
        <f t="shared" si="6"/>
        <v>6.6852175512832304E-2</v>
      </c>
      <c r="D254" s="13">
        <f t="shared" si="7"/>
        <v>3.0155663624453179E-2</v>
      </c>
    </row>
    <row r="255" spans="1:4" x14ac:dyDescent="0.35">
      <c r="A255" s="10">
        <v>41153</v>
      </c>
      <c r="B255" s="15">
        <f>VLOOKUP(A255,Database!A:K,MATCH($A$1,Database!$A$1:$K$1,),)</f>
        <v>47107</v>
      </c>
      <c r="C255" s="12">
        <f t="shared" si="6"/>
        <v>1.5434028152012244E-2</v>
      </c>
      <c r="D255" s="13">
        <f t="shared" si="7"/>
        <v>4.491814915043698E-2</v>
      </c>
    </row>
    <row r="256" spans="1:4" x14ac:dyDescent="0.35">
      <c r="A256" s="11">
        <v>41183</v>
      </c>
      <c r="B256" s="15">
        <f>VLOOKUP(A256,Database!A:K,MATCH($A$1,Database!$A$1:$K$1,),)</f>
        <v>47976</v>
      </c>
      <c r="C256" s="12">
        <f t="shared" si="6"/>
        <v>1.8447364510582293E-2</v>
      </c>
      <c r="D256" s="13">
        <f t="shared" si="7"/>
        <v>6.9794407527984659E-2</v>
      </c>
    </row>
    <row r="257" spans="1:4" x14ac:dyDescent="0.35">
      <c r="A257" s="10">
        <v>41214</v>
      </c>
      <c r="B257" s="15">
        <f>VLOOKUP(A257,Database!A:K,MATCH($A$1,Database!$A$1:$K$1,),)</f>
        <v>46822</v>
      </c>
      <c r="C257" s="12">
        <f t="shared" si="6"/>
        <v>-2.4053693513423378E-2</v>
      </c>
      <c r="D257" s="13">
        <f t="shared" si="7"/>
        <v>2.6303099381877165E-2</v>
      </c>
    </row>
    <row r="258" spans="1:4" x14ac:dyDescent="0.35">
      <c r="A258" s="11">
        <v>41244</v>
      </c>
      <c r="B258" s="15">
        <f>VLOOKUP(A258,Database!A:K,MATCH($A$1,Database!$A$1:$K$1,),)</f>
        <v>45886</v>
      </c>
      <c r="C258" s="12">
        <f t="shared" si="6"/>
        <v>-1.9990602708128656E-2</v>
      </c>
      <c r="D258" s="13">
        <f t="shared" si="7"/>
        <v>1.3137267889867745E-2</v>
      </c>
    </row>
    <row r="259" spans="1:4" x14ac:dyDescent="0.35">
      <c r="A259" s="10">
        <v>41275</v>
      </c>
      <c r="B259" s="15">
        <f>VLOOKUP(A259,Database!A:K,MATCH($A$1,Database!$A$1:$K$1,),)</f>
        <v>46043</v>
      </c>
      <c r="C259" s="12">
        <f t="shared" si="6"/>
        <v>3.4215229045896352E-3</v>
      </c>
      <c r="D259" s="13">
        <f t="shared" si="7"/>
        <v>6.3603776884070644E-3</v>
      </c>
    </row>
    <row r="260" spans="1:4" x14ac:dyDescent="0.35">
      <c r="A260" s="11">
        <v>41306</v>
      </c>
      <c r="B260" s="15">
        <f>VLOOKUP(A260,Database!A:K,MATCH($A$1,Database!$A$1:$K$1,),)</f>
        <v>49101</v>
      </c>
      <c r="C260" s="12">
        <f t="shared" si="6"/>
        <v>6.6416176183133155E-2</v>
      </c>
      <c r="D260" s="13">
        <f t="shared" si="7"/>
        <v>4.091496894278264E-2</v>
      </c>
    </row>
    <row r="261" spans="1:4" x14ac:dyDescent="0.35">
      <c r="A261" s="10">
        <v>41334</v>
      </c>
      <c r="B261" s="15">
        <f>VLOOKUP(A261,Database!A:K,MATCH($A$1,Database!$A$1:$K$1,),)</f>
        <v>47586</v>
      </c>
      <c r="C261" s="12">
        <f t="shared" si="6"/>
        <v>-3.0854768741980815E-2</v>
      </c>
      <c r="D261" s="13">
        <f t="shared" si="7"/>
        <v>1.915991156963891E-3</v>
      </c>
    </row>
    <row r="262" spans="1:4" x14ac:dyDescent="0.35">
      <c r="A262" s="11">
        <v>41365</v>
      </c>
      <c r="B262" s="15">
        <f>VLOOKUP(A262,Database!A:K,MATCH($A$1,Database!$A$1:$K$1,),)</f>
        <v>46120</v>
      </c>
      <c r="C262" s="12">
        <f t="shared" si="6"/>
        <v>-3.0807380321943429E-2</v>
      </c>
      <c r="D262" s="13">
        <f t="shared" si="7"/>
        <v>-1.8848657618176404E-2</v>
      </c>
    </row>
    <row r="263" spans="1:4" x14ac:dyDescent="0.35">
      <c r="A263" s="10">
        <v>41395</v>
      </c>
      <c r="B263" s="15">
        <f>VLOOKUP(A263,Database!A:K,MATCH($A$1,Database!$A$1:$K$1,),)</f>
        <v>45589</v>
      </c>
      <c r="C263" s="12">
        <f t="shared" si="6"/>
        <v>-1.1513443191673894E-2</v>
      </c>
      <c r="D263" s="13">
        <f t="shared" si="7"/>
        <v>-3.8674998907485907E-3</v>
      </c>
    </row>
    <row r="264" spans="1:4" x14ac:dyDescent="0.35">
      <c r="A264" s="11">
        <v>41426</v>
      </c>
      <c r="B264" s="15">
        <f>VLOOKUP(A264,Database!A:K,MATCH($A$1,Database!$A$1:$K$1,),)</f>
        <v>45824</v>
      </c>
      <c r="C264" s="12">
        <f t="shared" ref="C264:C327" si="8">(B264-B263)/B263</f>
        <v>5.1547522428656038E-3</v>
      </c>
      <c r="D264" s="13">
        <f t="shared" si="7"/>
        <v>4.9901480089813502E-2</v>
      </c>
    </row>
    <row r="265" spans="1:4" x14ac:dyDescent="0.35">
      <c r="A265" s="10">
        <v>41456</v>
      </c>
      <c r="B265" s="15">
        <f>VLOOKUP(A265,Database!A:K,MATCH($A$1,Database!$A$1:$K$1,),)</f>
        <v>45961</v>
      </c>
      <c r="C265" s="12">
        <f t="shared" si="8"/>
        <v>2.9896997206703912E-3</v>
      </c>
      <c r="D265" s="13">
        <f t="shared" si="7"/>
        <v>5.6963480820531688E-2</v>
      </c>
    </row>
    <row r="266" spans="1:4" x14ac:dyDescent="0.35">
      <c r="A266" s="11">
        <v>41487</v>
      </c>
      <c r="B266" s="15">
        <f>VLOOKUP(A266,Database!A:K,MATCH($A$1,Database!$A$1:$K$1,),)</f>
        <v>45632</v>
      </c>
      <c r="C266" s="12">
        <f t="shared" si="8"/>
        <v>-7.1582428580753248E-3</v>
      </c>
      <c r="D266" s="13">
        <f t="shared" si="7"/>
        <v>-1.6360932077342589E-2</v>
      </c>
    </row>
    <row r="267" spans="1:4" x14ac:dyDescent="0.35">
      <c r="A267" s="10">
        <v>41518</v>
      </c>
      <c r="B267" s="15">
        <f>VLOOKUP(A267,Database!A:K,MATCH($A$1,Database!$A$1:$K$1,),)</f>
        <v>45745</v>
      </c>
      <c r="C267" s="12">
        <f t="shared" si="8"/>
        <v>2.4763323983169705E-3</v>
      </c>
      <c r="D267" s="13">
        <f t="shared" si="7"/>
        <v>-2.8912900418196871E-2</v>
      </c>
    </row>
    <row r="268" spans="1:4" x14ac:dyDescent="0.35">
      <c r="A268" s="11">
        <v>41548</v>
      </c>
      <c r="B268" s="15">
        <f>VLOOKUP(A268,Database!A:K,MATCH($A$1,Database!$A$1:$K$1,),)</f>
        <v>45024</v>
      </c>
      <c r="C268" s="12">
        <f t="shared" si="8"/>
        <v>-1.5761285386381024E-2</v>
      </c>
      <c r="D268" s="13">
        <f t="shared" si="7"/>
        <v>-6.1530765382691345E-2</v>
      </c>
    </row>
    <row r="269" spans="1:4" x14ac:dyDescent="0.35">
      <c r="A269" s="10">
        <v>41579</v>
      </c>
      <c r="B269" s="15">
        <f>VLOOKUP(A269,Database!A:K,MATCH($A$1,Database!$A$1:$K$1,),)</f>
        <v>44716</v>
      </c>
      <c r="C269" s="12">
        <f t="shared" si="8"/>
        <v>-6.8407960199004976E-3</v>
      </c>
      <c r="D269" s="13">
        <f t="shared" si="7"/>
        <v>-4.4978856093289478E-2</v>
      </c>
    </row>
    <row r="270" spans="1:4" x14ac:dyDescent="0.35">
      <c r="A270" s="11">
        <v>41609</v>
      </c>
      <c r="B270" s="15">
        <f>VLOOKUP(A270,Database!A:K,MATCH($A$1,Database!$A$1:$K$1,),)</f>
        <v>46666</v>
      </c>
      <c r="C270" s="12">
        <f t="shared" si="8"/>
        <v>4.3608551748814742E-2</v>
      </c>
      <c r="D270" s="13">
        <f t="shared" si="7"/>
        <v>1.699864882534978E-2</v>
      </c>
    </row>
    <row r="271" spans="1:4" x14ac:dyDescent="0.35">
      <c r="A271" s="10">
        <v>41640</v>
      </c>
      <c r="B271" s="15">
        <f>VLOOKUP(A271,Database!A:K,MATCH($A$1,Database!$A$1:$K$1,),)</f>
        <v>47076</v>
      </c>
      <c r="C271" s="12">
        <f t="shared" si="8"/>
        <v>8.7858397977113954E-3</v>
      </c>
      <c r="D271" s="13">
        <f t="shared" si="7"/>
        <v>2.2435549377755576E-2</v>
      </c>
    </row>
    <row r="272" spans="1:4" x14ac:dyDescent="0.35">
      <c r="A272" s="11">
        <v>41671</v>
      </c>
      <c r="B272" s="15">
        <f>VLOOKUP(A272,Database!A:K,MATCH($A$1,Database!$A$1:$K$1,),)</f>
        <v>47571</v>
      </c>
      <c r="C272" s="12">
        <f t="shared" si="8"/>
        <v>1.0514912057099158E-2</v>
      </c>
      <c r="D272" s="13">
        <f t="shared" si="7"/>
        <v>-3.1160261501802407E-2</v>
      </c>
    </row>
    <row r="273" spans="1:4" x14ac:dyDescent="0.35">
      <c r="A273" s="10">
        <v>41699</v>
      </c>
      <c r="B273" s="15">
        <f>VLOOKUP(A273,Database!A:K,MATCH($A$1,Database!$A$1:$K$1,),)</f>
        <v>46861</v>
      </c>
      <c r="C273" s="12">
        <f t="shared" si="8"/>
        <v>-1.4925059384919384E-2</v>
      </c>
      <c r="D273" s="13">
        <f t="shared" si="7"/>
        <v>-1.5235573488000672E-2</v>
      </c>
    </row>
    <row r="274" spans="1:4" x14ac:dyDescent="0.35">
      <c r="A274" s="11">
        <v>41730</v>
      </c>
      <c r="B274" s="15">
        <f>VLOOKUP(A274,Database!A:K,MATCH($A$1,Database!$A$1:$K$1,),)</f>
        <v>47080</v>
      </c>
      <c r="C274" s="12">
        <f t="shared" si="8"/>
        <v>4.6733957875418793E-3</v>
      </c>
      <c r="D274" s="13">
        <f t="shared" si="7"/>
        <v>2.0815264527320035E-2</v>
      </c>
    </row>
    <row r="275" spans="1:4" x14ac:dyDescent="0.35">
      <c r="A275" s="10">
        <v>41760</v>
      </c>
      <c r="B275" s="15">
        <f>VLOOKUP(A275,Database!A:K,MATCH($A$1,Database!$A$1:$K$1,),)</f>
        <v>46780</v>
      </c>
      <c r="C275" s="12">
        <f t="shared" si="8"/>
        <v>-6.3721325403568391E-3</v>
      </c>
      <c r="D275" s="13">
        <f t="shared" ref="D275:D338" si="9">(B275-B263)/B263</f>
        <v>2.6124723069161422E-2</v>
      </c>
    </row>
    <row r="276" spans="1:4" x14ac:dyDescent="0.35">
      <c r="A276" s="11">
        <v>41791</v>
      </c>
      <c r="B276" s="15">
        <f>VLOOKUP(A276,Database!A:K,MATCH($A$1,Database!$A$1:$K$1,),)</f>
        <v>45732</v>
      </c>
      <c r="C276" s="12">
        <f t="shared" si="8"/>
        <v>-2.2402736212056434E-2</v>
      </c>
      <c r="D276" s="13">
        <f t="shared" si="9"/>
        <v>-2.0076815642458101E-3</v>
      </c>
    </row>
    <row r="277" spans="1:4" x14ac:dyDescent="0.35">
      <c r="A277" s="10">
        <v>41821</v>
      </c>
      <c r="B277" s="15">
        <f>VLOOKUP(A277,Database!A:K,MATCH($A$1,Database!$A$1:$K$1,),)</f>
        <v>45765</v>
      </c>
      <c r="C277" s="12">
        <f t="shared" si="8"/>
        <v>7.2159538178955657E-4</v>
      </c>
      <c r="D277" s="13">
        <f t="shared" si="9"/>
        <v>-4.2644851069384912E-3</v>
      </c>
    </row>
    <row r="278" spans="1:4" x14ac:dyDescent="0.35">
      <c r="A278" s="11">
        <v>41852</v>
      </c>
      <c r="B278" s="15">
        <f>VLOOKUP(A278,Database!A:K,MATCH($A$1,Database!$A$1:$K$1,),)</f>
        <v>45907</v>
      </c>
      <c r="C278" s="12">
        <f t="shared" si="8"/>
        <v>3.1028078225718344E-3</v>
      </c>
      <c r="D278" s="13">
        <f t="shared" si="9"/>
        <v>6.0264726507713888E-3</v>
      </c>
    </row>
    <row r="279" spans="1:4" x14ac:dyDescent="0.35">
      <c r="A279" s="10">
        <v>41883</v>
      </c>
      <c r="B279" s="15">
        <f>VLOOKUP(A279,Database!A:K,MATCH($A$1,Database!$A$1:$K$1,),)</f>
        <v>45387</v>
      </c>
      <c r="C279" s="12">
        <f t="shared" si="8"/>
        <v>-1.1327248567756552E-2</v>
      </c>
      <c r="D279" s="13">
        <f t="shared" si="9"/>
        <v>-7.8259919116843366E-3</v>
      </c>
    </row>
    <row r="280" spans="1:4" x14ac:dyDescent="0.35">
      <c r="A280" s="11">
        <v>41913</v>
      </c>
      <c r="B280" s="15">
        <f>VLOOKUP(A280,Database!A:K,MATCH($A$1,Database!$A$1:$K$1,),)</f>
        <v>44501</v>
      </c>
      <c r="C280" s="12">
        <f t="shared" si="8"/>
        <v>-1.9521008218212264E-2</v>
      </c>
      <c r="D280" s="13">
        <f t="shared" si="9"/>
        <v>-1.1616027007818053E-2</v>
      </c>
    </row>
    <row r="281" spans="1:4" x14ac:dyDescent="0.35">
      <c r="A281" s="10">
        <v>41944</v>
      </c>
      <c r="B281" s="15">
        <f>VLOOKUP(A281,Database!A:K,MATCH($A$1,Database!$A$1:$K$1,),)</f>
        <v>43630</v>
      </c>
      <c r="C281" s="12">
        <f t="shared" si="8"/>
        <v>-1.9572593874294959E-2</v>
      </c>
      <c r="D281" s="13">
        <f t="shared" si="9"/>
        <v>-2.4286608820109135E-2</v>
      </c>
    </row>
    <row r="282" spans="1:4" x14ac:dyDescent="0.35">
      <c r="A282" s="11">
        <v>41974</v>
      </c>
      <c r="B282" s="15">
        <f>VLOOKUP(A282,Database!A:K,MATCH($A$1,Database!$A$1:$K$1,),)</f>
        <v>40445</v>
      </c>
      <c r="C282" s="12">
        <f t="shared" si="8"/>
        <v>-7.3000229200091679E-2</v>
      </c>
      <c r="D282" s="13">
        <f t="shared" si="9"/>
        <v>-0.13330904727210388</v>
      </c>
    </row>
    <row r="283" spans="1:4" x14ac:dyDescent="0.35">
      <c r="A283" s="10">
        <v>42005</v>
      </c>
      <c r="B283" s="15">
        <f>VLOOKUP(A283,Database!A:K,MATCH($A$1,Database!$A$1:$K$1,),)</f>
        <v>36572</v>
      </c>
      <c r="C283" s="12">
        <f t="shared" si="8"/>
        <v>-9.5759673630856718E-2</v>
      </c>
      <c r="D283" s="13">
        <f t="shared" si="9"/>
        <v>-0.22312855807630214</v>
      </c>
    </row>
    <row r="284" spans="1:4" x14ac:dyDescent="0.35">
      <c r="A284" s="11">
        <v>42036</v>
      </c>
      <c r="B284" s="15">
        <f>VLOOKUP(A284,Database!A:K,MATCH($A$1,Database!$A$1:$K$1,),)</f>
        <v>37842</v>
      </c>
      <c r="C284" s="12">
        <f t="shared" si="8"/>
        <v>3.4726019905938967E-2</v>
      </c>
      <c r="D284" s="13">
        <f t="shared" si="9"/>
        <v>-0.20451535599419815</v>
      </c>
    </row>
    <row r="285" spans="1:4" x14ac:dyDescent="0.35">
      <c r="A285" s="10">
        <v>42064</v>
      </c>
      <c r="B285" s="15">
        <f>VLOOKUP(A285,Database!A:K,MATCH($A$1,Database!$A$1:$K$1,),)</f>
        <v>38365</v>
      </c>
      <c r="C285" s="12">
        <f t="shared" si="8"/>
        <v>1.3820622588658104E-2</v>
      </c>
      <c r="D285" s="13">
        <f t="shared" si="9"/>
        <v>-0.18130214890847399</v>
      </c>
    </row>
    <row r="286" spans="1:4" x14ac:dyDescent="0.35">
      <c r="A286" s="11">
        <v>42095</v>
      </c>
      <c r="B286" s="15">
        <f>VLOOKUP(A286,Database!A:K,MATCH($A$1,Database!$A$1:$K$1,),)</f>
        <v>37819</v>
      </c>
      <c r="C286" s="12">
        <f t="shared" si="8"/>
        <v>-1.4231721621269386E-2</v>
      </c>
      <c r="D286" s="13">
        <f t="shared" si="9"/>
        <v>-0.19670773152081564</v>
      </c>
    </row>
    <row r="287" spans="1:4" x14ac:dyDescent="0.35">
      <c r="A287" s="10">
        <v>42125</v>
      </c>
      <c r="B287" s="15">
        <f>VLOOKUP(A287,Database!A:K,MATCH($A$1,Database!$A$1:$K$1,),)</f>
        <v>39293</v>
      </c>
      <c r="C287" s="12">
        <f t="shared" si="8"/>
        <v>3.8975118326766971E-2</v>
      </c>
      <c r="D287" s="13">
        <f t="shared" si="9"/>
        <v>-0.16004702864471995</v>
      </c>
    </row>
    <row r="288" spans="1:4" x14ac:dyDescent="0.35">
      <c r="A288" s="11">
        <v>42156</v>
      </c>
      <c r="B288" s="15">
        <f>VLOOKUP(A288,Database!A:K,MATCH($A$1,Database!$A$1:$K$1,),)</f>
        <v>39799</v>
      </c>
      <c r="C288" s="12">
        <f t="shared" si="8"/>
        <v>1.287761178835925E-2</v>
      </c>
      <c r="D288" s="13">
        <f t="shared" si="9"/>
        <v>-0.12973410303507391</v>
      </c>
    </row>
    <row r="289" spans="1:4" x14ac:dyDescent="0.35">
      <c r="A289" s="10">
        <v>42186</v>
      </c>
      <c r="B289" s="15">
        <f>VLOOKUP(A289,Database!A:K,MATCH($A$1,Database!$A$1:$K$1,),)</f>
        <v>40279</v>
      </c>
      <c r="C289" s="12">
        <f t="shared" si="8"/>
        <v>1.2060604537802458E-2</v>
      </c>
      <c r="D289" s="13">
        <f t="shared" si="9"/>
        <v>-0.11987326559597947</v>
      </c>
    </row>
    <row r="290" spans="1:4" x14ac:dyDescent="0.35">
      <c r="A290" s="11">
        <v>42217</v>
      </c>
      <c r="B290" s="15">
        <f>VLOOKUP(A290,Database!A:K,MATCH($A$1,Database!$A$1:$K$1,),)</f>
        <v>39179</v>
      </c>
      <c r="C290" s="12">
        <f t="shared" si="8"/>
        <v>-2.7309516125027931E-2</v>
      </c>
      <c r="D290" s="13">
        <f t="shared" si="9"/>
        <v>-0.14655716993051168</v>
      </c>
    </row>
    <row r="291" spans="1:4" x14ac:dyDescent="0.35">
      <c r="A291" s="10">
        <v>42248</v>
      </c>
      <c r="B291" s="15">
        <f>VLOOKUP(A291,Database!A:K,MATCH($A$1,Database!$A$1:$K$1,),)</f>
        <v>36906</v>
      </c>
      <c r="C291" s="12">
        <f t="shared" si="8"/>
        <v>-5.8015773756349066E-2</v>
      </c>
      <c r="D291" s="13">
        <f t="shared" si="9"/>
        <v>-0.18685967347478352</v>
      </c>
    </row>
    <row r="292" spans="1:4" x14ac:dyDescent="0.35">
      <c r="A292" s="11">
        <v>42278</v>
      </c>
      <c r="B292" s="15">
        <f>VLOOKUP(A292,Database!A:K,MATCH($A$1,Database!$A$1:$K$1,),)</f>
        <v>36551</v>
      </c>
      <c r="C292" s="12">
        <f t="shared" si="8"/>
        <v>-9.6190321356960928E-3</v>
      </c>
      <c r="D292" s="13">
        <f t="shared" si="9"/>
        <v>-0.17864767083885755</v>
      </c>
    </row>
    <row r="293" spans="1:4" x14ac:dyDescent="0.35">
      <c r="A293" s="10">
        <v>42309</v>
      </c>
      <c r="B293" s="15">
        <f>VLOOKUP(A293,Database!A:K,MATCH($A$1,Database!$A$1:$K$1,),)</f>
        <v>36122</v>
      </c>
      <c r="C293" s="12">
        <f t="shared" si="8"/>
        <v>-1.1737024978796749E-2</v>
      </c>
      <c r="D293" s="13">
        <f t="shared" si="9"/>
        <v>-0.17208342883337152</v>
      </c>
    </row>
    <row r="294" spans="1:4" x14ac:dyDescent="0.35">
      <c r="A294" s="11">
        <v>42339</v>
      </c>
      <c r="B294" s="15">
        <f>VLOOKUP(A294,Database!A:K,MATCH($A$1,Database!$A$1:$K$1,),)</f>
        <v>35966</v>
      </c>
      <c r="C294" s="12">
        <f t="shared" si="8"/>
        <v>-4.3186977465256631E-3</v>
      </c>
      <c r="D294" s="13">
        <f t="shared" si="9"/>
        <v>-0.11074298429966621</v>
      </c>
    </row>
    <row r="295" spans="1:4" x14ac:dyDescent="0.35">
      <c r="A295" s="10">
        <v>42370</v>
      </c>
      <c r="B295" s="15">
        <f>VLOOKUP(A295,Database!A:K,MATCH($A$1,Database!$A$1:$K$1,),)</f>
        <v>34562</v>
      </c>
      <c r="C295" s="12">
        <f t="shared" si="8"/>
        <v>-3.9036868153255855E-2</v>
      </c>
      <c r="D295" s="13">
        <f t="shared" si="9"/>
        <v>-5.4960078748769549E-2</v>
      </c>
    </row>
    <row r="296" spans="1:4" x14ac:dyDescent="0.35">
      <c r="A296" s="11">
        <v>42401</v>
      </c>
      <c r="B296" s="15">
        <f>VLOOKUP(A296,Database!A:K,MATCH($A$1,Database!$A$1:$K$1,),)</f>
        <v>32927</v>
      </c>
      <c r="C296" s="12">
        <f t="shared" si="8"/>
        <v>-4.7306290145246226E-2</v>
      </c>
      <c r="D296" s="13">
        <f t="shared" si="9"/>
        <v>-0.12988214153585961</v>
      </c>
    </row>
    <row r="297" spans="1:4" x14ac:dyDescent="0.35">
      <c r="A297" s="10">
        <v>42430</v>
      </c>
      <c r="B297" s="15">
        <f>VLOOKUP(A297,Database!A:K,MATCH($A$1,Database!$A$1:$K$1,),)</f>
        <v>34189</v>
      </c>
      <c r="C297" s="12">
        <f t="shared" si="8"/>
        <v>3.83272086737328E-2</v>
      </c>
      <c r="D297" s="13">
        <f t="shared" si="9"/>
        <v>-0.1088492115209175</v>
      </c>
    </row>
    <row r="298" spans="1:4" x14ac:dyDescent="0.35">
      <c r="A298" s="11">
        <v>42461</v>
      </c>
      <c r="B298" s="15">
        <f>VLOOKUP(A298,Database!A:K,MATCH($A$1,Database!$A$1:$K$1,),)</f>
        <v>35125</v>
      </c>
      <c r="C298" s="12">
        <f t="shared" si="8"/>
        <v>2.7377226593348739E-2</v>
      </c>
      <c r="D298" s="13">
        <f t="shared" si="9"/>
        <v>-7.1234035802110046E-2</v>
      </c>
    </row>
    <row r="299" spans="1:4" x14ac:dyDescent="0.35">
      <c r="A299" s="10">
        <v>42491</v>
      </c>
      <c r="B299" s="15">
        <f>VLOOKUP(A299,Database!A:K,MATCH($A$1,Database!$A$1:$K$1,),)</f>
        <v>36019</v>
      </c>
      <c r="C299" s="12">
        <f t="shared" si="8"/>
        <v>2.5451957295373664E-2</v>
      </c>
      <c r="D299" s="13">
        <f t="shared" si="9"/>
        <v>-8.3322729239304713E-2</v>
      </c>
    </row>
    <row r="300" spans="1:4" x14ac:dyDescent="0.35">
      <c r="A300" s="11">
        <v>42522</v>
      </c>
      <c r="B300" s="15">
        <f>VLOOKUP(A300,Database!A:K,MATCH($A$1,Database!$A$1:$K$1,),)</f>
        <v>37148</v>
      </c>
      <c r="C300" s="12">
        <f t="shared" si="8"/>
        <v>3.1344568144590357E-2</v>
      </c>
      <c r="D300" s="13">
        <f t="shared" si="9"/>
        <v>-6.6609713811904822E-2</v>
      </c>
    </row>
    <row r="301" spans="1:4" x14ac:dyDescent="0.35">
      <c r="A301" s="10">
        <v>42552</v>
      </c>
      <c r="B301" s="15">
        <f>VLOOKUP(A301,Database!A:K,MATCH($A$1,Database!$A$1:$K$1,),)</f>
        <v>36794</v>
      </c>
      <c r="C301" s="12">
        <f t="shared" si="8"/>
        <v>-9.529449768493594E-3</v>
      </c>
      <c r="D301" s="13">
        <f t="shared" si="9"/>
        <v>-8.6521512450656674E-2</v>
      </c>
    </row>
    <row r="302" spans="1:4" x14ac:dyDescent="0.35">
      <c r="A302" s="11">
        <v>42583</v>
      </c>
      <c r="B302" s="15">
        <f>VLOOKUP(A302,Database!A:K,MATCH($A$1,Database!$A$1:$K$1,),)</f>
        <v>35936</v>
      </c>
      <c r="C302" s="12">
        <f t="shared" si="8"/>
        <v>-2.3319019405337826E-2</v>
      </c>
      <c r="D302" s="13">
        <f t="shared" si="9"/>
        <v>-8.2773935016207667E-2</v>
      </c>
    </row>
    <row r="303" spans="1:4" x14ac:dyDescent="0.35">
      <c r="A303" s="10">
        <v>42614</v>
      </c>
      <c r="B303" s="15">
        <f>VLOOKUP(A303,Database!A:K,MATCH($A$1,Database!$A$1:$K$1,),)</f>
        <v>36912</v>
      </c>
      <c r="C303" s="12">
        <f t="shared" si="8"/>
        <v>2.7159394479073909E-2</v>
      </c>
      <c r="D303" s="13">
        <f t="shared" si="9"/>
        <v>1.6257519102584944E-4</v>
      </c>
    </row>
    <row r="304" spans="1:4" x14ac:dyDescent="0.35">
      <c r="A304" s="11">
        <v>42644</v>
      </c>
      <c r="B304" s="15">
        <f>VLOOKUP(A304,Database!A:K,MATCH($A$1,Database!$A$1:$K$1,),)</f>
        <v>37899</v>
      </c>
      <c r="C304" s="12">
        <f t="shared" si="8"/>
        <v>2.6739271781534461E-2</v>
      </c>
      <c r="D304" s="13">
        <f t="shared" si="9"/>
        <v>3.6879975924051324E-2</v>
      </c>
    </row>
    <row r="305" spans="1:4" x14ac:dyDescent="0.35">
      <c r="A305" s="10">
        <v>42675</v>
      </c>
      <c r="B305" s="15">
        <f>VLOOKUP(A305,Database!A:K,MATCH($A$1,Database!$A$1:$K$1,),)</f>
        <v>37521</v>
      </c>
      <c r="C305" s="12">
        <f t="shared" si="8"/>
        <v>-9.9738779387318934E-3</v>
      </c>
      <c r="D305" s="13">
        <f t="shared" si="9"/>
        <v>3.8729859919162835E-2</v>
      </c>
    </row>
    <row r="306" spans="1:4" x14ac:dyDescent="0.35">
      <c r="A306" s="11">
        <v>42705</v>
      </c>
      <c r="B306" s="15">
        <f>VLOOKUP(A306,Database!A:K,MATCH($A$1,Database!$A$1:$K$1,),)</f>
        <v>39423</v>
      </c>
      <c r="C306" s="12">
        <f t="shared" si="8"/>
        <v>5.0691612696889744E-2</v>
      </c>
      <c r="D306" s="13">
        <f t="shared" si="9"/>
        <v>9.6118556414391376E-2</v>
      </c>
    </row>
    <row r="307" spans="1:4" x14ac:dyDescent="0.35">
      <c r="A307" s="10">
        <v>42736</v>
      </c>
      <c r="B307" s="15">
        <f>VLOOKUP(A307,Database!A:K,MATCH($A$1,Database!$A$1:$K$1,),)</f>
        <v>39938</v>
      </c>
      <c r="C307" s="12">
        <f t="shared" si="8"/>
        <v>1.3063440123785608E-2</v>
      </c>
      <c r="D307" s="13">
        <f t="shared" si="9"/>
        <v>0.15554655401886464</v>
      </c>
    </row>
    <row r="308" spans="1:4" x14ac:dyDescent="0.35">
      <c r="A308" s="11">
        <v>42767</v>
      </c>
      <c r="B308" s="15">
        <f>VLOOKUP(A308,Database!A:K,MATCH($A$1,Database!$A$1:$K$1,),)</f>
        <v>40272</v>
      </c>
      <c r="C308" s="12">
        <f t="shared" si="8"/>
        <v>8.3629625920176275E-3</v>
      </c>
      <c r="D308" s="13">
        <f t="shared" si="9"/>
        <v>0.22306921371518815</v>
      </c>
    </row>
    <row r="309" spans="1:4" x14ac:dyDescent="0.35">
      <c r="A309" s="10">
        <v>42795</v>
      </c>
      <c r="B309" s="15">
        <f>VLOOKUP(A309,Database!A:K,MATCH($A$1,Database!$A$1:$K$1,),)</f>
        <v>39840</v>
      </c>
      <c r="C309" s="12">
        <f t="shared" si="8"/>
        <v>-1.0727056019070322E-2</v>
      </c>
      <c r="D309" s="13">
        <f t="shared" si="9"/>
        <v>0.16528708063997191</v>
      </c>
    </row>
    <row r="310" spans="1:4" x14ac:dyDescent="0.35">
      <c r="A310" s="11">
        <v>42826</v>
      </c>
      <c r="B310" s="15">
        <f>VLOOKUP(A310,Database!A:K,MATCH($A$1,Database!$A$1:$K$1,),)</f>
        <v>39640</v>
      </c>
      <c r="C310" s="12">
        <f t="shared" si="8"/>
        <v>-5.0200803212851405E-3</v>
      </c>
      <c r="D310" s="13">
        <f t="shared" si="9"/>
        <v>0.12854092526690392</v>
      </c>
    </row>
    <row r="311" spans="1:4" x14ac:dyDescent="0.35">
      <c r="A311" s="10">
        <v>42856</v>
      </c>
      <c r="B311" s="15">
        <f>VLOOKUP(A311,Database!A:K,MATCH($A$1,Database!$A$1:$K$1,),)</f>
        <v>38041</v>
      </c>
      <c r="C311" s="12">
        <f t="shared" si="8"/>
        <v>-4.0338042381432897E-2</v>
      </c>
      <c r="D311" s="13">
        <f t="shared" si="9"/>
        <v>5.6137038785085649E-2</v>
      </c>
    </row>
    <row r="312" spans="1:4" x14ac:dyDescent="0.35">
      <c r="A312" s="11">
        <v>42887</v>
      </c>
      <c r="B312" s="15">
        <f>VLOOKUP(A312,Database!A:K,MATCH($A$1,Database!$A$1:$K$1,),)</f>
        <v>37413</v>
      </c>
      <c r="C312" s="12">
        <f t="shared" si="8"/>
        <v>-1.650850398254515E-2</v>
      </c>
      <c r="D312" s="13">
        <f t="shared" si="9"/>
        <v>7.1336276515559386E-3</v>
      </c>
    </row>
    <row r="313" spans="1:4" x14ac:dyDescent="0.35">
      <c r="A313" s="10">
        <v>42917</v>
      </c>
      <c r="B313" s="15">
        <f>VLOOKUP(A313,Database!A:K,MATCH($A$1,Database!$A$1:$K$1,),)</f>
        <v>37366</v>
      </c>
      <c r="C313" s="12">
        <f t="shared" si="8"/>
        <v>-1.2562478282949776E-3</v>
      </c>
      <c r="D313" s="13">
        <f t="shared" si="9"/>
        <v>1.5546012936891885E-2</v>
      </c>
    </row>
    <row r="314" spans="1:4" x14ac:dyDescent="0.35">
      <c r="A314" s="11">
        <v>42948</v>
      </c>
      <c r="B314" s="15">
        <f>VLOOKUP(A314,Database!A:K,MATCH($A$1,Database!$A$1:$K$1,),)</f>
        <v>38658</v>
      </c>
      <c r="C314" s="12">
        <f t="shared" si="8"/>
        <v>3.4576888080072796E-2</v>
      </c>
      <c r="D314" s="13">
        <f t="shared" si="9"/>
        <v>7.5745770258236866E-2</v>
      </c>
    </row>
    <row r="315" spans="1:4" x14ac:dyDescent="0.35">
      <c r="A315" s="10">
        <v>42979</v>
      </c>
      <c r="B315" s="15">
        <f>VLOOKUP(A315,Database!A:K,MATCH($A$1,Database!$A$1:$K$1,),)</f>
        <v>40749</v>
      </c>
      <c r="C315" s="12">
        <f t="shared" si="8"/>
        <v>5.4089709762532981E-2</v>
      </c>
      <c r="D315" s="13">
        <f t="shared" si="9"/>
        <v>0.10394993498049415</v>
      </c>
    </row>
    <row r="316" spans="1:4" x14ac:dyDescent="0.35">
      <c r="A316" s="11">
        <v>43009</v>
      </c>
      <c r="B316" s="15">
        <f>VLOOKUP(A316,Database!A:K,MATCH($A$1,Database!$A$1:$K$1,),)</f>
        <v>40920</v>
      </c>
      <c r="C316" s="12">
        <f t="shared" si="8"/>
        <v>4.1964219980858428E-3</v>
      </c>
      <c r="D316" s="13">
        <f t="shared" si="9"/>
        <v>7.9711865748436639E-2</v>
      </c>
    </row>
    <row r="317" spans="1:4" x14ac:dyDescent="0.35">
      <c r="A317" s="10">
        <v>43040</v>
      </c>
      <c r="B317" s="15">
        <f>VLOOKUP(A317,Database!A:K,MATCH($A$1,Database!$A$1:$K$1,),)</f>
        <v>42042</v>
      </c>
      <c r="C317" s="12">
        <f t="shared" si="8"/>
        <v>2.7419354838709678E-2</v>
      </c>
      <c r="D317" s="13">
        <f t="shared" si="9"/>
        <v>0.12049252418645559</v>
      </c>
    </row>
    <row r="318" spans="1:4" x14ac:dyDescent="0.35">
      <c r="A318" s="11">
        <v>43070</v>
      </c>
      <c r="B318" s="15">
        <f>VLOOKUP(A318,Database!A:K,MATCH($A$1,Database!$A$1:$K$1,),)</f>
        <v>42907</v>
      </c>
      <c r="C318" s="12">
        <f t="shared" si="8"/>
        <v>2.0574663431806289E-2</v>
      </c>
      <c r="D318" s="13">
        <f t="shared" si="9"/>
        <v>8.8374806584988461E-2</v>
      </c>
    </row>
    <row r="319" spans="1:4" x14ac:dyDescent="0.35">
      <c r="A319" s="10">
        <v>43101</v>
      </c>
      <c r="B319" s="15">
        <f>VLOOKUP(A319,Database!A:K,MATCH($A$1,Database!$A$1:$K$1,),)</f>
        <v>43013</v>
      </c>
      <c r="C319" s="12">
        <f t="shared" si="8"/>
        <v>2.4704593656046797E-3</v>
      </c>
      <c r="D319" s="13">
        <f t="shared" si="9"/>
        <v>7.6994341228904806E-2</v>
      </c>
    </row>
    <row r="320" spans="1:4" x14ac:dyDescent="0.35">
      <c r="A320" s="11">
        <v>43132</v>
      </c>
      <c r="B320" s="15">
        <f>VLOOKUP(A320,Database!A:K,MATCH($A$1,Database!$A$1:$K$1,),)</f>
        <v>43517</v>
      </c>
      <c r="C320" s="12">
        <f t="shared" si="8"/>
        <v>1.1717387766489201E-2</v>
      </c>
      <c r="D320" s="13">
        <f t="shared" si="9"/>
        <v>8.057707588398888E-2</v>
      </c>
    </row>
    <row r="321" spans="1:4" x14ac:dyDescent="0.35">
      <c r="A321" s="10">
        <v>43160</v>
      </c>
      <c r="B321" s="15">
        <f>VLOOKUP(A321,Database!A:K,MATCH($A$1,Database!$A$1:$K$1,),)</f>
        <v>42920</v>
      </c>
      <c r="C321" s="12">
        <f t="shared" si="8"/>
        <v>-1.3718776570076063E-2</v>
      </c>
      <c r="D321" s="13">
        <f t="shared" si="9"/>
        <v>7.7309236947791168E-2</v>
      </c>
    </row>
    <row r="322" spans="1:4" x14ac:dyDescent="0.35">
      <c r="A322" s="11">
        <v>43191</v>
      </c>
      <c r="B322" s="15">
        <f>VLOOKUP(A322,Database!A:K,MATCH($A$1,Database!$A$1:$K$1,),)</f>
        <v>42638</v>
      </c>
      <c r="C322" s="12">
        <f t="shared" si="8"/>
        <v>-6.5703634669151915E-3</v>
      </c>
      <c r="D322" s="13">
        <f t="shared" si="9"/>
        <v>7.5630676084762871E-2</v>
      </c>
    </row>
    <row r="323" spans="1:4" x14ac:dyDescent="0.35">
      <c r="A323" s="10">
        <v>43221</v>
      </c>
      <c r="B323" s="15">
        <f>VLOOKUP(A323,Database!A:K,MATCH($A$1,Database!$A$1:$K$1,),)</f>
        <v>43767</v>
      </c>
      <c r="C323" s="12">
        <f t="shared" si="8"/>
        <v>2.6478727895304657E-2</v>
      </c>
      <c r="D323" s="13">
        <f t="shared" si="9"/>
        <v>0.15052180542046739</v>
      </c>
    </row>
    <row r="324" spans="1:4" x14ac:dyDescent="0.35">
      <c r="A324" s="11">
        <v>43252</v>
      </c>
      <c r="B324" s="15">
        <f>VLOOKUP(A324,Database!A:K,MATCH($A$1,Database!$A$1:$K$1,),)</f>
        <v>43541</v>
      </c>
      <c r="C324" s="12">
        <f t="shared" si="8"/>
        <v>-5.1637078163913452E-3</v>
      </c>
      <c r="D324" s="13">
        <f t="shared" si="9"/>
        <v>0.16379333386790687</v>
      </c>
    </row>
    <row r="325" spans="1:4" x14ac:dyDescent="0.35">
      <c r="A325" s="10">
        <v>43282</v>
      </c>
      <c r="B325" s="15">
        <f>VLOOKUP(A325,Database!A:K,MATCH($A$1,Database!$A$1:$K$1,),)</f>
        <v>43903</v>
      </c>
      <c r="C325" s="12">
        <f t="shared" si="8"/>
        <v>8.3140028938242117E-3</v>
      </c>
      <c r="D325" s="13">
        <f t="shared" si="9"/>
        <v>0.17494513729058503</v>
      </c>
    </row>
    <row r="326" spans="1:4" x14ac:dyDescent="0.35">
      <c r="A326" s="11">
        <v>43313</v>
      </c>
      <c r="B326" s="15">
        <f>VLOOKUP(A326,Database!A:K,MATCH($A$1,Database!$A$1:$K$1,),)</f>
        <v>44601</v>
      </c>
      <c r="C326" s="12">
        <f t="shared" si="8"/>
        <v>1.5898685739015556E-2</v>
      </c>
      <c r="D326" s="13">
        <f t="shared" si="9"/>
        <v>0.15373273319882041</v>
      </c>
    </row>
    <row r="327" spans="1:4" x14ac:dyDescent="0.35">
      <c r="A327" s="10">
        <v>43344</v>
      </c>
      <c r="B327" s="15">
        <f>VLOOKUP(A327,Database!A:K,MATCH($A$1,Database!$A$1:$K$1,),)</f>
        <v>44201</v>
      </c>
      <c r="C327" s="12">
        <f t="shared" si="8"/>
        <v>-8.968408780072195E-3</v>
      </c>
      <c r="D327" s="13">
        <f t="shared" si="9"/>
        <v>8.4713735306387886E-2</v>
      </c>
    </row>
    <row r="328" spans="1:4" x14ac:dyDescent="0.35">
      <c r="A328" s="11">
        <v>43374</v>
      </c>
      <c r="B328" s="15">
        <f>VLOOKUP(A328,Database!A:K,MATCH($A$1,Database!$A$1:$K$1,),)</f>
        <v>45906</v>
      </c>
      <c r="C328" s="12">
        <f t="shared" ref="C328:C391" si="10">(B328-B327)/B327</f>
        <v>3.8573787923350152E-2</v>
      </c>
      <c r="D328" s="13">
        <f t="shared" si="9"/>
        <v>0.12184750733137829</v>
      </c>
    </row>
    <row r="329" spans="1:4" x14ac:dyDescent="0.35">
      <c r="A329" s="10">
        <v>43405</v>
      </c>
      <c r="B329" s="15">
        <f>VLOOKUP(A329,Database!A:K,MATCH($A$1,Database!$A$1:$K$1,),)</f>
        <v>43799</v>
      </c>
      <c r="C329" s="12">
        <f t="shared" si="10"/>
        <v>-4.5898139676730711E-2</v>
      </c>
      <c r="D329" s="13">
        <f t="shared" si="9"/>
        <v>4.1791541791541792E-2</v>
      </c>
    </row>
    <row r="330" spans="1:4" x14ac:dyDescent="0.35">
      <c r="A330" s="11">
        <v>43435</v>
      </c>
      <c r="B330" s="15">
        <f>VLOOKUP(A330,Database!A:K,MATCH($A$1,Database!$A$1:$K$1,),)</f>
        <v>41261</v>
      </c>
      <c r="C330" s="12">
        <f t="shared" si="10"/>
        <v>-5.7946528459553871E-2</v>
      </c>
      <c r="D330" s="13">
        <f t="shared" si="9"/>
        <v>-3.8362038828163234E-2</v>
      </c>
    </row>
    <row r="331" spans="1:4" x14ac:dyDescent="0.35">
      <c r="A331" s="10">
        <v>43466</v>
      </c>
      <c r="B331" s="15">
        <f>VLOOKUP(A331,Database!A:K,MATCH($A$1,Database!$A$1:$K$1,),)</f>
        <v>40109</v>
      </c>
      <c r="C331" s="12">
        <f t="shared" si="10"/>
        <v>-2.7919827439955407E-2</v>
      </c>
      <c r="D331" s="13">
        <f t="shared" si="9"/>
        <v>-6.7514472368818731E-2</v>
      </c>
    </row>
    <row r="332" spans="1:4" x14ac:dyDescent="0.35">
      <c r="A332" s="11">
        <v>43497</v>
      </c>
      <c r="B332" s="15">
        <f>VLOOKUP(A332,Database!A:K,MATCH($A$1,Database!$A$1:$K$1,),)</f>
        <v>41996</v>
      </c>
      <c r="C332" s="12">
        <f t="shared" si="10"/>
        <v>4.7046797476875513E-2</v>
      </c>
      <c r="D332" s="13">
        <f t="shared" si="9"/>
        <v>-3.4951857894615898E-2</v>
      </c>
    </row>
    <row r="333" spans="1:4" x14ac:dyDescent="0.35">
      <c r="A333" s="10">
        <v>43525</v>
      </c>
      <c r="B333" s="15">
        <f>VLOOKUP(A333,Database!A:K,MATCH($A$1,Database!$A$1:$K$1,),)</f>
        <v>43001</v>
      </c>
      <c r="C333" s="12">
        <f t="shared" si="10"/>
        <v>2.3930850557195925E-2</v>
      </c>
      <c r="D333" s="13">
        <f t="shared" si="9"/>
        <v>1.8872320596458527E-3</v>
      </c>
    </row>
    <row r="334" spans="1:4" x14ac:dyDescent="0.35">
      <c r="A334" s="11">
        <v>43556</v>
      </c>
      <c r="B334" s="15">
        <f>VLOOKUP(A334,Database!A:K,MATCH($A$1,Database!$A$1:$K$1,),)</f>
        <v>43734</v>
      </c>
      <c r="C334" s="12">
        <f t="shared" si="10"/>
        <v>1.7046115206623101E-2</v>
      </c>
      <c r="D334" s="13">
        <f t="shared" si="9"/>
        <v>2.5704770392607532E-2</v>
      </c>
    </row>
    <row r="335" spans="1:4" x14ac:dyDescent="0.35">
      <c r="A335" s="10">
        <v>43586</v>
      </c>
      <c r="B335" s="15">
        <f>VLOOKUP(A335,Database!A:K,MATCH($A$1,Database!$A$1:$K$1,),)</f>
        <v>43625</v>
      </c>
      <c r="C335" s="12">
        <f t="shared" si="10"/>
        <v>-2.4923400557918325E-3</v>
      </c>
      <c r="D335" s="13">
        <f t="shared" si="9"/>
        <v>-3.2444535837503142E-3</v>
      </c>
    </row>
    <row r="336" spans="1:4" x14ac:dyDescent="0.35">
      <c r="A336" s="11">
        <v>43617</v>
      </c>
      <c r="B336" s="15">
        <f>VLOOKUP(A336,Database!A:K,MATCH($A$1,Database!$A$1:$K$1,),)</f>
        <v>42238</v>
      </c>
      <c r="C336" s="12">
        <f t="shared" si="10"/>
        <v>-3.1793696275071635E-2</v>
      </c>
      <c r="D336" s="13">
        <f t="shared" si="9"/>
        <v>-2.9925817046002619E-2</v>
      </c>
    </row>
    <row r="337" spans="1:4" x14ac:dyDescent="0.35">
      <c r="A337" s="10">
        <v>43647</v>
      </c>
      <c r="B337" s="15">
        <f>VLOOKUP(A337,Database!A:K,MATCH($A$1,Database!$A$1:$K$1,),)</f>
        <v>42850</v>
      </c>
      <c r="C337" s="12">
        <f t="shared" si="10"/>
        <v>1.448932241109901E-2</v>
      </c>
      <c r="D337" s="13">
        <f t="shared" si="9"/>
        <v>-2.398469352891602E-2</v>
      </c>
    </row>
    <row r="338" spans="1:4" x14ac:dyDescent="0.35">
      <c r="A338" s="11">
        <v>43678</v>
      </c>
      <c r="B338" s="15">
        <f>VLOOKUP(A338,Database!A:K,MATCH($A$1,Database!$A$1:$K$1,),)</f>
        <v>42735</v>
      </c>
      <c r="C338" s="12">
        <f t="shared" si="10"/>
        <v>-2.6837806301050174E-3</v>
      </c>
      <c r="D338" s="13">
        <f t="shared" si="9"/>
        <v>-4.183762695903679E-2</v>
      </c>
    </row>
    <row r="339" spans="1:4" x14ac:dyDescent="0.35">
      <c r="A339" s="10">
        <v>43709</v>
      </c>
      <c r="B339" s="15">
        <f>VLOOKUP(A339,Database!A:K,MATCH($A$1,Database!$A$1:$K$1,),)</f>
        <v>42589</v>
      </c>
      <c r="C339" s="12">
        <f t="shared" si="10"/>
        <v>-3.4164034164034162E-3</v>
      </c>
      <c r="D339" s="13">
        <f t="shared" ref="D339:D402" si="11">(B339-B327)/B327</f>
        <v>-3.646976312753105E-2</v>
      </c>
    </row>
    <row r="340" spans="1:4" x14ac:dyDescent="0.35">
      <c r="A340" s="11">
        <v>43739</v>
      </c>
      <c r="B340" s="15">
        <f>VLOOKUP(A340,Database!A:K,MATCH($A$1,Database!$A$1:$K$1,),)</f>
        <v>43254</v>
      </c>
      <c r="C340" s="12">
        <f t="shared" si="10"/>
        <v>1.56143605156261E-2</v>
      </c>
      <c r="D340" s="13">
        <f t="shared" si="11"/>
        <v>-5.7770226114233436E-2</v>
      </c>
    </row>
    <row r="341" spans="1:4" x14ac:dyDescent="0.35">
      <c r="A341" s="10">
        <v>43770</v>
      </c>
      <c r="B341" s="15">
        <f>VLOOKUP(A341,Database!A:K,MATCH($A$1,Database!$A$1:$K$1,),)</f>
        <v>43246</v>
      </c>
      <c r="C341" s="12">
        <f t="shared" si="10"/>
        <v>-1.8495399269431728E-4</v>
      </c>
      <c r="D341" s="13">
        <f t="shared" si="11"/>
        <v>-1.2625859037877578E-2</v>
      </c>
    </row>
    <row r="342" spans="1:4" x14ac:dyDescent="0.35">
      <c r="A342" s="11">
        <v>43800</v>
      </c>
      <c r="B342" s="15">
        <f>VLOOKUP(A342,Database!A:K,MATCH($A$1,Database!$A$1:$K$1,),)</f>
        <v>44459</v>
      </c>
      <c r="C342" s="12">
        <f t="shared" si="10"/>
        <v>2.8048836886648477E-2</v>
      </c>
      <c r="D342" s="13">
        <f t="shared" si="11"/>
        <v>7.7506604299459533E-2</v>
      </c>
    </row>
    <row r="343" spans="1:4" x14ac:dyDescent="0.35">
      <c r="A343" s="10">
        <v>43831</v>
      </c>
      <c r="B343" s="15">
        <f>VLOOKUP(A343,Database!A:K,MATCH($A$1,Database!$A$1:$K$1,),)</f>
        <v>43351</v>
      </c>
      <c r="C343" s="12">
        <f t="shared" si="10"/>
        <v>-2.4921838098022897E-2</v>
      </c>
      <c r="D343" s="13">
        <f t="shared" si="11"/>
        <v>8.0829738961330375E-2</v>
      </c>
    </row>
    <row r="344" spans="1:4" x14ac:dyDescent="0.35">
      <c r="A344" s="11">
        <v>43862</v>
      </c>
      <c r="B344" s="15">
        <f>VLOOKUP(A344,Database!A:K,MATCH($A$1,Database!$A$1:$K$1,),)</f>
        <v>42010</v>
      </c>
      <c r="C344" s="12">
        <f t="shared" si="10"/>
        <v>-3.0933542478835552E-2</v>
      </c>
      <c r="D344" s="13">
        <f t="shared" si="11"/>
        <v>3.3336508238879893E-4</v>
      </c>
    </row>
    <row r="345" spans="1:4" x14ac:dyDescent="0.35">
      <c r="A345" s="10">
        <v>43891</v>
      </c>
      <c r="B345" s="15">
        <f>VLOOKUP(A345,Database!A:K,MATCH($A$1,Database!$A$1:$K$1,),)</f>
        <v>34537</v>
      </c>
      <c r="C345" s="12">
        <f t="shared" si="10"/>
        <v>-0.1778862175672459</v>
      </c>
      <c r="D345" s="13">
        <f t="shared" si="11"/>
        <v>-0.19683263179926047</v>
      </c>
    </row>
    <row r="346" spans="1:4" x14ac:dyDescent="0.35">
      <c r="A346" s="11">
        <v>43922</v>
      </c>
      <c r="B346" s="15">
        <f>VLOOKUP(A346,Database!A:K,MATCH($A$1,Database!$A$1:$K$1,),)</f>
        <v>26068</v>
      </c>
      <c r="C346" s="12">
        <f t="shared" si="10"/>
        <v>-0.24521527637026957</v>
      </c>
      <c r="D346" s="13">
        <f t="shared" si="11"/>
        <v>-0.40394201307906891</v>
      </c>
    </row>
    <row r="347" spans="1:4" x14ac:dyDescent="0.35">
      <c r="A347" s="10">
        <v>43952</v>
      </c>
      <c r="B347" s="15">
        <f>VLOOKUP(A347,Database!A:K,MATCH($A$1,Database!$A$1:$K$1,),)</f>
        <v>29535</v>
      </c>
      <c r="C347" s="12">
        <f t="shared" si="10"/>
        <v>0.13299831210679761</v>
      </c>
      <c r="D347" s="13">
        <f t="shared" si="11"/>
        <v>-0.32297994269340974</v>
      </c>
    </row>
    <row r="348" spans="1:4" x14ac:dyDescent="0.35">
      <c r="A348" s="11">
        <v>43983</v>
      </c>
      <c r="B348" s="15">
        <f>VLOOKUP(A348,Database!A:K,MATCH($A$1,Database!$A$1:$K$1,),)</f>
        <v>33677</v>
      </c>
      <c r="C348" s="12">
        <f t="shared" si="10"/>
        <v>0.14024039275435923</v>
      </c>
      <c r="D348" s="13">
        <f t="shared" si="11"/>
        <v>-0.20268478621146835</v>
      </c>
    </row>
    <row r="349" spans="1:4" x14ac:dyDescent="0.35">
      <c r="A349" s="10">
        <v>44013</v>
      </c>
      <c r="B349" s="15">
        <f>VLOOKUP(A349,Database!A:K,MATCH($A$1,Database!$A$1:$K$1,),)</f>
        <v>35448</v>
      </c>
      <c r="C349" s="12">
        <f t="shared" si="10"/>
        <v>5.2587819580128869E-2</v>
      </c>
      <c r="D349" s="13">
        <f t="shared" si="11"/>
        <v>-0.1727421236872812</v>
      </c>
    </row>
    <row r="350" spans="1:4" x14ac:dyDescent="0.35">
      <c r="A350" s="11">
        <v>44044</v>
      </c>
      <c r="B350" s="15">
        <f>VLOOKUP(A350,Database!A:K,MATCH($A$1,Database!$A$1:$K$1,),)</f>
        <v>36194</v>
      </c>
      <c r="C350" s="12">
        <f t="shared" si="10"/>
        <v>2.1044910855337395E-2</v>
      </c>
      <c r="D350" s="13">
        <f t="shared" si="11"/>
        <v>-0.15305955305955307</v>
      </c>
    </row>
    <row r="351" spans="1:4" x14ac:dyDescent="0.35">
      <c r="A351" s="10">
        <v>44075</v>
      </c>
      <c r="B351" s="15">
        <f>VLOOKUP(A351,Database!A:K,MATCH($A$1,Database!$A$1:$K$1,),)</f>
        <v>36714</v>
      </c>
      <c r="C351" s="12">
        <f t="shared" si="10"/>
        <v>1.436702215836879E-2</v>
      </c>
      <c r="D351" s="13">
        <f t="shared" si="11"/>
        <v>-0.13794641808917796</v>
      </c>
    </row>
    <row r="352" spans="1:4" x14ac:dyDescent="0.35">
      <c r="A352" s="11">
        <v>44105</v>
      </c>
      <c r="B352" s="15">
        <f>VLOOKUP(A352,Database!A:K,MATCH($A$1,Database!$A$1:$K$1,),)</f>
        <v>36926</v>
      </c>
      <c r="C352" s="12">
        <f t="shared" si="10"/>
        <v>5.7743640028327069E-3</v>
      </c>
      <c r="D352" s="13">
        <f t="shared" si="11"/>
        <v>-0.14629860822120497</v>
      </c>
    </row>
    <row r="353" spans="1:4" x14ac:dyDescent="0.35">
      <c r="A353" s="10">
        <v>44136</v>
      </c>
      <c r="B353" s="15">
        <f>VLOOKUP(A353,Database!A:K,MATCH($A$1,Database!$A$1:$K$1,),)</f>
        <v>36193</v>
      </c>
      <c r="C353" s="12">
        <f t="shared" si="10"/>
        <v>-1.9850511834479771E-2</v>
      </c>
      <c r="D353" s="13">
        <f t="shared" si="11"/>
        <v>-0.16309022799796513</v>
      </c>
    </row>
    <row r="354" spans="1:4" x14ac:dyDescent="0.35">
      <c r="A354" s="11">
        <v>44166</v>
      </c>
      <c r="B354" s="15">
        <f>VLOOKUP(A354,Database!A:K,MATCH($A$1,Database!$A$1:$K$1,),)</f>
        <v>39293</v>
      </c>
      <c r="C354" s="12">
        <f t="shared" si="10"/>
        <v>8.5651921642306519E-2</v>
      </c>
      <c r="D354" s="13">
        <f t="shared" si="11"/>
        <v>-0.11619694550034863</v>
      </c>
    </row>
    <row r="355" spans="1:4" x14ac:dyDescent="0.35">
      <c r="A355" s="10">
        <v>44197</v>
      </c>
      <c r="B355" s="15">
        <f>VLOOKUP(A355,Database!A:K,MATCH($A$1,Database!$A$1:$K$1,),)</f>
        <v>41104</v>
      </c>
      <c r="C355" s="12">
        <f t="shared" si="10"/>
        <v>4.6089634286005141E-2</v>
      </c>
      <c r="D355" s="13">
        <f t="shared" si="11"/>
        <v>-5.1832714354916841E-2</v>
      </c>
    </row>
    <row r="356" spans="1:4" x14ac:dyDescent="0.35">
      <c r="A356" s="11">
        <v>44228</v>
      </c>
      <c r="B356" s="15">
        <f>VLOOKUP(A356,Database!A:K,MATCH($A$1,Database!$A$1:$K$1,),)</f>
        <v>42741</v>
      </c>
      <c r="C356" s="12">
        <f t="shared" si="10"/>
        <v>3.9825807707279094E-2</v>
      </c>
      <c r="D356" s="13">
        <f t="shared" si="11"/>
        <v>1.7400618900261844E-2</v>
      </c>
    </row>
    <row r="357" spans="1:4" x14ac:dyDescent="0.35">
      <c r="A357" s="10">
        <v>44256</v>
      </c>
      <c r="B357" s="15">
        <f>VLOOKUP(A357,Database!A:K,MATCH($A$1,Database!$A$1:$K$1,),)</f>
        <v>46146</v>
      </c>
      <c r="C357" s="12">
        <f t="shared" si="10"/>
        <v>7.9665894574296348E-2</v>
      </c>
      <c r="D357" s="13">
        <f t="shared" si="11"/>
        <v>0.33613226394880852</v>
      </c>
    </row>
    <row r="358" spans="1:4" x14ac:dyDescent="0.35">
      <c r="A358" s="11">
        <v>44287</v>
      </c>
      <c r="B358" s="15">
        <f>VLOOKUP(A358,Database!A:K,MATCH($A$1,Database!$A$1:$K$1,),)</f>
        <v>45900</v>
      </c>
      <c r="C358" s="12">
        <f t="shared" si="10"/>
        <v>-5.3309062540631905E-3</v>
      </c>
      <c r="D358" s="13">
        <f t="shared" si="11"/>
        <v>0.76077949976983272</v>
      </c>
    </row>
    <row r="359" spans="1:4" x14ac:dyDescent="0.35">
      <c r="A359" s="10">
        <v>44317</v>
      </c>
      <c r="B359" s="15">
        <f>VLOOKUP(A359,Database!A:K,MATCH($A$1,Database!$A$1:$K$1,),)</f>
        <v>46209</v>
      </c>
      <c r="C359" s="12">
        <f t="shared" si="10"/>
        <v>6.7320261437908493E-3</v>
      </c>
      <c r="D359" s="13">
        <f t="shared" si="11"/>
        <v>0.5645505332656171</v>
      </c>
    </row>
    <row r="360" spans="1:4" x14ac:dyDescent="0.35">
      <c r="A360" s="11">
        <v>44348</v>
      </c>
      <c r="B360" s="15">
        <f>VLOOKUP(A360,Database!A:K,MATCH($A$1,Database!$A$1:$K$1,),)</f>
        <v>46690</v>
      </c>
      <c r="C360" s="12">
        <f t="shared" si="10"/>
        <v>1.04092276396373E-2</v>
      </c>
      <c r="D360" s="13">
        <f t="shared" si="11"/>
        <v>0.38640615256703387</v>
      </c>
    </row>
    <row r="361" spans="1:4" x14ac:dyDescent="0.35">
      <c r="A361" s="10">
        <v>44378</v>
      </c>
      <c r="B361" s="15">
        <f>VLOOKUP(A361,Database!A:K,MATCH($A$1,Database!$A$1:$K$1,),)</f>
        <v>47861</v>
      </c>
      <c r="C361" s="12">
        <f t="shared" si="10"/>
        <v>2.5080316984364959E-2</v>
      </c>
      <c r="D361" s="13">
        <f t="shared" si="11"/>
        <v>0.35017490408485669</v>
      </c>
    </row>
    <row r="362" spans="1:4" x14ac:dyDescent="0.35">
      <c r="A362" s="11">
        <v>44409</v>
      </c>
      <c r="B362" s="15">
        <f>VLOOKUP(A362,Database!A:K,MATCH($A$1,Database!$A$1:$K$1,),)</f>
        <v>49850</v>
      </c>
      <c r="C362" s="12">
        <f t="shared" si="10"/>
        <v>4.1557844591629929E-2</v>
      </c>
      <c r="D362" s="13">
        <f t="shared" si="11"/>
        <v>0.37730010498977729</v>
      </c>
    </row>
    <row r="363" spans="1:4" x14ac:dyDescent="0.35">
      <c r="A363" s="11">
        <v>44440</v>
      </c>
      <c r="B363" s="15">
        <f>VLOOKUP(A363,Database!A:K,MATCH($A$1,Database!$A$1:$K$1,),)</f>
        <v>51787</v>
      </c>
      <c r="C363" s="12">
        <f t="shared" si="10"/>
        <v>3.8856569709127382E-2</v>
      </c>
      <c r="D363" s="13">
        <f t="shared" si="11"/>
        <v>0.41055183308819526</v>
      </c>
    </row>
    <row r="364" spans="1:4" x14ac:dyDescent="0.35">
      <c r="A364" s="10">
        <v>44470</v>
      </c>
      <c r="B364" s="15">
        <f>VLOOKUP(A364,Database!A:K,MATCH($A$1,Database!$A$1:$K$1,),)</f>
        <v>54192</v>
      </c>
      <c r="C364" s="12">
        <f t="shared" si="10"/>
        <v>4.6440226311622611E-2</v>
      </c>
      <c r="D364" s="13">
        <f t="shared" si="11"/>
        <v>0.4675838162812111</v>
      </c>
    </row>
    <row r="365" spans="1:4" x14ac:dyDescent="0.35">
      <c r="A365" s="11">
        <v>44501</v>
      </c>
      <c r="B365" s="15">
        <f>VLOOKUP(A365,Database!A:K,MATCH($A$1,Database!$A$1:$K$1,),)</f>
        <v>55385</v>
      </c>
      <c r="C365" s="12">
        <f t="shared" si="10"/>
        <v>2.2014319456746385E-2</v>
      </c>
      <c r="D365" s="13">
        <f t="shared" si="11"/>
        <v>0.53026828392230541</v>
      </c>
    </row>
    <row r="366" spans="1:4" x14ac:dyDescent="0.35">
      <c r="A366" s="10">
        <v>44531</v>
      </c>
      <c r="B366" s="15">
        <f>VLOOKUP(A366,Database!A:K,MATCH($A$1,Database!$A$1:$K$1,),)</f>
        <v>55910</v>
      </c>
      <c r="C366" s="12">
        <f t="shared" si="10"/>
        <v>9.4791008395775037E-3</v>
      </c>
      <c r="D366" s="13">
        <f t="shared" si="11"/>
        <v>0.42289975313669104</v>
      </c>
    </row>
    <row r="367" spans="1:4" x14ac:dyDescent="0.35">
      <c r="A367" s="11">
        <v>44562</v>
      </c>
      <c r="B367" s="15">
        <f>VLOOKUP(A367,Database!A:K,MATCH($A$1,Database!$A$1:$K$1,),)</f>
        <v>54919</v>
      </c>
      <c r="C367" s="12">
        <f t="shared" si="10"/>
        <v>-1.7724915042031837E-2</v>
      </c>
      <c r="D367" s="13">
        <f t="shared" si="11"/>
        <v>0.33609867652783182</v>
      </c>
    </row>
    <row r="368" spans="1:4" x14ac:dyDescent="0.35">
      <c r="A368" s="11">
        <v>44593</v>
      </c>
      <c r="B368" s="15">
        <f>VLOOKUP(A368,Database!A:K,MATCH($A$1,Database!$A$1:$K$1,),)</f>
        <v>58392</v>
      </c>
      <c r="C368" s="12">
        <f t="shared" si="10"/>
        <v>6.3238587738305499E-2</v>
      </c>
      <c r="D368" s="13">
        <f t="shared" si="11"/>
        <v>0.36618235417982731</v>
      </c>
    </row>
    <row r="369" spans="1:4" x14ac:dyDescent="0.35">
      <c r="A369" s="11">
        <v>44621</v>
      </c>
      <c r="B369" s="15">
        <f>VLOOKUP(A369,Database!A:K,MATCH($A$1,Database!$A$1:$K$1,),)</f>
        <v>64656</v>
      </c>
      <c r="C369" s="12">
        <f t="shared" si="10"/>
        <v>0.10727496917385944</v>
      </c>
      <c r="D369" s="13">
        <f t="shared" si="11"/>
        <v>0.4011181900923157</v>
      </c>
    </row>
    <row r="370" spans="1:4" x14ac:dyDescent="0.35">
      <c r="A370" s="10">
        <v>44652</v>
      </c>
      <c r="B370" s="15">
        <f>VLOOKUP(A370,Database!A:K,MATCH($A$1,Database!$A$1:$K$1,),)</f>
        <v>63819</v>
      </c>
      <c r="C370" s="12">
        <f t="shared" si="10"/>
        <v>-1.2945434298440981E-2</v>
      </c>
      <c r="D370" s="13">
        <f t="shared" si="11"/>
        <v>0.39039215686274509</v>
      </c>
    </row>
    <row r="371" spans="1:4" x14ac:dyDescent="0.35">
      <c r="A371" s="11">
        <v>44682</v>
      </c>
      <c r="B371" s="15">
        <f>VLOOKUP(A371,Database!A:K,MATCH($A$1,Database!$A$1:$K$1,),)</f>
        <v>66988</v>
      </c>
      <c r="C371" s="12">
        <f t="shared" si="10"/>
        <v>4.9656058540560023E-2</v>
      </c>
      <c r="D371" s="13">
        <f t="shared" si="11"/>
        <v>0.44967430587115065</v>
      </c>
    </row>
    <row r="372" spans="1:4" x14ac:dyDescent="0.35">
      <c r="A372" s="11">
        <v>44713</v>
      </c>
      <c r="B372" s="15">
        <f>VLOOKUP(A372,Database!A:K,MATCH($A$1,Database!$A$1:$K$1,),)</f>
        <v>68805</v>
      </c>
      <c r="C372" s="12">
        <f t="shared" si="10"/>
        <v>2.712426106168269E-2</v>
      </c>
      <c r="D372" s="13">
        <f t="shared" si="11"/>
        <v>0.47365602912829302</v>
      </c>
    </row>
    <row r="373" spans="1:4" x14ac:dyDescent="0.35">
      <c r="A373" s="10">
        <v>44743</v>
      </c>
      <c r="B373" s="15">
        <f>VLOOKUP(A373,Database!A:K,MATCH($A$1,Database!$A$1:$K$1,),)</f>
        <v>67283</v>
      </c>
      <c r="C373" s="12">
        <f t="shared" si="10"/>
        <v>-2.2120485429837949E-2</v>
      </c>
      <c r="D373" s="13">
        <f t="shared" si="11"/>
        <v>0.40580012954179812</v>
      </c>
    </row>
    <row r="374" spans="1:4" x14ac:dyDescent="0.35">
      <c r="A374" s="11">
        <v>44774</v>
      </c>
      <c r="B374" s="15">
        <f>VLOOKUP(A374,Database!A:K,MATCH($A$1,Database!$A$1:$K$1,),)</f>
        <v>63948</v>
      </c>
      <c r="C374" s="12">
        <f t="shared" si="10"/>
        <v>-4.9566755346818661E-2</v>
      </c>
      <c r="D374" s="13">
        <f t="shared" si="11"/>
        <v>0.2828084252758275</v>
      </c>
    </row>
    <row r="375" spans="1:4" x14ac:dyDescent="0.35">
      <c r="A375" s="11">
        <v>44805</v>
      </c>
      <c r="B375" s="15">
        <f>VLOOKUP(A375,Database!A:K,MATCH($A$1,Database!$A$1:$K$1,),)</f>
        <v>61416</v>
      </c>
      <c r="C375" s="12">
        <f t="shared" si="10"/>
        <v>-3.9594670669919306E-2</v>
      </c>
      <c r="D375" s="13">
        <f t="shared" si="11"/>
        <v>0.18593469403518256</v>
      </c>
    </row>
    <row r="376" spans="1:4" x14ac:dyDescent="0.35">
      <c r="A376" s="11">
        <v>44835</v>
      </c>
      <c r="B376" s="15">
        <f>VLOOKUP(A376,Database!A:K,MATCH($A$1,Database!$A$1:$K$1,),)</f>
        <v>64382</v>
      </c>
      <c r="C376" s="12">
        <f t="shared" si="10"/>
        <v>4.8293604272502282E-2</v>
      </c>
      <c r="D376" s="13">
        <f t="shared" si="11"/>
        <v>0.18803513433717153</v>
      </c>
    </row>
    <row r="377" spans="1:4" x14ac:dyDescent="0.35">
      <c r="A377" s="11">
        <v>44866</v>
      </c>
      <c r="B377" s="15">
        <f>VLOOKUP(A377,Database!A:K,MATCH($A$1,Database!$A$1:$K$1,),)</f>
        <v>64343</v>
      </c>
      <c r="C377" s="12">
        <f t="shared" si="10"/>
        <v>-6.0575937373800125E-4</v>
      </c>
      <c r="D377" s="13">
        <f t="shared" si="11"/>
        <v>0.16174054346844813</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7"/>
  <sheetViews>
    <sheetView zoomScale="120" zoomScaleNormal="120" workbookViewId="0">
      <pane ySplit="6" topLeftCell="A349" activePane="bottomLeft" state="frozen"/>
      <selection pane="bottomLeft" activeCell="AI362" sqref="AI362"/>
    </sheetView>
  </sheetViews>
  <sheetFormatPr defaultColWidth="9.1796875" defaultRowHeight="14.5" x14ac:dyDescent="0.35"/>
  <cols>
    <col min="1" max="1" width="14" style="54" customWidth="1"/>
    <col min="2" max="2" width="20.6328125" style="54" customWidth="1"/>
    <col min="3" max="4" width="14.1796875" style="54" customWidth="1"/>
    <col min="5" max="22" width="9.1796875" style="109" customWidth="1"/>
    <col min="23" max="16384" width="9.1796875" style="109"/>
  </cols>
  <sheetData>
    <row r="1" spans="1:4" x14ac:dyDescent="0.35">
      <c r="A1" s="109" t="s">
        <v>63</v>
      </c>
      <c r="B1" s="29" t="s">
        <v>115</v>
      </c>
    </row>
    <row r="2" spans="1:4" x14ac:dyDescent="0.35">
      <c r="A2" s="110" t="s">
        <v>116</v>
      </c>
      <c r="B2" s="109"/>
    </row>
    <row r="3" spans="1:4" x14ac:dyDescent="0.35">
      <c r="A3" s="9"/>
    </row>
    <row r="4" spans="1:4" x14ac:dyDescent="0.35">
      <c r="A4" s="9"/>
    </row>
    <row r="5" spans="1:4" ht="16" customHeight="1" thickBot="1" x14ac:dyDescent="0.4"/>
    <row r="6" spans="1:4" ht="44.25" customHeight="1" x14ac:dyDescent="0.35">
      <c r="A6" s="86" t="s">
        <v>82</v>
      </c>
      <c r="B6" s="83" t="s">
        <v>117</v>
      </c>
      <c r="C6" s="84" t="s">
        <v>12</v>
      </c>
      <c r="D6" s="85" t="s">
        <v>13</v>
      </c>
    </row>
    <row r="7" spans="1:4" x14ac:dyDescent="0.35">
      <c r="A7" s="10">
        <v>33604</v>
      </c>
      <c r="B7" s="15">
        <f>VLOOKUP(A7,Database!A:Q,MATCH($A$1,Database!$A$1:$Q$1,),)</f>
        <v>33478</v>
      </c>
      <c r="C7" s="1"/>
      <c r="D7" s="1"/>
    </row>
    <row r="8" spans="1:4" x14ac:dyDescent="0.35">
      <c r="A8" s="11">
        <v>33635</v>
      </c>
      <c r="B8" s="15">
        <f>VLOOKUP(A8,Database!A:Q,MATCH($A$1,Database!$A$1:$Q$1,),)</f>
        <v>33817</v>
      </c>
      <c r="C8" s="12">
        <f t="shared" ref="C8:C71" si="0">(B8-B7)/B7</f>
        <v>1.0126052930282573E-2</v>
      </c>
      <c r="D8" s="1"/>
    </row>
    <row r="9" spans="1:4" x14ac:dyDescent="0.35">
      <c r="A9" s="10">
        <v>33664</v>
      </c>
      <c r="B9" s="15">
        <f>VLOOKUP(A9,Database!A:Q,MATCH($A$1,Database!$A$1:$Q$1,),)</f>
        <v>33336</v>
      </c>
      <c r="C9" s="12">
        <f t="shared" si="0"/>
        <v>-1.4223615341396338E-2</v>
      </c>
      <c r="D9" s="1"/>
    </row>
    <row r="10" spans="1:4" x14ac:dyDescent="0.35">
      <c r="A10" s="11">
        <v>33695</v>
      </c>
      <c r="B10" s="15">
        <f>VLOOKUP(A10,Database!A:Q,MATCH($A$1,Database!$A$1:$Q$1,),)</f>
        <v>33776</v>
      </c>
      <c r="C10" s="12">
        <f t="shared" si="0"/>
        <v>1.3198944084473242E-2</v>
      </c>
      <c r="D10" s="1"/>
    </row>
    <row r="11" spans="1:4" x14ac:dyDescent="0.35">
      <c r="A11" s="10">
        <v>33725</v>
      </c>
      <c r="B11" s="15">
        <f>VLOOKUP(A11,Database!A:Q,MATCH($A$1,Database!$A$1:$Q$1,),)</f>
        <v>34357</v>
      </c>
      <c r="C11" s="12">
        <f t="shared" si="0"/>
        <v>1.7201563240170536E-2</v>
      </c>
      <c r="D11" s="1"/>
    </row>
    <row r="12" spans="1:4" x14ac:dyDescent="0.35">
      <c r="A12" s="11">
        <v>33756</v>
      </c>
      <c r="B12" s="15">
        <f>VLOOKUP(A12,Database!A:Q,MATCH($A$1,Database!$A$1:$Q$1,),)</f>
        <v>34781</v>
      </c>
      <c r="C12" s="12">
        <f t="shared" si="0"/>
        <v>1.2341007654917484E-2</v>
      </c>
      <c r="D12" s="1"/>
    </row>
    <row r="13" spans="1:4" x14ac:dyDescent="0.35">
      <c r="A13" s="10">
        <v>33786</v>
      </c>
      <c r="B13" s="15">
        <f>VLOOKUP(A13,Database!A:Q,MATCH($A$1,Database!$A$1:$Q$1,),)</f>
        <v>35199</v>
      </c>
      <c r="C13" s="12">
        <f t="shared" si="0"/>
        <v>1.2018055835082373E-2</v>
      </c>
      <c r="D13" s="1"/>
    </row>
    <row r="14" spans="1:4" x14ac:dyDescent="0.35">
      <c r="A14" s="11">
        <v>33817</v>
      </c>
      <c r="B14" s="15">
        <f>VLOOKUP(A14,Database!A:Q,MATCH($A$1,Database!$A$1:$Q$1,),)</f>
        <v>34585</v>
      </c>
      <c r="C14" s="12">
        <f t="shared" si="0"/>
        <v>-1.7443677377198215E-2</v>
      </c>
      <c r="D14" s="1"/>
    </row>
    <row r="15" spans="1:4" x14ac:dyDescent="0.35">
      <c r="A15" s="10">
        <v>33848</v>
      </c>
      <c r="B15" s="15">
        <f>VLOOKUP(A15,Database!A:Q,MATCH($A$1,Database!$A$1:$Q$1,),)</f>
        <v>35890</v>
      </c>
      <c r="C15" s="12">
        <f t="shared" si="0"/>
        <v>3.7733121295359259E-2</v>
      </c>
      <c r="D15" s="1"/>
    </row>
    <row r="16" spans="1:4" x14ac:dyDescent="0.35">
      <c r="A16" s="11">
        <v>33878</v>
      </c>
      <c r="B16" s="15">
        <f>VLOOKUP(A16,Database!A:Q,MATCH($A$1,Database!$A$1:$Q$1,),)</f>
        <v>35972</v>
      </c>
      <c r="C16" s="12">
        <f t="shared" si="0"/>
        <v>2.2847589857899137E-3</v>
      </c>
      <c r="D16" s="1"/>
    </row>
    <row r="17" spans="1:4" x14ac:dyDescent="0.35">
      <c r="A17" s="10">
        <v>33909</v>
      </c>
      <c r="B17" s="15">
        <f>VLOOKUP(A17,Database!A:Q,MATCH($A$1,Database!$A$1:$Q$1,),)</f>
        <v>35928</v>
      </c>
      <c r="C17" s="12">
        <f t="shared" si="0"/>
        <v>-1.2231735794506838E-3</v>
      </c>
      <c r="D17" s="1"/>
    </row>
    <row r="18" spans="1:4" x14ac:dyDescent="0.35">
      <c r="A18" s="11">
        <v>33939</v>
      </c>
      <c r="B18" s="15">
        <f>VLOOKUP(A18,Database!A:Q,MATCH($A$1,Database!$A$1:$Q$1,),)</f>
        <v>36272</v>
      </c>
      <c r="C18" s="12">
        <f t="shared" si="0"/>
        <v>9.5747049654865291E-3</v>
      </c>
      <c r="D18" s="1"/>
    </row>
    <row r="19" spans="1:4" x14ac:dyDescent="0.35">
      <c r="A19" s="10">
        <v>33970</v>
      </c>
      <c r="B19" s="15">
        <f>VLOOKUP(A19,Database!A:Q,MATCH($A$1,Database!$A$1:$Q$1,),)</f>
        <v>37621</v>
      </c>
      <c r="C19" s="12">
        <f t="shared" si="0"/>
        <v>3.7191221879135421E-2</v>
      </c>
      <c r="D19" s="13">
        <f t="shared" ref="D19:D82" si="1">(B19-B7)/B7</f>
        <v>0.12375291236035606</v>
      </c>
    </row>
    <row r="20" spans="1:4" x14ac:dyDescent="0.35">
      <c r="A20" s="11">
        <v>34001</v>
      </c>
      <c r="B20" s="15">
        <f>VLOOKUP(A20,Database!A:Q,MATCH($A$1,Database!$A$1:$Q$1,),)</f>
        <v>36723</v>
      </c>
      <c r="C20" s="12">
        <f t="shared" si="0"/>
        <v>-2.3869647271470722E-2</v>
      </c>
      <c r="D20" s="13">
        <f t="shared" si="1"/>
        <v>8.5933110565691806E-2</v>
      </c>
    </row>
    <row r="21" spans="1:4" x14ac:dyDescent="0.35">
      <c r="A21" s="10">
        <v>34029</v>
      </c>
      <c r="B21" s="15">
        <f>VLOOKUP(A21,Database!A:Q,MATCH($A$1,Database!$A$1:$Q$1,),)</f>
        <v>35955</v>
      </c>
      <c r="C21" s="12">
        <f t="shared" si="0"/>
        <v>-2.0913324074830486E-2</v>
      </c>
      <c r="D21" s="13">
        <f t="shared" si="1"/>
        <v>7.856371490280778E-2</v>
      </c>
    </row>
    <row r="22" spans="1:4" x14ac:dyDescent="0.35">
      <c r="A22" s="11">
        <v>34060</v>
      </c>
      <c r="B22" s="15">
        <f>VLOOKUP(A22,Database!A:Q,MATCH($A$1,Database!$A$1:$Q$1,),)</f>
        <v>38521</v>
      </c>
      <c r="C22" s="12">
        <f t="shared" si="0"/>
        <v>7.1366986510916428E-2</v>
      </c>
      <c r="D22" s="13">
        <f t="shared" si="1"/>
        <v>0.14048436759829463</v>
      </c>
    </row>
    <row r="23" spans="1:4" x14ac:dyDescent="0.35">
      <c r="A23" s="10">
        <v>34090</v>
      </c>
      <c r="B23" s="15">
        <f>VLOOKUP(A23,Database!A:Q,MATCH($A$1,Database!$A$1:$Q$1,),)</f>
        <v>39006</v>
      </c>
      <c r="C23" s="12">
        <f t="shared" si="0"/>
        <v>1.2590535032839231E-2</v>
      </c>
      <c r="D23" s="13">
        <f t="shared" si="1"/>
        <v>0.13531449195214948</v>
      </c>
    </row>
    <row r="24" spans="1:4" x14ac:dyDescent="0.35">
      <c r="A24" s="11">
        <v>34121</v>
      </c>
      <c r="B24" s="15">
        <f>VLOOKUP(A24,Database!A:Q,MATCH($A$1,Database!$A$1:$Q$1,),)</f>
        <v>38892</v>
      </c>
      <c r="C24" s="12">
        <f t="shared" si="0"/>
        <v>-2.9226272881095216E-3</v>
      </c>
      <c r="D24" s="13">
        <f t="shared" si="1"/>
        <v>0.11819671659814267</v>
      </c>
    </row>
    <row r="25" spans="1:4" x14ac:dyDescent="0.35">
      <c r="A25" s="10">
        <v>34151</v>
      </c>
      <c r="B25" s="15">
        <f>VLOOKUP(A25,Database!A:Q,MATCH($A$1,Database!$A$1:$Q$1,),)</f>
        <v>40290</v>
      </c>
      <c r="C25" s="12">
        <f t="shared" si="0"/>
        <v>3.5945695772909597E-2</v>
      </c>
      <c r="D25" s="13">
        <f t="shared" si="1"/>
        <v>0.14463479076110117</v>
      </c>
    </row>
    <row r="26" spans="1:4" x14ac:dyDescent="0.35">
      <c r="A26" s="11">
        <v>34182</v>
      </c>
      <c r="B26" s="15">
        <f>VLOOKUP(A26,Database!A:Q,MATCH($A$1,Database!$A$1:$Q$1,),)</f>
        <v>40504</v>
      </c>
      <c r="C26" s="12">
        <f t="shared" si="0"/>
        <v>5.3114916852817079E-3</v>
      </c>
      <c r="D26" s="13">
        <f t="shared" si="1"/>
        <v>0.17114355934653752</v>
      </c>
    </row>
    <row r="27" spans="1:4" x14ac:dyDescent="0.35">
      <c r="A27" s="10">
        <v>34213</v>
      </c>
      <c r="B27" s="15">
        <f>VLOOKUP(A27,Database!A:Q,MATCH($A$1,Database!$A$1:$Q$1,),)</f>
        <v>40203</v>
      </c>
      <c r="C27" s="12">
        <f t="shared" si="0"/>
        <v>-7.4313648034761998E-3</v>
      </c>
      <c r="D27" s="13">
        <f t="shared" si="1"/>
        <v>0.12017275006965729</v>
      </c>
    </row>
    <row r="28" spans="1:4" x14ac:dyDescent="0.35">
      <c r="A28" s="11">
        <v>34243</v>
      </c>
      <c r="B28" s="15">
        <f>VLOOKUP(A28,Database!A:Q,MATCH($A$1,Database!$A$1:$Q$1,),)</f>
        <v>40857</v>
      </c>
      <c r="C28" s="12">
        <f t="shared" si="0"/>
        <v>1.6267442728154616E-2</v>
      </c>
      <c r="D28" s="13">
        <f t="shared" si="1"/>
        <v>0.13580006671855888</v>
      </c>
    </row>
    <row r="29" spans="1:4" x14ac:dyDescent="0.35">
      <c r="A29" s="10">
        <v>34274</v>
      </c>
      <c r="B29" s="15">
        <f>VLOOKUP(A29,Database!A:Q,MATCH($A$1,Database!$A$1:$Q$1,),)</f>
        <v>42077</v>
      </c>
      <c r="C29" s="12">
        <f t="shared" si="0"/>
        <v>2.9860244266588346E-2</v>
      </c>
      <c r="D29" s="13">
        <f t="shared" si="1"/>
        <v>0.17114785125807169</v>
      </c>
    </row>
    <row r="30" spans="1:4" x14ac:dyDescent="0.35">
      <c r="A30" s="11">
        <v>34304</v>
      </c>
      <c r="B30" s="15">
        <f>VLOOKUP(A30,Database!A:Q,MATCH($A$1,Database!$A$1:$Q$1,),)</f>
        <v>42796</v>
      </c>
      <c r="C30" s="12">
        <f t="shared" si="0"/>
        <v>1.7087720132138697E-2</v>
      </c>
      <c r="D30" s="13">
        <f t="shared" si="1"/>
        <v>0.17986325540361711</v>
      </c>
    </row>
    <row r="31" spans="1:4" x14ac:dyDescent="0.35">
      <c r="A31" s="10">
        <v>34335</v>
      </c>
      <c r="B31" s="15">
        <f>VLOOKUP(A31,Database!A:Q,MATCH($A$1,Database!$A$1:$Q$1,),)</f>
        <v>42660</v>
      </c>
      <c r="C31" s="12">
        <f t="shared" si="0"/>
        <v>-3.1778670903822785E-3</v>
      </c>
      <c r="D31" s="13">
        <f t="shared" si="1"/>
        <v>0.13394114988968928</v>
      </c>
    </row>
    <row r="32" spans="1:4" x14ac:dyDescent="0.35">
      <c r="A32" s="11">
        <v>34366</v>
      </c>
      <c r="B32" s="15">
        <f>VLOOKUP(A32,Database!A:Q,MATCH($A$1,Database!$A$1:$Q$1,),)</f>
        <v>43685</v>
      </c>
      <c r="C32" s="12">
        <f t="shared" si="0"/>
        <v>2.4027191748710736E-2</v>
      </c>
      <c r="D32" s="13">
        <f t="shared" si="1"/>
        <v>0.18958146120959615</v>
      </c>
    </row>
    <row r="33" spans="1:4" x14ac:dyDescent="0.35">
      <c r="A33" s="10">
        <v>34394</v>
      </c>
      <c r="B33" s="15">
        <f>VLOOKUP(A33,Database!A:Q,MATCH($A$1,Database!$A$1:$Q$1,),)</f>
        <v>44475</v>
      </c>
      <c r="C33" s="12">
        <f t="shared" si="0"/>
        <v>1.8084010529930181E-2</v>
      </c>
      <c r="D33" s="13">
        <f t="shared" si="1"/>
        <v>0.23696287025448479</v>
      </c>
    </row>
    <row r="34" spans="1:4" x14ac:dyDescent="0.35">
      <c r="A34" s="11">
        <v>34425</v>
      </c>
      <c r="B34" s="15">
        <f>VLOOKUP(A34,Database!A:Q,MATCH($A$1,Database!$A$1:$Q$1,),)</f>
        <v>45072</v>
      </c>
      <c r="C34" s="12">
        <f t="shared" si="0"/>
        <v>1.342327150084317E-2</v>
      </c>
      <c r="D34" s="13">
        <f t="shared" si="1"/>
        <v>0.17006308247449442</v>
      </c>
    </row>
    <row r="35" spans="1:4" x14ac:dyDescent="0.35">
      <c r="A35" s="10">
        <v>34455</v>
      </c>
      <c r="B35" s="15">
        <f>VLOOKUP(A35,Database!A:Q,MATCH($A$1,Database!$A$1:$Q$1,),)</f>
        <v>44098</v>
      </c>
      <c r="C35" s="12">
        <f t="shared" si="0"/>
        <v>-2.1609868654597089E-2</v>
      </c>
      <c r="D35" s="13">
        <f t="shared" si="1"/>
        <v>0.13054401886889197</v>
      </c>
    </row>
    <row r="36" spans="1:4" x14ac:dyDescent="0.35">
      <c r="A36" s="11">
        <v>34486</v>
      </c>
      <c r="B36" s="15">
        <f>VLOOKUP(A36,Database!A:Q,MATCH($A$1,Database!$A$1:$Q$1,),)</f>
        <v>44541</v>
      </c>
      <c r="C36" s="12">
        <f t="shared" si="0"/>
        <v>1.0045807066080095E-2</v>
      </c>
      <c r="D36" s="13">
        <f t="shared" si="1"/>
        <v>0.14524838012958963</v>
      </c>
    </row>
    <row r="37" spans="1:4" x14ac:dyDescent="0.35">
      <c r="A37" s="10">
        <v>34516</v>
      </c>
      <c r="B37" s="15">
        <f>VLOOKUP(A37,Database!A:Q,MATCH($A$1,Database!$A$1:$Q$1,),)</f>
        <v>44477</v>
      </c>
      <c r="C37" s="12">
        <f t="shared" si="0"/>
        <v>-1.4368783817157226E-3</v>
      </c>
      <c r="D37" s="13">
        <f t="shared" si="1"/>
        <v>0.10392156862745099</v>
      </c>
    </row>
    <row r="38" spans="1:4" x14ac:dyDescent="0.35">
      <c r="A38" s="11">
        <v>34547</v>
      </c>
      <c r="B38" s="15">
        <f>VLOOKUP(A38,Database!A:Q,MATCH($A$1,Database!$A$1:$Q$1,),)</f>
        <v>45232</v>
      </c>
      <c r="C38" s="12">
        <f t="shared" si="0"/>
        <v>1.697506576432763E-2</v>
      </c>
      <c r="D38" s="13">
        <f t="shared" si="1"/>
        <v>0.11672921192968595</v>
      </c>
    </row>
    <row r="39" spans="1:4" x14ac:dyDescent="0.35">
      <c r="A39" s="10">
        <v>34578</v>
      </c>
      <c r="B39" s="15">
        <f>VLOOKUP(A39,Database!A:Q,MATCH($A$1,Database!$A$1:$Q$1,),)</f>
        <v>46314</v>
      </c>
      <c r="C39" s="12">
        <f t="shared" si="0"/>
        <v>2.3921117792713123E-2</v>
      </c>
      <c r="D39" s="13">
        <f t="shared" si="1"/>
        <v>0.15200358182225207</v>
      </c>
    </row>
    <row r="40" spans="1:4" x14ac:dyDescent="0.35">
      <c r="A40" s="11">
        <v>34608</v>
      </c>
      <c r="B40" s="15">
        <f>VLOOKUP(A40,Database!A:Q,MATCH($A$1,Database!$A$1:$Q$1,),)</f>
        <v>47041</v>
      </c>
      <c r="C40" s="12">
        <f t="shared" si="0"/>
        <v>1.5697197391717408E-2</v>
      </c>
      <c r="D40" s="13">
        <f t="shared" si="1"/>
        <v>0.15135717257752648</v>
      </c>
    </row>
    <row r="41" spans="1:4" x14ac:dyDescent="0.35">
      <c r="A41" s="10">
        <v>34639</v>
      </c>
      <c r="B41" s="15">
        <f>VLOOKUP(A41,Database!A:Q,MATCH($A$1,Database!$A$1:$Q$1,),)</f>
        <v>47203</v>
      </c>
      <c r="C41" s="12">
        <f t="shared" si="0"/>
        <v>3.4438043408941137E-3</v>
      </c>
      <c r="D41" s="13">
        <f t="shared" si="1"/>
        <v>0.12182427454428785</v>
      </c>
    </row>
    <row r="42" spans="1:4" x14ac:dyDescent="0.35">
      <c r="A42" s="11">
        <v>34669</v>
      </c>
      <c r="B42" s="15">
        <f>VLOOKUP(A42,Database!A:Q,MATCH($A$1,Database!$A$1:$Q$1,),)</f>
        <v>46941</v>
      </c>
      <c r="C42" s="12">
        <f t="shared" si="0"/>
        <v>-5.5504946719488165E-3</v>
      </c>
      <c r="D42" s="13">
        <f t="shared" si="1"/>
        <v>9.6854846247312831E-2</v>
      </c>
    </row>
    <row r="43" spans="1:4" x14ac:dyDescent="0.35">
      <c r="A43" s="10">
        <v>34700</v>
      </c>
      <c r="B43" s="15">
        <f>VLOOKUP(A43,Database!A:Q,MATCH($A$1,Database!$A$1:$Q$1,),)</f>
        <v>47224</v>
      </c>
      <c r="C43" s="12">
        <f t="shared" si="0"/>
        <v>6.0288447199676187E-3</v>
      </c>
      <c r="D43" s="13">
        <f t="shared" si="1"/>
        <v>0.10698546647913737</v>
      </c>
    </row>
    <row r="44" spans="1:4" x14ac:dyDescent="0.35">
      <c r="A44" s="11">
        <v>34731</v>
      </c>
      <c r="B44" s="15">
        <f>VLOOKUP(A44,Database!A:Q,MATCH($A$1,Database!$A$1:$Q$1,),)</f>
        <v>45902</v>
      </c>
      <c r="C44" s="12">
        <f t="shared" si="0"/>
        <v>-2.7994240216838894E-2</v>
      </c>
      <c r="D44" s="13">
        <f t="shared" si="1"/>
        <v>5.0749685246652167E-2</v>
      </c>
    </row>
    <row r="45" spans="1:4" x14ac:dyDescent="0.35">
      <c r="A45" s="10">
        <v>34759</v>
      </c>
      <c r="B45" s="15">
        <f>VLOOKUP(A45,Database!A:Q,MATCH($A$1,Database!$A$1:$Q$1,),)</f>
        <v>46681</v>
      </c>
      <c r="C45" s="12">
        <f t="shared" si="0"/>
        <v>1.697093808548647E-2</v>
      </c>
      <c r="D45" s="13">
        <f t="shared" si="1"/>
        <v>4.9600899381675098E-2</v>
      </c>
    </row>
    <row r="46" spans="1:4" x14ac:dyDescent="0.35">
      <c r="A46" s="11">
        <v>34790</v>
      </c>
      <c r="B46" s="15">
        <f>VLOOKUP(A46,Database!A:Q,MATCH($A$1,Database!$A$1:$Q$1,),)</f>
        <v>47056</v>
      </c>
      <c r="C46" s="12">
        <f t="shared" si="0"/>
        <v>8.0332469312996719E-3</v>
      </c>
      <c r="D46" s="13">
        <f t="shared" si="1"/>
        <v>4.4018459353922609E-2</v>
      </c>
    </row>
    <row r="47" spans="1:4" x14ac:dyDescent="0.35">
      <c r="A47" s="10">
        <v>34820</v>
      </c>
      <c r="B47" s="15">
        <f>VLOOKUP(A47,Database!A:Q,MATCH($A$1,Database!$A$1:$Q$1,),)</f>
        <v>47718</v>
      </c>
      <c r="C47" s="12">
        <f t="shared" si="0"/>
        <v>1.4068344100646038E-2</v>
      </c>
      <c r="D47" s="13">
        <f t="shared" si="1"/>
        <v>8.2089890697990844E-2</v>
      </c>
    </row>
    <row r="48" spans="1:4" x14ac:dyDescent="0.35">
      <c r="A48" s="11">
        <v>34851</v>
      </c>
      <c r="B48" s="15">
        <f>VLOOKUP(A48,Database!A:Q,MATCH($A$1,Database!$A$1:$Q$1,),)</f>
        <v>49652</v>
      </c>
      <c r="C48" s="12">
        <f t="shared" si="0"/>
        <v>4.0529779118990736E-2</v>
      </c>
      <c r="D48" s="13">
        <f t="shared" si="1"/>
        <v>0.11474820951482903</v>
      </c>
    </row>
    <row r="49" spans="1:4" x14ac:dyDescent="0.35">
      <c r="A49" s="10">
        <v>34881</v>
      </c>
      <c r="B49" s="15">
        <f>VLOOKUP(A49,Database!A:Q,MATCH($A$1,Database!$A$1:$Q$1,),)</f>
        <v>48832</v>
      </c>
      <c r="C49" s="12">
        <f t="shared" si="0"/>
        <v>-1.6514944010311769E-2</v>
      </c>
      <c r="D49" s="13">
        <f t="shared" si="1"/>
        <v>9.791577669357196E-2</v>
      </c>
    </row>
    <row r="50" spans="1:4" x14ac:dyDescent="0.35">
      <c r="A50" s="11">
        <v>34912</v>
      </c>
      <c r="B50" s="15">
        <f>VLOOKUP(A50,Database!A:Q,MATCH($A$1,Database!$A$1:$Q$1,),)</f>
        <v>49748</v>
      </c>
      <c r="C50" s="12">
        <f t="shared" si="0"/>
        <v>1.8758191349934471E-2</v>
      </c>
      <c r="D50" s="13">
        <f t="shared" si="1"/>
        <v>9.9840820657941282E-2</v>
      </c>
    </row>
    <row r="51" spans="1:4" x14ac:dyDescent="0.35">
      <c r="A51" s="10">
        <v>34943</v>
      </c>
      <c r="B51" s="15">
        <f>VLOOKUP(A51,Database!A:Q,MATCH($A$1,Database!$A$1:$Q$1,),)</f>
        <v>49188</v>
      </c>
      <c r="C51" s="12">
        <f t="shared" si="0"/>
        <v>-1.1256733939052826E-2</v>
      </c>
      <c r="D51" s="13">
        <f t="shared" si="1"/>
        <v>6.2054670294079545E-2</v>
      </c>
    </row>
    <row r="52" spans="1:4" x14ac:dyDescent="0.35">
      <c r="A52" s="11">
        <v>34973</v>
      </c>
      <c r="B52" s="15">
        <f>VLOOKUP(A52,Database!A:Q,MATCH($A$1,Database!$A$1:$Q$1,),)</f>
        <v>49271</v>
      </c>
      <c r="C52" s="12">
        <f t="shared" si="0"/>
        <v>1.6874034317313166E-3</v>
      </c>
      <c r="D52" s="13">
        <f t="shared" si="1"/>
        <v>4.7405454816011564E-2</v>
      </c>
    </row>
    <row r="53" spans="1:4" x14ac:dyDescent="0.35">
      <c r="A53" s="10">
        <v>35004</v>
      </c>
      <c r="B53" s="15">
        <f>VLOOKUP(A53,Database!A:Q,MATCH($A$1,Database!$A$1:$Q$1,),)</f>
        <v>49863</v>
      </c>
      <c r="C53" s="12">
        <f t="shared" si="0"/>
        <v>1.2015181343995453E-2</v>
      </c>
      <c r="D53" s="13">
        <f t="shared" si="1"/>
        <v>5.6352350486197911E-2</v>
      </c>
    </row>
    <row r="54" spans="1:4" x14ac:dyDescent="0.35">
      <c r="A54" s="11">
        <v>35034</v>
      </c>
      <c r="B54" s="15">
        <f>VLOOKUP(A54,Database!A:Q,MATCH($A$1,Database!$A$1:$Q$1,),)</f>
        <v>50163</v>
      </c>
      <c r="C54" s="12">
        <f t="shared" si="0"/>
        <v>6.0164851693640577E-3</v>
      </c>
      <c r="D54" s="13">
        <f t="shared" si="1"/>
        <v>6.8639355787051826E-2</v>
      </c>
    </row>
    <row r="55" spans="1:4" x14ac:dyDescent="0.35">
      <c r="A55" s="10">
        <v>35065</v>
      </c>
      <c r="B55" s="15">
        <f>VLOOKUP(A55,Database!A:Q,MATCH($A$1,Database!$A$1:$Q$1,),)</f>
        <v>50349</v>
      </c>
      <c r="C55" s="12">
        <f t="shared" si="0"/>
        <v>3.7079122062077625E-3</v>
      </c>
      <c r="D55" s="13">
        <f t="shared" si="1"/>
        <v>6.6173979332542779E-2</v>
      </c>
    </row>
    <row r="56" spans="1:4" x14ac:dyDescent="0.35">
      <c r="A56" s="11">
        <v>35096</v>
      </c>
      <c r="B56" s="15">
        <f>VLOOKUP(A56,Database!A:Q,MATCH($A$1,Database!$A$1:$Q$1,),)</f>
        <v>52288</v>
      </c>
      <c r="C56" s="12">
        <f t="shared" si="0"/>
        <v>3.8511191880672903E-2</v>
      </c>
      <c r="D56" s="13">
        <f t="shared" si="1"/>
        <v>0.13912247832338459</v>
      </c>
    </row>
    <row r="57" spans="1:4" x14ac:dyDescent="0.35">
      <c r="A57" s="10">
        <v>35125</v>
      </c>
      <c r="B57" s="15">
        <f>VLOOKUP(A57,Database!A:Q,MATCH($A$1,Database!$A$1:$Q$1,),)</f>
        <v>52348</v>
      </c>
      <c r="C57" s="12">
        <f t="shared" si="0"/>
        <v>1.1474908200734394E-3</v>
      </c>
      <c r="D57" s="13">
        <f t="shared" si="1"/>
        <v>0.12139842762580065</v>
      </c>
    </row>
    <row r="58" spans="1:4" x14ac:dyDescent="0.35">
      <c r="A58" s="11">
        <v>35156</v>
      </c>
      <c r="B58" s="15">
        <f>VLOOKUP(A58,Database!A:Q,MATCH($A$1,Database!$A$1:$Q$1,),)</f>
        <v>51531</v>
      </c>
      <c r="C58" s="12">
        <f t="shared" si="0"/>
        <v>-1.5607091006342172E-2</v>
      </c>
      <c r="D58" s="13">
        <f t="shared" si="1"/>
        <v>9.509945596735804E-2</v>
      </c>
    </row>
    <row r="59" spans="1:4" x14ac:dyDescent="0.35">
      <c r="A59" s="10">
        <v>35186</v>
      </c>
      <c r="B59" s="15">
        <f>VLOOKUP(A59,Database!A:Q,MATCH($A$1,Database!$A$1:$Q$1,),)</f>
        <v>52200</v>
      </c>
      <c r="C59" s="12">
        <f t="shared" si="0"/>
        <v>1.2982476567503056E-2</v>
      </c>
      <c r="D59" s="13">
        <f t="shared" si="1"/>
        <v>9.3926820067898903E-2</v>
      </c>
    </row>
    <row r="60" spans="1:4" x14ac:dyDescent="0.35">
      <c r="A60" s="11">
        <v>35217</v>
      </c>
      <c r="B60" s="15">
        <f>VLOOKUP(A60,Database!A:Q,MATCH($A$1,Database!$A$1:$Q$1,),)</f>
        <v>51798</v>
      </c>
      <c r="C60" s="12">
        <f t="shared" si="0"/>
        <v>-7.7011494252873566E-3</v>
      </c>
      <c r="D60" s="13">
        <f t="shared" si="1"/>
        <v>4.322081688552324E-2</v>
      </c>
    </row>
    <row r="61" spans="1:4" x14ac:dyDescent="0.35">
      <c r="A61" s="10">
        <v>35247</v>
      </c>
      <c r="B61" s="15">
        <f>VLOOKUP(A61,Database!A:Q,MATCH($A$1,Database!$A$1:$Q$1,),)</f>
        <v>52004</v>
      </c>
      <c r="C61" s="12">
        <f t="shared" si="0"/>
        <v>3.9769875284760029E-3</v>
      </c>
      <c r="D61" s="13">
        <f t="shared" si="1"/>
        <v>6.4957404980340763E-2</v>
      </c>
    </row>
    <row r="62" spans="1:4" x14ac:dyDescent="0.35">
      <c r="A62" s="11">
        <v>35278</v>
      </c>
      <c r="B62" s="15">
        <f>VLOOKUP(A62,Database!A:Q,MATCH($A$1,Database!$A$1:$Q$1,),)</f>
        <v>51472</v>
      </c>
      <c r="C62" s="12">
        <f t="shared" si="0"/>
        <v>-1.022998230905315E-2</v>
      </c>
      <c r="D62" s="13">
        <f t="shared" si="1"/>
        <v>3.4654659483798346E-2</v>
      </c>
    </row>
    <row r="63" spans="1:4" x14ac:dyDescent="0.35">
      <c r="A63" s="10">
        <v>35309</v>
      </c>
      <c r="B63" s="15">
        <f>VLOOKUP(A63,Database!A:Q,MATCH($A$1,Database!$A$1:$Q$1,),)</f>
        <v>53184</v>
      </c>
      <c r="C63" s="12">
        <f t="shared" si="0"/>
        <v>3.3260801989431148E-2</v>
      </c>
      <c r="D63" s="13">
        <f t="shared" si="1"/>
        <v>8.123932666504026E-2</v>
      </c>
    </row>
    <row r="64" spans="1:4" x14ac:dyDescent="0.35">
      <c r="A64" s="11">
        <v>35339</v>
      </c>
      <c r="B64" s="15">
        <f>VLOOKUP(A64,Database!A:Q,MATCH($A$1,Database!$A$1:$Q$1,),)</f>
        <v>53450</v>
      </c>
      <c r="C64" s="12">
        <f t="shared" si="0"/>
        <v>5.0015042117930201E-3</v>
      </c>
      <c r="D64" s="13">
        <f t="shared" si="1"/>
        <v>8.4816626413103044E-2</v>
      </c>
    </row>
    <row r="65" spans="1:4" x14ac:dyDescent="0.35">
      <c r="A65" s="10">
        <v>35370</v>
      </c>
      <c r="B65" s="15">
        <f>VLOOKUP(A65,Database!A:Q,MATCH($A$1,Database!$A$1:$Q$1,),)</f>
        <v>52710</v>
      </c>
      <c r="C65" s="12">
        <f t="shared" si="0"/>
        <v>-1.3844714686623013E-2</v>
      </c>
      <c r="D65" s="13">
        <f t="shared" si="1"/>
        <v>5.7096444257264907E-2</v>
      </c>
    </row>
    <row r="66" spans="1:4" x14ac:dyDescent="0.35">
      <c r="A66" s="11">
        <v>35400</v>
      </c>
      <c r="B66" s="15">
        <f>VLOOKUP(A66,Database!A:Q,MATCH($A$1,Database!$A$1:$Q$1,),)</f>
        <v>52835</v>
      </c>
      <c r="C66" s="12">
        <f t="shared" si="0"/>
        <v>2.3714665148928098E-3</v>
      </c>
      <c r="D66" s="13">
        <f t="shared" si="1"/>
        <v>5.3266351693479257E-2</v>
      </c>
    </row>
    <row r="67" spans="1:4" x14ac:dyDescent="0.35">
      <c r="A67" s="10">
        <v>35431</v>
      </c>
      <c r="B67" s="15">
        <f>VLOOKUP(A67,Database!A:Q,MATCH($A$1,Database!$A$1:$Q$1,),)</f>
        <v>54010</v>
      </c>
      <c r="C67" s="12">
        <f t="shared" si="0"/>
        <v>2.2239046086874232E-2</v>
      </c>
      <c r="D67" s="13">
        <f t="shared" si="1"/>
        <v>7.2712466980476273E-2</v>
      </c>
    </row>
    <row r="68" spans="1:4" x14ac:dyDescent="0.35">
      <c r="A68" s="11">
        <v>35462</v>
      </c>
      <c r="B68" s="15">
        <f>VLOOKUP(A68,Database!A:Q,MATCH($A$1,Database!$A$1:$Q$1,),)</f>
        <v>54601</v>
      </c>
      <c r="C68" s="12">
        <f t="shared" si="0"/>
        <v>1.0942418070727643E-2</v>
      </c>
      <c r="D68" s="13">
        <f t="shared" si="1"/>
        <v>4.4235771113831091E-2</v>
      </c>
    </row>
    <row r="69" spans="1:4" x14ac:dyDescent="0.35">
      <c r="A69" s="10">
        <v>35490</v>
      </c>
      <c r="B69" s="15">
        <f>VLOOKUP(A69,Database!A:Q,MATCH($A$1,Database!$A$1:$Q$1,),)</f>
        <v>54233</v>
      </c>
      <c r="C69" s="12">
        <f t="shared" si="0"/>
        <v>-6.7398033003058548E-3</v>
      </c>
      <c r="D69" s="13">
        <f t="shared" si="1"/>
        <v>3.6009016581340259E-2</v>
      </c>
    </row>
    <row r="70" spans="1:4" x14ac:dyDescent="0.35">
      <c r="A70" s="11">
        <v>35521</v>
      </c>
      <c r="B70" s="15">
        <f>VLOOKUP(A70,Database!A:Q,MATCH($A$1,Database!$A$1:$Q$1,),)</f>
        <v>53861</v>
      </c>
      <c r="C70" s="12">
        <f t="shared" si="0"/>
        <v>-6.859292312798481E-3</v>
      </c>
      <c r="D70" s="13">
        <f t="shared" si="1"/>
        <v>4.5215501348702725E-2</v>
      </c>
    </row>
    <row r="71" spans="1:4" x14ac:dyDescent="0.35">
      <c r="A71" s="10">
        <v>35551</v>
      </c>
      <c r="B71" s="15">
        <f>VLOOKUP(A71,Database!A:Q,MATCH($A$1,Database!$A$1:$Q$1,),)</f>
        <v>52191</v>
      </c>
      <c r="C71" s="12">
        <f t="shared" si="0"/>
        <v>-3.1005736989658566E-2</v>
      </c>
      <c r="D71" s="13">
        <f t="shared" si="1"/>
        <v>-1.7241379310344826E-4</v>
      </c>
    </row>
    <row r="72" spans="1:4" x14ac:dyDescent="0.35">
      <c r="A72" s="11">
        <v>35582</v>
      </c>
      <c r="B72" s="15">
        <f>VLOOKUP(A72,Database!A:Q,MATCH($A$1,Database!$A$1:$Q$1,),)</f>
        <v>54066</v>
      </c>
      <c r="C72" s="12">
        <f t="shared" ref="C72:C135" si="2">(B72-B71)/B71</f>
        <v>3.5925734322009545E-2</v>
      </c>
      <c r="D72" s="13">
        <f t="shared" si="1"/>
        <v>4.3785474342638714E-2</v>
      </c>
    </row>
    <row r="73" spans="1:4" x14ac:dyDescent="0.35">
      <c r="A73" s="10">
        <v>35612</v>
      </c>
      <c r="B73" s="15">
        <f>VLOOKUP(A73,Database!A:Q,MATCH($A$1,Database!$A$1:$Q$1,),)</f>
        <v>55255</v>
      </c>
      <c r="C73" s="12">
        <f t="shared" si="2"/>
        <v>2.1991639847593683E-2</v>
      </c>
      <c r="D73" s="13">
        <f t="shared" si="1"/>
        <v>6.2514421967540965E-2</v>
      </c>
    </row>
    <row r="74" spans="1:4" x14ac:dyDescent="0.35">
      <c r="A74" s="11">
        <v>35643</v>
      </c>
      <c r="B74" s="15">
        <f>VLOOKUP(A74,Database!A:Q,MATCH($A$1,Database!$A$1:$Q$1,),)</f>
        <v>55488</v>
      </c>
      <c r="C74" s="12">
        <f t="shared" si="2"/>
        <v>4.2168129581033392E-3</v>
      </c>
      <c r="D74" s="13">
        <f t="shared" si="1"/>
        <v>7.8023002797637547E-2</v>
      </c>
    </row>
    <row r="75" spans="1:4" x14ac:dyDescent="0.35">
      <c r="A75" s="10">
        <v>35674</v>
      </c>
      <c r="B75" s="15">
        <f>VLOOKUP(A75,Database!A:Q,MATCH($A$1,Database!$A$1:$Q$1,),)</f>
        <v>55334</v>
      </c>
      <c r="C75" s="12">
        <f t="shared" si="2"/>
        <v>-2.775374855824683E-3</v>
      </c>
      <c r="D75" s="13">
        <f t="shared" si="1"/>
        <v>4.042569193742479E-2</v>
      </c>
    </row>
    <row r="76" spans="1:4" x14ac:dyDescent="0.35">
      <c r="A76" s="11">
        <v>35704</v>
      </c>
      <c r="B76" s="15">
        <f>VLOOKUP(A76,Database!A:Q,MATCH($A$1,Database!$A$1:$Q$1,),)</f>
        <v>54856</v>
      </c>
      <c r="C76" s="12">
        <f t="shared" si="2"/>
        <v>-8.6384501391549504E-3</v>
      </c>
      <c r="D76" s="13">
        <f t="shared" si="1"/>
        <v>2.6304957904583724E-2</v>
      </c>
    </row>
    <row r="77" spans="1:4" x14ac:dyDescent="0.35">
      <c r="A77" s="10">
        <v>35735</v>
      </c>
      <c r="B77" s="15">
        <f>VLOOKUP(A77,Database!A:Q,MATCH($A$1,Database!$A$1:$Q$1,),)</f>
        <v>55314</v>
      </c>
      <c r="C77" s="12">
        <f t="shared" si="2"/>
        <v>8.3491322735890338E-3</v>
      </c>
      <c r="D77" s="13">
        <f t="shared" si="1"/>
        <v>4.9402390438247012E-2</v>
      </c>
    </row>
    <row r="78" spans="1:4" x14ac:dyDescent="0.35">
      <c r="A78" s="11">
        <v>35765</v>
      </c>
      <c r="B78" s="15">
        <f>VLOOKUP(A78,Database!A:Q,MATCH($A$1,Database!$A$1:$Q$1,),)</f>
        <v>55763</v>
      </c>
      <c r="C78" s="12">
        <f t="shared" si="2"/>
        <v>8.1172939942871607E-3</v>
      </c>
      <c r="D78" s="13">
        <f t="shared" si="1"/>
        <v>5.5417810163717232E-2</v>
      </c>
    </row>
    <row r="79" spans="1:4" x14ac:dyDescent="0.35">
      <c r="A79" s="10">
        <v>35796</v>
      </c>
      <c r="B79" s="15">
        <f>VLOOKUP(A79,Database!A:Q,MATCH($A$1,Database!$A$1:$Q$1,),)</f>
        <v>55494</v>
      </c>
      <c r="C79" s="12">
        <f t="shared" si="2"/>
        <v>-4.8239872316769182E-3</v>
      </c>
      <c r="D79" s="13">
        <f t="shared" si="1"/>
        <v>2.7476393260507312E-2</v>
      </c>
    </row>
    <row r="80" spans="1:4" x14ac:dyDescent="0.35">
      <c r="A80" s="11">
        <v>35827</v>
      </c>
      <c r="B80" s="15">
        <f>VLOOKUP(A80,Database!A:Q,MATCH($A$1,Database!$A$1:$Q$1,),)</f>
        <v>54841</v>
      </c>
      <c r="C80" s="12">
        <f t="shared" si="2"/>
        <v>-1.1767037877968789E-2</v>
      </c>
      <c r="D80" s="13">
        <f t="shared" si="1"/>
        <v>4.3955238915038188E-3</v>
      </c>
    </row>
    <row r="81" spans="1:4" x14ac:dyDescent="0.35">
      <c r="A81" s="10">
        <v>35855</v>
      </c>
      <c r="B81" s="15">
        <f>VLOOKUP(A81,Database!A:Q,MATCH($A$1,Database!$A$1:$Q$1,),)</f>
        <v>56135</v>
      </c>
      <c r="C81" s="12">
        <f t="shared" si="2"/>
        <v>2.3595485129738698E-2</v>
      </c>
      <c r="D81" s="13">
        <f t="shared" si="1"/>
        <v>3.5070897792856749E-2</v>
      </c>
    </row>
    <row r="82" spans="1:4" x14ac:dyDescent="0.35">
      <c r="A82" s="11">
        <v>35886</v>
      </c>
      <c r="B82" s="15">
        <f>VLOOKUP(A82,Database!A:Q,MATCH($A$1,Database!$A$1:$Q$1,),)</f>
        <v>57464</v>
      </c>
      <c r="C82" s="12">
        <f t="shared" si="2"/>
        <v>2.3675069030016923E-2</v>
      </c>
      <c r="D82" s="13">
        <f t="shared" si="1"/>
        <v>6.689441339744899E-2</v>
      </c>
    </row>
    <row r="83" spans="1:4" x14ac:dyDescent="0.35">
      <c r="A83" s="10">
        <v>35916</v>
      </c>
      <c r="B83" s="15">
        <f>VLOOKUP(A83,Database!A:Q,MATCH($A$1,Database!$A$1:$Q$1,),)</f>
        <v>57882</v>
      </c>
      <c r="C83" s="12">
        <f t="shared" si="2"/>
        <v>7.2741194486983154E-3</v>
      </c>
      <c r="D83" s="13">
        <f t="shared" ref="D83:D146" si="3">(B83-B71)/B71</f>
        <v>0.10904178881416336</v>
      </c>
    </row>
    <row r="84" spans="1:4" x14ac:dyDescent="0.35">
      <c r="A84" s="11">
        <v>35947</v>
      </c>
      <c r="B84" s="15">
        <f>VLOOKUP(A84,Database!A:Q,MATCH($A$1,Database!$A$1:$Q$1,),)</f>
        <v>59264</v>
      </c>
      <c r="C84" s="12">
        <f t="shared" si="2"/>
        <v>2.3876161846515323E-2</v>
      </c>
      <c r="D84" s="13">
        <f t="shared" si="3"/>
        <v>9.6141752672659342E-2</v>
      </c>
    </row>
    <row r="85" spans="1:4" x14ac:dyDescent="0.35">
      <c r="A85" s="10">
        <v>35977</v>
      </c>
      <c r="B85" s="15">
        <f>VLOOKUP(A85,Database!A:Q,MATCH($A$1,Database!$A$1:$Q$1,),)</f>
        <v>56320</v>
      </c>
      <c r="C85" s="12">
        <f t="shared" si="2"/>
        <v>-4.9676025917926567E-2</v>
      </c>
      <c r="D85" s="13">
        <f t="shared" si="3"/>
        <v>1.927427382137363E-2</v>
      </c>
    </row>
    <row r="86" spans="1:4" x14ac:dyDescent="0.35">
      <c r="A86" s="11">
        <v>36008</v>
      </c>
      <c r="B86" s="15">
        <f>VLOOKUP(A86,Database!A:Q,MATCH($A$1,Database!$A$1:$Q$1,),)</f>
        <v>54997</v>
      </c>
      <c r="C86" s="12">
        <f t="shared" si="2"/>
        <v>-2.3490767045454546E-2</v>
      </c>
      <c r="D86" s="13">
        <f t="shared" si="3"/>
        <v>-8.8487600922722027E-3</v>
      </c>
    </row>
    <row r="87" spans="1:4" x14ac:dyDescent="0.35">
      <c r="A87" s="10">
        <v>36039</v>
      </c>
      <c r="B87" s="15">
        <f>VLOOKUP(A87,Database!A:Q,MATCH($A$1,Database!$A$1:$Q$1,),)</f>
        <v>57196</v>
      </c>
      <c r="C87" s="12">
        <f t="shared" si="2"/>
        <v>3.9983999127225119E-2</v>
      </c>
      <c r="D87" s="13">
        <f t="shared" si="3"/>
        <v>3.3650196985578487E-2</v>
      </c>
    </row>
    <row r="88" spans="1:4" x14ac:dyDescent="0.35">
      <c r="A88" s="11">
        <v>36069</v>
      </c>
      <c r="B88" s="15">
        <f>VLOOKUP(A88,Database!A:Q,MATCH($A$1,Database!$A$1:$Q$1,),)</f>
        <v>59294</v>
      </c>
      <c r="C88" s="12">
        <f t="shared" si="2"/>
        <v>3.6680886775298974E-2</v>
      </c>
      <c r="D88" s="13">
        <f t="shared" si="3"/>
        <v>8.0902727140148747E-2</v>
      </c>
    </row>
    <row r="89" spans="1:4" x14ac:dyDescent="0.35">
      <c r="A89" s="10">
        <v>36100</v>
      </c>
      <c r="B89" s="15">
        <f>VLOOKUP(A89,Database!A:Q,MATCH($A$1,Database!$A$1:$Q$1,),)</f>
        <v>59817</v>
      </c>
      <c r="C89" s="12">
        <f t="shared" si="2"/>
        <v>8.8204540088373199E-3</v>
      </c>
      <c r="D89" s="13">
        <f t="shared" si="3"/>
        <v>8.1407961817984598E-2</v>
      </c>
    </row>
    <row r="90" spans="1:4" x14ac:dyDescent="0.35">
      <c r="A90" s="11">
        <v>36130</v>
      </c>
      <c r="B90" s="15">
        <f>VLOOKUP(A90,Database!A:Q,MATCH($A$1,Database!$A$1:$Q$1,),)</f>
        <v>60473</v>
      </c>
      <c r="C90" s="12">
        <f t="shared" si="2"/>
        <v>1.0966782018489727E-2</v>
      </c>
      <c r="D90" s="13">
        <f t="shared" si="3"/>
        <v>8.4464609149436001E-2</v>
      </c>
    </row>
    <row r="91" spans="1:4" x14ac:dyDescent="0.35">
      <c r="A91" s="10">
        <v>36161</v>
      </c>
      <c r="B91" s="15">
        <f>VLOOKUP(A91,Database!A:Q,MATCH($A$1,Database!$A$1:$Q$1,),)</f>
        <v>60535</v>
      </c>
      <c r="C91" s="12">
        <f t="shared" si="2"/>
        <v>1.0252509384353348E-3</v>
      </c>
      <c r="D91" s="13">
        <f t="shared" si="3"/>
        <v>9.0838649223339465E-2</v>
      </c>
    </row>
    <row r="92" spans="1:4" x14ac:dyDescent="0.35">
      <c r="A92" s="11">
        <v>36192</v>
      </c>
      <c r="B92" s="15">
        <f>VLOOKUP(A92,Database!A:Q,MATCH($A$1,Database!$A$1:$Q$1,),)</f>
        <v>61260</v>
      </c>
      <c r="C92" s="12">
        <f t="shared" si="2"/>
        <v>1.197654249607665E-2</v>
      </c>
      <c r="D92" s="13">
        <f t="shared" si="3"/>
        <v>0.11704746448824785</v>
      </c>
    </row>
    <row r="93" spans="1:4" x14ac:dyDescent="0.35">
      <c r="A93" s="10">
        <v>36220</v>
      </c>
      <c r="B93" s="15">
        <f>VLOOKUP(A93,Database!A:Q,MATCH($A$1,Database!$A$1:$Q$1,),)</f>
        <v>61641</v>
      </c>
      <c r="C93" s="12">
        <f t="shared" si="2"/>
        <v>6.2193927522037219E-3</v>
      </c>
      <c r="D93" s="13">
        <f t="shared" si="3"/>
        <v>9.8084973724058069E-2</v>
      </c>
    </row>
    <row r="94" spans="1:4" x14ac:dyDescent="0.35">
      <c r="A94" s="11">
        <v>36251</v>
      </c>
      <c r="B94" s="15">
        <f>VLOOKUP(A94,Database!A:Q,MATCH($A$1,Database!$A$1:$Q$1,),)</f>
        <v>62150</v>
      </c>
      <c r="C94" s="12">
        <f t="shared" si="2"/>
        <v>8.2574909556950727E-3</v>
      </c>
      <c r="D94" s="13">
        <f t="shared" si="3"/>
        <v>8.1546707503828489E-2</v>
      </c>
    </row>
    <row r="95" spans="1:4" x14ac:dyDescent="0.35">
      <c r="A95" s="10">
        <v>36281</v>
      </c>
      <c r="B95" s="15">
        <f>VLOOKUP(A95,Database!A:Q,MATCH($A$1,Database!$A$1:$Q$1,),)</f>
        <v>63211</v>
      </c>
      <c r="C95" s="12">
        <f t="shared" si="2"/>
        <v>1.7071600965406275E-2</v>
      </c>
      <c r="D95" s="13">
        <f t="shared" si="3"/>
        <v>9.2066618292387964E-2</v>
      </c>
    </row>
    <row r="96" spans="1:4" x14ac:dyDescent="0.35">
      <c r="A96" s="11">
        <v>36312</v>
      </c>
      <c r="B96" s="15">
        <f>VLOOKUP(A96,Database!A:Q,MATCH($A$1,Database!$A$1:$Q$1,),)</f>
        <v>63452</v>
      </c>
      <c r="C96" s="12">
        <f t="shared" si="2"/>
        <v>3.8126275490025468E-3</v>
      </c>
      <c r="D96" s="13">
        <f t="shared" si="3"/>
        <v>7.0666846652267815E-2</v>
      </c>
    </row>
    <row r="97" spans="1:4" x14ac:dyDescent="0.35">
      <c r="A97" s="10">
        <v>36342</v>
      </c>
      <c r="B97" s="15">
        <f>VLOOKUP(A97,Database!A:Q,MATCH($A$1,Database!$A$1:$Q$1,),)</f>
        <v>64509</v>
      </c>
      <c r="C97" s="12">
        <f t="shared" si="2"/>
        <v>1.6658261362920004E-2</v>
      </c>
      <c r="D97" s="13">
        <f t="shared" si="3"/>
        <v>0.14540127840909092</v>
      </c>
    </row>
    <row r="98" spans="1:4" x14ac:dyDescent="0.35">
      <c r="A98" s="11">
        <v>36373</v>
      </c>
      <c r="B98" s="15">
        <f>VLOOKUP(A98,Database!A:Q,MATCH($A$1,Database!$A$1:$Q$1,),)</f>
        <v>65713</v>
      </c>
      <c r="C98" s="12">
        <f t="shared" si="2"/>
        <v>1.8664062378892867E-2</v>
      </c>
      <c r="D98" s="13">
        <f t="shared" si="3"/>
        <v>0.19484699165409022</v>
      </c>
    </row>
    <row r="99" spans="1:4" x14ac:dyDescent="0.35">
      <c r="A99" s="10">
        <v>36404</v>
      </c>
      <c r="B99" s="15">
        <f>VLOOKUP(A99,Database!A:Q,MATCH($A$1,Database!$A$1:$Q$1,),)</f>
        <v>65150</v>
      </c>
      <c r="C99" s="12">
        <f t="shared" si="2"/>
        <v>-8.5675589305008147E-3</v>
      </c>
      <c r="D99" s="13">
        <f t="shared" si="3"/>
        <v>0.13906566892789707</v>
      </c>
    </row>
    <row r="100" spans="1:4" x14ac:dyDescent="0.35">
      <c r="A100" s="11">
        <v>36434</v>
      </c>
      <c r="B100" s="15">
        <f>VLOOKUP(A100,Database!A:Q,MATCH($A$1,Database!$A$1:$Q$1,),)</f>
        <v>64519</v>
      </c>
      <c r="C100" s="12">
        <f t="shared" si="2"/>
        <v>-9.685341519570222E-3</v>
      </c>
      <c r="D100" s="13">
        <f t="shared" si="3"/>
        <v>8.8120214524235171E-2</v>
      </c>
    </row>
    <row r="101" spans="1:4" x14ac:dyDescent="0.35">
      <c r="A101" s="10">
        <v>36465</v>
      </c>
      <c r="B101" s="15">
        <f>VLOOKUP(A101,Database!A:Q,MATCH($A$1,Database!$A$1:$Q$1,),)</f>
        <v>66269</v>
      </c>
      <c r="C101" s="12">
        <f t="shared" si="2"/>
        <v>2.7123792991211891E-2</v>
      </c>
      <c r="D101" s="13">
        <f t="shared" si="3"/>
        <v>0.10786231338917031</v>
      </c>
    </row>
    <row r="102" spans="1:4" x14ac:dyDescent="0.35">
      <c r="A102" s="11">
        <v>36495</v>
      </c>
      <c r="B102" s="15">
        <f>VLOOKUP(A102,Database!A:Q,MATCH($A$1,Database!$A$1:$Q$1,),)</f>
        <v>65909</v>
      </c>
      <c r="C102" s="12">
        <f t="shared" si="2"/>
        <v>-5.4324042915993905E-3</v>
      </c>
      <c r="D102" s="13">
        <f t="shared" si="3"/>
        <v>8.9891356473136771E-2</v>
      </c>
    </row>
    <row r="103" spans="1:4" x14ac:dyDescent="0.35">
      <c r="A103" s="10">
        <v>36526</v>
      </c>
      <c r="B103" s="15">
        <f>VLOOKUP(A103,Database!A:Q,MATCH($A$1,Database!$A$1:$Q$1,),)</f>
        <v>67679</v>
      </c>
      <c r="C103" s="12">
        <f t="shared" si="2"/>
        <v>2.6855209455461319E-2</v>
      </c>
      <c r="D103" s="13">
        <f t="shared" si="3"/>
        <v>0.11801437185099529</v>
      </c>
    </row>
    <row r="104" spans="1:4" x14ac:dyDescent="0.35">
      <c r="A104" s="11">
        <v>36557</v>
      </c>
      <c r="B104" s="15">
        <f>VLOOKUP(A104,Database!A:Q,MATCH($A$1,Database!$A$1:$Q$1,),)</f>
        <v>69085</v>
      </c>
      <c r="C104" s="12">
        <f t="shared" si="2"/>
        <v>2.0774538630889936E-2</v>
      </c>
      <c r="D104" s="13">
        <f t="shared" si="3"/>
        <v>0.12773424746980086</v>
      </c>
    </row>
    <row r="105" spans="1:4" x14ac:dyDescent="0.35">
      <c r="A105" s="10">
        <v>36586</v>
      </c>
      <c r="B105" s="15">
        <f>VLOOKUP(A105,Database!A:Q,MATCH($A$1,Database!$A$1:$Q$1,),)</f>
        <v>68433</v>
      </c>
      <c r="C105" s="12">
        <f t="shared" si="2"/>
        <v>-9.4376492726351603E-3</v>
      </c>
      <c r="D105" s="13">
        <f t="shared" si="3"/>
        <v>0.1101864019078211</v>
      </c>
    </row>
    <row r="106" spans="1:4" x14ac:dyDescent="0.35">
      <c r="A106" s="11">
        <v>36617</v>
      </c>
      <c r="B106" s="15">
        <f>VLOOKUP(A106,Database!A:Q,MATCH($A$1,Database!$A$1:$Q$1,),)</f>
        <v>65812</v>
      </c>
      <c r="C106" s="12">
        <f t="shared" si="2"/>
        <v>-3.8300235266611138E-2</v>
      </c>
      <c r="D106" s="13">
        <f t="shared" si="3"/>
        <v>5.8921962992759452E-2</v>
      </c>
    </row>
    <row r="107" spans="1:4" x14ac:dyDescent="0.35">
      <c r="A107" s="10">
        <v>36647</v>
      </c>
      <c r="B107" s="15">
        <f>VLOOKUP(A107,Database!A:Q,MATCH($A$1,Database!$A$1:$Q$1,),)</f>
        <v>65781</v>
      </c>
      <c r="C107" s="12">
        <f t="shared" si="2"/>
        <v>-4.7103871634352395E-4</v>
      </c>
      <c r="D107" s="13">
        <f t="shared" si="3"/>
        <v>4.0657480501811394E-2</v>
      </c>
    </row>
    <row r="108" spans="1:4" x14ac:dyDescent="0.35">
      <c r="A108" s="11">
        <v>36678</v>
      </c>
      <c r="B108" s="15">
        <f>VLOOKUP(A108,Database!A:Q,MATCH($A$1,Database!$A$1:$Q$1,),)</f>
        <v>66638</v>
      </c>
      <c r="C108" s="12">
        <f t="shared" si="2"/>
        <v>1.3028078016448518E-2</v>
      </c>
      <c r="D108" s="13">
        <f t="shared" si="3"/>
        <v>5.0211183256634935E-2</v>
      </c>
    </row>
    <row r="109" spans="1:4" x14ac:dyDescent="0.35">
      <c r="A109" s="10">
        <v>36708</v>
      </c>
      <c r="B109" s="15">
        <f>VLOOKUP(A109,Database!A:Q,MATCH($A$1,Database!$A$1:$Q$1,),)</f>
        <v>65205</v>
      </c>
      <c r="C109" s="12">
        <f t="shared" si="2"/>
        <v>-2.1504246826135238E-2</v>
      </c>
      <c r="D109" s="13">
        <f t="shared" si="3"/>
        <v>1.0789192205738735E-2</v>
      </c>
    </row>
    <row r="110" spans="1:4" x14ac:dyDescent="0.35">
      <c r="A110" s="11">
        <v>36739</v>
      </c>
      <c r="B110" s="15">
        <f>VLOOKUP(A110,Database!A:Q,MATCH($A$1,Database!$A$1:$Q$1,),)</f>
        <v>65311</v>
      </c>
      <c r="C110" s="12">
        <f t="shared" si="2"/>
        <v>1.6256422053523502E-3</v>
      </c>
      <c r="D110" s="13">
        <f t="shared" si="3"/>
        <v>-6.1175109947803324E-3</v>
      </c>
    </row>
    <row r="111" spans="1:4" x14ac:dyDescent="0.35">
      <c r="A111" s="10">
        <v>36770</v>
      </c>
      <c r="B111" s="15">
        <f>VLOOKUP(A111,Database!A:Q,MATCH($A$1,Database!$A$1:$Q$1,),)</f>
        <v>66850</v>
      </c>
      <c r="C111" s="12">
        <f t="shared" si="2"/>
        <v>2.3564177550489198E-2</v>
      </c>
      <c r="D111" s="13">
        <f t="shared" si="3"/>
        <v>2.6093630084420567E-2</v>
      </c>
    </row>
    <row r="112" spans="1:4" x14ac:dyDescent="0.35">
      <c r="A112" s="11">
        <v>36800</v>
      </c>
      <c r="B112" s="15">
        <f>VLOOKUP(A112,Database!A:Q,MATCH($A$1,Database!$A$1:$Q$1,),)</f>
        <v>66208</v>
      </c>
      <c r="C112" s="12">
        <f t="shared" si="2"/>
        <v>-9.6035901271503358E-3</v>
      </c>
      <c r="D112" s="13">
        <f t="shared" si="3"/>
        <v>2.6178335064089647E-2</v>
      </c>
    </row>
    <row r="113" spans="1:4" x14ac:dyDescent="0.35">
      <c r="A113" s="10">
        <v>36831</v>
      </c>
      <c r="B113" s="15">
        <f>VLOOKUP(A113,Database!A:Q,MATCH($A$1,Database!$A$1:$Q$1,),)</f>
        <v>64645</v>
      </c>
      <c r="C113" s="12">
        <f t="shared" si="2"/>
        <v>-2.3607419043015949E-2</v>
      </c>
      <c r="D113" s="13">
        <f t="shared" si="3"/>
        <v>-2.4506179359881693E-2</v>
      </c>
    </row>
    <row r="114" spans="1:4" x14ac:dyDescent="0.35">
      <c r="A114" s="11">
        <v>36861</v>
      </c>
      <c r="B114" s="15">
        <f>VLOOKUP(A114,Database!A:Q,MATCH($A$1,Database!$A$1:$Q$1,),)</f>
        <v>63524</v>
      </c>
      <c r="C114" s="12">
        <f t="shared" si="2"/>
        <v>-1.7340861628896281E-2</v>
      </c>
      <c r="D114" s="13">
        <f t="shared" si="3"/>
        <v>-3.618625680863008E-2</v>
      </c>
    </row>
    <row r="115" spans="1:4" x14ac:dyDescent="0.35">
      <c r="A115" s="10">
        <v>36892</v>
      </c>
      <c r="B115" s="15">
        <f>VLOOKUP(A115,Database!A:Q,MATCH($A$1,Database!$A$1:$Q$1,),)</f>
        <v>65926</v>
      </c>
      <c r="C115" s="12">
        <f t="shared" si="2"/>
        <v>3.7812480322397833E-2</v>
      </c>
      <c r="D115" s="13">
        <f t="shared" si="3"/>
        <v>-2.5901682944487952E-2</v>
      </c>
    </row>
    <row r="116" spans="1:4" x14ac:dyDescent="0.35">
      <c r="A116" s="11">
        <v>36923</v>
      </c>
      <c r="B116" s="15">
        <f>VLOOKUP(A116,Database!A:Q,MATCH($A$1,Database!$A$1:$Q$1,),)</f>
        <v>66188</v>
      </c>
      <c r="C116" s="12">
        <f t="shared" si="2"/>
        <v>3.974152838030519E-3</v>
      </c>
      <c r="D116" s="13">
        <f t="shared" si="3"/>
        <v>-4.193384960555837E-2</v>
      </c>
    </row>
    <row r="117" spans="1:4" x14ac:dyDescent="0.35">
      <c r="A117" s="10">
        <v>36951</v>
      </c>
      <c r="B117" s="15">
        <f>VLOOKUP(A117,Database!A:Q,MATCH($A$1,Database!$A$1:$Q$1,),)</f>
        <v>65671</v>
      </c>
      <c r="C117" s="12">
        <f t="shared" si="2"/>
        <v>-7.8110835801051548E-3</v>
      </c>
      <c r="D117" s="13">
        <f t="shared" si="3"/>
        <v>-4.0360644718191514E-2</v>
      </c>
    </row>
    <row r="118" spans="1:4" x14ac:dyDescent="0.35">
      <c r="A118" s="11">
        <v>36982</v>
      </c>
      <c r="B118" s="15">
        <f>VLOOKUP(A118,Database!A:Q,MATCH($A$1,Database!$A$1:$Q$1,),)</f>
        <v>66933</v>
      </c>
      <c r="C118" s="12">
        <f t="shared" si="2"/>
        <v>1.9217005984376666E-2</v>
      </c>
      <c r="D118" s="13">
        <f t="shared" si="3"/>
        <v>1.7033367774873884E-2</v>
      </c>
    </row>
    <row r="119" spans="1:4" x14ac:dyDescent="0.35">
      <c r="A119" s="10">
        <v>37012</v>
      </c>
      <c r="B119" s="15">
        <f>VLOOKUP(A119,Database!A:Q,MATCH($A$1,Database!$A$1:$Q$1,),)</f>
        <v>67039</v>
      </c>
      <c r="C119" s="12">
        <f t="shared" si="2"/>
        <v>1.5836732254642702E-3</v>
      </c>
      <c r="D119" s="13">
        <f t="shared" si="3"/>
        <v>1.91240631793375E-2</v>
      </c>
    </row>
    <row r="120" spans="1:4" x14ac:dyDescent="0.35">
      <c r="A120" s="11">
        <v>37043</v>
      </c>
      <c r="B120" s="15">
        <f>VLOOKUP(A120,Database!A:Q,MATCH($A$1,Database!$A$1:$Q$1,),)</f>
        <v>66710</v>
      </c>
      <c r="C120" s="12">
        <f t="shared" si="2"/>
        <v>-4.9075911036859142E-3</v>
      </c>
      <c r="D120" s="13">
        <f t="shared" si="3"/>
        <v>1.0804645997779046E-3</v>
      </c>
    </row>
    <row r="121" spans="1:4" x14ac:dyDescent="0.35">
      <c r="A121" s="10">
        <v>37073</v>
      </c>
      <c r="B121" s="15">
        <f>VLOOKUP(A121,Database!A:Q,MATCH($A$1,Database!$A$1:$Q$1,),)</f>
        <v>66067</v>
      </c>
      <c r="C121" s="12">
        <f t="shared" si="2"/>
        <v>-9.6387348223654617E-3</v>
      </c>
      <c r="D121" s="13">
        <f t="shared" si="3"/>
        <v>1.3219845103903075E-2</v>
      </c>
    </row>
    <row r="122" spans="1:4" x14ac:dyDescent="0.35">
      <c r="A122" s="11">
        <v>37104</v>
      </c>
      <c r="B122" s="15">
        <f>VLOOKUP(A122,Database!A:Q,MATCH($A$1,Database!$A$1:$Q$1,),)</f>
        <v>66350</v>
      </c>
      <c r="C122" s="12">
        <f t="shared" si="2"/>
        <v>4.2835303555481558E-3</v>
      </c>
      <c r="D122" s="13">
        <f t="shared" si="3"/>
        <v>1.5908499333955994E-2</v>
      </c>
    </row>
    <row r="123" spans="1:4" x14ac:dyDescent="0.35">
      <c r="A123" s="10">
        <v>37135</v>
      </c>
      <c r="B123" s="15">
        <f>VLOOKUP(A123,Database!A:Q,MATCH($A$1,Database!$A$1:$Q$1,),)</f>
        <v>63929</v>
      </c>
      <c r="C123" s="12">
        <f t="shared" si="2"/>
        <v>-3.6488319517709117E-2</v>
      </c>
      <c r="D123" s="13">
        <f t="shared" si="3"/>
        <v>-4.3694839192221391E-2</v>
      </c>
    </row>
    <row r="124" spans="1:4" x14ac:dyDescent="0.35">
      <c r="A124" s="11">
        <v>37165</v>
      </c>
      <c r="B124" s="15">
        <f>VLOOKUP(A124,Database!A:Q,MATCH($A$1,Database!$A$1:$Q$1,),)</f>
        <v>80455</v>
      </c>
      <c r="C124" s="12">
        <f t="shared" si="2"/>
        <v>0.25850552957186879</v>
      </c>
      <c r="D124" s="13">
        <f t="shared" si="3"/>
        <v>0.21518547607539876</v>
      </c>
    </row>
    <row r="125" spans="1:4" x14ac:dyDescent="0.35">
      <c r="A125" s="10">
        <v>37196</v>
      </c>
      <c r="B125" s="15">
        <f>VLOOKUP(A125,Database!A:Q,MATCH($A$1,Database!$A$1:$Q$1,),)</f>
        <v>72413</v>
      </c>
      <c r="C125" s="12">
        <f t="shared" si="2"/>
        <v>-9.9956497420918528E-2</v>
      </c>
      <c r="D125" s="13">
        <f t="shared" si="3"/>
        <v>0.12016397246500116</v>
      </c>
    </row>
    <row r="126" spans="1:4" x14ac:dyDescent="0.35">
      <c r="A126" s="11">
        <v>37226</v>
      </c>
      <c r="B126" s="15">
        <f>VLOOKUP(A126,Database!A:Q,MATCH($A$1,Database!$A$1:$Q$1,),)</f>
        <v>68220</v>
      </c>
      <c r="C126" s="12">
        <f t="shared" si="2"/>
        <v>-5.7903967519644266E-2</v>
      </c>
      <c r="D126" s="13">
        <f t="shared" si="3"/>
        <v>7.3924815817643721E-2</v>
      </c>
    </row>
    <row r="127" spans="1:4" x14ac:dyDescent="0.35">
      <c r="A127" s="10">
        <v>37257</v>
      </c>
      <c r="B127" s="15">
        <f>VLOOKUP(A127,Database!A:Q,MATCH($A$1,Database!$A$1:$Q$1,),)</f>
        <v>67665</v>
      </c>
      <c r="C127" s="12">
        <f t="shared" si="2"/>
        <v>-8.1354441512752861E-3</v>
      </c>
      <c r="D127" s="13">
        <f t="shared" si="3"/>
        <v>2.6378060249370505E-2</v>
      </c>
    </row>
    <row r="128" spans="1:4" x14ac:dyDescent="0.35">
      <c r="A128" s="11">
        <v>37288</v>
      </c>
      <c r="B128" s="15">
        <f>VLOOKUP(A128,Database!A:Q,MATCH($A$1,Database!$A$1:$Q$1,),)</f>
        <v>68168</v>
      </c>
      <c r="C128" s="12">
        <f t="shared" si="2"/>
        <v>7.4336806325278944E-3</v>
      </c>
      <c r="D128" s="13">
        <f t="shared" si="3"/>
        <v>2.9914788179126125E-2</v>
      </c>
    </row>
    <row r="129" spans="1:4" x14ac:dyDescent="0.35">
      <c r="A129" s="10">
        <v>37316</v>
      </c>
      <c r="B129" s="15">
        <f>VLOOKUP(A129,Database!A:Q,MATCH($A$1,Database!$A$1:$Q$1,),)</f>
        <v>66570</v>
      </c>
      <c r="C129" s="12">
        <f t="shared" si="2"/>
        <v>-2.3442084262410515E-2</v>
      </c>
      <c r="D129" s="13">
        <f t="shared" si="3"/>
        <v>1.3689451965098749E-2</v>
      </c>
    </row>
    <row r="130" spans="1:4" x14ac:dyDescent="0.35">
      <c r="A130" s="11">
        <v>37347</v>
      </c>
      <c r="B130" s="15">
        <f>VLOOKUP(A130,Database!A:Q,MATCH($A$1,Database!$A$1:$Q$1,),)</f>
        <v>68251</v>
      </c>
      <c r="C130" s="12">
        <f t="shared" si="2"/>
        <v>2.5251614841520203E-2</v>
      </c>
      <c r="D130" s="13">
        <f t="shared" si="3"/>
        <v>1.9691333124168944E-2</v>
      </c>
    </row>
    <row r="131" spans="1:4" x14ac:dyDescent="0.35">
      <c r="A131" s="10">
        <v>37377</v>
      </c>
      <c r="B131" s="15">
        <f>VLOOKUP(A131,Database!A:Q,MATCH($A$1,Database!$A$1:$Q$1,),)</f>
        <v>65062</v>
      </c>
      <c r="C131" s="12">
        <f t="shared" si="2"/>
        <v>-4.6724590115895741E-2</v>
      </c>
      <c r="D131" s="13">
        <f t="shared" si="3"/>
        <v>-2.9490296692969764E-2</v>
      </c>
    </row>
    <row r="132" spans="1:4" x14ac:dyDescent="0.35">
      <c r="A132" s="11">
        <v>37408</v>
      </c>
      <c r="B132" s="15">
        <f>VLOOKUP(A132,Database!A:Q,MATCH($A$1,Database!$A$1:$Q$1,),)</f>
        <v>67354</v>
      </c>
      <c r="C132" s="12">
        <f t="shared" si="2"/>
        <v>3.5227936429866893E-2</v>
      </c>
      <c r="D132" s="13">
        <f t="shared" si="3"/>
        <v>9.6537250786988462E-3</v>
      </c>
    </row>
    <row r="133" spans="1:4" x14ac:dyDescent="0.35">
      <c r="A133" s="10">
        <v>37438</v>
      </c>
      <c r="B133" s="15">
        <f>VLOOKUP(A133,Database!A:Q,MATCH($A$1,Database!$A$1:$Q$1,),)</f>
        <v>69944</v>
      </c>
      <c r="C133" s="12">
        <f t="shared" si="2"/>
        <v>3.8453543961754315E-2</v>
      </c>
      <c r="D133" s="13">
        <f t="shared" si="3"/>
        <v>5.8682852256043111E-2</v>
      </c>
    </row>
    <row r="134" spans="1:4" x14ac:dyDescent="0.35">
      <c r="A134" s="11">
        <v>37469</v>
      </c>
      <c r="B134" s="15">
        <f>VLOOKUP(A134,Database!A:Q,MATCH($A$1,Database!$A$1:$Q$1,),)</f>
        <v>72204</v>
      </c>
      <c r="C134" s="12">
        <f t="shared" si="2"/>
        <v>3.2311563536543519E-2</v>
      </c>
      <c r="D134" s="13">
        <f t="shared" si="3"/>
        <v>8.8229088168801803E-2</v>
      </c>
    </row>
    <row r="135" spans="1:4" x14ac:dyDescent="0.35">
      <c r="A135" s="10">
        <v>37500</v>
      </c>
      <c r="B135" s="15">
        <f>VLOOKUP(A135,Database!A:Q,MATCH($A$1,Database!$A$1:$Q$1,),)</f>
        <v>68066</v>
      </c>
      <c r="C135" s="12">
        <f t="shared" si="2"/>
        <v>-5.7309844329954021E-2</v>
      </c>
      <c r="D135" s="13">
        <f t="shared" si="3"/>
        <v>6.4712415335763107E-2</v>
      </c>
    </row>
    <row r="136" spans="1:4" x14ac:dyDescent="0.35">
      <c r="A136" s="11">
        <v>37530</v>
      </c>
      <c r="B136" s="15">
        <f>VLOOKUP(A136,Database!A:Q,MATCH($A$1,Database!$A$1:$Q$1,),)</f>
        <v>67553</v>
      </c>
      <c r="C136" s="12">
        <f t="shared" ref="C136:C199" si="4">(B136-B135)/B135</f>
        <v>-7.5368025152058298E-3</v>
      </c>
      <c r="D136" s="13">
        <f t="shared" si="3"/>
        <v>-0.16036293580262259</v>
      </c>
    </row>
    <row r="137" spans="1:4" x14ac:dyDescent="0.35">
      <c r="A137" s="10">
        <v>37561</v>
      </c>
      <c r="B137" s="15">
        <f>VLOOKUP(A137,Database!A:Q,MATCH($A$1,Database!$A$1:$Q$1,),)</f>
        <v>67931</v>
      </c>
      <c r="C137" s="12">
        <f t="shared" si="4"/>
        <v>5.595606412742587E-3</v>
      </c>
      <c r="D137" s="13">
        <f t="shared" si="3"/>
        <v>-6.1894963611506218E-2</v>
      </c>
    </row>
    <row r="138" spans="1:4" x14ac:dyDescent="0.35">
      <c r="A138" s="11">
        <v>37591</v>
      </c>
      <c r="B138" s="15">
        <f>VLOOKUP(A138,Database!A:Q,MATCH($A$1,Database!$A$1:$Q$1,),)</f>
        <v>69794</v>
      </c>
      <c r="C138" s="12">
        <f t="shared" si="4"/>
        <v>2.7424887017709145E-2</v>
      </c>
      <c r="D138" s="13">
        <f t="shared" si="3"/>
        <v>2.3072412782175315E-2</v>
      </c>
    </row>
    <row r="139" spans="1:4" x14ac:dyDescent="0.35">
      <c r="A139" s="10">
        <v>37622</v>
      </c>
      <c r="B139" s="15">
        <f>VLOOKUP(A139,Database!A:Q,MATCH($A$1,Database!$A$1:$Q$1,),)</f>
        <v>69673</v>
      </c>
      <c r="C139" s="12">
        <f t="shared" si="4"/>
        <v>-1.7336733816660458E-3</v>
      </c>
      <c r="D139" s="13">
        <f t="shared" si="3"/>
        <v>2.9675607773590483E-2</v>
      </c>
    </row>
    <row r="140" spans="1:4" x14ac:dyDescent="0.35">
      <c r="A140" s="11">
        <v>37653</v>
      </c>
      <c r="B140" s="15">
        <f>VLOOKUP(A140,Database!A:Q,MATCH($A$1,Database!$A$1:$Q$1,),)</f>
        <v>66535</v>
      </c>
      <c r="C140" s="12">
        <f t="shared" si="4"/>
        <v>-4.5038967749343364E-2</v>
      </c>
      <c r="D140" s="13">
        <f t="shared" si="3"/>
        <v>-2.3955521652388217E-2</v>
      </c>
    </row>
    <row r="141" spans="1:4" x14ac:dyDescent="0.35">
      <c r="A141" s="10">
        <v>37681</v>
      </c>
      <c r="B141" s="15">
        <f>VLOOKUP(A141,Database!A:Q,MATCH($A$1,Database!$A$1:$Q$1,),)</f>
        <v>68628</v>
      </c>
      <c r="C141" s="12">
        <f t="shared" si="4"/>
        <v>3.1457127827459234E-2</v>
      </c>
      <c r="D141" s="13">
        <f t="shared" si="3"/>
        <v>3.0914826498422712E-2</v>
      </c>
    </row>
    <row r="142" spans="1:4" x14ac:dyDescent="0.35">
      <c r="A142" s="11">
        <v>37712</v>
      </c>
      <c r="B142" s="15">
        <f>VLOOKUP(A142,Database!A:Q,MATCH($A$1,Database!$A$1:$Q$1,),)</f>
        <v>69580</v>
      </c>
      <c r="C142" s="12">
        <f t="shared" si="4"/>
        <v>1.38718890248878E-2</v>
      </c>
      <c r="D142" s="13">
        <f t="shared" si="3"/>
        <v>1.9472242164949964E-2</v>
      </c>
    </row>
    <row r="143" spans="1:4" x14ac:dyDescent="0.35">
      <c r="A143" s="10">
        <v>37742</v>
      </c>
      <c r="B143" s="15">
        <f>VLOOKUP(A143,Database!A:Q,MATCH($A$1,Database!$A$1:$Q$1,),)</f>
        <v>69660</v>
      </c>
      <c r="C143" s="12">
        <f t="shared" si="4"/>
        <v>1.1497556769186547E-3</v>
      </c>
      <c r="D143" s="13">
        <f t="shared" si="3"/>
        <v>7.0671052227106457E-2</v>
      </c>
    </row>
    <row r="144" spans="1:4" x14ac:dyDescent="0.35">
      <c r="A144" s="11">
        <v>37773</v>
      </c>
      <c r="B144" s="15">
        <f>VLOOKUP(A144,Database!A:Q,MATCH($A$1,Database!$A$1:$Q$1,),)</f>
        <v>70325</v>
      </c>
      <c r="C144" s="12">
        <f t="shared" si="4"/>
        <v>9.5463680734998568E-3</v>
      </c>
      <c r="D144" s="13">
        <f t="shared" si="3"/>
        <v>4.4110223594738249E-2</v>
      </c>
    </row>
    <row r="145" spans="1:4" x14ac:dyDescent="0.35">
      <c r="A145" s="10">
        <v>37803</v>
      </c>
      <c r="B145" s="15">
        <f>VLOOKUP(A145,Database!A:Q,MATCH($A$1,Database!$A$1:$Q$1,),)</f>
        <v>71049</v>
      </c>
      <c r="C145" s="12">
        <f t="shared" si="4"/>
        <v>1.0295058656238891E-2</v>
      </c>
      <c r="D145" s="13">
        <f t="shared" si="3"/>
        <v>1.5798352968088757E-2</v>
      </c>
    </row>
    <row r="146" spans="1:4" x14ac:dyDescent="0.35">
      <c r="A146" s="11">
        <v>37834</v>
      </c>
      <c r="B146" s="15">
        <f>VLOOKUP(A146,Database!A:Q,MATCH($A$1,Database!$A$1:$Q$1,),)</f>
        <v>72919</v>
      </c>
      <c r="C146" s="12">
        <f t="shared" si="4"/>
        <v>2.631986375599938E-2</v>
      </c>
      <c r="D146" s="13">
        <f t="shared" si="3"/>
        <v>9.9024984765386966E-3</v>
      </c>
    </row>
    <row r="147" spans="1:4" x14ac:dyDescent="0.35">
      <c r="A147" s="10">
        <v>37865</v>
      </c>
      <c r="B147" s="15">
        <f>VLOOKUP(A147,Database!A:Q,MATCH($A$1,Database!$A$1:$Q$1,),)</f>
        <v>71184</v>
      </c>
      <c r="C147" s="12">
        <f t="shared" si="4"/>
        <v>-2.3793524321507425E-2</v>
      </c>
      <c r="D147" s="13">
        <f t="shared" ref="D147:D210" si="5">(B147-B135)/B135</f>
        <v>4.5808480004701321E-2</v>
      </c>
    </row>
    <row r="148" spans="1:4" x14ac:dyDescent="0.35">
      <c r="A148" s="11">
        <v>37895</v>
      </c>
      <c r="B148" s="15">
        <f>VLOOKUP(A148,Database!A:Q,MATCH($A$1,Database!$A$1:$Q$1,),)</f>
        <v>69817</v>
      </c>
      <c r="C148" s="12">
        <f t="shared" si="4"/>
        <v>-1.9203753652506182E-2</v>
      </c>
      <c r="D148" s="13">
        <f t="shared" si="5"/>
        <v>3.3514425710183114E-2</v>
      </c>
    </row>
    <row r="149" spans="1:4" x14ac:dyDescent="0.35">
      <c r="A149" s="10">
        <v>37926</v>
      </c>
      <c r="B149" s="15">
        <f>VLOOKUP(A149,Database!A:Q,MATCH($A$1,Database!$A$1:$Q$1,),)</f>
        <v>71738</v>
      </c>
      <c r="C149" s="12">
        <f t="shared" si="4"/>
        <v>2.7514788661787245E-2</v>
      </c>
      <c r="D149" s="13">
        <f t="shared" si="5"/>
        <v>5.6042160427492604E-2</v>
      </c>
    </row>
    <row r="150" spans="1:4" x14ac:dyDescent="0.35">
      <c r="A150" s="11">
        <v>37956</v>
      </c>
      <c r="B150" s="15">
        <f>VLOOKUP(A150,Database!A:Q,MATCH($A$1,Database!$A$1:$Q$1,),)</f>
        <v>70103</v>
      </c>
      <c r="C150" s="12">
        <f t="shared" si="4"/>
        <v>-2.2791268226044773E-2</v>
      </c>
      <c r="D150" s="13">
        <f t="shared" si="5"/>
        <v>4.4273146688827121E-3</v>
      </c>
    </row>
    <row r="151" spans="1:4" x14ac:dyDescent="0.35">
      <c r="A151" s="10">
        <v>37987</v>
      </c>
      <c r="B151" s="15">
        <f>VLOOKUP(A151,Database!A:Q,MATCH($A$1,Database!$A$1:$Q$1,),)</f>
        <v>69270</v>
      </c>
      <c r="C151" s="12">
        <f t="shared" si="4"/>
        <v>-1.188251572685905E-2</v>
      </c>
      <c r="D151" s="13">
        <f t="shared" si="5"/>
        <v>-5.7841631622005656E-3</v>
      </c>
    </row>
    <row r="152" spans="1:4" x14ac:dyDescent="0.35">
      <c r="A152" s="11">
        <v>38018</v>
      </c>
      <c r="B152" s="15">
        <f>VLOOKUP(A152,Database!A:Q,MATCH($A$1,Database!$A$1:$Q$1,),)</f>
        <v>71093</v>
      </c>
      <c r="C152" s="12">
        <f t="shared" si="4"/>
        <v>2.6317309080409988E-2</v>
      </c>
      <c r="D152" s="13">
        <f t="shared" si="5"/>
        <v>6.8505297963477874E-2</v>
      </c>
    </row>
    <row r="153" spans="1:4" x14ac:dyDescent="0.35">
      <c r="A153" s="10">
        <v>38047</v>
      </c>
      <c r="B153" s="15">
        <f>VLOOKUP(A153,Database!A:Q,MATCH($A$1,Database!$A$1:$Q$1,),)</f>
        <v>72137</v>
      </c>
      <c r="C153" s="12">
        <f t="shared" si="4"/>
        <v>1.468499008341187E-2</v>
      </c>
      <c r="D153" s="13">
        <f t="shared" si="5"/>
        <v>5.1130733811272366E-2</v>
      </c>
    </row>
    <row r="154" spans="1:4" x14ac:dyDescent="0.35">
      <c r="A154" s="11">
        <v>38078</v>
      </c>
      <c r="B154" s="15">
        <f>VLOOKUP(A154,Database!A:Q,MATCH($A$1,Database!$A$1:$Q$1,),)</f>
        <v>69960</v>
      </c>
      <c r="C154" s="12">
        <f t="shared" si="4"/>
        <v>-3.0178687774651013E-2</v>
      </c>
      <c r="D154" s="13">
        <f t="shared" si="5"/>
        <v>5.4613394653636104E-3</v>
      </c>
    </row>
    <row r="155" spans="1:4" x14ac:dyDescent="0.35">
      <c r="A155" s="10">
        <v>38108</v>
      </c>
      <c r="B155" s="15">
        <f>VLOOKUP(A155,Database!A:Q,MATCH($A$1,Database!$A$1:$Q$1,),)</f>
        <v>72821</v>
      </c>
      <c r="C155" s="12">
        <f t="shared" si="4"/>
        <v>4.0894797026872501E-2</v>
      </c>
      <c r="D155" s="13">
        <f t="shared" si="5"/>
        <v>4.5377548090726388E-2</v>
      </c>
    </row>
    <row r="156" spans="1:4" x14ac:dyDescent="0.35">
      <c r="A156" s="11">
        <v>38139</v>
      </c>
      <c r="B156" s="15">
        <f>VLOOKUP(A156,Database!A:Q,MATCH($A$1,Database!$A$1:$Q$1,),)</f>
        <v>68991</v>
      </c>
      <c r="C156" s="12">
        <f t="shared" si="4"/>
        <v>-5.2594718556460363E-2</v>
      </c>
      <c r="D156" s="13">
        <f t="shared" si="5"/>
        <v>-1.8969072164948454E-2</v>
      </c>
    </row>
    <row r="157" spans="1:4" x14ac:dyDescent="0.35">
      <c r="A157" s="10">
        <v>38169</v>
      </c>
      <c r="B157" s="15">
        <f>VLOOKUP(A157,Database!A:Q,MATCH($A$1,Database!$A$1:$Q$1,),)</f>
        <v>71238</v>
      </c>
      <c r="C157" s="12">
        <f t="shared" si="4"/>
        <v>3.2569465582467282E-2</v>
      </c>
      <c r="D157" s="13">
        <f t="shared" si="5"/>
        <v>2.6601359625047501E-3</v>
      </c>
    </row>
    <row r="158" spans="1:4" x14ac:dyDescent="0.35">
      <c r="A158" s="11">
        <v>38200</v>
      </c>
      <c r="B158" s="15">
        <f>VLOOKUP(A158,Database!A:Q,MATCH($A$1,Database!$A$1:$Q$1,),)</f>
        <v>71365</v>
      </c>
      <c r="C158" s="12">
        <f t="shared" si="4"/>
        <v>1.7827563940593504E-3</v>
      </c>
      <c r="D158" s="13">
        <f t="shared" si="5"/>
        <v>-2.1311318037822789E-2</v>
      </c>
    </row>
    <row r="159" spans="1:4" x14ac:dyDescent="0.35">
      <c r="A159" s="10">
        <v>38231</v>
      </c>
      <c r="B159" s="15">
        <f>VLOOKUP(A159,Database!A:Q,MATCH($A$1,Database!$A$1:$Q$1,),)</f>
        <v>74729</v>
      </c>
      <c r="C159" s="12">
        <f t="shared" si="4"/>
        <v>4.7137952777972399E-2</v>
      </c>
      <c r="D159" s="13">
        <f t="shared" si="5"/>
        <v>4.9800516970105645E-2</v>
      </c>
    </row>
    <row r="160" spans="1:4" x14ac:dyDescent="0.35">
      <c r="A160" s="11">
        <v>38261</v>
      </c>
      <c r="B160" s="15">
        <f>VLOOKUP(A160,Database!A:Q,MATCH($A$1,Database!$A$1:$Q$1,),)</f>
        <v>73858</v>
      </c>
      <c r="C160" s="12">
        <f t="shared" si="4"/>
        <v>-1.1655448353383559E-2</v>
      </c>
      <c r="D160" s="13">
        <f t="shared" si="5"/>
        <v>5.7879885987653437E-2</v>
      </c>
    </row>
    <row r="161" spans="1:4" x14ac:dyDescent="0.35">
      <c r="A161" s="10">
        <v>38292</v>
      </c>
      <c r="B161" s="15">
        <f>VLOOKUP(A161,Database!A:Q,MATCH($A$1,Database!$A$1:$Q$1,),)</f>
        <v>73407</v>
      </c>
      <c r="C161" s="12">
        <f t="shared" si="4"/>
        <v>-6.1063121124319639E-3</v>
      </c>
      <c r="D161" s="13">
        <f t="shared" si="5"/>
        <v>2.3265215088237753E-2</v>
      </c>
    </row>
    <row r="162" spans="1:4" x14ac:dyDescent="0.35">
      <c r="A162" s="11">
        <v>38322</v>
      </c>
      <c r="B162" s="15">
        <f>VLOOKUP(A162,Database!A:Q,MATCH($A$1,Database!$A$1:$Q$1,),)</f>
        <v>75387</v>
      </c>
      <c r="C162" s="12">
        <f t="shared" si="4"/>
        <v>2.6972904491397279E-2</v>
      </c>
      <c r="D162" s="13">
        <f t="shared" si="5"/>
        <v>7.5374805643125112E-2</v>
      </c>
    </row>
    <row r="163" spans="1:4" x14ac:dyDescent="0.35">
      <c r="A163" s="10">
        <v>38353</v>
      </c>
      <c r="B163" s="15">
        <f>VLOOKUP(A163,Database!A:Q,MATCH($A$1,Database!$A$1:$Q$1,),)</f>
        <v>72083</v>
      </c>
      <c r="C163" s="12">
        <f t="shared" si="4"/>
        <v>-4.3827185058431826E-2</v>
      </c>
      <c r="D163" s="13">
        <f t="shared" si="5"/>
        <v>4.060921033636495E-2</v>
      </c>
    </row>
    <row r="164" spans="1:4" x14ac:dyDescent="0.35">
      <c r="A164" s="11">
        <v>38384</v>
      </c>
      <c r="B164" s="15">
        <f>VLOOKUP(A164,Database!A:Q,MATCH($A$1,Database!$A$1:$Q$1,),)</f>
        <v>73773</v>
      </c>
      <c r="C164" s="12">
        <f t="shared" si="4"/>
        <v>2.3445195122289583E-2</v>
      </c>
      <c r="D164" s="13">
        <f t="shared" si="5"/>
        <v>3.7697100980405948E-2</v>
      </c>
    </row>
    <row r="165" spans="1:4" x14ac:dyDescent="0.35">
      <c r="A165" s="10">
        <v>38412</v>
      </c>
      <c r="B165" s="15">
        <f>VLOOKUP(A165,Database!A:Q,MATCH($A$1,Database!$A$1:$Q$1,),)</f>
        <v>74147</v>
      </c>
      <c r="C165" s="12">
        <f t="shared" si="4"/>
        <v>5.0696054111937974E-3</v>
      </c>
      <c r="D165" s="13">
        <f t="shared" si="5"/>
        <v>2.7863648335805482E-2</v>
      </c>
    </row>
    <row r="166" spans="1:4" x14ac:dyDescent="0.35">
      <c r="A166" s="11">
        <v>38443</v>
      </c>
      <c r="B166" s="15">
        <f>VLOOKUP(A166,Database!A:Q,MATCH($A$1,Database!$A$1:$Q$1,),)</f>
        <v>73649</v>
      </c>
      <c r="C166" s="12">
        <f t="shared" si="4"/>
        <v>-6.7163877162933093E-3</v>
      </c>
      <c r="D166" s="13">
        <f t="shared" si="5"/>
        <v>5.2730131503716408E-2</v>
      </c>
    </row>
    <row r="167" spans="1:4" x14ac:dyDescent="0.35">
      <c r="A167" s="10">
        <v>38473</v>
      </c>
      <c r="B167" s="15">
        <f>VLOOKUP(A167,Database!A:Q,MATCH($A$1,Database!$A$1:$Q$1,),)</f>
        <v>73225</v>
      </c>
      <c r="C167" s="12">
        <f t="shared" si="4"/>
        <v>-5.7570367554209837E-3</v>
      </c>
      <c r="D167" s="13">
        <f t="shared" si="5"/>
        <v>5.5478502080443829E-3</v>
      </c>
    </row>
    <row r="168" spans="1:4" x14ac:dyDescent="0.35">
      <c r="A168" s="11">
        <v>38504</v>
      </c>
      <c r="B168" s="15">
        <f>VLOOKUP(A168,Database!A:Q,MATCH($A$1,Database!$A$1:$Q$1,),)</f>
        <v>79639</v>
      </c>
      <c r="C168" s="12">
        <f t="shared" si="4"/>
        <v>8.7593035165585517E-2</v>
      </c>
      <c r="D168" s="13">
        <f t="shared" si="5"/>
        <v>0.15433897174993841</v>
      </c>
    </row>
    <row r="169" spans="1:4" x14ac:dyDescent="0.35">
      <c r="A169" s="10">
        <v>38534</v>
      </c>
      <c r="B169" s="15">
        <f>VLOOKUP(A169,Database!A:Q,MATCH($A$1,Database!$A$1:$Q$1,),)</f>
        <v>81605</v>
      </c>
      <c r="C169" s="12">
        <f t="shared" si="4"/>
        <v>2.4686397368123659E-2</v>
      </c>
      <c r="D169" s="13">
        <f t="shared" si="5"/>
        <v>0.14552626407254554</v>
      </c>
    </row>
    <row r="170" spans="1:4" x14ac:dyDescent="0.35">
      <c r="A170" s="11">
        <v>38565</v>
      </c>
      <c r="B170" s="15">
        <f>VLOOKUP(A170,Database!A:Q,MATCH($A$1,Database!$A$1:$Q$1,),)</f>
        <v>73787</v>
      </c>
      <c r="C170" s="12">
        <f t="shared" si="4"/>
        <v>-9.5802953250413575E-2</v>
      </c>
      <c r="D170" s="13">
        <f t="shared" si="5"/>
        <v>3.3938205002452183E-2</v>
      </c>
    </row>
    <row r="171" spans="1:4" x14ac:dyDescent="0.35">
      <c r="A171" s="10">
        <v>38596</v>
      </c>
      <c r="B171" s="15">
        <f>VLOOKUP(A171,Database!A:Q,MATCH($A$1,Database!$A$1:$Q$1,),)</f>
        <v>70627</v>
      </c>
      <c r="C171" s="12">
        <f t="shared" si="4"/>
        <v>-4.2825972054697979E-2</v>
      </c>
      <c r="D171" s="13">
        <f t="shared" si="5"/>
        <v>-5.4891675253248402E-2</v>
      </c>
    </row>
    <row r="172" spans="1:4" x14ac:dyDescent="0.35">
      <c r="A172" s="11">
        <v>38626</v>
      </c>
      <c r="B172" s="15">
        <f>VLOOKUP(A172,Database!A:Q,MATCH($A$1,Database!$A$1:$Q$1,),)</f>
        <v>67853</v>
      </c>
      <c r="C172" s="12">
        <f t="shared" si="4"/>
        <v>-3.9276763843855748E-2</v>
      </c>
      <c r="D172" s="13">
        <f t="shared" si="5"/>
        <v>-8.1304665709875712E-2</v>
      </c>
    </row>
    <row r="173" spans="1:4" x14ac:dyDescent="0.35">
      <c r="A173" s="10">
        <v>38657</v>
      </c>
      <c r="B173" s="15">
        <f>VLOOKUP(A173,Database!A:Q,MATCH($A$1,Database!$A$1:$Q$1,),)</f>
        <v>73211</v>
      </c>
      <c r="C173" s="12">
        <f t="shared" si="4"/>
        <v>7.8964821010124822E-2</v>
      </c>
      <c r="D173" s="13">
        <f t="shared" si="5"/>
        <v>-2.6700450910676094E-3</v>
      </c>
    </row>
    <row r="174" spans="1:4" x14ac:dyDescent="0.35">
      <c r="A174" s="11">
        <v>38687</v>
      </c>
      <c r="B174" s="15">
        <f>VLOOKUP(A174,Database!A:Q,MATCH($A$1,Database!$A$1:$Q$1,),)</f>
        <v>73332</v>
      </c>
      <c r="C174" s="12">
        <f t="shared" si="4"/>
        <v>1.6527570993429949E-3</v>
      </c>
      <c r="D174" s="13">
        <f t="shared" si="5"/>
        <v>-2.7259341796330931E-2</v>
      </c>
    </row>
    <row r="175" spans="1:4" x14ac:dyDescent="0.35">
      <c r="A175" s="10">
        <v>38718</v>
      </c>
      <c r="B175" s="15">
        <f>VLOOKUP(A175,Database!A:Q,MATCH($A$1,Database!$A$1:$Q$1,),)</f>
        <v>76757</v>
      </c>
      <c r="C175" s="12">
        <f t="shared" si="4"/>
        <v>4.6705394643538976E-2</v>
      </c>
      <c r="D175" s="13">
        <f t="shared" si="5"/>
        <v>6.4841918344131069E-2</v>
      </c>
    </row>
    <row r="176" spans="1:4" x14ac:dyDescent="0.35">
      <c r="A176" s="11">
        <v>38749</v>
      </c>
      <c r="B176" s="15">
        <f>VLOOKUP(A176,Database!A:Q,MATCH($A$1,Database!$A$1:$Q$1,),)</f>
        <v>74108</v>
      </c>
      <c r="C176" s="12">
        <f t="shared" si="4"/>
        <v>-3.4511510350847478E-2</v>
      </c>
      <c r="D176" s="13">
        <f t="shared" si="5"/>
        <v>4.5409567185826791E-3</v>
      </c>
    </row>
    <row r="177" spans="1:4" x14ac:dyDescent="0.35">
      <c r="A177" s="10">
        <v>38777</v>
      </c>
      <c r="B177" s="15">
        <f>VLOOKUP(A177,Database!A:Q,MATCH($A$1,Database!$A$1:$Q$1,),)</f>
        <v>74609</v>
      </c>
      <c r="C177" s="12">
        <f t="shared" si="4"/>
        <v>6.7604037350893287E-3</v>
      </c>
      <c r="D177" s="13">
        <f t="shared" si="5"/>
        <v>6.2308657127058409E-3</v>
      </c>
    </row>
    <row r="178" spans="1:4" x14ac:dyDescent="0.35">
      <c r="A178" s="11">
        <v>38808</v>
      </c>
      <c r="B178" s="15">
        <f>VLOOKUP(A178,Database!A:Q,MATCH($A$1,Database!$A$1:$Q$1,),)</f>
        <v>74898</v>
      </c>
      <c r="C178" s="12">
        <f t="shared" si="4"/>
        <v>3.8735273224409922E-3</v>
      </c>
      <c r="D178" s="13">
        <f t="shared" si="5"/>
        <v>1.6958818178115113E-2</v>
      </c>
    </row>
    <row r="179" spans="1:4" x14ac:dyDescent="0.35">
      <c r="A179" s="10">
        <v>38838</v>
      </c>
      <c r="B179" s="15">
        <f>VLOOKUP(A179,Database!A:Q,MATCH($A$1,Database!$A$1:$Q$1,),)</f>
        <v>74081</v>
      </c>
      <c r="C179" s="12">
        <f t="shared" si="4"/>
        <v>-1.0908168442415017E-2</v>
      </c>
      <c r="D179" s="13">
        <f t="shared" si="5"/>
        <v>1.1689996585865482E-2</v>
      </c>
    </row>
    <row r="180" spans="1:4" x14ac:dyDescent="0.35">
      <c r="A180" s="11">
        <v>38869</v>
      </c>
      <c r="B180" s="15">
        <f>VLOOKUP(A180,Database!A:Q,MATCH($A$1,Database!$A$1:$Q$1,),)</f>
        <v>75369</v>
      </c>
      <c r="C180" s="12">
        <f t="shared" si="4"/>
        <v>1.7386374373996032E-2</v>
      </c>
      <c r="D180" s="13">
        <f t="shared" si="5"/>
        <v>-5.3616946470950159E-2</v>
      </c>
    </row>
    <row r="181" spans="1:4" x14ac:dyDescent="0.35">
      <c r="A181" s="10">
        <v>38899</v>
      </c>
      <c r="B181" s="15">
        <f>VLOOKUP(A181,Database!A:Q,MATCH($A$1,Database!$A$1:$Q$1,),)</f>
        <v>75964</v>
      </c>
      <c r="C181" s="12">
        <f t="shared" si="4"/>
        <v>7.8944924305749051E-3</v>
      </c>
      <c r="D181" s="13">
        <f t="shared" si="5"/>
        <v>-6.912566631946572E-2</v>
      </c>
    </row>
    <row r="182" spans="1:4" x14ac:dyDescent="0.35">
      <c r="A182" s="11">
        <v>38930</v>
      </c>
      <c r="B182" s="15">
        <f>VLOOKUP(A182,Database!A:Q,MATCH($A$1,Database!$A$1:$Q$1,),)</f>
        <v>75187</v>
      </c>
      <c r="C182" s="12">
        <f t="shared" si="4"/>
        <v>-1.022852930335422E-2</v>
      </c>
      <c r="D182" s="13">
        <f t="shared" si="5"/>
        <v>1.8973531922967461E-2</v>
      </c>
    </row>
    <row r="183" spans="1:4" x14ac:dyDescent="0.35">
      <c r="A183" s="10">
        <v>38961</v>
      </c>
      <c r="B183" s="15">
        <f>VLOOKUP(A183,Database!A:Q,MATCH($A$1,Database!$A$1:$Q$1,),)</f>
        <v>74579</v>
      </c>
      <c r="C183" s="12">
        <f t="shared" si="4"/>
        <v>-8.0865043159056745E-3</v>
      </c>
      <c r="D183" s="13">
        <f t="shared" si="5"/>
        <v>5.5955937530972576E-2</v>
      </c>
    </row>
    <row r="184" spans="1:4" x14ac:dyDescent="0.35">
      <c r="A184" s="11">
        <v>38991</v>
      </c>
      <c r="B184" s="15">
        <f>VLOOKUP(A184,Database!A:Q,MATCH($A$1,Database!$A$1:$Q$1,),)</f>
        <v>75447</v>
      </c>
      <c r="C184" s="12">
        <f t="shared" si="4"/>
        <v>1.16386650397565E-2</v>
      </c>
      <c r="D184" s="13">
        <f t="shared" si="5"/>
        <v>0.11191841186093467</v>
      </c>
    </row>
    <row r="185" spans="1:4" x14ac:dyDescent="0.35">
      <c r="A185" s="10">
        <v>39022</v>
      </c>
      <c r="B185" s="15">
        <f>VLOOKUP(A185,Database!A:Q,MATCH($A$1,Database!$A$1:$Q$1,),)</f>
        <v>76064</v>
      </c>
      <c r="C185" s="12">
        <f t="shared" si="4"/>
        <v>8.1779262263575753E-3</v>
      </c>
      <c r="D185" s="13">
        <f t="shared" si="5"/>
        <v>3.8969553755583176E-2</v>
      </c>
    </row>
    <row r="186" spans="1:4" x14ac:dyDescent="0.35">
      <c r="A186" s="11">
        <v>39052</v>
      </c>
      <c r="B186" s="15">
        <f>VLOOKUP(A186,Database!A:Q,MATCH($A$1,Database!$A$1:$Q$1,),)</f>
        <v>75438</v>
      </c>
      <c r="C186" s="12">
        <f t="shared" si="4"/>
        <v>-8.2299116533445515E-3</v>
      </c>
      <c r="D186" s="13">
        <f t="shared" si="5"/>
        <v>2.8718703976435934E-2</v>
      </c>
    </row>
    <row r="187" spans="1:4" x14ac:dyDescent="0.35">
      <c r="A187" s="10">
        <v>39083</v>
      </c>
      <c r="B187" s="15">
        <f>VLOOKUP(A187,Database!A:Q,MATCH($A$1,Database!$A$1:$Q$1,),)</f>
        <v>75399</v>
      </c>
      <c r="C187" s="12">
        <f t="shared" si="4"/>
        <v>-5.169808319414619E-4</v>
      </c>
      <c r="D187" s="13">
        <f t="shared" si="5"/>
        <v>-1.7692197454303841E-2</v>
      </c>
    </row>
    <row r="188" spans="1:4" x14ac:dyDescent="0.35">
      <c r="A188" s="11">
        <v>39114</v>
      </c>
      <c r="B188" s="15">
        <f>VLOOKUP(A188,Database!A:Q,MATCH($A$1,Database!$A$1:$Q$1,),)</f>
        <v>75841</v>
      </c>
      <c r="C188" s="12">
        <f t="shared" si="4"/>
        <v>5.8621467128211245E-3</v>
      </c>
      <c r="D188" s="13">
        <f t="shared" si="5"/>
        <v>2.338478976628704E-2</v>
      </c>
    </row>
    <row r="189" spans="1:4" x14ac:dyDescent="0.35">
      <c r="A189" s="10">
        <v>39142</v>
      </c>
      <c r="B189" s="15">
        <f>VLOOKUP(A189,Database!A:Q,MATCH($A$1,Database!$A$1:$Q$1,),)</f>
        <v>75472</v>
      </c>
      <c r="C189" s="12">
        <f t="shared" si="4"/>
        <v>-4.8654421750768057E-3</v>
      </c>
      <c r="D189" s="13">
        <f t="shared" si="5"/>
        <v>1.15669691324103E-2</v>
      </c>
    </row>
    <row r="190" spans="1:4" x14ac:dyDescent="0.35">
      <c r="A190" s="11">
        <v>39173</v>
      </c>
      <c r="B190" s="15">
        <f>VLOOKUP(A190,Database!A:Q,MATCH($A$1,Database!$A$1:$Q$1,),)</f>
        <v>76205</v>
      </c>
      <c r="C190" s="12">
        <f t="shared" si="4"/>
        <v>9.7122111511553956E-3</v>
      </c>
      <c r="D190" s="13">
        <f t="shared" si="5"/>
        <v>1.745039920959171E-2</v>
      </c>
    </row>
    <row r="191" spans="1:4" x14ac:dyDescent="0.35">
      <c r="A191" s="10">
        <v>39203</v>
      </c>
      <c r="B191" s="15">
        <f>VLOOKUP(A191,Database!A:Q,MATCH($A$1,Database!$A$1:$Q$1,),)</f>
        <v>77186</v>
      </c>
      <c r="C191" s="12">
        <f t="shared" si="4"/>
        <v>1.2873171051768257E-2</v>
      </c>
      <c r="D191" s="13">
        <f t="shared" si="5"/>
        <v>4.1913581080169002E-2</v>
      </c>
    </row>
    <row r="192" spans="1:4" x14ac:dyDescent="0.35">
      <c r="A192" s="11">
        <v>39234</v>
      </c>
      <c r="B192" s="15">
        <f>VLOOKUP(A192,Database!A:Q,MATCH($A$1,Database!$A$1:$Q$1,),)</f>
        <v>74794</v>
      </c>
      <c r="C192" s="12">
        <f t="shared" si="4"/>
        <v>-3.0990075920503717E-2</v>
      </c>
      <c r="D192" s="13">
        <f t="shared" si="5"/>
        <v>-7.6291313404715467E-3</v>
      </c>
    </row>
    <row r="193" spans="1:4" x14ac:dyDescent="0.35">
      <c r="A193" s="10">
        <v>39264</v>
      </c>
      <c r="B193" s="15">
        <f>VLOOKUP(A193,Database!A:Q,MATCH($A$1,Database!$A$1:$Q$1,),)</f>
        <v>74932</v>
      </c>
      <c r="C193" s="12">
        <f t="shared" si="4"/>
        <v>1.8450677861860578E-3</v>
      </c>
      <c r="D193" s="13">
        <f t="shared" si="5"/>
        <v>-1.3585382549628771E-2</v>
      </c>
    </row>
    <row r="194" spans="1:4" x14ac:dyDescent="0.35">
      <c r="A194" s="11">
        <v>39295</v>
      </c>
      <c r="B194" s="15">
        <f>VLOOKUP(A194,Database!A:Q,MATCH($A$1,Database!$A$1:$Q$1,),)</f>
        <v>76549</v>
      </c>
      <c r="C194" s="12">
        <f t="shared" si="4"/>
        <v>2.1579565472695243E-2</v>
      </c>
      <c r="D194" s="13">
        <f t="shared" si="5"/>
        <v>1.8114833681354491E-2</v>
      </c>
    </row>
    <row r="195" spans="1:4" x14ac:dyDescent="0.35">
      <c r="A195" s="10">
        <v>39326</v>
      </c>
      <c r="B195" s="15">
        <f>VLOOKUP(A195,Database!A:Q,MATCH($A$1,Database!$A$1:$Q$1,),)</f>
        <v>77176</v>
      </c>
      <c r="C195" s="12">
        <f t="shared" si="4"/>
        <v>8.1908320160942669E-3</v>
      </c>
      <c r="D195" s="13">
        <f t="shared" si="5"/>
        <v>3.4822134917335983E-2</v>
      </c>
    </row>
    <row r="196" spans="1:4" x14ac:dyDescent="0.35">
      <c r="A196" s="11">
        <v>39356</v>
      </c>
      <c r="B196" s="15">
        <f>VLOOKUP(A196,Database!A:Q,MATCH($A$1,Database!$A$1:$Q$1,),)</f>
        <v>77617</v>
      </c>
      <c r="C196" s="12">
        <f t="shared" si="4"/>
        <v>5.7142116720223903E-3</v>
      </c>
      <c r="D196" s="13">
        <f t="shared" si="5"/>
        <v>2.8761912335811893E-2</v>
      </c>
    </row>
    <row r="197" spans="1:4" x14ac:dyDescent="0.35">
      <c r="A197" s="10">
        <v>39387</v>
      </c>
      <c r="B197" s="15">
        <f>VLOOKUP(A197,Database!A:Q,MATCH($A$1,Database!$A$1:$Q$1,),)</f>
        <v>75921</v>
      </c>
      <c r="C197" s="12">
        <f t="shared" si="4"/>
        <v>-2.1850883182807888E-2</v>
      </c>
      <c r="D197" s="13">
        <f t="shared" si="5"/>
        <v>-1.8799957930164073E-3</v>
      </c>
    </row>
    <row r="198" spans="1:4" x14ac:dyDescent="0.35">
      <c r="A198" s="11">
        <v>39417</v>
      </c>
      <c r="B198" s="15">
        <f>VLOOKUP(A198,Database!A:Q,MATCH($A$1,Database!$A$1:$Q$1,),)</f>
        <v>73345</v>
      </c>
      <c r="C198" s="12">
        <f t="shared" si="4"/>
        <v>-3.393000619064554E-2</v>
      </c>
      <c r="D198" s="13">
        <f t="shared" si="5"/>
        <v>-2.7744637980858453E-2</v>
      </c>
    </row>
    <row r="199" spans="1:4" x14ac:dyDescent="0.35">
      <c r="A199" s="10">
        <v>39448</v>
      </c>
      <c r="B199" s="15">
        <f>VLOOKUP(A199,Database!A:Q,MATCH($A$1,Database!$A$1:$Q$1,),)</f>
        <v>73834</v>
      </c>
      <c r="C199" s="12">
        <f t="shared" si="4"/>
        <v>6.6671211398186651E-3</v>
      </c>
      <c r="D199" s="13">
        <f t="shared" si="5"/>
        <v>-2.0756243451504661E-2</v>
      </c>
    </row>
    <row r="200" spans="1:4" x14ac:dyDescent="0.35">
      <c r="A200" s="11">
        <v>39479</v>
      </c>
      <c r="B200" s="15">
        <f>VLOOKUP(A200,Database!A:Q,MATCH($A$1,Database!$A$1:$Q$1,),)</f>
        <v>72206</v>
      </c>
      <c r="C200" s="12">
        <f t="shared" ref="C200:C263" si="6">(B200-B199)/B199</f>
        <v>-2.2049462307338084E-2</v>
      </c>
      <c r="D200" s="13">
        <f t="shared" si="5"/>
        <v>-4.7929220342558775E-2</v>
      </c>
    </row>
    <row r="201" spans="1:4" x14ac:dyDescent="0.35">
      <c r="A201" s="10">
        <v>39508</v>
      </c>
      <c r="B201" s="15">
        <f>VLOOKUP(A201,Database!A:Q,MATCH($A$1,Database!$A$1:$Q$1,),)</f>
        <v>71774</v>
      </c>
      <c r="C201" s="12">
        <f t="shared" si="6"/>
        <v>-5.9828823089493948E-3</v>
      </c>
      <c r="D201" s="13">
        <f t="shared" si="5"/>
        <v>-4.8998304006783976E-2</v>
      </c>
    </row>
    <row r="202" spans="1:4" x14ac:dyDescent="0.35">
      <c r="A202" s="11">
        <v>39539</v>
      </c>
      <c r="B202" s="15">
        <f>VLOOKUP(A202,Database!A:Q,MATCH($A$1,Database!$A$1:$Q$1,),)</f>
        <v>70052</v>
      </c>
      <c r="C202" s="12">
        <f t="shared" si="6"/>
        <v>-2.3991974809819711E-2</v>
      </c>
      <c r="D202" s="13">
        <f t="shared" si="5"/>
        <v>-8.0742733416442489E-2</v>
      </c>
    </row>
    <row r="203" spans="1:4" x14ac:dyDescent="0.35">
      <c r="A203" s="10">
        <v>39569</v>
      </c>
      <c r="B203" s="15">
        <f>VLOOKUP(A203,Database!A:Q,MATCH($A$1,Database!$A$1:$Q$1,),)</f>
        <v>69143</v>
      </c>
      <c r="C203" s="12">
        <f t="shared" si="6"/>
        <v>-1.2976074915776851E-2</v>
      </c>
      <c r="D203" s="13">
        <f t="shared" si="5"/>
        <v>-0.10420283471095794</v>
      </c>
    </row>
    <row r="204" spans="1:4" x14ac:dyDescent="0.35">
      <c r="A204" s="11">
        <v>39600</v>
      </c>
      <c r="B204" s="15">
        <f>VLOOKUP(A204,Database!A:Q,MATCH($A$1,Database!$A$1:$Q$1,),)</f>
        <v>67161</v>
      </c>
      <c r="C204" s="12">
        <f t="shared" si="6"/>
        <v>-2.8665230030516464E-2</v>
      </c>
      <c r="D204" s="13">
        <f t="shared" si="5"/>
        <v>-0.10205364066636362</v>
      </c>
    </row>
    <row r="205" spans="1:4" x14ac:dyDescent="0.35">
      <c r="A205" s="10">
        <v>39630</v>
      </c>
      <c r="B205" s="15">
        <f>VLOOKUP(A205,Database!A:Q,MATCH($A$1,Database!$A$1:$Q$1,),)</f>
        <v>64397</v>
      </c>
      <c r="C205" s="12">
        <f t="shared" si="6"/>
        <v>-4.1154836884501424E-2</v>
      </c>
      <c r="D205" s="13">
        <f t="shared" si="5"/>
        <v>-0.14059413868574175</v>
      </c>
    </row>
    <row r="206" spans="1:4" x14ac:dyDescent="0.35">
      <c r="A206" s="11">
        <v>39661</v>
      </c>
      <c r="B206" s="15">
        <f>VLOOKUP(A206,Database!A:Q,MATCH($A$1,Database!$A$1:$Q$1,),)</f>
        <v>64985</v>
      </c>
      <c r="C206" s="12">
        <f t="shared" si="6"/>
        <v>9.1308601332360205E-3</v>
      </c>
      <c r="D206" s="13">
        <f t="shared" si="5"/>
        <v>-0.15106663705600334</v>
      </c>
    </row>
    <row r="207" spans="1:4" x14ac:dyDescent="0.35">
      <c r="A207" s="10">
        <v>39692</v>
      </c>
      <c r="B207" s="15">
        <f>VLOOKUP(A207,Database!A:Q,MATCH($A$1,Database!$A$1:$Q$1,),)</f>
        <v>62549</v>
      </c>
      <c r="C207" s="12">
        <f t="shared" si="6"/>
        <v>-3.7485573593906286E-2</v>
      </c>
      <c r="D207" s="13">
        <f t="shared" si="5"/>
        <v>-0.18952783248678345</v>
      </c>
    </row>
    <row r="208" spans="1:4" x14ac:dyDescent="0.35">
      <c r="A208" s="11">
        <v>39722</v>
      </c>
      <c r="B208" s="15">
        <f>VLOOKUP(A208,Database!A:Q,MATCH($A$1,Database!$A$1:$Q$1,),)</f>
        <v>56599</v>
      </c>
      <c r="C208" s="12">
        <f t="shared" si="6"/>
        <v>-9.5125421669411181E-2</v>
      </c>
      <c r="D208" s="13">
        <f t="shared" si="5"/>
        <v>-0.27079119265109447</v>
      </c>
    </row>
    <row r="209" spans="1:4" x14ac:dyDescent="0.35">
      <c r="A209" s="10">
        <v>39753</v>
      </c>
      <c r="B209" s="15">
        <f>VLOOKUP(A209,Database!A:Q,MATCH($A$1,Database!$A$1:$Q$1,),)</f>
        <v>54984</v>
      </c>
      <c r="C209" s="12">
        <f t="shared" si="6"/>
        <v>-2.8534073040159719E-2</v>
      </c>
      <c r="D209" s="13">
        <f t="shared" si="5"/>
        <v>-0.27577350140277396</v>
      </c>
    </row>
    <row r="210" spans="1:4" x14ac:dyDescent="0.35">
      <c r="A210" s="11">
        <v>39783</v>
      </c>
      <c r="B210" s="15">
        <f>VLOOKUP(A210,Database!A:Q,MATCH($A$1,Database!$A$1:$Q$1,),)</f>
        <v>54123</v>
      </c>
      <c r="C210" s="12">
        <f t="shared" si="6"/>
        <v>-1.5659100829332168E-2</v>
      </c>
      <c r="D210" s="13">
        <f t="shared" si="5"/>
        <v>-0.26207648783148135</v>
      </c>
    </row>
    <row r="211" spans="1:4" x14ac:dyDescent="0.35">
      <c r="A211" s="10">
        <v>39814</v>
      </c>
      <c r="B211" s="15">
        <f>VLOOKUP(A211,Database!A:Q,MATCH($A$1,Database!$A$1:$Q$1,),)</f>
        <v>55790</v>
      </c>
      <c r="C211" s="12">
        <f t="shared" si="6"/>
        <v>3.0800214326626389E-2</v>
      </c>
      <c r="D211" s="13">
        <f t="shared" ref="D211:D274" si="7">(B211-B199)/B199</f>
        <v>-0.24438605520491916</v>
      </c>
    </row>
    <row r="212" spans="1:4" x14ac:dyDescent="0.35">
      <c r="A212" s="11">
        <v>39845</v>
      </c>
      <c r="B212" s="15">
        <f>VLOOKUP(A212,Database!A:Q,MATCH($A$1,Database!$A$1:$Q$1,),)</f>
        <v>54188</v>
      </c>
      <c r="C212" s="12">
        <f t="shared" si="6"/>
        <v>-2.8714823445061839E-2</v>
      </c>
      <c r="D212" s="13">
        <f t="shared" si="7"/>
        <v>-0.24953604963576434</v>
      </c>
    </row>
    <row r="213" spans="1:4" x14ac:dyDescent="0.35">
      <c r="A213" s="10">
        <v>39873</v>
      </c>
      <c r="B213" s="15">
        <f>VLOOKUP(A213,Database!A:Q,MATCH($A$1,Database!$A$1:$Q$1,),)</f>
        <v>53100</v>
      </c>
      <c r="C213" s="12">
        <f t="shared" si="6"/>
        <v>-2.0078246106148962E-2</v>
      </c>
      <c r="D213" s="13">
        <f t="shared" si="7"/>
        <v>-0.26017778025468835</v>
      </c>
    </row>
    <row r="214" spans="1:4" x14ac:dyDescent="0.35">
      <c r="A214" s="11">
        <v>39904</v>
      </c>
      <c r="B214" s="15">
        <f>VLOOKUP(A214,Database!A:Q,MATCH($A$1,Database!$A$1:$Q$1,),)</f>
        <v>53557</v>
      </c>
      <c r="C214" s="12">
        <f t="shared" si="6"/>
        <v>8.606403013182674E-3</v>
      </c>
      <c r="D214" s="13">
        <f t="shared" si="7"/>
        <v>-0.23546793810312339</v>
      </c>
    </row>
    <row r="215" spans="1:4" x14ac:dyDescent="0.35">
      <c r="A215" s="10">
        <v>39934</v>
      </c>
      <c r="B215" s="15">
        <f>VLOOKUP(A215,Database!A:Q,MATCH($A$1,Database!$A$1:$Q$1,),)</f>
        <v>54089</v>
      </c>
      <c r="C215" s="12">
        <f t="shared" si="6"/>
        <v>9.9333420467912683E-3</v>
      </c>
      <c r="D215" s="13">
        <f t="shared" si="7"/>
        <v>-0.21772269065559782</v>
      </c>
    </row>
    <row r="216" spans="1:4" x14ac:dyDescent="0.35">
      <c r="A216" s="11">
        <v>39965</v>
      </c>
      <c r="B216" s="15">
        <f>VLOOKUP(A216,Database!A:Q,MATCH($A$1,Database!$A$1:$Q$1,),)</f>
        <v>56611</v>
      </c>
      <c r="C216" s="12">
        <f t="shared" si="6"/>
        <v>4.6626855737765538E-2</v>
      </c>
      <c r="D216" s="13">
        <f t="shared" si="7"/>
        <v>-0.15708521314453328</v>
      </c>
    </row>
    <row r="217" spans="1:4" x14ac:dyDescent="0.35">
      <c r="A217" s="10">
        <v>39995</v>
      </c>
      <c r="B217" s="15">
        <f>VLOOKUP(A217,Database!A:Q,MATCH($A$1,Database!$A$1:$Q$1,),)</f>
        <v>57748</v>
      </c>
      <c r="C217" s="12">
        <f t="shared" si="6"/>
        <v>2.0084435887018425E-2</v>
      </c>
      <c r="D217" s="13">
        <f t="shared" si="7"/>
        <v>-0.10325015140456853</v>
      </c>
    </row>
    <row r="218" spans="1:4" x14ac:dyDescent="0.35">
      <c r="A218" s="11">
        <v>40026</v>
      </c>
      <c r="B218" s="15">
        <f>VLOOKUP(A218,Database!A:Q,MATCH($A$1,Database!$A$1:$Q$1,),)</f>
        <v>62263</v>
      </c>
      <c r="C218" s="12">
        <f t="shared" si="6"/>
        <v>7.818452587102584E-2</v>
      </c>
      <c r="D218" s="13">
        <f t="shared" si="7"/>
        <v>-4.1886589212895287E-2</v>
      </c>
    </row>
    <row r="219" spans="1:4" x14ac:dyDescent="0.35">
      <c r="A219" s="10">
        <v>40057</v>
      </c>
      <c r="B219" s="15">
        <f>VLOOKUP(A219,Database!A:Q,MATCH($A$1,Database!$A$1:$Q$1,),)</f>
        <v>53534</v>
      </c>
      <c r="C219" s="12">
        <f t="shared" si="6"/>
        <v>-0.14019562179785747</v>
      </c>
      <c r="D219" s="13">
        <f t="shared" si="7"/>
        <v>-0.14412700442852802</v>
      </c>
    </row>
    <row r="220" spans="1:4" x14ac:dyDescent="0.35">
      <c r="A220" s="11">
        <v>40087</v>
      </c>
      <c r="B220" s="15">
        <f>VLOOKUP(A220,Database!A:Q,MATCH($A$1,Database!$A$1:$Q$1,),)</f>
        <v>56469</v>
      </c>
      <c r="C220" s="12">
        <f t="shared" si="6"/>
        <v>5.4824971046437777E-2</v>
      </c>
      <c r="D220" s="13">
        <f t="shared" si="7"/>
        <v>-2.2968603685577485E-3</v>
      </c>
    </row>
    <row r="221" spans="1:4" x14ac:dyDescent="0.35">
      <c r="A221" s="10">
        <v>40118</v>
      </c>
      <c r="B221" s="15">
        <f>VLOOKUP(A221,Database!A:Q,MATCH($A$1,Database!$A$1:$Q$1,),)</f>
        <v>57355</v>
      </c>
      <c r="C221" s="12">
        <f t="shared" si="6"/>
        <v>1.5690024615275636E-2</v>
      </c>
      <c r="D221" s="13">
        <f t="shared" si="7"/>
        <v>4.3121635384839228E-2</v>
      </c>
    </row>
    <row r="222" spans="1:4" x14ac:dyDescent="0.35">
      <c r="A222" s="11">
        <v>40148</v>
      </c>
      <c r="B222" s="15">
        <f>VLOOKUP(A222,Database!A:Q,MATCH($A$1,Database!$A$1:$Q$1,),)</f>
        <v>57079</v>
      </c>
      <c r="C222" s="12">
        <f t="shared" si="6"/>
        <v>-4.8121349490018303E-3</v>
      </c>
      <c r="D222" s="13">
        <f t="shared" si="7"/>
        <v>5.4616336862332096E-2</v>
      </c>
    </row>
    <row r="223" spans="1:4" x14ac:dyDescent="0.35">
      <c r="A223" s="10">
        <v>40179</v>
      </c>
      <c r="B223" s="15">
        <f>VLOOKUP(A223,Database!A:Q,MATCH($A$1,Database!$A$1:$Q$1,),)</f>
        <v>56798</v>
      </c>
      <c r="C223" s="12">
        <f t="shared" si="6"/>
        <v>-4.9230014541249848E-3</v>
      </c>
      <c r="D223" s="13">
        <f t="shared" si="7"/>
        <v>1.8067754077791719E-2</v>
      </c>
    </row>
    <row r="224" spans="1:4" x14ac:dyDescent="0.35">
      <c r="A224" s="11">
        <v>40210</v>
      </c>
      <c r="B224" s="15">
        <f>VLOOKUP(A224,Database!A:Q,MATCH($A$1,Database!$A$1:$Q$1,),)</f>
        <v>55803</v>
      </c>
      <c r="C224" s="12">
        <f t="shared" si="6"/>
        <v>-1.7518222472622275E-2</v>
      </c>
      <c r="D224" s="13">
        <f t="shared" si="7"/>
        <v>2.9803646563814866E-2</v>
      </c>
    </row>
    <row r="225" spans="1:4" x14ac:dyDescent="0.35">
      <c r="A225" s="10">
        <v>40238</v>
      </c>
      <c r="B225" s="15">
        <f>VLOOKUP(A225,Database!A:Q,MATCH($A$1,Database!$A$1:$Q$1,),)</f>
        <v>60897</v>
      </c>
      <c r="C225" s="12">
        <f t="shared" si="6"/>
        <v>9.1285414762647163E-2</v>
      </c>
      <c r="D225" s="13">
        <f t="shared" si="7"/>
        <v>0.14683615819209039</v>
      </c>
    </row>
    <row r="226" spans="1:4" x14ac:dyDescent="0.35">
      <c r="A226" s="11">
        <v>40269</v>
      </c>
      <c r="B226" s="15">
        <f>VLOOKUP(A226,Database!A:Q,MATCH($A$1,Database!$A$1:$Q$1,),)</f>
        <v>61823</v>
      </c>
      <c r="C226" s="12">
        <f t="shared" si="6"/>
        <v>1.5206003579815098E-2</v>
      </c>
      <c r="D226" s="13">
        <f t="shared" si="7"/>
        <v>0.15434023563679819</v>
      </c>
    </row>
    <row r="227" spans="1:4" x14ac:dyDescent="0.35">
      <c r="A227" s="10">
        <v>40299</v>
      </c>
      <c r="B227" s="15">
        <f>VLOOKUP(A227,Database!A:Q,MATCH($A$1,Database!$A$1:$Q$1,),)</f>
        <v>61571</v>
      </c>
      <c r="C227" s="12">
        <f t="shared" si="6"/>
        <v>-4.0761528880837233E-3</v>
      </c>
      <c r="D227" s="13">
        <f t="shared" si="7"/>
        <v>0.13832757122520289</v>
      </c>
    </row>
    <row r="228" spans="1:4" x14ac:dyDescent="0.35">
      <c r="A228" s="11">
        <v>40330</v>
      </c>
      <c r="B228" s="15">
        <f>VLOOKUP(A228,Database!A:Q,MATCH($A$1,Database!$A$1:$Q$1,),)</f>
        <v>61425</v>
      </c>
      <c r="C228" s="12">
        <f t="shared" si="6"/>
        <v>-2.3712462035698624E-3</v>
      </c>
      <c r="D228" s="13">
        <f t="shared" si="7"/>
        <v>8.5036477009768421E-2</v>
      </c>
    </row>
    <row r="229" spans="1:4" x14ac:dyDescent="0.35">
      <c r="A229" s="10">
        <v>40360</v>
      </c>
      <c r="B229" s="15">
        <f>VLOOKUP(A229,Database!A:Q,MATCH($A$1,Database!$A$1:$Q$1,),)</f>
        <v>62679</v>
      </c>
      <c r="C229" s="12">
        <f t="shared" si="6"/>
        <v>2.0415140415140417E-2</v>
      </c>
      <c r="D229" s="13">
        <f t="shared" si="7"/>
        <v>8.5388238553716148E-2</v>
      </c>
    </row>
    <row r="230" spans="1:4" x14ac:dyDescent="0.35">
      <c r="A230" s="11">
        <v>40391</v>
      </c>
      <c r="B230" s="15">
        <f>VLOOKUP(A230,Database!A:Q,MATCH($A$1,Database!$A$1:$Q$1,),)</f>
        <v>62545</v>
      </c>
      <c r="C230" s="12">
        <f t="shared" si="6"/>
        <v>-2.1378771199285248E-3</v>
      </c>
      <c r="D230" s="13">
        <f t="shared" si="7"/>
        <v>4.5291746301977095E-3</v>
      </c>
    </row>
    <row r="231" spans="1:4" x14ac:dyDescent="0.35">
      <c r="A231" s="10">
        <v>40422</v>
      </c>
      <c r="B231" s="15">
        <f>VLOOKUP(A231,Database!A:Q,MATCH($A$1,Database!$A$1:$Q$1,),)</f>
        <v>63260</v>
      </c>
      <c r="C231" s="12">
        <f t="shared" si="6"/>
        <v>1.1431769126229115E-2</v>
      </c>
      <c r="D231" s="13">
        <f t="shared" si="7"/>
        <v>0.18167893301453283</v>
      </c>
    </row>
    <row r="232" spans="1:4" x14ac:dyDescent="0.35">
      <c r="A232" s="11">
        <v>40452</v>
      </c>
      <c r="B232" s="15">
        <f>VLOOKUP(A232,Database!A:Q,MATCH($A$1,Database!$A$1:$Q$1,),)</f>
        <v>64916</v>
      </c>
      <c r="C232" s="12">
        <f t="shared" si="6"/>
        <v>2.6177679418273789E-2</v>
      </c>
      <c r="D232" s="13">
        <f t="shared" si="7"/>
        <v>0.14958649878694505</v>
      </c>
    </row>
    <row r="233" spans="1:4" x14ac:dyDescent="0.35">
      <c r="A233" s="10">
        <v>40483</v>
      </c>
      <c r="B233" s="15">
        <f>VLOOKUP(A233,Database!A:Q,MATCH($A$1,Database!$A$1:$Q$1,),)</f>
        <v>65380</v>
      </c>
      <c r="C233" s="12">
        <f t="shared" si="6"/>
        <v>7.1476985642984778E-3</v>
      </c>
      <c r="D233" s="13">
        <f t="shared" si="7"/>
        <v>0.13991805422369452</v>
      </c>
    </row>
    <row r="234" spans="1:4" x14ac:dyDescent="0.35">
      <c r="A234" s="11">
        <v>40513</v>
      </c>
      <c r="B234" s="15">
        <f>VLOOKUP(A234,Database!A:Q,MATCH($A$1,Database!$A$1:$Q$1,),)</f>
        <v>65296</v>
      </c>
      <c r="C234" s="12">
        <f t="shared" si="6"/>
        <v>-1.2847965738758029E-3</v>
      </c>
      <c r="D234" s="13">
        <f t="shared" si="7"/>
        <v>0.14395837348236654</v>
      </c>
    </row>
    <row r="235" spans="1:4" x14ac:dyDescent="0.35">
      <c r="A235" s="10">
        <v>40544</v>
      </c>
      <c r="B235" s="15">
        <f>VLOOKUP(A235,Database!A:Q,MATCH($A$1,Database!$A$1:$Q$1,),)</f>
        <v>66218</v>
      </c>
      <c r="C235" s="12">
        <f t="shared" si="6"/>
        <v>1.4120313648615535E-2</v>
      </c>
      <c r="D235" s="13">
        <f t="shared" si="7"/>
        <v>0.16585091024331844</v>
      </c>
    </row>
    <row r="236" spans="1:4" x14ac:dyDescent="0.35">
      <c r="A236" s="11">
        <v>40575</v>
      </c>
      <c r="B236" s="15">
        <f>VLOOKUP(A236,Database!A:Q,MATCH($A$1,Database!$A$1:$Q$1,),)</f>
        <v>67255</v>
      </c>
      <c r="C236" s="12">
        <f t="shared" si="6"/>
        <v>1.5660394454679996E-2</v>
      </c>
      <c r="D236" s="13">
        <f t="shared" si="7"/>
        <v>0.20522194147268069</v>
      </c>
    </row>
    <row r="237" spans="1:4" x14ac:dyDescent="0.35">
      <c r="A237" s="10">
        <v>40603</v>
      </c>
      <c r="B237" s="15">
        <f>VLOOKUP(A237,Database!A:Q,MATCH($A$1,Database!$A$1:$Q$1,),)</f>
        <v>67581</v>
      </c>
      <c r="C237" s="12">
        <f t="shared" si="6"/>
        <v>4.8472232547765969E-3</v>
      </c>
      <c r="D237" s="13">
        <f t="shared" si="7"/>
        <v>0.10975910143356815</v>
      </c>
    </row>
    <row r="238" spans="1:4" x14ac:dyDescent="0.35">
      <c r="A238" s="11">
        <v>40634</v>
      </c>
      <c r="B238" s="15">
        <f>VLOOKUP(A238,Database!A:Q,MATCH($A$1,Database!$A$1:$Q$1,),)</f>
        <v>66660</v>
      </c>
      <c r="C238" s="12">
        <f t="shared" si="6"/>
        <v>-1.362809073556177E-2</v>
      </c>
      <c r="D238" s="13">
        <f t="shared" si="7"/>
        <v>7.8239490157384795E-2</v>
      </c>
    </row>
    <row r="239" spans="1:4" x14ac:dyDescent="0.35">
      <c r="A239" s="10">
        <v>40664</v>
      </c>
      <c r="B239" s="15">
        <f>VLOOKUP(A239,Database!A:Q,MATCH($A$1,Database!$A$1:$Q$1,),)</f>
        <v>65855</v>
      </c>
      <c r="C239" s="12">
        <f t="shared" si="6"/>
        <v>-1.2076207620762076E-2</v>
      </c>
      <c r="D239" s="13">
        <f t="shared" si="7"/>
        <v>6.9578210521186928E-2</v>
      </c>
    </row>
    <row r="240" spans="1:4" x14ac:dyDescent="0.35">
      <c r="A240" s="11">
        <v>40695</v>
      </c>
      <c r="B240" s="15">
        <f>VLOOKUP(A240,Database!A:Q,MATCH($A$1,Database!$A$1:$Q$1,),)</f>
        <v>66825</v>
      </c>
      <c r="C240" s="12">
        <f t="shared" si="6"/>
        <v>1.472932958773062E-2</v>
      </c>
      <c r="D240" s="13">
        <f t="shared" si="7"/>
        <v>8.7912087912087919E-2</v>
      </c>
    </row>
    <row r="241" spans="1:4" x14ac:dyDescent="0.35">
      <c r="A241" s="10">
        <v>40725</v>
      </c>
      <c r="B241" s="15">
        <f>VLOOKUP(A241,Database!A:Q,MATCH($A$1,Database!$A$1:$Q$1,),)</f>
        <v>66536</v>
      </c>
      <c r="C241" s="12">
        <f t="shared" si="6"/>
        <v>-4.3247287691732137E-3</v>
      </c>
      <c r="D241" s="13">
        <f t="shared" si="7"/>
        <v>6.1535761578838208E-2</v>
      </c>
    </row>
    <row r="242" spans="1:4" x14ac:dyDescent="0.35">
      <c r="A242" s="11">
        <v>40756</v>
      </c>
      <c r="B242" s="15">
        <f>VLOOKUP(A242,Database!A:Q,MATCH($A$1,Database!$A$1:$Q$1,),)</f>
        <v>65805</v>
      </c>
      <c r="C242" s="12">
        <f t="shared" si="6"/>
        <v>-1.09865336058675E-2</v>
      </c>
      <c r="D242" s="13">
        <f t="shared" si="7"/>
        <v>5.2122471820289389E-2</v>
      </c>
    </row>
    <row r="243" spans="1:4" x14ac:dyDescent="0.35">
      <c r="A243" s="10">
        <v>40787</v>
      </c>
      <c r="B243" s="15">
        <f>VLOOKUP(A243,Database!A:Q,MATCH($A$1,Database!$A$1:$Q$1,),)</f>
        <v>68816</v>
      </c>
      <c r="C243" s="12">
        <f t="shared" si="6"/>
        <v>4.575640148924854E-2</v>
      </c>
      <c r="D243" s="13">
        <f t="shared" si="7"/>
        <v>8.7828011381599749E-2</v>
      </c>
    </row>
    <row r="244" spans="1:4" x14ac:dyDescent="0.35">
      <c r="A244" s="11">
        <v>40817</v>
      </c>
      <c r="B244" s="15">
        <f>VLOOKUP(A244,Database!A:Q,MATCH($A$1,Database!$A$1:$Q$1,),)</f>
        <v>69880</v>
      </c>
      <c r="C244" s="12">
        <f t="shared" si="6"/>
        <v>1.5461520576610091E-2</v>
      </c>
      <c r="D244" s="13">
        <f t="shared" si="7"/>
        <v>7.6468051019779409E-2</v>
      </c>
    </row>
    <row r="245" spans="1:4" x14ac:dyDescent="0.35">
      <c r="A245" s="10">
        <v>40848</v>
      </c>
      <c r="B245" s="15">
        <f>VLOOKUP(A245,Database!A:Q,MATCH($A$1,Database!$A$1:$Q$1,),)</f>
        <v>70223</v>
      </c>
      <c r="C245" s="12">
        <f t="shared" si="6"/>
        <v>4.9084144247281049E-3</v>
      </c>
      <c r="D245" s="13">
        <f t="shared" si="7"/>
        <v>7.4074640562863267E-2</v>
      </c>
    </row>
    <row r="246" spans="1:4" x14ac:dyDescent="0.35">
      <c r="A246" s="11">
        <v>40878</v>
      </c>
      <c r="B246" s="15">
        <f>VLOOKUP(A246,Database!A:Q,MATCH($A$1,Database!$A$1:$Q$1,),)</f>
        <v>71420</v>
      </c>
      <c r="C246" s="12">
        <f t="shared" si="6"/>
        <v>1.7045697278669381E-2</v>
      </c>
      <c r="D246" s="13">
        <f t="shared" si="7"/>
        <v>9.3788287184513597E-2</v>
      </c>
    </row>
    <row r="247" spans="1:4" x14ac:dyDescent="0.35">
      <c r="A247" s="10">
        <v>40909</v>
      </c>
      <c r="B247" s="15">
        <f>VLOOKUP(A247,Database!A:Q,MATCH($A$1,Database!$A$1:$Q$1,),)</f>
        <v>71720</v>
      </c>
      <c r="C247" s="12">
        <f t="shared" si="6"/>
        <v>4.2005040604872583E-3</v>
      </c>
      <c r="D247" s="13">
        <f t="shared" si="7"/>
        <v>8.3089190250385095E-2</v>
      </c>
    </row>
    <row r="248" spans="1:4" x14ac:dyDescent="0.35">
      <c r="A248" s="11">
        <v>40940</v>
      </c>
      <c r="B248" s="15">
        <f>VLOOKUP(A248,Database!A:Q,MATCH($A$1,Database!$A$1:$Q$1,),)</f>
        <v>72657</v>
      </c>
      <c r="C248" s="12">
        <f t="shared" si="6"/>
        <v>1.3064696040156162E-2</v>
      </c>
      <c r="D248" s="13">
        <f t="shared" si="7"/>
        <v>8.032116571258642E-2</v>
      </c>
    </row>
    <row r="249" spans="1:4" x14ac:dyDescent="0.35">
      <c r="A249" s="10">
        <v>40969</v>
      </c>
      <c r="B249" s="15">
        <f>VLOOKUP(A249,Database!A:Q,MATCH($A$1,Database!$A$1:$Q$1,),)</f>
        <v>72592</v>
      </c>
      <c r="C249" s="12">
        <f t="shared" si="6"/>
        <v>-8.9461442118446953E-4</v>
      </c>
      <c r="D249" s="13">
        <f t="shared" si="7"/>
        <v>7.4148059365798075E-2</v>
      </c>
    </row>
    <row r="250" spans="1:4" x14ac:dyDescent="0.35">
      <c r="A250" s="11">
        <v>41000</v>
      </c>
      <c r="B250" s="15">
        <f>VLOOKUP(A250,Database!A:Q,MATCH($A$1,Database!$A$1:$Q$1,),)</f>
        <v>73002</v>
      </c>
      <c r="C250" s="12">
        <f t="shared" si="6"/>
        <v>5.6480052898391008E-3</v>
      </c>
      <c r="D250" s="13">
        <f t="shared" si="7"/>
        <v>9.5139513951395138E-2</v>
      </c>
    </row>
    <row r="251" spans="1:4" x14ac:dyDescent="0.35">
      <c r="A251" s="10">
        <v>41030</v>
      </c>
      <c r="B251" s="15">
        <f>VLOOKUP(A251,Database!A:Q,MATCH($A$1,Database!$A$1:$Q$1,),)</f>
        <v>73646</v>
      </c>
      <c r="C251" s="12">
        <f t="shared" si="6"/>
        <v>8.8216761184625077E-3</v>
      </c>
      <c r="D251" s="13">
        <f t="shared" si="7"/>
        <v>0.1183053678536178</v>
      </c>
    </row>
    <row r="252" spans="1:4" x14ac:dyDescent="0.35">
      <c r="A252" s="11">
        <v>41061</v>
      </c>
      <c r="B252" s="15">
        <f>VLOOKUP(A252,Database!A:Q,MATCH($A$1,Database!$A$1:$Q$1,),)</f>
        <v>72324</v>
      </c>
      <c r="C252" s="12">
        <f t="shared" si="6"/>
        <v>-1.7950737310919805E-2</v>
      </c>
      <c r="D252" s="13">
        <f t="shared" si="7"/>
        <v>8.2289562289562287E-2</v>
      </c>
    </row>
    <row r="253" spans="1:4" x14ac:dyDescent="0.35">
      <c r="A253" s="10">
        <v>41091</v>
      </c>
      <c r="B253" s="15">
        <f>VLOOKUP(A253,Database!A:Q,MATCH($A$1,Database!$A$1:$Q$1,),)</f>
        <v>73197</v>
      </c>
      <c r="C253" s="12">
        <f t="shared" si="6"/>
        <v>1.2070681931309109E-2</v>
      </c>
      <c r="D253" s="13">
        <f t="shared" si="7"/>
        <v>0.10011121798725502</v>
      </c>
    </row>
    <row r="254" spans="1:4" x14ac:dyDescent="0.35">
      <c r="A254" s="11">
        <v>41122</v>
      </c>
      <c r="B254" s="15">
        <f>VLOOKUP(A254,Database!A:Q,MATCH($A$1,Database!$A$1:$Q$1,),)</f>
        <v>73976</v>
      </c>
      <c r="C254" s="12">
        <f t="shared" si="6"/>
        <v>1.0642512671284342E-2</v>
      </c>
      <c r="D254" s="13">
        <f t="shared" si="7"/>
        <v>0.12416989590456652</v>
      </c>
    </row>
    <row r="255" spans="1:4" x14ac:dyDescent="0.35">
      <c r="A255" s="10">
        <v>41153</v>
      </c>
      <c r="B255" s="15">
        <f>VLOOKUP(A255,Database!A:Q,MATCH($A$1,Database!$A$1:$Q$1,),)</f>
        <v>75123</v>
      </c>
      <c r="C255" s="12">
        <f t="shared" si="6"/>
        <v>1.5505028657943117E-2</v>
      </c>
      <c r="D255" s="13">
        <f t="shared" si="7"/>
        <v>9.1650197628458496E-2</v>
      </c>
    </row>
    <row r="256" spans="1:4" x14ac:dyDescent="0.35">
      <c r="A256" s="11">
        <v>41183</v>
      </c>
      <c r="B256" s="15">
        <f>VLOOKUP(A256,Database!A:Q,MATCH($A$1,Database!$A$1:$Q$1,),)</f>
        <v>74820</v>
      </c>
      <c r="C256" s="12">
        <f t="shared" si="6"/>
        <v>-4.0333852481929632E-3</v>
      </c>
      <c r="D256" s="13">
        <f t="shared" si="7"/>
        <v>7.0692615912993709E-2</v>
      </c>
    </row>
    <row r="257" spans="1:4" x14ac:dyDescent="0.35">
      <c r="A257" s="10">
        <v>41214</v>
      </c>
      <c r="B257" s="15">
        <f>VLOOKUP(A257,Database!A:Q,MATCH($A$1,Database!$A$1:$Q$1,),)</f>
        <v>75907</v>
      </c>
      <c r="C257" s="12">
        <f t="shared" si="6"/>
        <v>1.4528201015771184E-2</v>
      </c>
      <c r="D257" s="13">
        <f t="shared" si="7"/>
        <v>8.0942141463623024E-2</v>
      </c>
    </row>
    <row r="258" spans="1:4" x14ac:dyDescent="0.35">
      <c r="A258" s="11">
        <v>41244</v>
      </c>
      <c r="B258" s="15">
        <f>VLOOKUP(A258,Database!A:Q,MATCH($A$1,Database!$A$1:$Q$1,),)</f>
        <v>76795</v>
      </c>
      <c r="C258" s="12">
        <f t="shared" si="6"/>
        <v>1.1698525827657529E-2</v>
      </c>
      <c r="D258" s="13">
        <f t="shared" si="7"/>
        <v>7.5259031083730041E-2</v>
      </c>
    </row>
    <row r="259" spans="1:4" x14ac:dyDescent="0.35">
      <c r="A259" s="10">
        <v>41275</v>
      </c>
      <c r="B259" s="15">
        <f>VLOOKUP(A259,Database!A:Q,MATCH($A$1,Database!$A$1:$Q$1,),)</f>
        <v>77707</v>
      </c>
      <c r="C259" s="12">
        <f t="shared" si="6"/>
        <v>1.1875773162315254E-2</v>
      </c>
      <c r="D259" s="13">
        <f t="shared" si="7"/>
        <v>8.3477412158393757E-2</v>
      </c>
    </row>
    <row r="260" spans="1:4" x14ac:dyDescent="0.35">
      <c r="A260" s="11">
        <v>41306</v>
      </c>
      <c r="B260" s="15">
        <f>VLOOKUP(A260,Database!A:Q,MATCH($A$1,Database!$A$1:$Q$1,),)</f>
        <v>78895</v>
      </c>
      <c r="C260" s="12">
        <f t="shared" si="6"/>
        <v>1.5288197974442457E-2</v>
      </c>
      <c r="D260" s="13">
        <f t="shared" si="7"/>
        <v>8.5855457836134158E-2</v>
      </c>
    </row>
    <row r="261" spans="1:4" x14ac:dyDescent="0.35">
      <c r="A261" s="10">
        <v>41334</v>
      </c>
      <c r="B261" s="15">
        <f>VLOOKUP(A261,Database!A:Q,MATCH($A$1,Database!$A$1:$Q$1,),)</f>
        <v>77964</v>
      </c>
      <c r="C261" s="12">
        <f t="shared" si="6"/>
        <v>-1.1800494327904176E-2</v>
      </c>
      <c r="D261" s="13">
        <f t="shared" si="7"/>
        <v>7.4002644919550359E-2</v>
      </c>
    </row>
    <row r="262" spans="1:4" x14ac:dyDescent="0.35">
      <c r="A262" s="11">
        <v>41365</v>
      </c>
      <c r="B262" s="15">
        <f>VLOOKUP(A262,Database!A:Q,MATCH($A$1,Database!$A$1:$Q$1,),)</f>
        <v>78315</v>
      </c>
      <c r="C262" s="12">
        <f t="shared" si="6"/>
        <v>4.5020778820994301E-3</v>
      </c>
      <c r="D262" s="13">
        <f t="shared" si="7"/>
        <v>7.2778827977315691E-2</v>
      </c>
    </row>
    <row r="263" spans="1:4" x14ac:dyDescent="0.35">
      <c r="A263" s="10">
        <v>41395</v>
      </c>
      <c r="B263" s="15">
        <f>VLOOKUP(A263,Database!A:Q,MATCH($A$1,Database!$A$1:$Q$1,),)</f>
        <v>79771</v>
      </c>
      <c r="C263" s="12">
        <f t="shared" si="6"/>
        <v>1.8591585264636404E-2</v>
      </c>
      <c r="D263" s="13">
        <f t="shared" si="7"/>
        <v>8.3168128615267636E-2</v>
      </c>
    </row>
    <row r="264" spans="1:4" x14ac:dyDescent="0.35">
      <c r="A264" s="11">
        <v>41426</v>
      </c>
      <c r="B264" s="15">
        <f>VLOOKUP(A264,Database!A:Q,MATCH($A$1,Database!$A$1:$Q$1,),)</f>
        <v>81309</v>
      </c>
      <c r="C264" s="12">
        <f t="shared" ref="C264:C327" si="8">(B264-B263)/B263</f>
        <v>1.9280189542565593E-2</v>
      </c>
      <c r="D264" s="13">
        <f t="shared" si="7"/>
        <v>0.12423261987721917</v>
      </c>
    </row>
    <row r="265" spans="1:4" x14ac:dyDescent="0.35">
      <c r="A265" s="10">
        <v>41456</v>
      </c>
      <c r="B265" s="15">
        <f>VLOOKUP(A265,Database!A:Q,MATCH($A$1,Database!$A$1:$Q$1,),)</f>
        <v>81704</v>
      </c>
      <c r="C265" s="12">
        <f t="shared" si="8"/>
        <v>4.8580107983126099E-3</v>
      </c>
      <c r="D265" s="13">
        <f t="shared" si="7"/>
        <v>0.11622061013429512</v>
      </c>
    </row>
    <row r="266" spans="1:4" x14ac:dyDescent="0.35">
      <c r="A266" s="11">
        <v>41487</v>
      </c>
      <c r="B266" s="15">
        <f>VLOOKUP(A266,Database!A:Q,MATCH($A$1,Database!$A$1:$Q$1,),)</f>
        <v>81294</v>
      </c>
      <c r="C266" s="12">
        <f t="shared" si="8"/>
        <v>-5.0181141682169783E-3</v>
      </c>
      <c r="D266" s="13">
        <f t="shared" si="7"/>
        <v>9.8923975343354606E-2</v>
      </c>
    </row>
    <row r="267" spans="1:4" x14ac:dyDescent="0.35">
      <c r="A267" s="10">
        <v>41518</v>
      </c>
      <c r="B267" s="15">
        <f>VLOOKUP(A267,Database!A:Q,MATCH($A$1,Database!$A$1:$Q$1,),)</f>
        <v>80179</v>
      </c>
      <c r="C267" s="12">
        <f t="shared" si="8"/>
        <v>-1.3715649371417326E-2</v>
      </c>
      <c r="D267" s="13">
        <f t="shared" si="7"/>
        <v>6.7302956484698431E-2</v>
      </c>
    </row>
    <row r="268" spans="1:4" x14ac:dyDescent="0.35">
      <c r="A268" s="11">
        <v>41548</v>
      </c>
      <c r="B268" s="15">
        <f>VLOOKUP(A268,Database!A:Q,MATCH($A$1,Database!$A$1:$Q$1,),)</f>
        <v>81482</v>
      </c>
      <c r="C268" s="12">
        <f t="shared" si="8"/>
        <v>1.6251138078549245E-2</v>
      </c>
      <c r="D268" s="13">
        <f t="shared" si="7"/>
        <v>8.9040363539160658E-2</v>
      </c>
    </row>
    <row r="269" spans="1:4" x14ac:dyDescent="0.35">
      <c r="A269" s="10">
        <v>41579</v>
      </c>
      <c r="B269" s="15">
        <f>VLOOKUP(A269,Database!A:Q,MATCH($A$1,Database!$A$1:$Q$1,),)</f>
        <v>81803</v>
      </c>
      <c r="C269" s="12">
        <f t="shared" si="8"/>
        <v>3.9395203848702782E-3</v>
      </c>
      <c r="D269" s="13">
        <f t="shared" si="7"/>
        <v>7.7673995810663046E-2</v>
      </c>
    </row>
    <row r="270" spans="1:4" x14ac:dyDescent="0.35">
      <c r="A270" s="11">
        <v>41609</v>
      </c>
      <c r="B270" s="15">
        <f>VLOOKUP(A270,Database!A:Q,MATCH($A$1,Database!$A$1:$Q$1,),)</f>
        <v>81447</v>
      </c>
      <c r="C270" s="12">
        <f t="shared" si="8"/>
        <v>-4.351918633790937E-3</v>
      </c>
      <c r="D270" s="13">
        <f t="shared" si="7"/>
        <v>6.0576860472687025E-2</v>
      </c>
    </row>
    <row r="271" spans="1:4" x14ac:dyDescent="0.35">
      <c r="A271" s="10">
        <v>41640</v>
      </c>
      <c r="B271" s="15">
        <f>VLOOKUP(A271,Database!A:Q,MATCH($A$1,Database!$A$1:$Q$1,),)</f>
        <v>79169</v>
      </c>
      <c r="C271" s="12">
        <f t="shared" si="8"/>
        <v>-2.7969108745564599E-2</v>
      </c>
      <c r="D271" s="13">
        <f t="shared" si="7"/>
        <v>1.8814263837234741E-2</v>
      </c>
    </row>
    <row r="272" spans="1:4" x14ac:dyDescent="0.35">
      <c r="A272" s="11">
        <v>41671</v>
      </c>
      <c r="B272" s="15">
        <f>VLOOKUP(A272,Database!A:Q,MATCH($A$1,Database!$A$1:$Q$1,),)</f>
        <v>81551</v>
      </c>
      <c r="C272" s="12">
        <f t="shared" si="8"/>
        <v>3.0087534262148063E-2</v>
      </c>
      <c r="D272" s="13">
        <f t="shared" si="7"/>
        <v>3.3664997781861966E-2</v>
      </c>
    </row>
    <row r="273" spans="1:4" x14ac:dyDescent="0.35">
      <c r="A273" s="10">
        <v>41699</v>
      </c>
      <c r="B273" s="15">
        <f>VLOOKUP(A273,Database!A:Q,MATCH($A$1,Database!$A$1:$Q$1,),)</f>
        <v>84408</v>
      </c>
      <c r="C273" s="12">
        <f t="shared" si="8"/>
        <v>3.5033292050373387E-2</v>
      </c>
      <c r="D273" s="13">
        <f t="shared" si="7"/>
        <v>8.2653532399569032E-2</v>
      </c>
    </row>
    <row r="274" spans="1:4" x14ac:dyDescent="0.35">
      <c r="A274" s="11">
        <v>41730</v>
      </c>
      <c r="B274" s="15">
        <f>VLOOKUP(A274,Database!A:Q,MATCH($A$1,Database!$A$1:$Q$1,),)</f>
        <v>85795</v>
      </c>
      <c r="C274" s="12">
        <f t="shared" si="8"/>
        <v>1.6432091744858306E-2</v>
      </c>
      <c r="D274" s="13">
        <f t="shared" si="7"/>
        <v>9.5511715507884828E-2</v>
      </c>
    </row>
    <row r="275" spans="1:4" x14ac:dyDescent="0.35">
      <c r="A275" s="10">
        <v>41760</v>
      </c>
      <c r="B275" s="15">
        <f>VLOOKUP(A275,Database!A:Q,MATCH($A$1,Database!$A$1:$Q$1,),)</f>
        <v>85889</v>
      </c>
      <c r="C275" s="12">
        <f t="shared" si="8"/>
        <v>1.0956349437612914E-3</v>
      </c>
      <c r="D275" s="13">
        <f t="shared" ref="D275:D338" si="9">(B275-B263)/B263</f>
        <v>7.6694538115355204E-2</v>
      </c>
    </row>
    <row r="276" spans="1:4" x14ac:dyDescent="0.35">
      <c r="A276" s="11">
        <v>41791</v>
      </c>
      <c r="B276" s="15">
        <f>VLOOKUP(A276,Database!A:Q,MATCH($A$1,Database!$A$1:$Q$1,),)</f>
        <v>86280</v>
      </c>
      <c r="C276" s="12">
        <f t="shared" si="8"/>
        <v>4.5523873837161923E-3</v>
      </c>
      <c r="D276" s="13">
        <f t="shared" si="9"/>
        <v>6.1137143489650589E-2</v>
      </c>
    </row>
    <row r="277" spans="1:4" x14ac:dyDescent="0.35">
      <c r="A277" s="10">
        <v>41821</v>
      </c>
      <c r="B277" s="15">
        <f>VLOOKUP(A277,Database!A:Q,MATCH($A$1,Database!$A$1:$Q$1,),)</f>
        <v>86500</v>
      </c>
      <c r="C277" s="12">
        <f t="shared" si="8"/>
        <v>2.5498377375985167E-3</v>
      </c>
      <c r="D277" s="13">
        <f t="shared" si="9"/>
        <v>5.8699696465289337E-2</v>
      </c>
    </row>
    <row r="278" spans="1:4" x14ac:dyDescent="0.35">
      <c r="A278" s="11">
        <v>41852</v>
      </c>
      <c r="B278" s="15">
        <f>VLOOKUP(A278,Database!A:Q,MATCH($A$1,Database!$A$1:$Q$1,),)</f>
        <v>87271</v>
      </c>
      <c r="C278" s="12">
        <f t="shared" si="8"/>
        <v>8.9132947976878606E-3</v>
      </c>
      <c r="D278" s="13">
        <f t="shared" si="9"/>
        <v>7.352326124929269E-2</v>
      </c>
    </row>
    <row r="279" spans="1:4" x14ac:dyDescent="0.35">
      <c r="A279" s="10">
        <v>41883</v>
      </c>
      <c r="B279" s="15">
        <f>VLOOKUP(A279,Database!A:Q,MATCH($A$1,Database!$A$1:$Q$1,),)</f>
        <v>86406</v>
      </c>
      <c r="C279" s="12">
        <f t="shared" si="8"/>
        <v>-9.9116545014953424E-3</v>
      </c>
      <c r="D279" s="13">
        <f t="shared" si="9"/>
        <v>7.7663727409920308E-2</v>
      </c>
    </row>
    <row r="280" spans="1:4" x14ac:dyDescent="0.35">
      <c r="A280" s="11">
        <v>41913</v>
      </c>
      <c r="B280" s="15">
        <f>VLOOKUP(A280,Database!A:Q,MATCH($A$1,Database!$A$1:$Q$1,),)</f>
        <v>86891</v>
      </c>
      <c r="C280" s="12">
        <f t="shared" si="8"/>
        <v>5.61303613175011E-3</v>
      </c>
      <c r="D280" s="13">
        <f t="shared" si="9"/>
        <v>6.6382759382440287E-2</v>
      </c>
    </row>
    <row r="281" spans="1:4" x14ac:dyDescent="0.35">
      <c r="A281" s="10">
        <v>41944</v>
      </c>
      <c r="B281" s="15">
        <f>VLOOKUP(A281,Database!A:Q,MATCH($A$1,Database!$A$1:$Q$1,),)</f>
        <v>87707</v>
      </c>
      <c r="C281" s="12">
        <f t="shared" si="8"/>
        <v>9.3910761758985387E-3</v>
      </c>
      <c r="D281" s="13">
        <f t="shared" si="9"/>
        <v>7.2173392173881148E-2</v>
      </c>
    </row>
    <row r="282" spans="1:4" x14ac:dyDescent="0.35">
      <c r="A282" s="11">
        <v>41974</v>
      </c>
      <c r="B282" s="15">
        <f>VLOOKUP(A282,Database!A:Q,MATCH($A$1,Database!$A$1:$Q$1,),)</f>
        <v>87441</v>
      </c>
      <c r="C282" s="12">
        <f t="shared" si="8"/>
        <v>-3.0328252020933337E-3</v>
      </c>
      <c r="D282" s="13">
        <f t="shared" si="9"/>
        <v>7.3593870860805183E-2</v>
      </c>
    </row>
    <row r="283" spans="1:4" x14ac:dyDescent="0.35">
      <c r="A283" s="10">
        <v>42005</v>
      </c>
      <c r="B283" s="15">
        <f>VLOOKUP(A283,Database!A:Q,MATCH($A$1,Database!$A$1:$Q$1,),)</f>
        <v>88397</v>
      </c>
      <c r="C283" s="12">
        <f t="shared" si="8"/>
        <v>1.0933086309625919E-2</v>
      </c>
      <c r="D283" s="13">
        <f t="shared" si="9"/>
        <v>0.1165607750508406</v>
      </c>
    </row>
    <row r="284" spans="1:4" x14ac:dyDescent="0.35">
      <c r="A284" s="11">
        <v>42036</v>
      </c>
      <c r="B284" s="15">
        <f>VLOOKUP(A284,Database!A:Q,MATCH($A$1,Database!$A$1:$Q$1,),)</f>
        <v>87342</v>
      </c>
      <c r="C284" s="12">
        <f t="shared" si="8"/>
        <v>-1.193479416722287E-2</v>
      </c>
      <c r="D284" s="13">
        <f t="shared" si="9"/>
        <v>7.1010778531225865E-2</v>
      </c>
    </row>
    <row r="285" spans="1:4" x14ac:dyDescent="0.35">
      <c r="A285" s="10">
        <v>42064</v>
      </c>
      <c r="B285" s="15">
        <f>VLOOKUP(A285,Database!A:Q,MATCH($A$1,Database!$A$1:$Q$1,),)</f>
        <v>91104</v>
      </c>
      <c r="C285" s="12">
        <f t="shared" si="8"/>
        <v>4.3072061551143778E-2</v>
      </c>
      <c r="D285" s="13">
        <f t="shared" si="9"/>
        <v>7.9328973557008811E-2</v>
      </c>
    </row>
    <row r="286" spans="1:4" x14ac:dyDescent="0.35">
      <c r="A286" s="11">
        <v>42095</v>
      </c>
      <c r="B286" s="15">
        <f>VLOOKUP(A286,Database!A:Q,MATCH($A$1,Database!$A$1:$Q$1,),)</f>
        <v>91741</v>
      </c>
      <c r="C286" s="12">
        <f t="shared" si="8"/>
        <v>6.9920091324200909E-3</v>
      </c>
      <c r="D286" s="13">
        <f t="shared" si="9"/>
        <v>6.9304738038347219E-2</v>
      </c>
    </row>
    <row r="287" spans="1:4" x14ac:dyDescent="0.35">
      <c r="A287" s="10">
        <v>42125</v>
      </c>
      <c r="B287" s="15">
        <f>VLOOKUP(A287,Database!A:Q,MATCH($A$1,Database!$A$1:$Q$1,),)</f>
        <v>92278</v>
      </c>
      <c r="C287" s="12">
        <f t="shared" si="8"/>
        <v>5.8534352143534514E-3</v>
      </c>
      <c r="D287" s="13">
        <f t="shared" si="9"/>
        <v>7.4386708425991682E-2</v>
      </c>
    </row>
    <row r="288" spans="1:4" x14ac:dyDescent="0.35">
      <c r="A288" s="11">
        <v>42156</v>
      </c>
      <c r="B288" s="15">
        <f>VLOOKUP(A288,Database!A:Q,MATCH($A$1,Database!$A$1:$Q$1,),)</f>
        <v>92285</v>
      </c>
      <c r="C288" s="12">
        <f t="shared" si="8"/>
        <v>7.585773423784651E-5</v>
      </c>
      <c r="D288" s="13">
        <f t="shared" si="9"/>
        <v>6.9598980064904961E-2</v>
      </c>
    </row>
    <row r="289" spans="1:4" x14ac:dyDescent="0.35">
      <c r="A289" s="10">
        <v>42186</v>
      </c>
      <c r="B289" s="15">
        <f>VLOOKUP(A289,Database!A:Q,MATCH($A$1,Database!$A$1:$Q$1,),)</f>
        <v>92532</v>
      </c>
      <c r="C289" s="12">
        <f t="shared" si="8"/>
        <v>2.676491304112261E-3</v>
      </c>
      <c r="D289" s="13">
        <f t="shared" si="9"/>
        <v>6.9734104046242779E-2</v>
      </c>
    </row>
    <row r="290" spans="1:4" x14ac:dyDescent="0.35">
      <c r="A290" s="11">
        <v>42217</v>
      </c>
      <c r="B290" s="15">
        <f>VLOOKUP(A290,Database!A:Q,MATCH($A$1,Database!$A$1:$Q$1,),)</f>
        <v>93082</v>
      </c>
      <c r="C290" s="12">
        <f t="shared" si="8"/>
        <v>5.9438896814075128E-3</v>
      </c>
      <c r="D290" s="13">
        <f t="shared" si="9"/>
        <v>6.658569284183749E-2</v>
      </c>
    </row>
    <row r="291" spans="1:4" x14ac:dyDescent="0.35">
      <c r="A291" s="10">
        <v>42248</v>
      </c>
      <c r="B291" s="15">
        <f>VLOOKUP(A291,Database!A:Q,MATCH($A$1,Database!$A$1:$Q$1,),)</f>
        <v>93565</v>
      </c>
      <c r="C291" s="12">
        <f t="shared" si="8"/>
        <v>5.188973163447283E-3</v>
      </c>
      <c r="D291" s="13">
        <f t="shared" si="9"/>
        <v>8.2853042612781522E-2</v>
      </c>
    </row>
    <row r="292" spans="1:4" x14ac:dyDescent="0.35">
      <c r="A292" s="11">
        <v>42278</v>
      </c>
      <c r="B292" s="15">
        <f>VLOOKUP(A292,Database!A:Q,MATCH($A$1,Database!$A$1:$Q$1,),)</f>
        <v>92770</v>
      </c>
      <c r="C292" s="12">
        <f t="shared" si="8"/>
        <v>-8.4967669534548179E-3</v>
      </c>
      <c r="D292" s="13">
        <f t="shared" si="9"/>
        <v>6.7659481419249407E-2</v>
      </c>
    </row>
    <row r="293" spans="1:4" x14ac:dyDescent="0.35">
      <c r="A293" s="10">
        <v>42309</v>
      </c>
      <c r="B293" s="15">
        <f>VLOOKUP(A293,Database!A:Q,MATCH($A$1,Database!$A$1:$Q$1,),)</f>
        <v>93987</v>
      </c>
      <c r="C293" s="12">
        <f t="shared" si="8"/>
        <v>1.3118465021019727E-2</v>
      </c>
      <c r="D293" s="13">
        <f t="shared" si="9"/>
        <v>7.1602038605812532E-2</v>
      </c>
    </row>
    <row r="294" spans="1:4" x14ac:dyDescent="0.35">
      <c r="A294" s="11">
        <v>42339</v>
      </c>
      <c r="B294" s="15">
        <f>VLOOKUP(A294,Database!A:Q,MATCH($A$1,Database!$A$1:$Q$1,),)</f>
        <v>93440</v>
      </c>
      <c r="C294" s="12">
        <f t="shared" si="8"/>
        <v>-5.8199538234011087E-3</v>
      </c>
      <c r="D294" s="13">
        <f t="shared" si="9"/>
        <v>6.8606260221177703E-2</v>
      </c>
    </row>
    <row r="295" spans="1:4" x14ac:dyDescent="0.35">
      <c r="A295" s="10">
        <v>42370</v>
      </c>
      <c r="B295" s="15">
        <f>VLOOKUP(A295,Database!A:Q,MATCH($A$1,Database!$A$1:$Q$1,),)</f>
        <v>93062</v>
      </c>
      <c r="C295" s="12">
        <f t="shared" si="8"/>
        <v>-4.045376712328767E-3</v>
      </c>
      <c r="D295" s="13">
        <f t="shared" si="9"/>
        <v>5.2773284161227188E-2</v>
      </c>
    </row>
    <row r="296" spans="1:4" x14ac:dyDescent="0.35">
      <c r="A296" s="11">
        <v>42401</v>
      </c>
      <c r="B296" s="15">
        <f>VLOOKUP(A296,Database!A:Q,MATCH($A$1,Database!$A$1:$Q$1,),)</f>
        <v>95541</v>
      </c>
      <c r="C296" s="12">
        <f t="shared" si="8"/>
        <v>2.6638155208355718E-2</v>
      </c>
      <c r="D296" s="13">
        <f t="shared" si="9"/>
        <v>9.3872363811224838E-2</v>
      </c>
    </row>
    <row r="297" spans="1:4" x14ac:dyDescent="0.35">
      <c r="A297" s="10">
        <v>42430</v>
      </c>
      <c r="B297" s="15">
        <f>VLOOKUP(A297,Database!A:Q,MATCH($A$1,Database!$A$1:$Q$1,),)</f>
        <v>93535</v>
      </c>
      <c r="C297" s="12">
        <f t="shared" si="8"/>
        <v>-2.0996221517463706E-2</v>
      </c>
      <c r="D297" s="13">
        <f t="shared" si="9"/>
        <v>2.66837899543379E-2</v>
      </c>
    </row>
    <row r="298" spans="1:4" x14ac:dyDescent="0.35">
      <c r="A298" s="11">
        <v>42461</v>
      </c>
      <c r="B298" s="15">
        <f>VLOOKUP(A298,Database!A:Q,MATCH($A$1,Database!$A$1:$Q$1,),)</f>
        <v>93713</v>
      </c>
      <c r="C298" s="12">
        <f t="shared" si="8"/>
        <v>1.9030309509809162E-3</v>
      </c>
      <c r="D298" s="13">
        <f t="shared" si="9"/>
        <v>2.1495296541350104E-2</v>
      </c>
    </row>
    <row r="299" spans="1:4" x14ac:dyDescent="0.35">
      <c r="A299" s="10">
        <v>42491</v>
      </c>
      <c r="B299" s="15">
        <f>VLOOKUP(A299,Database!A:Q,MATCH($A$1,Database!$A$1:$Q$1,),)</f>
        <v>94098</v>
      </c>
      <c r="C299" s="12">
        <f t="shared" si="8"/>
        <v>4.1082880710253643E-3</v>
      </c>
      <c r="D299" s="13">
        <f t="shared" si="9"/>
        <v>1.9723010901840091E-2</v>
      </c>
    </row>
    <row r="300" spans="1:4" x14ac:dyDescent="0.35">
      <c r="A300" s="11">
        <v>42522</v>
      </c>
      <c r="B300" s="15">
        <f>VLOOKUP(A300,Database!A:Q,MATCH($A$1,Database!$A$1:$Q$1,),)</f>
        <v>94731</v>
      </c>
      <c r="C300" s="12">
        <f t="shared" si="8"/>
        <v>6.7270292673595614E-3</v>
      </c>
      <c r="D300" s="13">
        <f t="shared" si="9"/>
        <v>2.6504849108739233E-2</v>
      </c>
    </row>
    <row r="301" spans="1:4" x14ac:dyDescent="0.35">
      <c r="A301" s="10">
        <v>42552</v>
      </c>
      <c r="B301" s="15">
        <f>VLOOKUP(A301,Database!A:Q,MATCH($A$1,Database!$A$1:$Q$1,),)</f>
        <v>95925</v>
      </c>
      <c r="C301" s="12">
        <f t="shared" si="8"/>
        <v>1.260411058681952E-2</v>
      </c>
      <c r="D301" s="13">
        <f t="shared" si="9"/>
        <v>3.6668395798210351E-2</v>
      </c>
    </row>
    <row r="302" spans="1:4" x14ac:dyDescent="0.35">
      <c r="A302" s="11">
        <v>42583</v>
      </c>
      <c r="B302" s="15">
        <f>VLOOKUP(A302,Database!A:Q,MATCH($A$1,Database!$A$1:$Q$1,),)</f>
        <v>96331</v>
      </c>
      <c r="C302" s="12">
        <f t="shared" si="8"/>
        <v>4.2324732864216837E-3</v>
      </c>
      <c r="D302" s="13">
        <f t="shared" si="9"/>
        <v>3.4904707677101909E-2</v>
      </c>
    </row>
    <row r="303" spans="1:4" x14ac:dyDescent="0.35">
      <c r="A303" s="10">
        <v>42614</v>
      </c>
      <c r="B303" s="15">
        <f>VLOOKUP(A303,Database!A:Q,MATCH($A$1,Database!$A$1:$Q$1,),)</f>
        <v>97261</v>
      </c>
      <c r="C303" s="12">
        <f t="shared" si="8"/>
        <v>9.6542130778254145E-3</v>
      </c>
      <c r="D303" s="13">
        <f t="shared" si="9"/>
        <v>3.9501950515684281E-2</v>
      </c>
    </row>
    <row r="304" spans="1:4" x14ac:dyDescent="0.35">
      <c r="A304" s="11">
        <v>42644</v>
      </c>
      <c r="B304" s="15">
        <f>VLOOKUP(A304,Database!A:Q,MATCH($A$1,Database!$A$1:$Q$1,),)</f>
        <v>96935</v>
      </c>
      <c r="C304" s="12">
        <f t="shared" si="8"/>
        <v>-3.3518059653920894E-3</v>
      </c>
      <c r="D304" s="13">
        <f t="shared" si="9"/>
        <v>4.4895979303654202E-2</v>
      </c>
    </row>
    <row r="305" spans="1:4" x14ac:dyDescent="0.35">
      <c r="A305" s="10">
        <v>42675</v>
      </c>
      <c r="B305" s="15">
        <f>VLOOKUP(A305,Database!A:Q,MATCH($A$1,Database!$A$1:$Q$1,),)</f>
        <v>96622</v>
      </c>
      <c r="C305" s="12">
        <f t="shared" si="8"/>
        <v>-3.2289678650642183E-3</v>
      </c>
      <c r="D305" s="13">
        <f t="shared" si="9"/>
        <v>2.8035792184025451E-2</v>
      </c>
    </row>
    <row r="306" spans="1:4" x14ac:dyDescent="0.35">
      <c r="A306" s="11">
        <v>42705</v>
      </c>
      <c r="B306" s="15">
        <f>VLOOKUP(A306,Database!A:Q,MATCH($A$1,Database!$A$1:$Q$1,),)</f>
        <v>99352</v>
      </c>
      <c r="C306" s="12">
        <f t="shared" si="8"/>
        <v>2.8254434807807746E-2</v>
      </c>
      <c r="D306" s="13">
        <f t="shared" si="9"/>
        <v>6.327054794520548E-2</v>
      </c>
    </row>
    <row r="307" spans="1:4" x14ac:dyDescent="0.35">
      <c r="A307" s="10">
        <v>42736</v>
      </c>
      <c r="B307" s="15">
        <f>VLOOKUP(A307,Database!A:Q,MATCH($A$1,Database!$A$1:$Q$1,),)</f>
        <v>99430</v>
      </c>
      <c r="C307" s="12">
        <f t="shared" si="8"/>
        <v>7.8508736613253885E-4</v>
      </c>
      <c r="D307" s="13">
        <f t="shared" si="9"/>
        <v>6.8427499946272383E-2</v>
      </c>
    </row>
    <row r="308" spans="1:4" x14ac:dyDescent="0.35">
      <c r="A308" s="11">
        <v>42767</v>
      </c>
      <c r="B308" s="15">
        <f>VLOOKUP(A308,Database!A:Q,MATCH($A$1,Database!$A$1:$Q$1,),)</f>
        <v>98936</v>
      </c>
      <c r="C308" s="12">
        <f t="shared" si="8"/>
        <v>-4.9683194206979787E-3</v>
      </c>
      <c r="D308" s="13">
        <f t="shared" si="9"/>
        <v>3.5534482578160165E-2</v>
      </c>
    </row>
    <row r="309" spans="1:4" x14ac:dyDescent="0.35">
      <c r="A309" s="10">
        <v>42795</v>
      </c>
      <c r="B309" s="15">
        <f>VLOOKUP(A309,Database!A:Q,MATCH($A$1,Database!$A$1:$Q$1,),)</f>
        <v>96879</v>
      </c>
      <c r="C309" s="12">
        <f t="shared" si="8"/>
        <v>-2.0791218565537319E-2</v>
      </c>
      <c r="D309" s="13">
        <f t="shared" si="9"/>
        <v>3.5751323034158337E-2</v>
      </c>
    </row>
    <row r="310" spans="1:4" x14ac:dyDescent="0.35">
      <c r="A310" s="11">
        <v>42826</v>
      </c>
      <c r="B310" s="15">
        <f>VLOOKUP(A310,Database!A:Q,MATCH($A$1,Database!$A$1:$Q$1,),)</f>
        <v>97373</v>
      </c>
      <c r="C310" s="12">
        <f t="shared" si="8"/>
        <v>5.0991442933969178E-3</v>
      </c>
      <c r="D310" s="13">
        <f t="shared" si="9"/>
        <v>3.9055413870007362E-2</v>
      </c>
    </row>
    <row r="311" spans="1:4" x14ac:dyDescent="0.35">
      <c r="A311" s="10">
        <v>42856</v>
      </c>
      <c r="B311" s="15">
        <f>VLOOKUP(A311,Database!A:Q,MATCH($A$1,Database!$A$1:$Q$1,),)</f>
        <v>97805</v>
      </c>
      <c r="C311" s="12">
        <f t="shared" si="8"/>
        <v>4.4365481190884537E-3</v>
      </c>
      <c r="D311" s="13">
        <f t="shared" si="9"/>
        <v>3.9395098726859229E-2</v>
      </c>
    </row>
    <row r="312" spans="1:4" x14ac:dyDescent="0.35">
      <c r="A312" s="11">
        <v>42887</v>
      </c>
      <c r="B312" s="15">
        <f>VLOOKUP(A312,Database!A:Q,MATCH($A$1,Database!$A$1:$Q$1,),)</f>
        <v>98720</v>
      </c>
      <c r="C312" s="12">
        <f t="shared" si="8"/>
        <v>9.355349930985123E-3</v>
      </c>
      <c r="D312" s="13">
        <f t="shared" si="9"/>
        <v>4.2108707814759685E-2</v>
      </c>
    </row>
    <row r="313" spans="1:4" x14ac:dyDescent="0.35">
      <c r="A313" s="10">
        <v>42917</v>
      </c>
      <c r="B313" s="15">
        <f>VLOOKUP(A313,Database!A:Q,MATCH($A$1,Database!$A$1:$Q$1,),)</f>
        <v>98774</v>
      </c>
      <c r="C313" s="12">
        <f t="shared" si="8"/>
        <v>5.4700162074554294E-4</v>
      </c>
      <c r="D313" s="13">
        <f t="shared" si="9"/>
        <v>2.9700286682303883E-2</v>
      </c>
    </row>
    <row r="314" spans="1:4" x14ac:dyDescent="0.35">
      <c r="A314" s="11">
        <v>42948</v>
      </c>
      <c r="B314" s="15">
        <f>VLOOKUP(A314,Database!A:Q,MATCH($A$1,Database!$A$1:$Q$1,),)</f>
        <v>96666</v>
      </c>
      <c r="C314" s="12">
        <f t="shared" si="8"/>
        <v>-2.134164861198291E-2</v>
      </c>
      <c r="D314" s="13">
        <f t="shared" si="9"/>
        <v>3.4775928828725956E-3</v>
      </c>
    </row>
    <row r="315" spans="1:4" x14ac:dyDescent="0.35">
      <c r="A315" s="10">
        <v>42979</v>
      </c>
      <c r="B315" s="15">
        <f>VLOOKUP(A315,Database!A:Q,MATCH($A$1,Database!$A$1:$Q$1,),)</f>
        <v>100864</v>
      </c>
      <c r="C315" s="12">
        <f t="shared" si="8"/>
        <v>4.3427885709556614E-2</v>
      </c>
      <c r="D315" s="13">
        <f t="shared" si="9"/>
        <v>3.704465304695613E-2</v>
      </c>
    </row>
    <row r="316" spans="1:4" x14ac:dyDescent="0.35">
      <c r="A316" s="11">
        <v>43009</v>
      </c>
      <c r="B316" s="15">
        <f>VLOOKUP(A316,Database!A:Q,MATCH($A$1,Database!$A$1:$Q$1,),)</f>
        <v>101485</v>
      </c>
      <c r="C316" s="12">
        <f t="shared" si="8"/>
        <v>6.1568052030456849E-3</v>
      </c>
      <c r="D316" s="13">
        <f t="shared" si="9"/>
        <v>4.6938670242946304E-2</v>
      </c>
    </row>
    <row r="317" spans="1:4" x14ac:dyDescent="0.35">
      <c r="A317" s="10">
        <v>43040</v>
      </c>
      <c r="B317" s="15">
        <f>VLOOKUP(A317,Database!A:Q,MATCH($A$1,Database!$A$1:$Q$1,),)</f>
        <v>100674</v>
      </c>
      <c r="C317" s="12">
        <f t="shared" si="8"/>
        <v>-7.9913287677981972E-3</v>
      </c>
      <c r="D317" s="13">
        <f t="shared" si="9"/>
        <v>4.1936618989464096E-2</v>
      </c>
    </row>
    <row r="318" spans="1:4" x14ac:dyDescent="0.35">
      <c r="A318" s="11">
        <v>43070</v>
      </c>
      <c r="B318" s="15">
        <f>VLOOKUP(A318,Database!A:Q,MATCH($A$1,Database!$A$1:$Q$1,),)</f>
        <v>100407</v>
      </c>
      <c r="C318" s="12">
        <f t="shared" si="8"/>
        <v>-2.6521246796590977E-3</v>
      </c>
      <c r="D318" s="13">
        <f t="shared" si="9"/>
        <v>1.0618809888074725E-2</v>
      </c>
    </row>
    <row r="319" spans="1:4" x14ac:dyDescent="0.35">
      <c r="A319" s="10">
        <v>43101</v>
      </c>
      <c r="B319" s="15">
        <f>VLOOKUP(A319,Database!A:Q,MATCH($A$1,Database!$A$1:$Q$1,),)</f>
        <v>100178</v>
      </c>
      <c r="C319" s="12">
        <f t="shared" si="8"/>
        <v>-2.2807174798569821E-3</v>
      </c>
      <c r="D319" s="13">
        <f t="shared" si="9"/>
        <v>7.522880418384793E-3</v>
      </c>
    </row>
    <row r="320" spans="1:4" x14ac:dyDescent="0.35">
      <c r="A320" s="11">
        <v>43132</v>
      </c>
      <c r="B320" s="15">
        <f>VLOOKUP(A320,Database!A:Q,MATCH($A$1,Database!$A$1:$Q$1,),)</f>
        <v>99933</v>
      </c>
      <c r="C320" s="12">
        <f t="shared" si="8"/>
        <v>-2.4456467487871587E-3</v>
      </c>
      <c r="D320" s="13">
        <f t="shared" si="9"/>
        <v>1.0077221638230776E-2</v>
      </c>
    </row>
    <row r="321" spans="1:4" x14ac:dyDescent="0.35">
      <c r="A321" s="10">
        <v>43160</v>
      </c>
      <c r="B321" s="15">
        <f>VLOOKUP(A321,Database!A:Q,MATCH($A$1,Database!$A$1:$Q$1,),)</f>
        <v>99932</v>
      </c>
      <c r="C321" s="12">
        <f t="shared" si="8"/>
        <v>-1.0006704492009646E-5</v>
      </c>
      <c r="D321" s="13">
        <f t="shared" si="9"/>
        <v>3.151353750554816E-2</v>
      </c>
    </row>
    <row r="322" spans="1:4" x14ac:dyDescent="0.35">
      <c r="A322" s="11">
        <v>43191</v>
      </c>
      <c r="B322" s="15">
        <f>VLOOKUP(A322,Database!A:Q,MATCH($A$1,Database!$A$1:$Q$1,),)</f>
        <v>100357</v>
      </c>
      <c r="C322" s="12">
        <f t="shared" si="8"/>
        <v>4.2528919665372452E-3</v>
      </c>
      <c r="D322" s="13">
        <f t="shared" si="9"/>
        <v>3.0645045341110986E-2</v>
      </c>
    </row>
    <row r="323" spans="1:4" x14ac:dyDescent="0.35">
      <c r="A323" s="10">
        <v>43221</v>
      </c>
      <c r="B323" s="15">
        <f>VLOOKUP(A323,Database!A:Q,MATCH($A$1,Database!$A$1:$Q$1,),)</f>
        <v>100654</v>
      </c>
      <c r="C323" s="12">
        <f t="shared" si="8"/>
        <v>2.959434817700808E-3</v>
      </c>
      <c r="D323" s="13">
        <f t="shared" si="9"/>
        <v>2.9129390112979908E-2</v>
      </c>
    </row>
    <row r="324" spans="1:4" x14ac:dyDescent="0.35">
      <c r="A324" s="11">
        <v>43252</v>
      </c>
      <c r="B324" s="15">
        <f>VLOOKUP(A324,Database!A:Q,MATCH($A$1,Database!$A$1:$Q$1,),)</f>
        <v>100387</v>
      </c>
      <c r="C324" s="12">
        <f t="shared" si="8"/>
        <v>-2.6526516581556621E-3</v>
      </c>
      <c r="D324" s="13">
        <f t="shared" si="9"/>
        <v>1.6886142625607781E-2</v>
      </c>
    </row>
    <row r="325" spans="1:4" x14ac:dyDescent="0.35">
      <c r="A325" s="10">
        <v>43282</v>
      </c>
      <c r="B325" s="15">
        <f>VLOOKUP(A325,Database!A:Q,MATCH($A$1,Database!$A$1:$Q$1,),)</f>
        <v>100899</v>
      </c>
      <c r="C325" s="12">
        <f t="shared" si="8"/>
        <v>5.1002619861137402E-3</v>
      </c>
      <c r="D325" s="13">
        <f t="shared" si="9"/>
        <v>2.1513758681434385E-2</v>
      </c>
    </row>
    <row r="326" spans="1:4" x14ac:dyDescent="0.35">
      <c r="A326" s="11">
        <v>43313</v>
      </c>
      <c r="B326" s="15">
        <f>VLOOKUP(A326,Database!A:Q,MATCH($A$1,Database!$A$1:$Q$1,),)</f>
        <v>100088</v>
      </c>
      <c r="C326" s="12">
        <f t="shared" si="8"/>
        <v>-8.037740711008037E-3</v>
      </c>
      <c r="D326" s="13">
        <f t="shared" si="9"/>
        <v>3.5400244139614755E-2</v>
      </c>
    </row>
    <row r="327" spans="1:4" x14ac:dyDescent="0.35">
      <c r="A327" s="10">
        <v>43344</v>
      </c>
      <c r="B327" s="15">
        <f>VLOOKUP(A327,Database!A:Q,MATCH($A$1,Database!$A$1:$Q$1,),)</f>
        <v>99409</v>
      </c>
      <c r="C327" s="12">
        <f t="shared" si="8"/>
        <v>-6.7840300535528739E-3</v>
      </c>
      <c r="D327" s="13">
        <f t="shared" si="9"/>
        <v>-1.4425364847715736E-2</v>
      </c>
    </row>
    <row r="328" spans="1:4" x14ac:dyDescent="0.35">
      <c r="A328" s="11">
        <v>43374</v>
      </c>
      <c r="B328" s="15">
        <f>VLOOKUP(A328,Database!A:Q,MATCH($A$1,Database!$A$1:$Q$1,),)</f>
        <v>100069</v>
      </c>
      <c r="C328" s="12">
        <f t="shared" ref="C328:C391" si="10">(B328-B327)/B327</f>
        <v>6.6392378959651537E-3</v>
      </c>
      <c r="D328" s="13">
        <f t="shared" si="9"/>
        <v>-1.3952800906537912E-2</v>
      </c>
    </row>
    <row r="329" spans="1:4" x14ac:dyDescent="0.35">
      <c r="A329" s="10">
        <v>43405</v>
      </c>
      <c r="B329" s="15">
        <f>VLOOKUP(A329,Database!A:Q,MATCH($A$1,Database!$A$1:$Q$1,),)</f>
        <v>101090</v>
      </c>
      <c r="C329" s="12">
        <f t="shared" si="10"/>
        <v>1.0202959957629236E-2</v>
      </c>
      <c r="D329" s="13">
        <f t="shared" si="9"/>
        <v>4.1321493136261597E-3</v>
      </c>
    </row>
    <row r="330" spans="1:4" x14ac:dyDescent="0.35">
      <c r="A330" s="11">
        <v>43435</v>
      </c>
      <c r="B330" s="15">
        <f>VLOOKUP(A330,Database!A:Q,MATCH($A$1,Database!$A$1:$Q$1,),)</f>
        <v>102015</v>
      </c>
      <c r="C330" s="12">
        <f t="shared" si="10"/>
        <v>9.1502621426451675E-3</v>
      </c>
      <c r="D330" s="13">
        <f t="shared" si="9"/>
        <v>1.6014819683886582E-2</v>
      </c>
    </row>
    <row r="331" spans="1:4" x14ac:dyDescent="0.35">
      <c r="A331" s="10">
        <v>43466</v>
      </c>
      <c r="B331" s="15">
        <f>VLOOKUP(A331,Database!A:Q,MATCH($A$1,Database!$A$1:$Q$1,),)</f>
        <v>99646</v>
      </c>
      <c r="C331" s="12">
        <f t="shared" si="10"/>
        <v>-2.3222075185021812E-2</v>
      </c>
      <c r="D331" s="13">
        <f t="shared" si="9"/>
        <v>-5.3105472259378306E-3</v>
      </c>
    </row>
    <row r="332" spans="1:4" x14ac:dyDescent="0.35">
      <c r="A332" s="11">
        <v>43497</v>
      </c>
      <c r="B332" s="15">
        <f>VLOOKUP(A332,Database!A:Q,MATCH($A$1,Database!$A$1:$Q$1,),)</f>
        <v>100952</v>
      </c>
      <c r="C332" s="12">
        <f t="shared" si="10"/>
        <v>1.3106396644120185E-2</v>
      </c>
      <c r="D332" s="13">
        <f t="shared" si="9"/>
        <v>1.019683187735783E-2</v>
      </c>
    </row>
    <row r="333" spans="1:4" x14ac:dyDescent="0.35">
      <c r="A333" s="10">
        <v>43525</v>
      </c>
      <c r="B333" s="15">
        <f>VLOOKUP(A333,Database!A:Q,MATCH($A$1,Database!$A$1:$Q$1,),)</f>
        <v>103572</v>
      </c>
      <c r="C333" s="12">
        <f t="shared" si="10"/>
        <v>2.5952928124257073E-2</v>
      </c>
      <c r="D333" s="13">
        <f t="shared" si="9"/>
        <v>3.6424768842813114E-2</v>
      </c>
    </row>
    <row r="334" spans="1:4" x14ac:dyDescent="0.35">
      <c r="A334" s="11">
        <v>43556</v>
      </c>
      <c r="B334" s="15">
        <f>VLOOKUP(A334,Database!A:Q,MATCH($A$1,Database!$A$1:$Q$1,),)</f>
        <v>102246</v>
      </c>
      <c r="C334" s="12">
        <f t="shared" si="10"/>
        <v>-1.2802687985169738E-2</v>
      </c>
      <c r="D334" s="13">
        <f t="shared" si="9"/>
        <v>1.8822802594736791E-2</v>
      </c>
    </row>
    <row r="335" spans="1:4" x14ac:dyDescent="0.35">
      <c r="A335" s="10">
        <v>43586</v>
      </c>
      <c r="B335" s="15">
        <f>VLOOKUP(A335,Database!A:Q,MATCH($A$1,Database!$A$1:$Q$1,),)</f>
        <v>102877</v>
      </c>
      <c r="C335" s="12">
        <f t="shared" si="10"/>
        <v>6.1713905678461752E-3</v>
      </c>
      <c r="D335" s="13">
        <f t="shared" si="9"/>
        <v>2.208556043475669E-2</v>
      </c>
    </row>
    <row r="336" spans="1:4" x14ac:dyDescent="0.35">
      <c r="A336" s="11">
        <v>43617</v>
      </c>
      <c r="B336" s="15">
        <f>VLOOKUP(A336,Database!A:Q,MATCH($A$1,Database!$A$1:$Q$1,),)</f>
        <v>102878</v>
      </c>
      <c r="C336" s="12">
        <f t="shared" si="10"/>
        <v>9.7203456554915087E-6</v>
      </c>
      <c r="D336" s="13">
        <f t="shared" si="9"/>
        <v>2.4813969936346339E-2</v>
      </c>
    </row>
    <row r="337" spans="1:4" x14ac:dyDescent="0.35">
      <c r="A337" s="10">
        <v>43647</v>
      </c>
      <c r="B337" s="15">
        <f>VLOOKUP(A337,Database!A:Q,MATCH($A$1,Database!$A$1:$Q$1,),)</f>
        <v>103345</v>
      </c>
      <c r="C337" s="12">
        <f t="shared" si="10"/>
        <v>4.5393572969925546E-3</v>
      </c>
      <c r="D337" s="13">
        <f t="shared" si="9"/>
        <v>2.4242063846024241E-2</v>
      </c>
    </row>
    <row r="338" spans="1:4" x14ac:dyDescent="0.35">
      <c r="A338" s="11">
        <v>43678</v>
      </c>
      <c r="B338" s="15">
        <f>VLOOKUP(A338,Database!A:Q,MATCH($A$1,Database!$A$1:$Q$1,),)</f>
        <v>105732</v>
      </c>
      <c r="C338" s="12">
        <f t="shared" si="10"/>
        <v>2.3097392229909527E-2</v>
      </c>
      <c r="D338" s="13">
        <f t="shared" si="9"/>
        <v>5.6390376468707537E-2</v>
      </c>
    </row>
    <row r="339" spans="1:4" x14ac:dyDescent="0.35">
      <c r="A339" s="10">
        <v>43709</v>
      </c>
      <c r="B339" s="15">
        <f>VLOOKUP(A339,Database!A:Q,MATCH($A$1,Database!$A$1:$Q$1,),)</f>
        <v>103485</v>
      </c>
      <c r="C339" s="12">
        <f t="shared" si="10"/>
        <v>-2.125184428555215E-2</v>
      </c>
      <c r="D339" s="13">
        <f t="shared" ref="D339:D402" si="11">(B339-B327)/B327</f>
        <v>4.1002323733263589E-2</v>
      </c>
    </row>
    <row r="340" spans="1:4" x14ac:dyDescent="0.35">
      <c r="A340" s="11">
        <v>43739</v>
      </c>
      <c r="B340" s="15">
        <f>VLOOKUP(A340,Database!A:Q,MATCH($A$1,Database!$A$1:$Q$1,),)</f>
        <v>103340</v>
      </c>
      <c r="C340" s="12">
        <f t="shared" si="10"/>
        <v>-1.4011692515823548E-3</v>
      </c>
      <c r="D340" s="13">
        <f t="shared" si="11"/>
        <v>3.2687445662492882E-2</v>
      </c>
    </row>
    <row r="341" spans="1:4" x14ac:dyDescent="0.35">
      <c r="A341" s="10">
        <v>43770</v>
      </c>
      <c r="B341" s="15">
        <f>VLOOKUP(A341,Database!A:Q,MATCH($A$1,Database!$A$1:$Q$1,),)</f>
        <v>105719</v>
      </c>
      <c r="C341" s="12">
        <f t="shared" si="10"/>
        <v>2.3021095413199147E-2</v>
      </c>
      <c r="D341" s="13">
        <f t="shared" si="11"/>
        <v>4.5790879414383222E-2</v>
      </c>
    </row>
    <row r="342" spans="1:4" x14ac:dyDescent="0.35">
      <c r="A342" s="11">
        <v>43800</v>
      </c>
      <c r="B342" s="15">
        <f>VLOOKUP(A342,Database!A:Q,MATCH($A$1,Database!$A$1:$Q$1,),)</f>
        <v>103750</v>
      </c>
      <c r="C342" s="12">
        <f t="shared" si="10"/>
        <v>-1.8624845108258684E-2</v>
      </c>
      <c r="D342" s="13">
        <f t="shared" si="11"/>
        <v>1.7007302847620448E-2</v>
      </c>
    </row>
    <row r="343" spans="1:4" x14ac:dyDescent="0.35">
      <c r="A343" s="10">
        <v>43831</v>
      </c>
      <c r="B343" s="15">
        <f>VLOOKUP(A343,Database!A:Q,MATCH($A$1,Database!$A$1:$Q$1,),)</f>
        <v>102930</v>
      </c>
      <c r="C343" s="12">
        <f t="shared" si="10"/>
        <v>-7.9036144578313247E-3</v>
      </c>
      <c r="D343" s="13">
        <f t="shared" si="11"/>
        <v>3.2956666599763158E-2</v>
      </c>
    </row>
    <row r="344" spans="1:4" x14ac:dyDescent="0.35">
      <c r="A344" s="11">
        <v>43862</v>
      </c>
      <c r="B344" s="15">
        <f>VLOOKUP(A344,Database!A:Q,MATCH($A$1,Database!$A$1:$Q$1,),)</f>
        <v>103495</v>
      </c>
      <c r="C344" s="12">
        <f t="shared" si="10"/>
        <v>5.4891673953172057E-3</v>
      </c>
      <c r="D344" s="13">
        <f t="shared" si="11"/>
        <v>2.5190189396941121E-2</v>
      </c>
    </row>
    <row r="345" spans="1:4" x14ac:dyDescent="0.35">
      <c r="A345" s="10">
        <v>43891</v>
      </c>
      <c r="B345" s="15">
        <f>VLOOKUP(A345,Database!A:Q,MATCH($A$1,Database!$A$1:$Q$1,),)</f>
        <v>76157</v>
      </c>
      <c r="C345" s="12">
        <f t="shared" si="10"/>
        <v>-0.26414802647470892</v>
      </c>
      <c r="D345" s="13">
        <f t="shared" si="11"/>
        <v>-0.26469509133742708</v>
      </c>
    </row>
    <row r="346" spans="1:4" x14ac:dyDescent="0.35">
      <c r="A346" s="11">
        <v>43922</v>
      </c>
      <c r="B346" s="15">
        <f>VLOOKUP(A346,Database!A:Q,MATCH($A$1,Database!$A$1:$Q$1,),)</f>
        <v>66241</v>
      </c>
      <c r="C346" s="12">
        <f t="shared" si="10"/>
        <v>-0.13020470869388237</v>
      </c>
      <c r="D346" s="13">
        <f t="shared" si="11"/>
        <v>-0.35214091504802142</v>
      </c>
    </row>
    <row r="347" spans="1:4" x14ac:dyDescent="0.35">
      <c r="A347" s="10">
        <v>43952</v>
      </c>
      <c r="B347" s="15">
        <f>VLOOKUP(A347,Database!A:Q,MATCH($A$1,Database!$A$1:$Q$1,),)</f>
        <v>97963</v>
      </c>
      <c r="C347" s="12">
        <f t="shared" si="10"/>
        <v>0.47888769795141983</v>
      </c>
      <c r="D347" s="13">
        <f t="shared" si="11"/>
        <v>-4.7765778551085276E-2</v>
      </c>
    </row>
    <row r="348" spans="1:4" x14ac:dyDescent="0.35">
      <c r="A348" s="11">
        <v>43983</v>
      </c>
      <c r="B348" s="15">
        <f>VLOOKUP(A348,Database!A:Q,MATCH($A$1,Database!$A$1:$Q$1,),)</f>
        <v>106961</v>
      </c>
      <c r="C348" s="12">
        <f t="shared" si="10"/>
        <v>9.1851004971264666E-2</v>
      </c>
      <c r="D348" s="13">
        <f t="shared" si="11"/>
        <v>3.9687785532378159E-2</v>
      </c>
    </row>
    <row r="349" spans="1:4" x14ac:dyDescent="0.35">
      <c r="A349" s="10">
        <v>44013</v>
      </c>
      <c r="B349" s="15">
        <f>VLOOKUP(A349,Database!A:Q,MATCH($A$1,Database!$A$1:$Q$1,),)</f>
        <v>105832</v>
      </c>
      <c r="C349" s="12">
        <f t="shared" si="10"/>
        <v>-1.0555249109488506E-2</v>
      </c>
      <c r="D349" s="13">
        <f t="shared" si="11"/>
        <v>2.406502491654168E-2</v>
      </c>
    </row>
    <row r="350" spans="1:4" x14ac:dyDescent="0.35">
      <c r="A350" s="11">
        <v>44044</v>
      </c>
      <c r="B350" s="15">
        <f>VLOOKUP(A350,Database!A:Q,MATCH($A$1,Database!$A$1:$Q$1,),)</f>
        <v>107235</v>
      </c>
      <c r="C350" s="12">
        <f t="shared" si="10"/>
        <v>1.3256859928943987E-2</v>
      </c>
      <c r="D350" s="13">
        <f t="shared" si="11"/>
        <v>1.421518556350017E-2</v>
      </c>
    </row>
    <row r="351" spans="1:4" x14ac:dyDescent="0.35">
      <c r="A351" s="10">
        <v>44075</v>
      </c>
      <c r="B351" s="15">
        <f>VLOOKUP(A351,Database!A:Q,MATCH($A$1,Database!$A$1:$Q$1,),)</f>
        <v>111028</v>
      </c>
      <c r="C351" s="12">
        <f t="shared" si="10"/>
        <v>3.5370914346994915E-2</v>
      </c>
      <c r="D351" s="13">
        <f t="shared" si="11"/>
        <v>7.2889790790935882E-2</v>
      </c>
    </row>
    <row r="352" spans="1:4" x14ac:dyDescent="0.35">
      <c r="A352" s="11">
        <v>44105</v>
      </c>
      <c r="B352" s="15">
        <f>VLOOKUP(A352,Database!A:Q,MATCH($A$1,Database!$A$1:$Q$1,),)</f>
        <v>110462</v>
      </c>
      <c r="C352" s="12">
        <f t="shared" si="10"/>
        <v>-5.0978131642468562E-3</v>
      </c>
      <c r="D352" s="13">
        <f t="shared" si="11"/>
        <v>6.8918134313915233E-2</v>
      </c>
    </row>
    <row r="353" spans="1:4" x14ac:dyDescent="0.35">
      <c r="A353" s="10">
        <v>44136</v>
      </c>
      <c r="B353" s="15">
        <f>VLOOKUP(A353,Database!A:Q,MATCH($A$1,Database!$A$1:$Q$1,),)</f>
        <v>108927</v>
      </c>
      <c r="C353" s="12">
        <f t="shared" si="10"/>
        <v>-1.3896181492277887E-2</v>
      </c>
      <c r="D353" s="13">
        <f t="shared" si="11"/>
        <v>3.0344592741134518E-2</v>
      </c>
    </row>
    <row r="354" spans="1:4" x14ac:dyDescent="0.35">
      <c r="A354" s="11">
        <v>44166</v>
      </c>
      <c r="B354" s="15">
        <f>VLOOKUP(A354,Database!A:Q,MATCH($A$1,Database!$A$1:$Q$1,),)</f>
        <v>111086</v>
      </c>
      <c r="C354" s="12">
        <f t="shared" si="10"/>
        <v>1.9820613805576211E-2</v>
      </c>
      <c r="D354" s="13">
        <f t="shared" si="11"/>
        <v>7.0708433734939763E-2</v>
      </c>
    </row>
    <row r="355" spans="1:4" x14ac:dyDescent="0.35">
      <c r="A355" s="10">
        <v>44197</v>
      </c>
      <c r="B355" s="15">
        <f>VLOOKUP(A355,Database!A:Q,MATCH($A$1,Database!$A$1:$Q$1,),)</f>
        <v>115032</v>
      </c>
      <c r="C355" s="12">
        <f t="shared" si="10"/>
        <v>3.5522027978323101E-2</v>
      </c>
      <c r="D355" s="13">
        <f t="shared" si="11"/>
        <v>0.11757505100553775</v>
      </c>
    </row>
    <row r="356" spans="1:4" x14ac:dyDescent="0.35">
      <c r="A356" s="11">
        <v>44228</v>
      </c>
      <c r="B356" s="15">
        <f>VLOOKUP(A356,Database!A:Q,MATCH($A$1,Database!$A$1:$Q$1,),)</f>
        <v>111776</v>
      </c>
      <c r="C356" s="12">
        <f t="shared" si="10"/>
        <v>-2.8305167257806522E-2</v>
      </c>
      <c r="D356" s="13">
        <f t="shared" si="11"/>
        <v>8.001352722353737E-2</v>
      </c>
    </row>
    <row r="357" spans="1:4" x14ac:dyDescent="0.35">
      <c r="A357" s="10">
        <v>44256</v>
      </c>
      <c r="B357" s="15">
        <f>VLOOKUP(A357,Database!A:Q,MATCH($A$1,Database!$A$1:$Q$1,),)</f>
        <v>131105</v>
      </c>
      <c r="C357" s="12">
        <f t="shared" si="10"/>
        <v>0.1729262095619811</v>
      </c>
      <c r="D357" s="13">
        <f t="shared" si="11"/>
        <v>0.72150951324238088</v>
      </c>
    </row>
    <row r="358" spans="1:4" x14ac:dyDescent="0.35">
      <c r="A358" s="11">
        <v>44287</v>
      </c>
      <c r="B358" s="15">
        <f>VLOOKUP(A358,Database!A:Q,MATCH($A$1,Database!$A$1:$Q$1,),)</f>
        <v>133457</v>
      </c>
      <c r="C358" s="12">
        <f t="shared" si="10"/>
        <v>1.7939819228862362E-2</v>
      </c>
      <c r="D358" s="13">
        <f t="shared" si="11"/>
        <v>1.0147189806917165</v>
      </c>
    </row>
    <row r="359" spans="1:4" x14ac:dyDescent="0.35">
      <c r="A359" s="10">
        <v>44317</v>
      </c>
      <c r="B359" s="15">
        <f>VLOOKUP(A359,Database!A:Q,MATCH($A$1,Database!$A$1:$Q$1,),)</f>
        <v>131143</v>
      </c>
      <c r="C359" s="12">
        <f t="shared" si="10"/>
        <v>-1.7338918153412711E-2</v>
      </c>
      <c r="D359" s="13">
        <f t="shared" si="11"/>
        <v>0.33869930483958227</v>
      </c>
    </row>
    <row r="360" spans="1:4" x14ac:dyDescent="0.35">
      <c r="A360" s="11">
        <v>44348</v>
      </c>
      <c r="B360" s="15">
        <f>VLOOKUP(A360,Database!A:Q,MATCH($A$1,Database!$A$1:$Q$1,),)</f>
        <v>127077</v>
      </c>
      <c r="C360" s="12">
        <f t="shared" si="10"/>
        <v>-3.1004323524702043E-2</v>
      </c>
      <c r="D360" s="13">
        <f t="shared" si="11"/>
        <v>0.18806854834939837</v>
      </c>
    </row>
    <row r="361" spans="1:4" x14ac:dyDescent="0.35">
      <c r="A361" s="10">
        <v>44378</v>
      </c>
      <c r="B361" s="15">
        <f>VLOOKUP(A361,Database!A:Q,MATCH($A$1,Database!$A$1:$Q$1,),)</f>
        <v>122328</v>
      </c>
      <c r="C361" s="12">
        <f t="shared" si="10"/>
        <v>-3.737104275360608E-2</v>
      </c>
      <c r="D361" s="13">
        <f t="shared" si="11"/>
        <v>0.15586968024794012</v>
      </c>
    </row>
    <row r="362" spans="1:4" x14ac:dyDescent="0.35">
      <c r="A362" s="11">
        <v>44409</v>
      </c>
      <c r="B362" s="15">
        <f>VLOOKUP(A362,Database!A:Q,MATCH($A$1,Database!$A$1:$Q$1,),)</f>
        <v>119616</v>
      </c>
      <c r="C362" s="12">
        <f t="shared" si="10"/>
        <v>-2.2169903865018638E-2</v>
      </c>
      <c r="D362" s="13">
        <f t="shared" si="11"/>
        <v>0.11545670723178067</v>
      </c>
    </row>
    <row r="363" spans="1:4" x14ac:dyDescent="0.35">
      <c r="A363" s="11">
        <v>44440</v>
      </c>
      <c r="B363" s="15">
        <f>VLOOKUP(A363,Database!A:Q,MATCH($A$1,Database!$A$1:$Q$1,),)</f>
        <v>121092</v>
      </c>
      <c r="C363" s="12">
        <f t="shared" si="10"/>
        <v>1.2339486356340289E-2</v>
      </c>
      <c r="D363" s="13">
        <f t="shared" si="11"/>
        <v>9.0643801563569548E-2</v>
      </c>
    </row>
    <row r="364" spans="1:4" x14ac:dyDescent="0.35">
      <c r="A364" s="10">
        <v>44470</v>
      </c>
      <c r="B364" s="15">
        <f>VLOOKUP(A364,Database!A:Q,MATCH($A$1,Database!$A$1:$Q$1,),)</f>
        <v>122697</v>
      </c>
      <c r="C364" s="12">
        <f t="shared" si="10"/>
        <v>1.3254385095629768E-2</v>
      </c>
      <c r="D364" s="13">
        <f t="shared" si="11"/>
        <v>0.1107620720247687</v>
      </c>
    </row>
    <row r="365" spans="1:4" x14ac:dyDescent="0.35">
      <c r="A365" s="11">
        <v>44501</v>
      </c>
      <c r="B365" s="15">
        <f>VLOOKUP(A365,Database!A:Q,MATCH($A$1,Database!$A$1:$Q$1,),)</f>
        <v>124925</v>
      </c>
      <c r="C365" s="12">
        <f t="shared" si="10"/>
        <v>1.8158553183859425E-2</v>
      </c>
      <c r="D365" s="13">
        <f t="shared" si="11"/>
        <v>0.14686900401186115</v>
      </c>
    </row>
    <row r="366" spans="1:4" x14ac:dyDescent="0.35">
      <c r="A366" s="11">
        <v>44531</v>
      </c>
      <c r="B366" s="15">
        <f>VLOOKUP(A366,Database!A:Q,MATCH($A$1,Database!$A$1:$Q$1,),)</f>
        <v>120807</v>
      </c>
      <c r="C366" s="12">
        <f t="shared" si="10"/>
        <v>-3.2963778266960175E-2</v>
      </c>
      <c r="D366" s="13">
        <f t="shared" si="11"/>
        <v>8.7508776983598296E-2</v>
      </c>
    </row>
    <row r="367" spans="1:4" x14ac:dyDescent="0.35">
      <c r="A367" s="11">
        <v>44562</v>
      </c>
      <c r="B367" s="15">
        <f>VLOOKUP(A367,Database!A:Q,MATCH($A$1,Database!$A$1:$Q$1,),)</f>
        <v>129666</v>
      </c>
      <c r="C367" s="12">
        <f t="shared" si="10"/>
        <v>7.3331843353448056E-2</v>
      </c>
      <c r="D367" s="13">
        <f t="shared" si="11"/>
        <v>0.1272167744627582</v>
      </c>
    </row>
    <row r="368" spans="1:4" x14ac:dyDescent="0.35">
      <c r="A368" s="11">
        <v>44593</v>
      </c>
      <c r="B368" s="15">
        <f>VLOOKUP(A368,Database!A:Q,MATCH($A$1,Database!$A$1:$Q$1,),)</f>
        <v>131428</v>
      </c>
      <c r="C368" s="12">
        <f t="shared" si="10"/>
        <v>1.3588758811099286E-2</v>
      </c>
      <c r="D368" s="13">
        <f t="shared" si="11"/>
        <v>0.17581591754938447</v>
      </c>
    </row>
    <row r="369" spans="1:4" x14ac:dyDescent="0.35">
      <c r="A369" s="11">
        <v>44621</v>
      </c>
      <c r="B369" s="15">
        <f>VLOOKUP(A369,Database!A:Q,MATCH($A$1,Database!$A$1:$Q$1,),)</f>
        <v>128522</v>
      </c>
      <c r="C369" s="12">
        <f t="shared" si="10"/>
        <v>-2.2110965699850868E-2</v>
      </c>
      <c r="D369" s="13">
        <f t="shared" si="11"/>
        <v>-1.9701765760268487E-2</v>
      </c>
    </row>
    <row r="370" spans="1:4" x14ac:dyDescent="0.35">
      <c r="A370" s="11">
        <v>44652</v>
      </c>
      <c r="B370" s="15">
        <f>VLOOKUP(A370,Database!A:Q,MATCH($A$1,Database!$A$1:$Q$1,),)</f>
        <v>130811</v>
      </c>
      <c r="C370" s="12">
        <f t="shared" si="10"/>
        <v>1.7810180358226606E-2</v>
      </c>
      <c r="D370" s="13">
        <f t="shared" si="11"/>
        <v>-1.9826610818465873E-2</v>
      </c>
    </row>
    <row r="371" spans="1:4" x14ac:dyDescent="0.35">
      <c r="A371" s="10">
        <v>44682</v>
      </c>
      <c r="B371" s="15">
        <f>VLOOKUP(A371,Database!A:Q,MATCH($A$1,Database!$A$1:$Q$1,),)</f>
        <v>126390</v>
      </c>
      <c r="C371" s="12">
        <f t="shared" si="10"/>
        <v>-3.3796851946701727E-2</v>
      </c>
      <c r="D371" s="13">
        <f t="shared" si="11"/>
        <v>-3.6242879909716877E-2</v>
      </c>
    </row>
    <row r="372" spans="1:4" x14ac:dyDescent="0.35">
      <c r="A372" s="11">
        <v>44713</v>
      </c>
      <c r="B372" s="15">
        <f>VLOOKUP(A372,Database!A:Q,MATCH($A$1,Database!$A$1:$Q$1,),)</f>
        <v>127104</v>
      </c>
      <c r="C372" s="12">
        <f t="shared" si="10"/>
        <v>5.6491811061001665E-3</v>
      </c>
      <c r="D372" s="13">
        <f t="shared" si="11"/>
        <v>2.1246960504261195E-4</v>
      </c>
    </row>
    <row r="373" spans="1:4" x14ac:dyDescent="0.35">
      <c r="A373" s="10">
        <v>44743</v>
      </c>
      <c r="B373" s="15">
        <f>VLOOKUP(A373,Database!A:Q,MATCH($A$1,Database!$A$1:$Q$1,),)</f>
        <v>124553</v>
      </c>
      <c r="C373" s="12">
        <f t="shared" si="10"/>
        <v>-2.0070178751258813E-2</v>
      </c>
      <c r="D373" s="13">
        <f t="shared" si="11"/>
        <v>1.8188803871558433E-2</v>
      </c>
    </row>
    <row r="374" spans="1:4" x14ac:dyDescent="0.35">
      <c r="A374" s="10">
        <v>44774</v>
      </c>
      <c r="B374" s="15">
        <f>VLOOKUP(A374,Database!A:Q,MATCH($A$1,Database!$A$1:$Q$1,),)</f>
        <v>128149</v>
      </c>
      <c r="C374" s="12">
        <f t="shared" si="10"/>
        <v>2.8871243566995577E-2</v>
      </c>
      <c r="D374" s="13">
        <f t="shared" si="11"/>
        <v>7.1336610486891383E-2</v>
      </c>
    </row>
    <row r="375" spans="1:4" x14ac:dyDescent="0.35">
      <c r="A375" s="10">
        <v>44805</v>
      </c>
      <c r="B375" s="15">
        <f>VLOOKUP(A375,Database!A:Q,MATCH($A$1,Database!$A$1:$Q$1,),)</f>
        <v>127451</v>
      </c>
      <c r="C375" s="12">
        <f t="shared" si="10"/>
        <v>-5.4467846022988866E-3</v>
      </c>
      <c r="D375" s="13">
        <f t="shared" si="11"/>
        <v>5.251379116704654E-2</v>
      </c>
    </row>
    <row r="376" spans="1:4" x14ac:dyDescent="0.35">
      <c r="A376" s="10">
        <v>44835</v>
      </c>
      <c r="B376" s="15">
        <f>VLOOKUP(A376,Database!A:Q,MATCH($A$1,Database!$A$1:$Q$1,),)</f>
        <v>129482</v>
      </c>
      <c r="C376" s="12">
        <f t="shared" si="10"/>
        <v>1.5935536009917536E-2</v>
      </c>
      <c r="D376" s="13">
        <f t="shared" si="11"/>
        <v>5.5298825562157185E-2</v>
      </c>
    </row>
    <row r="377" spans="1:4" x14ac:dyDescent="0.35">
      <c r="A377" s="11">
        <v>44866</v>
      </c>
      <c r="B377" s="15">
        <f>VLOOKUP(A377,Database!A:Q,MATCH($A$1,Database!$A$1:$Q$1,),)</f>
        <v>126512</v>
      </c>
      <c r="C377" s="12">
        <f t="shared" si="10"/>
        <v>-2.2937551165412955E-2</v>
      </c>
      <c r="D377" s="13">
        <f t="shared" si="11"/>
        <v>1.2703622173303982E-2</v>
      </c>
    </row>
  </sheetData>
  <conditionalFormatting sqref="D19:D377">
    <cfRule type="colorScale" priority="50">
      <colorScale>
        <cfvo type="min"/>
        <cfvo type="percentile" val="50"/>
        <cfvo type="max"/>
        <color rgb="FFF8696B"/>
        <color rgb="FFFFEB84"/>
        <color rgb="FF63BE7B"/>
      </colorScale>
    </cfRule>
  </conditionalFormatting>
  <conditionalFormatting sqref="C8:C377">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7"/>
  <sheetViews>
    <sheetView zoomScale="130" zoomScaleNormal="130" workbookViewId="0">
      <pane ySplit="6" topLeftCell="A351" activePane="bottomLeft" state="frozen"/>
      <selection pane="bottomLeft" activeCell="AB369" sqref="AB369"/>
    </sheetView>
  </sheetViews>
  <sheetFormatPr defaultColWidth="9.1796875" defaultRowHeight="14.5" x14ac:dyDescent="0.35"/>
  <cols>
    <col min="1" max="1" width="14" style="54" customWidth="1"/>
    <col min="2" max="2" width="20.6328125" style="54" customWidth="1"/>
    <col min="3" max="3" width="14.36328125" style="54" customWidth="1"/>
    <col min="4" max="4" width="14.1796875" style="54" customWidth="1"/>
    <col min="5" max="22" width="9.1796875" style="109" customWidth="1"/>
    <col min="23" max="16384" width="9.1796875" style="109"/>
  </cols>
  <sheetData>
    <row r="1" spans="1:4" x14ac:dyDescent="0.35">
      <c r="A1" s="109" t="s">
        <v>52</v>
      </c>
      <c r="B1" s="29" t="s">
        <v>118</v>
      </c>
    </row>
    <row r="2" spans="1:4" x14ac:dyDescent="0.35">
      <c r="A2" s="110" t="s">
        <v>44</v>
      </c>
      <c r="B2" s="109"/>
    </row>
    <row r="3" spans="1:4" x14ac:dyDescent="0.35">
      <c r="A3" s="9"/>
    </row>
    <row r="4" spans="1:4" x14ac:dyDescent="0.35">
      <c r="A4" s="9"/>
    </row>
    <row r="5" spans="1:4" ht="16" customHeight="1" thickBot="1" x14ac:dyDescent="0.4">
      <c r="A5" s="9"/>
    </row>
    <row r="6" spans="1:4" ht="16" customHeight="1" thickBot="1" x14ac:dyDescent="0.4">
      <c r="A6" s="88" t="s">
        <v>82</v>
      </c>
      <c r="B6" s="89" t="s">
        <v>119</v>
      </c>
      <c r="C6" s="89" t="s">
        <v>120</v>
      </c>
      <c r="D6" s="90" t="s">
        <v>121</v>
      </c>
    </row>
    <row r="7" spans="1:4" x14ac:dyDescent="0.35">
      <c r="A7" s="17">
        <v>33604</v>
      </c>
      <c r="B7" s="18">
        <f>VLOOKUP(A7,Database!A:K,MATCH($A$1,Database!$A$1:$K$1,),)</f>
        <v>10845</v>
      </c>
      <c r="C7" s="19"/>
      <c r="D7" s="19"/>
    </row>
    <row r="8" spans="1:4" x14ac:dyDescent="0.35">
      <c r="A8" s="11">
        <v>33635</v>
      </c>
      <c r="B8" s="15">
        <f>VLOOKUP(A8,Database!A:K,MATCH($A$1,Database!$A$1:$K$1,),)</f>
        <v>10904</v>
      </c>
      <c r="C8" s="12">
        <f t="shared" ref="C8:C71" si="0">(B8-B7)/B7</f>
        <v>5.4402950668510832E-3</v>
      </c>
      <c r="D8" s="1"/>
    </row>
    <row r="9" spans="1:4" x14ac:dyDescent="0.35">
      <c r="A9" s="17">
        <v>33664</v>
      </c>
      <c r="B9" s="15">
        <f>VLOOKUP(A9,Database!A:K,MATCH($A$1,Database!$A$1:$K$1,),)</f>
        <v>10986</v>
      </c>
      <c r="C9" s="12">
        <f t="shared" si="0"/>
        <v>7.52017608217168E-3</v>
      </c>
      <c r="D9" s="1"/>
    </row>
    <row r="10" spans="1:4" x14ac:dyDescent="0.35">
      <c r="A10" s="11">
        <v>33695</v>
      </c>
      <c r="B10" s="15">
        <f>VLOOKUP(A10,Database!A:K,MATCH($A$1,Database!$A$1:$K$1,),)</f>
        <v>10738</v>
      </c>
      <c r="C10" s="12">
        <f t="shared" si="0"/>
        <v>-2.2574185326779538E-2</v>
      </c>
      <c r="D10" s="1"/>
    </row>
    <row r="11" spans="1:4" x14ac:dyDescent="0.35">
      <c r="A11" s="17">
        <v>33725</v>
      </c>
      <c r="B11" s="15">
        <f>VLOOKUP(A11,Database!A:K,MATCH($A$1,Database!$A$1:$K$1,),)</f>
        <v>10777</v>
      </c>
      <c r="C11" s="12">
        <f t="shared" si="0"/>
        <v>3.6319612590799033E-3</v>
      </c>
      <c r="D11" s="1"/>
    </row>
    <row r="12" spans="1:4" x14ac:dyDescent="0.35">
      <c r="A12" s="11">
        <v>33756</v>
      </c>
      <c r="B12" s="15">
        <f>VLOOKUP(A12,Database!A:K,MATCH($A$1,Database!$A$1:$K$1,),)</f>
        <v>10790</v>
      </c>
      <c r="C12" s="12">
        <f t="shared" si="0"/>
        <v>1.2062726176115801E-3</v>
      </c>
      <c r="D12" s="1"/>
    </row>
    <row r="13" spans="1:4" x14ac:dyDescent="0.35">
      <c r="A13" s="17">
        <v>33786</v>
      </c>
      <c r="B13" s="15">
        <f>VLOOKUP(A13,Database!A:K,MATCH($A$1,Database!$A$1:$K$1,),)</f>
        <v>10785</v>
      </c>
      <c r="C13" s="12">
        <f t="shared" si="0"/>
        <v>-4.6339202965708991E-4</v>
      </c>
      <c r="D13" s="1"/>
    </row>
    <row r="14" spans="1:4" x14ac:dyDescent="0.35">
      <c r="A14" s="11">
        <v>33817</v>
      </c>
      <c r="B14" s="15">
        <f>VLOOKUP(A14,Database!A:K,MATCH($A$1,Database!$A$1:$K$1,),)</f>
        <v>10915</v>
      </c>
      <c r="C14" s="12">
        <f t="shared" si="0"/>
        <v>1.2053778395920259E-2</v>
      </c>
      <c r="D14" s="1"/>
    </row>
    <row r="15" spans="1:4" x14ac:dyDescent="0.35">
      <c r="A15" s="17">
        <v>33848</v>
      </c>
      <c r="B15" s="15">
        <f>VLOOKUP(A15,Database!A:K,MATCH($A$1,Database!$A$1:$K$1,),)</f>
        <v>10980</v>
      </c>
      <c r="C15" s="12">
        <f t="shared" si="0"/>
        <v>5.9551076500229038E-3</v>
      </c>
      <c r="D15" s="1"/>
    </row>
    <row r="16" spans="1:4" x14ac:dyDescent="0.35">
      <c r="A16" s="11">
        <v>33878</v>
      </c>
      <c r="B16" s="15">
        <f>VLOOKUP(A16,Database!A:K,MATCH($A$1,Database!$A$1:$K$1,),)</f>
        <v>10971</v>
      </c>
      <c r="C16" s="12">
        <f t="shared" si="0"/>
        <v>-8.1967213114754098E-4</v>
      </c>
      <c r="D16" s="1"/>
    </row>
    <row r="17" spans="1:4" x14ac:dyDescent="0.35">
      <c r="A17" s="17">
        <v>33909</v>
      </c>
      <c r="B17" s="15">
        <f>VLOOKUP(A17,Database!A:K,MATCH($A$1,Database!$A$1:$K$1,),)</f>
        <v>10873</v>
      </c>
      <c r="C17" s="12">
        <f t="shared" si="0"/>
        <v>-8.9326405979400243E-3</v>
      </c>
      <c r="D17" s="1"/>
    </row>
    <row r="18" spans="1:4" x14ac:dyDescent="0.35">
      <c r="A18" s="11">
        <v>33939</v>
      </c>
      <c r="B18" s="15">
        <f>VLOOKUP(A18,Database!A:K,MATCH($A$1,Database!$A$1:$K$1,),)</f>
        <v>11082</v>
      </c>
      <c r="C18" s="12">
        <f t="shared" si="0"/>
        <v>1.9221925871424631E-2</v>
      </c>
      <c r="D18" s="1"/>
    </row>
    <row r="19" spans="1:4" x14ac:dyDescent="0.35">
      <c r="A19" s="17">
        <v>33970</v>
      </c>
      <c r="B19" s="15">
        <f>VLOOKUP(A19,Database!A:K,MATCH($A$1,Database!$A$1:$K$1,),)</f>
        <v>11333</v>
      </c>
      <c r="C19" s="12">
        <f t="shared" si="0"/>
        <v>2.2649341274138243E-2</v>
      </c>
      <c r="D19" s="13">
        <f t="shared" ref="D19:D82" si="1">(B19-B7)/B7</f>
        <v>4.499769479022591E-2</v>
      </c>
    </row>
    <row r="20" spans="1:4" x14ac:dyDescent="0.35">
      <c r="A20" s="11">
        <v>34001</v>
      </c>
      <c r="B20" s="15">
        <f>VLOOKUP(A20,Database!A:K,MATCH($A$1,Database!$A$1:$K$1,),)</f>
        <v>11410</v>
      </c>
      <c r="C20" s="12">
        <f t="shared" si="0"/>
        <v>6.7943174799258805E-3</v>
      </c>
      <c r="D20" s="13">
        <f t="shared" si="1"/>
        <v>4.6404988994864269E-2</v>
      </c>
    </row>
    <row r="21" spans="1:4" x14ac:dyDescent="0.35">
      <c r="A21" s="17">
        <v>34029</v>
      </c>
      <c r="B21" s="15">
        <f>VLOOKUP(A21,Database!A:K,MATCH($A$1,Database!$A$1:$K$1,),)</f>
        <v>11184</v>
      </c>
      <c r="C21" s="12">
        <f t="shared" si="0"/>
        <v>-1.9807186678352323E-2</v>
      </c>
      <c r="D21" s="13">
        <f t="shared" si="1"/>
        <v>1.8022938285090113E-2</v>
      </c>
    </row>
    <row r="22" spans="1:4" x14ac:dyDescent="0.35">
      <c r="A22" s="11">
        <v>34060</v>
      </c>
      <c r="B22" s="15">
        <f>VLOOKUP(A22,Database!A:K,MATCH($A$1,Database!$A$1:$K$1,),)</f>
        <v>11417</v>
      </c>
      <c r="C22" s="12">
        <f t="shared" si="0"/>
        <v>2.0833333333333332E-2</v>
      </c>
      <c r="D22" s="13">
        <f t="shared" si="1"/>
        <v>6.3233376792698831E-2</v>
      </c>
    </row>
    <row r="23" spans="1:4" x14ac:dyDescent="0.35">
      <c r="A23" s="17">
        <v>34090</v>
      </c>
      <c r="B23" s="15">
        <f>VLOOKUP(A23,Database!A:K,MATCH($A$1,Database!$A$1:$K$1,),)</f>
        <v>11720</v>
      </c>
      <c r="C23" s="12">
        <f t="shared" si="0"/>
        <v>2.6539371113252167E-2</v>
      </c>
      <c r="D23" s="13">
        <f t="shared" si="1"/>
        <v>8.7501159877516929E-2</v>
      </c>
    </row>
    <row r="24" spans="1:4" x14ac:dyDescent="0.35">
      <c r="A24" s="11">
        <v>34121</v>
      </c>
      <c r="B24" s="15">
        <f>VLOOKUP(A24,Database!A:K,MATCH($A$1,Database!$A$1:$K$1,),)</f>
        <v>11669</v>
      </c>
      <c r="C24" s="12">
        <f t="shared" si="0"/>
        <v>-4.3515358361774746E-3</v>
      </c>
      <c r="D24" s="13">
        <f t="shared" si="1"/>
        <v>8.1464318813716408E-2</v>
      </c>
    </row>
    <row r="25" spans="1:4" x14ac:dyDescent="0.35">
      <c r="A25" s="17">
        <v>34151</v>
      </c>
      <c r="B25" s="15">
        <f>VLOOKUP(A25,Database!A:K,MATCH($A$1,Database!$A$1:$K$1,),)</f>
        <v>11781</v>
      </c>
      <c r="C25" s="12">
        <f t="shared" si="0"/>
        <v>9.5980803839232146E-3</v>
      </c>
      <c r="D25" s="13">
        <f t="shared" si="1"/>
        <v>9.235048678720445E-2</v>
      </c>
    </row>
    <row r="26" spans="1:4" x14ac:dyDescent="0.35">
      <c r="A26" s="11">
        <v>34182</v>
      </c>
      <c r="B26" s="15">
        <f>VLOOKUP(A26,Database!A:K,MATCH($A$1,Database!$A$1:$K$1,),)</f>
        <v>11875</v>
      </c>
      <c r="C26" s="12">
        <f t="shared" si="0"/>
        <v>7.9789491554197439E-3</v>
      </c>
      <c r="D26" s="13">
        <f t="shared" si="1"/>
        <v>8.7952359138799813E-2</v>
      </c>
    </row>
    <row r="27" spans="1:4" x14ac:dyDescent="0.35">
      <c r="A27" s="17">
        <v>34213</v>
      </c>
      <c r="B27" s="15">
        <f>VLOOKUP(A27,Database!A:K,MATCH($A$1,Database!$A$1:$K$1,),)</f>
        <v>11786</v>
      </c>
      <c r="C27" s="12">
        <f t="shared" si="0"/>
        <v>-7.4947368421052632E-3</v>
      </c>
      <c r="D27" s="13">
        <f t="shared" si="1"/>
        <v>7.3406193078324231E-2</v>
      </c>
    </row>
    <row r="28" spans="1:4" x14ac:dyDescent="0.35">
      <c r="A28" s="11">
        <v>34243</v>
      </c>
      <c r="B28" s="15">
        <f>VLOOKUP(A28,Database!A:K,MATCH($A$1,Database!$A$1:$K$1,),)</f>
        <v>11908</v>
      </c>
      <c r="C28" s="12">
        <f t="shared" si="0"/>
        <v>1.0351264211776684E-2</v>
      </c>
      <c r="D28" s="13">
        <f t="shared" si="1"/>
        <v>8.5406982043569404E-2</v>
      </c>
    </row>
    <row r="29" spans="1:4" x14ac:dyDescent="0.35">
      <c r="A29" s="17">
        <v>34274</v>
      </c>
      <c r="B29" s="15">
        <f>VLOOKUP(A29,Database!A:K,MATCH($A$1,Database!$A$1:$K$1,),)</f>
        <v>12297</v>
      </c>
      <c r="C29" s="12">
        <f t="shared" si="0"/>
        <v>3.2667114544843799E-2</v>
      </c>
      <c r="D29" s="13">
        <f t="shared" si="1"/>
        <v>0.13096661454980227</v>
      </c>
    </row>
    <row r="30" spans="1:4" x14ac:dyDescent="0.35">
      <c r="A30" s="11">
        <v>34304</v>
      </c>
      <c r="B30" s="15">
        <f>VLOOKUP(A30,Database!A:K,MATCH($A$1,Database!$A$1:$K$1,),)</f>
        <v>12583</v>
      </c>
      <c r="C30" s="12">
        <f t="shared" si="0"/>
        <v>2.3257705131332844E-2</v>
      </c>
      <c r="D30" s="13">
        <f t="shared" si="1"/>
        <v>0.13544486554773508</v>
      </c>
    </row>
    <row r="31" spans="1:4" x14ac:dyDescent="0.35">
      <c r="A31" s="17">
        <v>34335</v>
      </c>
      <c r="B31" s="15">
        <f>VLOOKUP(A31,Database!A:K,MATCH($A$1,Database!$A$1:$K$1,),)</f>
        <v>12316</v>
      </c>
      <c r="C31" s="12">
        <f t="shared" si="0"/>
        <v>-2.1219105141858062E-2</v>
      </c>
      <c r="D31" s="13">
        <f t="shared" si="1"/>
        <v>8.6737845230742086E-2</v>
      </c>
    </row>
    <row r="32" spans="1:4" x14ac:dyDescent="0.35">
      <c r="A32" s="11">
        <v>34366</v>
      </c>
      <c r="B32" s="15">
        <f>VLOOKUP(A32,Database!A:K,MATCH($A$1,Database!$A$1:$K$1,),)</f>
        <v>12233</v>
      </c>
      <c r="C32" s="12">
        <f t="shared" si="0"/>
        <v>-6.7392010392984735E-3</v>
      </c>
      <c r="D32" s="13">
        <f t="shared" si="1"/>
        <v>7.2129710780017522E-2</v>
      </c>
    </row>
    <row r="33" spans="1:4" x14ac:dyDescent="0.35">
      <c r="A33" s="17">
        <v>34394</v>
      </c>
      <c r="B33" s="15">
        <f>VLOOKUP(A33,Database!A:K,MATCH($A$1,Database!$A$1:$K$1,),)</f>
        <v>12767</v>
      </c>
      <c r="C33" s="12">
        <f t="shared" si="0"/>
        <v>4.3652415597155235E-2</v>
      </c>
      <c r="D33" s="13">
        <f t="shared" si="1"/>
        <v>0.14154148783977111</v>
      </c>
    </row>
    <row r="34" spans="1:4" x14ac:dyDescent="0.35">
      <c r="A34" s="11">
        <v>34425</v>
      </c>
      <c r="B34" s="15">
        <f>VLOOKUP(A34,Database!A:K,MATCH($A$1,Database!$A$1:$K$1,),)</f>
        <v>13076</v>
      </c>
      <c r="C34" s="12">
        <f t="shared" si="0"/>
        <v>2.4203023419754055E-2</v>
      </c>
      <c r="D34" s="13">
        <f t="shared" si="1"/>
        <v>0.14530962599632127</v>
      </c>
    </row>
    <row r="35" spans="1:4" x14ac:dyDescent="0.35">
      <c r="A35" s="17">
        <v>34455</v>
      </c>
      <c r="B35" s="15">
        <f>VLOOKUP(A35,Database!A:K,MATCH($A$1,Database!$A$1:$K$1,),)</f>
        <v>13033</v>
      </c>
      <c r="C35" s="12">
        <f t="shared" si="0"/>
        <v>-3.288467421229734E-3</v>
      </c>
      <c r="D35" s="13">
        <f t="shared" si="1"/>
        <v>0.11203071672354949</v>
      </c>
    </row>
    <row r="36" spans="1:4" x14ac:dyDescent="0.35">
      <c r="A36" s="11">
        <v>34486</v>
      </c>
      <c r="B36" s="15">
        <f>VLOOKUP(A36,Database!A:K,MATCH($A$1,Database!$A$1:$K$1,),)</f>
        <v>12987</v>
      </c>
      <c r="C36" s="12">
        <f t="shared" si="0"/>
        <v>-3.5295020333000844E-3</v>
      </c>
      <c r="D36" s="13">
        <f t="shared" si="1"/>
        <v>0.11294883880366784</v>
      </c>
    </row>
    <row r="37" spans="1:4" x14ac:dyDescent="0.35">
      <c r="A37" s="17">
        <v>34516</v>
      </c>
      <c r="B37" s="15">
        <f>VLOOKUP(A37,Database!A:K,MATCH($A$1,Database!$A$1:$K$1,),)</f>
        <v>13130</v>
      </c>
      <c r="C37" s="12">
        <f t="shared" si="0"/>
        <v>1.1011011011011011E-2</v>
      </c>
      <c r="D37" s="13">
        <f t="shared" si="1"/>
        <v>0.11450640862405569</v>
      </c>
    </row>
    <row r="38" spans="1:4" x14ac:dyDescent="0.35">
      <c r="A38" s="11">
        <v>34547</v>
      </c>
      <c r="B38" s="15">
        <f>VLOOKUP(A38,Database!A:K,MATCH($A$1,Database!$A$1:$K$1,),)</f>
        <v>13224</v>
      </c>
      <c r="C38" s="12">
        <f t="shared" si="0"/>
        <v>7.1591774562071589E-3</v>
      </c>
      <c r="D38" s="13">
        <f t="shared" si="1"/>
        <v>0.11360000000000001</v>
      </c>
    </row>
    <row r="39" spans="1:4" x14ac:dyDescent="0.35">
      <c r="A39" s="17">
        <v>34578</v>
      </c>
      <c r="B39" s="15">
        <f>VLOOKUP(A39,Database!A:K,MATCH($A$1,Database!$A$1:$K$1,),)</f>
        <v>13375</v>
      </c>
      <c r="C39" s="12">
        <f t="shared" si="0"/>
        <v>1.1418632788868724E-2</v>
      </c>
      <c r="D39" s="13">
        <f t="shared" si="1"/>
        <v>0.13482097403699303</v>
      </c>
    </row>
    <row r="40" spans="1:4" x14ac:dyDescent="0.35">
      <c r="A40" s="11">
        <v>34608</v>
      </c>
      <c r="B40" s="15">
        <f>VLOOKUP(A40,Database!A:K,MATCH($A$1,Database!$A$1:$K$1,),)</f>
        <v>13550</v>
      </c>
      <c r="C40" s="12">
        <f t="shared" si="0"/>
        <v>1.3084112149532711E-2</v>
      </c>
      <c r="D40" s="13">
        <f t="shared" si="1"/>
        <v>0.13789049378569029</v>
      </c>
    </row>
    <row r="41" spans="1:4" x14ac:dyDescent="0.35">
      <c r="A41" s="17">
        <v>34639</v>
      </c>
      <c r="B41" s="15">
        <f>VLOOKUP(A41,Database!A:K,MATCH($A$1,Database!$A$1:$K$1,),)</f>
        <v>13384</v>
      </c>
      <c r="C41" s="12">
        <f t="shared" si="0"/>
        <v>-1.2250922509225092E-2</v>
      </c>
      <c r="D41" s="13">
        <f t="shared" si="1"/>
        <v>8.8395543628527279E-2</v>
      </c>
    </row>
    <row r="42" spans="1:4" x14ac:dyDescent="0.35">
      <c r="A42" s="11">
        <v>34669</v>
      </c>
      <c r="B42" s="15">
        <f>VLOOKUP(A42,Database!A:K,MATCH($A$1,Database!$A$1:$K$1,),)</f>
        <v>13981</v>
      </c>
      <c r="C42" s="12">
        <f t="shared" si="0"/>
        <v>4.4605499103407054E-2</v>
      </c>
      <c r="D42" s="13">
        <f t="shared" si="1"/>
        <v>0.11110228085512198</v>
      </c>
    </row>
    <row r="43" spans="1:4" x14ac:dyDescent="0.35">
      <c r="A43" s="17">
        <v>34700</v>
      </c>
      <c r="B43" s="15">
        <f>VLOOKUP(A43,Database!A:K,MATCH($A$1,Database!$A$1:$K$1,),)</f>
        <v>13738</v>
      </c>
      <c r="C43" s="12">
        <f t="shared" si="0"/>
        <v>-1.7380730992060653E-2</v>
      </c>
      <c r="D43" s="13">
        <f t="shared" si="1"/>
        <v>0.11545956479376421</v>
      </c>
    </row>
    <row r="44" spans="1:4" x14ac:dyDescent="0.35">
      <c r="A44" s="11">
        <v>34731</v>
      </c>
      <c r="B44" s="15">
        <f>VLOOKUP(A44,Database!A:K,MATCH($A$1,Database!$A$1:$K$1,),)</f>
        <v>13613</v>
      </c>
      <c r="C44" s="12">
        <f t="shared" si="0"/>
        <v>-9.0988499053719606E-3</v>
      </c>
      <c r="D44" s="13">
        <f t="shared" si="1"/>
        <v>0.11280961334096297</v>
      </c>
    </row>
    <row r="45" spans="1:4" x14ac:dyDescent="0.35">
      <c r="A45" s="17">
        <v>34759</v>
      </c>
      <c r="B45" s="15">
        <f>VLOOKUP(A45,Database!A:K,MATCH($A$1,Database!$A$1:$K$1,),)</f>
        <v>13587</v>
      </c>
      <c r="C45" s="12">
        <f t="shared" si="0"/>
        <v>-1.9099390288694631E-3</v>
      </c>
      <c r="D45" s="13">
        <f t="shared" si="1"/>
        <v>6.4228088039476772E-2</v>
      </c>
    </row>
    <row r="46" spans="1:4" x14ac:dyDescent="0.35">
      <c r="A46" s="11">
        <v>34790</v>
      </c>
      <c r="B46" s="15">
        <f>VLOOKUP(A46,Database!A:K,MATCH($A$1,Database!$A$1:$K$1,),)</f>
        <v>13415</v>
      </c>
      <c r="C46" s="12">
        <f t="shared" si="0"/>
        <v>-1.2659159490689629E-2</v>
      </c>
      <c r="D46" s="13">
        <f t="shared" si="1"/>
        <v>2.5925359437136739E-2</v>
      </c>
    </row>
    <row r="47" spans="1:4" x14ac:dyDescent="0.35">
      <c r="A47" s="17">
        <v>34820</v>
      </c>
      <c r="B47" s="15">
        <f>VLOOKUP(A47,Database!A:K,MATCH($A$1,Database!$A$1:$K$1,),)</f>
        <v>13370</v>
      </c>
      <c r="C47" s="12">
        <f t="shared" si="0"/>
        <v>-3.354453969437197E-3</v>
      </c>
      <c r="D47" s="13">
        <f t="shared" si="1"/>
        <v>2.5857438809176705E-2</v>
      </c>
    </row>
    <row r="48" spans="1:4" x14ac:dyDescent="0.35">
      <c r="A48" s="11">
        <v>34851</v>
      </c>
      <c r="B48" s="15">
        <f>VLOOKUP(A48,Database!A:K,MATCH($A$1,Database!$A$1:$K$1,),)</f>
        <v>13548</v>
      </c>
      <c r="C48" s="12">
        <f t="shared" si="0"/>
        <v>1.331338818249813E-2</v>
      </c>
      <c r="D48" s="13">
        <f t="shared" si="1"/>
        <v>4.3197043197043199E-2</v>
      </c>
    </row>
    <row r="49" spans="1:4" x14ac:dyDescent="0.35">
      <c r="A49" s="17">
        <v>34881</v>
      </c>
      <c r="B49" s="15">
        <f>VLOOKUP(A49,Database!A:K,MATCH($A$1,Database!$A$1:$K$1,),)</f>
        <v>13645</v>
      </c>
      <c r="C49" s="12">
        <f t="shared" si="0"/>
        <v>7.1597283731916154E-3</v>
      </c>
      <c r="D49" s="13">
        <f t="shared" si="1"/>
        <v>3.9223153084539226E-2</v>
      </c>
    </row>
    <row r="50" spans="1:4" x14ac:dyDescent="0.35">
      <c r="A50" s="11">
        <v>34912</v>
      </c>
      <c r="B50" s="15">
        <f>VLOOKUP(A50,Database!A:K,MATCH($A$1,Database!$A$1:$K$1,),)</f>
        <v>13683</v>
      </c>
      <c r="C50" s="12">
        <f t="shared" si="0"/>
        <v>2.7849028948332723E-3</v>
      </c>
      <c r="D50" s="13">
        <f t="shared" si="1"/>
        <v>3.470961887477314E-2</v>
      </c>
    </row>
    <row r="51" spans="1:4" x14ac:dyDescent="0.35">
      <c r="A51" s="17">
        <v>34943</v>
      </c>
      <c r="B51" s="15">
        <f>VLOOKUP(A51,Database!A:K,MATCH($A$1,Database!$A$1:$K$1,),)</f>
        <v>13837</v>
      </c>
      <c r="C51" s="12">
        <f t="shared" si="0"/>
        <v>1.1254841774464664E-2</v>
      </c>
      <c r="D51" s="13">
        <f t="shared" si="1"/>
        <v>3.4542056074766354E-2</v>
      </c>
    </row>
    <row r="52" spans="1:4" x14ac:dyDescent="0.35">
      <c r="A52" s="11">
        <v>34973</v>
      </c>
      <c r="B52" s="15">
        <f>VLOOKUP(A52,Database!A:K,MATCH($A$1,Database!$A$1:$K$1,),)</f>
        <v>13932</v>
      </c>
      <c r="C52" s="12">
        <f t="shared" si="0"/>
        <v>6.8656500686565007E-3</v>
      </c>
      <c r="D52" s="13">
        <f t="shared" si="1"/>
        <v>2.8191881918819189E-2</v>
      </c>
    </row>
    <row r="53" spans="1:4" x14ac:dyDescent="0.35">
      <c r="A53" s="17">
        <v>35004</v>
      </c>
      <c r="B53" s="15">
        <f>VLOOKUP(A53,Database!A:K,MATCH($A$1,Database!$A$1:$K$1,),)</f>
        <v>14092</v>
      </c>
      <c r="C53" s="12">
        <f t="shared" si="0"/>
        <v>1.1484352569623888E-2</v>
      </c>
      <c r="D53" s="13">
        <f t="shared" si="1"/>
        <v>5.2898983861326958E-2</v>
      </c>
    </row>
    <row r="54" spans="1:4" x14ac:dyDescent="0.35">
      <c r="A54" s="11">
        <v>35034</v>
      </c>
      <c r="B54" s="15">
        <f>VLOOKUP(A54,Database!A:K,MATCH($A$1,Database!$A$1:$K$1,),)</f>
        <v>14683</v>
      </c>
      <c r="C54" s="12">
        <f t="shared" si="0"/>
        <v>4.1938688617655408E-2</v>
      </c>
      <c r="D54" s="13">
        <f t="shared" si="1"/>
        <v>5.0211000643730776E-2</v>
      </c>
    </row>
    <row r="55" spans="1:4" x14ac:dyDescent="0.35">
      <c r="A55" s="17">
        <v>35065</v>
      </c>
      <c r="B55" s="15">
        <f>VLOOKUP(A55,Database!A:K,MATCH($A$1,Database!$A$1:$K$1,),)</f>
        <v>14023</v>
      </c>
      <c r="C55" s="12">
        <f t="shared" si="0"/>
        <v>-4.4949942109923043E-2</v>
      </c>
      <c r="D55" s="13">
        <f t="shared" si="1"/>
        <v>2.0745377784248072E-2</v>
      </c>
    </row>
    <row r="56" spans="1:4" x14ac:dyDescent="0.35">
      <c r="A56" s="11">
        <v>35096</v>
      </c>
      <c r="B56" s="15">
        <f>VLOOKUP(A56,Database!A:K,MATCH($A$1,Database!$A$1:$K$1,),)</f>
        <v>14036</v>
      </c>
      <c r="C56" s="12">
        <f t="shared" si="0"/>
        <v>9.270484204521144E-4</v>
      </c>
      <c r="D56" s="13">
        <f t="shared" si="1"/>
        <v>3.1073238815837803E-2</v>
      </c>
    </row>
    <row r="57" spans="1:4" x14ac:dyDescent="0.35">
      <c r="A57" s="17">
        <v>35125</v>
      </c>
      <c r="B57" s="15">
        <f>VLOOKUP(A57,Database!A:K,MATCH($A$1,Database!$A$1:$K$1,),)</f>
        <v>14153</v>
      </c>
      <c r="C57" s="12">
        <f t="shared" si="0"/>
        <v>8.3357081789683669E-3</v>
      </c>
      <c r="D57" s="13">
        <f t="shared" si="1"/>
        <v>4.1657466696106572E-2</v>
      </c>
    </row>
    <row r="58" spans="1:4" x14ac:dyDescent="0.35">
      <c r="A58" s="11">
        <v>35156</v>
      </c>
      <c r="B58" s="15">
        <f>VLOOKUP(A58,Database!A:K,MATCH($A$1,Database!$A$1:$K$1,),)</f>
        <v>14340</v>
      </c>
      <c r="C58" s="12">
        <f t="shared" si="0"/>
        <v>1.3212746414187805E-2</v>
      </c>
      <c r="D58" s="13">
        <f t="shared" si="1"/>
        <v>6.8952664927320162E-2</v>
      </c>
    </row>
    <row r="59" spans="1:4" x14ac:dyDescent="0.35">
      <c r="A59" s="17">
        <v>35186</v>
      </c>
      <c r="B59" s="15">
        <f>VLOOKUP(A59,Database!A:K,MATCH($A$1,Database!$A$1:$K$1,),)</f>
        <v>14450</v>
      </c>
      <c r="C59" s="12">
        <f t="shared" si="0"/>
        <v>7.6708507670850768E-3</v>
      </c>
      <c r="D59" s="13">
        <f t="shared" si="1"/>
        <v>8.0777860882572924E-2</v>
      </c>
    </row>
    <row r="60" spans="1:4" x14ac:dyDescent="0.35">
      <c r="A60" s="11">
        <v>35217</v>
      </c>
      <c r="B60" s="15">
        <f>VLOOKUP(A60,Database!A:K,MATCH($A$1,Database!$A$1:$K$1,),)</f>
        <v>14902</v>
      </c>
      <c r="C60" s="12">
        <f t="shared" si="0"/>
        <v>3.1280276816608998E-2</v>
      </c>
      <c r="D60" s="13">
        <f t="shared" si="1"/>
        <v>9.9940950693829342E-2</v>
      </c>
    </row>
    <row r="61" spans="1:4" x14ac:dyDescent="0.35">
      <c r="A61" s="17">
        <v>35247</v>
      </c>
      <c r="B61" s="15">
        <f>VLOOKUP(A61,Database!A:K,MATCH($A$1,Database!$A$1:$K$1,),)</f>
        <v>14826</v>
      </c>
      <c r="C61" s="12">
        <f t="shared" si="0"/>
        <v>-5.0999865789826872E-3</v>
      </c>
      <c r="D61" s="13">
        <f t="shared" si="1"/>
        <v>8.6551850494686694E-2</v>
      </c>
    </row>
    <row r="62" spans="1:4" x14ac:dyDescent="0.35">
      <c r="A62" s="11">
        <v>35278</v>
      </c>
      <c r="B62" s="15">
        <f>VLOOKUP(A62,Database!A:K,MATCH($A$1,Database!$A$1:$K$1,),)</f>
        <v>14981</v>
      </c>
      <c r="C62" s="12">
        <f t="shared" si="0"/>
        <v>1.0454606771887226E-2</v>
      </c>
      <c r="D62" s="13">
        <f t="shared" si="1"/>
        <v>9.4862237813345032E-2</v>
      </c>
    </row>
    <row r="63" spans="1:4" x14ac:dyDescent="0.35">
      <c r="A63" s="17">
        <v>35309</v>
      </c>
      <c r="B63" s="15">
        <f>VLOOKUP(A63,Database!A:K,MATCH($A$1,Database!$A$1:$K$1,),)</f>
        <v>14989</v>
      </c>
      <c r="C63" s="12">
        <f t="shared" si="0"/>
        <v>5.3400974567785866E-4</v>
      </c>
      <c r="D63" s="13">
        <f t="shared" si="1"/>
        <v>8.3255040832550406E-2</v>
      </c>
    </row>
    <row r="64" spans="1:4" x14ac:dyDescent="0.35">
      <c r="A64" s="11">
        <v>35339</v>
      </c>
      <c r="B64" s="15">
        <f>VLOOKUP(A64,Database!A:K,MATCH($A$1,Database!$A$1:$K$1,),)</f>
        <v>15040</v>
      </c>
      <c r="C64" s="12">
        <f t="shared" si="0"/>
        <v>3.4024951631196208E-3</v>
      </c>
      <c r="D64" s="13">
        <f t="shared" si="1"/>
        <v>7.9529141544645424E-2</v>
      </c>
    </row>
    <row r="65" spans="1:4" x14ac:dyDescent="0.35">
      <c r="A65" s="17">
        <v>35370</v>
      </c>
      <c r="B65" s="15">
        <f>VLOOKUP(A65,Database!A:K,MATCH($A$1,Database!$A$1:$K$1,),)</f>
        <v>15264</v>
      </c>
      <c r="C65" s="12">
        <f t="shared" si="0"/>
        <v>1.4893617021276596E-2</v>
      </c>
      <c r="D65" s="13">
        <f t="shared" si="1"/>
        <v>8.3167754754470621E-2</v>
      </c>
    </row>
    <row r="66" spans="1:4" x14ac:dyDescent="0.35">
      <c r="A66" s="11">
        <v>35400</v>
      </c>
      <c r="B66" s="15">
        <f>VLOOKUP(A66,Database!A:K,MATCH($A$1,Database!$A$1:$K$1,),)</f>
        <v>14980</v>
      </c>
      <c r="C66" s="12">
        <f t="shared" si="0"/>
        <v>-1.8605870020964362E-2</v>
      </c>
      <c r="D66" s="13">
        <f t="shared" si="1"/>
        <v>2.0227473949465367E-2</v>
      </c>
    </row>
    <row r="67" spans="1:4" x14ac:dyDescent="0.35">
      <c r="A67" s="17">
        <v>35431</v>
      </c>
      <c r="B67" s="15">
        <f>VLOOKUP(A67,Database!A:K,MATCH($A$1,Database!$A$1:$K$1,),)</f>
        <v>15197</v>
      </c>
      <c r="C67" s="12">
        <f t="shared" si="0"/>
        <v>1.4485981308411215E-2</v>
      </c>
      <c r="D67" s="13">
        <f t="shared" si="1"/>
        <v>8.3719603508521714E-2</v>
      </c>
    </row>
    <row r="68" spans="1:4" x14ac:dyDescent="0.35">
      <c r="A68" s="11">
        <v>35462</v>
      </c>
      <c r="B68" s="15">
        <f>VLOOKUP(A68,Database!A:K,MATCH($A$1,Database!$A$1:$K$1,),)</f>
        <v>15561</v>
      </c>
      <c r="C68" s="12">
        <f t="shared" si="0"/>
        <v>2.3952095808383235E-2</v>
      </c>
      <c r="D68" s="13">
        <f t="shared" si="1"/>
        <v>0.10864918780279281</v>
      </c>
    </row>
    <row r="69" spans="1:4" x14ac:dyDescent="0.35">
      <c r="A69" s="17">
        <v>35490</v>
      </c>
      <c r="B69" s="15">
        <f>VLOOKUP(A69,Database!A:K,MATCH($A$1,Database!$A$1:$K$1,),)</f>
        <v>15862</v>
      </c>
      <c r="C69" s="12">
        <f t="shared" si="0"/>
        <v>1.9343229869545658E-2</v>
      </c>
      <c r="D69" s="13">
        <f t="shared" si="1"/>
        <v>0.12075178407404791</v>
      </c>
    </row>
    <row r="70" spans="1:4" x14ac:dyDescent="0.35">
      <c r="A70" s="11">
        <v>35521</v>
      </c>
      <c r="B70" s="15">
        <f>VLOOKUP(A70,Database!A:K,MATCH($A$1,Database!$A$1:$K$1,),)</f>
        <v>15709</v>
      </c>
      <c r="C70" s="12">
        <f t="shared" si="0"/>
        <v>-9.6456941117135288E-3</v>
      </c>
      <c r="D70" s="13">
        <f t="shared" si="1"/>
        <v>9.5467224546722448E-2</v>
      </c>
    </row>
    <row r="71" spans="1:4" x14ac:dyDescent="0.35">
      <c r="A71" s="17">
        <v>35551</v>
      </c>
      <c r="B71" s="15">
        <f>VLOOKUP(A71,Database!A:K,MATCH($A$1,Database!$A$1:$K$1,),)</f>
        <v>15805</v>
      </c>
      <c r="C71" s="12">
        <f t="shared" si="0"/>
        <v>6.1111464765421092E-3</v>
      </c>
      <c r="D71" s="13">
        <f t="shared" si="1"/>
        <v>9.3771626297577848E-2</v>
      </c>
    </row>
    <row r="72" spans="1:4" x14ac:dyDescent="0.35">
      <c r="A72" s="11">
        <v>35582</v>
      </c>
      <c r="B72" s="15">
        <f>VLOOKUP(A72,Database!A:K,MATCH($A$1,Database!$A$1:$K$1,),)</f>
        <v>15918</v>
      </c>
      <c r="C72" s="12">
        <f t="shared" ref="C72:C135" si="2">(B72-B71)/B71</f>
        <v>7.1496361910787726E-3</v>
      </c>
      <c r="D72" s="13">
        <f t="shared" si="1"/>
        <v>6.8178767950610661E-2</v>
      </c>
    </row>
    <row r="73" spans="1:4" x14ac:dyDescent="0.35">
      <c r="A73" s="17">
        <v>35612</v>
      </c>
      <c r="B73" s="15">
        <f>VLOOKUP(A73,Database!A:K,MATCH($A$1,Database!$A$1:$K$1,),)</f>
        <v>15973</v>
      </c>
      <c r="C73" s="12">
        <f t="shared" si="2"/>
        <v>3.4552079406960676E-3</v>
      </c>
      <c r="D73" s="13">
        <f t="shared" si="1"/>
        <v>7.7364090111965461E-2</v>
      </c>
    </row>
    <row r="74" spans="1:4" x14ac:dyDescent="0.35">
      <c r="A74" s="11">
        <v>35643</v>
      </c>
      <c r="B74" s="15">
        <f>VLOOKUP(A74,Database!A:K,MATCH($A$1,Database!$A$1:$K$1,),)</f>
        <v>16027</v>
      </c>
      <c r="C74" s="12">
        <f t="shared" si="2"/>
        <v>3.3807049395855504E-3</v>
      </c>
      <c r="D74" s="13">
        <f t="shared" si="1"/>
        <v>6.9821774247380008E-2</v>
      </c>
    </row>
    <row r="75" spans="1:4" x14ac:dyDescent="0.35">
      <c r="A75" s="17">
        <v>35674</v>
      </c>
      <c r="B75" s="15">
        <f>VLOOKUP(A75,Database!A:K,MATCH($A$1,Database!$A$1:$K$1,),)</f>
        <v>16283</v>
      </c>
      <c r="C75" s="12">
        <f t="shared" si="2"/>
        <v>1.5973045485742809E-2</v>
      </c>
      <c r="D75" s="13">
        <f t="shared" si="1"/>
        <v>8.6329975315231164E-2</v>
      </c>
    </row>
    <row r="76" spans="1:4" x14ac:dyDescent="0.35">
      <c r="A76" s="11">
        <v>35704</v>
      </c>
      <c r="B76" s="15">
        <f>VLOOKUP(A76,Database!A:K,MATCH($A$1,Database!$A$1:$K$1,),)</f>
        <v>16232</v>
      </c>
      <c r="C76" s="12">
        <f t="shared" si="2"/>
        <v>-3.1321009641957871E-3</v>
      </c>
      <c r="D76" s="13">
        <f t="shared" si="1"/>
        <v>7.9255319148936174E-2</v>
      </c>
    </row>
    <row r="77" spans="1:4" x14ac:dyDescent="0.35">
      <c r="A77" s="17">
        <v>35735</v>
      </c>
      <c r="B77" s="15">
        <f>VLOOKUP(A77,Database!A:K,MATCH($A$1,Database!$A$1:$K$1,),)</f>
        <v>16158</v>
      </c>
      <c r="C77" s="12">
        <f t="shared" si="2"/>
        <v>-4.5588960078856581E-3</v>
      </c>
      <c r="D77" s="13">
        <f t="shared" si="1"/>
        <v>5.8569182389937108E-2</v>
      </c>
    </row>
    <row r="78" spans="1:4" x14ac:dyDescent="0.35">
      <c r="A78" s="11">
        <v>35765</v>
      </c>
      <c r="B78" s="15">
        <f>VLOOKUP(A78,Database!A:K,MATCH($A$1,Database!$A$1:$K$1,),)</f>
        <v>16356</v>
      </c>
      <c r="C78" s="12">
        <f t="shared" si="2"/>
        <v>1.2253991830672113E-2</v>
      </c>
      <c r="D78" s="13">
        <f t="shared" si="1"/>
        <v>9.1855807743658216E-2</v>
      </c>
    </row>
    <row r="79" spans="1:4" x14ac:dyDescent="0.35">
      <c r="A79" s="17">
        <v>35796</v>
      </c>
      <c r="B79" s="15">
        <f>VLOOKUP(A79,Database!A:K,MATCH($A$1,Database!$A$1:$K$1,),)</f>
        <v>16436</v>
      </c>
      <c r="C79" s="12">
        <f t="shared" si="2"/>
        <v>4.8911714355588162E-3</v>
      </c>
      <c r="D79" s="13">
        <f t="shared" si="1"/>
        <v>8.152924919391985E-2</v>
      </c>
    </row>
    <row r="80" spans="1:4" x14ac:dyDescent="0.35">
      <c r="A80" s="11">
        <v>35827</v>
      </c>
      <c r="B80" s="15">
        <f>VLOOKUP(A80,Database!A:K,MATCH($A$1,Database!$A$1:$K$1,),)</f>
        <v>16462</v>
      </c>
      <c r="C80" s="12">
        <f t="shared" si="2"/>
        <v>1.5818934047213435E-3</v>
      </c>
      <c r="D80" s="13">
        <f t="shared" si="1"/>
        <v>5.7901163164321062E-2</v>
      </c>
    </row>
    <row r="81" spans="1:4" x14ac:dyDescent="0.35">
      <c r="A81" s="17">
        <v>35855</v>
      </c>
      <c r="B81" s="15">
        <f>VLOOKUP(A81,Database!A:K,MATCH($A$1,Database!$A$1:$K$1,),)</f>
        <v>16511</v>
      </c>
      <c r="C81" s="12">
        <f t="shared" si="2"/>
        <v>2.9765520592880575E-3</v>
      </c>
      <c r="D81" s="13">
        <f t="shared" si="1"/>
        <v>4.0915395284327326E-2</v>
      </c>
    </row>
    <row r="82" spans="1:4" x14ac:dyDescent="0.35">
      <c r="A82" s="11">
        <v>35886</v>
      </c>
      <c r="B82" s="15">
        <f>VLOOKUP(A82,Database!A:K,MATCH($A$1,Database!$A$1:$K$1,),)</f>
        <v>16716</v>
      </c>
      <c r="C82" s="12">
        <f t="shared" si="2"/>
        <v>1.2415965114166313E-2</v>
      </c>
      <c r="D82" s="13">
        <f t="shared" si="1"/>
        <v>6.4103380227894843E-2</v>
      </c>
    </row>
    <row r="83" spans="1:4" x14ac:dyDescent="0.35">
      <c r="A83" s="17">
        <v>35916</v>
      </c>
      <c r="B83" s="15">
        <f>VLOOKUP(A83,Database!A:K,MATCH($A$1,Database!$A$1:$K$1,),)</f>
        <v>16741</v>
      </c>
      <c r="C83" s="12">
        <f t="shared" si="2"/>
        <v>1.4955731036133046E-3</v>
      </c>
      <c r="D83" s="13">
        <f t="shared" ref="D83:D146" si="3">(B83-B71)/B71</f>
        <v>5.9221765264156914E-2</v>
      </c>
    </row>
    <row r="84" spans="1:4" x14ac:dyDescent="0.35">
      <c r="A84" s="11">
        <v>35947</v>
      </c>
      <c r="B84" s="15">
        <f>VLOOKUP(A84,Database!A:K,MATCH($A$1,Database!$A$1:$K$1,),)</f>
        <v>16662</v>
      </c>
      <c r="C84" s="12">
        <f t="shared" si="2"/>
        <v>-4.7189534675347944E-3</v>
      </c>
      <c r="D84" s="13">
        <f t="shared" si="3"/>
        <v>4.6739540143234073E-2</v>
      </c>
    </row>
    <row r="85" spans="1:4" x14ac:dyDescent="0.35">
      <c r="A85" s="17">
        <v>35977</v>
      </c>
      <c r="B85" s="15">
        <f>VLOOKUP(A85,Database!A:K,MATCH($A$1,Database!$A$1:$K$1,),)</f>
        <v>16819</v>
      </c>
      <c r="C85" s="12">
        <f t="shared" si="2"/>
        <v>9.4226383387348463E-3</v>
      </c>
      <c r="D85" s="13">
        <f t="shared" si="3"/>
        <v>5.2964377386840296E-2</v>
      </c>
    </row>
    <row r="86" spans="1:4" x14ac:dyDescent="0.35">
      <c r="A86" s="11">
        <v>36008</v>
      </c>
      <c r="B86" s="15">
        <f>VLOOKUP(A86,Database!A:K,MATCH($A$1,Database!$A$1:$K$1,),)</f>
        <v>16828</v>
      </c>
      <c r="C86" s="12">
        <f t="shared" si="2"/>
        <v>5.3510910280040434E-4</v>
      </c>
      <c r="D86" s="13">
        <f t="shared" si="3"/>
        <v>4.997816185187496E-2</v>
      </c>
    </row>
    <row r="87" spans="1:4" x14ac:dyDescent="0.35">
      <c r="A87" s="17">
        <v>36039</v>
      </c>
      <c r="B87" s="15">
        <f>VLOOKUP(A87,Database!A:K,MATCH($A$1,Database!$A$1:$K$1,),)</f>
        <v>16972</v>
      </c>
      <c r="C87" s="12">
        <f t="shared" si="2"/>
        <v>8.5571666270501546E-3</v>
      </c>
      <c r="D87" s="13">
        <f t="shared" si="3"/>
        <v>4.2314069888841122E-2</v>
      </c>
    </row>
    <row r="88" spans="1:4" x14ac:dyDescent="0.35">
      <c r="A88" s="11">
        <v>36069</v>
      </c>
      <c r="B88" s="15">
        <f>VLOOKUP(A88,Database!A:K,MATCH($A$1,Database!$A$1:$K$1,),)</f>
        <v>17209</v>
      </c>
      <c r="C88" s="12">
        <f t="shared" si="2"/>
        <v>1.3964176290360593E-2</v>
      </c>
      <c r="D88" s="13">
        <f t="shared" si="3"/>
        <v>6.0189748644652541E-2</v>
      </c>
    </row>
    <row r="89" spans="1:4" x14ac:dyDescent="0.35">
      <c r="A89" s="17">
        <v>36100</v>
      </c>
      <c r="B89" s="15">
        <f>VLOOKUP(A89,Database!A:K,MATCH($A$1,Database!$A$1:$K$1,),)</f>
        <v>17341</v>
      </c>
      <c r="C89" s="12">
        <f t="shared" si="2"/>
        <v>7.6704050206287408E-3</v>
      </c>
      <c r="D89" s="13">
        <f t="shared" si="3"/>
        <v>7.3214506745884395E-2</v>
      </c>
    </row>
    <row r="90" spans="1:4" x14ac:dyDescent="0.35">
      <c r="A90" s="11">
        <v>36130</v>
      </c>
      <c r="B90" s="15">
        <f>VLOOKUP(A90,Database!A:K,MATCH($A$1,Database!$A$1:$K$1,),)</f>
        <v>17702</v>
      </c>
      <c r="C90" s="12">
        <f t="shared" si="2"/>
        <v>2.0817715241335563E-2</v>
      </c>
      <c r="D90" s="13">
        <f t="shared" si="3"/>
        <v>8.2293959403277078E-2</v>
      </c>
    </row>
    <row r="91" spans="1:4" x14ac:dyDescent="0.35">
      <c r="A91" s="17">
        <v>36161</v>
      </c>
      <c r="B91" s="15">
        <f>VLOOKUP(A91,Database!A:K,MATCH($A$1,Database!$A$1:$K$1,),)</f>
        <v>17732</v>
      </c>
      <c r="C91" s="12">
        <f t="shared" si="2"/>
        <v>1.6947237600271157E-3</v>
      </c>
      <c r="D91" s="13">
        <f t="shared" si="3"/>
        <v>7.8851302019956188E-2</v>
      </c>
    </row>
    <row r="92" spans="1:4" x14ac:dyDescent="0.35">
      <c r="A92" s="11">
        <v>36192</v>
      </c>
      <c r="B92" s="15">
        <f>VLOOKUP(A92,Database!A:K,MATCH($A$1,Database!$A$1:$K$1,),)</f>
        <v>17943</v>
      </c>
      <c r="C92" s="12">
        <f t="shared" si="2"/>
        <v>1.1899390931648997E-2</v>
      </c>
      <c r="D92" s="13">
        <f t="shared" si="3"/>
        <v>8.9964767342971694E-2</v>
      </c>
    </row>
    <row r="93" spans="1:4" x14ac:dyDescent="0.35">
      <c r="A93" s="17">
        <v>36220</v>
      </c>
      <c r="B93" s="15">
        <f>VLOOKUP(A93,Database!A:K,MATCH($A$1,Database!$A$1:$K$1,),)</f>
        <v>17760</v>
      </c>
      <c r="C93" s="12">
        <f t="shared" si="2"/>
        <v>-1.019896338404949E-2</v>
      </c>
      <c r="D93" s="13">
        <f t="shared" si="3"/>
        <v>7.5646538671188909E-2</v>
      </c>
    </row>
    <row r="94" spans="1:4" x14ac:dyDescent="0.35">
      <c r="A94" s="11">
        <v>36251</v>
      </c>
      <c r="B94" s="15">
        <f>VLOOKUP(A94,Database!A:K,MATCH($A$1,Database!$A$1:$K$1,),)</f>
        <v>17791</v>
      </c>
      <c r="C94" s="12">
        <f t="shared" si="2"/>
        <v>1.7454954954954954E-3</v>
      </c>
      <c r="D94" s="13">
        <f t="shared" si="3"/>
        <v>6.4309643455372101E-2</v>
      </c>
    </row>
    <row r="95" spans="1:4" x14ac:dyDescent="0.35">
      <c r="A95" s="17">
        <v>36281</v>
      </c>
      <c r="B95" s="15">
        <f>VLOOKUP(A95,Database!A:K,MATCH($A$1,Database!$A$1:$K$1,),)</f>
        <v>17914</v>
      </c>
      <c r="C95" s="12">
        <f t="shared" si="2"/>
        <v>6.9136080040469901E-3</v>
      </c>
      <c r="D95" s="13">
        <f t="shared" si="3"/>
        <v>7.0067498954662202E-2</v>
      </c>
    </row>
    <row r="96" spans="1:4" x14ac:dyDescent="0.35">
      <c r="A96" s="11">
        <v>36312</v>
      </c>
      <c r="B96" s="15">
        <f>VLOOKUP(A96,Database!A:K,MATCH($A$1,Database!$A$1:$K$1,),)</f>
        <v>17969</v>
      </c>
      <c r="C96" s="12">
        <f t="shared" si="2"/>
        <v>3.0702244054929104E-3</v>
      </c>
      <c r="D96" s="13">
        <f t="shared" si="3"/>
        <v>7.8441963749849963E-2</v>
      </c>
    </row>
    <row r="97" spans="1:4" x14ac:dyDescent="0.35">
      <c r="A97" s="17">
        <v>36342</v>
      </c>
      <c r="B97" s="15">
        <f>VLOOKUP(A97,Database!A:K,MATCH($A$1,Database!$A$1:$K$1,),)</f>
        <v>18183</v>
      </c>
      <c r="C97" s="12">
        <f t="shared" si="2"/>
        <v>1.1909399521397962E-2</v>
      </c>
      <c r="D97" s="13">
        <f t="shared" si="3"/>
        <v>8.109875735775017E-2</v>
      </c>
    </row>
    <row r="98" spans="1:4" x14ac:dyDescent="0.35">
      <c r="A98" s="11">
        <v>36373</v>
      </c>
      <c r="B98" s="15">
        <f>VLOOKUP(A98,Database!A:K,MATCH($A$1,Database!$A$1:$K$1,),)</f>
        <v>18341</v>
      </c>
      <c r="C98" s="12">
        <f t="shared" si="2"/>
        <v>8.6894351867128645E-3</v>
      </c>
      <c r="D98" s="13">
        <f t="shared" si="3"/>
        <v>8.9909674352270028E-2</v>
      </c>
    </row>
    <row r="99" spans="1:4" x14ac:dyDescent="0.35">
      <c r="A99" s="17">
        <v>36404</v>
      </c>
      <c r="B99" s="15">
        <f>VLOOKUP(A99,Database!A:K,MATCH($A$1,Database!$A$1:$K$1,),)</f>
        <v>18175</v>
      </c>
      <c r="C99" s="12">
        <f t="shared" si="2"/>
        <v>-9.0507605910255719E-3</v>
      </c>
      <c r="D99" s="13">
        <f t="shared" si="3"/>
        <v>7.0881451802969592E-2</v>
      </c>
    </row>
    <row r="100" spans="1:4" x14ac:dyDescent="0.35">
      <c r="A100" s="11">
        <v>36434</v>
      </c>
      <c r="B100" s="15">
        <f>VLOOKUP(A100,Database!A:K,MATCH($A$1,Database!$A$1:$K$1,),)</f>
        <v>18606</v>
      </c>
      <c r="C100" s="12">
        <f t="shared" si="2"/>
        <v>2.3713892709766163E-2</v>
      </c>
      <c r="D100" s="13">
        <f t="shared" si="3"/>
        <v>8.1178453134987505E-2</v>
      </c>
    </row>
    <row r="101" spans="1:4" x14ac:dyDescent="0.35">
      <c r="A101" s="17">
        <v>36465</v>
      </c>
      <c r="B101" s="15">
        <f>VLOOKUP(A101,Database!A:K,MATCH($A$1,Database!$A$1:$K$1,),)</f>
        <v>18944</v>
      </c>
      <c r="C101" s="12">
        <f t="shared" si="2"/>
        <v>1.8166182951735999E-2</v>
      </c>
      <c r="D101" s="13">
        <f t="shared" si="3"/>
        <v>9.24398823597255E-2</v>
      </c>
    </row>
    <row r="102" spans="1:4" x14ac:dyDescent="0.35">
      <c r="A102" s="11">
        <v>36495</v>
      </c>
      <c r="B102" s="15">
        <f>VLOOKUP(A102,Database!A:K,MATCH($A$1,Database!$A$1:$K$1,),)</f>
        <v>19125</v>
      </c>
      <c r="C102" s="12">
        <f t="shared" si="2"/>
        <v>9.5544763513513518E-3</v>
      </c>
      <c r="D102" s="13">
        <f t="shared" si="3"/>
        <v>8.0386397017286185E-2</v>
      </c>
    </row>
    <row r="103" spans="1:4" x14ac:dyDescent="0.35">
      <c r="A103" s="17">
        <v>36526</v>
      </c>
      <c r="B103" s="15">
        <f>VLOOKUP(A103,Database!A:K,MATCH($A$1,Database!$A$1:$K$1,),)</f>
        <v>19613</v>
      </c>
      <c r="C103" s="12">
        <f t="shared" si="2"/>
        <v>2.5516339869281045E-2</v>
      </c>
      <c r="D103" s="13">
        <f t="shared" si="3"/>
        <v>0.10607940446650124</v>
      </c>
    </row>
    <row r="104" spans="1:4" x14ac:dyDescent="0.35">
      <c r="A104" s="11">
        <v>36557</v>
      </c>
      <c r="B104" s="15">
        <f>VLOOKUP(A104,Database!A:K,MATCH($A$1,Database!$A$1:$K$1,),)</f>
        <v>19193</v>
      </c>
      <c r="C104" s="12">
        <f t="shared" si="2"/>
        <v>-2.1414368021210422E-2</v>
      </c>
      <c r="D104" s="13">
        <f t="shared" si="3"/>
        <v>6.9665050437496517E-2</v>
      </c>
    </row>
    <row r="105" spans="1:4" x14ac:dyDescent="0.35">
      <c r="A105" s="17">
        <v>36586</v>
      </c>
      <c r="B105" s="15">
        <f>VLOOKUP(A105,Database!A:K,MATCH($A$1,Database!$A$1:$K$1,),)</f>
        <v>20175</v>
      </c>
      <c r="C105" s="12">
        <f t="shared" si="2"/>
        <v>5.1164487052571248E-2</v>
      </c>
      <c r="D105" s="13">
        <f t="shared" si="3"/>
        <v>0.13597972972972974</v>
      </c>
    </row>
    <row r="106" spans="1:4" x14ac:dyDescent="0.35">
      <c r="A106" s="11">
        <v>36617</v>
      </c>
      <c r="B106" s="15">
        <f>VLOOKUP(A106,Database!A:K,MATCH($A$1,Database!$A$1:$K$1,),)</f>
        <v>18986</v>
      </c>
      <c r="C106" s="12">
        <f t="shared" si="2"/>
        <v>-5.8934324659231721E-2</v>
      </c>
      <c r="D106" s="13">
        <f t="shared" si="3"/>
        <v>6.7168793210050023E-2</v>
      </c>
    </row>
    <row r="107" spans="1:4" x14ac:dyDescent="0.35">
      <c r="A107" s="17">
        <v>36647</v>
      </c>
      <c r="B107" s="15">
        <f>VLOOKUP(A107,Database!A:K,MATCH($A$1,Database!$A$1:$K$1,),)</f>
        <v>18941</v>
      </c>
      <c r="C107" s="12">
        <f t="shared" si="2"/>
        <v>-2.3701674918360899E-3</v>
      </c>
      <c r="D107" s="13">
        <f t="shared" si="3"/>
        <v>5.7329462989840346E-2</v>
      </c>
    </row>
    <row r="108" spans="1:4" x14ac:dyDescent="0.35">
      <c r="A108" s="11">
        <v>36678</v>
      </c>
      <c r="B108" s="15">
        <f>VLOOKUP(A108,Database!A:K,MATCH($A$1,Database!$A$1:$K$1,),)</f>
        <v>18878</v>
      </c>
      <c r="C108" s="12">
        <f t="shared" si="2"/>
        <v>-3.3261179451982473E-3</v>
      </c>
      <c r="D108" s="13">
        <f t="shared" si="3"/>
        <v>5.0587122266124995E-2</v>
      </c>
    </row>
    <row r="109" spans="1:4" x14ac:dyDescent="0.35">
      <c r="A109" s="17">
        <v>36708</v>
      </c>
      <c r="B109" s="15">
        <f>VLOOKUP(A109,Database!A:K,MATCH($A$1,Database!$A$1:$K$1,),)</f>
        <v>18982</v>
      </c>
      <c r="C109" s="12">
        <f t="shared" si="2"/>
        <v>5.5090581629409895E-3</v>
      </c>
      <c r="D109" s="13">
        <f t="shared" si="3"/>
        <v>4.3942143760655555E-2</v>
      </c>
    </row>
    <row r="110" spans="1:4" x14ac:dyDescent="0.35">
      <c r="A110" s="11">
        <v>36739</v>
      </c>
      <c r="B110" s="15">
        <f>VLOOKUP(A110,Database!A:K,MATCH($A$1,Database!$A$1:$K$1,),)</f>
        <v>18951</v>
      </c>
      <c r="C110" s="12">
        <f t="shared" si="2"/>
        <v>-1.6331261194816142E-3</v>
      </c>
      <c r="D110" s="13">
        <f t="shared" si="3"/>
        <v>3.3258819039310834E-2</v>
      </c>
    </row>
    <row r="111" spans="1:4" x14ac:dyDescent="0.35">
      <c r="A111" s="17">
        <v>36770</v>
      </c>
      <c r="B111" s="15">
        <f>VLOOKUP(A111,Database!A:K,MATCH($A$1,Database!$A$1:$K$1,),)</f>
        <v>18926</v>
      </c>
      <c r="C111" s="12">
        <f t="shared" si="2"/>
        <v>-1.3191915993878952E-3</v>
      </c>
      <c r="D111" s="13">
        <f t="shared" si="3"/>
        <v>4.1320495185694632E-2</v>
      </c>
    </row>
    <row r="112" spans="1:4" x14ac:dyDescent="0.35">
      <c r="A112" s="11">
        <v>36800</v>
      </c>
      <c r="B112" s="15">
        <f>VLOOKUP(A112,Database!A:K,MATCH($A$1,Database!$A$1:$K$1,),)</f>
        <v>18965</v>
      </c>
      <c r="C112" s="12">
        <f t="shared" si="2"/>
        <v>2.0606572968403254E-3</v>
      </c>
      <c r="D112" s="13">
        <f t="shared" si="3"/>
        <v>1.9294851123293561E-2</v>
      </c>
    </row>
    <row r="113" spans="1:4" x14ac:dyDescent="0.35">
      <c r="A113" s="17">
        <v>36831</v>
      </c>
      <c r="B113" s="15">
        <f>VLOOKUP(A113,Database!A:K,MATCH($A$1,Database!$A$1:$K$1,),)</f>
        <v>18689</v>
      </c>
      <c r="C113" s="12">
        <f t="shared" si="2"/>
        <v>-1.4553124176113893E-2</v>
      </c>
      <c r="D113" s="13">
        <f t="shared" si="3"/>
        <v>-1.3460726351351352E-2</v>
      </c>
    </row>
    <row r="114" spans="1:4" x14ac:dyDescent="0.35">
      <c r="A114" s="11">
        <v>36861</v>
      </c>
      <c r="B114" s="15">
        <f>VLOOKUP(A114,Database!A:K,MATCH($A$1,Database!$A$1:$K$1,),)</f>
        <v>19356</v>
      </c>
      <c r="C114" s="12">
        <f t="shared" si="2"/>
        <v>3.5689442987853814E-2</v>
      </c>
      <c r="D114" s="13">
        <f t="shared" si="3"/>
        <v>1.207843137254902E-2</v>
      </c>
    </row>
    <row r="115" spans="1:4" x14ac:dyDescent="0.35">
      <c r="A115" s="17">
        <v>36892</v>
      </c>
      <c r="B115" s="15">
        <f>VLOOKUP(A115,Database!A:K,MATCH($A$1,Database!$A$1:$K$1,),)</f>
        <v>19248</v>
      </c>
      <c r="C115" s="12">
        <f t="shared" si="2"/>
        <v>-5.5796652200867944E-3</v>
      </c>
      <c r="D115" s="13">
        <f t="shared" si="3"/>
        <v>-1.8610105542242392E-2</v>
      </c>
    </row>
    <row r="116" spans="1:4" x14ac:dyDescent="0.35">
      <c r="A116" s="11">
        <v>36923</v>
      </c>
      <c r="B116" s="15">
        <f>VLOOKUP(A116,Database!A:K,MATCH($A$1,Database!$A$1:$K$1,),)</f>
        <v>19698</v>
      </c>
      <c r="C116" s="12">
        <f t="shared" si="2"/>
        <v>2.3379052369077308E-2</v>
      </c>
      <c r="D116" s="13">
        <f t="shared" si="3"/>
        <v>2.6311676131923097E-2</v>
      </c>
    </row>
    <row r="117" spans="1:4" x14ac:dyDescent="0.35">
      <c r="A117" s="17">
        <v>36951</v>
      </c>
      <c r="B117" s="15">
        <f>VLOOKUP(A117,Database!A:K,MATCH($A$1,Database!$A$1:$K$1,),)</f>
        <v>19562</v>
      </c>
      <c r="C117" s="12">
        <f t="shared" si="2"/>
        <v>-6.9042542390090368E-3</v>
      </c>
      <c r="D117" s="13">
        <f t="shared" si="3"/>
        <v>-3.0384138785625774E-2</v>
      </c>
    </row>
    <row r="118" spans="1:4" x14ac:dyDescent="0.35">
      <c r="A118" s="11">
        <v>36982</v>
      </c>
      <c r="B118" s="15">
        <f>VLOOKUP(A118,Database!A:K,MATCH($A$1,Database!$A$1:$K$1,),)</f>
        <v>20373</v>
      </c>
      <c r="C118" s="12">
        <f t="shared" si="2"/>
        <v>4.1457928637153668E-2</v>
      </c>
      <c r="D118" s="13">
        <f t="shared" si="3"/>
        <v>7.3053829137259038E-2</v>
      </c>
    </row>
    <row r="119" spans="1:4" x14ac:dyDescent="0.35">
      <c r="A119" s="17">
        <v>37012</v>
      </c>
      <c r="B119" s="15">
        <f>VLOOKUP(A119,Database!A:K,MATCH($A$1,Database!$A$1:$K$1,),)</f>
        <v>20147</v>
      </c>
      <c r="C119" s="12">
        <f t="shared" si="2"/>
        <v>-1.1093113434447553E-2</v>
      </c>
      <c r="D119" s="13">
        <f t="shared" si="3"/>
        <v>6.3671400665223588E-2</v>
      </c>
    </row>
    <row r="120" spans="1:4" x14ac:dyDescent="0.35">
      <c r="A120" s="11">
        <v>37043</v>
      </c>
      <c r="B120" s="15">
        <f>VLOOKUP(A120,Database!A:K,MATCH($A$1,Database!$A$1:$K$1,),)</f>
        <v>19900</v>
      </c>
      <c r="C120" s="12">
        <f t="shared" si="2"/>
        <v>-1.2259889809897255E-2</v>
      </c>
      <c r="D120" s="13">
        <f t="shared" si="3"/>
        <v>5.4137090793516265E-2</v>
      </c>
    </row>
    <row r="121" spans="1:4" x14ac:dyDescent="0.35">
      <c r="A121" s="17">
        <v>37073</v>
      </c>
      <c r="B121" s="15">
        <f>VLOOKUP(A121,Database!A:K,MATCH($A$1,Database!$A$1:$K$1,),)</f>
        <v>19838</v>
      </c>
      <c r="C121" s="12">
        <f t="shared" si="2"/>
        <v>-3.1155778894472364E-3</v>
      </c>
      <c r="D121" s="13">
        <f t="shared" si="3"/>
        <v>4.5095353492782639E-2</v>
      </c>
    </row>
    <row r="122" spans="1:4" x14ac:dyDescent="0.35">
      <c r="A122" s="11">
        <v>37104</v>
      </c>
      <c r="B122" s="15">
        <f>VLOOKUP(A122,Database!A:K,MATCH($A$1,Database!$A$1:$K$1,),)</f>
        <v>19920</v>
      </c>
      <c r="C122" s="12">
        <f t="shared" si="2"/>
        <v>4.1334811977013809E-3</v>
      </c>
      <c r="D122" s="13">
        <f t="shared" si="3"/>
        <v>5.1131866392274815E-2</v>
      </c>
    </row>
    <row r="123" spans="1:4" x14ac:dyDescent="0.35">
      <c r="A123" s="17">
        <v>37135</v>
      </c>
      <c r="B123" s="15">
        <f>VLOOKUP(A123,Database!A:K,MATCH($A$1,Database!$A$1:$K$1,),)</f>
        <v>19664</v>
      </c>
      <c r="C123" s="12">
        <f t="shared" si="2"/>
        <v>-1.285140562248996E-2</v>
      </c>
      <c r="D123" s="13">
        <f t="shared" si="3"/>
        <v>3.8993976540209238E-2</v>
      </c>
    </row>
    <row r="124" spans="1:4" x14ac:dyDescent="0.35">
      <c r="A124" s="11">
        <v>37165</v>
      </c>
      <c r="B124" s="15">
        <f>VLOOKUP(A124,Database!A:K,MATCH($A$1,Database!$A$1:$K$1,),)</f>
        <v>20054</v>
      </c>
      <c r="C124" s="12">
        <f t="shared" si="2"/>
        <v>1.9833197721724979E-2</v>
      </c>
      <c r="D124" s="13">
        <f t="shared" si="3"/>
        <v>5.7421566042710252E-2</v>
      </c>
    </row>
    <row r="125" spans="1:4" x14ac:dyDescent="0.35">
      <c r="A125" s="17">
        <v>37196</v>
      </c>
      <c r="B125" s="15">
        <f>VLOOKUP(A125,Database!A:K,MATCH($A$1,Database!$A$1:$K$1,),)</f>
        <v>19982</v>
      </c>
      <c r="C125" s="12">
        <f t="shared" si="2"/>
        <v>-3.5903061733320034E-3</v>
      </c>
      <c r="D125" s="13">
        <f t="shared" si="3"/>
        <v>6.9185082133875545E-2</v>
      </c>
    </row>
    <row r="126" spans="1:4" x14ac:dyDescent="0.35">
      <c r="A126" s="11">
        <v>37226</v>
      </c>
      <c r="B126" s="15">
        <f>VLOOKUP(A126,Database!A:K,MATCH($A$1,Database!$A$1:$K$1,),)</f>
        <v>20120</v>
      </c>
      <c r="C126" s="12">
        <f t="shared" si="2"/>
        <v>6.9062155940346308E-3</v>
      </c>
      <c r="D126" s="13">
        <f t="shared" si="3"/>
        <v>3.9470965075428806E-2</v>
      </c>
    </row>
    <row r="127" spans="1:4" x14ac:dyDescent="0.35">
      <c r="A127" s="17">
        <v>37257</v>
      </c>
      <c r="B127" s="15">
        <f>VLOOKUP(A127,Database!A:K,MATCH($A$1,Database!$A$1:$K$1,),)</f>
        <v>20359</v>
      </c>
      <c r="C127" s="12">
        <f t="shared" si="2"/>
        <v>1.1878727634194831E-2</v>
      </c>
      <c r="D127" s="13">
        <f t="shared" si="3"/>
        <v>5.7720282626766414E-2</v>
      </c>
    </row>
    <row r="128" spans="1:4" x14ac:dyDescent="0.35">
      <c r="A128" s="11">
        <v>37288</v>
      </c>
      <c r="B128" s="15">
        <f>VLOOKUP(A128,Database!A:K,MATCH($A$1,Database!$A$1:$K$1,),)</f>
        <v>20515</v>
      </c>
      <c r="C128" s="12">
        <f t="shared" si="2"/>
        <v>7.6624588634019355E-3</v>
      </c>
      <c r="D128" s="13">
        <f t="shared" si="3"/>
        <v>4.1476292009341047E-2</v>
      </c>
    </row>
    <row r="129" spans="1:4" x14ac:dyDescent="0.35">
      <c r="A129" s="17">
        <v>37316</v>
      </c>
      <c r="B129" s="15">
        <f>VLOOKUP(A129,Database!A:K,MATCH($A$1,Database!$A$1:$K$1,),)</f>
        <v>20370</v>
      </c>
      <c r="C129" s="12">
        <f t="shared" si="2"/>
        <v>-7.0679990251035826E-3</v>
      </c>
      <c r="D129" s="13">
        <f t="shared" si="3"/>
        <v>4.1304570084858397E-2</v>
      </c>
    </row>
    <row r="130" spans="1:4" x14ac:dyDescent="0.35">
      <c r="A130" s="11">
        <v>37347</v>
      </c>
      <c r="B130" s="15">
        <f>VLOOKUP(A130,Database!A:K,MATCH($A$1,Database!$A$1:$K$1,),)</f>
        <v>21274</v>
      </c>
      <c r="C130" s="12">
        <f t="shared" si="2"/>
        <v>4.4378988708885618E-2</v>
      </c>
      <c r="D130" s="13">
        <f t="shared" si="3"/>
        <v>4.4225200019633829E-2</v>
      </c>
    </row>
    <row r="131" spans="1:4" x14ac:dyDescent="0.35">
      <c r="A131" s="17">
        <v>37377</v>
      </c>
      <c r="B131" s="15">
        <f>VLOOKUP(A131,Database!A:K,MATCH($A$1,Database!$A$1:$K$1,),)</f>
        <v>20874</v>
      </c>
      <c r="C131" s="12">
        <f t="shared" si="2"/>
        <v>-1.8802293879853341E-2</v>
      </c>
      <c r="D131" s="13">
        <f t="shared" si="3"/>
        <v>3.6084776889859532E-2</v>
      </c>
    </row>
    <row r="132" spans="1:4" x14ac:dyDescent="0.35">
      <c r="A132" s="11">
        <v>37408</v>
      </c>
      <c r="B132" s="15">
        <f>VLOOKUP(A132,Database!A:K,MATCH($A$1,Database!$A$1:$K$1,),)</f>
        <v>20725</v>
      </c>
      <c r="C132" s="12">
        <f t="shared" si="2"/>
        <v>-7.1380664942033148E-3</v>
      </c>
      <c r="D132" s="13">
        <f t="shared" si="3"/>
        <v>4.1457286432160803E-2</v>
      </c>
    </row>
    <row r="133" spans="1:4" x14ac:dyDescent="0.35">
      <c r="A133" s="17">
        <v>37438</v>
      </c>
      <c r="B133" s="15">
        <f>VLOOKUP(A133,Database!A:K,MATCH($A$1,Database!$A$1:$K$1,),)</f>
        <v>20674</v>
      </c>
      <c r="C133" s="12">
        <f t="shared" si="2"/>
        <v>-2.4607961399276236E-3</v>
      </c>
      <c r="D133" s="13">
        <f t="shared" si="3"/>
        <v>4.2141344893638473E-2</v>
      </c>
    </row>
    <row r="134" spans="1:4" x14ac:dyDescent="0.35">
      <c r="A134" s="11">
        <v>37469</v>
      </c>
      <c r="B134" s="15">
        <f>VLOOKUP(A134,Database!A:K,MATCH($A$1,Database!$A$1:$K$1,),)</f>
        <v>20683</v>
      </c>
      <c r="C134" s="12">
        <f t="shared" si="2"/>
        <v>4.3532939924542907E-4</v>
      </c>
      <c r="D134" s="13">
        <f t="shared" si="3"/>
        <v>3.8303212851405623E-2</v>
      </c>
    </row>
    <row r="135" spans="1:4" x14ac:dyDescent="0.35">
      <c r="A135" s="17">
        <v>37500</v>
      </c>
      <c r="B135" s="15">
        <f>VLOOKUP(A135,Database!A:K,MATCH($A$1,Database!$A$1:$K$1,),)</f>
        <v>20732</v>
      </c>
      <c r="C135" s="12">
        <f t="shared" si="2"/>
        <v>2.3690953923512061E-3</v>
      </c>
      <c r="D135" s="13">
        <f t="shared" si="3"/>
        <v>5.4312449145646868E-2</v>
      </c>
    </row>
    <row r="136" spans="1:4" x14ac:dyDescent="0.35">
      <c r="A136" s="11">
        <v>37530</v>
      </c>
      <c r="B136" s="15">
        <f>VLOOKUP(A136,Database!A:K,MATCH($A$1,Database!$A$1:$K$1,),)</f>
        <v>20603</v>
      </c>
      <c r="C136" s="12">
        <f t="shared" ref="C136:C199" si="4">(B136-B135)/B135</f>
        <v>-6.2222650974339188E-3</v>
      </c>
      <c r="D136" s="13">
        <f t="shared" si="3"/>
        <v>2.7376084571656526E-2</v>
      </c>
    </row>
    <row r="137" spans="1:4" x14ac:dyDescent="0.35">
      <c r="A137" s="17">
        <v>37561</v>
      </c>
      <c r="B137" s="15">
        <f>VLOOKUP(A137,Database!A:K,MATCH($A$1,Database!$A$1:$K$1,),)</f>
        <v>20969</v>
      </c>
      <c r="C137" s="12">
        <f t="shared" si="4"/>
        <v>1.7764403242246273E-2</v>
      </c>
      <c r="D137" s="13">
        <f t="shared" si="3"/>
        <v>4.9394455009508557E-2</v>
      </c>
    </row>
    <row r="138" spans="1:4" x14ac:dyDescent="0.35">
      <c r="A138" s="11">
        <v>37591</v>
      </c>
      <c r="B138" s="15">
        <f>VLOOKUP(A138,Database!A:K,MATCH($A$1,Database!$A$1:$K$1,),)</f>
        <v>20415</v>
      </c>
      <c r="C138" s="12">
        <f t="shared" si="4"/>
        <v>-2.6419953264342599E-2</v>
      </c>
      <c r="D138" s="13">
        <f t="shared" si="3"/>
        <v>1.4662027833001988E-2</v>
      </c>
    </row>
    <row r="139" spans="1:4" x14ac:dyDescent="0.35">
      <c r="A139" s="17">
        <v>37622</v>
      </c>
      <c r="B139" s="15">
        <f>VLOOKUP(A139,Database!A:K,MATCH($A$1,Database!$A$1:$K$1,),)</f>
        <v>21270</v>
      </c>
      <c r="C139" s="12">
        <f t="shared" si="4"/>
        <v>4.1880969875091843E-2</v>
      </c>
      <c r="D139" s="13">
        <f t="shared" si="3"/>
        <v>4.4746795029225406E-2</v>
      </c>
    </row>
    <row r="140" spans="1:4" x14ac:dyDescent="0.35">
      <c r="A140" s="11">
        <v>37653</v>
      </c>
      <c r="B140" s="15">
        <f>VLOOKUP(A140,Database!A:K,MATCH($A$1,Database!$A$1:$K$1,),)</f>
        <v>20041</v>
      </c>
      <c r="C140" s="12">
        <f t="shared" si="4"/>
        <v>-5.7780912082745654E-2</v>
      </c>
      <c r="D140" s="13">
        <f t="shared" si="3"/>
        <v>-2.3105045088959299E-2</v>
      </c>
    </row>
    <row r="141" spans="1:4" x14ac:dyDescent="0.35">
      <c r="A141" s="17">
        <v>37681</v>
      </c>
      <c r="B141" s="15">
        <f>VLOOKUP(A141,Database!A:K,MATCH($A$1,Database!$A$1:$K$1,),)</f>
        <v>21326</v>
      </c>
      <c r="C141" s="12">
        <f t="shared" si="4"/>
        <v>6.4118556958235623E-2</v>
      </c>
      <c r="D141" s="13">
        <f t="shared" si="3"/>
        <v>4.6931762395679921E-2</v>
      </c>
    </row>
    <row r="142" spans="1:4" x14ac:dyDescent="0.35">
      <c r="A142" s="11">
        <v>37712</v>
      </c>
      <c r="B142" s="15">
        <f>VLOOKUP(A142,Database!A:K,MATCH($A$1,Database!$A$1:$K$1,),)</f>
        <v>21139</v>
      </c>
      <c r="C142" s="12">
        <f t="shared" si="4"/>
        <v>-8.7686392197317831E-3</v>
      </c>
      <c r="D142" s="13">
        <f t="shared" si="3"/>
        <v>-6.3457741844505028E-3</v>
      </c>
    </row>
    <row r="143" spans="1:4" x14ac:dyDescent="0.35">
      <c r="A143" s="17">
        <v>37742</v>
      </c>
      <c r="B143" s="15">
        <f>VLOOKUP(A143,Database!A:K,MATCH($A$1,Database!$A$1:$K$1,),)</f>
        <v>21328</v>
      </c>
      <c r="C143" s="12">
        <f t="shared" si="4"/>
        <v>8.940820284781683E-3</v>
      </c>
      <c r="D143" s="13">
        <f t="shared" si="3"/>
        <v>2.1749544888377888E-2</v>
      </c>
    </row>
    <row r="144" spans="1:4" x14ac:dyDescent="0.35">
      <c r="A144" s="11">
        <v>37773</v>
      </c>
      <c r="B144" s="15">
        <f>VLOOKUP(A144,Database!A:K,MATCH($A$1,Database!$A$1:$K$1,),)</f>
        <v>22003</v>
      </c>
      <c r="C144" s="12">
        <f t="shared" si="4"/>
        <v>3.1648537134283568E-2</v>
      </c>
      <c r="D144" s="13">
        <f t="shared" si="3"/>
        <v>6.1664656212303978E-2</v>
      </c>
    </row>
    <row r="145" spans="1:4" x14ac:dyDescent="0.35">
      <c r="A145" s="17">
        <v>37803</v>
      </c>
      <c r="B145" s="15">
        <f>VLOOKUP(A145,Database!A:K,MATCH($A$1,Database!$A$1:$K$1,),)</f>
        <v>22372</v>
      </c>
      <c r="C145" s="12">
        <f t="shared" si="4"/>
        <v>1.6770440394491659E-2</v>
      </c>
      <c r="D145" s="13">
        <f t="shared" si="3"/>
        <v>8.2132146657637614E-2</v>
      </c>
    </row>
    <row r="146" spans="1:4" x14ac:dyDescent="0.35">
      <c r="A146" s="11">
        <v>37834</v>
      </c>
      <c r="B146" s="15">
        <f>VLOOKUP(A146,Database!A:K,MATCH($A$1,Database!$A$1:$K$1,),)</f>
        <v>22489</v>
      </c>
      <c r="C146" s="12">
        <f t="shared" si="4"/>
        <v>5.2297514750581087E-3</v>
      </c>
      <c r="D146" s="13">
        <f t="shared" si="3"/>
        <v>8.7318087318087323E-2</v>
      </c>
    </row>
    <row r="147" spans="1:4" x14ac:dyDescent="0.35">
      <c r="A147" s="17">
        <v>37865</v>
      </c>
      <c r="B147" s="15">
        <f>VLOOKUP(A147,Database!A:K,MATCH($A$1,Database!$A$1:$K$1,),)</f>
        <v>22630</v>
      </c>
      <c r="C147" s="12">
        <f t="shared" si="4"/>
        <v>6.2697318689136907E-3</v>
      </c>
      <c r="D147" s="13">
        <f t="shared" ref="D147:D210" si="5">(B147-B135)/B135</f>
        <v>9.154929577464789E-2</v>
      </c>
    </row>
    <row r="148" spans="1:4" x14ac:dyDescent="0.35">
      <c r="A148" s="11">
        <v>37895</v>
      </c>
      <c r="B148" s="15">
        <f>VLOOKUP(A148,Database!A:K,MATCH($A$1,Database!$A$1:$K$1,),)</f>
        <v>22869</v>
      </c>
      <c r="C148" s="12">
        <f t="shared" si="4"/>
        <v>1.0561201944321696E-2</v>
      </c>
      <c r="D148" s="13">
        <f t="shared" si="5"/>
        <v>0.10998398291510945</v>
      </c>
    </row>
    <row r="149" spans="1:4" x14ac:dyDescent="0.35">
      <c r="A149" s="17">
        <v>37926</v>
      </c>
      <c r="B149" s="15">
        <f>VLOOKUP(A149,Database!A:K,MATCH($A$1,Database!$A$1:$K$1,),)</f>
        <v>22864</v>
      </c>
      <c r="C149" s="12">
        <f t="shared" si="4"/>
        <v>-2.1863658227294592E-4</v>
      </c>
      <c r="D149" s="13">
        <f t="shared" si="5"/>
        <v>9.0371500786875864E-2</v>
      </c>
    </row>
    <row r="150" spans="1:4" x14ac:dyDescent="0.35">
      <c r="A150" s="11">
        <v>37956</v>
      </c>
      <c r="B150" s="15">
        <f>VLOOKUP(A150,Database!A:K,MATCH($A$1,Database!$A$1:$K$1,),)</f>
        <v>22748</v>
      </c>
      <c r="C150" s="12">
        <f t="shared" si="4"/>
        <v>-5.0734779566130161E-3</v>
      </c>
      <c r="D150" s="13">
        <f t="shared" si="5"/>
        <v>0.11427871662992897</v>
      </c>
    </row>
    <row r="151" spans="1:4" x14ac:dyDescent="0.35">
      <c r="A151" s="17">
        <v>37987</v>
      </c>
      <c r="B151" s="15">
        <f>VLOOKUP(A151,Database!A:K,MATCH($A$1,Database!$A$1:$K$1,),)</f>
        <v>22637</v>
      </c>
      <c r="C151" s="12">
        <f t="shared" si="4"/>
        <v>-4.879549850536311E-3</v>
      </c>
      <c r="D151" s="13">
        <f t="shared" si="5"/>
        <v>6.4268923366243541E-2</v>
      </c>
    </row>
    <row r="152" spans="1:4" x14ac:dyDescent="0.35">
      <c r="A152" s="11">
        <v>38018</v>
      </c>
      <c r="B152" s="15">
        <f>VLOOKUP(A152,Database!A:K,MATCH($A$1,Database!$A$1:$K$1,),)</f>
        <v>22727</v>
      </c>
      <c r="C152" s="12">
        <f t="shared" si="4"/>
        <v>3.9757918452091711E-3</v>
      </c>
      <c r="D152" s="13">
        <f t="shared" si="5"/>
        <v>0.13402524824110573</v>
      </c>
    </row>
    <row r="153" spans="1:4" x14ac:dyDescent="0.35">
      <c r="A153" s="17">
        <v>38047</v>
      </c>
      <c r="B153" s="15">
        <f>VLOOKUP(A153,Database!A:K,MATCH($A$1,Database!$A$1:$K$1,),)</f>
        <v>24992</v>
      </c>
      <c r="C153" s="12">
        <f t="shared" si="4"/>
        <v>9.9661195934351215E-2</v>
      </c>
      <c r="D153" s="13">
        <f t="shared" si="5"/>
        <v>0.17190284160180061</v>
      </c>
    </row>
    <row r="154" spans="1:4" x14ac:dyDescent="0.35">
      <c r="A154" s="11">
        <v>38078</v>
      </c>
      <c r="B154" s="15">
        <f>VLOOKUP(A154,Database!A:K,MATCH($A$1,Database!$A$1:$K$1,),)</f>
        <v>24565</v>
      </c>
      <c r="C154" s="12">
        <f t="shared" si="4"/>
        <v>-1.7085467349551856E-2</v>
      </c>
      <c r="D154" s="13">
        <f t="shared" si="5"/>
        <v>0.16207010738445526</v>
      </c>
    </row>
    <row r="155" spans="1:4" x14ac:dyDescent="0.35">
      <c r="A155" s="17">
        <v>38108</v>
      </c>
      <c r="B155" s="15">
        <f>VLOOKUP(A155,Database!A:K,MATCH($A$1,Database!$A$1:$K$1,),)</f>
        <v>24420</v>
      </c>
      <c r="C155" s="12">
        <f t="shared" si="4"/>
        <v>-5.9027071036026864E-3</v>
      </c>
      <c r="D155" s="13">
        <f t="shared" si="5"/>
        <v>0.14497374343585898</v>
      </c>
    </row>
    <row r="156" spans="1:4" x14ac:dyDescent="0.35">
      <c r="A156" s="11">
        <v>38139</v>
      </c>
      <c r="B156" s="15">
        <f>VLOOKUP(A156,Database!A:K,MATCH($A$1,Database!$A$1:$K$1,),)</f>
        <v>24622</v>
      </c>
      <c r="C156" s="12">
        <f t="shared" si="4"/>
        <v>8.2719082719082716E-3</v>
      </c>
      <c r="D156" s="13">
        <f t="shared" si="5"/>
        <v>0.11902922328773349</v>
      </c>
    </row>
    <row r="157" spans="1:4" x14ac:dyDescent="0.35">
      <c r="A157" s="17">
        <v>38169</v>
      </c>
      <c r="B157" s="15">
        <f>VLOOKUP(A157,Database!A:K,MATCH($A$1,Database!$A$1:$K$1,),)</f>
        <v>24538</v>
      </c>
      <c r="C157" s="12">
        <f t="shared" si="4"/>
        <v>-3.4115831370319229E-3</v>
      </c>
      <c r="D157" s="13">
        <f t="shared" si="5"/>
        <v>9.6817450384409087E-2</v>
      </c>
    </row>
    <row r="158" spans="1:4" x14ac:dyDescent="0.35">
      <c r="A158" s="11">
        <v>38200</v>
      </c>
      <c r="B158" s="15">
        <f>VLOOKUP(A158,Database!A:K,MATCH($A$1,Database!$A$1:$K$1,),)</f>
        <v>24713</v>
      </c>
      <c r="C158" s="12">
        <f t="shared" si="4"/>
        <v>7.1317955823620507E-3</v>
      </c>
      <c r="D158" s="13">
        <f t="shared" si="5"/>
        <v>9.8892792031659918E-2</v>
      </c>
    </row>
    <row r="159" spans="1:4" x14ac:dyDescent="0.35">
      <c r="A159" s="17">
        <v>38231</v>
      </c>
      <c r="B159" s="15">
        <f>VLOOKUP(A159,Database!A:K,MATCH($A$1,Database!$A$1:$K$1,),)</f>
        <v>25045</v>
      </c>
      <c r="C159" s="12">
        <f t="shared" si="4"/>
        <v>1.3434224901873508E-2</v>
      </c>
      <c r="D159" s="13">
        <f t="shared" si="5"/>
        <v>0.10671674768007071</v>
      </c>
    </row>
    <row r="160" spans="1:4" x14ac:dyDescent="0.35">
      <c r="A160" s="11">
        <v>38261</v>
      </c>
      <c r="B160" s="15">
        <f>VLOOKUP(A160,Database!A:K,MATCH($A$1,Database!$A$1:$K$1,),)</f>
        <v>24842</v>
      </c>
      <c r="C160" s="12">
        <f t="shared" si="4"/>
        <v>-8.1054102615292466E-3</v>
      </c>
      <c r="D160" s="13">
        <f t="shared" si="5"/>
        <v>8.627399536490446E-2</v>
      </c>
    </row>
    <row r="161" spans="1:4" x14ac:dyDescent="0.35">
      <c r="A161" s="17">
        <v>38292</v>
      </c>
      <c r="B161" s="15">
        <f>VLOOKUP(A161,Database!A:K,MATCH($A$1,Database!$A$1:$K$1,),)</f>
        <v>24974</v>
      </c>
      <c r="C161" s="12">
        <f t="shared" si="4"/>
        <v>5.3135818372111749E-3</v>
      </c>
      <c r="D161" s="13">
        <f t="shared" si="5"/>
        <v>9.228481455563331E-2</v>
      </c>
    </row>
    <row r="162" spans="1:4" x14ac:dyDescent="0.35">
      <c r="A162" s="11">
        <v>38322</v>
      </c>
      <c r="B162" s="15">
        <f>VLOOKUP(A162,Database!A:K,MATCH($A$1,Database!$A$1:$K$1,),)</f>
        <v>25679</v>
      </c>
      <c r="C162" s="12">
        <f t="shared" si="4"/>
        <v>2.8229358532874189E-2</v>
      </c>
      <c r="D162" s="13">
        <f t="shared" si="5"/>
        <v>0.12884649199929665</v>
      </c>
    </row>
    <row r="163" spans="1:4" x14ac:dyDescent="0.35">
      <c r="A163" s="17">
        <v>38353</v>
      </c>
      <c r="B163" s="15">
        <f>VLOOKUP(A163,Database!A:K,MATCH($A$1,Database!$A$1:$K$1,),)</f>
        <v>26126</v>
      </c>
      <c r="C163" s="12">
        <f t="shared" si="4"/>
        <v>1.7407219907317265E-2</v>
      </c>
      <c r="D163" s="13">
        <f t="shared" si="5"/>
        <v>0.15412819719927554</v>
      </c>
    </row>
    <row r="164" spans="1:4" x14ac:dyDescent="0.35">
      <c r="A164" s="11">
        <v>38384</v>
      </c>
      <c r="B164" s="15">
        <f>VLOOKUP(A164,Database!A:K,MATCH($A$1,Database!$A$1:$K$1,),)</f>
        <v>25797</v>
      </c>
      <c r="C164" s="12">
        <f t="shared" si="4"/>
        <v>-1.2592819413610963E-2</v>
      </c>
      <c r="D164" s="13">
        <f t="shared" si="5"/>
        <v>0.13508162097945176</v>
      </c>
    </row>
    <row r="165" spans="1:4" x14ac:dyDescent="0.35">
      <c r="A165" s="17">
        <v>38412</v>
      </c>
      <c r="B165" s="15">
        <f>VLOOKUP(A165,Database!A:K,MATCH($A$1,Database!$A$1:$K$1,),)</f>
        <v>26219</v>
      </c>
      <c r="C165" s="12">
        <f t="shared" si="4"/>
        <v>1.6358491297437685E-2</v>
      </c>
      <c r="D165" s="13">
        <f t="shared" si="5"/>
        <v>4.9095710627400771E-2</v>
      </c>
    </row>
    <row r="166" spans="1:4" x14ac:dyDescent="0.35">
      <c r="A166" s="11">
        <v>38443</v>
      </c>
      <c r="B166" s="15">
        <f>VLOOKUP(A166,Database!A:K,MATCH($A$1,Database!$A$1:$K$1,),)</f>
        <v>26520</v>
      </c>
      <c r="C166" s="12">
        <f t="shared" si="4"/>
        <v>1.1480224264846104E-2</v>
      </c>
      <c r="D166" s="13">
        <f t="shared" si="5"/>
        <v>7.9584775086505188E-2</v>
      </c>
    </row>
    <row r="167" spans="1:4" x14ac:dyDescent="0.35">
      <c r="A167" s="17">
        <v>38473</v>
      </c>
      <c r="B167" s="15">
        <f>VLOOKUP(A167,Database!A:K,MATCH($A$1,Database!$A$1:$K$1,),)</f>
        <v>26510</v>
      </c>
      <c r="C167" s="12">
        <f t="shared" si="4"/>
        <v>-3.7707390648567121E-4</v>
      </c>
      <c r="D167" s="13">
        <f t="shared" si="5"/>
        <v>8.5585585585585586E-2</v>
      </c>
    </row>
    <row r="168" spans="1:4" x14ac:dyDescent="0.35">
      <c r="A168" s="11">
        <v>38504</v>
      </c>
      <c r="B168" s="15">
        <f>VLOOKUP(A168,Database!A:K,MATCH($A$1,Database!$A$1:$K$1,),)</f>
        <v>26569</v>
      </c>
      <c r="C168" s="12">
        <f t="shared" si="4"/>
        <v>2.2255752546208978E-3</v>
      </c>
      <c r="D168" s="13">
        <f t="shared" si="5"/>
        <v>7.9075623426204208E-2</v>
      </c>
    </row>
    <row r="169" spans="1:4" x14ac:dyDescent="0.35">
      <c r="A169" s="17">
        <v>38534</v>
      </c>
      <c r="B169" s="15">
        <f>VLOOKUP(A169,Database!A:K,MATCH($A$1,Database!$A$1:$K$1,),)</f>
        <v>26538</v>
      </c>
      <c r="C169" s="12">
        <f t="shared" si="4"/>
        <v>-1.1667733072377583E-3</v>
      </c>
      <c r="D169" s="13">
        <f t="shared" si="5"/>
        <v>8.1506235226994864E-2</v>
      </c>
    </row>
    <row r="170" spans="1:4" x14ac:dyDescent="0.35">
      <c r="A170" s="11">
        <v>38565</v>
      </c>
      <c r="B170" s="15">
        <f>VLOOKUP(A170,Database!A:K,MATCH($A$1,Database!$A$1:$K$1,),)</f>
        <v>26814</v>
      </c>
      <c r="C170" s="12">
        <f t="shared" si="4"/>
        <v>1.0400180872710829E-2</v>
      </c>
      <c r="D170" s="13">
        <f t="shared" si="5"/>
        <v>8.5015983490470598E-2</v>
      </c>
    </row>
    <row r="171" spans="1:4" x14ac:dyDescent="0.35">
      <c r="A171" s="17">
        <v>38596</v>
      </c>
      <c r="B171" s="15">
        <f>VLOOKUP(A171,Database!A:K,MATCH($A$1,Database!$A$1:$K$1,),)</f>
        <v>27111</v>
      </c>
      <c r="C171" s="12">
        <f t="shared" si="4"/>
        <v>1.1076303423584694E-2</v>
      </c>
      <c r="D171" s="13">
        <f t="shared" si="5"/>
        <v>8.2491515272509489E-2</v>
      </c>
    </row>
    <row r="172" spans="1:4" x14ac:dyDescent="0.35">
      <c r="A172" s="11">
        <v>38626</v>
      </c>
      <c r="B172" s="15">
        <f>VLOOKUP(A172,Database!A:K,MATCH($A$1,Database!$A$1:$K$1,),)</f>
        <v>27664</v>
      </c>
      <c r="C172" s="12">
        <f t="shared" si="4"/>
        <v>2.0397624580428608E-2</v>
      </c>
      <c r="D172" s="13">
        <f t="shared" si="5"/>
        <v>0.11359793897431769</v>
      </c>
    </row>
    <row r="173" spans="1:4" x14ac:dyDescent="0.35">
      <c r="A173" s="17">
        <v>38657</v>
      </c>
      <c r="B173" s="15">
        <f>VLOOKUP(A173,Database!A:K,MATCH($A$1,Database!$A$1:$K$1,),)</f>
        <v>27674</v>
      </c>
      <c r="C173" s="12">
        <f t="shared" si="4"/>
        <v>3.6148062463851936E-4</v>
      </c>
      <c r="D173" s="13">
        <f t="shared" si="5"/>
        <v>0.10811243693441179</v>
      </c>
    </row>
    <row r="174" spans="1:4" x14ac:dyDescent="0.35">
      <c r="A174" s="11">
        <v>38687</v>
      </c>
      <c r="B174" s="15">
        <f>VLOOKUP(A174,Database!A:K,MATCH($A$1,Database!$A$1:$K$1,),)</f>
        <v>27324</v>
      </c>
      <c r="C174" s="12">
        <f t="shared" si="4"/>
        <v>-1.2647250126472501E-2</v>
      </c>
      <c r="D174" s="13">
        <f t="shared" si="5"/>
        <v>6.4060126951984112E-2</v>
      </c>
    </row>
    <row r="175" spans="1:4" x14ac:dyDescent="0.35">
      <c r="A175" s="17">
        <v>38718</v>
      </c>
      <c r="B175" s="15">
        <f>VLOOKUP(A175,Database!A:K,MATCH($A$1,Database!$A$1:$K$1,),)</f>
        <v>29686</v>
      </c>
      <c r="C175" s="12">
        <f t="shared" si="4"/>
        <v>8.644415166154297E-2</v>
      </c>
      <c r="D175" s="13">
        <f t="shared" si="5"/>
        <v>0.13626272678557758</v>
      </c>
    </row>
    <row r="176" spans="1:4" x14ac:dyDescent="0.35">
      <c r="A176" s="11">
        <v>38749</v>
      </c>
      <c r="B176" s="15">
        <f>VLOOKUP(A176,Database!A:K,MATCH($A$1,Database!$A$1:$K$1,),)</f>
        <v>29479</v>
      </c>
      <c r="C176" s="12">
        <f t="shared" si="4"/>
        <v>-6.9729838981338003E-3</v>
      </c>
      <c r="D176" s="13">
        <f t="shared" si="5"/>
        <v>0.14272977478001317</v>
      </c>
    </row>
    <row r="177" spans="1:4" x14ac:dyDescent="0.35">
      <c r="A177" s="17">
        <v>38777</v>
      </c>
      <c r="B177" s="15">
        <f>VLOOKUP(A177,Database!A:K,MATCH($A$1,Database!$A$1:$K$1,),)</f>
        <v>29289</v>
      </c>
      <c r="C177" s="12">
        <f t="shared" si="4"/>
        <v>-6.4452661216459171E-3</v>
      </c>
      <c r="D177" s="13">
        <f t="shared" si="5"/>
        <v>0.11709065944544032</v>
      </c>
    </row>
    <row r="178" spans="1:4" x14ac:dyDescent="0.35">
      <c r="A178" s="11">
        <v>38808</v>
      </c>
      <c r="B178" s="15">
        <f>VLOOKUP(A178,Database!A:K,MATCH($A$1,Database!$A$1:$K$1,),)</f>
        <v>28905</v>
      </c>
      <c r="C178" s="12">
        <f t="shared" si="4"/>
        <v>-1.3110724162654921E-2</v>
      </c>
      <c r="D178" s="13">
        <f t="shared" si="5"/>
        <v>8.9932126696832579E-2</v>
      </c>
    </row>
    <row r="179" spans="1:4" x14ac:dyDescent="0.35">
      <c r="A179" s="17">
        <v>38838</v>
      </c>
      <c r="B179" s="15">
        <f>VLOOKUP(A179,Database!A:K,MATCH($A$1,Database!$A$1:$K$1,),)</f>
        <v>27864</v>
      </c>
      <c r="C179" s="12">
        <f t="shared" si="4"/>
        <v>-3.6014530358069535E-2</v>
      </c>
      <c r="D179" s="13">
        <f t="shared" si="5"/>
        <v>5.1075066012825347E-2</v>
      </c>
    </row>
    <row r="180" spans="1:4" x14ac:dyDescent="0.35">
      <c r="A180" s="11">
        <v>38869</v>
      </c>
      <c r="B180" s="15">
        <f>VLOOKUP(A180,Database!A:K,MATCH($A$1,Database!$A$1:$K$1,),)</f>
        <v>27339</v>
      </c>
      <c r="C180" s="12">
        <f t="shared" si="4"/>
        <v>-1.8841515934539189E-2</v>
      </c>
      <c r="D180" s="13">
        <f t="shared" si="5"/>
        <v>2.8981143437841094E-2</v>
      </c>
    </row>
    <row r="181" spans="1:4" x14ac:dyDescent="0.35">
      <c r="A181" s="17">
        <v>38899</v>
      </c>
      <c r="B181" s="15">
        <f>VLOOKUP(A181,Database!A:K,MATCH($A$1,Database!$A$1:$K$1,),)</f>
        <v>27327</v>
      </c>
      <c r="C181" s="12">
        <f t="shared" si="4"/>
        <v>-4.3893339185778561E-4</v>
      </c>
      <c r="D181" s="13">
        <f t="shared" si="5"/>
        <v>2.973095184264074E-2</v>
      </c>
    </row>
    <row r="182" spans="1:4" x14ac:dyDescent="0.35">
      <c r="A182" s="11">
        <v>38930</v>
      </c>
      <c r="B182" s="15">
        <f>VLOOKUP(A182,Database!A:K,MATCH($A$1,Database!$A$1:$K$1,),)</f>
        <v>27358</v>
      </c>
      <c r="C182" s="12">
        <f t="shared" si="4"/>
        <v>1.1344091923738426E-3</v>
      </c>
      <c r="D182" s="13">
        <f t="shared" si="5"/>
        <v>2.0287909301111361E-2</v>
      </c>
    </row>
    <row r="183" spans="1:4" x14ac:dyDescent="0.35">
      <c r="A183" s="17">
        <v>38961</v>
      </c>
      <c r="B183" s="15">
        <f>VLOOKUP(A183,Database!A:K,MATCH($A$1,Database!$A$1:$K$1,),)</f>
        <v>26994</v>
      </c>
      <c r="C183" s="12">
        <f t="shared" si="4"/>
        <v>-1.3305066159807004E-2</v>
      </c>
      <c r="D183" s="13">
        <f t="shared" si="5"/>
        <v>-4.3155914573420381E-3</v>
      </c>
    </row>
    <row r="184" spans="1:4" x14ac:dyDescent="0.35">
      <c r="A184" s="11">
        <v>38991</v>
      </c>
      <c r="B184" s="15">
        <f>VLOOKUP(A184,Database!A:K,MATCH($A$1,Database!$A$1:$K$1,),)</f>
        <v>27161</v>
      </c>
      <c r="C184" s="12">
        <f t="shared" si="4"/>
        <v>6.1865599762910275E-3</v>
      </c>
      <c r="D184" s="13">
        <f t="shared" si="5"/>
        <v>-1.8182475419317525E-2</v>
      </c>
    </row>
    <row r="185" spans="1:4" x14ac:dyDescent="0.35">
      <c r="A185" s="17">
        <v>39022</v>
      </c>
      <c r="B185" s="15">
        <f>VLOOKUP(A185,Database!A:K,MATCH($A$1,Database!$A$1:$K$1,),)</f>
        <v>26647</v>
      </c>
      <c r="C185" s="12">
        <f t="shared" si="4"/>
        <v>-1.8924192776407348E-2</v>
      </c>
      <c r="D185" s="13">
        <f t="shared" si="5"/>
        <v>-3.7110645371106456E-2</v>
      </c>
    </row>
    <row r="186" spans="1:4" x14ac:dyDescent="0.35">
      <c r="A186" s="11">
        <v>39052</v>
      </c>
      <c r="B186" s="15">
        <f>VLOOKUP(A186,Database!A:K,MATCH($A$1,Database!$A$1:$K$1,),)</f>
        <v>27100</v>
      </c>
      <c r="C186" s="12">
        <f t="shared" si="4"/>
        <v>1.7000037527676662E-2</v>
      </c>
      <c r="D186" s="13">
        <f t="shared" si="5"/>
        <v>-8.1979212413995015E-3</v>
      </c>
    </row>
    <row r="187" spans="1:4" x14ac:dyDescent="0.35">
      <c r="A187" s="17">
        <v>39083</v>
      </c>
      <c r="B187" s="15">
        <f>VLOOKUP(A187,Database!A:K,MATCH($A$1,Database!$A$1:$K$1,),)</f>
        <v>27533</v>
      </c>
      <c r="C187" s="12">
        <f t="shared" si="4"/>
        <v>1.5977859778597787E-2</v>
      </c>
      <c r="D187" s="13">
        <f t="shared" si="5"/>
        <v>-7.2525769723101804E-2</v>
      </c>
    </row>
    <row r="188" spans="1:4" x14ac:dyDescent="0.35">
      <c r="A188" s="11">
        <v>39114</v>
      </c>
      <c r="B188" s="15">
        <f>VLOOKUP(A188,Database!A:K,MATCH($A$1,Database!$A$1:$K$1,),)</f>
        <v>27088</v>
      </c>
      <c r="C188" s="12">
        <f t="shared" si="4"/>
        <v>-1.6162423273889514E-2</v>
      </c>
      <c r="D188" s="13">
        <f t="shared" si="5"/>
        <v>-8.1108585772923097E-2</v>
      </c>
    </row>
    <row r="189" spans="1:4" x14ac:dyDescent="0.35">
      <c r="A189" s="17">
        <v>39142</v>
      </c>
      <c r="B189" s="15">
        <f>VLOOKUP(A189,Database!A:K,MATCH($A$1,Database!$A$1:$K$1,),)</f>
        <v>27506</v>
      </c>
      <c r="C189" s="12">
        <f t="shared" si="4"/>
        <v>1.5431187241582989E-2</v>
      </c>
      <c r="D189" s="13">
        <f t="shared" si="5"/>
        <v>-6.0876096828160746E-2</v>
      </c>
    </row>
    <row r="190" spans="1:4" x14ac:dyDescent="0.35">
      <c r="A190" s="11">
        <v>39173</v>
      </c>
      <c r="B190" s="15">
        <f>VLOOKUP(A190,Database!A:K,MATCH($A$1,Database!$A$1:$K$1,),)</f>
        <v>26610</v>
      </c>
      <c r="C190" s="12">
        <f t="shared" si="4"/>
        <v>-3.2574710972151533E-2</v>
      </c>
      <c r="D190" s="13">
        <f t="shared" si="5"/>
        <v>-7.9398028022833425E-2</v>
      </c>
    </row>
    <row r="191" spans="1:4" x14ac:dyDescent="0.35">
      <c r="A191" s="17">
        <v>39203</v>
      </c>
      <c r="B191" s="15">
        <f>VLOOKUP(A191,Database!A:K,MATCH($A$1,Database!$A$1:$K$1,),)</f>
        <v>27144</v>
      </c>
      <c r="C191" s="12">
        <f t="shared" si="4"/>
        <v>2.0067643742953778E-2</v>
      </c>
      <c r="D191" s="13">
        <f t="shared" si="5"/>
        <v>-2.5839793281653745E-2</v>
      </c>
    </row>
    <row r="192" spans="1:4" x14ac:dyDescent="0.35">
      <c r="A192" s="11">
        <v>39234</v>
      </c>
      <c r="B192" s="15">
        <f>VLOOKUP(A192,Database!A:K,MATCH($A$1,Database!$A$1:$K$1,),)</f>
        <v>26638</v>
      </c>
      <c r="C192" s="12">
        <f t="shared" si="4"/>
        <v>-1.8641320365458295E-2</v>
      </c>
      <c r="D192" s="13">
        <f t="shared" si="5"/>
        <v>-2.564102564102564E-2</v>
      </c>
    </row>
    <row r="193" spans="1:4" x14ac:dyDescent="0.35">
      <c r="A193" s="17">
        <v>39264</v>
      </c>
      <c r="B193" s="15">
        <f>VLOOKUP(A193,Database!A:K,MATCH($A$1,Database!$A$1:$K$1,),)</f>
        <v>26860</v>
      </c>
      <c r="C193" s="12">
        <f t="shared" si="4"/>
        <v>8.3339590059313771E-3</v>
      </c>
      <c r="D193" s="13">
        <f t="shared" si="5"/>
        <v>-1.708932557543821E-2</v>
      </c>
    </row>
    <row r="194" spans="1:4" x14ac:dyDescent="0.35">
      <c r="A194" s="11">
        <v>39295</v>
      </c>
      <c r="B194" s="15">
        <f>VLOOKUP(A194,Database!A:K,MATCH($A$1,Database!$A$1:$K$1,),)</f>
        <v>26625</v>
      </c>
      <c r="C194" s="12">
        <f t="shared" si="4"/>
        <v>-8.7490692479523461E-3</v>
      </c>
      <c r="D194" s="13">
        <f t="shared" si="5"/>
        <v>-2.6792894217413554E-2</v>
      </c>
    </row>
    <row r="195" spans="1:4" x14ac:dyDescent="0.35">
      <c r="A195" s="17">
        <v>39326</v>
      </c>
      <c r="B195" s="15">
        <f>VLOOKUP(A195,Database!A:K,MATCH($A$1,Database!$A$1:$K$1,),)</f>
        <v>26412</v>
      </c>
      <c r="C195" s="12">
        <f t="shared" si="4"/>
        <v>-8.0000000000000002E-3</v>
      </c>
      <c r="D195" s="13">
        <f t="shared" si="5"/>
        <v>-2.1560346743720826E-2</v>
      </c>
    </row>
    <row r="196" spans="1:4" x14ac:dyDescent="0.35">
      <c r="A196" s="11">
        <v>39356</v>
      </c>
      <c r="B196" s="15">
        <f>VLOOKUP(A196,Database!A:K,MATCH($A$1,Database!$A$1:$K$1,),)</f>
        <v>26248</v>
      </c>
      <c r="C196" s="12">
        <f t="shared" si="4"/>
        <v>-6.2092988035741328E-3</v>
      </c>
      <c r="D196" s="13">
        <f t="shared" si="5"/>
        <v>-3.3614373550311105E-2</v>
      </c>
    </row>
    <row r="197" spans="1:4" x14ac:dyDescent="0.35">
      <c r="A197" s="17">
        <v>39387</v>
      </c>
      <c r="B197" s="15">
        <f>VLOOKUP(A197,Database!A:K,MATCH($A$1,Database!$A$1:$K$1,),)</f>
        <v>26566</v>
      </c>
      <c r="C197" s="12">
        <f t="shared" si="4"/>
        <v>1.2115208777811642E-2</v>
      </c>
      <c r="D197" s="13">
        <f t="shared" si="5"/>
        <v>-3.0397418095845685E-3</v>
      </c>
    </row>
    <row r="198" spans="1:4" x14ac:dyDescent="0.35">
      <c r="A198" s="11">
        <v>39417</v>
      </c>
      <c r="B198" s="15">
        <f>VLOOKUP(A198,Database!A:K,MATCH($A$1,Database!$A$1:$K$1,),)</f>
        <v>25634</v>
      </c>
      <c r="C198" s="12">
        <f t="shared" si="4"/>
        <v>-3.5082436196642322E-2</v>
      </c>
      <c r="D198" s="13">
        <f t="shared" si="5"/>
        <v>-5.4095940959409596E-2</v>
      </c>
    </row>
    <row r="199" spans="1:4" x14ac:dyDescent="0.35">
      <c r="A199" s="17">
        <v>39448</v>
      </c>
      <c r="B199" s="15">
        <f>VLOOKUP(A199,Database!A:K,MATCH($A$1,Database!$A$1:$K$1,),)</f>
        <v>25721</v>
      </c>
      <c r="C199" s="12">
        <f t="shared" si="4"/>
        <v>3.393929936802684E-3</v>
      </c>
      <c r="D199" s="13">
        <f t="shared" si="5"/>
        <v>-6.5811934769186065E-2</v>
      </c>
    </row>
    <row r="200" spans="1:4" x14ac:dyDescent="0.35">
      <c r="A200" s="11">
        <v>39479</v>
      </c>
      <c r="B200" s="15">
        <f>VLOOKUP(A200,Database!A:K,MATCH($A$1,Database!$A$1:$K$1,),)</f>
        <v>25659</v>
      </c>
      <c r="C200" s="12">
        <f t="shared" ref="C200:C263" si="6">(B200-B199)/B199</f>
        <v>-2.4104817075541385E-3</v>
      </c>
      <c r="D200" s="13">
        <f t="shared" si="5"/>
        <v>-5.2753987005316007E-2</v>
      </c>
    </row>
    <row r="201" spans="1:4" x14ac:dyDescent="0.35">
      <c r="A201" s="17">
        <v>39508</v>
      </c>
      <c r="B201" s="15">
        <f>VLOOKUP(A201,Database!A:K,MATCH($A$1,Database!$A$1:$K$1,),)</f>
        <v>25456</v>
      </c>
      <c r="C201" s="12">
        <f t="shared" si="6"/>
        <v>-7.9114540706964418E-3</v>
      </c>
      <c r="D201" s="13">
        <f t="shared" si="5"/>
        <v>-7.452919363048062E-2</v>
      </c>
    </row>
    <row r="202" spans="1:4" x14ac:dyDescent="0.35">
      <c r="A202" s="11">
        <v>39539</v>
      </c>
      <c r="B202" s="15">
        <f>VLOOKUP(A202,Database!A:K,MATCH($A$1,Database!$A$1:$K$1,),)</f>
        <v>25292</v>
      </c>
      <c r="C202" s="12">
        <f t="shared" si="6"/>
        <v>-6.4424890006285354E-3</v>
      </c>
      <c r="D202" s="13">
        <f t="shared" si="5"/>
        <v>-4.9530251785043215E-2</v>
      </c>
    </row>
    <row r="203" spans="1:4" x14ac:dyDescent="0.35">
      <c r="A203" s="17">
        <v>39569</v>
      </c>
      <c r="B203" s="15">
        <f>VLOOKUP(A203,Database!A:K,MATCH($A$1,Database!$A$1:$K$1,),)</f>
        <v>25650</v>
      </c>
      <c r="C203" s="12">
        <f t="shared" si="6"/>
        <v>1.4154673414518424E-2</v>
      </c>
      <c r="D203" s="13">
        <f t="shared" si="5"/>
        <v>-5.5039787798408485E-2</v>
      </c>
    </row>
    <row r="204" spans="1:4" x14ac:dyDescent="0.35">
      <c r="A204" s="11">
        <v>39600</v>
      </c>
      <c r="B204" s="15">
        <f>VLOOKUP(A204,Database!A:K,MATCH($A$1,Database!$A$1:$K$1,),)</f>
        <v>25700</v>
      </c>
      <c r="C204" s="12">
        <f t="shared" si="6"/>
        <v>1.9493177387914229E-3</v>
      </c>
      <c r="D204" s="13">
        <f t="shared" si="5"/>
        <v>-3.5212853817854196E-2</v>
      </c>
    </row>
    <row r="205" spans="1:4" x14ac:dyDescent="0.35">
      <c r="A205" s="17">
        <v>39630</v>
      </c>
      <c r="B205" s="15">
        <f>VLOOKUP(A205,Database!A:K,MATCH($A$1,Database!$A$1:$K$1,),)</f>
        <v>25897</v>
      </c>
      <c r="C205" s="12">
        <f t="shared" si="6"/>
        <v>7.6653696498054473E-3</v>
      </c>
      <c r="D205" s="13">
        <f t="shared" si="5"/>
        <v>-3.5852568875651525E-2</v>
      </c>
    </row>
    <row r="206" spans="1:4" x14ac:dyDescent="0.35">
      <c r="A206" s="11">
        <v>39661</v>
      </c>
      <c r="B206" s="15">
        <f>VLOOKUP(A206,Database!A:K,MATCH($A$1,Database!$A$1:$K$1,),)</f>
        <v>25329</v>
      </c>
      <c r="C206" s="12">
        <f t="shared" si="6"/>
        <v>-2.1933042437347956E-2</v>
      </c>
      <c r="D206" s="13">
        <f t="shared" si="5"/>
        <v>-4.867605633802817E-2</v>
      </c>
    </row>
    <row r="207" spans="1:4" x14ac:dyDescent="0.35">
      <c r="A207" s="17">
        <v>39692</v>
      </c>
      <c r="B207" s="15">
        <f>VLOOKUP(A207,Database!A:K,MATCH($A$1,Database!$A$1:$K$1,),)</f>
        <v>25217</v>
      </c>
      <c r="C207" s="12">
        <f t="shared" si="6"/>
        <v>-4.4218089936436493E-3</v>
      </c>
      <c r="D207" s="13">
        <f t="shared" si="5"/>
        <v>-4.5244585794335906E-2</v>
      </c>
    </row>
    <row r="208" spans="1:4" x14ac:dyDescent="0.35">
      <c r="A208" s="11">
        <v>39722</v>
      </c>
      <c r="B208" s="15">
        <f>VLOOKUP(A208,Database!A:K,MATCH($A$1,Database!$A$1:$K$1,),)</f>
        <v>24568</v>
      </c>
      <c r="C208" s="12">
        <f t="shared" si="6"/>
        <v>-2.5736606257683307E-2</v>
      </c>
      <c r="D208" s="13">
        <f t="shared" si="5"/>
        <v>-6.4004876562023777E-2</v>
      </c>
    </row>
    <row r="209" spans="1:4" x14ac:dyDescent="0.35">
      <c r="A209" s="17">
        <v>39753</v>
      </c>
      <c r="B209" s="15">
        <f>VLOOKUP(A209,Database!A:K,MATCH($A$1,Database!$A$1:$K$1,),)</f>
        <v>23196</v>
      </c>
      <c r="C209" s="12">
        <f t="shared" si="6"/>
        <v>-5.5845001628134161E-2</v>
      </c>
      <c r="D209" s="13">
        <f t="shared" si="5"/>
        <v>-0.12685387337197923</v>
      </c>
    </row>
    <row r="210" spans="1:4" x14ac:dyDescent="0.35">
      <c r="A210" s="11">
        <v>39783</v>
      </c>
      <c r="B210" s="15">
        <f>VLOOKUP(A210,Database!A:K,MATCH($A$1,Database!$A$1:$K$1,),)</f>
        <v>22909</v>
      </c>
      <c r="C210" s="12">
        <f t="shared" si="6"/>
        <v>-1.2372822900500086E-2</v>
      </c>
      <c r="D210" s="13">
        <f t="shared" si="5"/>
        <v>-0.10630412733088866</v>
      </c>
    </row>
    <row r="211" spans="1:4" x14ac:dyDescent="0.35">
      <c r="A211" s="17">
        <v>39814</v>
      </c>
      <c r="B211" s="15">
        <f>VLOOKUP(A211,Database!A:K,MATCH($A$1,Database!$A$1:$K$1,),)</f>
        <v>22758</v>
      </c>
      <c r="C211" s="12">
        <f t="shared" si="6"/>
        <v>-6.591295997206338E-3</v>
      </c>
      <c r="D211" s="13">
        <f t="shared" ref="D211:D274" si="7">(B211-B199)/B199</f>
        <v>-0.11519769837875665</v>
      </c>
    </row>
    <row r="212" spans="1:4" x14ac:dyDescent="0.35">
      <c r="A212" s="11">
        <v>39845</v>
      </c>
      <c r="B212" s="15">
        <f>VLOOKUP(A212,Database!A:K,MATCH($A$1,Database!$A$1:$K$1,),)</f>
        <v>22498</v>
      </c>
      <c r="C212" s="12">
        <f t="shared" si="6"/>
        <v>-1.1424554002987961E-2</v>
      </c>
      <c r="D212" s="13">
        <f t="shared" si="7"/>
        <v>-0.12319264195798744</v>
      </c>
    </row>
    <row r="213" spans="1:4" x14ac:dyDescent="0.35">
      <c r="A213" s="17">
        <v>39873</v>
      </c>
      <c r="B213" s="15">
        <f>VLOOKUP(A213,Database!A:K,MATCH($A$1,Database!$A$1:$K$1,),)</f>
        <v>22149</v>
      </c>
      <c r="C213" s="12">
        <f t="shared" si="6"/>
        <v>-1.5512489999111033E-2</v>
      </c>
      <c r="D213" s="13">
        <f t="shared" si="7"/>
        <v>-0.12991043368950345</v>
      </c>
    </row>
    <row r="214" spans="1:4" x14ac:dyDescent="0.35">
      <c r="A214" s="11">
        <v>39904</v>
      </c>
      <c r="B214" s="15">
        <f>VLOOKUP(A214,Database!A:K,MATCH($A$1,Database!$A$1:$K$1,),)</f>
        <v>22092</v>
      </c>
      <c r="C214" s="12">
        <f t="shared" si="6"/>
        <v>-2.5734796153325207E-3</v>
      </c>
      <c r="D214" s="13">
        <f t="shared" si="7"/>
        <v>-0.12652222046496917</v>
      </c>
    </row>
    <row r="215" spans="1:4" x14ac:dyDescent="0.35">
      <c r="A215" s="17">
        <v>39934</v>
      </c>
      <c r="B215" s="15">
        <f>VLOOKUP(A215,Database!A:K,MATCH($A$1,Database!$A$1:$K$1,),)</f>
        <v>22310</v>
      </c>
      <c r="C215" s="12">
        <f t="shared" si="6"/>
        <v>9.8678254571790691E-3</v>
      </c>
      <c r="D215" s="13">
        <f t="shared" si="7"/>
        <v>-0.13021442495126706</v>
      </c>
    </row>
    <row r="216" spans="1:4" x14ac:dyDescent="0.35">
      <c r="A216" s="11">
        <v>39965</v>
      </c>
      <c r="B216" s="15">
        <f>VLOOKUP(A216,Database!A:K,MATCH($A$1,Database!$A$1:$K$1,),)</f>
        <v>22332</v>
      </c>
      <c r="C216" s="12">
        <f t="shared" si="6"/>
        <v>9.8610488570147919E-4</v>
      </c>
      <c r="D216" s="13">
        <f t="shared" si="7"/>
        <v>-0.13105058365758754</v>
      </c>
    </row>
    <row r="217" spans="1:4" x14ac:dyDescent="0.35">
      <c r="A217" s="17">
        <v>39995</v>
      </c>
      <c r="B217" s="15">
        <f>VLOOKUP(A217,Database!A:K,MATCH($A$1,Database!$A$1:$K$1,),)</f>
        <v>21883</v>
      </c>
      <c r="C217" s="12">
        <f t="shared" si="6"/>
        <v>-2.0105677950922444E-2</v>
      </c>
      <c r="D217" s="13">
        <f t="shared" si="7"/>
        <v>-0.15499864849210332</v>
      </c>
    </row>
    <row r="218" spans="1:4" x14ac:dyDescent="0.35">
      <c r="A218" s="11">
        <v>40026</v>
      </c>
      <c r="B218" s="15">
        <f>VLOOKUP(A218,Database!A:K,MATCH($A$1,Database!$A$1:$K$1,),)</f>
        <v>21474</v>
      </c>
      <c r="C218" s="12">
        <f t="shared" si="6"/>
        <v>-1.8690307544669379E-2</v>
      </c>
      <c r="D218" s="13">
        <f t="shared" si="7"/>
        <v>-0.15219708634371668</v>
      </c>
    </row>
    <row r="219" spans="1:4" x14ac:dyDescent="0.35">
      <c r="A219" s="17">
        <v>40057</v>
      </c>
      <c r="B219" s="15">
        <f>VLOOKUP(A219,Database!A:K,MATCH($A$1,Database!$A$1:$K$1,),)</f>
        <v>21363</v>
      </c>
      <c r="C219" s="12">
        <f t="shared" si="6"/>
        <v>-5.1690416317407093E-3</v>
      </c>
      <c r="D219" s="13">
        <f t="shared" si="7"/>
        <v>-0.15283340603561091</v>
      </c>
    </row>
    <row r="220" spans="1:4" x14ac:dyDescent="0.35">
      <c r="A220" s="11">
        <v>40087</v>
      </c>
      <c r="B220" s="15">
        <f>VLOOKUP(A220,Database!A:K,MATCH($A$1,Database!$A$1:$K$1,),)</f>
        <v>20661</v>
      </c>
      <c r="C220" s="12">
        <f t="shared" si="6"/>
        <v>-3.2860553293076813E-2</v>
      </c>
      <c r="D220" s="13">
        <f t="shared" si="7"/>
        <v>-0.15902800390752198</v>
      </c>
    </row>
    <row r="221" spans="1:4" x14ac:dyDescent="0.35">
      <c r="A221" s="17">
        <v>40118</v>
      </c>
      <c r="B221" s="15">
        <f>VLOOKUP(A221,Database!A:K,MATCH($A$1,Database!$A$1:$K$1,),)</f>
        <v>20931</v>
      </c>
      <c r="C221" s="12">
        <f t="shared" si="6"/>
        <v>1.3068099317554814E-2</v>
      </c>
      <c r="D221" s="13">
        <f t="shared" si="7"/>
        <v>-9.7646145887221938E-2</v>
      </c>
    </row>
    <row r="222" spans="1:4" x14ac:dyDescent="0.35">
      <c r="A222" s="11">
        <v>40148</v>
      </c>
      <c r="B222" s="15">
        <f>VLOOKUP(A222,Database!A:K,MATCH($A$1,Database!$A$1:$K$1,),)</f>
        <v>20849</v>
      </c>
      <c r="C222" s="12">
        <f t="shared" si="6"/>
        <v>-3.9176341311929676E-3</v>
      </c>
      <c r="D222" s="13">
        <f t="shared" si="7"/>
        <v>-8.9920991749967261E-2</v>
      </c>
    </row>
    <row r="223" spans="1:4" x14ac:dyDescent="0.35">
      <c r="A223" s="17">
        <v>40179</v>
      </c>
      <c r="B223" s="15">
        <f>VLOOKUP(A223,Database!A:K,MATCH($A$1,Database!$A$1:$K$1,),)</f>
        <v>20557</v>
      </c>
      <c r="C223" s="12">
        <f t="shared" si="6"/>
        <v>-1.4005467888148113E-2</v>
      </c>
      <c r="D223" s="13">
        <f t="shared" si="7"/>
        <v>-9.6713243694524997E-2</v>
      </c>
    </row>
    <row r="224" spans="1:4" x14ac:dyDescent="0.35">
      <c r="A224" s="11">
        <v>40210</v>
      </c>
      <c r="B224" s="15">
        <f>VLOOKUP(A224,Database!A:K,MATCH($A$1,Database!$A$1:$K$1,),)</f>
        <v>20452</v>
      </c>
      <c r="C224" s="12">
        <f t="shared" si="6"/>
        <v>-5.1077491851923918E-3</v>
      </c>
      <c r="D224" s="13">
        <f t="shared" si="7"/>
        <v>-9.094141701484576E-2</v>
      </c>
    </row>
    <row r="225" spans="1:4" x14ac:dyDescent="0.35">
      <c r="A225" s="17">
        <v>40238</v>
      </c>
      <c r="B225" s="15">
        <f>VLOOKUP(A225,Database!A:K,MATCH($A$1,Database!$A$1:$K$1,),)</f>
        <v>21875</v>
      </c>
      <c r="C225" s="12">
        <f t="shared" si="6"/>
        <v>6.9577547428124387E-2</v>
      </c>
      <c r="D225" s="13">
        <f t="shared" si="7"/>
        <v>-1.2370761659668609E-2</v>
      </c>
    </row>
    <row r="226" spans="1:4" x14ac:dyDescent="0.35">
      <c r="A226" s="11">
        <v>40269</v>
      </c>
      <c r="B226" s="15">
        <f>VLOOKUP(A226,Database!A:K,MATCH($A$1,Database!$A$1:$K$1,),)</f>
        <v>23556</v>
      </c>
      <c r="C226" s="12">
        <f t="shared" si="6"/>
        <v>7.6845714285714281E-2</v>
      </c>
      <c r="D226" s="13">
        <f t="shared" si="7"/>
        <v>6.6268332428028251E-2</v>
      </c>
    </row>
    <row r="227" spans="1:4" x14ac:dyDescent="0.35">
      <c r="A227" s="17">
        <v>40299</v>
      </c>
      <c r="B227" s="15">
        <f>VLOOKUP(A227,Database!A:K,MATCH($A$1,Database!$A$1:$K$1,),)</f>
        <v>21747</v>
      </c>
      <c r="C227" s="12">
        <f t="shared" si="6"/>
        <v>-7.6795720835455938E-2</v>
      </c>
      <c r="D227" s="13">
        <f t="shared" si="7"/>
        <v>-2.5235320484087852E-2</v>
      </c>
    </row>
    <row r="228" spans="1:4" x14ac:dyDescent="0.35">
      <c r="A228" s="11">
        <v>40330</v>
      </c>
      <c r="B228" s="15">
        <f>VLOOKUP(A228,Database!A:K,MATCH($A$1,Database!$A$1:$K$1,),)</f>
        <v>21528</v>
      </c>
      <c r="C228" s="12">
        <f t="shared" si="6"/>
        <v>-1.0070354531659539E-2</v>
      </c>
      <c r="D228" s="13">
        <f t="shared" si="7"/>
        <v>-3.6002149382052658E-2</v>
      </c>
    </row>
    <row r="229" spans="1:4" x14ac:dyDescent="0.35">
      <c r="A229" s="17">
        <v>40360</v>
      </c>
      <c r="B229" s="15">
        <f>VLOOKUP(A229,Database!A:K,MATCH($A$1,Database!$A$1:$K$1,),)</f>
        <v>21499</v>
      </c>
      <c r="C229" s="12">
        <f t="shared" si="6"/>
        <v>-1.3470828688219993E-3</v>
      </c>
      <c r="D229" s="13">
        <f t="shared" si="7"/>
        <v>-1.7547868208198144E-2</v>
      </c>
    </row>
    <row r="230" spans="1:4" x14ac:dyDescent="0.35">
      <c r="A230" s="11">
        <v>40391</v>
      </c>
      <c r="B230" s="15">
        <f>VLOOKUP(A230,Database!A:K,MATCH($A$1,Database!$A$1:$K$1,),)</f>
        <v>21278</v>
      </c>
      <c r="C230" s="12">
        <f t="shared" si="6"/>
        <v>-1.0279547885948183E-2</v>
      </c>
      <c r="D230" s="13">
        <f t="shared" si="7"/>
        <v>-9.1273167551457583E-3</v>
      </c>
    </row>
    <row r="231" spans="1:4" x14ac:dyDescent="0.35">
      <c r="A231" s="17">
        <v>40422</v>
      </c>
      <c r="B231" s="15">
        <f>VLOOKUP(A231,Database!A:K,MATCH($A$1,Database!$A$1:$K$1,),)</f>
        <v>21351</v>
      </c>
      <c r="C231" s="12">
        <f t="shared" si="6"/>
        <v>3.4307735689444495E-3</v>
      </c>
      <c r="D231" s="13">
        <f t="shared" si="7"/>
        <v>-5.6171885971071484E-4</v>
      </c>
    </row>
    <row r="232" spans="1:4" x14ac:dyDescent="0.35">
      <c r="A232" s="11">
        <v>40452</v>
      </c>
      <c r="B232" s="15">
        <f>VLOOKUP(A232,Database!A:K,MATCH($A$1,Database!$A$1:$K$1,),)</f>
        <v>22033</v>
      </c>
      <c r="C232" s="12">
        <f t="shared" si="6"/>
        <v>3.1942297784647092E-2</v>
      </c>
      <c r="D232" s="13">
        <f t="shared" si="7"/>
        <v>6.6405304680315566E-2</v>
      </c>
    </row>
    <row r="233" spans="1:4" x14ac:dyDescent="0.35">
      <c r="A233" s="17">
        <v>40483</v>
      </c>
      <c r="B233" s="15">
        <f>VLOOKUP(A233,Database!A:K,MATCH($A$1,Database!$A$1:$K$1,),)</f>
        <v>21944</v>
      </c>
      <c r="C233" s="12">
        <f t="shared" si="6"/>
        <v>-4.0393954522761309E-3</v>
      </c>
      <c r="D233" s="13">
        <f t="shared" si="7"/>
        <v>4.8397114328030191E-2</v>
      </c>
    </row>
    <row r="234" spans="1:4" x14ac:dyDescent="0.35">
      <c r="A234" s="11">
        <v>40513</v>
      </c>
      <c r="B234" s="15">
        <f>VLOOKUP(A234,Database!A:K,MATCH($A$1,Database!$A$1:$K$1,),)</f>
        <v>22138</v>
      </c>
      <c r="C234" s="12">
        <f t="shared" si="6"/>
        <v>8.840685380969741E-3</v>
      </c>
      <c r="D234" s="13">
        <f t="shared" si="7"/>
        <v>6.1825507218571635E-2</v>
      </c>
    </row>
    <row r="235" spans="1:4" x14ac:dyDescent="0.35">
      <c r="A235" s="17">
        <v>40544</v>
      </c>
      <c r="B235" s="15">
        <f>VLOOKUP(A235,Database!A:K,MATCH($A$1,Database!$A$1:$K$1,),)</f>
        <v>21493</v>
      </c>
      <c r="C235" s="12">
        <f t="shared" si="6"/>
        <v>-2.9135423254133163E-2</v>
      </c>
      <c r="D235" s="13">
        <f t="shared" si="7"/>
        <v>4.5531935593715038E-2</v>
      </c>
    </row>
    <row r="236" spans="1:4" x14ac:dyDescent="0.35">
      <c r="A236" s="11">
        <v>40575</v>
      </c>
      <c r="B236" s="15">
        <f>VLOOKUP(A236,Database!A:K,MATCH($A$1,Database!$A$1:$K$1,),)</f>
        <v>21197</v>
      </c>
      <c r="C236" s="12">
        <f t="shared" si="6"/>
        <v>-1.3771925743265249E-2</v>
      </c>
      <c r="D236" s="13">
        <f t="shared" si="7"/>
        <v>3.642675532955212E-2</v>
      </c>
    </row>
    <row r="237" spans="1:4" x14ac:dyDescent="0.35">
      <c r="A237" s="17">
        <v>40603</v>
      </c>
      <c r="B237" s="15">
        <f>VLOOKUP(A237,Database!A:K,MATCH($A$1,Database!$A$1:$K$1,),)</f>
        <v>21865</v>
      </c>
      <c r="C237" s="12">
        <f t="shared" si="6"/>
        <v>3.1513893475491814E-2</v>
      </c>
      <c r="D237" s="13">
        <f t="shared" si="7"/>
        <v>-4.5714285714285713E-4</v>
      </c>
    </row>
    <row r="238" spans="1:4" x14ac:dyDescent="0.35">
      <c r="A238" s="11">
        <v>40634</v>
      </c>
      <c r="B238" s="15">
        <f>VLOOKUP(A238,Database!A:K,MATCH($A$1,Database!$A$1:$K$1,),)</f>
        <v>22037</v>
      </c>
      <c r="C238" s="12">
        <f t="shared" si="6"/>
        <v>7.8664532357649204E-3</v>
      </c>
      <c r="D238" s="13">
        <f t="shared" si="7"/>
        <v>-6.4484632365427064E-2</v>
      </c>
    </row>
    <row r="239" spans="1:4" x14ac:dyDescent="0.35">
      <c r="A239" s="17">
        <v>40664</v>
      </c>
      <c r="B239" s="15">
        <f>VLOOKUP(A239,Database!A:K,MATCH($A$1,Database!$A$1:$K$1,),)</f>
        <v>22320</v>
      </c>
      <c r="C239" s="12">
        <f t="shared" si="6"/>
        <v>1.2842038389980487E-2</v>
      </c>
      <c r="D239" s="13">
        <f t="shared" si="7"/>
        <v>2.6348461856807837E-2</v>
      </c>
    </row>
    <row r="240" spans="1:4" x14ac:dyDescent="0.35">
      <c r="A240" s="11">
        <v>40695</v>
      </c>
      <c r="B240" s="15">
        <f>VLOOKUP(A240,Database!A:K,MATCH($A$1,Database!$A$1:$K$1,),)</f>
        <v>22740</v>
      </c>
      <c r="C240" s="12">
        <f t="shared" si="6"/>
        <v>1.8817204301075269E-2</v>
      </c>
      <c r="D240" s="13">
        <f t="shared" si="7"/>
        <v>5.629877369007804E-2</v>
      </c>
    </row>
    <row r="241" spans="1:4" x14ac:dyDescent="0.35">
      <c r="A241" s="17">
        <v>40725</v>
      </c>
      <c r="B241" s="15">
        <f>VLOOKUP(A241,Database!A:K,MATCH($A$1,Database!$A$1:$K$1,),)</f>
        <v>22758</v>
      </c>
      <c r="C241" s="12">
        <f t="shared" si="6"/>
        <v>7.9155672823218995E-4</v>
      </c>
      <c r="D241" s="13">
        <f t="shared" si="7"/>
        <v>5.8560863295967255E-2</v>
      </c>
    </row>
    <row r="242" spans="1:4" x14ac:dyDescent="0.35">
      <c r="A242" s="11">
        <v>40756</v>
      </c>
      <c r="B242" s="15">
        <f>VLOOKUP(A242,Database!A:K,MATCH($A$1,Database!$A$1:$K$1,),)</f>
        <v>22763</v>
      </c>
      <c r="C242" s="12">
        <f t="shared" si="6"/>
        <v>2.1970296159592231E-4</v>
      </c>
      <c r="D242" s="13">
        <f t="shared" si="7"/>
        <v>6.9790393834006953E-2</v>
      </c>
    </row>
    <row r="243" spans="1:4" x14ac:dyDescent="0.35">
      <c r="A243" s="17">
        <v>40787</v>
      </c>
      <c r="B243" s="15">
        <f>VLOOKUP(A243,Database!A:K,MATCH($A$1,Database!$A$1:$K$1,),)</f>
        <v>22640</v>
      </c>
      <c r="C243" s="12">
        <f t="shared" si="6"/>
        <v>-5.4035056890568024E-3</v>
      </c>
      <c r="D243" s="13">
        <f t="shared" si="7"/>
        <v>6.0371879537258206E-2</v>
      </c>
    </row>
    <row r="244" spans="1:4" x14ac:dyDescent="0.35">
      <c r="A244" s="11">
        <v>40817</v>
      </c>
      <c r="B244" s="15">
        <f>VLOOKUP(A244,Database!A:K,MATCH($A$1,Database!$A$1:$K$1,),)</f>
        <v>23253</v>
      </c>
      <c r="C244" s="12">
        <f t="shared" si="6"/>
        <v>2.7075971731448763E-2</v>
      </c>
      <c r="D244" s="13">
        <f t="shared" si="7"/>
        <v>5.5371488222212134E-2</v>
      </c>
    </row>
    <row r="245" spans="1:4" x14ac:dyDescent="0.35">
      <c r="A245" s="17">
        <v>40848</v>
      </c>
      <c r="B245" s="15">
        <f>VLOOKUP(A245,Database!A:K,MATCH($A$1,Database!$A$1:$K$1,),)</f>
        <v>22893</v>
      </c>
      <c r="C245" s="12">
        <f t="shared" si="6"/>
        <v>-1.5481873306670108E-2</v>
      </c>
      <c r="D245" s="13">
        <f t="shared" si="7"/>
        <v>4.3246445497630334E-2</v>
      </c>
    </row>
    <row r="246" spans="1:4" x14ac:dyDescent="0.35">
      <c r="A246" s="11">
        <v>40878</v>
      </c>
      <c r="B246" s="15">
        <f>VLOOKUP(A246,Database!A:K,MATCH($A$1,Database!$A$1:$K$1,),)</f>
        <v>23447</v>
      </c>
      <c r="C246" s="12">
        <f t="shared" si="6"/>
        <v>2.4199536976368324E-2</v>
      </c>
      <c r="D246" s="13">
        <f t="shared" si="7"/>
        <v>5.9129099286295062E-2</v>
      </c>
    </row>
    <row r="247" spans="1:4" x14ac:dyDescent="0.35">
      <c r="A247" s="17">
        <v>40909</v>
      </c>
      <c r="B247" s="15">
        <f>VLOOKUP(A247,Database!A:K,MATCH($A$1,Database!$A$1:$K$1,),)</f>
        <v>23609</v>
      </c>
      <c r="C247" s="12">
        <f t="shared" si="6"/>
        <v>6.9091994711476951E-3</v>
      </c>
      <c r="D247" s="13">
        <f t="shared" si="7"/>
        <v>9.8450658353882656E-2</v>
      </c>
    </row>
    <row r="248" spans="1:4" x14ac:dyDescent="0.35">
      <c r="A248" s="11">
        <v>40940</v>
      </c>
      <c r="B248" s="15">
        <f>VLOOKUP(A248,Database!A:K,MATCH($A$1,Database!$A$1:$K$1,),)</f>
        <v>23568</v>
      </c>
      <c r="C248" s="12">
        <f t="shared" si="6"/>
        <v>-1.7366258630183405E-3</v>
      </c>
      <c r="D248" s="13">
        <f t="shared" si="7"/>
        <v>0.11185545124310044</v>
      </c>
    </row>
    <row r="249" spans="1:4" x14ac:dyDescent="0.35">
      <c r="A249" s="17">
        <v>40969</v>
      </c>
      <c r="B249" s="15">
        <f>VLOOKUP(A249,Database!A:K,MATCH($A$1,Database!$A$1:$K$1,),)</f>
        <v>24580</v>
      </c>
      <c r="C249" s="12">
        <f t="shared" si="6"/>
        <v>4.2939579090291918E-2</v>
      </c>
      <c r="D249" s="13">
        <f t="shared" si="7"/>
        <v>0.12417104962268466</v>
      </c>
    </row>
    <row r="250" spans="1:4" x14ac:dyDescent="0.35">
      <c r="A250" s="11">
        <v>41000</v>
      </c>
      <c r="B250" s="15">
        <f>VLOOKUP(A250,Database!A:K,MATCH($A$1,Database!$A$1:$K$1,),)</f>
        <v>23423</v>
      </c>
      <c r="C250" s="12">
        <f t="shared" si="6"/>
        <v>-4.7070789259560618E-2</v>
      </c>
      <c r="D250" s="13">
        <f t="shared" si="7"/>
        <v>6.2894223351635886E-2</v>
      </c>
    </row>
    <row r="251" spans="1:4" x14ac:dyDescent="0.35">
      <c r="A251" s="17">
        <v>41030</v>
      </c>
      <c r="B251" s="15">
        <f>VLOOKUP(A251,Database!A:K,MATCH($A$1,Database!$A$1:$K$1,),)</f>
        <v>22732</v>
      </c>
      <c r="C251" s="12">
        <f t="shared" si="6"/>
        <v>-2.9500917901208214E-2</v>
      </c>
      <c r="D251" s="13">
        <f t="shared" si="7"/>
        <v>1.8458781362007168E-2</v>
      </c>
    </row>
    <row r="252" spans="1:4" x14ac:dyDescent="0.35">
      <c r="A252" s="11">
        <v>41061</v>
      </c>
      <c r="B252" s="15">
        <f>VLOOKUP(A252,Database!A:K,MATCH($A$1,Database!$A$1:$K$1,),)</f>
        <v>22531</v>
      </c>
      <c r="C252" s="12">
        <f t="shared" si="6"/>
        <v>-8.8421608305472455E-3</v>
      </c>
      <c r="D252" s="13">
        <f t="shared" si="7"/>
        <v>-9.1908531222515393E-3</v>
      </c>
    </row>
    <row r="253" spans="1:4" x14ac:dyDescent="0.35">
      <c r="A253" s="17">
        <v>41091</v>
      </c>
      <c r="B253" s="15">
        <f>VLOOKUP(A253,Database!A:K,MATCH($A$1,Database!$A$1:$K$1,),)</f>
        <v>22717</v>
      </c>
      <c r="C253" s="12">
        <f t="shared" si="6"/>
        <v>8.2552927078247754E-3</v>
      </c>
      <c r="D253" s="13">
        <f t="shared" si="7"/>
        <v>-1.8015642850865629E-3</v>
      </c>
    </row>
    <row r="254" spans="1:4" x14ac:dyDescent="0.35">
      <c r="A254" s="11">
        <v>41122</v>
      </c>
      <c r="B254" s="15">
        <f>VLOOKUP(A254,Database!A:K,MATCH($A$1,Database!$A$1:$K$1,),)</f>
        <v>23115</v>
      </c>
      <c r="C254" s="12">
        <f t="shared" si="6"/>
        <v>1.7519919003389534E-2</v>
      </c>
      <c r="D254" s="13">
        <f t="shared" si="7"/>
        <v>1.5463691077625972E-2</v>
      </c>
    </row>
    <row r="255" spans="1:4" x14ac:dyDescent="0.35">
      <c r="A255" s="17">
        <v>41153</v>
      </c>
      <c r="B255" s="15">
        <f>VLOOKUP(A255,Database!A:K,MATCH($A$1,Database!$A$1:$K$1,),)</f>
        <v>23641</v>
      </c>
      <c r="C255" s="12">
        <f t="shared" si="6"/>
        <v>2.2755786285961498E-2</v>
      </c>
      <c r="D255" s="13">
        <f t="shared" si="7"/>
        <v>4.4213780918727914E-2</v>
      </c>
    </row>
    <row r="256" spans="1:4" x14ac:dyDescent="0.35">
      <c r="A256" s="11">
        <v>41183</v>
      </c>
      <c r="B256" s="15">
        <f>VLOOKUP(A256,Database!A:K,MATCH($A$1,Database!$A$1:$K$1,),)</f>
        <v>23801</v>
      </c>
      <c r="C256" s="12">
        <f t="shared" si="6"/>
        <v>6.7679032189839686E-3</v>
      </c>
      <c r="D256" s="13">
        <f t="shared" si="7"/>
        <v>2.3566851589042273E-2</v>
      </c>
    </row>
    <row r="257" spans="1:4" x14ac:dyDescent="0.35">
      <c r="A257" s="17">
        <v>41214</v>
      </c>
      <c r="B257" s="15">
        <f>VLOOKUP(A257,Database!A:K,MATCH($A$1,Database!$A$1:$K$1,),)</f>
        <v>24127</v>
      </c>
      <c r="C257" s="12">
        <f t="shared" si="6"/>
        <v>1.369690349144994E-2</v>
      </c>
      <c r="D257" s="13">
        <f t="shared" si="7"/>
        <v>5.3902939763246407E-2</v>
      </c>
    </row>
    <row r="258" spans="1:4" x14ac:dyDescent="0.35">
      <c r="A258" s="11">
        <v>41244</v>
      </c>
      <c r="B258" s="15">
        <f>VLOOKUP(A258,Database!A:K,MATCH($A$1,Database!$A$1:$K$1,),)</f>
        <v>24141</v>
      </c>
      <c r="C258" s="12">
        <f t="shared" si="6"/>
        <v>5.8026277614291048E-4</v>
      </c>
      <c r="D258" s="13">
        <f t="shared" si="7"/>
        <v>2.9598669339361113E-2</v>
      </c>
    </row>
    <row r="259" spans="1:4" x14ac:dyDescent="0.35">
      <c r="A259" s="17">
        <v>41275</v>
      </c>
      <c r="B259" s="15">
        <f>VLOOKUP(A259,Database!A:K,MATCH($A$1,Database!$A$1:$K$1,),)</f>
        <v>24373</v>
      </c>
      <c r="C259" s="12">
        <f t="shared" si="6"/>
        <v>9.6102067022907096E-3</v>
      </c>
      <c r="D259" s="13">
        <f t="shared" si="7"/>
        <v>3.2360540471853952E-2</v>
      </c>
    </row>
    <row r="260" spans="1:4" x14ac:dyDescent="0.35">
      <c r="A260" s="11">
        <v>41306</v>
      </c>
      <c r="B260" s="15">
        <f>VLOOKUP(A260,Database!A:K,MATCH($A$1,Database!$A$1:$K$1,),)</f>
        <v>24751</v>
      </c>
      <c r="C260" s="12">
        <f t="shared" si="6"/>
        <v>1.5508964838140566E-2</v>
      </c>
      <c r="D260" s="13">
        <f t="shared" si="7"/>
        <v>5.0195179904955874E-2</v>
      </c>
    </row>
    <row r="261" spans="1:4" x14ac:dyDescent="0.35">
      <c r="A261" s="17">
        <v>41334</v>
      </c>
      <c r="B261" s="15">
        <f>VLOOKUP(A261,Database!A:K,MATCH($A$1,Database!$A$1:$K$1,),)</f>
        <v>24694</v>
      </c>
      <c r="C261" s="12">
        <f t="shared" si="6"/>
        <v>-2.3029372550604017E-3</v>
      </c>
      <c r="D261" s="13">
        <f t="shared" si="7"/>
        <v>4.6379170056956879E-3</v>
      </c>
    </row>
    <row r="262" spans="1:4" x14ac:dyDescent="0.35">
      <c r="A262" s="11">
        <v>41365</v>
      </c>
      <c r="B262" s="15">
        <f>VLOOKUP(A262,Database!A:K,MATCH($A$1,Database!$A$1:$K$1,),)</f>
        <v>24798</v>
      </c>
      <c r="C262" s="12">
        <f t="shared" si="6"/>
        <v>4.2115493642180283E-3</v>
      </c>
      <c r="D262" s="13">
        <f t="shared" si="7"/>
        <v>5.8702984246253684E-2</v>
      </c>
    </row>
    <row r="263" spans="1:4" x14ac:dyDescent="0.35">
      <c r="A263" s="17">
        <v>41395</v>
      </c>
      <c r="B263" s="15">
        <f>VLOOKUP(A263,Database!A:K,MATCH($A$1,Database!$A$1:$K$1,),)</f>
        <v>25336</v>
      </c>
      <c r="C263" s="12">
        <f t="shared" si="6"/>
        <v>2.1695298007903863E-2</v>
      </c>
      <c r="D263" s="13">
        <f t="shared" si="7"/>
        <v>0.11455217314798521</v>
      </c>
    </row>
    <row r="264" spans="1:4" x14ac:dyDescent="0.35">
      <c r="A264" s="11">
        <v>41426</v>
      </c>
      <c r="B264" s="15">
        <f>VLOOKUP(A264,Database!A:K,MATCH($A$1,Database!$A$1:$K$1,),)</f>
        <v>24793</v>
      </c>
      <c r="C264" s="12">
        <f t="shared" ref="C264:C327" si="8">(B264-B263)/B263</f>
        <v>-2.1431954531101988E-2</v>
      </c>
      <c r="D264" s="13">
        <f t="shared" si="7"/>
        <v>0.10039501131774001</v>
      </c>
    </row>
    <row r="265" spans="1:4" x14ac:dyDescent="0.35">
      <c r="A265" s="17">
        <v>41456</v>
      </c>
      <c r="B265" s="15">
        <f>VLOOKUP(A265,Database!A:K,MATCH($A$1,Database!$A$1:$K$1,),)</f>
        <v>25353</v>
      </c>
      <c r="C265" s="12">
        <f t="shared" si="8"/>
        <v>2.2587020529988303E-2</v>
      </c>
      <c r="D265" s="13">
        <f t="shared" si="7"/>
        <v>0.11603644847471056</v>
      </c>
    </row>
    <row r="266" spans="1:4" x14ac:dyDescent="0.35">
      <c r="A266" s="11">
        <v>41487</v>
      </c>
      <c r="B266" s="15">
        <f>VLOOKUP(A266,Database!A:K,MATCH($A$1,Database!$A$1:$K$1,),)</f>
        <v>25291</v>
      </c>
      <c r="C266" s="12">
        <f t="shared" si="8"/>
        <v>-2.4454699641068118E-3</v>
      </c>
      <c r="D266" s="13">
        <f t="shared" si="7"/>
        <v>9.4138005624053639E-2</v>
      </c>
    </row>
    <row r="267" spans="1:4" x14ac:dyDescent="0.35">
      <c r="A267" s="17">
        <v>41518</v>
      </c>
      <c r="B267" s="15">
        <f>VLOOKUP(A267,Database!A:K,MATCH($A$1,Database!$A$1:$K$1,),)</f>
        <v>25287</v>
      </c>
      <c r="C267" s="12">
        <f t="shared" si="8"/>
        <v>-1.5815902890356254E-4</v>
      </c>
      <c r="D267" s="13">
        <f t="shared" si="7"/>
        <v>6.9624804365297582E-2</v>
      </c>
    </row>
    <row r="268" spans="1:4" x14ac:dyDescent="0.35">
      <c r="A268" s="11">
        <v>41548</v>
      </c>
      <c r="B268" s="15">
        <f>VLOOKUP(A268,Database!A:K,MATCH($A$1,Database!$A$1:$K$1,),)</f>
        <v>24915</v>
      </c>
      <c r="C268" s="12">
        <f t="shared" si="8"/>
        <v>-1.4711116383912683E-2</v>
      </c>
      <c r="D268" s="13">
        <f t="shared" si="7"/>
        <v>4.6804756102684759E-2</v>
      </c>
    </row>
    <row r="269" spans="1:4" x14ac:dyDescent="0.35">
      <c r="A269" s="17">
        <v>41579</v>
      </c>
      <c r="B269" s="15">
        <f>VLOOKUP(A269,Database!A:K,MATCH($A$1,Database!$A$1:$K$1,),)</f>
        <v>24849</v>
      </c>
      <c r="C269" s="12">
        <f t="shared" si="8"/>
        <v>-2.6490066225165563E-3</v>
      </c>
      <c r="D269" s="13">
        <f t="shared" si="7"/>
        <v>2.9924980312512953E-2</v>
      </c>
    </row>
    <row r="270" spans="1:4" x14ac:dyDescent="0.35">
      <c r="A270" s="11">
        <v>41609</v>
      </c>
      <c r="B270" s="15">
        <f>VLOOKUP(A270,Database!A:K,MATCH($A$1,Database!$A$1:$K$1,),)</f>
        <v>24955</v>
      </c>
      <c r="C270" s="12">
        <f t="shared" si="8"/>
        <v>4.265765221940521E-3</v>
      </c>
      <c r="D270" s="13">
        <f t="shared" si="7"/>
        <v>3.3718570067519986E-2</v>
      </c>
    </row>
    <row r="271" spans="1:4" x14ac:dyDescent="0.35">
      <c r="A271" s="17">
        <v>41640</v>
      </c>
      <c r="B271" s="15">
        <f>VLOOKUP(A271,Database!A:K,MATCH($A$1,Database!$A$1:$K$1,),)</f>
        <v>24920</v>
      </c>
      <c r="C271" s="12">
        <f t="shared" si="8"/>
        <v>-1.4025245441795231E-3</v>
      </c>
      <c r="D271" s="13">
        <f t="shared" si="7"/>
        <v>2.244286710704468E-2</v>
      </c>
    </row>
    <row r="272" spans="1:4" x14ac:dyDescent="0.35">
      <c r="A272" s="11">
        <v>41671</v>
      </c>
      <c r="B272" s="15">
        <f>VLOOKUP(A272,Database!A:K,MATCH($A$1,Database!$A$1:$K$1,),)</f>
        <v>24821</v>
      </c>
      <c r="C272" s="12">
        <f t="shared" si="8"/>
        <v>-3.9727126805778491E-3</v>
      </c>
      <c r="D272" s="13">
        <f t="shared" si="7"/>
        <v>2.8281685588461072E-3</v>
      </c>
    </row>
    <row r="273" spans="1:4" x14ac:dyDescent="0.35">
      <c r="A273" s="17">
        <v>41699</v>
      </c>
      <c r="B273" s="15">
        <f>VLOOKUP(A273,Database!A:K,MATCH($A$1,Database!$A$1:$K$1,),)</f>
        <v>25286</v>
      </c>
      <c r="C273" s="12">
        <f t="shared" si="8"/>
        <v>1.8734136416743888E-2</v>
      </c>
      <c r="D273" s="13">
        <f t="shared" si="7"/>
        <v>2.3973434842471854E-2</v>
      </c>
    </row>
    <row r="274" spans="1:4" x14ac:dyDescent="0.35">
      <c r="A274" s="11">
        <v>41730</v>
      </c>
      <c r="B274" s="15">
        <f>VLOOKUP(A274,Database!A:K,MATCH($A$1,Database!$A$1:$K$1,),)</f>
        <v>26095</v>
      </c>
      <c r="C274" s="12">
        <f t="shared" si="8"/>
        <v>3.1993988768488489E-2</v>
      </c>
      <c r="D274" s="13">
        <f t="shared" si="7"/>
        <v>5.2302605048794255E-2</v>
      </c>
    </row>
    <row r="275" spans="1:4" x14ac:dyDescent="0.35">
      <c r="A275" s="17">
        <v>41760</v>
      </c>
      <c r="B275" s="15">
        <f>VLOOKUP(A275,Database!A:K,MATCH($A$1,Database!$A$1:$K$1,),)</f>
        <v>26428</v>
      </c>
      <c r="C275" s="12">
        <f t="shared" si="8"/>
        <v>1.2761065338187392E-2</v>
      </c>
      <c r="D275" s="13">
        <f t="shared" ref="D275:D338" si="9">(B275-B263)/B263</f>
        <v>4.3100726239343225E-2</v>
      </c>
    </row>
    <row r="276" spans="1:4" x14ac:dyDescent="0.35">
      <c r="A276" s="11">
        <v>41791</v>
      </c>
      <c r="B276" s="15">
        <f>VLOOKUP(A276,Database!A:K,MATCH($A$1,Database!$A$1:$K$1,),)</f>
        <v>26617</v>
      </c>
      <c r="C276" s="12">
        <f t="shared" si="8"/>
        <v>7.1515059785076437E-3</v>
      </c>
      <c r="D276" s="13">
        <f t="shared" si="9"/>
        <v>7.3569152583390474E-2</v>
      </c>
    </row>
    <row r="277" spans="1:4" x14ac:dyDescent="0.35">
      <c r="A277" s="17">
        <v>41821</v>
      </c>
      <c r="B277" s="15">
        <f>VLOOKUP(A277,Database!A:K,MATCH($A$1,Database!$A$1:$K$1,),)</f>
        <v>26107</v>
      </c>
      <c r="C277" s="12">
        <f t="shared" si="8"/>
        <v>-1.9160686779126121E-2</v>
      </c>
      <c r="D277" s="13">
        <f t="shared" si="9"/>
        <v>2.974007020865381E-2</v>
      </c>
    </row>
    <row r="278" spans="1:4" x14ac:dyDescent="0.35">
      <c r="A278" s="11">
        <v>41852</v>
      </c>
      <c r="B278" s="15">
        <f>VLOOKUP(A278,Database!A:K,MATCH($A$1,Database!$A$1:$K$1,),)</f>
        <v>26595</v>
      </c>
      <c r="C278" s="12">
        <f t="shared" si="8"/>
        <v>1.8692304745853601E-2</v>
      </c>
      <c r="D278" s="13">
        <f t="shared" si="9"/>
        <v>5.1559843422561383E-2</v>
      </c>
    </row>
    <row r="279" spans="1:4" x14ac:dyDescent="0.35">
      <c r="A279" s="17">
        <v>41883</v>
      </c>
      <c r="B279" s="15">
        <f>VLOOKUP(A279,Database!A:K,MATCH($A$1,Database!$A$1:$K$1,),)</f>
        <v>26499</v>
      </c>
      <c r="C279" s="12">
        <f t="shared" si="8"/>
        <v>-3.6097010716300056E-3</v>
      </c>
      <c r="D279" s="13">
        <f t="shared" si="9"/>
        <v>4.7929766283070351E-2</v>
      </c>
    </row>
    <row r="280" spans="1:4" x14ac:dyDescent="0.35">
      <c r="A280" s="11">
        <v>41913</v>
      </c>
      <c r="B280" s="15">
        <f>VLOOKUP(A280,Database!A:K,MATCH($A$1,Database!$A$1:$K$1,),)</f>
        <v>26507</v>
      </c>
      <c r="C280" s="12">
        <f t="shared" si="8"/>
        <v>3.0189818483716368E-4</v>
      </c>
      <c r="D280" s="13">
        <f t="shared" si="9"/>
        <v>6.3897250652217547E-2</v>
      </c>
    </row>
    <row r="281" spans="1:4" x14ac:dyDescent="0.35">
      <c r="A281" s="17">
        <v>41944</v>
      </c>
      <c r="B281" s="15">
        <f>VLOOKUP(A281,Database!A:K,MATCH($A$1,Database!$A$1:$K$1,),)</f>
        <v>26619</v>
      </c>
      <c r="C281" s="12">
        <f t="shared" si="8"/>
        <v>4.2252989776285508E-3</v>
      </c>
      <c r="D281" s="13">
        <f t="shared" si="9"/>
        <v>7.12302305927804E-2</v>
      </c>
    </row>
    <row r="282" spans="1:4" x14ac:dyDescent="0.35">
      <c r="A282" s="11">
        <v>41974</v>
      </c>
      <c r="B282" s="15">
        <f>VLOOKUP(A282,Database!A:K,MATCH($A$1,Database!$A$1:$K$1,),)</f>
        <v>26253</v>
      </c>
      <c r="C282" s="12">
        <f t="shared" si="8"/>
        <v>-1.3749577369548066E-2</v>
      </c>
      <c r="D282" s="13">
        <f t="shared" si="9"/>
        <v>5.2013624524143459E-2</v>
      </c>
    </row>
    <row r="283" spans="1:4" x14ac:dyDescent="0.35">
      <c r="A283" s="17">
        <v>42005</v>
      </c>
      <c r="B283" s="15">
        <f>VLOOKUP(A283,Database!A:K,MATCH($A$1,Database!$A$1:$K$1,),)</f>
        <v>26516</v>
      </c>
      <c r="C283" s="12">
        <f t="shared" si="8"/>
        <v>1.001790271588009E-2</v>
      </c>
      <c r="D283" s="13">
        <f t="shared" si="9"/>
        <v>6.4044943820224715E-2</v>
      </c>
    </row>
    <row r="284" spans="1:4" x14ac:dyDescent="0.35">
      <c r="A284" s="11">
        <v>42036</v>
      </c>
      <c r="B284" s="15">
        <f>VLOOKUP(A284,Database!A:K,MATCH($A$1,Database!$A$1:$K$1,),)</f>
        <v>25575</v>
      </c>
      <c r="C284" s="12">
        <f t="shared" si="8"/>
        <v>-3.5488007240911147E-2</v>
      </c>
      <c r="D284" s="13">
        <f t="shared" si="9"/>
        <v>3.0377502920913742E-2</v>
      </c>
    </row>
    <row r="285" spans="1:4" x14ac:dyDescent="0.35">
      <c r="A285" s="17">
        <v>42064</v>
      </c>
      <c r="B285" s="15">
        <f>VLOOKUP(A285,Database!A:K,MATCH($A$1,Database!$A$1:$K$1,),)</f>
        <v>26521</v>
      </c>
      <c r="C285" s="12">
        <f t="shared" si="8"/>
        <v>3.6989247311827955E-2</v>
      </c>
      <c r="D285" s="13">
        <f t="shared" si="9"/>
        <v>4.8841256031005302E-2</v>
      </c>
    </row>
    <row r="286" spans="1:4" x14ac:dyDescent="0.35">
      <c r="A286" s="11">
        <v>42095</v>
      </c>
      <c r="B286" s="15">
        <f>VLOOKUP(A286,Database!A:K,MATCH($A$1,Database!$A$1:$K$1,),)</f>
        <v>26734</v>
      </c>
      <c r="C286" s="12">
        <f t="shared" si="8"/>
        <v>8.0313713660872515E-3</v>
      </c>
      <c r="D286" s="13">
        <f t="shared" si="9"/>
        <v>2.448744970300824E-2</v>
      </c>
    </row>
    <row r="287" spans="1:4" x14ac:dyDescent="0.35">
      <c r="A287" s="17">
        <v>42125</v>
      </c>
      <c r="B287" s="15">
        <f>VLOOKUP(A287,Database!A:K,MATCH($A$1,Database!$A$1:$K$1,),)</f>
        <v>26781</v>
      </c>
      <c r="C287" s="12">
        <f t="shared" si="8"/>
        <v>1.7580608962370016E-3</v>
      </c>
      <c r="D287" s="13">
        <f t="shared" si="9"/>
        <v>1.3357045557741788E-2</v>
      </c>
    </row>
    <row r="288" spans="1:4" x14ac:dyDescent="0.35">
      <c r="A288" s="11">
        <v>42156</v>
      </c>
      <c r="B288" s="15">
        <f>VLOOKUP(A288,Database!A:K,MATCH($A$1,Database!$A$1:$K$1,),)</f>
        <v>26516</v>
      </c>
      <c r="C288" s="12">
        <f t="shared" si="8"/>
        <v>-9.8950748665098398E-3</v>
      </c>
      <c r="D288" s="13">
        <f t="shared" si="9"/>
        <v>-3.7945673817485065E-3</v>
      </c>
    </row>
    <row r="289" spans="1:4" x14ac:dyDescent="0.35">
      <c r="A289" s="17">
        <v>42186</v>
      </c>
      <c r="B289" s="15">
        <f>VLOOKUP(A289,Database!A:K,MATCH($A$1,Database!$A$1:$K$1,),)</f>
        <v>27350</v>
      </c>
      <c r="C289" s="12">
        <f t="shared" si="8"/>
        <v>3.1452707799064714E-2</v>
      </c>
      <c r="D289" s="13">
        <f t="shared" si="9"/>
        <v>4.7611751637491859E-2</v>
      </c>
    </row>
    <row r="290" spans="1:4" x14ac:dyDescent="0.35">
      <c r="A290" s="11">
        <v>42217</v>
      </c>
      <c r="B290" s="15">
        <f>VLOOKUP(A290,Database!A:K,MATCH($A$1,Database!$A$1:$K$1,),)</f>
        <v>27408</v>
      </c>
      <c r="C290" s="12">
        <f t="shared" si="8"/>
        <v>2.1206581352833636E-3</v>
      </c>
      <c r="D290" s="13">
        <f t="shared" si="9"/>
        <v>3.0569655950366609E-2</v>
      </c>
    </row>
    <row r="291" spans="1:4" x14ac:dyDescent="0.35">
      <c r="A291" s="17">
        <v>42248</v>
      </c>
      <c r="B291" s="15">
        <f>VLOOKUP(A291,Database!A:K,MATCH($A$1,Database!$A$1:$K$1,),)</f>
        <v>27191</v>
      </c>
      <c r="C291" s="12">
        <f t="shared" si="8"/>
        <v>-7.9173963806187971E-3</v>
      </c>
      <c r="D291" s="13">
        <f t="shared" si="9"/>
        <v>2.6114192988414657E-2</v>
      </c>
    </row>
    <row r="292" spans="1:4" x14ac:dyDescent="0.35">
      <c r="A292" s="11">
        <v>42278</v>
      </c>
      <c r="B292" s="15">
        <f>VLOOKUP(A292,Database!A:K,MATCH($A$1,Database!$A$1:$K$1,),)</f>
        <v>27368</v>
      </c>
      <c r="C292" s="12">
        <f t="shared" si="8"/>
        <v>6.5095068221102574E-3</v>
      </c>
      <c r="D292" s="13">
        <f t="shared" si="9"/>
        <v>3.2481985890519482E-2</v>
      </c>
    </row>
    <row r="293" spans="1:4" x14ac:dyDescent="0.35">
      <c r="A293" s="17">
        <v>42309</v>
      </c>
      <c r="B293" s="15">
        <f>VLOOKUP(A293,Database!A:K,MATCH($A$1,Database!$A$1:$K$1,),)</f>
        <v>27656</v>
      </c>
      <c r="C293" s="12">
        <f t="shared" si="8"/>
        <v>1.0523238819058756E-2</v>
      </c>
      <c r="D293" s="13">
        <f t="shared" si="9"/>
        <v>3.8957135880386191E-2</v>
      </c>
    </row>
    <row r="294" spans="1:4" x14ac:dyDescent="0.35">
      <c r="A294" s="11">
        <v>42339</v>
      </c>
      <c r="B294" s="15">
        <f>VLOOKUP(A294,Database!A:K,MATCH($A$1,Database!$A$1:$K$1,),)</f>
        <v>28189</v>
      </c>
      <c r="C294" s="12">
        <f t="shared" si="8"/>
        <v>1.9272490598785073E-2</v>
      </c>
      <c r="D294" s="13">
        <f t="shared" si="9"/>
        <v>7.3743953072029869E-2</v>
      </c>
    </row>
    <row r="295" spans="1:4" x14ac:dyDescent="0.35">
      <c r="A295" s="17">
        <v>42370</v>
      </c>
      <c r="B295" s="15">
        <f>VLOOKUP(A295,Database!A:K,MATCH($A$1,Database!$A$1:$K$1,),)</f>
        <v>28172</v>
      </c>
      <c r="C295" s="12">
        <f t="shared" si="8"/>
        <v>-6.0307212033062542E-4</v>
      </c>
      <c r="D295" s="13">
        <f t="shared" si="9"/>
        <v>6.2452858651380297E-2</v>
      </c>
    </row>
    <row r="296" spans="1:4" x14ac:dyDescent="0.35">
      <c r="A296" s="11">
        <v>42401</v>
      </c>
      <c r="B296" s="15">
        <f>VLOOKUP(A296,Database!A:K,MATCH($A$1,Database!$A$1:$K$1,),)</f>
        <v>28236</v>
      </c>
      <c r="C296" s="12">
        <f t="shared" si="8"/>
        <v>2.2717591935254864E-3</v>
      </c>
      <c r="D296" s="13">
        <f t="shared" si="9"/>
        <v>0.10404692082111437</v>
      </c>
    </row>
    <row r="297" spans="1:4" x14ac:dyDescent="0.35">
      <c r="A297" s="17">
        <v>42430</v>
      </c>
      <c r="B297" s="15">
        <f>VLOOKUP(A297,Database!A:K,MATCH($A$1,Database!$A$1:$K$1,),)</f>
        <v>28934</v>
      </c>
      <c r="C297" s="12">
        <f t="shared" si="8"/>
        <v>2.4720215327950136E-2</v>
      </c>
      <c r="D297" s="13">
        <f t="shared" si="9"/>
        <v>9.0984502846800652E-2</v>
      </c>
    </row>
    <row r="298" spans="1:4" x14ac:dyDescent="0.35">
      <c r="A298" s="11">
        <v>42461</v>
      </c>
      <c r="B298" s="15">
        <f>VLOOKUP(A298,Database!A:K,MATCH($A$1,Database!$A$1:$K$1,),)</f>
        <v>27926</v>
      </c>
      <c r="C298" s="12">
        <f t="shared" si="8"/>
        <v>-3.4837906960669109E-2</v>
      </c>
      <c r="D298" s="13">
        <f t="shared" si="9"/>
        <v>4.4587416772649061E-2</v>
      </c>
    </row>
    <row r="299" spans="1:4" x14ac:dyDescent="0.35">
      <c r="A299" s="17">
        <v>42491</v>
      </c>
      <c r="B299" s="15">
        <f>VLOOKUP(A299,Database!A:K,MATCH($A$1,Database!$A$1:$K$1,),)</f>
        <v>27533</v>
      </c>
      <c r="C299" s="12">
        <f t="shared" si="8"/>
        <v>-1.4072906968416529E-2</v>
      </c>
      <c r="D299" s="13">
        <f t="shared" si="9"/>
        <v>2.8079608677793959E-2</v>
      </c>
    </row>
    <row r="300" spans="1:4" x14ac:dyDescent="0.35">
      <c r="A300" s="11">
        <v>42522</v>
      </c>
      <c r="B300" s="15">
        <f>VLOOKUP(A300,Database!A:K,MATCH($A$1,Database!$A$1:$K$1,),)</f>
        <v>28297</v>
      </c>
      <c r="C300" s="12">
        <f t="shared" si="8"/>
        <v>2.7748519957868738E-2</v>
      </c>
      <c r="D300" s="13">
        <f t="shared" si="9"/>
        <v>6.7166993513350426E-2</v>
      </c>
    </row>
    <row r="301" spans="1:4" x14ac:dyDescent="0.35">
      <c r="A301" s="17">
        <v>42552</v>
      </c>
      <c r="B301" s="15">
        <f>VLOOKUP(A301,Database!A:K,MATCH($A$1,Database!$A$1:$K$1,),)</f>
        <v>27980</v>
      </c>
      <c r="C301" s="12">
        <f t="shared" si="8"/>
        <v>-1.1202600982436301E-2</v>
      </c>
      <c r="D301" s="13">
        <f t="shared" si="9"/>
        <v>2.3034734917733089E-2</v>
      </c>
    </row>
    <row r="302" spans="1:4" x14ac:dyDescent="0.35">
      <c r="A302" s="11">
        <v>42583</v>
      </c>
      <c r="B302" s="15">
        <f>VLOOKUP(A302,Database!A:K,MATCH($A$1,Database!$A$1:$K$1,),)</f>
        <v>27856</v>
      </c>
      <c r="C302" s="12">
        <f t="shared" si="8"/>
        <v>-4.4317369549678343E-3</v>
      </c>
      <c r="D302" s="13">
        <f t="shared" si="9"/>
        <v>1.634559252772913E-2</v>
      </c>
    </row>
    <row r="303" spans="1:4" x14ac:dyDescent="0.35">
      <c r="A303" s="17">
        <v>42614</v>
      </c>
      <c r="B303" s="15">
        <f>VLOOKUP(A303,Database!A:K,MATCH($A$1,Database!$A$1:$K$1,),)</f>
        <v>27984</v>
      </c>
      <c r="C303" s="12">
        <f t="shared" si="8"/>
        <v>4.595060310166571E-3</v>
      </c>
      <c r="D303" s="13">
        <f t="shared" si="9"/>
        <v>2.9164061638041999E-2</v>
      </c>
    </row>
    <row r="304" spans="1:4" x14ac:dyDescent="0.35">
      <c r="A304" s="11">
        <v>42644</v>
      </c>
      <c r="B304" s="15">
        <f>VLOOKUP(A304,Database!A:K,MATCH($A$1,Database!$A$1:$K$1,),)</f>
        <v>28049</v>
      </c>
      <c r="C304" s="12">
        <f t="shared" si="8"/>
        <v>2.3227558604917097E-3</v>
      </c>
      <c r="D304" s="13">
        <f t="shared" si="9"/>
        <v>2.4883075124232681E-2</v>
      </c>
    </row>
    <row r="305" spans="1:4" x14ac:dyDescent="0.35">
      <c r="A305" s="17">
        <v>42675</v>
      </c>
      <c r="B305" s="15">
        <f>VLOOKUP(A305,Database!A:K,MATCH($A$1,Database!$A$1:$K$1,),)</f>
        <v>28204</v>
      </c>
      <c r="C305" s="12">
        <f t="shared" si="8"/>
        <v>5.5260437092231451E-3</v>
      </c>
      <c r="D305" s="13">
        <f t="shared" si="9"/>
        <v>1.9814868382991034E-2</v>
      </c>
    </row>
    <row r="306" spans="1:4" x14ac:dyDescent="0.35">
      <c r="A306" s="11">
        <v>42705</v>
      </c>
      <c r="B306" s="15">
        <f>VLOOKUP(A306,Database!A:K,MATCH($A$1,Database!$A$1:$K$1,),)</f>
        <v>28176</v>
      </c>
      <c r="C306" s="12">
        <f t="shared" si="8"/>
        <v>-9.9276698340660893E-4</v>
      </c>
      <c r="D306" s="13">
        <f t="shared" si="9"/>
        <v>-4.6117279789989002E-4</v>
      </c>
    </row>
    <row r="307" spans="1:4" x14ac:dyDescent="0.35">
      <c r="A307" s="17">
        <v>42736</v>
      </c>
      <c r="B307" s="15">
        <f>VLOOKUP(A307,Database!A:K,MATCH($A$1,Database!$A$1:$K$1,),)</f>
        <v>28504</v>
      </c>
      <c r="C307" s="12">
        <f t="shared" si="8"/>
        <v>1.1641113003975015E-2</v>
      </c>
      <c r="D307" s="13">
        <f t="shared" si="9"/>
        <v>1.1784750816413459E-2</v>
      </c>
    </row>
    <row r="308" spans="1:4" x14ac:dyDescent="0.35">
      <c r="A308" s="11">
        <v>42767</v>
      </c>
      <c r="B308" s="15">
        <f>VLOOKUP(A308,Database!A:K,MATCH($A$1,Database!$A$1:$K$1,),)</f>
        <v>28868</v>
      </c>
      <c r="C308" s="12">
        <f t="shared" si="8"/>
        <v>1.2770137524557957E-2</v>
      </c>
      <c r="D308" s="13">
        <f t="shared" si="9"/>
        <v>2.2382773763989235E-2</v>
      </c>
    </row>
    <row r="309" spans="1:4" x14ac:dyDescent="0.35">
      <c r="A309" s="17">
        <v>42795</v>
      </c>
      <c r="B309" s="15">
        <f>VLOOKUP(A309,Database!A:K,MATCH($A$1,Database!$A$1:$K$1,),)</f>
        <v>28678</v>
      </c>
      <c r="C309" s="12">
        <f t="shared" si="8"/>
        <v>-6.5816821393930997E-3</v>
      </c>
      <c r="D309" s="13">
        <f t="shared" si="9"/>
        <v>-8.8477224027096145E-3</v>
      </c>
    </row>
    <row r="310" spans="1:4" x14ac:dyDescent="0.35">
      <c r="A310" s="11">
        <v>42826</v>
      </c>
      <c r="B310" s="15">
        <f>VLOOKUP(A310,Database!A:K,MATCH($A$1,Database!$A$1:$K$1,),)</f>
        <v>29027</v>
      </c>
      <c r="C310" s="12">
        <f t="shared" si="8"/>
        <v>1.2169607364530302E-2</v>
      </c>
      <c r="D310" s="13">
        <f t="shared" si="9"/>
        <v>3.942562486571654E-2</v>
      </c>
    </row>
    <row r="311" spans="1:4" x14ac:dyDescent="0.35">
      <c r="A311" s="17">
        <v>42856</v>
      </c>
      <c r="B311" s="15">
        <f>VLOOKUP(A311,Database!A:K,MATCH($A$1,Database!$A$1:$K$1,),)</f>
        <v>28706</v>
      </c>
      <c r="C311" s="12">
        <f t="shared" si="8"/>
        <v>-1.1058669514589864E-2</v>
      </c>
      <c r="D311" s="13">
        <f t="shared" si="9"/>
        <v>4.2603421348926744E-2</v>
      </c>
    </row>
    <row r="312" spans="1:4" x14ac:dyDescent="0.35">
      <c r="A312" s="11">
        <v>42887</v>
      </c>
      <c r="B312" s="15">
        <f>VLOOKUP(A312,Database!A:K,MATCH($A$1,Database!$A$1:$K$1,),)</f>
        <v>28754</v>
      </c>
      <c r="C312" s="12">
        <f t="shared" si="8"/>
        <v>1.6721242945725633E-3</v>
      </c>
      <c r="D312" s="13">
        <f t="shared" si="9"/>
        <v>1.61501219210517E-2</v>
      </c>
    </row>
    <row r="313" spans="1:4" x14ac:dyDescent="0.35">
      <c r="A313" s="17">
        <v>42917</v>
      </c>
      <c r="B313" s="15">
        <f>VLOOKUP(A313,Database!A:K,MATCH($A$1,Database!$A$1:$K$1,),)</f>
        <v>28915</v>
      </c>
      <c r="C313" s="12">
        <f t="shared" si="8"/>
        <v>5.5992209779508941E-3</v>
      </c>
      <c r="D313" s="13">
        <f t="shared" si="9"/>
        <v>3.3416726233023587E-2</v>
      </c>
    </row>
    <row r="314" spans="1:4" x14ac:dyDescent="0.35">
      <c r="A314" s="11">
        <v>42948</v>
      </c>
      <c r="B314" s="15">
        <f>VLOOKUP(A314,Database!A:K,MATCH($A$1,Database!$A$1:$K$1,),)</f>
        <v>28941</v>
      </c>
      <c r="C314" s="12">
        <f t="shared" si="8"/>
        <v>8.9918727304167387E-4</v>
      </c>
      <c r="D314" s="13">
        <f t="shared" si="9"/>
        <v>3.8950315910396327E-2</v>
      </c>
    </row>
    <row r="315" spans="1:4" x14ac:dyDescent="0.35">
      <c r="A315" s="17">
        <v>42979</v>
      </c>
      <c r="B315" s="15">
        <f>VLOOKUP(A315,Database!A:K,MATCH($A$1,Database!$A$1:$K$1,),)</f>
        <v>29910</v>
      </c>
      <c r="C315" s="12">
        <f t="shared" si="8"/>
        <v>3.3481911475069973E-2</v>
      </c>
      <c r="D315" s="13">
        <f t="shared" si="9"/>
        <v>6.8825042881646661E-2</v>
      </c>
    </row>
    <row r="316" spans="1:4" x14ac:dyDescent="0.35">
      <c r="A316" s="11">
        <v>43009</v>
      </c>
      <c r="B316" s="15">
        <f>VLOOKUP(A316,Database!A:K,MATCH($A$1,Database!$A$1:$K$1,),)</f>
        <v>29568</v>
      </c>
      <c r="C316" s="12">
        <f t="shared" si="8"/>
        <v>-1.1434302908726178E-2</v>
      </c>
      <c r="D316" s="13">
        <f t="shared" si="9"/>
        <v>5.4155228350386823E-2</v>
      </c>
    </row>
    <row r="317" spans="1:4" x14ac:dyDescent="0.35">
      <c r="A317" s="17">
        <v>43040</v>
      </c>
      <c r="B317" s="15">
        <f>VLOOKUP(A317,Database!A:K,MATCH($A$1,Database!$A$1:$K$1,),)</f>
        <v>30027</v>
      </c>
      <c r="C317" s="12">
        <f t="shared" si="8"/>
        <v>1.5523538961038962E-2</v>
      </c>
      <c r="D317" s="13">
        <f t="shared" si="9"/>
        <v>6.4636221812508859E-2</v>
      </c>
    </row>
    <row r="318" spans="1:4" x14ac:dyDescent="0.35">
      <c r="A318" s="11">
        <v>43070</v>
      </c>
      <c r="B318" s="15">
        <f>VLOOKUP(A318,Database!A:K,MATCH($A$1,Database!$A$1:$K$1,),)</f>
        <v>30078</v>
      </c>
      <c r="C318" s="12">
        <f t="shared" si="8"/>
        <v>1.6984713757618145E-3</v>
      </c>
      <c r="D318" s="13">
        <f t="shared" si="9"/>
        <v>6.7504258943781939E-2</v>
      </c>
    </row>
    <row r="319" spans="1:4" x14ac:dyDescent="0.35">
      <c r="A319" s="17">
        <v>43101</v>
      </c>
      <c r="B319" s="15">
        <f>VLOOKUP(A319,Database!A:K,MATCH($A$1,Database!$A$1:$K$1,),)</f>
        <v>29012</v>
      </c>
      <c r="C319" s="12">
        <f t="shared" si="8"/>
        <v>-3.544118624908571E-2</v>
      </c>
      <c r="D319" s="13">
        <f t="shared" si="9"/>
        <v>1.782206006174572E-2</v>
      </c>
    </row>
    <row r="320" spans="1:4" x14ac:dyDescent="0.35">
      <c r="A320" s="11">
        <v>43132</v>
      </c>
      <c r="B320" s="15">
        <f>VLOOKUP(A320,Database!A:K,MATCH($A$1,Database!$A$1:$K$1,),)</f>
        <v>30037</v>
      </c>
      <c r="C320" s="12">
        <f t="shared" si="8"/>
        <v>3.53302081897146E-2</v>
      </c>
      <c r="D320" s="13">
        <f t="shared" si="9"/>
        <v>4.049466537342386E-2</v>
      </c>
    </row>
    <row r="321" spans="1:4" x14ac:dyDescent="0.35">
      <c r="A321" s="17">
        <v>43160</v>
      </c>
      <c r="B321" s="15">
        <f>VLOOKUP(A321,Database!A:K,MATCH($A$1,Database!$A$1:$K$1,),)</f>
        <v>29685</v>
      </c>
      <c r="C321" s="12">
        <f t="shared" si="8"/>
        <v>-1.1718880047940873E-2</v>
      </c>
      <c r="D321" s="13">
        <f t="shared" si="9"/>
        <v>3.511402468791408E-2</v>
      </c>
    </row>
    <row r="322" spans="1:4" x14ac:dyDescent="0.35">
      <c r="A322" s="11">
        <v>43191</v>
      </c>
      <c r="B322" s="15">
        <f>VLOOKUP(A322,Database!A:K,MATCH($A$1,Database!$A$1:$K$1,),)</f>
        <v>29858</v>
      </c>
      <c r="C322" s="12">
        <f t="shared" si="8"/>
        <v>5.8278591881421593E-3</v>
      </c>
      <c r="D322" s="13">
        <f t="shared" si="9"/>
        <v>2.862851827608778E-2</v>
      </c>
    </row>
    <row r="323" spans="1:4" x14ac:dyDescent="0.35">
      <c r="A323" s="17">
        <v>43221</v>
      </c>
      <c r="B323" s="15">
        <f>VLOOKUP(A323,Database!A:K,MATCH($A$1,Database!$A$1:$K$1,),)</f>
        <v>30663</v>
      </c>
      <c r="C323" s="12">
        <f t="shared" si="8"/>
        <v>2.6960948489517047E-2</v>
      </c>
      <c r="D323" s="13">
        <f t="shared" si="9"/>
        <v>6.8173900926635542E-2</v>
      </c>
    </row>
    <row r="324" spans="1:4" x14ac:dyDescent="0.35">
      <c r="A324" s="11">
        <v>43252</v>
      </c>
      <c r="B324" s="15">
        <f>VLOOKUP(A324,Database!A:K,MATCH($A$1,Database!$A$1:$K$1,),)</f>
        <v>31111</v>
      </c>
      <c r="C324" s="12">
        <f t="shared" si="8"/>
        <v>1.4610442552913935E-2</v>
      </c>
      <c r="D324" s="13">
        <f t="shared" si="9"/>
        <v>8.1971204006399109E-2</v>
      </c>
    </row>
    <row r="325" spans="1:4" x14ac:dyDescent="0.35">
      <c r="A325" s="17">
        <v>43282</v>
      </c>
      <c r="B325" s="15">
        <f>VLOOKUP(A325,Database!A:K,MATCH($A$1,Database!$A$1:$K$1,),)</f>
        <v>31331</v>
      </c>
      <c r="C325" s="12">
        <f t="shared" si="8"/>
        <v>7.0714538266208092E-3</v>
      </c>
      <c r="D325" s="13">
        <f t="shared" si="9"/>
        <v>8.3555248141103239E-2</v>
      </c>
    </row>
    <row r="326" spans="1:4" x14ac:dyDescent="0.35">
      <c r="A326" s="11">
        <v>43313</v>
      </c>
      <c r="B326" s="15">
        <f>VLOOKUP(A326,Database!A:K,MATCH($A$1,Database!$A$1:$K$1,),)</f>
        <v>30997</v>
      </c>
      <c r="C326" s="12">
        <f t="shared" si="8"/>
        <v>-1.0660368325300821E-2</v>
      </c>
      <c r="D326" s="13">
        <f t="shared" si="9"/>
        <v>7.1041083583842993E-2</v>
      </c>
    </row>
    <row r="327" spans="1:4" x14ac:dyDescent="0.35">
      <c r="A327" s="17">
        <v>43344</v>
      </c>
      <c r="B327" s="15">
        <f>VLOOKUP(A327,Database!A:K,MATCH($A$1,Database!$A$1:$K$1,),)</f>
        <v>31132</v>
      </c>
      <c r="C327" s="12">
        <f t="shared" si="8"/>
        <v>4.355260186469658E-3</v>
      </c>
      <c r="D327" s="13">
        <f t="shared" si="9"/>
        <v>4.0855901036442661E-2</v>
      </c>
    </row>
    <row r="328" spans="1:4" x14ac:dyDescent="0.35">
      <c r="A328" s="11">
        <v>43374</v>
      </c>
      <c r="B328" s="15">
        <f>VLOOKUP(A328,Database!A:K,MATCH($A$1,Database!$A$1:$K$1,),)</f>
        <v>31655</v>
      </c>
      <c r="C328" s="12">
        <f t="shared" ref="C328:C391" si="10">(B328-B327)/B327</f>
        <v>1.6799434665296157E-2</v>
      </c>
      <c r="D328" s="13">
        <f t="shared" si="9"/>
        <v>7.0583062770562768E-2</v>
      </c>
    </row>
    <row r="329" spans="1:4" x14ac:dyDescent="0.35">
      <c r="A329" s="17">
        <v>43405</v>
      </c>
      <c r="B329" s="15">
        <f>VLOOKUP(A329,Database!A:K,MATCH($A$1,Database!$A$1:$K$1,),)</f>
        <v>31003</v>
      </c>
      <c r="C329" s="12">
        <f t="shared" si="10"/>
        <v>-2.05970620755015E-2</v>
      </c>
      <c r="D329" s="13">
        <f t="shared" si="9"/>
        <v>3.2504079661637861E-2</v>
      </c>
    </row>
    <row r="330" spans="1:4" x14ac:dyDescent="0.35">
      <c r="A330" s="11">
        <v>43435</v>
      </c>
      <c r="B330" s="15">
        <f>VLOOKUP(A330,Database!A:K,MATCH($A$1,Database!$A$1:$K$1,),)</f>
        <v>31068</v>
      </c>
      <c r="C330" s="12">
        <f t="shared" si="10"/>
        <v>2.0965712995516562E-3</v>
      </c>
      <c r="D330" s="13">
        <f t="shared" si="9"/>
        <v>3.2914422501496107E-2</v>
      </c>
    </row>
    <row r="331" spans="1:4" x14ac:dyDescent="0.35">
      <c r="A331" s="17">
        <v>43466</v>
      </c>
      <c r="B331" s="15">
        <f>VLOOKUP(A331,Database!A:K,MATCH($A$1,Database!$A$1:$K$1,),)</f>
        <v>32154</v>
      </c>
      <c r="C331" s="12">
        <f t="shared" si="10"/>
        <v>3.495558130552337E-2</v>
      </c>
      <c r="D331" s="13">
        <f t="shared" si="9"/>
        <v>0.10830001378739831</v>
      </c>
    </row>
    <row r="332" spans="1:4" x14ac:dyDescent="0.35">
      <c r="A332" s="11">
        <v>43497</v>
      </c>
      <c r="B332" s="15">
        <f>VLOOKUP(A332,Database!A:K,MATCH($A$1,Database!$A$1:$K$1,),)</f>
        <v>30626</v>
      </c>
      <c r="C332" s="12">
        <f t="shared" si="10"/>
        <v>-4.7521303725819496E-2</v>
      </c>
      <c r="D332" s="13">
        <f t="shared" si="9"/>
        <v>1.960914871658288E-2</v>
      </c>
    </row>
    <row r="333" spans="1:4" x14ac:dyDescent="0.35">
      <c r="A333" s="17">
        <v>43525</v>
      </c>
      <c r="B333" s="15">
        <f>VLOOKUP(A333,Database!A:K,MATCH($A$1,Database!$A$1:$K$1,),)</f>
        <v>30931</v>
      </c>
      <c r="C333" s="12">
        <f t="shared" si="10"/>
        <v>9.9588584862535107E-3</v>
      </c>
      <c r="D333" s="13">
        <f t="shared" si="9"/>
        <v>4.1974060973555667E-2</v>
      </c>
    </row>
    <row r="334" spans="1:4" x14ac:dyDescent="0.35">
      <c r="A334" s="11">
        <v>43556</v>
      </c>
      <c r="B334" s="31">
        <f>VLOOKUP(A334,Database!A:K,MATCH($A$1,Database!$A$1:$K$1,),)</f>
        <v>30931</v>
      </c>
      <c r="C334" s="32">
        <f t="shared" si="10"/>
        <v>0</v>
      </c>
      <c r="D334" s="33">
        <f t="shared" si="9"/>
        <v>3.5936767365530177E-2</v>
      </c>
    </row>
    <row r="335" spans="1:4" x14ac:dyDescent="0.35">
      <c r="A335" s="17">
        <v>43586</v>
      </c>
      <c r="B335" s="15">
        <f>VLOOKUP(A335,Database!A:K,MATCH($A$1,Database!$A$1:$K$1,),)</f>
        <v>30522</v>
      </c>
      <c r="C335" s="12">
        <f t="shared" si="10"/>
        <v>-1.322298018169474E-2</v>
      </c>
      <c r="D335" s="13">
        <f t="shared" si="9"/>
        <v>-4.5983758927697878E-3</v>
      </c>
    </row>
    <row r="336" spans="1:4" x14ac:dyDescent="0.35">
      <c r="A336" s="11">
        <v>43617</v>
      </c>
      <c r="B336" s="31">
        <f>VLOOKUP(A336,Database!A:K,MATCH($A$1,Database!$A$1:$K$1,),)</f>
        <v>30499</v>
      </c>
      <c r="C336" s="32">
        <f t="shared" si="10"/>
        <v>-7.5355481292182689E-4</v>
      </c>
      <c r="D336" s="33">
        <f t="shared" si="9"/>
        <v>-1.9671498826781524E-2</v>
      </c>
    </row>
    <row r="337" spans="1:4" x14ac:dyDescent="0.35">
      <c r="A337" s="17">
        <v>43647</v>
      </c>
      <c r="B337" s="15">
        <f>VLOOKUP(A337,Database!A:K,MATCH($A$1,Database!$A$1:$K$1,),)</f>
        <v>31160</v>
      </c>
      <c r="C337" s="12">
        <f t="shared" si="10"/>
        <v>2.1672841732515821E-2</v>
      </c>
      <c r="D337" s="13">
        <f t="shared" si="9"/>
        <v>-5.4578532443905394E-3</v>
      </c>
    </row>
    <row r="338" spans="1:4" x14ac:dyDescent="0.35">
      <c r="A338" s="11">
        <v>43678</v>
      </c>
      <c r="B338" s="31">
        <f>VLOOKUP(A338,Database!A:K,MATCH($A$1,Database!$A$1:$K$1,),)</f>
        <v>31675</v>
      </c>
      <c r="C338" s="32">
        <f t="shared" si="10"/>
        <v>1.6527599486521181E-2</v>
      </c>
      <c r="D338" s="33">
        <f t="shared" si="9"/>
        <v>2.1873084492047619E-2</v>
      </c>
    </row>
    <row r="339" spans="1:4" x14ac:dyDescent="0.35">
      <c r="A339" s="17">
        <v>43709</v>
      </c>
      <c r="B339" s="15">
        <f>VLOOKUP(A339,Database!A:K,MATCH($A$1,Database!$A$1:$K$1,),)</f>
        <v>31213</v>
      </c>
      <c r="C339" s="12">
        <f t="shared" si="10"/>
        <v>-1.4585635359116023E-2</v>
      </c>
      <c r="D339" s="13">
        <f t="shared" ref="D339:D402" si="11">(B339-B327)/B327</f>
        <v>2.6018244892714892E-3</v>
      </c>
    </row>
    <row r="340" spans="1:4" x14ac:dyDescent="0.35">
      <c r="A340" s="11">
        <v>43739</v>
      </c>
      <c r="B340" s="31">
        <f>VLOOKUP(A340,Database!A:K,MATCH($A$1,Database!$A$1:$K$1,),)</f>
        <v>31212</v>
      </c>
      <c r="C340" s="32">
        <f t="shared" si="10"/>
        <v>-3.2037932912568484E-5</v>
      </c>
      <c r="D340" s="33">
        <f t="shared" si="11"/>
        <v>-1.3994629600379086E-2</v>
      </c>
    </row>
    <row r="341" spans="1:4" x14ac:dyDescent="0.35">
      <c r="A341" s="17">
        <v>43770</v>
      </c>
      <c r="B341" s="15">
        <f>VLOOKUP(A341,Database!A:K,MATCH($A$1,Database!$A$1:$K$1,),)</f>
        <v>31251</v>
      </c>
      <c r="C341" s="12">
        <f t="shared" si="10"/>
        <v>1.249519415609381E-3</v>
      </c>
      <c r="D341" s="13">
        <f t="shared" si="11"/>
        <v>7.9992258813663189E-3</v>
      </c>
    </row>
    <row r="342" spans="1:4" x14ac:dyDescent="0.35">
      <c r="A342" s="11">
        <v>43800</v>
      </c>
      <c r="B342" s="31">
        <f>VLOOKUP(A342,Database!A:K,MATCH($A$1,Database!$A$1:$K$1,),)</f>
        <v>31690</v>
      </c>
      <c r="C342" s="32">
        <f t="shared" si="10"/>
        <v>1.4047550478384692E-2</v>
      </c>
      <c r="D342" s="33">
        <f t="shared" si="11"/>
        <v>2.0020599974250031E-2</v>
      </c>
    </row>
    <row r="343" spans="1:4" x14ac:dyDescent="0.35">
      <c r="A343" s="17">
        <v>43831</v>
      </c>
      <c r="B343" s="15">
        <f>VLOOKUP(A343,Database!A:K,MATCH($A$1,Database!$A$1:$K$1,),)</f>
        <v>32196</v>
      </c>
      <c r="C343" s="12">
        <f t="shared" si="10"/>
        <v>1.5967182076364782E-2</v>
      </c>
      <c r="D343" s="13">
        <f t="shared" si="11"/>
        <v>1.3062138458667662E-3</v>
      </c>
    </row>
    <row r="344" spans="1:4" x14ac:dyDescent="0.35">
      <c r="A344" s="11">
        <v>43862</v>
      </c>
      <c r="B344" s="31">
        <f>VLOOKUP(A344,Database!A:K,MATCH($A$1,Database!$A$1:$K$1,),)</f>
        <v>32331</v>
      </c>
      <c r="C344" s="32">
        <f t="shared" si="10"/>
        <v>4.1930674617964969E-3</v>
      </c>
      <c r="D344" s="33">
        <f t="shared" si="11"/>
        <v>5.5671651537908963E-2</v>
      </c>
    </row>
    <row r="345" spans="1:4" x14ac:dyDescent="0.35">
      <c r="A345" s="17">
        <v>43891</v>
      </c>
      <c r="B345" s="15">
        <f>VLOOKUP(A345,Database!A:K,MATCH($A$1,Database!$A$1:$K$1,),)</f>
        <v>32213</v>
      </c>
      <c r="C345" s="12">
        <f t="shared" si="10"/>
        <v>-3.6497479199529862E-3</v>
      </c>
      <c r="D345" s="13">
        <f t="shared" si="11"/>
        <v>4.1447091914260777E-2</v>
      </c>
    </row>
    <row r="346" spans="1:4" x14ac:dyDescent="0.35">
      <c r="A346" s="11">
        <v>43922</v>
      </c>
      <c r="B346" s="31">
        <f>VLOOKUP(A346,Database!A:K,MATCH($A$1,Database!$A$1:$K$1,),)</f>
        <v>31885</v>
      </c>
      <c r="C346" s="32">
        <f t="shared" si="10"/>
        <v>-1.0182224567721106E-2</v>
      </c>
      <c r="D346" s="33">
        <f t="shared" si="11"/>
        <v>3.0842843748989688E-2</v>
      </c>
    </row>
    <row r="347" spans="1:4" x14ac:dyDescent="0.35">
      <c r="A347" s="17">
        <v>43952</v>
      </c>
      <c r="B347" s="15">
        <f>VLOOKUP(A347,Database!A:K,MATCH($A$1,Database!$A$1:$K$1,),)</f>
        <v>36135</v>
      </c>
      <c r="C347" s="12">
        <f t="shared" si="10"/>
        <v>0.13329151638701583</v>
      </c>
      <c r="D347" s="13">
        <f t="shared" si="11"/>
        <v>0.18390013760566148</v>
      </c>
    </row>
    <row r="348" spans="1:4" x14ac:dyDescent="0.35">
      <c r="A348" s="11">
        <v>43983</v>
      </c>
      <c r="B348" s="31">
        <f>VLOOKUP(A348,Database!A:K,MATCH($A$1,Database!$A$1:$K$1,),)</f>
        <v>36238</v>
      </c>
      <c r="C348" s="32">
        <f t="shared" si="10"/>
        <v>2.8504220285042203E-3</v>
      </c>
      <c r="D348" s="33">
        <f t="shared" si="11"/>
        <v>0.18817010393783404</v>
      </c>
    </row>
    <row r="349" spans="1:4" x14ac:dyDescent="0.35">
      <c r="A349" s="17">
        <v>44013</v>
      </c>
      <c r="B349" s="15">
        <f>VLOOKUP(A349,Database!A:K,MATCH($A$1,Database!$A$1:$K$1,),)</f>
        <v>36034</v>
      </c>
      <c r="C349" s="12">
        <f t="shared" si="10"/>
        <v>-5.6294497488823883E-3</v>
      </c>
      <c r="D349" s="13">
        <f t="shared" si="11"/>
        <v>0.15641848523748395</v>
      </c>
    </row>
    <row r="350" spans="1:4" x14ac:dyDescent="0.35">
      <c r="A350" s="11">
        <v>44044</v>
      </c>
      <c r="B350" s="31">
        <f>VLOOKUP(A350,Database!A:K,MATCH($A$1,Database!$A$1:$K$1,),)</f>
        <v>36741</v>
      </c>
      <c r="C350" s="32">
        <f t="shared" si="10"/>
        <v>1.962035855025809E-2</v>
      </c>
      <c r="D350" s="33">
        <f t="shared" si="11"/>
        <v>0.1599368587213891</v>
      </c>
    </row>
    <row r="351" spans="1:4" x14ac:dyDescent="0.35">
      <c r="A351" s="17">
        <v>44075</v>
      </c>
      <c r="B351" s="15">
        <f>VLOOKUP(A351,Database!A:K,MATCH($A$1,Database!$A$1:$K$1,),)</f>
        <v>36910</v>
      </c>
      <c r="C351" s="12">
        <f t="shared" si="10"/>
        <v>4.5997659290710653E-3</v>
      </c>
      <c r="D351" s="13">
        <f t="shared" si="11"/>
        <v>0.18252010380290265</v>
      </c>
    </row>
    <row r="352" spans="1:4" x14ac:dyDescent="0.35">
      <c r="A352" s="11">
        <v>44105</v>
      </c>
      <c r="B352" s="31">
        <f>VLOOKUP(A352,Database!A:K,MATCH($A$1,Database!$A$1:$K$1,),)</f>
        <v>36498</v>
      </c>
      <c r="C352" s="32">
        <f t="shared" si="10"/>
        <v>-1.1162286643186128E-2</v>
      </c>
      <c r="D352" s="33">
        <f t="shared" si="11"/>
        <v>0.16935793925413303</v>
      </c>
    </row>
    <row r="353" spans="1:4" x14ac:dyDescent="0.35">
      <c r="A353" s="17">
        <v>44136</v>
      </c>
      <c r="B353" s="15">
        <f>VLOOKUP(A353,Database!A:K,MATCH($A$1,Database!$A$1:$K$1,),)</f>
        <v>36557</v>
      </c>
      <c r="C353" s="12">
        <f t="shared" si="10"/>
        <v>1.6165269329826292E-3</v>
      </c>
      <c r="D353" s="13">
        <f t="shared" si="11"/>
        <v>0.16978656682986146</v>
      </c>
    </row>
    <row r="354" spans="1:4" x14ac:dyDescent="0.35">
      <c r="A354" s="11">
        <v>44166</v>
      </c>
      <c r="B354" s="31">
        <f>VLOOKUP(A354,Database!A:K,MATCH($A$1,Database!$A$1:$K$1,),)</f>
        <v>36528</v>
      </c>
      <c r="C354" s="32">
        <f t="shared" si="10"/>
        <v>-7.9328172443034162E-4</v>
      </c>
      <c r="D354" s="33">
        <f t="shared" si="11"/>
        <v>0.15266645629536132</v>
      </c>
    </row>
    <row r="355" spans="1:4" x14ac:dyDescent="0.35">
      <c r="A355" s="17">
        <v>44197</v>
      </c>
      <c r="B355" s="15">
        <f>VLOOKUP(A355,Database!A:K,MATCH($A$1,Database!$A$1:$K$1,),)</f>
        <v>38682</v>
      </c>
      <c r="C355" s="12">
        <f t="shared" si="10"/>
        <v>5.8968462549277269E-2</v>
      </c>
      <c r="D355" s="13">
        <f t="shared" si="11"/>
        <v>0.20145359672008945</v>
      </c>
    </row>
    <row r="356" spans="1:4" x14ac:dyDescent="0.35">
      <c r="A356" s="11">
        <v>44228</v>
      </c>
      <c r="B356" s="31">
        <f>VLOOKUP(A356,Database!A:K,MATCH($A$1,Database!$A$1:$K$1,),)</f>
        <v>36997</v>
      </c>
      <c r="C356" s="32">
        <f t="shared" si="10"/>
        <v>-4.3560312289953981E-2</v>
      </c>
      <c r="D356" s="33">
        <f t="shared" si="11"/>
        <v>0.14431969317373419</v>
      </c>
    </row>
    <row r="357" spans="1:4" x14ac:dyDescent="0.35">
      <c r="A357" s="17">
        <v>44256</v>
      </c>
      <c r="B357" s="15">
        <f>VLOOKUP(A357,Database!A:K,MATCH($A$1,Database!$A$1:$K$1,),)</f>
        <v>41753</v>
      </c>
      <c r="C357" s="12">
        <f t="shared" si="10"/>
        <v>0.12855096359164256</v>
      </c>
      <c r="D357" s="13">
        <f t="shared" si="11"/>
        <v>0.29615372675627855</v>
      </c>
    </row>
    <row r="358" spans="1:4" x14ac:dyDescent="0.35">
      <c r="A358" s="11">
        <v>44287</v>
      </c>
      <c r="B358" s="31">
        <f>VLOOKUP(A358,Database!A:K,MATCH($A$1,Database!$A$1:$K$1,),)</f>
        <v>41661</v>
      </c>
      <c r="C358" s="32">
        <f t="shared" si="10"/>
        <v>-2.2034344837496707E-3</v>
      </c>
      <c r="D358" s="33">
        <f t="shared" si="11"/>
        <v>0.30660185039987453</v>
      </c>
    </row>
    <row r="359" spans="1:4" x14ac:dyDescent="0.35">
      <c r="A359" s="17">
        <v>44317</v>
      </c>
      <c r="B359" s="15">
        <f>VLOOKUP(A359,Database!A:K,MATCH($A$1,Database!$A$1:$K$1,),)</f>
        <v>39836</v>
      </c>
      <c r="C359" s="12">
        <f t="shared" si="10"/>
        <v>-4.3805957610234994E-2</v>
      </c>
      <c r="D359" s="13">
        <f t="shared" si="11"/>
        <v>0.10242147502421475</v>
      </c>
    </row>
    <row r="360" spans="1:4" x14ac:dyDescent="0.35">
      <c r="A360" s="11">
        <v>44348</v>
      </c>
      <c r="B360" s="31">
        <f>VLOOKUP(A360,Database!A:K,MATCH($A$1,Database!$A$1:$K$1,),)</f>
        <v>39249</v>
      </c>
      <c r="C360" s="32">
        <f t="shared" si="10"/>
        <v>-1.4735415202329551E-2</v>
      </c>
      <c r="D360" s="33">
        <f t="shared" si="11"/>
        <v>8.3089574479827802E-2</v>
      </c>
    </row>
    <row r="361" spans="1:4" x14ac:dyDescent="0.35">
      <c r="A361" s="17">
        <v>44378</v>
      </c>
      <c r="B361" s="15">
        <f>VLOOKUP(A361,Database!A:K,MATCH($A$1,Database!$A$1:$K$1,),)</f>
        <v>38848</v>
      </c>
      <c r="C361" s="12">
        <f t="shared" si="10"/>
        <v>-1.0216820810721292E-2</v>
      </c>
      <c r="D361" s="13">
        <f t="shared" si="11"/>
        <v>7.8092912249542096E-2</v>
      </c>
    </row>
    <row r="362" spans="1:4" x14ac:dyDescent="0.35">
      <c r="A362" s="11">
        <v>44409</v>
      </c>
      <c r="B362" s="31">
        <f>VLOOKUP(A362,Database!A:K,MATCH($A$1,Database!$A$1:$K$1,),)</f>
        <v>38913</v>
      </c>
      <c r="C362" s="32">
        <f t="shared" si="10"/>
        <v>1.6731878088962109E-3</v>
      </c>
      <c r="D362" s="33">
        <f t="shared" si="11"/>
        <v>5.9116518331019843E-2</v>
      </c>
    </row>
    <row r="363" spans="1:4" x14ac:dyDescent="0.35">
      <c r="A363" s="11">
        <v>44440</v>
      </c>
      <c r="B363" s="31">
        <f>VLOOKUP(A363,Database!A:K,MATCH($A$1,Database!$A$1:$K$1,),)</f>
        <v>39261</v>
      </c>
      <c r="C363" s="32">
        <f t="shared" si="10"/>
        <v>8.9430267519851978E-3</v>
      </c>
      <c r="D363" s="33">
        <f t="shared" si="11"/>
        <v>6.3695475480899488E-2</v>
      </c>
    </row>
    <row r="364" spans="1:4" x14ac:dyDescent="0.35">
      <c r="A364" s="17">
        <v>44470</v>
      </c>
      <c r="B364" s="15">
        <f>VLOOKUP(A364,Database!A:K,MATCH($A$1,Database!$A$1:$K$1,),)</f>
        <v>39895</v>
      </c>
      <c r="C364" s="12">
        <f t="shared" si="10"/>
        <v>1.614834059244543E-2</v>
      </c>
      <c r="D364" s="13">
        <f t="shared" si="11"/>
        <v>9.3073593073593072E-2</v>
      </c>
    </row>
    <row r="365" spans="1:4" x14ac:dyDescent="0.35">
      <c r="A365" s="11">
        <v>44501</v>
      </c>
      <c r="B365" s="31">
        <f>VLOOKUP(A365,Database!A:K,MATCH($A$1,Database!$A$1:$K$1,),)</f>
        <v>41016</v>
      </c>
      <c r="C365" s="32">
        <f t="shared" si="10"/>
        <v>2.8098759243012909E-2</v>
      </c>
      <c r="D365" s="33">
        <f t="shared" si="11"/>
        <v>0.12197390376672046</v>
      </c>
    </row>
    <row r="366" spans="1:4" x14ac:dyDescent="0.35">
      <c r="A366" s="11">
        <v>44531</v>
      </c>
      <c r="B366" s="31">
        <f>VLOOKUP(A366,Database!A:K,MATCH($A$1,Database!$A$1:$K$1,),)</f>
        <v>41207</v>
      </c>
      <c r="C366" s="32">
        <f t="shared" si="10"/>
        <v>4.6567193290423248E-3</v>
      </c>
      <c r="D366" s="33">
        <f t="shared" si="11"/>
        <v>0.12809351730179588</v>
      </c>
    </row>
    <row r="367" spans="1:4" x14ac:dyDescent="0.35">
      <c r="A367" s="11">
        <v>44562</v>
      </c>
      <c r="B367" s="31">
        <f>VLOOKUP(A367,Database!A:K,MATCH($A$1,Database!$A$1:$K$1,),)</f>
        <v>42170</v>
      </c>
      <c r="C367" s="32">
        <f t="shared" si="10"/>
        <v>2.3369815807993789E-2</v>
      </c>
      <c r="D367" s="33">
        <f t="shared" si="11"/>
        <v>9.0171139031073891E-2</v>
      </c>
    </row>
    <row r="368" spans="1:4" x14ac:dyDescent="0.35">
      <c r="A368" s="11">
        <v>44593</v>
      </c>
      <c r="B368" s="31">
        <f>VLOOKUP(A368,Database!A:K,MATCH($A$1,Database!$A$1:$K$1,),)</f>
        <v>42307</v>
      </c>
      <c r="C368" s="32">
        <f t="shared" si="10"/>
        <v>3.2487550391273419E-3</v>
      </c>
      <c r="D368" s="33">
        <f t="shared" si="11"/>
        <v>0.14352515068789362</v>
      </c>
    </row>
    <row r="369" spans="1:4" x14ac:dyDescent="0.35">
      <c r="A369" s="11">
        <v>44621</v>
      </c>
      <c r="B369" s="31">
        <f>VLOOKUP(A369,Database!A:K,MATCH($A$1,Database!$A$1:$K$1,),)</f>
        <v>42572</v>
      </c>
      <c r="C369" s="32">
        <f t="shared" si="10"/>
        <v>6.2637388611813645E-3</v>
      </c>
      <c r="D369" s="33">
        <f t="shared" si="11"/>
        <v>1.9615356980336743E-2</v>
      </c>
    </row>
    <row r="370" spans="1:4" x14ac:dyDescent="0.35">
      <c r="A370" s="17">
        <v>44652</v>
      </c>
      <c r="B370" s="15">
        <f>VLOOKUP(A370,Database!A:K,MATCH($A$1,Database!$A$1:$K$1,),)</f>
        <v>42168</v>
      </c>
      <c r="C370" s="12">
        <f t="shared" si="10"/>
        <v>-9.489805505966363E-3</v>
      </c>
      <c r="D370" s="13">
        <f t="shared" si="11"/>
        <v>1.216965507308994E-2</v>
      </c>
    </row>
    <row r="371" spans="1:4" x14ac:dyDescent="0.35">
      <c r="A371" s="11">
        <v>44682</v>
      </c>
      <c r="B371" s="31">
        <f>VLOOKUP(A371,Database!A:K,MATCH($A$1,Database!$A$1:$K$1,),)</f>
        <v>42257</v>
      </c>
      <c r="C371" s="32">
        <f t="shared" si="10"/>
        <v>2.1106051982546004E-3</v>
      </c>
      <c r="D371" s="33">
        <f t="shared" si="11"/>
        <v>6.0774174113866854E-2</v>
      </c>
    </row>
    <row r="372" spans="1:4" x14ac:dyDescent="0.35">
      <c r="A372" s="11">
        <v>44713</v>
      </c>
      <c r="B372" s="31">
        <f>VLOOKUP(A372,Database!A:K,MATCH($A$1,Database!$A$1:$K$1,),)</f>
        <v>42131</v>
      </c>
      <c r="C372" s="32">
        <f t="shared" si="10"/>
        <v>-2.9817545022126513E-3</v>
      </c>
      <c r="D372" s="33">
        <f t="shared" si="11"/>
        <v>7.3428622385283707E-2</v>
      </c>
    </row>
    <row r="373" spans="1:4" x14ac:dyDescent="0.35">
      <c r="A373" s="11">
        <v>44743</v>
      </c>
      <c r="B373" s="31">
        <f>VLOOKUP(A373,Database!A:K,MATCH($A$1,Database!$A$1:$K$1,),)</f>
        <v>42597</v>
      </c>
      <c r="C373" s="32">
        <f t="shared" si="10"/>
        <v>1.1060739123210938E-2</v>
      </c>
      <c r="D373" s="33">
        <f t="shared" si="11"/>
        <v>9.6504324546952222E-2</v>
      </c>
    </row>
    <row r="374" spans="1:4" x14ac:dyDescent="0.35">
      <c r="A374" s="11">
        <v>44774</v>
      </c>
      <c r="B374" s="31">
        <f>VLOOKUP(A374,Database!A:K,MATCH($A$1,Database!$A$1:$K$1,),)</f>
        <v>43314</v>
      </c>
      <c r="C374" s="32">
        <f t="shared" si="10"/>
        <v>1.6832171279667581E-2</v>
      </c>
      <c r="D374" s="33">
        <f t="shared" si="11"/>
        <v>0.11309845038933004</v>
      </c>
    </row>
    <row r="375" spans="1:4" x14ac:dyDescent="0.35">
      <c r="A375" s="11">
        <v>44805</v>
      </c>
      <c r="B375" s="31">
        <f>VLOOKUP(A375,Database!A:K,MATCH($A$1,Database!$A$1:$K$1,),)</f>
        <v>43000</v>
      </c>
      <c r="C375" s="32">
        <f t="shared" si="10"/>
        <v>-7.2493881885764416E-3</v>
      </c>
      <c r="D375" s="33">
        <f t="shared" si="11"/>
        <v>9.5234456585415558E-2</v>
      </c>
    </row>
    <row r="376" spans="1:4" x14ac:dyDescent="0.35">
      <c r="A376" s="11">
        <v>44835</v>
      </c>
      <c r="B376" s="31">
        <f>VLOOKUP(A376,Database!A:K,MATCH($A$1,Database!$A$1:$K$1,),)</f>
        <v>43578</v>
      </c>
      <c r="C376" s="32">
        <f t="shared" si="10"/>
        <v>1.3441860465116279E-2</v>
      </c>
      <c r="D376" s="33">
        <f t="shared" si="11"/>
        <v>9.2317332999122703E-2</v>
      </c>
    </row>
    <row r="377" spans="1:4" x14ac:dyDescent="0.35">
      <c r="A377" s="11">
        <v>44866</v>
      </c>
      <c r="B377" s="31">
        <f>VLOOKUP(A377,Database!A:K,MATCH($A$1,Database!$A$1:$K$1,),)</f>
        <v>42485</v>
      </c>
      <c r="C377" s="32">
        <f t="shared" si="10"/>
        <v>-2.5081463123594473E-2</v>
      </c>
      <c r="D377" s="33">
        <f t="shared" si="11"/>
        <v>3.5815291593524479E-2</v>
      </c>
    </row>
  </sheetData>
  <conditionalFormatting sqref="D19:D377">
    <cfRule type="colorScale" priority="48">
      <colorScale>
        <cfvo type="min"/>
        <cfvo type="percentile" val="50"/>
        <cfvo type="max"/>
        <color rgb="FFF8696B"/>
        <color rgb="FFFFEB84"/>
        <color rgb="FF63BE7B"/>
      </colorScale>
    </cfRule>
  </conditionalFormatting>
  <conditionalFormatting sqref="C8:C377">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7"/>
  <sheetViews>
    <sheetView zoomScale="130" zoomScaleNormal="130" workbookViewId="0">
      <pane ySplit="6" topLeftCell="A351" activePane="bottomLeft" state="frozen"/>
      <selection pane="bottomLeft" activeCell="AG361" sqref="AG361"/>
    </sheetView>
  </sheetViews>
  <sheetFormatPr defaultColWidth="9.1796875" defaultRowHeight="14.5" x14ac:dyDescent="0.35"/>
  <cols>
    <col min="1" max="1" width="14" style="54" customWidth="1"/>
    <col min="2" max="2" width="20.6328125" style="54" customWidth="1"/>
    <col min="3" max="4" width="14.1796875" style="54" customWidth="1"/>
    <col min="5" max="22" width="9.1796875" style="109" customWidth="1"/>
    <col min="23" max="16384" width="9.1796875" style="109"/>
  </cols>
  <sheetData>
    <row r="1" spans="1:4" x14ac:dyDescent="0.35">
      <c r="A1" s="109" t="s">
        <v>56</v>
      </c>
      <c r="B1" s="29" t="s">
        <v>55</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91" t="s">
        <v>82</v>
      </c>
      <c r="B6" s="92" t="s">
        <v>87</v>
      </c>
      <c r="C6" s="84" t="s">
        <v>12</v>
      </c>
      <c r="D6" s="85" t="s">
        <v>13</v>
      </c>
    </row>
    <row r="7" spans="1:4" x14ac:dyDescent="0.35">
      <c r="A7" s="10">
        <v>33604</v>
      </c>
      <c r="B7" s="15">
        <f>VLOOKUP(A7,Database!A:K,MATCH($A$1,Database!$A$1:$K$1,),)+VLOOKUP(A7,Database!A:K,MATCH($B$1,Database!$A$1:$K$1,),)</f>
        <v>8128</v>
      </c>
      <c r="C7" s="1"/>
      <c r="D7" s="1"/>
    </row>
    <row r="8" spans="1:4" x14ac:dyDescent="0.35">
      <c r="A8" s="11">
        <v>33635</v>
      </c>
      <c r="B8" s="15">
        <f>VLOOKUP(A8,Database!A:K,MATCH($A$1,Database!$A$1:$K$1,),)+VLOOKUP(A8,Database!A:K,MATCH($B$1,Database!$A$1:$K$1,),)</f>
        <v>8246</v>
      </c>
      <c r="C8" s="12">
        <f t="shared" ref="C8:C71" si="0">(B8-B7)/B7</f>
        <v>1.4517716535433071E-2</v>
      </c>
      <c r="D8" s="1"/>
    </row>
    <row r="9" spans="1:4" x14ac:dyDescent="0.35">
      <c r="A9" s="10">
        <v>33664</v>
      </c>
      <c r="B9" s="15">
        <f>VLOOKUP(A9,Database!A:K,MATCH($A$1,Database!$A$1:$K$1,),)+VLOOKUP(A9,Database!A:K,MATCH($B$1,Database!$A$1:$K$1,),)</f>
        <v>8246</v>
      </c>
      <c r="C9" s="12">
        <f t="shared" si="0"/>
        <v>0</v>
      </c>
      <c r="D9" s="1"/>
    </row>
    <row r="10" spans="1:4" x14ac:dyDescent="0.35">
      <c r="A10" s="11">
        <v>33695</v>
      </c>
      <c r="B10" s="15">
        <f>VLOOKUP(A10,Database!A:K,MATCH($A$1,Database!$A$1:$K$1,),)+VLOOKUP(A10,Database!A:K,MATCH($B$1,Database!$A$1:$K$1,),)</f>
        <v>8317</v>
      </c>
      <c r="C10" s="12">
        <f t="shared" si="0"/>
        <v>8.6102352655833131E-3</v>
      </c>
      <c r="D10" s="1"/>
    </row>
    <row r="11" spans="1:4" x14ac:dyDescent="0.35">
      <c r="A11" s="10">
        <v>33725</v>
      </c>
      <c r="B11" s="15">
        <f>VLOOKUP(A11,Database!A:K,MATCH($A$1,Database!$A$1:$K$1,),)+VLOOKUP(A11,Database!A:K,MATCH($B$1,Database!$A$1:$K$1,),)</f>
        <v>8312</v>
      </c>
      <c r="C11" s="12">
        <f t="shared" si="0"/>
        <v>-6.0117830948659375E-4</v>
      </c>
      <c r="D11" s="1"/>
    </row>
    <row r="12" spans="1:4" x14ac:dyDescent="0.35">
      <c r="A12" s="11">
        <v>33756</v>
      </c>
      <c r="B12" s="15">
        <f>VLOOKUP(A12,Database!A:K,MATCH($A$1,Database!$A$1:$K$1,),)+VLOOKUP(A12,Database!A:K,MATCH($B$1,Database!$A$1:$K$1,),)</f>
        <v>8393</v>
      </c>
      <c r="C12" s="12">
        <f t="shared" si="0"/>
        <v>9.7449470644850825E-3</v>
      </c>
      <c r="D12" s="1"/>
    </row>
    <row r="13" spans="1:4" x14ac:dyDescent="0.35">
      <c r="A13" s="10">
        <v>33786</v>
      </c>
      <c r="B13" s="15">
        <f>VLOOKUP(A13,Database!A:K,MATCH($A$1,Database!$A$1:$K$1,),)+VLOOKUP(A13,Database!A:K,MATCH($B$1,Database!$A$1:$K$1,),)</f>
        <v>8449</v>
      </c>
      <c r="C13" s="12">
        <f t="shared" si="0"/>
        <v>6.672226855713094E-3</v>
      </c>
      <c r="D13" s="1"/>
    </row>
    <row r="14" spans="1:4" x14ac:dyDescent="0.35">
      <c r="A14" s="11">
        <v>33817</v>
      </c>
      <c r="B14" s="15">
        <f>VLOOKUP(A14,Database!A:K,MATCH($A$1,Database!$A$1:$K$1,),)+VLOOKUP(A14,Database!A:K,MATCH($B$1,Database!$A$1:$K$1,),)</f>
        <v>8420</v>
      </c>
      <c r="C14" s="12">
        <f t="shared" si="0"/>
        <v>-3.4323588590365723E-3</v>
      </c>
      <c r="D14" s="1"/>
    </row>
    <row r="15" spans="1:4" x14ac:dyDescent="0.35">
      <c r="A15" s="10">
        <v>33848</v>
      </c>
      <c r="B15" s="15">
        <f>VLOOKUP(A15,Database!A:K,MATCH($A$1,Database!$A$1:$K$1,),)+VLOOKUP(A15,Database!A:K,MATCH($B$1,Database!$A$1:$K$1,),)</f>
        <v>8443</v>
      </c>
      <c r="C15" s="12">
        <f t="shared" si="0"/>
        <v>2.7315914489311165E-3</v>
      </c>
      <c r="D15" s="1"/>
    </row>
    <row r="16" spans="1:4" x14ac:dyDescent="0.35">
      <c r="A16" s="11">
        <v>33878</v>
      </c>
      <c r="B16" s="15">
        <f>VLOOKUP(A16,Database!A:K,MATCH($A$1,Database!$A$1:$K$1,),)+VLOOKUP(A16,Database!A:K,MATCH($B$1,Database!$A$1:$K$1,),)</f>
        <v>8485</v>
      </c>
      <c r="C16" s="12">
        <f t="shared" si="0"/>
        <v>4.9745351178491059E-3</v>
      </c>
      <c r="D16" s="1"/>
    </row>
    <row r="17" spans="1:4" x14ac:dyDescent="0.35">
      <c r="A17" s="10">
        <v>33909</v>
      </c>
      <c r="B17" s="15">
        <f>VLOOKUP(A17,Database!A:K,MATCH($A$1,Database!$A$1:$K$1,),)+VLOOKUP(A17,Database!A:K,MATCH($B$1,Database!$A$1:$K$1,),)</f>
        <v>8486</v>
      </c>
      <c r="C17" s="12">
        <f t="shared" si="0"/>
        <v>1.1785503830288745E-4</v>
      </c>
      <c r="D17" s="1"/>
    </row>
    <row r="18" spans="1:4" x14ac:dyDescent="0.35">
      <c r="A18" s="11">
        <v>33939</v>
      </c>
      <c r="B18" s="15">
        <f>VLOOKUP(A18,Database!A:K,MATCH($A$1,Database!$A$1:$K$1,),)+VLOOKUP(A18,Database!A:K,MATCH($B$1,Database!$A$1:$K$1,),)</f>
        <v>8676</v>
      </c>
      <c r="C18" s="12">
        <f t="shared" si="0"/>
        <v>2.2389818524628801E-2</v>
      </c>
      <c r="D18" s="1"/>
    </row>
    <row r="19" spans="1:4" x14ac:dyDescent="0.35">
      <c r="A19" s="10">
        <v>33970</v>
      </c>
      <c r="B19" s="15">
        <f>VLOOKUP(A19,Database!A:K,MATCH($A$1,Database!$A$1:$K$1,),)+VLOOKUP(A19,Database!A:K,MATCH($B$1,Database!$A$1:$K$1,),)</f>
        <v>9032</v>
      </c>
      <c r="C19" s="12">
        <f t="shared" si="0"/>
        <v>4.103273397879207E-2</v>
      </c>
      <c r="D19" s="13">
        <f t="shared" ref="D19:D82" si="1">(B19-B7)/B7</f>
        <v>0.11122047244094488</v>
      </c>
    </row>
    <row r="20" spans="1:4" x14ac:dyDescent="0.35">
      <c r="A20" s="11">
        <v>34001</v>
      </c>
      <c r="B20" s="15">
        <f>VLOOKUP(A20,Database!A:K,MATCH($A$1,Database!$A$1:$K$1,),)+VLOOKUP(A20,Database!A:K,MATCH($B$1,Database!$A$1:$K$1,),)</f>
        <v>8850</v>
      </c>
      <c r="C20" s="12">
        <f t="shared" si="0"/>
        <v>-2.0150575730735164E-2</v>
      </c>
      <c r="D20" s="13">
        <f t="shared" si="1"/>
        <v>7.3247635217074947E-2</v>
      </c>
    </row>
    <row r="21" spans="1:4" x14ac:dyDescent="0.35">
      <c r="A21" s="10">
        <v>34029</v>
      </c>
      <c r="B21" s="15">
        <f>VLOOKUP(A21,Database!A:K,MATCH($A$1,Database!$A$1:$K$1,),)+VLOOKUP(A21,Database!A:K,MATCH($B$1,Database!$A$1:$K$1,),)</f>
        <v>8846</v>
      </c>
      <c r="C21" s="12">
        <f t="shared" si="0"/>
        <v>-4.519774011299435E-4</v>
      </c>
      <c r="D21" s="13">
        <f t="shared" si="1"/>
        <v>7.2762551540140677E-2</v>
      </c>
    </row>
    <row r="22" spans="1:4" x14ac:dyDescent="0.35">
      <c r="A22" s="11">
        <v>34060</v>
      </c>
      <c r="B22" s="15">
        <f>VLOOKUP(A22,Database!A:K,MATCH($A$1,Database!$A$1:$K$1,),)+VLOOKUP(A22,Database!A:K,MATCH($B$1,Database!$A$1:$K$1,),)</f>
        <v>9024</v>
      </c>
      <c r="C22" s="12">
        <f t="shared" si="0"/>
        <v>2.0122089079810085E-2</v>
      </c>
      <c r="D22" s="13">
        <f t="shared" si="1"/>
        <v>8.5006612961404354E-2</v>
      </c>
    </row>
    <row r="23" spans="1:4" x14ac:dyDescent="0.35">
      <c r="A23" s="10">
        <v>34090</v>
      </c>
      <c r="B23" s="15">
        <f>VLOOKUP(A23,Database!A:K,MATCH($A$1,Database!$A$1:$K$1,),)+VLOOKUP(A23,Database!A:K,MATCH($B$1,Database!$A$1:$K$1,),)</f>
        <v>9127</v>
      </c>
      <c r="C23" s="12">
        <f t="shared" si="0"/>
        <v>1.1414007092198582E-2</v>
      </c>
      <c r="D23" s="13">
        <f t="shared" si="1"/>
        <v>9.8051010587102985E-2</v>
      </c>
    </row>
    <row r="24" spans="1:4" x14ac:dyDescent="0.35">
      <c r="A24" s="11">
        <v>34121</v>
      </c>
      <c r="B24" s="15">
        <f>VLOOKUP(A24,Database!A:K,MATCH($A$1,Database!$A$1:$K$1,),)+VLOOKUP(A24,Database!A:K,MATCH($B$1,Database!$A$1:$K$1,),)</f>
        <v>9176</v>
      </c>
      <c r="C24" s="12">
        <f t="shared" si="0"/>
        <v>5.3686863153281474E-3</v>
      </c>
      <c r="D24" s="13">
        <f t="shared" si="1"/>
        <v>9.3292029071845584E-2</v>
      </c>
    </row>
    <row r="25" spans="1:4" x14ac:dyDescent="0.35">
      <c r="A25" s="10">
        <v>34151</v>
      </c>
      <c r="B25" s="15">
        <f>VLOOKUP(A25,Database!A:K,MATCH($A$1,Database!$A$1:$K$1,),)+VLOOKUP(A25,Database!A:K,MATCH($B$1,Database!$A$1:$K$1,),)</f>
        <v>9282</v>
      </c>
      <c r="C25" s="12">
        <f t="shared" si="0"/>
        <v>1.1551874455100261E-2</v>
      </c>
      <c r="D25" s="13">
        <f t="shared" si="1"/>
        <v>9.8591549295774641E-2</v>
      </c>
    </row>
    <row r="26" spans="1:4" x14ac:dyDescent="0.35">
      <c r="A26" s="11">
        <v>34182</v>
      </c>
      <c r="B26" s="15">
        <f>VLOOKUP(A26,Database!A:K,MATCH($A$1,Database!$A$1:$K$1,),)+VLOOKUP(A26,Database!A:K,MATCH($B$1,Database!$A$1:$K$1,),)</f>
        <v>9312</v>
      </c>
      <c r="C26" s="12">
        <f t="shared" si="0"/>
        <v>3.2320620555914671E-3</v>
      </c>
      <c r="D26" s="13">
        <f t="shared" si="1"/>
        <v>0.10593824228028503</v>
      </c>
    </row>
    <row r="27" spans="1:4" x14ac:dyDescent="0.35">
      <c r="A27" s="10">
        <v>34213</v>
      </c>
      <c r="B27" s="15">
        <f>VLOOKUP(A27,Database!A:K,MATCH($A$1,Database!$A$1:$K$1,),)+VLOOKUP(A27,Database!A:K,MATCH($B$1,Database!$A$1:$K$1,),)</f>
        <v>9369</v>
      </c>
      <c r="C27" s="12">
        <f t="shared" si="0"/>
        <v>6.1211340206185566E-3</v>
      </c>
      <c r="D27" s="13">
        <f t="shared" si="1"/>
        <v>0.10967665521733981</v>
      </c>
    </row>
    <row r="28" spans="1:4" x14ac:dyDescent="0.35">
      <c r="A28" s="11">
        <v>34243</v>
      </c>
      <c r="B28" s="15">
        <f>VLOOKUP(A28,Database!A:K,MATCH($A$1,Database!$A$1:$K$1,),)+VLOOKUP(A28,Database!A:K,MATCH($B$1,Database!$A$1:$K$1,),)</f>
        <v>9373</v>
      </c>
      <c r="C28" s="12">
        <f t="shared" si="0"/>
        <v>4.2693990820791972E-4</v>
      </c>
      <c r="D28" s="13">
        <f t="shared" si="1"/>
        <v>0.10465527401296405</v>
      </c>
    </row>
    <row r="29" spans="1:4" x14ac:dyDescent="0.35">
      <c r="A29" s="10">
        <v>34274</v>
      </c>
      <c r="B29" s="15">
        <f>VLOOKUP(A29,Database!A:K,MATCH($A$1,Database!$A$1:$K$1,),)+VLOOKUP(A29,Database!A:K,MATCH($B$1,Database!$A$1:$K$1,),)</f>
        <v>9434</v>
      </c>
      <c r="C29" s="12">
        <f t="shared" si="0"/>
        <v>6.5080550517443722E-3</v>
      </c>
      <c r="D29" s="13">
        <f t="shared" si="1"/>
        <v>0.11171341032288475</v>
      </c>
    </row>
    <row r="30" spans="1:4" x14ac:dyDescent="0.35">
      <c r="A30" s="11">
        <v>34304</v>
      </c>
      <c r="B30" s="15">
        <f>VLOOKUP(A30,Database!A:K,MATCH($A$1,Database!$A$1:$K$1,),)+VLOOKUP(A30,Database!A:K,MATCH($B$1,Database!$A$1:$K$1,),)</f>
        <v>9487</v>
      </c>
      <c r="C30" s="12">
        <f t="shared" si="0"/>
        <v>5.6179775280898875E-3</v>
      </c>
      <c r="D30" s="13">
        <f t="shared" si="1"/>
        <v>9.347625633932688E-2</v>
      </c>
    </row>
    <row r="31" spans="1:4" x14ac:dyDescent="0.35">
      <c r="A31" s="10">
        <v>34335</v>
      </c>
      <c r="B31" s="15">
        <f>VLOOKUP(A31,Database!A:K,MATCH($A$1,Database!$A$1:$K$1,),)+VLOOKUP(A31,Database!A:K,MATCH($B$1,Database!$A$1:$K$1,),)</f>
        <v>9408</v>
      </c>
      <c r="C31" s="12">
        <f t="shared" si="0"/>
        <v>-8.3271845683566981E-3</v>
      </c>
      <c r="D31" s="13">
        <f t="shared" si="1"/>
        <v>4.1629760850310012E-2</v>
      </c>
    </row>
    <row r="32" spans="1:4" x14ac:dyDescent="0.35">
      <c r="A32" s="11">
        <v>34366</v>
      </c>
      <c r="B32" s="15">
        <f>VLOOKUP(A32,Database!A:K,MATCH($A$1,Database!$A$1:$K$1,),)+VLOOKUP(A32,Database!A:K,MATCH($B$1,Database!$A$1:$K$1,),)</f>
        <v>9724</v>
      </c>
      <c r="C32" s="12">
        <f t="shared" si="0"/>
        <v>3.3588435374149662E-2</v>
      </c>
      <c r="D32" s="13">
        <f t="shared" si="1"/>
        <v>9.8757062146892657E-2</v>
      </c>
    </row>
    <row r="33" spans="1:4" x14ac:dyDescent="0.35">
      <c r="A33" s="10">
        <v>34394</v>
      </c>
      <c r="B33" s="15">
        <f>VLOOKUP(A33,Database!A:K,MATCH($A$1,Database!$A$1:$K$1,),)+VLOOKUP(A33,Database!A:K,MATCH($B$1,Database!$A$1:$K$1,),)</f>
        <v>9962</v>
      </c>
      <c r="C33" s="12">
        <f t="shared" si="0"/>
        <v>2.4475524475524476E-2</v>
      </c>
      <c r="D33" s="13">
        <f t="shared" si="1"/>
        <v>0.1261587158037531</v>
      </c>
    </row>
    <row r="34" spans="1:4" x14ac:dyDescent="0.35">
      <c r="A34" s="11">
        <v>34425</v>
      </c>
      <c r="B34" s="15">
        <f>VLOOKUP(A34,Database!A:K,MATCH($A$1,Database!$A$1:$K$1,),)+VLOOKUP(A34,Database!A:K,MATCH($B$1,Database!$A$1:$K$1,),)</f>
        <v>10006</v>
      </c>
      <c r="C34" s="12">
        <f t="shared" si="0"/>
        <v>4.4167837783577598E-3</v>
      </c>
      <c r="D34" s="13">
        <f t="shared" si="1"/>
        <v>0.1088209219858156</v>
      </c>
    </row>
    <row r="35" spans="1:4" x14ac:dyDescent="0.35">
      <c r="A35" s="10">
        <v>34455</v>
      </c>
      <c r="B35" s="15">
        <f>VLOOKUP(A35,Database!A:K,MATCH($A$1,Database!$A$1:$K$1,),)+VLOOKUP(A35,Database!A:K,MATCH($B$1,Database!$A$1:$K$1,),)</f>
        <v>10156</v>
      </c>
      <c r="C35" s="12">
        <f t="shared" si="0"/>
        <v>1.4991005396761943E-2</v>
      </c>
      <c r="D35" s="13">
        <f t="shared" si="1"/>
        <v>0.11274241262189109</v>
      </c>
    </row>
    <row r="36" spans="1:4" x14ac:dyDescent="0.35">
      <c r="A36" s="11">
        <v>34486</v>
      </c>
      <c r="B36" s="15">
        <f>VLOOKUP(A36,Database!A:K,MATCH($A$1,Database!$A$1:$K$1,),)+VLOOKUP(A36,Database!A:K,MATCH($B$1,Database!$A$1:$K$1,),)</f>
        <v>10331</v>
      </c>
      <c r="C36" s="12">
        <f t="shared" si="0"/>
        <v>1.7231193383221741E-2</v>
      </c>
      <c r="D36" s="13">
        <f t="shared" si="1"/>
        <v>0.12587183958151701</v>
      </c>
    </row>
    <row r="37" spans="1:4" x14ac:dyDescent="0.35">
      <c r="A37" s="10">
        <v>34516</v>
      </c>
      <c r="B37" s="15">
        <f>VLOOKUP(A37,Database!A:K,MATCH($A$1,Database!$A$1:$K$1,),)+VLOOKUP(A37,Database!A:K,MATCH($B$1,Database!$A$1:$K$1,),)</f>
        <v>10376</v>
      </c>
      <c r="C37" s="12">
        <f t="shared" si="0"/>
        <v>4.3558222824508757E-3</v>
      </c>
      <c r="D37" s="13">
        <f t="shared" si="1"/>
        <v>0.11786252962723551</v>
      </c>
    </row>
    <row r="38" spans="1:4" x14ac:dyDescent="0.35">
      <c r="A38" s="11">
        <v>34547</v>
      </c>
      <c r="B38" s="15">
        <f>VLOOKUP(A38,Database!A:K,MATCH($A$1,Database!$A$1:$K$1,),)+VLOOKUP(A38,Database!A:K,MATCH($B$1,Database!$A$1:$K$1,),)</f>
        <v>10576</v>
      </c>
      <c r="C38" s="12">
        <f t="shared" si="0"/>
        <v>1.9275250578257519E-2</v>
      </c>
      <c r="D38" s="13">
        <f t="shared" si="1"/>
        <v>0.13573883161512026</v>
      </c>
    </row>
    <row r="39" spans="1:4" x14ac:dyDescent="0.35">
      <c r="A39" s="10">
        <v>34578</v>
      </c>
      <c r="B39" s="15">
        <f>VLOOKUP(A39,Database!A:K,MATCH($A$1,Database!$A$1:$K$1,),)+VLOOKUP(A39,Database!A:K,MATCH($B$1,Database!$A$1:$K$1,),)</f>
        <v>10685</v>
      </c>
      <c r="C39" s="12">
        <f t="shared" si="0"/>
        <v>1.0306354009077156E-2</v>
      </c>
      <c r="D39" s="13">
        <f t="shared" si="1"/>
        <v>0.1404632298004056</v>
      </c>
    </row>
    <row r="40" spans="1:4" x14ac:dyDescent="0.35">
      <c r="A40" s="11">
        <v>34608</v>
      </c>
      <c r="B40" s="15">
        <f>VLOOKUP(A40,Database!A:K,MATCH($A$1,Database!$A$1:$K$1,),)+VLOOKUP(A40,Database!A:K,MATCH($B$1,Database!$A$1:$K$1,),)</f>
        <v>10895</v>
      </c>
      <c r="C40" s="12">
        <f t="shared" si="0"/>
        <v>1.9653720168460457E-2</v>
      </c>
      <c r="D40" s="13">
        <f t="shared" si="1"/>
        <v>0.16238130801237596</v>
      </c>
    </row>
    <row r="41" spans="1:4" x14ac:dyDescent="0.35">
      <c r="A41" s="10">
        <v>34639</v>
      </c>
      <c r="B41" s="15">
        <f>VLOOKUP(A41,Database!A:K,MATCH($A$1,Database!$A$1:$K$1,),)+VLOOKUP(A41,Database!A:K,MATCH($B$1,Database!$A$1:$K$1,),)</f>
        <v>10952</v>
      </c>
      <c r="C41" s="12">
        <f t="shared" si="0"/>
        <v>5.2317576870123906E-3</v>
      </c>
      <c r="D41" s="13">
        <f t="shared" si="1"/>
        <v>0.16090735637057452</v>
      </c>
    </row>
    <row r="42" spans="1:4" x14ac:dyDescent="0.35">
      <c r="A42" s="11">
        <v>34669</v>
      </c>
      <c r="B42" s="15">
        <f>VLOOKUP(A42,Database!A:K,MATCH($A$1,Database!$A$1:$K$1,),)+VLOOKUP(A42,Database!A:K,MATCH($B$1,Database!$A$1:$K$1,),)</f>
        <v>11088</v>
      </c>
      <c r="C42" s="12">
        <f t="shared" si="0"/>
        <v>1.241782322863404E-2</v>
      </c>
      <c r="D42" s="13">
        <f t="shared" si="1"/>
        <v>0.16875724675872247</v>
      </c>
    </row>
    <row r="43" spans="1:4" x14ac:dyDescent="0.35">
      <c r="A43" s="10">
        <v>34700</v>
      </c>
      <c r="B43" s="15">
        <f>VLOOKUP(A43,Database!A:K,MATCH($A$1,Database!$A$1:$K$1,),)+VLOOKUP(A43,Database!A:K,MATCH($B$1,Database!$A$1:$K$1,),)</f>
        <v>11157</v>
      </c>
      <c r="C43" s="12">
        <f t="shared" si="0"/>
        <v>6.222943722943723E-3</v>
      </c>
      <c r="D43" s="13">
        <f t="shared" si="1"/>
        <v>0.18590561224489796</v>
      </c>
    </row>
    <row r="44" spans="1:4" x14ac:dyDescent="0.35">
      <c r="A44" s="11">
        <v>34731</v>
      </c>
      <c r="B44" s="15">
        <f>VLOOKUP(A44,Database!A:K,MATCH($A$1,Database!$A$1:$K$1,),)+VLOOKUP(A44,Database!A:K,MATCH($B$1,Database!$A$1:$K$1,),)</f>
        <v>10908</v>
      </c>
      <c r="C44" s="12">
        <f t="shared" si="0"/>
        <v>-2.2317827372949718E-2</v>
      </c>
      <c r="D44" s="13">
        <f t="shared" si="1"/>
        <v>0.12176059234882765</v>
      </c>
    </row>
    <row r="45" spans="1:4" x14ac:dyDescent="0.35">
      <c r="A45" s="10">
        <v>34759</v>
      </c>
      <c r="B45" s="15">
        <f>VLOOKUP(A45,Database!A:K,MATCH($A$1,Database!$A$1:$K$1,),)+VLOOKUP(A45,Database!A:K,MATCH($B$1,Database!$A$1:$K$1,),)</f>
        <v>10979</v>
      </c>
      <c r="C45" s="12">
        <f t="shared" si="0"/>
        <v>6.5089842317565087E-3</v>
      </c>
      <c r="D45" s="13">
        <f t="shared" si="1"/>
        <v>0.10208793414976912</v>
      </c>
    </row>
    <row r="46" spans="1:4" x14ac:dyDescent="0.35">
      <c r="A46" s="11">
        <v>34790</v>
      </c>
      <c r="B46" s="15">
        <f>VLOOKUP(A46,Database!A:K,MATCH($A$1,Database!$A$1:$K$1,),)+VLOOKUP(A46,Database!A:K,MATCH($B$1,Database!$A$1:$K$1,),)</f>
        <v>10914</v>
      </c>
      <c r="C46" s="12">
        <f t="shared" si="0"/>
        <v>-5.9203934784588762E-3</v>
      </c>
      <c r="D46" s="13">
        <f t="shared" si="1"/>
        <v>9.0745552668398954E-2</v>
      </c>
    </row>
    <row r="47" spans="1:4" x14ac:dyDescent="0.35">
      <c r="A47" s="10">
        <v>34820</v>
      </c>
      <c r="B47" s="15">
        <f>VLOOKUP(A47,Database!A:K,MATCH($A$1,Database!$A$1:$K$1,),)+VLOOKUP(A47,Database!A:K,MATCH($B$1,Database!$A$1:$K$1,),)</f>
        <v>11172</v>
      </c>
      <c r="C47" s="12">
        <f t="shared" si="0"/>
        <v>2.3639362286970864E-2</v>
      </c>
      <c r="D47" s="13">
        <f t="shared" si="1"/>
        <v>0.10003938558487593</v>
      </c>
    </row>
    <row r="48" spans="1:4" x14ac:dyDescent="0.35">
      <c r="A48" s="11">
        <v>34851</v>
      </c>
      <c r="B48" s="15">
        <f>VLOOKUP(A48,Database!A:K,MATCH($A$1,Database!$A$1:$K$1,),)+VLOOKUP(A48,Database!A:K,MATCH($B$1,Database!$A$1:$K$1,),)</f>
        <v>11217</v>
      </c>
      <c r="C48" s="12">
        <f t="shared" si="0"/>
        <v>4.0279269602577876E-3</v>
      </c>
      <c r="D48" s="13">
        <f t="shared" si="1"/>
        <v>8.5761300938921689E-2</v>
      </c>
    </row>
    <row r="49" spans="1:4" x14ac:dyDescent="0.35">
      <c r="A49" s="10">
        <v>34881</v>
      </c>
      <c r="B49" s="15">
        <f>VLOOKUP(A49,Database!A:K,MATCH($A$1,Database!$A$1:$K$1,),)+VLOOKUP(A49,Database!A:K,MATCH($B$1,Database!$A$1:$K$1,),)</f>
        <v>11283</v>
      </c>
      <c r="C49" s="12">
        <f t="shared" si="0"/>
        <v>5.883926183471516E-3</v>
      </c>
      <c r="D49" s="13">
        <f t="shared" si="1"/>
        <v>8.7413261372397841E-2</v>
      </c>
    </row>
    <row r="50" spans="1:4" x14ac:dyDescent="0.35">
      <c r="A50" s="11">
        <v>34912</v>
      </c>
      <c r="B50" s="15">
        <f>VLOOKUP(A50,Database!A:K,MATCH($A$1,Database!$A$1:$K$1,),)+VLOOKUP(A50,Database!A:K,MATCH($B$1,Database!$A$1:$K$1,),)</f>
        <v>11463</v>
      </c>
      <c r="C50" s="12">
        <f t="shared" si="0"/>
        <v>1.5953203935123637E-2</v>
      </c>
      <c r="D50" s="13">
        <f t="shared" si="1"/>
        <v>8.3869137670196672E-2</v>
      </c>
    </row>
    <row r="51" spans="1:4" x14ac:dyDescent="0.35">
      <c r="A51" s="10">
        <v>34943</v>
      </c>
      <c r="B51" s="15">
        <f>VLOOKUP(A51,Database!A:K,MATCH($A$1,Database!$A$1:$K$1,),)+VLOOKUP(A51,Database!A:K,MATCH($B$1,Database!$A$1:$K$1,),)</f>
        <v>11548</v>
      </c>
      <c r="C51" s="12">
        <f t="shared" si="0"/>
        <v>7.4151618250021811E-3</v>
      </c>
      <c r="D51" s="13">
        <f t="shared" si="1"/>
        <v>8.0767430978006552E-2</v>
      </c>
    </row>
    <row r="52" spans="1:4" x14ac:dyDescent="0.35">
      <c r="A52" s="11">
        <v>34973</v>
      </c>
      <c r="B52" s="15">
        <f>VLOOKUP(A52,Database!A:K,MATCH($A$1,Database!$A$1:$K$1,),)+VLOOKUP(A52,Database!A:K,MATCH($B$1,Database!$A$1:$K$1,),)</f>
        <v>11641</v>
      </c>
      <c r="C52" s="12">
        <f t="shared" si="0"/>
        <v>8.0533425701420167E-3</v>
      </c>
      <c r="D52" s="13">
        <f t="shared" si="1"/>
        <v>6.8471776044056909E-2</v>
      </c>
    </row>
    <row r="53" spans="1:4" x14ac:dyDescent="0.35">
      <c r="A53" s="10">
        <v>35004</v>
      </c>
      <c r="B53" s="15">
        <f>VLOOKUP(A53,Database!A:K,MATCH($A$1,Database!$A$1:$K$1,),)+VLOOKUP(A53,Database!A:K,MATCH($B$1,Database!$A$1:$K$1,),)</f>
        <v>11779</v>
      </c>
      <c r="C53" s="12">
        <f t="shared" si="0"/>
        <v>1.185465166222833E-2</v>
      </c>
      <c r="D53" s="13">
        <f t="shared" si="1"/>
        <v>7.5511322132943759E-2</v>
      </c>
    </row>
    <row r="54" spans="1:4" x14ac:dyDescent="0.35">
      <c r="A54" s="11">
        <v>35034</v>
      </c>
      <c r="B54" s="15">
        <f>VLOOKUP(A54,Database!A:K,MATCH($A$1,Database!$A$1:$K$1,),)+VLOOKUP(A54,Database!A:K,MATCH($B$1,Database!$A$1:$K$1,),)</f>
        <v>11726</v>
      </c>
      <c r="C54" s="12">
        <f t="shared" si="0"/>
        <v>-4.4995330673232026E-3</v>
      </c>
      <c r="D54" s="13">
        <f t="shared" si="1"/>
        <v>5.7539682539682536E-2</v>
      </c>
    </row>
    <row r="55" spans="1:4" x14ac:dyDescent="0.35">
      <c r="A55" s="10">
        <v>35065</v>
      </c>
      <c r="B55" s="15">
        <f>VLOOKUP(A55,Database!A:K,MATCH($A$1,Database!$A$1:$K$1,),)+VLOOKUP(A55,Database!A:K,MATCH($B$1,Database!$A$1:$K$1,),)</f>
        <v>11493</v>
      </c>
      <c r="C55" s="12">
        <f t="shared" si="0"/>
        <v>-1.9870373528910114E-2</v>
      </c>
      <c r="D55" s="13">
        <f t="shared" si="1"/>
        <v>3.0115622479161063E-2</v>
      </c>
    </row>
    <row r="56" spans="1:4" x14ac:dyDescent="0.35">
      <c r="A56" s="11">
        <v>35096</v>
      </c>
      <c r="B56" s="15">
        <f>VLOOKUP(A56,Database!A:K,MATCH($A$1,Database!$A$1:$K$1,),)+VLOOKUP(A56,Database!A:K,MATCH($B$1,Database!$A$1:$K$1,),)</f>
        <v>11594</v>
      </c>
      <c r="C56" s="12">
        <f t="shared" si="0"/>
        <v>8.7879578874097281E-3</v>
      </c>
      <c r="D56" s="13">
        <f t="shared" si="1"/>
        <v>6.2889622295562886E-2</v>
      </c>
    </row>
    <row r="57" spans="1:4" x14ac:dyDescent="0.35">
      <c r="A57" s="10">
        <v>35125</v>
      </c>
      <c r="B57" s="15">
        <f>VLOOKUP(A57,Database!A:K,MATCH($A$1,Database!$A$1:$K$1,),)+VLOOKUP(A57,Database!A:K,MATCH($B$1,Database!$A$1:$K$1,),)</f>
        <v>11931</v>
      </c>
      <c r="C57" s="12">
        <f t="shared" si="0"/>
        <v>2.9066758668276696E-2</v>
      </c>
      <c r="D57" s="13">
        <f t="shared" si="1"/>
        <v>8.6710993715274617E-2</v>
      </c>
    </row>
    <row r="58" spans="1:4" x14ac:dyDescent="0.35">
      <c r="A58" s="11">
        <v>35156</v>
      </c>
      <c r="B58" s="15">
        <f>VLOOKUP(A58,Database!A:K,MATCH($A$1,Database!$A$1:$K$1,),)+VLOOKUP(A58,Database!A:K,MATCH($B$1,Database!$A$1:$K$1,),)</f>
        <v>11968</v>
      </c>
      <c r="C58" s="12">
        <f t="shared" si="0"/>
        <v>3.1011650322688793E-3</v>
      </c>
      <c r="D58" s="13">
        <f t="shared" si="1"/>
        <v>9.657320872274143E-2</v>
      </c>
    </row>
    <row r="59" spans="1:4" x14ac:dyDescent="0.35">
      <c r="A59" s="10">
        <v>35186</v>
      </c>
      <c r="B59" s="15">
        <f>VLOOKUP(A59,Database!A:K,MATCH($A$1,Database!$A$1:$K$1,),)+VLOOKUP(A59,Database!A:K,MATCH($B$1,Database!$A$1:$K$1,),)</f>
        <v>12014</v>
      </c>
      <c r="C59" s="12">
        <f t="shared" si="0"/>
        <v>3.8435828877005349E-3</v>
      </c>
      <c r="D59" s="13">
        <f t="shared" si="1"/>
        <v>7.5366988900823481E-2</v>
      </c>
    </row>
    <row r="60" spans="1:4" x14ac:dyDescent="0.35">
      <c r="A60" s="11">
        <v>35217</v>
      </c>
      <c r="B60" s="15">
        <f>VLOOKUP(A60,Database!A:K,MATCH($A$1,Database!$A$1:$K$1,),)+VLOOKUP(A60,Database!A:K,MATCH($B$1,Database!$A$1:$K$1,),)</f>
        <v>12012</v>
      </c>
      <c r="C60" s="12">
        <f t="shared" si="0"/>
        <v>-1.66472448809722E-4</v>
      </c>
      <c r="D60" s="13">
        <f t="shared" si="1"/>
        <v>7.0874565391815997E-2</v>
      </c>
    </row>
    <row r="61" spans="1:4" x14ac:dyDescent="0.35">
      <c r="A61" s="10">
        <v>35247</v>
      </c>
      <c r="B61" s="15">
        <f>VLOOKUP(A61,Database!A:K,MATCH($A$1,Database!$A$1:$K$1,),)+VLOOKUP(A61,Database!A:K,MATCH($B$1,Database!$A$1:$K$1,),)</f>
        <v>11930</v>
      </c>
      <c r="C61" s="12">
        <f t="shared" si="0"/>
        <v>-6.8265068265068269E-3</v>
      </c>
      <c r="D61" s="13">
        <f t="shared" si="1"/>
        <v>5.734290525569441E-2</v>
      </c>
    </row>
    <row r="62" spans="1:4" x14ac:dyDescent="0.35">
      <c r="A62" s="11">
        <v>35278</v>
      </c>
      <c r="B62" s="15">
        <f>VLOOKUP(A62,Database!A:K,MATCH($A$1,Database!$A$1:$K$1,),)+VLOOKUP(A62,Database!A:K,MATCH($B$1,Database!$A$1:$K$1,),)</f>
        <v>11995</v>
      </c>
      <c r="C62" s="12">
        <f t="shared" si="0"/>
        <v>5.4484492875104774E-3</v>
      </c>
      <c r="D62" s="13">
        <f t="shared" si="1"/>
        <v>4.6410189304719532E-2</v>
      </c>
    </row>
    <row r="63" spans="1:4" x14ac:dyDescent="0.35">
      <c r="A63" s="10">
        <v>35309</v>
      </c>
      <c r="B63" s="15">
        <f>VLOOKUP(A63,Database!A:K,MATCH($A$1,Database!$A$1:$K$1,),)+VLOOKUP(A63,Database!A:K,MATCH($B$1,Database!$A$1:$K$1,),)</f>
        <v>12200</v>
      </c>
      <c r="C63" s="12">
        <f t="shared" si="0"/>
        <v>1.7090454355981659E-2</v>
      </c>
      <c r="D63" s="13">
        <f t="shared" si="1"/>
        <v>5.6459993072393487E-2</v>
      </c>
    </row>
    <row r="64" spans="1:4" x14ac:dyDescent="0.35">
      <c r="A64" s="11">
        <v>35339</v>
      </c>
      <c r="B64" s="15">
        <f>VLOOKUP(A64,Database!A:K,MATCH($A$1,Database!$A$1:$K$1,),)+VLOOKUP(A64,Database!A:K,MATCH($B$1,Database!$A$1:$K$1,),)</f>
        <v>12207</v>
      </c>
      <c r="C64" s="12">
        <f t="shared" si="0"/>
        <v>5.7377049180327869E-4</v>
      </c>
      <c r="D64" s="13">
        <f t="shared" si="1"/>
        <v>4.8621252469719094E-2</v>
      </c>
    </row>
    <row r="65" spans="1:4" x14ac:dyDescent="0.35">
      <c r="A65" s="10">
        <v>35370</v>
      </c>
      <c r="B65" s="15">
        <f>VLOOKUP(A65,Database!A:K,MATCH($A$1,Database!$A$1:$K$1,),)+VLOOKUP(A65,Database!A:K,MATCH($B$1,Database!$A$1:$K$1,),)</f>
        <v>12124</v>
      </c>
      <c r="C65" s="12">
        <f t="shared" si="0"/>
        <v>-6.7993774064061601E-3</v>
      </c>
      <c r="D65" s="13">
        <f t="shared" si="1"/>
        <v>2.9289413362764243E-2</v>
      </c>
    </row>
    <row r="66" spans="1:4" x14ac:dyDescent="0.35">
      <c r="A66" s="11">
        <v>35400</v>
      </c>
      <c r="B66" s="15">
        <f>VLOOKUP(A66,Database!A:K,MATCH($A$1,Database!$A$1:$K$1,),)+VLOOKUP(A66,Database!A:K,MATCH($B$1,Database!$A$1:$K$1,),)</f>
        <v>12051</v>
      </c>
      <c r="C66" s="12">
        <f t="shared" si="0"/>
        <v>-6.0211151435169913E-3</v>
      </c>
      <c r="D66" s="13">
        <f t="shared" si="1"/>
        <v>2.771618625277162E-2</v>
      </c>
    </row>
    <row r="67" spans="1:4" x14ac:dyDescent="0.35">
      <c r="A67" s="10">
        <v>35431</v>
      </c>
      <c r="B67" s="15">
        <f>VLOOKUP(A67,Database!A:K,MATCH($A$1,Database!$A$1:$K$1,),)+VLOOKUP(A67,Database!A:K,MATCH($B$1,Database!$A$1:$K$1,),)</f>
        <v>11951</v>
      </c>
      <c r="C67" s="12">
        <f t="shared" si="0"/>
        <v>-8.2980665504937354E-3</v>
      </c>
      <c r="D67" s="13">
        <f t="shared" si="1"/>
        <v>3.9850343687461931E-2</v>
      </c>
    </row>
    <row r="68" spans="1:4" x14ac:dyDescent="0.35">
      <c r="A68" s="11">
        <v>35462</v>
      </c>
      <c r="B68" s="15">
        <f>VLOOKUP(A68,Database!A:K,MATCH($A$1,Database!$A$1:$K$1,),)+VLOOKUP(A68,Database!A:K,MATCH($B$1,Database!$A$1:$K$1,),)</f>
        <v>12217</v>
      </c>
      <c r="C68" s="12">
        <f t="shared" si="0"/>
        <v>2.2257551669316374E-2</v>
      </c>
      <c r="D68" s="13">
        <f t="shared" si="1"/>
        <v>5.3734690357081248E-2</v>
      </c>
    </row>
    <row r="69" spans="1:4" x14ac:dyDescent="0.35">
      <c r="A69" s="10">
        <v>35490</v>
      </c>
      <c r="B69" s="15">
        <f>VLOOKUP(A69,Database!A:K,MATCH($A$1,Database!$A$1:$K$1,),)+VLOOKUP(A69,Database!A:K,MATCH($B$1,Database!$A$1:$K$1,),)</f>
        <v>12276</v>
      </c>
      <c r="C69" s="12">
        <f t="shared" si="0"/>
        <v>4.8293361709093882E-3</v>
      </c>
      <c r="D69" s="13">
        <f t="shared" si="1"/>
        <v>2.8916268544128741E-2</v>
      </c>
    </row>
    <row r="70" spans="1:4" x14ac:dyDescent="0.35">
      <c r="A70" s="11">
        <v>35521</v>
      </c>
      <c r="B70" s="15">
        <f>VLOOKUP(A70,Database!A:K,MATCH($A$1,Database!$A$1:$K$1,),)+VLOOKUP(A70,Database!A:K,MATCH($B$1,Database!$A$1:$K$1,),)</f>
        <v>12424</v>
      </c>
      <c r="C70" s="12">
        <f t="shared" si="0"/>
        <v>1.2056044314108831E-2</v>
      </c>
      <c r="D70" s="13">
        <f t="shared" si="1"/>
        <v>3.8101604278074866E-2</v>
      </c>
    </row>
    <row r="71" spans="1:4" x14ac:dyDescent="0.35">
      <c r="A71" s="10">
        <v>35551</v>
      </c>
      <c r="B71" s="15">
        <f>VLOOKUP(A71,Database!A:K,MATCH($A$1,Database!$A$1:$K$1,),)+VLOOKUP(A71,Database!A:K,MATCH($B$1,Database!$A$1:$K$1,),)</f>
        <v>12404</v>
      </c>
      <c r="C71" s="12">
        <f t="shared" si="0"/>
        <v>-1.6097875080489374E-3</v>
      </c>
      <c r="D71" s="13">
        <f t="shared" si="1"/>
        <v>3.2462127517895789E-2</v>
      </c>
    </row>
    <row r="72" spans="1:4" x14ac:dyDescent="0.35">
      <c r="A72" s="11">
        <v>35582</v>
      </c>
      <c r="B72" s="15">
        <f>VLOOKUP(A72,Database!A:K,MATCH($A$1,Database!$A$1:$K$1,),)+VLOOKUP(A72,Database!A:K,MATCH($B$1,Database!$A$1:$K$1,),)</f>
        <v>12474</v>
      </c>
      <c r="C72" s="12">
        <f t="shared" ref="C72:C135" si="2">(B72-B71)/B71</f>
        <v>5.6433408577878106E-3</v>
      </c>
      <c r="D72" s="13">
        <f t="shared" si="1"/>
        <v>3.8461538461538464E-2</v>
      </c>
    </row>
    <row r="73" spans="1:4" x14ac:dyDescent="0.35">
      <c r="A73" s="10">
        <v>35612</v>
      </c>
      <c r="B73" s="15">
        <f>VLOOKUP(A73,Database!A:K,MATCH($A$1,Database!$A$1:$K$1,),)+VLOOKUP(A73,Database!A:K,MATCH($B$1,Database!$A$1:$K$1,),)</f>
        <v>12564</v>
      </c>
      <c r="C73" s="12">
        <f t="shared" si="2"/>
        <v>7.215007215007215E-3</v>
      </c>
      <c r="D73" s="13">
        <f t="shared" si="1"/>
        <v>5.3143336127409894E-2</v>
      </c>
    </row>
    <row r="74" spans="1:4" x14ac:dyDescent="0.35">
      <c r="A74" s="11">
        <v>35643</v>
      </c>
      <c r="B74" s="15">
        <f>VLOOKUP(A74,Database!A:K,MATCH($A$1,Database!$A$1:$K$1,),)+VLOOKUP(A74,Database!A:K,MATCH($B$1,Database!$A$1:$K$1,),)</f>
        <v>12687</v>
      </c>
      <c r="C74" s="12">
        <f t="shared" si="2"/>
        <v>9.7898758357211086E-3</v>
      </c>
      <c r="D74" s="13">
        <f t="shared" si="1"/>
        <v>5.7690704460191748E-2</v>
      </c>
    </row>
    <row r="75" spans="1:4" x14ac:dyDescent="0.35">
      <c r="A75" s="10">
        <v>35674</v>
      </c>
      <c r="B75" s="15">
        <f>VLOOKUP(A75,Database!A:K,MATCH($A$1,Database!$A$1:$K$1,),)+VLOOKUP(A75,Database!A:K,MATCH($B$1,Database!$A$1:$K$1,),)</f>
        <v>12721</v>
      </c>
      <c r="C75" s="12">
        <f t="shared" si="2"/>
        <v>2.6799085678253331E-3</v>
      </c>
      <c r="D75" s="13">
        <f t="shared" si="1"/>
        <v>4.2704918032786886E-2</v>
      </c>
    </row>
    <row r="76" spans="1:4" x14ac:dyDescent="0.35">
      <c r="A76" s="11">
        <v>35704</v>
      </c>
      <c r="B76" s="15">
        <f>VLOOKUP(A76,Database!A:K,MATCH($A$1,Database!$A$1:$K$1,),)+VLOOKUP(A76,Database!A:K,MATCH($B$1,Database!$A$1:$K$1,),)</f>
        <v>12726</v>
      </c>
      <c r="C76" s="12">
        <f t="shared" si="2"/>
        <v>3.9305086078138512E-4</v>
      </c>
      <c r="D76" s="13">
        <f t="shared" si="1"/>
        <v>4.2516588842467437E-2</v>
      </c>
    </row>
    <row r="77" spans="1:4" x14ac:dyDescent="0.35">
      <c r="A77" s="10">
        <v>35735</v>
      </c>
      <c r="B77" s="15">
        <f>VLOOKUP(A77,Database!A:K,MATCH($A$1,Database!$A$1:$K$1,),)+VLOOKUP(A77,Database!A:K,MATCH($B$1,Database!$A$1:$K$1,),)</f>
        <v>12895</v>
      </c>
      <c r="C77" s="12">
        <f t="shared" si="2"/>
        <v>1.3279899418513279E-2</v>
      </c>
      <c r="D77" s="13">
        <f t="shared" si="1"/>
        <v>6.3592873639063019E-2</v>
      </c>
    </row>
    <row r="78" spans="1:4" x14ac:dyDescent="0.35">
      <c r="A78" s="11">
        <v>35765</v>
      </c>
      <c r="B78" s="15">
        <f>VLOOKUP(A78,Database!A:K,MATCH($A$1,Database!$A$1:$K$1,),)+VLOOKUP(A78,Database!A:K,MATCH($B$1,Database!$A$1:$K$1,),)</f>
        <v>12949</v>
      </c>
      <c r="C78" s="12">
        <f t="shared" si="2"/>
        <v>4.1876696393951147E-3</v>
      </c>
      <c r="D78" s="13">
        <f t="shared" si="1"/>
        <v>7.4516637623433746E-2</v>
      </c>
    </row>
    <row r="79" spans="1:4" x14ac:dyDescent="0.35">
      <c r="A79" s="10">
        <v>35796</v>
      </c>
      <c r="B79" s="15">
        <f>VLOOKUP(A79,Database!A:K,MATCH($A$1,Database!$A$1:$K$1,),)+VLOOKUP(A79,Database!A:K,MATCH($B$1,Database!$A$1:$K$1,),)</f>
        <v>13153</v>
      </c>
      <c r="C79" s="12">
        <f t="shared" si="2"/>
        <v>1.5754112286663062E-2</v>
      </c>
      <c r="D79" s="13">
        <f t="shared" si="1"/>
        <v>0.10057735754330181</v>
      </c>
    </row>
    <row r="80" spans="1:4" x14ac:dyDescent="0.35">
      <c r="A80" s="11">
        <v>35827</v>
      </c>
      <c r="B80" s="15">
        <f>VLOOKUP(A80,Database!A:K,MATCH($A$1,Database!$A$1:$K$1,),)+VLOOKUP(A80,Database!A:K,MATCH($B$1,Database!$A$1:$K$1,),)</f>
        <v>13139</v>
      </c>
      <c r="C80" s="12">
        <f t="shared" si="2"/>
        <v>-1.0643959552953698E-3</v>
      </c>
      <c r="D80" s="13">
        <f t="shared" si="1"/>
        <v>7.5468609314889093E-2</v>
      </c>
    </row>
    <row r="81" spans="1:4" x14ac:dyDescent="0.35">
      <c r="A81" s="10">
        <v>35855</v>
      </c>
      <c r="B81" s="15">
        <f>VLOOKUP(A81,Database!A:K,MATCH($A$1,Database!$A$1:$K$1,),)+VLOOKUP(A81,Database!A:K,MATCH($B$1,Database!$A$1:$K$1,),)</f>
        <v>13128</v>
      </c>
      <c r="C81" s="12">
        <f t="shared" si="2"/>
        <v>-8.3720222239135403E-4</v>
      </c>
      <c r="D81" s="13">
        <f t="shared" si="1"/>
        <v>6.9403714565004881E-2</v>
      </c>
    </row>
    <row r="82" spans="1:4" x14ac:dyDescent="0.35">
      <c r="A82" s="11">
        <v>35886</v>
      </c>
      <c r="B82" s="15">
        <f>VLOOKUP(A82,Database!A:K,MATCH($A$1,Database!$A$1:$K$1,),)+VLOOKUP(A82,Database!A:K,MATCH($B$1,Database!$A$1:$K$1,),)</f>
        <v>13135</v>
      </c>
      <c r="C82" s="12">
        <f t="shared" si="2"/>
        <v>5.3321145642900669E-4</v>
      </c>
      <c r="D82" s="13">
        <f t="shared" si="1"/>
        <v>5.7227945911139728E-2</v>
      </c>
    </row>
    <row r="83" spans="1:4" x14ac:dyDescent="0.35">
      <c r="A83" s="10">
        <v>35916</v>
      </c>
      <c r="B83" s="15">
        <f>VLOOKUP(A83,Database!A:K,MATCH($A$1,Database!$A$1:$K$1,),)+VLOOKUP(A83,Database!A:K,MATCH($B$1,Database!$A$1:$K$1,),)</f>
        <v>13188</v>
      </c>
      <c r="C83" s="12">
        <f t="shared" si="2"/>
        <v>4.0350209364293874E-3</v>
      </c>
      <c r="D83" s="13">
        <f t="shared" ref="D83:D146" si="3">(B83-B71)/B71</f>
        <v>6.320541760722348E-2</v>
      </c>
    </row>
    <row r="84" spans="1:4" x14ac:dyDescent="0.35">
      <c r="A84" s="11">
        <v>35947</v>
      </c>
      <c r="B84" s="15">
        <f>VLOOKUP(A84,Database!A:K,MATCH($A$1,Database!$A$1:$K$1,),)+VLOOKUP(A84,Database!A:K,MATCH($B$1,Database!$A$1:$K$1,),)</f>
        <v>13347</v>
      </c>
      <c r="C84" s="12">
        <f t="shared" si="2"/>
        <v>1.2056414922656961E-2</v>
      </c>
      <c r="D84" s="13">
        <f t="shared" si="3"/>
        <v>6.9985569985569984E-2</v>
      </c>
    </row>
    <row r="85" spans="1:4" x14ac:dyDescent="0.35">
      <c r="A85" s="10">
        <v>35977</v>
      </c>
      <c r="B85" s="15">
        <f>VLOOKUP(A85,Database!A:K,MATCH($A$1,Database!$A$1:$K$1,),)+VLOOKUP(A85,Database!A:K,MATCH($B$1,Database!$A$1:$K$1,),)</f>
        <v>13407</v>
      </c>
      <c r="C85" s="12">
        <f t="shared" si="2"/>
        <v>4.4953922229714546E-3</v>
      </c>
      <c r="D85" s="13">
        <f t="shared" si="3"/>
        <v>6.709646609360076E-2</v>
      </c>
    </row>
    <row r="86" spans="1:4" x14ac:dyDescent="0.35">
      <c r="A86" s="11">
        <v>36008</v>
      </c>
      <c r="B86" s="15">
        <f>VLOOKUP(A86,Database!A:K,MATCH($A$1,Database!$A$1:$K$1,),)+VLOOKUP(A86,Database!A:K,MATCH($B$1,Database!$A$1:$K$1,),)</f>
        <v>13491</v>
      </c>
      <c r="C86" s="12">
        <f t="shared" si="2"/>
        <v>6.2653837547549784E-3</v>
      </c>
      <c r="D86" s="13">
        <f t="shared" si="3"/>
        <v>6.3371955545046113E-2</v>
      </c>
    </row>
    <row r="87" spans="1:4" x14ac:dyDescent="0.35">
      <c r="A87" s="10">
        <v>36039</v>
      </c>
      <c r="B87" s="15">
        <f>VLOOKUP(A87,Database!A:K,MATCH($A$1,Database!$A$1:$K$1,),)+VLOOKUP(A87,Database!A:K,MATCH($B$1,Database!$A$1:$K$1,),)</f>
        <v>13373</v>
      </c>
      <c r="C87" s="12">
        <f t="shared" si="2"/>
        <v>-8.7465717885998068E-3</v>
      </c>
      <c r="D87" s="13">
        <f t="shared" si="3"/>
        <v>5.1253832245892618E-2</v>
      </c>
    </row>
    <row r="88" spans="1:4" x14ac:dyDescent="0.35">
      <c r="A88" s="11">
        <v>36069</v>
      </c>
      <c r="B88" s="15">
        <f>VLOOKUP(A88,Database!A:K,MATCH($A$1,Database!$A$1:$K$1,),)+VLOOKUP(A88,Database!A:K,MATCH($B$1,Database!$A$1:$K$1,),)</f>
        <v>13444</v>
      </c>
      <c r="C88" s="12">
        <f t="shared" si="2"/>
        <v>5.3092051147835186E-3</v>
      </c>
      <c r="D88" s="13">
        <f t="shared" si="3"/>
        <v>5.6419927707056422E-2</v>
      </c>
    </row>
    <row r="89" spans="1:4" x14ac:dyDescent="0.35">
      <c r="A89" s="10">
        <v>36100</v>
      </c>
      <c r="B89" s="15">
        <f>VLOOKUP(A89,Database!A:K,MATCH($A$1,Database!$A$1:$K$1,),)+VLOOKUP(A89,Database!A:K,MATCH($B$1,Database!$A$1:$K$1,),)</f>
        <v>13666</v>
      </c>
      <c r="C89" s="12">
        <f t="shared" si="2"/>
        <v>1.6512942576614103E-2</v>
      </c>
      <c r="D89" s="13">
        <f t="shared" si="3"/>
        <v>5.9790616518030242E-2</v>
      </c>
    </row>
    <row r="90" spans="1:4" x14ac:dyDescent="0.35">
      <c r="A90" s="11">
        <v>36130</v>
      </c>
      <c r="B90" s="15">
        <f>VLOOKUP(A90,Database!A:K,MATCH($A$1,Database!$A$1:$K$1,),)+VLOOKUP(A90,Database!A:K,MATCH($B$1,Database!$A$1:$K$1,),)</f>
        <v>13651</v>
      </c>
      <c r="C90" s="12">
        <f t="shared" si="2"/>
        <v>-1.0976145177813551E-3</v>
      </c>
      <c r="D90" s="13">
        <f t="shared" si="3"/>
        <v>5.421268051586995E-2</v>
      </c>
    </row>
    <row r="91" spans="1:4" x14ac:dyDescent="0.35">
      <c r="A91" s="10">
        <v>36161</v>
      </c>
      <c r="B91" s="15">
        <f>VLOOKUP(A91,Database!A:K,MATCH($A$1,Database!$A$1:$K$1,),)+VLOOKUP(A91,Database!A:K,MATCH($B$1,Database!$A$1:$K$1,),)</f>
        <v>13617</v>
      </c>
      <c r="C91" s="12">
        <f t="shared" si="2"/>
        <v>-2.4906600249066002E-3</v>
      </c>
      <c r="D91" s="13">
        <f t="shared" si="3"/>
        <v>3.5277123089789399E-2</v>
      </c>
    </row>
    <row r="92" spans="1:4" x14ac:dyDescent="0.35">
      <c r="A92" s="11">
        <v>36192</v>
      </c>
      <c r="B92" s="15">
        <f>VLOOKUP(A92,Database!A:K,MATCH($A$1,Database!$A$1:$K$1,),)+VLOOKUP(A92,Database!A:K,MATCH($B$1,Database!$A$1:$K$1,),)</f>
        <v>13791</v>
      </c>
      <c r="C92" s="12">
        <f t="shared" si="2"/>
        <v>1.277814496585151E-2</v>
      </c>
      <c r="D92" s="13">
        <f t="shared" si="3"/>
        <v>4.962325899992389E-2</v>
      </c>
    </row>
    <row r="93" spans="1:4" x14ac:dyDescent="0.35">
      <c r="A93" s="10">
        <v>36220</v>
      </c>
      <c r="B93" s="15">
        <f>VLOOKUP(A93,Database!A:K,MATCH($A$1,Database!$A$1:$K$1,),)+VLOOKUP(A93,Database!A:K,MATCH($B$1,Database!$A$1:$K$1,),)</f>
        <v>13947</v>
      </c>
      <c r="C93" s="12">
        <f t="shared" si="2"/>
        <v>1.1311725038068305E-2</v>
      </c>
      <c r="D93" s="13">
        <f t="shared" si="3"/>
        <v>6.2385740402193787E-2</v>
      </c>
    </row>
    <row r="94" spans="1:4" x14ac:dyDescent="0.35">
      <c r="A94" s="11">
        <v>36251</v>
      </c>
      <c r="B94" s="15">
        <f>VLOOKUP(A94,Database!A:K,MATCH($A$1,Database!$A$1:$K$1,),)+VLOOKUP(A94,Database!A:K,MATCH($B$1,Database!$A$1:$K$1,),)</f>
        <v>13989</v>
      </c>
      <c r="C94" s="12">
        <f t="shared" si="2"/>
        <v>3.01140030114003E-3</v>
      </c>
      <c r="D94" s="13">
        <f t="shared" si="3"/>
        <v>6.5017129805862203E-2</v>
      </c>
    </row>
    <row r="95" spans="1:4" x14ac:dyDescent="0.35">
      <c r="A95" s="10">
        <v>36281</v>
      </c>
      <c r="B95" s="15">
        <f>VLOOKUP(A95,Database!A:K,MATCH($A$1,Database!$A$1:$K$1,),)+VLOOKUP(A95,Database!A:K,MATCH($B$1,Database!$A$1:$K$1,),)</f>
        <v>14114</v>
      </c>
      <c r="C95" s="12">
        <f t="shared" si="2"/>
        <v>8.9355922510544004E-3</v>
      </c>
      <c r="D95" s="13">
        <f t="shared" si="3"/>
        <v>7.0215347285410984E-2</v>
      </c>
    </row>
    <row r="96" spans="1:4" x14ac:dyDescent="0.35">
      <c r="A96" s="11">
        <v>36312</v>
      </c>
      <c r="B96" s="15">
        <f>VLOOKUP(A96,Database!A:K,MATCH($A$1,Database!$A$1:$K$1,),)+VLOOKUP(A96,Database!A:K,MATCH($B$1,Database!$A$1:$K$1,),)</f>
        <v>14272</v>
      </c>
      <c r="C96" s="12">
        <f t="shared" si="2"/>
        <v>1.1194558594303529E-2</v>
      </c>
      <c r="D96" s="13">
        <f t="shared" si="3"/>
        <v>6.9303963437476593E-2</v>
      </c>
    </row>
    <row r="97" spans="1:4" x14ac:dyDescent="0.35">
      <c r="A97" s="10">
        <v>36342</v>
      </c>
      <c r="B97" s="15">
        <f>VLOOKUP(A97,Database!A:K,MATCH($A$1,Database!$A$1:$K$1,),)+VLOOKUP(A97,Database!A:K,MATCH($B$1,Database!$A$1:$K$1,),)</f>
        <v>14332</v>
      </c>
      <c r="C97" s="12">
        <f t="shared" si="2"/>
        <v>4.2040358744394619E-3</v>
      </c>
      <c r="D97" s="13">
        <f t="shared" si="3"/>
        <v>6.8993809204147091E-2</v>
      </c>
    </row>
    <row r="98" spans="1:4" x14ac:dyDescent="0.35">
      <c r="A98" s="11">
        <v>36373</v>
      </c>
      <c r="B98" s="15">
        <f>VLOOKUP(A98,Database!A:K,MATCH($A$1,Database!$A$1:$K$1,),)+VLOOKUP(A98,Database!A:K,MATCH($B$1,Database!$A$1:$K$1,),)</f>
        <v>14428</v>
      </c>
      <c r="C98" s="12">
        <f t="shared" si="2"/>
        <v>6.6982975160480044E-3</v>
      </c>
      <c r="D98" s="13">
        <f t="shared" si="3"/>
        <v>6.9453709880661185E-2</v>
      </c>
    </row>
    <row r="99" spans="1:4" x14ac:dyDescent="0.35">
      <c r="A99" s="10">
        <v>36404</v>
      </c>
      <c r="B99" s="15">
        <f>VLOOKUP(A99,Database!A:K,MATCH($A$1,Database!$A$1:$K$1,),)+VLOOKUP(A99,Database!A:K,MATCH($B$1,Database!$A$1:$K$1,),)</f>
        <v>14702</v>
      </c>
      <c r="C99" s="12">
        <f t="shared" si="2"/>
        <v>1.8990851122816746E-2</v>
      </c>
      <c r="D99" s="13">
        <f t="shared" si="3"/>
        <v>9.9379346444328123E-2</v>
      </c>
    </row>
    <row r="100" spans="1:4" x14ac:dyDescent="0.35">
      <c r="A100" s="11">
        <v>36434</v>
      </c>
      <c r="B100" s="15">
        <f>VLOOKUP(A100,Database!A:K,MATCH($A$1,Database!$A$1:$K$1,),)+VLOOKUP(A100,Database!A:K,MATCH($B$1,Database!$A$1:$K$1,),)</f>
        <v>14724</v>
      </c>
      <c r="C100" s="12">
        <f t="shared" si="2"/>
        <v>1.4963950482927493E-3</v>
      </c>
      <c r="D100" s="13">
        <f t="shared" si="3"/>
        <v>9.5209759000297531E-2</v>
      </c>
    </row>
    <row r="101" spans="1:4" x14ac:dyDescent="0.35">
      <c r="A101" s="10">
        <v>36465</v>
      </c>
      <c r="B101" s="15">
        <f>VLOOKUP(A101,Database!A:K,MATCH($A$1,Database!$A$1:$K$1,),)+VLOOKUP(A101,Database!A:K,MATCH($B$1,Database!$A$1:$K$1,),)</f>
        <v>14622</v>
      </c>
      <c r="C101" s="12">
        <f t="shared" si="2"/>
        <v>-6.9274653626731865E-3</v>
      </c>
      <c r="D101" s="13">
        <f t="shared" si="3"/>
        <v>6.9954631933265038E-2</v>
      </c>
    </row>
    <row r="102" spans="1:4" x14ac:dyDescent="0.35">
      <c r="A102" s="11">
        <v>36495</v>
      </c>
      <c r="B102" s="15">
        <f>VLOOKUP(A102,Database!A:K,MATCH($A$1,Database!$A$1:$K$1,),)+VLOOKUP(A102,Database!A:K,MATCH($B$1,Database!$A$1:$K$1,),)</f>
        <v>14744</v>
      </c>
      <c r="C102" s="12">
        <f t="shared" si="2"/>
        <v>8.3435918479004244E-3</v>
      </c>
      <c r="D102" s="13">
        <f t="shared" si="3"/>
        <v>8.0067394330085709E-2</v>
      </c>
    </row>
    <row r="103" spans="1:4" x14ac:dyDescent="0.35">
      <c r="A103" s="10">
        <v>36526</v>
      </c>
      <c r="B103" s="15">
        <f>VLOOKUP(A103,Database!A:K,MATCH($A$1,Database!$A$1:$K$1,),)+VLOOKUP(A103,Database!A:K,MATCH($B$1,Database!$A$1:$K$1,),)</f>
        <v>15089</v>
      </c>
      <c r="C103" s="12">
        <f t="shared" si="2"/>
        <v>2.3399348887683125E-2</v>
      </c>
      <c r="D103" s="13">
        <f t="shared" si="3"/>
        <v>0.10810016890651392</v>
      </c>
    </row>
    <row r="104" spans="1:4" x14ac:dyDescent="0.35">
      <c r="A104" s="11">
        <v>36557</v>
      </c>
      <c r="B104" s="15">
        <f>VLOOKUP(A104,Database!A:K,MATCH($A$1,Database!$A$1:$K$1,),)+VLOOKUP(A104,Database!A:K,MATCH($B$1,Database!$A$1:$K$1,),)</f>
        <v>15222</v>
      </c>
      <c r="C104" s="12">
        <f t="shared" si="2"/>
        <v>8.8143680827092591E-3</v>
      </c>
      <c r="D104" s="13">
        <f t="shared" si="3"/>
        <v>0.1037633239068958</v>
      </c>
    </row>
    <row r="105" spans="1:4" x14ac:dyDescent="0.35">
      <c r="A105" s="10">
        <v>36586</v>
      </c>
      <c r="B105" s="15">
        <f>VLOOKUP(A105,Database!A:K,MATCH($A$1,Database!$A$1:$K$1,),)+VLOOKUP(A105,Database!A:K,MATCH($B$1,Database!$A$1:$K$1,),)</f>
        <v>15251</v>
      </c>
      <c r="C105" s="12">
        <f t="shared" si="2"/>
        <v>1.9051373012744712E-3</v>
      </c>
      <c r="D105" s="13">
        <f t="shared" si="3"/>
        <v>9.3496809349680937E-2</v>
      </c>
    </row>
    <row r="106" spans="1:4" x14ac:dyDescent="0.35">
      <c r="A106" s="11">
        <v>36617</v>
      </c>
      <c r="B106" s="15">
        <f>VLOOKUP(A106,Database!A:K,MATCH($A$1,Database!$A$1:$K$1,),)+VLOOKUP(A106,Database!A:K,MATCH($B$1,Database!$A$1:$K$1,),)</f>
        <v>15542</v>
      </c>
      <c r="C106" s="12">
        <f t="shared" si="2"/>
        <v>1.908071601862173E-2</v>
      </c>
      <c r="D106" s="13">
        <f t="shared" si="3"/>
        <v>0.11101579812709986</v>
      </c>
    </row>
    <row r="107" spans="1:4" x14ac:dyDescent="0.35">
      <c r="A107" s="10">
        <v>36647</v>
      </c>
      <c r="B107" s="15">
        <f>VLOOKUP(A107,Database!A:K,MATCH($A$1,Database!$A$1:$K$1,),)+VLOOKUP(A107,Database!A:K,MATCH($B$1,Database!$A$1:$K$1,),)</f>
        <v>15284</v>
      </c>
      <c r="C107" s="12">
        <f t="shared" si="2"/>
        <v>-1.6600180156993952E-2</v>
      </c>
      <c r="D107" s="13">
        <f t="shared" si="3"/>
        <v>8.2896414907184357E-2</v>
      </c>
    </row>
    <row r="108" spans="1:4" x14ac:dyDescent="0.35">
      <c r="A108" s="11">
        <v>36678</v>
      </c>
      <c r="B108" s="15">
        <f>VLOOKUP(A108,Database!A:K,MATCH($A$1,Database!$A$1:$K$1,),)+VLOOKUP(A108,Database!A:K,MATCH($B$1,Database!$A$1:$K$1,),)</f>
        <v>15028</v>
      </c>
      <c r="C108" s="12">
        <f t="shared" si="2"/>
        <v>-1.6749542004710807E-2</v>
      </c>
      <c r="D108" s="13">
        <f t="shared" si="3"/>
        <v>5.297085201793722E-2</v>
      </c>
    </row>
    <row r="109" spans="1:4" x14ac:dyDescent="0.35">
      <c r="A109" s="10">
        <v>36708</v>
      </c>
      <c r="B109" s="15">
        <f>VLOOKUP(A109,Database!A:K,MATCH($A$1,Database!$A$1:$K$1,),)+VLOOKUP(A109,Database!A:K,MATCH($B$1,Database!$A$1:$K$1,),)</f>
        <v>15145</v>
      </c>
      <c r="C109" s="12">
        <f t="shared" si="2"/>
        <v>7.7854671280276812E-3</v>
      </c>
      <c r="D109" s="13">
        <f t="shared" si="3"/>
        <v>5.672620708903154E-2</v>
      </c>
    </row>
    <row r="110" spans="1:4" x14ac:dyDescent="0.35">
      <c r="A110" s="11">
        <v>36739</v>
      </c>
      <c r="B110" s="15">
        <f>VLOOKUP(A110,Database!A:K,MATCH($A$1,Database!$A$1:$K$1,),)+VLOOKUP(A110,Database!A:K,MATCH($B$1,Database!$A$1:$K$1,),)</f>
        <v>15122</v>
      </c>
      <c r="C110" s="12">
        <f t="shared" si="2"/>
        <v>-1.5186530207989435E-3</v>
      </c>
      <c r="D110" s="13">
        <f t="shared" si="3"/>
        <v>4.8100914887718324E-2</v>
      </c>
    </row>
    <row r="111" spans="1:4" x14ac:dyDescent="0.35">
      <c r="A111" s="10">
        <v>36770</v>
      </c>
      <c r="B111" s="15">
        <f>VLOOKUP(A111,Database!A:K,MATCH($A$1,Database!$A$1:$K$1,),)+VLOOKUP(A111,Database!A:K,MATCH($B$1,Database!$A$1:$K$1,),)</f>
        <v>15253</v>
      </c>
      <c r="C111" s="12">
        <f t="shared" si="2"/>
        <v>8.6628752810474809E-3</v>
      </c>
      <c r="D111" s="13">
        <f t="shared" si="3"/>
        <v>3.7477894164059312E-2</v>
      </c>
    </row>
    <row r="112" spans="1:4" x14ac:dyDescent="0.35">
      <c r="A112" s="11">
        <v>36800</v>
      </c>
      <c r="B112" s="15">
        <f>VLOOKUP(A112,Database!A:K,MATCH($A$1,Database!$A$1:$K$1,),)+VLOOKUP(A112,Database!A:K,MATCH($B$1,Database!$A$1:$K$1,),)</f>
        <v>15153</v>
      </c>
      <c r="C112" s="12">
        <f t="shared" si="2"/>
        <v>-6.5560873270831968E-3</v>
      </c>
      <c r="D112" s="13">
        <f t="shared" si="3"/>
        <v>2.9136104319478402E-2</v>
      </c>
    </row>
    <row r="113" spans="1:4" x14ac:dyDescent="0.35">
      <c r="A113" s="10">
        <v>36831</v>
      </c>
      <c r="B113" s="15">
        <f>VLOOKUP(A113,Database!A:K,MATCH($A$1,Database!$A$1:$K$1,),)+VLOOKUP(A113,Database!A:K,MATCH($B$1,Database!$A$1:$K$1,),)</f>
        <v>14972</v>
      </c>
      <c r="C113" s="12">
        <f t="shared" si="2"/>
        <v>-1.1944829406718142E-2</v>
      </c>
      <c r="D113" s="13">
        <f t="shared" si="3"/>
        <v>2.3936533989878266E-2</v>
      </c>
    </row>
    <row r="114" spans="1:4" x14ac:dyDescent="0.35">
      <c r="A114" s="11">
        <v>36861</v>
      </c>
      <c r="B114" s="15">
        <f>VLOOKUP(A114,Database!A:K,MATCH($A$1,Database!$A$1:$K$1,),)+VLOOKUP(A114,Database!A:K,MATCH($B$1,Database!$A$1:$K$1,),)</f>
        <v>14506</v>
      </c>
      <c r="C114" s="12">
        <f t="shared" si="2"/>
        <v>-3.1124766230296554E-2</v>
      </c>
      <c r="D114" s="13">
        <f t="shared" si="3"/>
        <v>-1.6142159522517633E-2</v>
      </c>
    </row>
    <row r="115" spans="1:4" x14ac:dyDescent="0.35">
      <c r="A115" s="10">
        <v>36892</v>
      </c>
      <c r="B115" s="15">
        <f>VLOOKUP(A115,Database!A:K,MATCH($A$1,Database!$A$1:$K$1,),)+VLOOKUP(A115,Database!A:K,MATCH($B$1,Database!$A$1:$K$1,),)</f>
        <v>15140</v>
      </c>
      <c r="C115" s="12">
        <f t="shared" si="2"/>
        <v>4.3706052667861574E-2</v>
      </c>
      <c r="D115" s="13">
        <f t="shared" si="3"/>
        <v>3.3799456557757307E-3</v>
      </c>
    </row>
    <row r="116" spans="1:4" x14ac:dyDescent="0.35">
      <c r="A116" s="11">
        <v>36923</v>
      </c>
      <c r="B116" s="15">
        <f>VLOOKUP(A116,Database!A:K,MATCH($A$1,Database!$A$1:$K$1,),)+VLOOKUP(A116,Database!A:K,MATCH($B$1,Database!$A$1:$K$1,),)</f>
        <v>14945</v>
      </c>
      <c r="C116" s="12">
        <f t="shared" si="2"/>
        <v>-1.2879788639365918E-2</v>
      </c>
      <c r="D116" s="13">
        <f t="shared" si="3"/>
        <v>-1.8197345946656156E-2</v>
      </c>
    </row>
    <row r="117" spans="1:4" x14ac:dyDescent="0.35">
      <c r="A117" s="10">
        <v>36951</v>
      </c>
      <c r="B117" s="15">
        <f>VLOOKUP(A117,Database!A:K,MATCH($A$1,Database!$A$1:$K$1,),)+VLOOKUP(A117,Database!A:K,MATCH($B$1,Database!$A$1:$K$1,),)</f>
        <v>14816</v>
      </c>
      <c r="C117" s="12">
        <f t="shared" si="2"/>
        <v>-8.6316493810639008E-3</v>
      </c>
      <c r="D117" s="13">
        <f t="shared" si="3"/>
        <v>-2.8522719821651041E-2</v>
      </c>
    </row>
    <row r="118" spans="1:4" x14ac:dyDescent="0.35">
      <c r="A118" s="11">
        <v>36982</v>
      </c>
      <c r="B118" s="15">
        <f>VLOOKUP(A118,Database!A:K,MATCH($A$1,Database!$A$1:$K$1,),)+VLOOKUP(A118,Database!A:K,MATCH($B$1,Database!$A$1:$K$1,),)</f>
        <v>14772</v>
      </c>
      <c r="C118" s="12">
        <f t="shared" si="2"/>
        <v>-2.9697624190064796E-3</v>
      </c>
      <c r="D118" s="13">
        <f t="shared" si="3"/>
        <v>-4.9543173336764897E-2</v>
      </c>
    </row>
    <row r="119" spans="1:4" x14ac:dyDescent="0.35">
      <c r="A119" s="10">
        <v>37012</v>
      </c>
      <c r="B119" s="15">
        <f>VLOOKUP(A119,Database!A:K,MATCH($A$1,Database!$A$1:$K$1,),)+VLOOKUP(A119,Database!A:K,MATCH($B$1,Database!$A$1:$K$1,),)</f>
        <v>14694</v>
      </c>
      <c r="C119" s="12">
        <f t="shared" si="2"/>
        <v>-5.280259951259139E-3</v>
      </c>
      <c r="D119" s="13">
        <f t="shared" si="3"/>
        <v>-3.8602460088981945E-2</v>
      </c>
    </row>
    <row r="120" spans="1:4" x14ac:dyDescent="0.35">
      <c r="A120" s="11">
        <v>37043</v>
      </c>
      <c r="B120" s="15">
        <f>VLOOKUP(A120,Database!A:K,MATCH($A$1,Database!$A$1:$K$1,),)+VLOOKUP(A120,Database!A:K,MATCH($B$1,Database!$A$1:$K$1,),)</f>
        <v>14859</v>
      </c>
      <c r="C120" s="12">
        <f t="shared" si="2"/>
        <v>1.1229073091057574E-2</v>
      </c>
      <c r="D120" s="13">
        <f t="shared" si="3"/>
        <v>-1.124567474048443E-2</v>
      </c>
    </row>
    <row r="121" spans="1:4" x14ac:dyDescent="0.35">
      <c r="A121" s="10">
        <v>37073</v>
      </c>
      <c r="B121" s="15">
        <f>VLOOKUP(A121,Database!A:K,MATCH($A$1,Database!$A$1:$K$1,),)+VLOOKUP(A121,Database!A:K,MATCH($B$1,Database!$A$1:$K$1,),)</f>
        <v>14969</v>
      </c>
      <c r="C121" s="12">
        <f t="shared" si="2"/>
        <v>7.4029207887475607E-3</v>
      </c>
      <c r="D121" s="13">
        <f t="shared" si="3"/>
        <v>-1.162099702872235E-2</v>
      </c>
    </row>
    <row r="122" spans="1:4" x14ac:dyDescent="0.35">
      <c r="A122" s="11">
        <v>37104</v>
      </c>
      <c r="B122" s="15">
        <f>VLOOKUP(A122,Database!A:K,MATCH($A$1,Database!$A$1:$K$1,),)+VLOOKUP(A122,Database!A:K,MATCH($B$1,Database!$A$1:$K$1,),)</f>
        <v>14904</v>
      </c>
      <c r="C122" s="12">
        <f t="shared" si="2"/>
        <v>-4.3423074353664236E-3</v>
      </c>
      <c r="D122" s="13">
        <f t="shared" si="3"/>
        <v>-1.4416082528766036E-2</v>
      </c>
    </row>
    <row r="123" spans="1:4" x14ac:dyDescent="0.35">
      <c r="A123" s="10">
        <v>37135</v>
      </c>
      <c r="B123" s="15">
        <f>VLOOKUP(A123,Database!A:K,MATCH($A$1,Database!$A$1:$K$1,),)+VLOOKUP(A123,Database!A:K,MATCH($B$1,Database!$A$1:$K$1,),)</f>
        <v>14560</v>
      </c>
      <c r="C123" s="12">
        <f t="shared" si="2"/>
        <v>-2.3081052066559311E-2</v>
      </c>
      <c r="D123" s="13">
        <f t="shared" si="3"/>
        <v>-4.5433685176686556E-2</v>
      </c>
    </row>
    <row r="124" spans="1:4" x14ac:dyDescent="0.35">
      <c r="A124" s="11">
        <v>37165</v>
      </c>
      <c r="B124" s="15">
        <f>VLOOKUP(A124,Database!A:K,MATCH($A$1,Database!$A$1:$K$1,),)+VLOOKUP(A124,Database!A:K,MATCH($B$1,Database!$A$1:$K$1,),)</f>
        <v>14780</v>
      </c>
      <c r="C124" s="12">
        <f t="shared" si="2"/>
        <v>1.510989010989011E-2</v>
      </c>
      <c r="D124" s="13">
        <f t="shared" si="3"/>
        <v>-2.4615587672408103E-2</v>
      </c>
    </row>
    <row r="125" spans="1:4" x14ac:dyDescent="0.35">
      <c r="A125" s="10">
        <v>37196</v>
      </c>
      <c r="B125" s="15">
        <f>VLOOKUP(A125,Database!A:K,MATCH($A$1,Database!$A$1:$K$1,),)+VLOOKUP(A125,Database!A:K,MATCH($B$1,Database!$A$1:$K$1,),)</f>
        <v>15356</v>
      </c>
      <c r="C125" s="12">
        <f t="shared" si="2"/>
        <v>3.8971583220568339E-2</v>
      </c>
      <c r="D125" s="13">
        <f t="shared" si="3"/>
        <v>2.5647876035265828E-2</v>
      </c>
    </row>
    <row r="126" spans="1:4" x14ac:dyDescent="0.35">
      <c r="A126" s="11">
        <v>37226</v>
      </c>
      <c r="B126" s="15">
        <f>VLOOKUP(A126,Database!A:K,MATCH($A$1,Database!$A$1:$K$1,),)+VLOOKUP(A126,Database!A:K,MATCH($B$1,Database!$A$1:$K$1,),)</f>
        <v>15694</v>
      </c>
      <c r="C126" s="12">
        <f t="shared" si="2"/>
        <v>2.201094034904923E-2</v>
      </c>
      <c r="D126" s="13">
        <f t="shared" si="3"/>
        <v>8.189714600854818E-2</v>
      </c>
    </row>
    <row r="127" spans="1:4" x14ac:dyDescent="0.35">
      <c r="A127" s="10">
        <v>37257</v>
      </c>
      <c r="B127" s="15">
        <f>VLOOKUP(A127,Database!A:K,MATCH($A$1,Database!$A$1:$K$1,),)+VLOOKUP(A127,Database!A:K,MATCH($B$1,Database!$A$1:$K$1,),)</f>
        <v>15451</v>
      </c>
      <c r="C127" s="12">
        <f t="shared" si="2"/>
        <v>-1.548362431502485E-2</v>
      </c>
      <c r="D127" s="13">
        <f t="shared" si="3"/>
        <v>2.0541611624834876E-2</v>
      </c>
    </row>
    <row r="128" spans="1:4" x14ac:dyDescent="0.35">
      <c r="A128" s="11">
        <v>37288</v>
      </c>
      <c r="B128" s="15">
        <f>VLOOKUP(A128,Database!A:K,MATCH($A$1,Database!$A$1:$K$1,),)+VLOOKUP(A128,Database!A:K,MATCH($B$1,Database!$A$1:$K$1,),)</f>
        <v>15575</v>
      </c>
      <c r="C128" s="12">
        <f t="shared" si="2"/>
        <v>8.0253705261795361E-3</v>
      </c>
      <c r="D128" s="13">
        <f t="shared" si="3"/>
        <v>4.2154566744730677E-2</v>
      </c>
    </row>
    <row r="129" spans="1:4" x14ac:dyDescent="0.35">
      <c r="A129" s="10">
        <v>37316</v>
      </c>
      <c r="B129" s="15">
        <f>VLOOKUP(A129,Database!A:K,MATCH($A$1,Database!$A$1:$K$1,),)+VLOOKUP(A129,Database!A:K,MATCH($B$1,Database!$A$1:$K$1,),)</f>
        <v>15626</v>
      </c>
      <c r="C129" s="12">
        <f t="shared" si="2"/>
        <v>3.2744783306581059E-3</v>
      </c>
      <c r="D129" s="13">
        <f t="shared" si="3"/>
        <v>5.4670626349892011E-2</v>
      </c>
    </row>
    <row r="130" spans="1:4" x14ac:dyDescent="0.35">
      <c r="A130" s="11">
        <v>37347</v>
      </c>
      <c r="B130" s="15">
        <f>VLOOKUP(A130,Database!A:K,MATCH($A$1,Database!$A$1:$K$1,),)+VLOOKUP(A130,Database!A:K,MATCH($B$1,Database!$A$1:$K$1,),)</f>
        <v>15490</v>
      </c>
      <c r="C130" s="12">
        <f t="shared" si="2"/>
        <v>-8.7034429796493031E-3</v>
      </c>
      <c r="D130" s="13">
        <f t="shared" si="3"/>
        <v>4.8605469807744384E-2</v>
      </c>
    </row>
    <row r="131" spans="1:4" x14ac:dyDescent="0.35">
      <c r="A131" s="10">
        <v>37377</v>
      </c>
      <c r="B131" s="15">
        <f>VLOOKUP(A131,Database!A:K,MATCH($A$1,Database!$A$1:$K$1,),)+VLOOKUP(A131,Database!A:K,MATCH($B$1,Database!$A$1:$K$1,),)</f>
        <v>15637</v>
      </c>
      <c r="C131" s="12">
        <f t="shared" si="2"/>
        <v>9.4899935442220792E-3</v>
      </c>
      <c r="D131" s="13">
        <f t="shared" si="3"/>
        <v>6.4175854090104803E-2</v>
      </c>
    </row>
    <row r="132" spans="1:4" x14ac:dyDescent="0.35">
      <c r="A132" s="11">
        <v>37408</v>
      </c>
      <c r="B132" s="15">
        <f>VLOOKUP(A132,Database!A:K,MATCH($A$1,Database!$A$1:$K$1,),)+VLOOKUP(A132,Database!A:K,MATCH($B$1,Database!$A$1:$K$1,),)</f>
        <v>15487</v>
      </c>
      <c r="C132" s="12">
        <f t="shared" si="2"/>
        <v>-9.5926328579650829E-3</v>
      </c>
      <c r="D132" s="13">
        <f t="shared" si="3"/>
        <v>4.2263947775758801E-2</v>
      </c>
    </row>
    <row r="133" spans="1:4" x14ac:dyDescent="0.35">
      <c r="A133" s="10">
        <v>37438</v>
      </c>
      <c r="B133" s="15">
        <f>VLOOKUP(A133,Database!A:K,MATCH($A$1,Database!$A$1:$K$1,),)+VLOOKUP(A133,Database!A:K,MATCH($B$1,Database!$A$1:$K$1,),)</f>
        <v>15284</v>
      </c>
      <c r="C133" s="12">
        <f t="shared" si="2"/>
        <v>-1.3107767805256021E-2</v>
      </c>
      <c r="D133" s="13">
        <f t="shared" si="3"/>
        <v>2.104348987908344E-2</v>
      </c>
    </row>
    <row r="134" spans="1:4" x14ac:dyDescent="0.35">
      <c r="A134" s="11">
        <v>37469</v>
      </c>
      <c r="B134" s="15">
        <f>VLOOKUP(A134,Database!A:K,MATCH($A$1,Database!$A$1:$K$1,),)+VLOOKUP(A134,Database!A:K,MATCH($B$1,Database!$A$1:$K$1,),)</f>
        <v>15357</v>
      </c>
      <c r="C134" s="12">
        <f t="shared" si="2"/>
        <v>4.7762365872808165E-3</v>
      </c>
      <c r="D134" s="13">
        <f t="shared" si="3"/>
        <v>3.0394524959742351E-2</v>
      </c>
    </row>
    <row r="135" spans="1:4" x14ac:dyDescent="0.35">
      <c r="A135" s="10">
        <v>37500</v>
      </c>
      <c r="B135" s="15">
        <f>VLOOKUP(A135,Database!A:K,MATCH($A$1,Database!$A$1:$K$1,),)+VLOOKUP(A135,Database!A:K,MATCH($B$1,Database!$A$1:$K$1,),)</f>
        <v>15343</v>
      </c>
      <c r="C135" s="12">
        <f t="shared" si="2"/>
        <v>-9.1163638731523084E-4</v>
      </c>
      <c r="D135" s="13">
        <f t="shared" si="3"/>
        <v>5.3777472527472531E-2</v>
      </c>
    </row>
    <row r="136" spans="1:4" x14ac:dyDescent="0.35">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35">
      <c r="A137" s="10">
        <v>37561</v>
      </c>
      <c r="B137" s="15">
        <f>VLOOKUP(A137,Database!A:K,MATCH($A$1,Database!$A$1:$K$1,),)+VLOOKUP(A137,Database!A:K,MATCH($B$1,Database!$A$1:$K$1,),)</f>
        <v>15508</v>
      </c>
      <c r="C137" s="12">
        <f t="shared" si="4"/>
        <v>1.2866566520802038E-2</v>
      </c>
      <c r="D137" s="13">
        <f t="shared" si="3"/>
        <v>9.8984110445428496E-3</v>
      </c>
    </row>
    <row r="138" spans="1:4" x14ac:dyDescent="0.35">
      <c r="A138" s="11">
        <v>37591</v>
      </c>
      <c r="B138" s="15">
        <f>VLOOKUP(A138,Database!A:K,MATCH($A$1,Database!$A$1:$K$1,),)+VLOOKUP(A138,Database!A:K,MATCH($B$1,Database!$A$1:$K$1,),)</f>
        <v>15587</v>
      </c>
      <c r="C138" s="12">
        <f t="shared" si="4"/>
        <v>5.0941449574413208E-3</v>
      </c>
      <c r="D138" s="13">
        <f t="shared" si="3"/>
        <v>-6.8178921880973622E-3</v>
      </c>
    </row>
    <row r="139" spans="1:4" x14ac:dyDescent="0.35">
      <c r="A139" s="10">
        <v>37622</v>
      </c>
      <c r="B139" s="15">
        <f>VLOOKUP(A139,Database!A:K,MATCH($A$1,Database!$A$1:$K$1,),)+VLOOKUP(A139,Database!A:K,MATCH($B$1,Database!$A$1:$K$1,),)</f>
        <v>15263</v>
      </c>
      <c r="C139" s="12">
        <f t="shared" si="4"/>
        <v>-2.078655289664464E-2</v>
      </c>
      <c r="D139" s="13">
        <f t="shared" si="3"/>
        <v>-1.2167497249368973E-2</v>
      </c>
    </row>
    <row r="140" spans="1:4" x14ac:dyDescent="0.35">
      <c r="A140" s="11">
        <v>37653</v>
      </c>
      <c r="B140" s="15">
        <f>VLOOKUP(A140,Database!A:K,MATCH($A$1,Database!$A$1:$K$1,),)+VLOOKUP(A140,Database!A:K,MATCH($B$1,Database!$A$1:$K$1,),)</f>
        <v>14855</v>
      </c>
      <c r="C140" s="12">
        <f t="shared" si="4"/>
        <v>-2.6731311013562208E-2</v>
      </c>
      <c r="D140" s="13">
        <f t="shared" si="3"/>
        <v>-4.6227929373996793E-2</v>
      </c>
    </row>
    <row r="141" spans="1:4" x14ac:dyDescent="0.35">
      <c r="A141" s="10">
        <v>37681</v>
      </c>
      <c r="B141" s="15">
        <f>VLOOKUP(A141,Database!A:K,MATCH($A$1,Database!$A$1:$K$1,),)+VLOOKUP(A141,Database!A:K,MATCH($B$1,Database!$A$1:$K$1,),)</f>
        <v>15218</v>
      </c>
      <c r="C141" s="12">
        <f t="shared" si="4"/>
        <v>2.4436216762032986E-2</v>
      </c>
      <c r="D141" s="13">
        <f t="shared" si="3"/>
        <v>-2.6110328938947908E-2</v>
      </c>
    </row>
    <row r="142" spans="1:4" x14ac:dyDescent="0.35">
      <c r="A142" s="11">
        <v>37712</v>
      </c>
      <c r="B142" s="15">
        <f>VLOOKUP(A142,Database!A:K,MATCH($A$1,Database!$A$1:$K$1,),)+VLOOKUP(A142,Database!A:K,MATCH($B$1,Database!$A$1:$K$1,),)</f>
        <v>15335</v>
      </c>
      <c r="C142" s="12">
        <f t="shared" si="4"/>
        <v>7.6882638980155082E-3</v>
      </c>
      <c r="D142" s="13">
        <f t="shared" si="3"/>
        <v>-1.0006455777921239E-2</v>
      </c>
    </row>
    <row r="143" spans="1:4" x14ac:dyDescent="0.35">
      <c r="A143" s="10">
        <v>37742</v>
      </c>
      <c r="B143" s="15">
        <f>VLOOKUP(A143,Database!A:K,MATCH($A$1,Database!$A$1:$K$1,),)+VLOOKUP(A143,Database!A:K,MATCH($B$1,Database!$A$1:$K$1,),)</f>
        <v>15625</v>
      </c>
      <c r="C143" s="12">
        <f t="shared" si="4"/>
        <v>1.8910987936093904E-2</v>
      </c>
      <c r="D143" s="13">
        <f t="shared" si="3"/>
        <v>-7.6741062863720658E-4</v>
      </c>
    </row>
    <row r="144" spans="1:4" x14ac:dyDescent="0.35">
      <c r="A144" s="11">
        <v>37773</v>
      </c>
      <c r="B144" s="15">
        <f>VLOOKUP(A144,Database!A:K,MATCH($A$1,Database!$A$1:$K$1,),)+VLOOKUP(A144,Database!A:K,MATCH($B$1,Database!$A$1:$K$1,),)</f>
        <v>15734</v>
      </c>
      <c r="C144" s="12">
        <f t="shared" si="4"/>
        <v>6.9760000000000004E-3</v>
      </c>
      <c r="D144" s="13">
        <f t="shared" si="3"/>
        <v>1.5948860334474076E-2</v>
      </c>
    </row>
    <row r="145" spans="1:4" x14ac:dyDescent="0.35">
      <c r="A145" s="10">
        <v>37803</v>
      </c>
      <c r="B145" s="15">
        <f>VLOOKUP(A145,Database!A:K,MATCH($A$1,Database!$A$1:$K$1,),)+VLOOKUP(A145,Database!A:K,MATCH($B$1,Database!$A$1:$K$1,),)</f>
        <v>15846</v>
      </c>
      <c r="C145" s="12">
        <f t="shared" si="4"/>
        <v>7.1183424431168173E-3</v>
      </c>
      <c r="D145" s="13">
        <f t="shared" si="3"/>
        <v>3.6770478932216695E-2</v>
      </c>
    </row>
    <row r="146" spans="1:4" x14ac:dyDescent="0.35">
      <c r="A146" s="11">
        <v>37834</v>
      </c>
      <c r="B146" s="15">
        <f>VLOOKUP(A146,Database!A:K,MATCH($A$1,Database!$A$1:$K$1,),)+VLOOKUP(A146,Database!A:K,MATCH($B$1,Database!$A$1:$K$1,),)</f>
        <v>16070</v>
      </c>
      <c r="C146" s="12">
        <f t="shared" si="4"/>
        <v>1.4136059573393917E-2</v>
      </c>
      <c r="D146" s="13">
        <f t="shared" si="3"/>
        <v>4.642833886826854E-2</v>
      </c>
    </row>
    <row r="147" spans="1:4" x14ac:dyDescent="0.35">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35">
      <c r="A148" s="11">
        <v>37895</v>
      </c>
      <c r="B148" s="15">
        <f>VLOOKUP(A148,Database!A:K,MATCH($A$1,Database!$A$1:$K$1,),)+VLOOKUP(A148,Database!A:K,MATCH($B$1,Database!$A$1:$K$1,),)</f>
        <v>16228</v>
      </c>
      <c r="C148" s="12">
        <f t="shared" si="4"/>
        <v>6.5124356509334491E-3</v>
      </c>
      <c r="D148" s="13">
        <f t="shared" si="5"/>
        <v>5.9891581216119129E-2</v>
      </c>
    </row>
    <row r="149" spans="1:4" x14ac:dyDescent="0.35">
      <c r="A149" s="10">
        <v>37926</v>
      </c>
      <c r="B149" s="15">
        <f>VLOOKUP(A149,Database!A:K,MATCH($A$1,Database!$A$1:$K$1,),)+VLOOKUP(A149,Database!A:K,MATCH($B$1,Database!$A$1:$K$1,),)</f>
        <v>16388</v>
      </c>
      <c r="C149" s="12">
        <f t="shared" si="4"/>
        <v>9.8595020951441955E-3</v>
      </c>
      <c r="D149" s="13">
        <f t="shared" si="5"/>
        <v>5.6744905855042556E-2</v>
      </c>
    </row>
    <row r="150" spans="1:4" x14ac:dyDescent="0.35">
      <c r="A150" s="11">
        <v>37956</v>
      </c>
      <c r="B150" s="15">
        <f>VLOOKUP(A150,Database!A:K,MATCH($A$1,Database!$A$1:$K$1,),)+VLOOKUP(A150,Database!A:K,MATCH($B$1,Database!$A$1:$K$1,),)</f>
        <v>16439</v>
      </c>
      <c r="C150" s="12">
        <f t="shared" si="4"/>
        <v>3.1120331950207467E-3</v>
      </c>
      <c r="D150" s="13">
        <f t="shared" si="5"/>
        <v>5.4660935394880351E-2</v>
      </c>
    </row>
    <row r="151" spans="1:4" x14ac:dyDescent="0.35">
      <c r="A151" s="10">
        <v>37987</v>
      </c>
      <c r="B151" s="15">
        <f>VLOOKUP(A151,Database!A:K,MATCH($A$1,Database!$A$1:$K$1,),)+VLOOKUP(A151,Database!A:K,MATCH($B$1,Database!$A$1:$K$1,),)</f>
        <v>16411</v>
      </c>
      <c r="C151" s="12">
        <f t="shared" si="4"/>
        <v>-1.7032666220573027E-3</v>
      </c>
      <c r="D151" s="13">
        <f t="shared" si="5"/>
        <v>7.5214571185219153E-2</v>
      </c>
    </row>
    <row r="152" spans="1:4" x14ac:dyDescent="0.35">
      <c r="A152" s="11">
        <v>38018</v>
      </c>
      <c r="B152" s="15">
        <f>VLOOKUP(A152,Database!A:K,MATCH($A$1,Database!$A$1:$K$1,),)+VLOOKUP(A152,Database!A:K,MATCH($B$1,Database!$A$1:$K$1,),)</f>
        <v>16455</v>
      </c>
      <c r="C152" s="12">
        <f t="shared" si="4"/>
        <v>2.681128511364329E-3</v>
      </c>
      <c r="D152" s="13">
        <f t="shared" si="5"/>
        <v>0.10770784247728038</v>
      </c>
    </row>
    <row r="153" spans="1:4" x14ac:dyDescent="0.35">
      <c r="A153" s="10">
        <v>38047</v>
      </c>
      <c r="B153" s="15">
        <f>VLOOKUP(A153,Database!A:K,MATCH($A$1,Database!$A$1:$K$1,),)+VLOOKUP(A153,Database!A:K,MATCH($B$1,Database!$A$1:$K$1,),)</f>
        <v>16702</v>
      </c>
      <c r="C153" s="12">
        <f t="shared" si="4"/>
        <v>1.5010635065329687E-2</v>
      </c>
      <c r="D153" s="13">
        <f t="shared" si="5"/>
        <v>9.7516099356025759E-2</v>
      </c>
    </row>
    <row r="154" spans="1:4" x14ac:dyDescent="0.35">
      <c r="A154" s="11">
        <v>38078</v>
      </c>
      <c r="B154" s="15">
        <f>VLOOKUP(A154,Database!A:K,MATCH($A$1,Database!$A$1:$K$1,),)+VLOOKUP(A154,Database!A:K,MATCH($B$1,Database!$A$1:$K$1,),)</f>
        <v>16737</v>
      </c>
      <c r="C154" s="12">
        <f t="shared" si="4"/>
        <v>2.0955574182732607E-3</v>
      </c>
      <c r="D154" s="13">
        <f t="shared" si="5"/>
        <v>9.1424845125529827E-2</v>
      </c>
    </row>
    <row r="155" spans="1:4" x14ac:dyDescent="0.35">
      <c r="A155" s="10">
        <v>38108</v>
      </c>
      <c r="B155" s="15">
        <f>VLOOKUP(A155,Database!A:K,MATCH($A$1,Database!$A$1:$K$1,),)+VLOOKUP(A155,Database!A:K,MATCH($B$1,Database!$A$1:$K$1,),)</f>
        <v>16630</v>
      </c>
      <c r="C155" s="12">
        <f t="shared" si="4"/>
        <v>-6.3930214494831812E-3</v>
      </c>
      <c r="D155" s="13">
        <f t="shared" si="5"/>
        <v>6.4320000000000002E-2</v>
      </c>
    </row>
    <row r="156" spans="1:4" x14ac:dyDescent="0.35">
      <c r="A156" s="11">
        <v>38139</v>
      </c>
      <c r="B156" s="15">
        <f>VLOOKUP(A156,Database!A:K,MATCH($A$1,Database!$A$1:$K$1,),)+VLOOKUP(A156,Database!A:K,MATCH($B$1,Database!$A$1:$K$1,),)</f>
        <v>16869</v>
      </c>
      <c r="C156" s="12">
        <f t="shared" si="4"/>
        <v>1.4371617558628983E-2</v>
      </c>
      <c r="D156" s="13">
        <f t="shared" si="5"/>
        <v>7.2136773865514175E-2</v>
      </c>
    </row>
    <row r="157" spans="1:4" x14ac:dyDescent="0.35">
      <c r="A157" s="10">
        <v>38169</v>
      </c>
      <c r="B157" s="15">
        <f>VLOOKUP(A157,Database!A:K,MATCH($A$1,Database!$A$1:$K$1,),)+VLOOKUP(A157,Database!A:K,MATCH($B$1,Database!$A$1:$K$1,),)</f>
        <v>17205</v>
      </c>
      <c r="C157" s="12">
        <f t="shared" si="4"/>
        <v>1.991819313533701E-2</v>
      </c>
      <c r="D157" s="13">
        <f t="shared" si="5"/>
        <v>8.5762968572510409E-2</v>
      </c>
    </row>
    <row r="158" spans="1:4" x14ac:dyDescent="0.35">
      <c r="A158" s="11">
        <v>38200</v>
      </c>
      <c r="B158" s="15">
        <f>VLOOKUP(A158,Database!A:K,MATCH($A$1,Database!$A$1:$K$1,),)+VLOOKUP(A158,Database!A:K,MATCH($B$1,Database!$A$1:$K$1,),)</f>
        <v>17010</v>
      </c>
      <c r="C158" s="12">
        <f t="shared" si="4"/>
        <v>-1.1333914559721011E-2</v>
      </c>
      <c r="D158" s="13">
        <f t="shared" si="5"/>
        <v>5.8494088363410079E-2</v>
      </c>
    </row>
    <row r="159" spans="1:4" x14ac:dyDescent="0.35">
      <c r="A159" s="10">
        <v>38231</v>
      </c>
      <c r="B159" s="15">
        <f>VLOOKUP(A159,Database!A:K,MATCH($A$1,Database!$A$1:$K$1,),)+VLOOKUP(A159,Database!A:K,MATCH($B$1,Database!$A$1:$K$1,),)</f>
        <v>17026</v>
      </c>
      <c r="C159" s="12">
        <f t="shared" si="4"/>
        <v>9.4062316284538509E-4</v>
      </c>
      <c r="D159" s="13">
        <f t="shared" si="5"/>
        <v>5.6006946598027664E-2</v>
      </c>
    </row>
    <row r="160" spans="1:4" x14ac:dyDescent="0.35">
      <c r="A160" s="11">
        <v>38261</v>
      </c>
      <c r="B160" s="15">
        <f>VLOOKUP(A160,Database!A:K,MATCH($A$1,Database!$A$1:$K$1,),)+VLOOKUP(A160,Database!A:K,MATCH($B$1,Database!$A$1:$K$1,),)</f>
        <v>17300</v>
      </c>
      <c r="C160" s="12">
        <f t="shared" si="4"/>
        <v>1.6093034183014214E-2</v>
      </c>
      <c r="D160" s="13">
        <f t="shared" si="5"/>
        <v>6.6058664037466103E-2</v>
      </c>
    </row>
    <row r="161" spans="1:4" x14ac:dyDescent="0.35">
      <c r="A161" s="10">
        <v>38292</v>
      </c>
      <c r="B161" s="15">
        <f>VLOOKUP(A161,Database!A:K,MATCH($A$1,Database!$A$1:$K$1,),)+VLOOKUP(A161,Database!A:K,MATCH($B$1,Database!$A$1:$K$1,),)</f>
        <v>17201</v>
      </c>
      <c r="C161" s="12">
        <f t="shared" si="4"/>
        <v>-5.7225433526011558E-3</v>
      </c>
      <c r="D161" s="13">
        <f t="shared" si="5"/>
        <v>4.9609470344154256E-2</v>
      </c>
    </row>
    <row r="162" spans="1:4" x14ac:dyDescent="0.35">
      <c r="A162" s="11">
        <v>38322</v>
      </c>
      <c r="B162" s="15">
        <f>VLOOKUP(A162,Database!A:K,MATCH($A$1,Database!$A$1:$K$1,),)+VLOOKUP(A162,Database!A:K,MATCH($B$1,Database!$A$1:$K$1,),)</f>
        <v>17418</v>
      </c>
      <c r="C162" s="12">
        <f t="shared" si="4"/>
        <v>1.26155456078135E-2</v>
      </c>
      <c r="D162" s="13">
        <f t="shared" si="5"/>
        <v>5.9553500821217839E-2</v>
      </c>
    </row>
    <row r="163" spans="1:4" x14ac:dyDescent="0.35">
      <c r="A163" s="10">
        <v>38353</v>
      </c>
      <c r="B163" s="15">
        <f>VLOOKUP(A163,Database!A:K,MATCH($A$1,Database!$A$1:$K$1,),)+VLOOKUP(A163,Database!A:K,MATCH($B$1,Database!$A$1:$K$1,),)</f>
        <v>17411</v>
      </c>
      <c r="C163" s="12">
        <f t="shared" si="4"/>
        <v>-4.0188310942702952E-4</v>
      </c>
      <c r="D163" s="13">
        <f t="shared" si="5"/>
        <v>6.0934738894643833E-2</v>
      </c>
    </row>
    <row r="164" spans="1:4" x14ac:dyDescent="0.35">
      <c r="A164" s="11">
        <v>38384</v>
      </c>
      <c r="B164" s="15">
        <f>VLOOKUP(A164,Database!A:K,MATCH($A$1,Database!$A$1:$K$1,),)+VLOOKUP(A164,Database!A:K,MATCH($B$1,Database!$A$1:$K$1,),)</f>
        <v>17673</v>
      </c>
      <c r="C164" s="12">
        <f t="shared" si="4"/>
        <v>1.5047958187352823E-2</v>
      </c>
      <c r="D164" s="13">
        <f t="shared" si="5"/>
        <v>7.4020054694621695E-2</v>
      </c>
    </row>
    <row r="165" spans="1:4" x14ac:dyDescent="0.35">
      <c r="A165" s="10">
        <v>38412</v>
      </c>
      <c r="B165" s="15">
        <f>VLOOKUP(A165,Database!A:K,MATCH($A$1,Database!$A$1:$K$1,),)+VLOOKUP(A165,Database!A:K,MATCH($B$1,Database!$A$1:$K$1,),)</f>
        <v>17624</v>
      </c>
      <c r="C165" s="12">
        <f t="shared" si="4"/>
        <v>-2.7725909579584679E-3</v>
      </c>
      <c r="D165" s="13">
        <f t="shared" si="5"/>
        <v>5.5202969704227035E-2</v>
      </c>
    </row>
    <row r="166" spans="1:4" x14ac:dyDescent="0.35">
      <c r="A166" s="11">
        <v>38443</v>
      </c>
      <c r="B166" s="15">
        <f>VLOOKUP(A166,Database!A:K,MATCH($A$1,Database!$A$1:$K$1,),)+VLOOKUP(A166,Database!A:K,MATCH($B$1,Database!$A$1:$K$1,),)</f>
        <v>17814</v>
      </c>
      <c r="C166" s="12">
        <f t="shared" si="4"/>
        <v>1.0780753517930095E-2</v>
      </c>
      <c r="D166" s="13">
        <f t="shared" si="5"/>
        <v>6.4348449542928843E-2</v>
      </c>
    </row>
    <row r="167" spans="1:4" x14ac:dyDescent="0.35">
      <c r="A167" s="10">
        <v>38473</v>
      </c>
      <c r="B167" s="15">
        <f>VLOOKUP(A167,Database!A:K,MATCH($A$1,Database!$A$1:$K$1,),)+VLOOKUP(A167,Database!A:K,MATCH($B$1,Database!$A$1:$K$1,),)</f>
        <v>17738</v>
      </c>
      <c r="C167" s="12">
        <f t="shared" si="4"/>
        <v>-4.2663073986751992E-3</v>
      </c>
      <c r="D167" s="13">
        <f t="shared" si="5"/>
        <v>6.6626578472639808E-2</v>
      </c>
    </row>
    <row r="168" spans="1:4" x14ac:dyDescent="0.35">
      <c r="A168" s="11">
        <v>38504</v>
      </c>
      <c r="B168" s="15">
        <f>VLOOKUP(A168,Database!A:K,MATCH($A$1,Database!$A$1:$K$1,),)+VLOOKUP(A168,Database!A:K,MATCH($B$1,Database!$A$1:$K$1,),)</f>
        <v>17921</v>
      </c>
      <c r="C168" s="12">
        <f t="shared" si="4"/>
        <v>1.0316833915886796E-2</v>
      </c>
      <c r="D168" s="13">
        <f t="shared" si="5"/>
        <v>6.2362914221352775E-2</v>
      </c>
    </row>
    <row r="169" spans="1:4" x14ac:dyDescent="0.35">
      <c r="A169" s="10">
        <v>38534</v>
      </c>
      <c r="B169" s="15">
        <f>VLOOKUP(A169,Database!A:K,MATCH($A$1,Database!$A$1:$K$1,),)+VLOOKUP(A169,Database!A:K,MATCH($B$1,Database!$A$1:$K$1,),)</f>
        <v>17961</v>
      </c>
      <c r="C169" s="12">
        <f t="shared" si="4"/>
        <v>2.232018302550081E-3</v>
      </c>
      <c r="D169" s="13">
        <f t="shared" si="5"/>
        <v>4.3940714908456843E-2</v>
      </c>
    </row>
    <row r="170" spans="1:4" x14ac:dyDescent="0.35">
      <c r="A170" s="11">
        <v>38565</v>
      </c>
      <c r="B170" s="15">
        <f>VLOOKUP(A170,Database!A:K,MATCH($A$1,Database!$A$1:$K$1,),)+VLOOKUP(A170,Database!A:K,MATCH($B$1,Database!$A$1:$K$1,),)</f>
        <v>18061</v>
      </c>
      <c r="C170" s="12">
        <f t="shared" si="4"/>
        <v>5.5676187294694058E-3</v>
      </c>
      <c r="D170" s="13">
        <f t="shared" si="5"/>
        <v>6.1787184009406235E-2</v>
      </c>
    </row>
    <row r="171" spans="1:4" x14ac:dyDescent="0.35">
      <c r="A171" s="10">
        <v>38596</v>
      </c>
      <c r="B171" s="15">
        <f>VLOOKUP(A171,Database!A:K,MATCH($A$1,Database!$A$1:$K$1,),)+VLOOKUP(A171,Database!A:K,MATCH($B$1,Database!$A$1:$K$1,),)</f>
        <v>18199</v>
      </c>
      <c r="C171" s="12">
        <f t="shared" si="4"/>
        <v>7.6407729361607883E-3</v>
      </c>
      <c r="D171" s="13">
        <f t="shared" si="5"/>
        <v>6.8894631739692236E-2</v>
      </c>
    </row>
    <row r="172" spans="1:4" x14ac:dyDescent="0.35">
      <c r="A172" s="11">
        <v>38626</v>
      </c>
      <c r="B172" s="15">
        <f>VLOOKUP(A172,Database!A:K,MATCH($A$1,Database!$A$1:$K$1,),)+VLOOKUP(A172,Database!A:K,MATCH($B$1,Database!$A$1:$K$1,),)</f>
        <v>18362</v>
      </c>
      <c r="C172" s="12">
        <f t="shared" si="4"/>
        <v>8.9565360734106276E-3</v>
      </c>
      <c r="D172" s="13">
        <f t="shared" si="5"/>
        <v>6.1387283236994217E-2</v>
      </c>
    </row>
    <row r="173" spans="1:4" x14ac:dyDescent="0.35">
      <c r="A173" s="10">
        <v>38657</v>
      </c>
      <c r="B173" s="15">
        <f>VLOOKUP(A173,Database!A:K,MATCH($A$1,Database!$A$1:$K$1,),)+VLOOKUP(A173,Database!A:K,MATCH($B$1,Database!$A$1:$K$1,),)</f>
        <v>18284</v>
      </c>
      <c r="C173" s="12">
        <f t="shared" si="4"/>
        <v>-4.2479032785099659E-3</v>
      </c>
      <c r="D173" s="13">
        <f t="shared" si="5"/>
        <v>6.2961455729318064E-2</v>
      </c>
    </row>
    <row r="174" spans="1:4" x14ac:dyDescent="0.35">
      <c r="A174" s="11">
        <v>38687</v>
      </c>
      <c r="B174" s="15">
        <f>VLOOKUP(A174,Database!A:K,MATCH($A$1,Database!$A$1:$K$1,),)+VLOOKUP(A174,Database!A:K,MATCH($B$1,Database!$A$1:$K$1,),)</f>
        <v>18149</v>
      </c>
      <c r="C174" s="12">
        <f t="shared" si="4"/>
        <v>-7.3835047035659589E-3</v>
      </c>
      <c r="D174" s="13">
        <f t="shared" si="5"/>
        <v>4.1968078998736939E-2</v>
      </c>
    </row>
    <row r="175" spans="1:4" x14ac:dyDescent="0.35">
      <c r="A175" s="10">
        <v>38718</v>
      </c>
      <c r="B175" s="15">
        <f>VLOOKUP(A175,Database!A:K,MATCH($A$1,Database!$A$1:$K$1,),)+VLOOKUP(A175,Database!A:K,MATCH($B$1,Database!$A$1:$K$1,),)</f>
        <v>18956</v>
      </c>
      <c r="C175" s="12">
        <f t="shared" si="4"/>
        <v>4.4465259793928041E-2</v>
      </c>
      <c r="D175" s="13">
        <f t="shared" si="5"/>
        <v>8.8737005341450806E-2</v>
      </c>
    </row>
    <row r="176" spans="1:4" x14ac:dyDescent="0.35">
      <c r="A176" s="11">
        <v>38749</v>
      </c>
      <c r="B176" s="15">
        <f>VLOOKUP(A176,Database!A:K,MATCH($A$1,Database!$A$1:$K$1,),)+VLOOKUP(A176,Database!A:K,MATCH($B$1,Database!$A$1:$K$1,),)</f>
        <v>18540</v>
      </c>
      <c r="C176" s="12">
        <f t="shared" si="4"/>
        <v>-2.194555813462756E-2</v>
      </c>
      <c r="D176" s="13">
        <f t="shared" si="5"/>
        <v>4.9057884909183502E-2</v>
      </c>
    </row>
    <row r="177" spans="1:4" x14ac:dyDescent="0.35">
      <c r="A177" s="10">
        <v>38777</v>
      </c>
      <c r="B177" s="15">
        <f>VLOOKUP(A177,Database!A:K,MATCH($A$1,Database!$A$1:$K$1,),)+VLOOKUP(A177,Database!A:K,MATCH($B$1,Database!$A$1:$K$1,),)</f>
        <v>18616</v>
      </c>
      <c r="C177" s="12">
        <f t="shared" si="4"/>
        <v>4.0992448759439052E-3</v>
      </c>
      <c r="D177" s="13">
        <f t="shared" si="5"/>
        <v>5.6286881525192921E-2</v>
      </c>
    </row>
    <row r="178" spans="1:4" x14ac:dyDescent="0.35">
      <c r="A178" s="11">
        <v>38808</v>
      </c>
      <c r="B178" s="15">
        <f>VLOOKUP(A178,Database!A:K,MATCH($A$1,Database!$A$1:$K$1,),)+VLOOKUP(A178,Database!A:K,MATCH($B$1,Database!$A$1:$K$1,),)</f>
        <v>18567</v>
      </c>
      <c r="C178" s="12">
        <f t="shared" si="4"/>
        <v>-2.6321443919209283E-3</v>
      </c>
      <c r="D178" s="13">
        <f t="shared" si="5"/>
        <v>4.2270124621084537E-2</v>
      </c>
    </row>
    <row r="179" spans="1:4" x14ac:dyDescent="0.35">
      <c r="A179" s="10">
        <v>38838</v>
      </c>
      <c r="B179" s="15">
        <f>VLOOKUP(A179,Database!A:K,MATCH($A$1,Database!$A$1:$K$1,),)+VLOOKUP(A179,Database!A:K,MATCH($B$1,Database!$A$1:$K$1,),)</f>
        <v>18500</v>
      </c>
      <c r="C179" s="12">
        <f t="shared" si="4"/>
        <v>-3.6085528087467012E-3</v>
      </c>
      <c r="D179" s="13">
        <f t="shared" si="5"/>
        <v>4.2958619912053221E-2</v>
      </c>
    </row>
    <row r="180" spans="1:4" x14ac:dyDescent="0.35">
      <c r="A180" s="11">
        <v>38869</v>
      </c>
      <c r="B180" s="15">
        <f>VLOOKUP(A180,Database!A:K,MATCH($A$1,Database!$A$1:$K$1,),)+VLOOKUP(A180,Database!A:K,MATCH($B$1,Database!$A$1:$K$1,),)</f>
        <v>18615</v>
      </c>
      <c r="C180" s="12">
        <f t="shared" si="4"/>
        <v>6.216216216216216E-3</v>
      </c>
      <c r="D180" s="13">
        <f t="shared" si="5"/>
        <v>3.8725517549243901E-2</v>
      </c>
    </row>
    <row r="181" spans="1:4" x14ac:dyDescent="0.35">
      <c r="A181" s="10">
        <v>38899</v>
      </c>
      <c r="B181" s="15">
        <f>VLOOKUP(A181,Database!A:K,MATCH($A$1,Database!$A$1:$K$1,),)+VLOOKUP(A181,Database!A:K,MATCH($B$1,Database!$A$1:$K$1,),)</f>
        <v>18568</v>
      </c>
      <c r="C181" s="12">
        <f t="shared" si="4"/>
        <v>-2.5248455546602201E-3</v>
      </c>
      <c r="D181" s="13">
        <f t="shared" si="5"/>
        <v>3.3795445687879296E-2</v>
      </c>
    </row>
    <row r="182" spans="1:4" x14ac:dyDescent="0.35">
      <c r="A182" s="11">
        <v>38930</v>
      </c>
      <c r="B182" s="15">
        <f>VLOOKUP(A182,Database!A:K,MATCH($A$1,Database!$A$1:$K$1,),)+VLOOKUP(A182,Database!A:K,MATCH($B$1,Database!$A$1:$K$1,),)</f>
        <v>18546</v>
      </c>
      <c r="C182" s="12">
        <f t="shared" si="4"/>
        <v>-1.1848341232227489E-3</v>
      </c>
      <c r="D182" s="13">
        <f t="shared" si="5"/>
        <v>2.6853441116217264E-2</v>
      </c>
    </row>
    <row r="183" spans="1:4" x14ac:dyDescent="0.35">
      <c r="A183" s="10">
        <v>38961</v>
      </c>
      <c r="B183" s="15">
        <f>VLOOKUP(A183,Database!A:K,MATCH($A$1,Database!$A$1:$K$1,),)+VLOOKUP(A183,Database!A:K,MATCH($B$1,Database!$A$1:$K$1,),)</f>
        <v>18707</v>
      </c>
      <c r="C183" s="12">
        <f t="shared" si="4"/>
        <v>8.6811172220424889E-3</v>
      </c>
      <c r="D183" s="13">
        <f t="shared" si="5"/>
        <v>2.7913621627561953E-2</v>
      </c>
    </row>
    <row r="184" spans="1:4" x14ac:dyDescent="0.35">
      <c r="A184" s="11">
        <v>38991</v>
      </c>
      <c r="B184" s="15">
        <f>VLOOKUP(A184,Database!A:K,MATCH($A$1,Database!$A$1:$K$1,),)+VLOOKUP(A184,Database!A:K,MATCH($B$1,Database!$A$1:$K$1,),)</f>
        <v>18328</v>
      </c>
      <c r="C184" s="12">
        <f t="shared" si="4"/>
        <v>-2.025979579836425E-2</v>
      </c>
      <c r="D184" s="13">
        <f t="shared" si="5"/>
        <v>-1.8516501470428057E-3</v>
      </c>
    </row>
    <row r="185" spans="1:4" x14ac:dyDescent="0.35">
      <c r="A185" s="10">
        <v>39022</v>
      </c>
      <c r="B185" s="15">
        <f>VLOOKUP(A185,Database!A:K,MATCH($A$1,Database!$A$1:$K$1,),)+VLOOKUP(A185,Database!A:K,MATCH($B$1,Database!$A$1:$K$1,),)</f>
        <v>18469</v>
      </c>
      <c r="C185" s="12">
        <f t="shared" si="4"/>
        <v>7.6931470973374072E-3</v>
      </c>
      <c r="D185" s="13">
        <f t="shared" si="5"/>
        <v>1.0118136075257056E-2</v>
      </c>
    </row>
    <row r="186" spans="1:4" x14ac:dyDescent="0.35">
      <c r="A186" s="11">
        <v>39052</v>
      </c>
      <c r="B186" s="15">
        <f>VLOOKUP(A186,Database!A:K,MATCH($A$1,Database!$A$1:$K$1,),)+VLOOKUP(A186,Database!A:K,MATCH($B$1,Database!$A$1:$K$1,),)</f>
        <v>18812</v>
      </c>
      <c r="C186" s="12">
        <f t="shared" si="4"/>
        <v>1.8571660620499215E-2</v>
      </c>
      <c r="D186" s="13">
        <f t="shared" si="5"/>
        <v>3.6530938343710399E-2</v>
      </c>
    </row>
    <row r="187" spans="1:4" x14ac:dyDescent="0.35">
      <c r="A187" s="10">
        <v>39083</v>
      </c>
      <c r="B187" s="15">
        <f>VLOOKUP(A187,Database!A:K,MATCH($A$1,Database!$A$1:$K$1,),)+VLOOKUP(A187,Database!A:K,MATCH($B$1,Database!$A$1:$K$1,),)</f>
        <v>18838</v>
      </c>
      <c r="C187" s="12">
        <f t="shared" si="4"/>
        <v>1.3820965341271529E-3</v>
      </c>
      <c r="D187" s="13">
        <f t="shared" si="5"/>
        <v>-6.2249419708799323E-3</v>
      </c>
    </row>
    <row r="188" spans="1:4" x14ac:dyDescent="0.35">
      <c r="A188" s="11">
        <v>39114</v>
      </c>
      <c r="B188" s="15">
        <f>VLOOKUP(A188,Database!A:K,MATCH($A$1,Database!$A$1:$K$1,),)+VLOOKUP(A188,Database!A:K,MATCH($B$1,Database!$A$1:$K$1,),)</f>
        <v>18492</v>
      </c>
      <c r="C188" s="12">
        <f t="shared" si="4"/>
        <v>-1.8367130268606008E-2</v>
      </c>
      <c r="D188" s="13">
        <f t="shared" si="5"/>
        <v>-2.5889967637540453E-3</v>
      </c>
    </row>
    <row r="189" spans="1:4" x14ac:dyDescent="0.35">
      <c r="A189" s="10">
        <v>39142</v>
      </c>
      <c r="B189" s="15">
        <f>VLOOKUP(A189,Database!A:K,MATCH($A$1,Database!$A$1:$K$1,),)+VLOOKUP(A189,Database!A:K,MATCH($B$1,Database!$A$1:$K$1,),)</f>
        <v>18432</v>
      </c>
      <c r="C189" s="12">
        <f t="shared" si="4"/>
        <v>-3.2446463335496431E-3</v>
      </c>
      <c r="D189" s="13">
        <f t="shared" si="5"/>
        <v>-9.8839707778255268E-3</v>
      </c>
    </row>
    <row r="190" spans="1:4" x14ac:dyDescent="0.35">
      <c r="A190" s="11">
        <v>39173</v>
      </c>
      <c r="B190" s="15">
        <f>VLOOKUP(A190,Database!A:K,MATCH($A$1,Database!$A$1:$K$1,),)+VLOOKUP(A190,Database!A:K,MATCH($B$1,Database!$A$1:$K$1,),)</f>
        <v>18438</v>
      </c>
      <c r="C190" s="12">
        <f t="shared" si="4"/>
        <v>3.2552083333333332E-4</v>
      </c>
      <c r="D190" s="13">
        <f t="shared" si="5"/>
        <v>-6.9478106317660366E-3</v>
      </c>
    </row>
    <row r="191" spans="1:4" x14ac:dyDescent="0.35">
      <c r="A191" s="10">
        <v>39203</v>
      </c>
      <c r="B191" s="15">
        <f>VLOOKUP(A191,Database!A:K,MATCH($A$1,Database!$A$1:$K$1,),)+VLOOKUP(A191,Database!A:K,MATCH($B$1,Database!$A$1:$K$1,),)</f>
        <v>18421</v>
      </c>
      <c r="C191" s="12">
        <f t="shared" si="4"/>
        <v>-9.2200889467404274E-4</v>
      </c>
      <c r="D191" s="13">
        <f t="shared" si="5"/>
        <v>-4.2702702702702702E-3</v>
      </c>
    </row>
    <row r="192" spans="1:4" x14ac:dyDescent="0.35">
      <c r="A192" s="11">
        <v>39234</v>
      </c>
      <c r="B192" s="15">
        <f>VLOOKUP(A192,Database!A:K,MATCH($A$1,Database!$A$1:$K$1,),)+VLOOKUP(A192,Database!A:K,MATCH($B$1,Database!$A$1:$K$1,),)</f>
        <v>18287</v>
      </c>
      <c r="C192" s="12">
        <f t="shared" si="4"/>
        <v>-7.274306498018566E-3</v>
      </c>
      <c r="D192" s="13">
        <f t="shared" si="5"/>
        <v>-1.7620198764437281E-2</v>
      </c>
    </row>
    <row r="193" spans="1:4" x14ac:dyDescent="0.35">
      <c r="A193" s="10">
        <v>39264</v>
      </c>
      <c r="B193" s="15">
        <f>VLOOKUP(A193,Database!A:K,MATCH($A$1,Database!$A$1:$K$1,),)+VLOOKUP(A193,Database!A:K,MATCH($B$1,Database!$A$1:$K$1,),)</f>
        <v>18403</v>
      </c>
      <c r="C193" s="12">
        <f t="shared" si="4"/>
        <v>6.3433039864384533E-3</v>
      </c>
      <c r="D193" s="13">
        <f t="shared" si="5"/>
        <v>-8.8862559241706159E-3</v>
      </c>
    </row>
    <row r="194" spans="1:4" x14ac:dyDescent="0.35">
      <c r="A194" s="11">
        <v>39295</v>
      </c>
      <c r="B194" s="15">
        <f>VLOOKUP(A194,Database!A:K,MATCH($A$1,Database!$A$1:$K$1,),)+VLOOKUP(A194,Database!A:K,MATCH($B$1,Database!$A$1:$K$1,),)</f>
        <v>18574</v>
      </c>
      <c r="C194" s="12">
        <f t="shared" si="4"/>
        <v>9.2919632668586639E-3</v>
      </c>
      <c r="D194" s="13">
        <f t="shared" si="5"/>
        <v>1.5097595168769547E-3</v>
      </c>
    </row>
    <row r="195" spans="1:4" x14ac:dyDescent="0.35">
      <c r="A195" s="10">
        <v>39326</v>
      </c>
      <c r="B195" s="15">
        <f>VLOOKUP(A195,Database!A:K,MATCH($A$1,Database!$A$1:$K$1,),)+VLOOKUP(A195,Database!A:K,MATCH($B$1,Database!$A$1:$K$1,),)</f>
        <v>18315</v>
      </c>
      <c r="C195" s="12">
        <f t="shared" si="4"/>
        <v>-1.3944223107569721E-2</v>
      </c>
      <c r="D195" s="13">
        <f t="shared" si="5"/>
        <v>-2.095472283102582E-2</v>
      </c>
    </row>
    <row r="196" spans="1:4" x14ac:dyDescent="0.35">
      <c r="A196" s="11">
        <v>39356</v>
      </c>
      <c r="B196" s="15">
        <f>VLOOKUP(A196,Database!A:K,MATCH($A$1,Database!$A$1:$K$1,),)+VLOOKUP(A196,Database!A:K,MATCH($B$1,Database!$A$1:$K$1,),)</f>
        <v>18435</v>
      </c>
      <c r="C196" s="12">
        <f t="shared" si="4"/>
        <v>6.5520065520065524E-3</v>
      </c>
      <c r="D196" s="13">
        <f t="shared" si="5"/>
        <v>5.8380619816673944E-3</v>
      </c>
    </row>
    <row r="197" spans="1:4" x14ac:dyDescent="0.35">
      <c r="A197" s="10">
        <v>39387</v>
      </c>
      <c r="B197" s="15">
        <f>VLOOKUP(A197,Database!A:K,MATCH($A$1,Database!$A$1:$K$1,),)+VLOOKUP(A197,Database!A:K,MATCH($B$1,Database!$A$1:$K$1,),)</f>
        <v>18656</v>
      </c>
      <c r="C197" s="12">
        <f t="shared" si="4"/>
        <v>1.1988066178464877E-2</v>
      </c>
      <c r="D197" s="13">
        <f t="shared" si="5"/>
        <v>1.0125074449076831E-2</v>
      </c>
    </row>
    <row r="198" spans="1:4" x14ac:dyDescent="0.35">
      <c r="A198" s="11">
        <v>39417</v>
      </c>
      <c r="B198" s="15">
        <f>VLOOKUP(A198,Database!A:K,MATCH($A$1,Database!$A$1:$K$1,),)+VLOOKUP(A198,Database!A:K,MATCH($B$1,Database!$A$1:$K$1,),)</f>
        <v>18377</v>
      </c>
      <c r="C198" s="12">
        <f t="shared" si="4"/>
        <v>-1.4954974271012007E-2</v>
      </c>
      <c r="D198" s="13">
        <f t="shared" si="5"/>
        <v>-2.3123538167127367E-2</v>
      </c>
    </row>
    <row r="199" spans="1:4" x14ac:dyDescent="0.35">
      <c r="A199" s="10">
        <v>39448</v>
      </c>
      <c r="B199" s="15">
        <f>VLOOKUP(A199,Database!A:K,MATCH($A$1,Database!$A$1:$K$1,),)+VLOOKUP(A199,Database!A:K,MATCH($B$1,Database!$A$1:$K$1,),)</f>
        <v>18048</v>
      </c>
      <c r="C199" s="12">
        <f t="shared" si="4"/>
        <v>-1.7902813299232736E-2</v>
      </c>
      <c r="D199" s="13">
        <f t="shared" si="5"/>
        <v>-4.1936511306932794E-2</v>
      </c>
    </row>
    <row r="200" spans="1:4" x14ac:dyDescent="0.35">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35">
      <c r="A201" s="10">
        <v>39508</v>
      </c>
      <c r="B201" s="15">
        <f>VLOOKUP(A201,Database!A:K,MATCH($A$1,Database!$A$1:$K$1,),)+VLOOKUP(A201,Database!A:K,MATCH($B$1,Database!$A$1:$K$1,),)</f>
        <v>17802</v>
      </c>
      <c r="C201" s="12">
        <f t="shared" si="6"/>
        <v>6.7453625632377741E-4</v>
      </c>
      <c r="D201" s="13">
        <f t="shared" si="5"/>
        <v>-3.41796875E-2</v>
      </c>
    </row>
    <row r="202" spans="1:4" x14ac:dyDescent="0.35">
      <c r="A202" s="11">
        <v>39539</v>
      </c>
      <c r="B202" s="15">
        <f>VLOOKUP(A202,Database!A:K,MATCH($A$1,Database!$A$1:$K$1,),)+VLOOKUP(A202,Database!A:K,MATCH($B$1,Database!$A$1:$K$1,),)</f>
        <v>17892</v>
      </c>
      <c r="C202" s="12">
        <f t="shared" si="6"/>
        <v>5.0556117290192111E-3</v>
      </c>
      <c r="D202" s="13">
        <f t="shared" si="5"/>
        <v>-2.9612756264236904E-2</v>
      </c>
    </row>
    <row r="203" spans="1:4" x14ac:dyDescent="0.35">
      <c r="A203" s="10">
        <v>39569</v>
      </c>
      <c r="B203" s="15">
        <f>VLOOKUP(A203,Database!A:K,MATCH($A$1,Database!$A$1:$K$1,),)+VLOOKUP(A203,Database!A:K,MATCH($B$1,Database!$A$1:$K$1,),)</f>
        <v>18117</v>
      </c>
      <c r="C203" s="12">
        <f t="shared" si="6"/>
        <v>1.2575452716297788E-2</v>
      </c>
      <c r="D203" s="13">
        <f t="shared" si="5"/>
        <v>-1.6502904294012268E-2</v>
      </c>
    </row>
    <row r="204" spans="1:4" x14ac:dyDescent="0.35">
      <c r="A204" s="11">
        <v>39600</v>
      </c>
      <c r="B204" s="15">
        <f>VLOOKUP(A204,Database!A:K,MATCH($A$1,Database!$A$1:$K$1,),)+VLOOKUP(A204,Database!A:K,MATCH($B$1,Database!$A$1:$K$1,),)</f>
        <v>17778</v>
      </c>
      <c r="C204" s="12">
        <f t="shared" si="6"/>
        <v>-1.8711707236297399E-2</v>
      </c>
      <c r="D204" s="13">
        <f t="shared" si="5"/>
        <v>-2.7833980423251491E-2</v>
      </c>
    </row>
    <row r="205" spans="1:4" x14ac:dyDescent="0.35">
      <c r="A205" s="10">
        <v>39630</v>
      </c>
      <c r="B205" s="15">
        <f>VLOOKUP(A205,Database!A:K,MATCH($A$1,Database!$A$1:$K$1,),)+VLOOKUP(A205,Database!A:K,MATCH($B$1,Database!$A$1:$K$1,),)</f>
        <v>17698</v>
      </c>
      <c r="C205" s="12">
        <f t="shared" si="6"/>
        <v>-4.4999437507031162E-3</v>
      </c>
      <c r="D205" s="13">
        <f t="shared" si="5"/>
        <v>-3.8308971363364669E-2</v>
      </c>
    </row>
    <row r="206" spans="1:4" x14ac:dyDescent="0.35">
      <c r="A206" s="11">
        <v>39661</v>
      </c>
      <c r="B206" s="15">
        <f>VLOOKUP(A206,Database!A:K,MATCH($A$1,Database!$A$1:$K$1,),)+VLOOKUP(A206,Database!A:K,MATCH($B$1,Database!$A$1:$K$1,),)</f>
        <v>17355</v>
      </c>
      <c r="C206" s="12">
        <f t="shared" si="6"/>
        <v>-1.9380720985422081E-2</v>
      </c>
      <c r="D206" s="13">
        <f t="shared" si="5"/>
        <v>-6.5629374394314627E-2</v>
      </c>
    </row>
    <row r="207" spans="1:4" x14ac:dyDescent="0.35">
      <c r="A207" s="10">
        <v>39692</v>
      </c>
      <c r="B207" s="15">
        <f>VLOOKUP(A207,Database!A:K,MATCH($A$1,Database!$A$1:$K$1,),)+VLOOKUP(A207,Database!A:K,MATCH($B$1,Database!$A$1:$K$1,),)</f>
        <v>16536</v>
      </c>
      <c r="C207" s="12">
        <f t="shared" si="6"/>
        <v>-4.7191011235955059E-2</v>
      </c>
      <c r="D207" s="13">
        <f t="shared" si="5"/>
        <v>-9.7133497133497129E-2</v>
      </c>
    </row>
    <row r="208" spans="1:4" x14ac:dyDescent="0.35">
      <c r="A208" s="11">
        <v>39722</v>
      </c>
      <c r="B208" s="15">
        <f>VLOOKUP(A208,Database!A:K,MATCH($A$1,Database!$A$1:$K$1,),)+VLOOKUP(A208,Database!A:K,MATCH($B$1,Database!$A$1:$K$1,),)</f>
        <v>16467</v>
      </c>
      <c r="C208" s="12">
        <f t="shared" si="6"/>
        <v>-4.1727140783744555E-3</v>
      </c>
      <c r="D208" s="13">
        <f t="shared" si="5"/>
        <v>-0.10675345809601301</v>
      </c>
    </row>
    <row r="209" spans="1:4" x14ac:dyDescent="0.35">
      <c r="A209" s="10">
        <v>39753</v>
      </c>
      <c r="B209" s="15">
        <f>VLOOKUP(A209,Database!A:K,MATCH($A$1,Database!$A$1:$K$1,),)+VLOOKUP(A209,Database!A:K,MATCH($B$1,Database!$A$1:$K$1,),)</f>
        <v>16377</v>
      </c>
      <c r="C209" s="12">
        <f t="shared" si="6"/>
        <v>-5.4654764073601746E-3</v>
      </c>
      <c r="D209" s="13">
        <f t="shared" si="5"/>
        <v>-0.12215909090909091</v>
      </c>
    </row>
    <row r="210" spans="1:4" x14ac:dyDescent="0.35">
      <c r="A210" s="11">
        <v>39783</v>
      </c>
      <c r="B210" s="15">
        <f>VLOOKUP(A210,Database!A:K,MATCH($A$1,Database!$A$1:$K$1,),)+VLOOKUP(A210,Database!A:K,MATCH($B$1,Database!$A$1:$K$1,),)</f>
        <v>15811</v>
      </c>
      <c r="C210" s="12">
        <f t="shared" si="6"/>
        <v>-3.4560664346339379E-2</v>
      </c>
      <c r="D210" s="13">
        <f t="shared" si="5"/>
        <v>-0.13963106056483648</v>
      </c>
    </row>
    <row r="211" spans="1:4" x14ac:dyDescent="0.35">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35">
      <c r="A212" s="11">
        <v>39845</v>
      </c>
      <c r="B212" s="15">
        <f>VLOOKUP(A212,Database!A:K,MATCH($A$1,Database!$A$1:$K$1,),)+VLOOKUP(A212,Database!A:K,MATCH($B$1,Database!$A$1:$K$1,),)</f>
        <v>16129</v>
      </c>
      <c r="C212" s="12">
        <f t="shared" si="6"/>
        <v>-7.2628793007939929E-3</v>
      </c>
      <c r="D212" s="13">
        <f t="shared" si="7"/>
        <v>-9.3367060146149525E-2</v>
      </c>
    </row>
    <row r="213" spans="1:4" x14ac:dyDescent="0.35">
      <c r="A213" s="10">
        <v>39873</v>
      </c>
      <c r="B213" s="15">
        <f>VLOOKUP(A213,Database!A:K,MATCH($A$1,Database!$A$1:$K$1,),)+VLOOKUP(A213,Database!A:K,MATCH($B$1,Database!$A$1:$K$1,),)</f>
        <v>15140</v>
      </c>
      <c r="C213" s="12">
        <f t="shared" si="6"/>
        <v>-6.1318122636245274E-2</v>
      </c>
      <c r="D213" s="13">
        <f t="shared" si="7"/>
        <v>-0.14953376025165713</v>
      </c>
    </row>
    <row r="214" spans="1:4" x14ac:dyDescent="0.35">
      <c r="A214" s="11">
        <v>39904</v>
      </c>
      <c r="B214" s="15">
        <f>VLOOKUP(A214,Database!A:K,MATCH($A$1,Database!$A$1:$K$1,),)+VLOOKUP(A214,Database!A:K,MATCH($B$1,Database!$A$1:$K$1,),)</f>
        <v>15116</v>
      </c>
      <c r="C214" s="12">
        <f t="shared" si="6"/>
        <v>-1.5852047556142669E-3</v>
      </c>
      <c r="D214" s="13">
        <f t="shared" si="7"/>
        <v>-0.15515314106863404</v>
      </c>
    </row>
    <row r="215" spans="1:4" x14ac:dyDescent="0.35">
      <c r="A215" s="10">
        <v>39934</v>
      </c>
      <c r="B215" s="15">
        <f>VLOOKUP(A215,Database!A:K,MATCH($A$1,Database!$A$1:$K$1,),)+VLOOKUP(A215,Database!A:K,MATCH($B$1,Database!$A$1:$K$1,),)</f>
        <v>15113</v>
      </c>
      <c r="C215" s="12">
        <f t="shared" si="6"/>
        <v>-1.9846520243450649E-4</v>
      </c>
      <c r="D215" s="13">
        <f t="shared" si="7"/>
        <v>-0.16581111663078876</v>
      </c>
    </row>
    <row r="216" spans="1:4" x14ac:dyDescent="0.35">
      <c r="A216" s="11">
        <v>39965</v>
      </c>
      <c r="B216" s="15">
        <f>VLOOKUP(A216,Database!A:K,MATCH($A$1,Database!$A$1:$K$1,),)+VLOOKUP(A216,Database!A:K,MATCH($B$1,Database!$A$1:$K$1,),)</f>
        <v>15131</v>
      </c>
      <c r="C216" s="12">
        <f t="shared" si="6"/>
        <v>1.191027592139218E-3</v>
      </c>
      <c r="D216" s="13">
        <f t="shared" si="7"/>
        <v>-0.14889188885138935</v>
      </c>
    </row>
    <row r="217" spans="1:4" x14ac:dyDescent="0.35">
      <c r="A217" s="10">
        <v>39995</v>
      </c>
      <c r="B217" s="15">
        <f>VLOOKUP(A217,Database!A:K,MATCH($A$1,Database!$A$1:$K$1,),)+VLOOKUP(A217,Database!A:K,MATCH($B$1,Database!$A$1:$K$1,),)</f>
        <v>15004</v>
      </c>
      <c r="C217" s="12">
        <f t="shared" si="6"/>
        <v>-8.3933646156896437E-3</v>
      </c>
      <c r="D217" s="13">
        <f t="shared" si="7"/>
        <v>-0.15222058989716353</v>
      </c>
    </row>
    <row r="218" spans="1:4" x14ac:dyDescent="0.35">
      <c r="A218" s="11">
        <v>40026</v>
      </c>
      <c r="B218" s="15">
        <f>VLOOKUP(A218,Database!A:K,MATCH($A$1,Database!$A$1:$K$1,),)+VLOOKUP(A218,Database!A:K,MATCH($B$1,Database!$A$1:$K$1,),)</f>
        <v>14991</v>
      </c>
      <c r="C218" s="12">
        <f t="shared" si="6"/>
        <v>-8.6643561716875505E-4</v>
      </c>
      <c r="D218" s="13">
        <f t="shared" si="7"/>
        <v>-0.1362143474503025</v>
      </c>
    </row>
    <row r="219" spans="1:4" x14ac:dyDescent="0.35">
      <c r="A219" s="10">
        <v>40057</v>
      </c>
      <c r="B219" s="15">
        <f>VLOOKUP(A219,Database!A:K,MATCH($A$1,Database!$A$1:$K$1,),)+VLOOKUP(A219,Database!A:K,MATCH($B$1,Database!$A$1:$K$1,),)</f>
        <v>14946</v>
      </c>
      <c r="C219" s="12">
        <f t="shared" si="6"/>
        <v>-3.0018010806483891E-3</v>
      </c>
      <c r="D219" s="13">
        <f t="shared" si="7"/>
        <v>-9.6153846153846159E-2</v>
      </c>
    </row>
    <row r="220" spans="1:4" x14ac:dyDescent="0.35">
      <c r="A220" s="11">
        <v>40087</v>
      </c>
      <c r="B220" s="15">
        <f>VLOOKUP(A220,Database!A:K,MATCH($A$1,Database!$A$1:$K$1,),)+VLOOKUP(A220,Database!A:K,MATCH($B$1,Database!$A$1:$K$1,),)</f>
        <v>14835</v>
      </c>
      <c r="C220" s="12">
        <f t="shared" si="6"/>
        <v>-7.4267362505018066E-3</v>
      </c>
      <c r="D220" s="13">
        <f t="shared" si="7"/>
        <v>-9.9107305520131167E-2</v>
      </c>
    </row>
    <row r="221" spans="1:4" x14ac:dyDescent="0.35">
      <c r="A221" s="10">
        <v>40118</v>
      </c>
      <c r="B221" s="15">
        <f>VLOOKUP(A221,Database!A:K,MATCH($A$1,Database!$A$1:$K$1,),)+VLOOKUP(A221,Database!A:K,MATCH($B$1,Database!$A$1:$K$1,),)</f>
        <v>15199</v>
      </c>
      <c r="C221" s="12">
        <f t="shared" si="6"/>
        <v>2.4536568924839904E-2</v>
      </c>
      <c r="D221" s="13">
        <f t="shared" si="7"/>
        <v>-7.1930145936374187E-2</v>
      </c>
    </row>
    <row r="222" spans="1:4" x14ac:dyDescent="0.35">
      <c r="A222" s="11">
        <v>40148</v>
      </c>
      <c r="B222" s="15">
        <f>VLOOKUP(A222,Database!A:K,MATCH($A$1,Database!$A$1:$K$1,),)+VLOOKUP(A222,Database!A:K,MATCH($B$1,Database!$A$1:$K$1,),)</f>
        <v>15092</v>
      </c>
      <c r="C222" s="12">
        <f t="shared" si="6"/>
        <v>-7.039936837949865E-3</v>
      </c>
      <c r="D222" s="13">
        <f t="shared" si="7"/>
        <v>-4.5474669533868826E-2</v>
      </c>
    </row>
    <row r="223" spans="1:4" x14ac:dyDescent="0.35">
      <c r="A223" s="10">
        <v>40179</v>
      </c>
      <c r="B223" s="15">
        <f>VLOOKUP(A223,Database!A:K,MATCH($A$1,Database!$A$1:$K$1,),)+VLOOKUP(A223,Database!A:K,MATCH($B$1,Database!$A$1:$K$1,),)</f>
        <v>15226</v>
      </c>
      <c r="C223" s="12">
        <f t="shared" si="6"/>
        <v>8.8788762258150012E-3</v>
      </c>
      <c r="D223" s="13">
        <f t="shared" si="7"/>
        <v>-6.2842370899242939E-2</v>
      </c>
    </row>
    <row r="224" spans="1:4" x14ac:dyDescent="0.35">
      <c r="A224" s="11">
        <v>40210</v>
      </c>
      <c r="B224" s="15">
        <f>VLOOKUP(A224,Database!A:K,MATCH($A$1,Database!$A$1:$K$1,),)+VLOOKUP(A224,Database!A:K,MATCH($B$1,Database!$A$1:$K$1,),)</f>
        <v>15613</v>
      </c>
      <c r="C224" s="12">
        <f t="shared" si="6"/>
        <v>2.5417049783265467E-2</v>
      </c>
      <c r="D224" s="13">
        <f t="shared" si="7"/>
        <v>-3.1992063984127968E-2</v>
      </c>
    </row>
    <row r="225" spans="1:4" x14ac:dyDescent="0.35">
      <c r="A225" s="10">
        <v>40238</v>
      </c>
      <c r="B225" s="15">
        <f>VLOOKUP(A225,Database!A:K,MATCH($A$1,Database!$A$1:$K$1,),)+VLOOKUP(A225,Database!A:K,MATCH($B$1,Database!$A$1:$K$1,),)</f>
        <v>15383</v>
      </c>
      <c r="C225" s="12">
        <f t="shared" si="6"/>
        <v>-1.4731313648882341E-2</v>
      </c>
      <c r="D225" s="13">
        <f t="shared" si="7"/>
        <v>1.6050198150594452E-2</v>
      </c>
    </row>
    <row r="226" spans="1:4" x14ac:dyDescent="0.35">
      <c r="A226" s="11">
        <v>40269</v>
      </c>
      <c r="B226" s="15">
        <f>VLOOKUP(A226,Database!A:K,MATCH($A$1,Database!$A$1:$K$1,),)+VLOOKUP(A226,Database!A:K,MATCH($B$1,Database!$A$1:$K$1,),)</f>
        <v>15401</v>
      </c>
      <c r="C226" s="12">
        <f t="shared" si="6"/>
        <v>1.1701228629006045E-3</v>
      </c>
      <c r="D226" s="13">
        <f t="shared" si="7"/>
        <v>1.8854194231278116E-2</v>
      </c>
    </row>
    <row r="227" spans="1:4" x14ac:dyDescent="0.35">
      <c r="A227" s="10">
        <v>40299</v>
      </c>
      <c r="B227" s="15">
        <f>VLOOKUP(A227,Database!A:K,MATCH($A$1,Database!$A$1:$K$1,),)+VLOOKUP(A227,Database!A:K,MATCH($B$1,Database!$A$1:$K$1,),)</f>
        <v>15483</v>
      </c>
      <c r="C227" s="12">
        <f t="shared" si="6"/>
        <v>5.3243295889877284E-3</v>
      </c>
      <c r="D227" s="13">
        <f t="shared" si="7"/>
        <v>2.4482233838417258E-2</v>
      </c>
    </row>
    <row r="228" spans="1:4" x14ac:dyDescent="0.35">
      <c r="A228" s="11">
        <v>40330</v>
      </c>
      <c r="B228" s="15">
        <f>VLOOKUP(A228,Database!A:K,MATCH($A$1,Database!$A$1:$K$1,),)+VLOOKUP(A228,Database!A:K,MATCH($B$1,Database!$A$1:$K$1,),)</f>
        <v>15580</v>
      </c>
      <c r="C228" s="12">
        <f t="shared" si="6"/>
        <v>6.2649357359684816E-3</v>
      </c>
      <c r="D228" s="13">
        <f t="shared" si="7"/>
        <v>2.967417883814685E-2</v>
      </c>
    </row>
    <row r="229" spans="1:4" x14ac:dyDescent="0.35">
      <c r="A229" s="10">
        <v>40360</v>
      </c>
      <c r="B229" s="15">
        <f>VLOOKUP(A229,Database!A:K,MATCH($A$1,Database!$A$1:$K$1,),)+VLOOKUP(A229,Database!A:K,MATCH($B$1,Database!$A$1:$K$1,),)</f>
        <v>15454</v>
      </c>
      <c r="C229" s="12">
        <f t="shared" si="6"/>
        <v>-8.0872913992297811E-3</v>
      </c>
      <c r="D229" s="13">
        <f t="shared" si="7"/>
        <v>2.9992002132764595E-2</v>
      </c>
    </row>
    <row r="230" spans="1:4" x14ac:dyDescent="0.35">
      <c r="A230" s="11">
        <v>40391</v>
      </c>
      <c r="B230" s="15">
        <f>VLOOKUP(A230,Database!A:K,MATCH($A$1,Database!$A$1:$K$1,),)+VLOOKUP(A230,Database!A:K,MATCH($B$1,Database!$A$1:$K$1,),)</f>
        <v>15452</v>
      </c>
      <c r="C230" s="12">
        <f t="shared" si="6"/>
        <v>-1.2941633234114146E-4</v>
      </c>
      <c r="D230" s="13">
        <f t="shared" si="7"/>
        <v>3.0751784403975718E-2</v>
      </c>
    </row>
    <row r="231" spans="1:4" x14ac:dyDescent="0.35">
      <c r="A231" s="10">
        <v>40422</v>
      </c>
      <c r="B231" s="15">
        <f>VLOOKUP(A231,Database!A:K,MATCH($A$1,Database!$A$1:$K$1,),)+VLOOKUP(A231,Database!A:K,MATCH($B$1,Database!$A$1:$K$1,),)</f>
        <v>15491</v>
      </c>
      <c r="C231" s="12">
        <f t="shared" si="6"/>
        <v>2.5239451203727674E-3</v>
      </c>
      <c r="D231" s="13">
        <f t="shared" si="7"/>
        <v>3.646460591462599E-2</v>
      </c>
    </row>
    <row r="232" spans="1:4" x14ac:dyDescent="0.35">
      <c r="A232" s="11">
        <v>40452</v>
      </c>
      <c r="B232" s="15">
        <f>VLOOKUP(A232,Database!A:K,MATCH($A$1,Database!$A$1:$K$1,),)+VLOOKUP(A232,Database!A:K,MATCH($B$1,Database!$A$1:$K$1,),)</f>
        <v>15297</v>
      </c>
      <c r="C232" s="12">
        <f t="shared" si="6"/>
        <v>-1.2523400684268285E-2</v>
      </c>
      <c r="D232" s="13">
        <f t="shared" si="7"/>
        <v>3.114256825075834E-2</v>
      </c>
    </row>
    <row r="233" spans="1:4" x14ac:dyDescent="0.35">
      <c r="A233" s="10">
        <v>40483</v>
      </c>
      <c r="B233" s="15">
        <f>VLOOKUP(A233,Database!A:K,MATCH($A$1,Database!$A$1:$K$1,),)+VLOOKUP(A233,Database!A:K,MATCH($B$1,Database!$A$1:$K$1,),)</f>
        <v>15211</v>
      </c>
      <c r="C233" s="12">
        <f t="shared" si="6"/>
        <v>-5.6220173890305291E-3</v>
      </c>
      <c r="D233" s="13">
        <f t="shared" si="7"/>
        <v>7.8952562668596616E-4</v>
      </c>
    </row>
    <row r="234" spans="1:4" x14ac:dyDescent="0.35">
      <c r="A234" s="11">
        <v>40513</v>
      </c>
      <c r="B234" s="15">
        <f>VLOOKUP(A234,Database!A:K,MATCH($A$1,Database!$A$1:$K$1,),)+VLOOKUP(A234,Database!A:K,MATCH($B$1,Database!$A$1:$K$1,),)</f>
        <v>15336</v>
      </c>
      <c r="C234" s="12">
        <f t="shared" si="6"/>
        <v>8.21773716389455E-3</v>
      </c>
      <c r="D234" s="13">
        <f t="shared" si="7"/>
        <v>1.6167505963424332E-2</v>
      </c>
    </row>
    <row r="235" spans="1:4" x14ac:dyDescent="0.35">
      <c r="A235" s="10">
        <v>40544</v>
      </c>
      <c r="B235" s="15">
        <f>VLOOKUP(A235,Database!A:K,MATCH($A$1,Database!$A$1:$K$1,),)+VLOOKUP(A235,Database!A:K,MATCH($B$1,Database!$A$1:$K$1,),)</f>
        <v>15193</v>
      </c>
      <c r="C235" s="12">
        <f t="shared" si="6"/>
        <v>-9.3244653103808032E-3</v>
      </c>
      <c r="D235" s="13">
        <f t="shared" si="7"/>
        <v>-2.1673453303559702E-3</v>
      </c>
    </row>
    <row r="236" spans="1:4" x14ac:dyDescent="0.35">
      <c r="A236" s="11">
        <v>40575</v>
      </c>
      <c r="B236" s="15">
        <f>VLOOKUP(A236,Database!A:K,MATCH($A$1,Database!$A$1:$K$1,),)+VLOOKUP(A236,Database!A:K,MATCH($B$1,Database!$A$1:$K$1,),)</f>
        <v>15492</v>
      </c>
      <c r="C236" s="12">
        <f t="shared" si="6"/>
        <v>1.9680115842822352E-2</v>
      </c>
      <c r="D236" s="13">
        <f t="shared" si="7"/>
        <v>-7.7499519631076671E-3</v>
      </c>
    </row>
    <row r="237" spans="1:4" x14ac:dyDescent="0.35">
      <c r="A237" s="10">
        <v>40603</v>
      </c>
      <c r="B237" s="15">
        <f>VLOOKUP(A237,Database!A:K,MATCH($A$1,Database!$A$1:$K$1,),)+VLOOKUP(A237,Database!A:K,MATCH($B$1,Database!$A$1:$K$1,),)</f>
        <v>15888</v>
      </c>
      <c r="C237" s="12">
        <f t="shared" si="6"/>
        <v>2.5561580170410533E-2</v>
      </c>
      <c r="D237" s="13">
        <f t="shared" si="7"/>
        <v>3.2828446986933629E-2</v>
      </c>
    </row>
    <row r="238" spans="1:4" x14ac:dyDescent="0.35">
      <c r="A238" s="11">
        <v>40634</v>
      </c>
      <c r="B238" s="15">
        <f>VLOOKUP(A238,Database!A:K,MATCH($A$1,Database!$A$1:$K$1,),)+VLOOKUP(A238,Database!A:K,MATCH($B$1,Database!$A$1:$K$1,),)</f>
        <v>15850</v>
      </c>
      <c r="C238" s="12">
        <f t="shared" si="6"/>
        <v>-2.3917421953675729E-3</v>
      </c>
      <c r="D238" s="13">
        <f t="shared" si="7"/>
        <v>2.9153951042140122E-2</v>
      </c>
    </row>
    <row r="239" spans="1:4" x14ac:dyDescent="0.35">
      <c r="A239" s="10">
        <v>40664</v>
      </c>
      <c r="B239" s="15">
        <f>VLOOKUP(A239,Database!A:K,MATCH($A$1,Database!$A$1:$K$1,),)+VLOOKUP(A239,Database!A:K,MATCH($B$1,Database!$A$1:$K$1,),)</f>
        <v>15661</v>
      </c>
      <c r="C239" s="12">
        <f t="shared" si="6"/>
        <v>-1.1924290220820189E-2</v>
      </c>
      <c r="D239" s="13">
        <f t="shared" si="7"/>
        <v>1.1496480010333914E-2</v>
      </c>
    </row>
    <row r="240" spans="1:4" x14ac:dyDescent="0.35">
      <c r="A240" s="11">
        <v>40695</v>
      </c>
      <c r="B240" s="15">
        <f>VLOOKUP(A240,Database!A:K,MATCH($A$1,Database!$A$1:$K$1,),)+VLOOKUP(A240,Database!A:K,MATCH($B$1,Database!$A$1:$K$1,),)</f>
        <v>15666</v>
      </c>
      <c r="C240" s="12">
        <f t="shared" si="6"/>
        <v>3.1926441478832769E-4</v>
      </c>
      <c r="D240" s="13">
        <f t="shared" si="7"/>
        <v>5.5198973042362006E-3</v>
      </c>
    </row>
    <row r="241" spans="1:4" x14ac:dyDescent="0.35">
      <c r="A241" s="10">
        <v>40725</v>
      </c>
      <c r="B241" s="15">
        <f>VLOOKUP(A241,Database!A:K,MATCH($A$1,Database!$A$1:$K$1,),)+VLOOKUP(A241,Database!A:K,MATCH($B$1,Database!$A$1:$K$1,),)</f>
        <v>15811</v>
      </c>
      <c r="C241" s="12">
        <f t="shared" si="6"/>
        <v>9.2557130090642151E-3</v>
      </c>
      <c r="D241" s="13">
        <f t="shared" si="7"/>
        <v>2.310081532289375E-2</v>
      </c>
    </row>
    <row r="242" spans="1:4" x14ac:dyDescent="0.35">
      <c r="A242" s="11">
        <v>40756</v>
      </c>
      <c r="B242" s="15">
        <f>VLOOKUP(A242,Database!A:K,MATCH($A$1,Database!$A$1:$K$1,),)+VLOOKUP(A242,Database!A:K,MATCH($B$1,Database!$A$1:$K$1,),)</f>
        <v>15948</v>
      </c>
      <c r="C242" s="12">
        <f t="shared" si="6"/>
        <v>8.6648535829485802E-3</v>
      </c>
      <c r="D242" s="13">
        <f t="shared" si="7"/>
        <v>3.2099404607817759E-2</v>
      </c>
    </row>
    <row r="243" spans="1:4" x14ac:dyDescent="0.35">
      <c r="A243" s="10">
        <v>40787</v>
      </c>
      <c r="B243" s="15">
        <f>VLOOKUP(A243,Database!A:K,MATCH($A$1,Database!$A$1:$K$1,),)+VLOOKUP(A243,Database!A:K,MATCH($B$1,Database!$A$1:$K$1,),)</f>
        <v>15868</v>
      </c>
      <c r="C243" s="12">
        <f t="shared" si="6"/>
        <v>-5.0163029847002756E-3</v>
      </c>
      <c r="D243" s="13">
        <f t="shared" si="7"/>
        <v>2.4336711639016202E-2</v>
      </c>
    </row>
    <row r="244" spans="1:4" x14ac:dyDescent="0.35">
      <c r="A244" s="11">
        <v>40817</v>
      </c>
      <c r="B244" s="15">
        <f>VLOOKUP(A244,Database!A:K,MATCH($A$1,Database!$A$1:$K$1,),)+VLOOKUP(A244,Database!A:K,MATCH($B$1,Database!$A$1:$K$1,),)</f>
        <v>16098</v>
      </c>
      <c r="C244" s="12">
        <f t="shared" si="6"/>
        <v>1.4494580287370809E-2</v>
      </c>
      <c r="D244" s="13">
        <f t="shared" si="7"/>
        <v>5.2363208472249463E-2</v>
      </c>
    </row>
    <row r="245" spans="1:4" x14ac:dyDescent="0.35">
      <c r="A245" s="10">
        <v>40848</v>
      </c>
      <c r="B245" s="15">
        <f>VLOOKUP(A245,Database!A:K,MATCH($A$1,Database!$A$1:$K$1,),)+VLOOKUP(A245,Database!A:K,MATCH($B$1,Database!$A$1:$K$1,),)</f>
        <v>16030</v>
      </c>
      <c r="C245" s="12">
        <f t="shared" si="6"/>
        <v>-4.2241272207727667E-3</v>
      </c>
      <c r="D245" s="13">
        <f t="shared" si="7"/>
        <v>5.3842613897837094E-2</v>
      </c>
    </row>
    <row r="246" spans="1:4" x14ac:dyDescent="0.35">
      <c r="A246" s="11">
        <v>40878</v>
      </c>
      <c r="B246" s="15">
        <f>VLOOKUP(A246,Database!A:K,MATCH($A$1,Database!$A$1:$K$1,),)+VLOOKUP(A246,Database!A:K,MATCH($B$1,Database!$A$1:$K$1,),)</f>
        <v>15993</v>
      </c>
      <c r="C246" s="12">
        <f t="shared" si="6"/>
        <v>-2.3081721771678102E-3</v>
      </c>
      <c r="D246" s="13">
        <f t="shared" si="7"/>
        <v>4.2840375586854461E-2</v>
      </c>
    </row>
    <row r="247" spans="1:4" x14ac:dyDescent="0.35">
      <c r="A247" s="10">
        <v>40909</v>
      </c>
      <c r="B247" s="15">
        <f>VLOOKUP(A247,Database!A:K,MATCH($A$1,Database!$A$1:$K$1,),)+VLOOKUP(A247,Database!A:K,MATCH($B$1,Database!$A$1:$K$1,),)</f>
        <v>16159</v>
      </c>
      <c r="C247" s="12">
        <f t="shared" si="6"/>
        <v>1.0379541049209028E-2</v>
      </c>
      <c r="D247" s="13">
        <f t="shared" si="7"/>
        <v>6.3581912722964526E-2</v>
      </c>
    </row>
    <row r="248" spans="1:4" x14ac:dyDescent="0.35">
      <c r="A248" s="11">
        <v>40940</v>
      </c>
      <c r="B248" s="15">
        <f>VLOOKUP(A248,Database!A:K,MATCH($A$1,Database!$A$1:$K$1,),)+VLOOKUP(A248,Database!A:K,MATCH($B$1,Database!$A$1:$K$1,),)</f>
        <v>16165</v>
      </c>
      <c r="C248" s="12">
        <f t="shared" si="6"/>
        <v>3.7131010582338014E-4</v>
      </c>
      <c r="D248" s="13">
        <f t="shared" si="7"/>
        <v>4.3441776400722956E-2</v>
      </c>
    </row>
    <row r="249" spans="1:4" x14ac:dyDescent="0.35">
      <c r="A249" s="10">
        <v>40969</v>
      </c>
      <c r="B249" s="15">
        <f>VLOOKUP(A249,Database!A:K,MATCH($A$1,Database!$A$1:$K$1,),)+VLOOKUP(A249,Database!A:K,MATCH($B$1,Database!$A$1:$K$1,),)</f>
        <v>16301</v>
      </c>
      <c r="C249" s="12">
        <f t="shared" si="6"/>
        <v>8.4132384781936288E-3</v>
      </c>
      <c r="D249" s="13">
        <f t="shared" si="7"/>
        <v>2.5994461228600201E-2</v>
      </c>
    </row>
    <row r="250" spans="1:4" x14ac:dyDescent="0.35">
      <c r="A250" s="11">
        <v>41000</v>
      </c>
      <c r="B250" s="15">
        <f>VLOOKUP(A250,Database!A:K,MATCH($A$1,Database!$A$1:$K$1,),)+VLOOKUP(A250,Database!A:K,MATCH($B$1,Database!$A$1:$K$1,),)</f>
        <v>16061</v>
      </c>
      <c r="C250" s="12">
        <f t="shared" si="6"/>
        <v>-1.4723023127415497E-2</v>
      </c>
      <c r="D250" s="13">
        <f t="shared" si="7"/>
        <v>1.3312302839116719E-2</v>
      </c>
    </row>
    <row r="251" spans="1:4" x14ac:dyDescent="0.35">
      <c r="A251" s="10">
        <v>41030</v>
      </c>
      <c r="B251" s="15">
        <f>VLOOKUP(A251,Database!A:K,MATCH($A$1,Database!$A$1:$K$1,),)+VLOOKUP(A251,Database!A:K,MATCH($B$1,Database!$A$1:$K$1,),)</f>
        <v>16383</v>
      </c>
      <c r="C251" s="12">
        <f t="shared" si="6"/>
        <v>2.0048564846522631E-2</v>
      </c>
      <c r="D251" s="13">
        <f t="shared" si="7"/>
        <v>4.6101781495434521E-2</v>
      </c>
    </row>
    <row r="252" spans="1:4" x14ac:dyDescent="0.35">
      <c r="A252" s="11">
        <v>41061</v>
      </c>
      <c r="B252" s="15">
        <f>VLOOKUP(A252,Database!A:K,MATCH($A$1,Database!$A$1:$K$1,),)+VLOOKUP(A252,Database!A:K,MATCH($B$1,Database!$A$1:$K$1,),)</f>
        <v>16210</v>
      </c>
      <c r="C252" s="12">
        <f t="shared" si="6"/>
        <v>-1.0559726545809681E-2</v>
      </c>
      <c r="D252" s="13">
        <f t="shared" si="7"/>
        <v>3.4724881909868506E-2</v>
      </c>
    </row>
    <row r="253" spans="1:4" x14ac:dyDescent="0.35">
      <c r="A253" s="10">
        <v>41091</v>
      </c>
      <c r="B253" s="15">
        <f>VLOOKUP(A253,Database!A:K,MATCH($A$1,Database!$A$1:$K$1,),)+VLOOKUP(A253,Database!A:K,MATCH($B$1,Database!$A$1:$K$1,),)</f>
        <v>16400</v>
      </c>
      <c r="C253" s="12">
        <f t="shared" si="6"/>
        <v>1.1721159777914868E-2</v>
      </c>
      <c r="D253" s="13">
        <f t="shared" si="7"/>
        <v>3.7252545696034409E-2</v>
      </c>
    </row>
    <row r="254" spans="1:4" x14ac:dyDescent="0.35">
      <c r="A254" s="11">
        <v>41122</v>
      </c>
      <c r="B254" s="15">
        <f>VLOOKUP(A254,Database!A:K,MATCH($A$1,Database!$A$1:$K$1,),)+VLOOKUP(A254,Database!A:K,MATCH($B$1,Database!$A$1:$K$1,),)</f>
        <v>16231</v>
      </c>
      <c r="C254" s="12">
        <f t="shared" si="6"/>
        <v>-1.0304878048780488E-2</v>
      </c>
      <c r="D254" s="13">
        <f t="shared" si="7"/>
        <v>1.7745171808377227E-2</v>
      </c>
    </row>
    <row r="255" spans="1:4" x14ac:dyDescent="0.35">
      <c r="A255" s="10">
        <v>41153</v>
      </c>
      <c r="B255" s="15">
        <f>VLOOKUP(A255,Database!A:K,MATCH($A$1,Database!$A$1:$K$1,),)+VLOOKUP(A255,Database!A:K,MATCH($B$1,Database!$A$1:$K$1,),)</f>
        <v>16242</v>
      </c>
      <c r="C255" s="12">
        <f t="shared" si="6"/>
        <v>6.7771548271825519E-4</v>
      </c>
      <c r="D255" s="13">
        <f t="shared" si="7"/>
        <v>2.3569447945550794E-2</v>
      </c>
    </row>
    <row r="256" spans="1:4" x14ac:dyDescent="0.35">
      <c r="A256" s="11">
        <v>41183</v>
      </c>
      <c r="B256" s="15">
        <f>VLOOKUP(A256,Database!A:K,MATCH($A$1,Database!$A$1:$K$1,),)+VLOOKUP(A256,Database!A:K,MATCH($B$1,Database!$A$1:$K$1,),)</f>
        <v>15757</v>
      </c>
      <c r="C256" s="12">
        <f t="shared" si="6"/>
        <v>-2.9860854574559784E-2</v>
      </c>
      <c r="D256" s="13">
        <f t="shared" si="7"/>
        <v>-2.1182755621816374E-2</v>
      </c>
    </row>
    <row r="257" spans="1:4" x14ac:dyDescent="0.35">
      <c r="A257" s="10">
        <v>41214</v>
      </c>
      <c r="B257" s="15">
        <f>VLOOKUP(A257,Database!A:K,MATCH($A$1,Database!$A$1:$K$1,),)+VLOOKUP(A257,Database!A:K,MATCH($B$1,Database!$A$1:$K$1,),)</f>
        <v>16266</v>
      </c>
      <c r="C257" s="12">
        <f t="shared" si="6"/>
        <v>3.2303103382623599E-2</v>
      </c>
      <c r="D257" s="13">
        <f t="shared" si="7"/>
        <v>1.4722395508421708E-2</v>
      </c>
    </row>
    <row r="258" spans="1:4" x14ac:dyDescent="0.35">
      <c r="A258" s="11">
        <v>41244</v>
      </c>
      <c r="B258" s="15">
        <f>VLOOKUP(A258,Database!A:K,MATCH($A$1,Database!$A$1:$K$1,),)+VLOOKUP(A258,Database!A:K,MATCH($B$1,Database!$A$1:$K$1,),)</f>
        <v>16753</v>
      </c>
      <c r="C258" s="12">
        <f t="shared" si="6"/>
        <v>2.993975162916513E-2</v>
      </c>
      <c r="D258" s="13">
        <f t="shared" si="7"/>
        <v>4.7520790345776276E-2</v>
      </c>
    </row>
    <row r="259" spans="1:4" x14ac:dyDescent="0.35">
      <c r="A259" s="10">
        <v>41275</v>
      </c>
      <c r="B259" s="15">
        <f>VLOOKUP(A259,Database!A:K,MATCH($A$1,Database!$A$1:$K$1,),)+VLOOKUP(A259,Database!A:K,MATCH($B$1,Database!$A$1:$K$1,),)</f>
        <v>16733</v>
      </c>
      <c r="C259" s="12">
        <f t="shared" si="6"/>
        <v>-1.1938160329493224E-3</v>
      </c>
      <c r="D259" s="13">
        <f t="shared" si="7"/>
        <v>3.5522000123770034E-2</v>
      </c>
    </row>
    <row r="260" spans="1:4" x14ac:dyDescent="0.35">
      <c r="A260" s="11">
        <v>41306</v>
      </c>
      <c r="B260" s="15">
        <f>VLOOKUP(A260,Database!A:K,MATCH($A$1,Database!$A$1:$K$1,),)+VLOOKUP(A260,Database!A:K,MATCH($B$1,Database!$A$1:$K$1,),)</f>
        <v>16729</v>
      </c>
      <c r="C260" s="12">
        <f t="shared" si="6"/>
        <v>-2.3904858662523158E-4</v>
      </c>
      <c r="D260" s="13">
        <f t="shared" si="7"/>
        <v>3.4890194865450044E-2</v>
      </c>
    </row>
    <row r="261" spans="1:4" x14ac:dyDescent="0.35">
      <c r="A261" s="10">
        <v>41334</v>
      </c>
      <c r="B261" s="15">
        <f>VLOOKUP(A261,Database!A:K,MATCH($A$1,Database!$A$1:$K$1,),)+VLOOKUP(A261,Database!A:K,MATCH($B$1,Database!$A$1:$K$1,),)</f>
        <v>16484</v>
      </c>
      <c r="C261" s="12">
        <f t="shared" si="6"/>
        <v>-1.464522685157511E-2</v>
      </c>
      <c r="D261" s="13">
        <f t="shared" si="7"/>
        <v>1.1226305134654316E-2</v>
      </c>
    </row>
    <row r="262" spans="1:4" x14ac:dyDescent="0.35">
      <c r="A262" s="11">
        <v>41365</v>
      </c>
      <c r="B262" s="15">
        <f>VLOOKUP(A262,Database!A:K,MATCH($A$1,Database!$A$1:$K$1,),)+VLOOKUP(A262,Database!A:K,MATCH($B$1,Database!$A$1:$K$1,),)</f>
        <v>16502</v>
      </c>
      <c r="C262" s="12">
        <f t="shared" si="6"/>
        <v>1.0919679689395778E-3</v>
      </c>
      <c r="D262" s="13">
        <f t="shared" si="7"/>
        <v>2.745781707241143E-2</v>
      </c>
    </row>
    <row r="263" spans="1:4" x14ac:dyDescent="0.35">
      <c r="A263" s="10">
        <v>41395</v>
      </c>
      <c r="B263" s="15">
        <f>VLOOKUP(A263,Database!A:K,MATCH($A$1,Database!$A$1:$K$1,),)+VLOOKUP(A263,Database!A:K,MATCH($B$1,Database!$A$1:$K$1,),)</f>
        <v>16413</v>
      </c>
      <c r="C263" s="12">
        <f t="shared" si="6"/>
        <v>-5.3932856623439586E-3</v>
      </c>
      <c r="D263" s="13">
        <f t="shared" si="7"/>
        <v>1.8311664530305805E-3</v>
      </c>
    </row>
    <row r="264" spans="1:4" x14ac:dyDescent="0.35">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35">
      <c r="A265" s="10">
        <v>41456</v>
      </c>
      <c r="B265" s="15">
        <f>VLOOKUP(A265,Database!A:K,MATCH($A$1,Database!$A$1:$K$1,),)+VLOOKUP(A265,Database!A:K,MATCH($B$1,Database!$A$1:$K$1,),)</f>
        <v>16570</v>
      </c>
      <c r="C265" s="12">
        <f t="shared" si="8"/>
        <v>-4.3862284443910351E-3</v>
      </c>
      <c r="D265" s="13">
        <f t="shared" si="7"/>
        <v>1.0365853658536586E-2</v>
      </c>
    </row>
    <row r="266" spans="1:4" x14ac:dyDescent="0.35">
      <c r="A266" s="11">
        <v>41487</v>
      </c>
      <c r="B266" s="15">
        <f>VLOOKUP(A266,Database!A:K,MATCH($A$1,Database!$A$1:$K$1,),)+VLOOKUP(A266,Database!A:K,MATCH($B$1,Database!$A$1:$K$1,),)</f>
        <v>16622</v>
      </c>
      <c r="C266" s="12">
        <f t="shared" si="8"/>
        <v>3.1382015691007845E-3</v>
      </c>
      <c r="D266" s="13">
        <f t="shared" si="7"/>
        <v>2.4089704885712524E-2</v>
      </c>
    </row>
    <row r="267" spans="1:4" x14ac:dyDescent="0.35">
      <c r="A267" s="10">
        <v>41518</v>
      </c>
      <c r="B267" s="15">
        <f>VLOOKUP(A267,Database!A:K,MATCH($A$1,Database!$A$1:$K$1,),)+VLOOKUP(A267,Database!A:K,MATCH($B$1,Database!$A$1:$K$1,),)</f>
        <v>16604</v>
      </c>
      <c r="C267" s="12">
        <f t="shared" si="8"/>
        <v>-1.0829021778366022E-3</v>
      </c>
      <c r="D267" s="13">
        <f t="shared" si="7"/>
        <v>2.2287895579362147E-2</v>
      </c>
    </row>
    <row r="268" spans="1:4" x14ac:dyDescent="0.35">
      <c r="A268" s="11">
        <v>41548</v>
      </c>
      <c r="B268" s="15">
        <f>VLOOKUP(A268,Database!A:K,MATCH($A$1,Database!$A$1:$K$1,),)+VLOOKUP(A268,Database!A:K,MATCH($B$1,Database!$A$1:$K$1,),)</f>
        <v>16834</v>
      </c>
      <c r="C268" s="12">
        <f t="shared" si="8"/>
        <v>1.3852083835220429E-2</v>
      </c>
      <c r="D268" s="13">
        <f t="shared" si="7"/>
        <v>6.8350574347908866E-2</v>
      </c>
    </row>
    <row r="269" spans="1:4" x14ac:dyDescent="0.35">
      <c r="A269" s="10">
        <v>41579</v>
      </c>
      <c r="B269" s="15">
        <f>VLOOKUP(A269,Database!A:K,MATCH($A$1,Database!$A$1:$K$1,),)+VLOOKUP(A269,Database!A:K,MATCH($B$1,Database!$A$1:$K$1,),)</f>
        <v>16765</v>
      </c>
      <c r="C269" s="12">
        <f t="shared" si="8"/>
        <v>-4.0988475703932518E-3</v>
      </c>
      <c r="D269" s="13">
        <f t="shared" si="7"/>
        <v>3.0677486782245175E-2</v>
      </c>
    </row>
    <row r="270" spans="1:4" x14ac:dyDescent="0.35">
      <c r="A270" s="11">
        <v>41609</v>
      </c>
      <c r="B270" s="15">
        <f>VLOOKUP(A270,Database!A:K,MATCH($A$1,Database!$A$1:$K$1,),)+VLOOKUP(A270,Database!A:K,MATCH($B$1,Database!$A$1:$K$1,),)</f>
        <v>16443</v>
      </c>
      <c r="C270" s="12">
        <f t="shared" si="8"/>
        <v>-1.9206680584551147E-2</v>
      </c>
      <c r="D270" s="13">
        <f t="shared" si="7"/>
        <v>-1.85041485107145E-2</v>
      </c>
    </row>
    <row r="271" spans="1:4" x14ac:dyDescent="0.35">
      <c r="A271" s="10">
        <v>41640</v>
      </c>
      <c r="B271" s="15">
        <f>VLOOKUP(A271,Database!A:K,MATCH($A$1,Database!$A$1:$K$1,),)+VLOOKUP(A271,Database!A:K,MATCH($B$1,Database!$A$1:$K$1,),)</f>
        <v>16310</v>
      </c>
      <c r="C271" s="12">
        <f t="shared" si="8"/>
        <v>-8.0885483184333761E-3</v>
      </c>
      <c r="D271" s="13">
        <f t="shared" si="7"/>
        <v>-2.5279388035618241E-2</v>
      </c>
    </row>
    <row r="272" spans="1:4" x14ac:dyDescent="0.35">
      <c r="A272" s="11">
        <v>41671</v>
      </c>
      <c r="B272" s="15">
        <f>VLOOKUP(A272,Database!A:K,MATCH($A$1,Database!$A$1:$K$1,),)+VLOOKUP(A272,Database!A:K,MATCH($B$1,Database!$A$1:$K$1,),)</f>
        <v>16637</v>
      </c>
      <c r="C272" s="12">
        <f t="shared" si="8"/>
        <v>2.0049049662783567E-2</v>
      </c>
      <c r="D272" s="13">
        <f t="shared" si="7"/>
        <v>-5.4994321238567758E-3</v>
      </c>
    </row>
    <row r="273" spans="1:4" x14ac:dyDescent="0.35">
      <c r="A273" s="10">
        <v>41699</v>
      </c>
      <c r="B273" s="15">
        <f>VLOOKUP(A273,Database!A:K,MATCH($A$1,Database!$A$1:$K$1,),)+VLOOKUP(A273,Database!A:K,MATCH($B$1,Database!$A$1:$K$1,),)</f>
        <v>16806</v>
      </c>
      <c r="C273" s="12">
        <f t="shared" si="8"/>
        <v>1.0158081384865059E-2</v>
      </c>
      <c r="D273" s="13">
        <f t="shared" si="7"/>
        <v>1.9534093666585779E-2</v>
      </c>
    </row>
    <row r="274" spans="1:4" x14ac:dyDescent="0.35">
      <c r="A274" s="11">
        <v>41730</v>
      </c>
      <c r="B274" s="15">
        <f>VLOOKUP(A274,Database!A:K,MATCH($A$1,Database!$A$1:$K$1,),)+VLOOKUP(A274,Database!A:K,MATCH($B$1,Database!$A$1:$K$1,),)</f>
        <v>16919</v>
      </c>
      <c r="C274" s="12">
        <f t="shared" si="8"/>
        <v>6.7237891229322859E-3</v>
      </c>
      <c r="D274" s="13">
        <f t="shared" si="7"/>
        <v>2.5269664283117197E-2</v>
      </c>
    </row>
    <row r="275" spans="1:4" x14ac:dyDescent="0.35">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35">
      <c r="A276" s="11">
        <v>41791</v>
      </c>
      <c r="B276" s="15">
        <f>VLOOKUP(A276,Database!A:K,MATCH($A$1,Database!$A$1:$K$1,),)+VLOOKUP(A276,Database!A:K,MATCH($B$1,Database!$A$1:$K$1,),)</f>
        <v>16684</v>
      </c>
      <c r="C276" s="12">
        <f t="shared" si="8"/>
        <v>-4.3563883750074592E-3</v>
      </c>
      <c r="D276" s="13">
        <f t="shared" si="9"/>
        <v>2.4634981673977048E-3</v>
      </c>
    </row>
    <row r="277" spans="1:4" x14ac:dyDescent="0.35">
      <c r="A277" s="10">
        <v>41821</v>
      </c>
      <c r="B277" s="15">
        <f>VLOOKUP(A277,Database!A:K,MATCH($A$1,Database!$A$1:$K$1,),)+VLOOKUP(A277,Database!A:K,MATCH($B$1,Database!$A$1:$K$1,),)</f>
        <v>16807</v>
      </c>
      <c r="C277" s="12">
        <f t="shared" si="8"/>
        <v>7.3723327739151278E-3</v>
      </c>
      <c r="D277" s="13">
        <f t="shared" si="9"/>
        <v>1.4302957151478576E-2</v>
      </c>
    </row>
    <row r="278" spans="1:4" x14ac:dyDescent="0.35">
      <c r="A278" s="11">
        <v>41852</v>
      </c>
      <c r="B278" s="15">
        <f>VLOOKUP(A278,Database!A:K,MATCH($A$1,Database!$A$1:$K$1,),)+VLOOKUP(A278,Database!A:K,MATCH($B$1,Database!$A$1:$K$1,),)</f>
        <v>16995</v>
      </c>
      <c r="C278" s="12">
        <f t="shared" si="8"/>
        <v>1.1185815434045338E-2</v>
      </c>
      <c r="D278" s="13">
        <f t="shared" si="9"/>
        <v>2.2440139574058476E-2</v>
      </c>
    </row>
    <row r="279" spans="1:4" x14ac:dyDescent="0.35">
      <c r="A279" s="10">
        <v>41883</v>
      </c>
      <c r="B279" s="15">
        <f>VLOOKUP(A279,Database!A:K,MATCH($A$1,Database!$A$1:$K$1,),)+VLOOKUP(A279,Database!A:K,MATCH($B$1,Database!$A$1:$K$1,),)</f>
        <v>17117</v>
      </c>
      <c r="C279" s="12">
        <f t="shared" si="8"/>
        <v>7.178581935863489E-3</v>
      </c>
      <c r="D279" s="13">
        <f t="shared" si="9"/>
        <v>3.0896169597687304E-2</v>
      </c>
    </row>
    <row r="280" spans="1:4" x14ac:dyDescent="0.35">
      <c r="A280" s="11">
        <v>41913</v>
      </c>
      <c r="B280" s="15">
        <f>VLOOKUP(A280,Database!A:K,MATCH($A$1,Database!$A$1:$K$1,),)+VLOOKUP(A280,Database!A:K,MATCH($B$1,Database!$A$1:$K$1,),)</f>
        <v>17085</v>
      </c>
      <c r="C280" s="12">
        <f t="shared" si="8"/>
        <v>-1.8694864754337792E-3</v>
      </c>
      <c r="D280" s="13">
        <f t="shared" si="9"/>
        <v>1.4910300582155162E-2</v>
      </c>
    </row>
    <row r="281" spans="1:4" x14ac:dyDescent="0.35">
      <c r="A281" s="10">
        <v>41944</v>
      </c>
      <c r="B281" s="15">
        <f>VLOOKUP(A281,Database!A:K,MATCH($A$1,Database!$A$1:$K$1,),)+VLOOKUP(A281,Database!A:K,MATCH($B$1,Database!$A$1:$K$1,),)</f>
        <v>17422</v>
      </c>
      <c r="C281" s="12">
        <f t="shared" si="8"/>
        <v>1.9724904887328067E-2</v>
      </c>
      <c r="D281" s="13">
        <f t="shared" si="9"/>
        <v>3.918878616164629E-2</v>
      </c>
    </row>
    <row r="282" spans="1:4" x14ac:dyDescent="0.35">
      <c r="A282" s="11">
        <v>41974</v>
      </c>
      <c r="B282" s="15">
        <f>VLOOKUP(A282,Database!A:K,MATCH($A$1,Database!$A$1:$K$1,),)+VLOOKUP(A282,Database!A:K,MATCH($B$1,Database!$A$1:$K$1,),)</f>
        <v>17510</v>
      </c>
      <c r="C282" s="12">
        <f t="shared" si="8"/>
        <v>5.0510848352657558E-3</v>
      </c>
      <c r="D282" s="13">
        <f t="shared" si="9"/>
        <v>6.4890835005777539E-2</v>
      </c>
    </row>
    <row r="283" spans="1:4" x14ac:dyDescent="0.35">
      <c r="A283" s="10">
        <v>42005</v>
      </c>
      <c r="B283" s="15">
        <f>VLOOKUP(A283,Database!A:K,MATCH($A$1,Database!$A$1:$K$1,),)+VLOOKUP(A283,Database!A:K,MATCH($B$1,Database!$A$1:$K$1,),)</f>
        <v>17325</v>
      </c>
      <c r="C283" s="12">
        <f t="shared" si="8"/>
        <v>-1.05653912050257E-2</v>
      </c>
      <c r="D283" s="13">
        <f t="shared" si="9"/>
        <v>6.2231759656652362E-2</v>
      </c>
    </row>
    <row r="284" spans="1:4" x14ac:dyDescent="0.35">
      <c r="A284" s="11">
        <v>42036</v>
      </c>
      <c r="B284" s="15">
        <f>VLOOKUP(A284,Database!A:K,MATCH($A$1,Database!$A$1:$K$1,),)+VLOOKUP(A284,Database!A:K,MATCH($B$1,Database!$A$1:$K$1,),)</f>
        <v>17000</v>
      </c>
      <c r="C284" s="12">
        <f t="shared" si="8"/>
        <v>-1.875901875901876E-2</v>
      </c>
      <c r="D284" s="13">
        <f t="shared" si="9"/>
        <v>2.1818837530804831E-2</v>
      </c>
    </row>
    <row r="285" spans="1:4" x14ac:dyDescent="0.35">
      <c r="A285" s="10">
        <v>42064</v>
      </c>
      <c r="B285" s="15">
        <f>VLOOKUP(A285,Database!A:K,MATCH($A$1,Database!$A$1:$K$1,),)+VLOOKUP(A285,Database!A:K,MATCH($B$1,Database!$A$1:$K$1,),)</f>
        <v>17059</v>
      </c>
      <c r="C285" s="12">
        <f t="shared" si="8"/>
        <v>3.4705882352941177E-3</v>
      </c>
      <c r="D285" s="13">
        <f t="shared" si="9"/>
        <v>1.5054147328335118E-2</v>
      </c>
    </row>
    <row r="286" spans="1:4" x14ac:dyDescent="0.35">
      <c r="A286" s="11">
        <v>42095</v>
      </c>
      <c r="B286" s="15">
        <f>VLOOKUP(A286,Database!A:K,MATCH($A$1,Database!$A$1:$K$1,),)+VLOOKUP(A286,Database!A:K,MATCH($B$1,Database!$A$1:$K$1,),)</f>
        <v>17262</v>
      </c>
      <c r="C286" s="12">
        <f t="shared" si="8"/>
        <v>1.1899876897825195E-2</v>
      </c>
      <c r="D286" s="13">
        <f t="shared" si="9"/>
        <v>2.0273065784029789E-2</v>
      </c>
    </row>
    <row r="287" spans="1:4" x14ac:dyDescent="0.35">
      <c r="A287" s="10">
        <v>42125</v>
      </c>
      <c r="B287" s="15">
        <f>VLOOKUP(A287,Database!A:K,MATCH($A$1,Database!$A$1:$K$1,),)+VLOOKUP(A287,Database!A:K,MATCH($B$1,Database!$A$1:$K$1,),)</f>
        <v>17496</v>
      </c>
      <c r="C287" s="12">
        <f t="shared" si="8"/>
        <v>1.3555787278415016E-2</v>
      </c>
      <c r="D287" s="13">
        <f t="shared" si="9"/>
        <v>4.4100972727815241E-2</v>
      </c>
    </row>
    <row r="288" spans="1:4" x14ac:dyDescent="0.35">
      <c r="A288" s="11">
        <v>42156</v>
      </c>
      <c r="B288" s="15">
        <f>VLOOKUP(A288,Database!A:K,MATCH($A$1,Database!$A$1:$K$1,),)+VLOOKUP(A288,Database!A:K,MATCH($B$1,Database!$A$1:$K$1,),)</f>
        <v>17436</v>
      </c>
      <c r="C288" s="12">
        <f t="shared" si="8"/>
        <v>-3.4293552812071329E-3</v>
      </c>
      <c r="D288" s="13">
        <f t="shared" si="9"/>
        <v>4.5073123951090865E-2</v>
      </c>
    </row>
    <row r="289" spans="1:4" x14ac:dyDescent="0.35">
      <c r="A289" s="10">
        <v>42186</v>
      </c>
      <c r="B289" s="15">
        <f>VLOOKUP(A289,Database!A:K,MATCH($A$1,Database!$A$1:$K$1,),)+VLOOKUP(A289,Database!A:K,MATCH($B$1,Database!$A$1:$K$1,),)</f>
        <v>17422</v>
      </c>
      <c r="C289" s="12">
        <f t="shared" si="8"/>
        <v>-8.0293645331498047E-4</v>
      </c>
      <c r="D289" s="13">
        <f t="shared" si="9"/>
        <v>3.6591896233712146E-2</v>
      </c>
    </row>
    <row r="290" spans="1:4" x14ac:dyDescent="0.35">
      <c r="A290" s="11">
        <v>42217</v>
      </c>
      <c r="B290" s="15">
        <f>VLOOKUP(A290,Database!A:K,MATCH($A$1,Database!$A$1:$K$1,),)+VLOOKUP(A290,Database!A:K,MATCH($B$1,Database!$A$1:$K$1,),)</f>
        <v>17442</v>
      </c>
      <c r="C290" s="12">
        <f t="shared" si="8"/>
        <v>1.1479738261967627E-3</v>
      </c>
      <c r="D290" s="13">
        <f t="shared" si="9"/>
        <v>2.6301853486319506E-2</v>
      </c>
    </row>
    <row r="291" spans="1:4" x14ac:dyDescent="0.35">
      <c r="A291" s="10">
        <v>42248</v>
      </c>
      <c r="B291" s="15">
        <f>VLOOKUP(A291,Database!A:K,MATCH($A$1,Database!$A$1:$K$1,),)+VLOOKUP(A291,Database!A:K,MATCH($B$1,Database!$A$1:$K$1,),)</f>
        <v>17451</v>
      </c>
      <c r="C291" s="12">
        <f t="shared" si="8"/>
        <v>5.1599587203302369E-4</v>
      </c>
      <c r="D291" s="13">
        <f t="shared" si="9"/>
        <v>1.9512765087340071E-2</v>
      </c>
    </row>
    <row r="292" spans="1:4" x14ac:dyDescent="0.35">
      <c r="A292" s="11">
        <v>42278</v>
      </c>
      <c r="B292" s="15">
        <f>VLOOKUP(A292,Database!A:K,MATCH($A$1,Database!$A$1:$K$1,),)+VLOOKUP(A292,Database!A:K,MATCH($B$1,Database!$A$1:$K$1,),)</f>
        <v>17455</v>
      </c>
      <c r="C292" s="12">
        <f t="shared" si="8"/>
        <v>2.292132256031173E-4</v>
      </c>
      <c r="D292" s="13">
        <f t="shared" si="9"/>
        <v>2.1656423763535264E-2</v>
      </c>
    </row>
    <row r="293" spans="1:4" x14ac:dyDescent="0.35">
      <c r="A293" s="10">
        <v>42309</v>
      </c>
      <c r="B293" s="15">
        <f>VLOOKUP(A293,Database!A:K,MATCH($A$1,Database!$A$1:$K$1,),)+VLOOKUP(A293,Database!A:K,MATCH($B$1,Database!$A$1:$K$1,),)</f>
        <v>17319</v>
      </c>
      <c r="C293" s="12">
        <f t="shared" si="8"/>
        <v>-7.7914637639644804E-3</v>
      </c>
      <c r="D293" s="13">
        <f t="shared" si="9"/>
        <v>-5.9120652049133278E-3</v>
      </c>
    </row>
    <row r="294" spans="1:4" x14ac:dyDescent="0.35">
      <c r="A294" s="11">
        <v>42339</v>
      </c>
      <c r="B294" s="15">
        <f>VLOOKUP(A294,Database!A:K,MATCH($A$1,Database!$A$1:$K$1,),)+VLOOKUP(A294,Database!A:K,MATCH($B$1,Database!$A$1:$K$1,),)</f>
        <v>17507</v>
      </c>
      <c r="C294" s="12">
        <f t="shared" si="8"/>
        <v>1.0855130203822392E-2</v>
      </c>
      <c r="D294" s="13">
        <f t="shared" si="9"/>
        <v>-1.7133066818960594E-4</v>
      </c>
    </row>
    <row r="295" spans="1:4" x14ac:dyDescent="0.35">
      <c r="A295" s="10">
        <v>42370</v>
      </c>
      <c r="B295" s="15">
        <f>VLOOKUP(A295,Database!A:K,MATCH($A$1,Database!$A$1:$K$1,),)+VLOOKUP(A295,Database!A:K,MATCH($B$1,Database!$A$1:$K$1,),)</f>
        <v>17209</v>
      </c>
      <c r="C295" s="12">
        <f t="shared" si="8"/>
        <v>-1.7021762723482037E-2</v>
      </c>
      <c r="D295" s="13">
        <f t="shared" si="9"/>
        <v>-6.6955266955266955E-3</v>
      </c>
    </row>
    <row r="296" spans="1:4" x14ac:dyDescent="0.35">
      <c r="A296" s="11">
        <v>42401</v>
      </c>
      <c r="B296" s="15">
        <f>VLOOKUP(A296,Database!A:K,MATCH($A$1,Database!$A$1:$K$1,),)+VLOOKUP(A296,Database!A:K,MATCH($B$1,Database!$A$1:$K$1,),)</f>
        <v>17338</v>
      </c>
      <c r="C296" s="12">
        <f t="shared" si="8"/>
        <v>7.4960776337962692E-3</v>
      </c>
      <c r="D296" s="13">
        <f t="shared" si="9"/>
        <v>1.9882352941176469E-2</v>
      </c>
    </row>
    <row r="297" spans="1:4" x14ac:dyDescent="0.35">
      <c r="A297" s="10">
        <v>42430</v>
      </c>
      <c r="B297" s="15">
        <f>VLOOKUP(A297,Database!A:K,MATCH($A$1,Database!$A$1:$K$1,),)+VLOOKUP(A297,Database!A:K,MATCH($B$1,Database!$A$1:$K$1,),)</f>
        <v>17145</v>
      </c>
      <c r="C297" s="12">
        <f t="shared" si="8"/>
        <v>-1.1131618410427962E-2</v>
      </c>
      <c r="D297" s="13">
        <f t="shared" si="9"/>
        <v>5.0413271586845654E-3</v>
      </c>
    </row>
    <row r="298" spans="1:4" x14ac:dyDescent="0.35">
      <c r="A298" s="11">
        <v>42461</v>
      </c>
      <c r="B298" s="15">
        <f>VLOOKUP(A298,Database!A:K,MATCH($A$1,Database!$A$1:$K$1,),)+VLOOKUP(A298,Database!A:K,MATCH($B$1,Database!$A$1:$K$1,),)</f>
        <v>17088</v>
      </c>
      <c r="C298" s="12">
        <f t="shared" si="8"/>
        <v>-3.3245844269466315E-3</v>
      </c>
      <c r="D298" s="13">
        <f t="shared" si="9"/>
        <v>-1.0079944386513729E-2</v>
      </c>
    </row>
    <row r="299" spans="1:4" x14ac:dyDescent="0.35">
      <c r="A299" s="10">
        <v>42491</v>
      </c>
      <c r="B299" s="15">
        <f>VLOOKUP(A299,Database!A:K,MATCH($A$1,Database!$A$1:$K$1,),)+VLOOKUP(A299,Database!A:K,MATCH($B$1,Database!$A$1:$K$1,),)</f>
        <v>17198</v>
      </c>
      <c r="C299" s="12">
        <f t="shared" si="8"/>
        <v>6.4372659176029964E-3</v>
      </c>
      <c r="D299" s="13">
        <f t="shared" si="9"/>
        <v>-1.7032464563328759E-2</v>
      </c>
    </row>
    <row r="300" spans="1:4" x14ac:dyDescent="0.35">
      <c r="A300" s="11">
        <v>42522</v>
      </c>
      <c r="B300" s="15">
        <f>VLOOKUP(A300,Database!A:K,MATCH($A$1,Database!$A$1:$K$1,),)+VLOOKUP(A300,Database!A:K,MATCH($B$1,Database!$A$1:$K$1,),)</f>
        <v>17307</v>
      </c>
      <c r="C300" s="12">
        <f t="shared" si="8"/>
        <v>6.3379462728224215E-3</v>
      </c>
      <c r="D300" s="13">
        <f t="shared" si="9"/>
        <v>-7.3984858912594636E-3</v>
      </c>
    </row>
    <row r="301" spans="1:4" x14ac:dyDescent="0.35">
      <c r="A301" s="10">
        <v>42552</v>
      </c>
      <c r="B301" s="15">
        <f>VLOOKUP(A301,Database!A:K,MATCH($A$1,Database!$A$1:$K$1,),)+VLOOKUP(A301,Database!A:K,MATCH($B$1,Database!$A$1:$K$1,),)</f>
        <v>17291</v>
      </c>
      <c r="C301" s="12">
        <f t="shared" si="8"/>
        <v>-9.2448142370139255E-4</v>
      </c>
      <c r="D301" s="13">
        <f t="shared" si="9"/>
        <v>-7.5192285615887956E-3</v>
      </c>
    </row>
    <row r="302" spans="1:4" x14ac:dyDescent="0.35">
      <c r="A302" s="11">
        <v>42583</v>
      </c>
      <c r="B302" s="15">
        <f>VLOOKUP(A302,Database!A:K,MATCH($A$1,Database!$A$1:$K$1,),)+VLOOKUP(A302,Database!A:K,MATCH($B$1,Database!$A$1:$K$1,),)</f>
        <v>17370</v>
      </c>
      <c r="C302" s="12">
        <f t="shared" si="8"/>
        <v>4.5688508472615814E-3</v>
      </c>
      <c r="D302" s="13">
        <f t="shared" si="9"/>
        <v>-4.1279669762641896E-3</v>
      </c>
    </row>
    <row r="303" spans="1:4" x14ac:dyDescent="0.35">
      <c r="A303" s="10">
        <v>42614</v>
      </c>
      <c r="B303" s="15">
        <f>VLOOKUP(A303,Database!A:K,MATCH($A$1,Database!$A$1:$K$1,),)+VLOOKUP(A303,Database!A:K,MATCH($B$1,Database!$A$1:$K$1,),)</f>
        <v>17243</v>
      </c>
      <c r="C303" s="12">
        <f t="shared" si="8"/>
        <v>-7.3114565342544619E-3</v>
      </c>
      <c r="D303" s="13">
        <f t="shared" si="9"/>
        <v>-1.1919087731362099E-2</v>
      </c>
    </row>
    <row r="304" spans="1:4" x14ac:dyDescent="0.35">
      <c r="A304" s="11">
        <v>42644</v>
      </c>
      <c r="B304" s="15">
        <f>VLOOKUP(A304,Database!A:K,MATCH($A$1,Database!$A$1:$K$1,),)+VLOOKUP(A304,Database!A:K,MATCH($B$1,Database!$A$1:$K$1,),)</f>
        <v>16999</v>
      </c>
      <c r="C304" s="12">
        <f t="shared" si="8"/>
        <v>-1.4150669837035319E-2</v>
      </c>
      <c r="D304" s="13">
        <f t="shared" si="9"/>
        <v>-2.6124319679175022E-2</v>
      </c>
    </row>
    <row r="305" spans="1:4" x14ac:dyDescent="0.35">
      <c r="A305" s="10">
        <v>42675</v>
      </c>
      <c r="B305" s="15">
        <f>VLOOKUP(A305,Database!A:K,MATCH($A$1,Database!$A$1:$K$1,),)+VLOOKUP(A305,Database!A:K,MATCH($B$1,Database!$A$1:$K$1,),)</f>
        <v>16879</v>
      </c>
      <c r="C305" s="12">
        <f t="shared" si="8"/>
        <v>-7.0592387787516914E-3</v>
      </c>
      <c r="D305" s="13">
        <f t="shared" si="9"/>
        <v>-2.5405623881286449E-2</v>
      </c>
    </row>
    <row r="306" spans="1:4" x14ac:dyDescent="0.35">
      <c r="A306" s="11">
        <v>42705</v>
      </c>
      <c r="B306" s="15">
        <f>VLOOKUP(A306,Database!A:K,MATCH($A$1,Database!$A$1:$K$1,),)+VLOOKUP(A306,Database!A:K,MATCH($B$1,Database!$A$1:$K$1,),)</f>
        <v>16904</v>
      </c>
      <c r="C306" s="12">
        <f t="shared" si="8"/>
        <v>1.4811303987203033E-3</v>
      </c>
      <c r="D306" s="13">
        <f t="shared" si="9"/>
        <v>-3.4443365510938483E-2</v>
      </c>
    </row>
    <row r="307" spans="1:4" x14ac:dyDescent="0.35">
      <c r="A307" s="10">
        <v>42736</v>
      </c>
      <c r="B307" s="15">
        <f>VLOOKUP(A307,Database!A:K,MATCH($A$1,Database!$A$1:$K$1,),)+VLOOKUP(A307,Database!A:K,MATCH($B$1,Database!$A$1:$K$1,),)</f>
        <v>17193</v>
      </c>
      <c r="C307" s="12">
        <f t="shared" si="8"/>
        <v>1.7096545196403218E-2</v>
      </c>
      <c r="D307" s="13">
        <f t="shared" si="9"/>
        <v>-9.29746063106514E-4</v>
      </c>
    </row>
    <row r="308" spans="1:4" x14ac:dyDescent="0.35">
      <c r="A308" s="11">
        <v>42767</v>
      </c>
      <c r="B308" s="15">
        <f>VLOOKUP(A308,Database!A:K,MATCH($A$1,Database!$A$1:$K$1,),)+VLOOKUP(A308,Database!A:K,MATCH($B$1,Database!$A$1:$K$1,),)</f>
        <v>17110</v>
      </c>
      <c r="C308" s="12">
        <f t="shared" si="8"/>
        <v>-4.8275460943407204E-3</v>
      </c>
      <c r="D308" s="13">
        <f t="shared" si="9"/>
        <v>-1.3150305686930442E-2</v>
      </c>
    </row>
    <row r="309" spans="1:4" x14ac:dyDescent="0.35">
      <c r="A309" s="10">
        <v>42795</v>
      </c>
      <c r="B309" s="15">
        <f>VLOOKUP(A309,Database!A:K,MATCH($A$1,Database!$A$1:$K$1,),)+VLOOKUP(A309,Database!A:K,MATCH($B$1,Database!$A$1:$K$1,),)</f>
        <v>17359</v>
      </c>
      <c r="C309" s="12">
        <f t="shared" si="8"/>
        <v>1.4552893045002922E-2</v>
      </c>
      <c r="D309" s="13">
        <f t="shared" si="9"/>
        <v>1.2481773111694372E-2</v>
      </c>
    </row>
    <row r="310" spans="1:4" x14ac:dyDescent="0.35">
      <c r="A310" s="11">
        <v>42826</v>
      </c>
      <c r="B310" s="15">
        <f>VLOOKUP(A310,Database!A:K,MATCH($A$1,Database!$A$1:$K$1,),)+VLOOKUP(A310,Database!A:K,MATCH($B$1,Database!$A$1:$K$1,),)</f>
        <v>17258</v>
      </c>
      <c r="C310" s="12">
        <f t="shared" si="8"/>
        <v>-5.8183075061927526E-3</v>
      </c>
      <c r="D310" s="13">
        <f t="shared" si="9"/>
        <v>9.948501872659176E-3</v>
      </c>
    </row>
    <row r="311" spans="1:4" x14ac:dyDescent="0.35">
      <c r="A311" s="10">
        <v>42856</v>
      </c>
      <c r="B311" s="15">
        <f>VLOOKUP(A311,Database!A:K,MATCH($A$1,Database!$A$1:$K$1,),)+VLOOKUP(A311,Database!A:K,MATCH($B$1,Database!$A$1:$K$1,),)</f>
        <v>17239</v>
      </c>
      <c r="C311" s="12">
        <f t="shared" si="8"/>
        <v>-1.1009386950979257E-3</v>
      </c>
      <c r="D311" s="13">
        <f t="shared" si="9"/>
        <v>2.3839981393185255E-3</v>
      </c>
    </row>
    <row r="312" spans="1:4" x14ac:dyDescent="0.35">
      <c r="A312" s="11">
        <v>42887</v>
      </c>
      <c r="B312" s="15">
        <f>VLOOKUP(A312,Database!A:K,MATCH($A$1,Database!$A$1:$K$1,),)+VLOOKUP(A312,Database!A:K,MATCH($B$1,Database!$A$1:$K$1,),)</f>
        <v>17237</v>
      </c>
      <c r="C312" s="12">
        <f t="shared" si="8"/>
        <v>-1.160160102094089E-4</v>
      </c>
      <c r="D312" s="13">
        <f t="shared" si="9"/>
        <v>-4.0446062286935919E-3</v>
      </c>
    </row>
    <row r="313" spans="1:4" x14ac:dyDescent="0.35">
      <c r="A313" s="10">
        <v>42917</v>
      </c>
      <c r="B313" s="15">
        <f>VLOOKUP(A313,Database!A:K,MATCH($A$1,Database!$A$1:$K$1,),)+VLOOKUP(A313,Database!A:K,MATCH($B$1,Database!$A$1:$K$1,),)</f>
        <v>17110</v>
      </c>
      <c r="C313" s="12">
        <f t="shared" si="8"/>
        <v>-7.3678714393455936E-3</v>
      </c>
      <c r="D313" s="13">
        <f t="shared" si="9"/>
        <v>-1.0467873460181597E-2</v>
      </c>
    </row>
    <row r="314" spans="1:4" x14ac:dyDescent="0.35">
      <c r="A314" s="11">
        <v>42948</v>
      </c>
      <c r="B314" s="15">
        <f>VLOOKUP(A314,Database!A:K,MATCH($A$1,Database!$A$1:$K$1,),)+VLOOKUP(A314,Database!A:K,MATCH($B$1,Database!$A$1:$K$1,),)</f>
        <v>17206</v>
      </c>
      <c r="C314" s="12">
        <f t="shared" si="8"/>
        <v>5.6107539450613673E-3</v>
      </c>
      <c r="D314" s="13">
        <f t="shared" si="9"/>
        <v>-9.4415659182498553E-3</v>
      </c>
    </row>
    <row r="315" spans="1:4" x14ac:dyDescent="0.35">
      <c r="A315" s="10">
        <v>42979</v>
      </c>
      <c r="B315" s="15">
        <f>VLOOKUP(A315,Database!A:K,MATCH($A$1,Database!$A$1:$K$1,),)+VLOOKUP(A315,Database!A:K,MATCH($B$1,Database!$A$1:$K$1,),)</f>
        <v>17196</v>
      </c>
      <c r="C315" s="12">
        <f t="shared" si="8"/>
        <v>-5.8119260723003602E-4</v>
      </c>
      <c r="D315" s="13">
        <f t="shared" si="9"/>
        <v>-2.7257437800846719E-3</v>
      </c>
    </row>
    <row r="316" spans="1:4" x14ac:dyDescent="0.35">
      <c r="A316" s="11">
        <v>43009</v>
      </c>
      <c r="B316" s="15">
        <f>VLOOKUP(A316,Database!A:K,MATCH($A$1,Database!$A$1:$K$1,),)+VLOOKUP(A316,Database!A:K,MATCH($B$1,Database!$A$1:$K$1,),)</f>
        <v>17512</v>
      </c>
      <c r="C316" s="12">
        <f t="shared" si="8"/>
        <v>1.8376366596882996E-2</v>
      </c>
      <c r="D316" s="13">
        <f t="shared" si="9"/>
        <v>3.017824577916348E-2</v>
      </c>
    </row>
    <row r="317" spans="1:4" x14ac:dyDescent="0.35">
      <c r="A317" s="10">
        <v>43040</v>
      </c>
      <c r="B317" s="15">
        <f>VLOOKUP(A317,Database!A:K,MATCH($A$1,Database!$A$1:$K$1,),)+VLOOKUP(A317,Database!A:K,MATCH($B$1,Database!$A$1:$K$1,),)</f>
        <v>17806</v>
      </c>
      <c r="C317" s="12">
        <f t="shared" si="8"/>
        <v>1.6788487894015533E-2</v>
      </c>
      <c r="D317" s="13">
        <f t="shared" si="9"/>
        <v>5.4920315184548846E-2</v>
      </c>
    </row>
    <row r="318" spans="1:4" x14ac:dyDescent="0.35">
      <c r="A318" s="11">
        <v>43070</v>
      </c>
      <c r="B318" s="15">
        <f>VLOOKUP(A318,Database!A:K,MATCH($A$1,Database!$A$1:$K$1,),)+VLOOKUP(A318,Database!A:K,MATCH($B$1,Database!$A$1:$K$1,),)</f>
        <v>17768</v>
      </c>
      <c r="C318" s="12">
        <f t="shared" si="8"/>
        <v>-2.1341120970459395E-3</v>
      </c>
      <c r="D318" s="13">
        <f t="shared" si="9"/>
        <v>5.1112162801703741E-2</v>
      </c>
    </row>
    <row r="319" spans="1:4" x14ac:dyDescent="0.35">
      <c r="A319" s="10">
        <v>43101</v>
      </c>
      <c r="B319" s="15">
        <f>VLOOKUP(A319,Database!A:K,MATCH($A$1,Database!$A$1:$K$1,),)+VLOOKUP(A319,Database!A:K,MATCH($B$1,Database!$A$1:$K$1,),)</f>
        <v>17726</v>
      </c>
      <c r="C319" s="12">
        <f t="shared" si="8"/>
        <v>-2.3638000900495274E-3</v>
      </c>
      <c r="D319" s="13">
        <f t="shared" si="9"/>
        <v>3.1000988774501251E-2</v>
      </c>
    </row>
    <row r="320" spans="1:4" x14ac:dyDescent="0.35">
      <c r="A320" s="11">
        <v>43132</v>
      </c>
      <c r="B320" s="15">
        <f>VLOOKUP(A320,Database!A:K,MATCH($A$1,Database!$A$1:$K$1,),)+VLOOKUP(A320,Database!A:K,MATCH($B$1,Database!$A$1:$K$1,),)</f>
        <v>17818</v>
      </c>
      <c r="C320" s="12">
        <f t="shared" si="8"/>
        <v>5.1901162134717366E-3</v>
      </c>
      <c r="D320" s="13">
        <f t="shared" si="9"/>
        <v>4.1379310344827586E-2</v>
      </c>
    </row>
    <row r="321" spans="1:4" x14ac:dyDescent="0.35">
      <c r="A321" s="10">
        <v>43160</v>
      </c>
      <c r="B321" s="15">
        <f>VLOOKUP(A321,Database!A:K,MATCH($A$1,Database!$A$1:$K$1,),)+VLOOKUP(A321,Database!A:K,MATCH($B$1,Database!$A$1:$K$1,),)</f>
        <v>17755</v>
      </c>
      <c r="C321" s="12">
        <f t="shared" si="8"/>
        <v>-3.5357503647996408E-3</v>
      </c>
      <c r="D321" s="13">
        <f t="shared" si="9"/>
        <v>2.2812373984676535E-2</v>
      </c>
    </row>
    <row r="322" spans="1:4" x14ac:dyDescent="0.35">
      <c r="A322" s="11">
        <v>43191</v>
      </c>
      <c r="B322" s="15">
        <f>VLOOKUP(A322,Database!A:K,MATCH($A$1,Database!$A$1:$K$1,),)+VLOOKUP(A322,Database!A:K,MATCH($B$1,Database!$A$1:$K$1,),)</f>
        <v>18000</v>
      </c>
      <c r="C322" s="12">
        <f t="shared" si="8"/>
        <v>1.3798929878907349E-2</v>
      </c>
      <c r="D322" s="13">
        <f t="shared" si="9"/>
        <v>4.2994553250666361E-2</v>
      </c>
    </row>
    <row r="323" spans="1:4" x14ac:dyDescent="0.35">
      <c r="A323" s="10">
        <v>43221</v>
      </c>
      <c r="B323" s="15">
        <f>VLOOKUP(A323,Database!A:K,MATCH($A$1,Database!$A$1:$K$1,),)+VLOOKUP(A323,Database!A:K,MATCH($B$1,Database!$A$1:$K$1,),)</f>
        <v>17886</v>
      </c>
      <c r="C323" s="12">
        <f t="shared" si="8"/>
        <v>-6.3333333333333332E-3</v>
      </c>
      <c r="D323" s="13">
        <f t="shared" si="9"/>
        <v>3.7531179302743779E-2</v>
      </c>
    </row>
    <row r="324" spans="1:4" x14ac:dyDescent="0.35">
      <c r="A324" s="11">
        <v>43252</v>
      </c>
      <c r="B324" s="15">
        <f>VLOOKUP(A324,Database!A:K,MATCH($A$1,Database!$A$1:$K$1,),)+VLOOKUP(A324,Database!A:K,MATCH($B$1,Database!$A$1:$K$1,),)</f>
        <v>17958</v>
      </c>
      <c r="C324" s="12">
        <f t="shared" si="8"/>
        <v>4.025494800402549E-3</v>
      </c>
      <c r="D324" s="13">
        <f t="shared" si="9"/>
        <v>4.1828624470615534E-2</v>
      </c>
    </row>
    <row r="325" spans="1:4" x14ac:dyDescent="0.35">
      <c r="A325" s="10">
        <v>43282</v>
      </c>
      <c r="B325" s="15">
        <f>VLOOKUP(A325,Database!A:K,MATCH($A$1,Database!$A$1:$K$1,),)+VLOOKUP(A325,Database!A:K,MATCH($B$1,Database!$A$1:$K$1,),)</f>
        <v>17930</v>
      </c>
      <c r="C325" s="12">
        <f t="shared" si="8"/>
        <v>-1.5591936741285221E-3</v>
      </c>
      <c r="D325" s="13">
        <f t="shared" si="9"/>
        <v>4.792518994739918E-2</v>
      </c>
    </row>
    <row r="326" spans="1:4" x14ac:dyDescent="0.35">
      <c r="A326" s="11">
        <v>43313</v>
      </c>
      <c r="B326" s="15">
        <f>VLOOKUP(A326,Database!A:K,MATCH($A$1,Database!$A$1:$K$1,),)+VLOOKUP(A326,Database!A:K,MATCH($B$1,Database!$A$1:$K$1,),)</f>
        <v>17823</v>
      </c>
      <c r="C326" s="12">
        <f t="shared" si="8"/>
        <v>-5.9676519799219188E-3</v>
      </c>
      <c r="D326" s="13">
        <f t="shared" si="9"/>
        <v>3.5859583866093225E-2</v>
      </c>
    </row>
    <row r="327" spans="1:4" x14ac:dyDescent="0.35">
      <c r="A327" s="10">
        <v>43344</v>
      </c>
      <c r="B327" s="15">
        <f>VLOOKUP(A327,Database!A:K,MATCH($A$1,Database!$A$1:$K$1,),)+VLOOKUP(A327,Database!A:K,MATCH($B$1,Database!$A$1:$K$1,),)</f>
        <v>17675</v>
      </c>
      <c r="C327" s="12">
        <f t="shared" si="8"/>
        <v>-8.3038770128485671E-3</v>
      </c>
      <c r="D327" s="13">
        <f t="shared" si="9"/>
        <v>2.7855315189578973E-2</v>
      </c>
    </row>
    <row r="328" spans="1:4" x14ac:dyDescent="0.35">
      <c r="A328" s="11">
        <v>43374</v>
      </c>
      <c r="B328" s="15">
        <f>VLOOKUP(A328,Database!A:K,MATCH($A$1,Database!$A$1:$K$1,),)+VLOOKUP(A328,Database!A:K,MATCH($B$1,Database!$A$1:$K$1,),)</f>
        <v>17710</v>
      </c>
      <c r="C328" s="12">
        <f t="shared" ref="C328:C391" si="10">(B328-B327)/B327</f>
        <v>1.9801980198019802E-3</v>
      </c>
      <c r="D328" s="13">
        <f t="shared" si="9"/>
        <v>1.1306532663316583E-2</v>
      </c>
    </row>
    <row r="329" spans="1:4" x14ac:dyDescent="0.35">
      <c r="A329" s="10">
        <v>43405</v>
      </c>
      <c r="B329" s="15">
        <f>VLOOKUP(A329,Database!A:K,MATCH($A$1,Database!$A$1:$K$1,),)+VLOOKUP(A329,Database!A:K,MATCH($B$1,Database!$A$1:$K$1,),)</f>
        <v>17678</v>
      </c>
      <c r="C329" s="12">
        <f t="shared" si="10"/>
        <v>-1.8068887634105025E-3</v>
      </c>
      <c r="D329" s="13">
        <f t="shared" si="9"/>
        <v>-7.1885881163652699E-3</v>
      </c>
    </row>
    <row r="330" spans="1:4" x14ac:dyDescent="0.35">
      <c r="A330" s="11">
        <v>43435</v>
      </c>
      <c r="B330" s="15">
        <f>VLOOKUP(A330,Database!A:K,MATCH($A$1,Database!$A$1:$K$1,),)+VLOOKUP(A330,Database!A:K,MATCH($B$1,Database!$A$1:$K$1,),)</f>
        <v>17581</v>
      </c>
      <c r="C330" s="12">
        <f t="shared" si="10"/>
        <v>-5.4870460459327981E-3</v>
      </c>
      <c r="D330" s="13">
        <f t="shared" si="9"/>
        <v>-1.0524538496172894E-2</v>
      </c>
    </row>
    <row r="331" spans="1:4" x14ac:dyDescent="0.35">
      <c r="A331" s="10">
        <v>43466</v>
      </c>
      <c r="B331" s="15">
        <f>VLOOKUP(A331,Database!A:K,MATCH($A$1,Database!$A$1:$K$1,),)+VLOOKUP(A331,Database!A:K,MATCH($B$1,Database!$A$1:$K$1,),)</f>
        <v>17540</v>
      </c>
      <c r="C331" s="12">
        <f t="shared" si="10"/>
        <v>-2.3320630225811957E-3</v>
      </c>
      <c r="D331" s="13">
        <f t="shared" si="9"/>
        <v>-1.0493061040279816E-2</v>
      </c>
    </row>
    <row r="332" spans="1:4" x14ac:dyDescent="0.35">
      <c r="A332" s="11">
        <v>43497</v>
      </c>
      <c r="B332" s="15">
        <f>VLOOKUP(A332,Database!A:K,MATCH($A$1,Database!$A$1:$K$1,),)+VLOOKUP(A332,Database!A:K,MATCH($B$1,Database!$A$1:$K$1,),)</f>
        <v>17430</v>
      </c>
      <c r="C332" s="12">
        <f t="shared" si="10"/>
        <v>-6.2713797035347778E-3</v>
      </c>
      <c r="D332" s="13">
        <f t="shared" si="9"/>
        <v>-2.1775732405432707E-2</v>
      </c>
    </row>
    <row r="333" spans="1:4" x14ac:dyDescent="0.35">
      <c r="A333" s="10">
        <v>43525</v>
      </c>
      <c r="B333" s="15">
        <f>VLOOKUP(A333,Database!A:K,MATCH($A$1,Database!$A$1:$K$1,),)+VLOOKUP(A333,Database!A:K,MATCH($B$1,Database!$A$1:$K$1,),)</f>
        <v>17528</v>
      </c>
      <c r="C333" s="12">
        <f t="shared" si="10"/>
        <v>5.6224899598393578E-3</v>
      </c>
      <c r="D333" s="13">
        <f t="shared" si="9"/>
        <v>-1.2785130949028443E-2</v>
      </c>
    </row>
    <row r="334" spans="1:4" x14ac:dyDescent="0.35">
      <c r="A334" s="11">
        <v>43556</v>
      </c>
      <c r="B334" s="15">
        <f>VLOOKUP(A334,Database!A:K,MATCH($A$1,Database!$A$1:$K$1,),)+VLOOKUP(A334,Database!A:K,MATCH($B$1,Database!$A$1:$K$1,),)</f>
        <v>17567</v>
      </c>
      <c r="C334" s="12">
        <f t="shared" si="10"/>
        <v>2.2250114103149247E-3</v>
      </c>
      <c r="D334" s="13">
        <f t="shared" si="9"/>
        <v>-2.4055555555555556E-2</v>
      </c>
    </row>
    <row r="335" spans="1:4" x14ac:dyDescent="0.35">
      <c r="A335" s="30">
        <v>43586</v>
      </c>
      <c r="B335" s="31">
        <f>VLOOKUP(A335,Database!A:K,MATCH($A$1,Database!$A$1:$K$1,),)+VLOOKUP(A335,Database!A:K,MATCH($B$1,Database!$A$1:$K$1,),)</f>
        <v>17696</v>
      </c>
      <c r="C335" s="32">
        <f t="shared" si="10"/>
        <v>7.3433141686116013E-3</v>
      </c>
      <c r="D335" s="33">
        <f t="shared" si="9"/>
        <v>-1.0622833501062284E-2</v>
      </c>
    </row>
    <row r="336" spans="1:4" x14ac:dyDescent="0.35">
      <c r="A336" s="11">
        <v>43617</v>
      </c>
      <c r="B336" s="15">
        <f>VLOOKUP(A336,Database!A:K,MATCH($A$1,Database!$A$1:$K$1,),)+VLOOKUP(A336,Database!A:K,MATCH($B$1,Database!$A$1:$K$1,),)</f>
        <v>17706</v>
      </c>
      <c r="C336" s="12">
        <f t="shared" si="10"/>
        <v>5.6509945750452082E-4</v>
      </c>
      <c r="D336" s="13">
        <f t="shared" si="9"/>
        <v>-1.4032743067156699E-2</v>
      </c>
    </row>
    <row r="337" spans="1:4" x14ac:dyDescent="0.35">
      <c r="A337" s="30">
        <v>43647</v>
      </c>
      <c r="B337" s="31">
        <f>VLOOKUP(A337,Database!A:K,MATCH($A$1,Database!$A$1:$K$1,),)+VLOOKUP(A337,Database!A:K,MATCH($B$1,Database!$A$1:$K$1,),)</f>
        <v>17821</v>
      </c>
      <c r="C337" s="32">
        <f t="shared" si="10"/>
        <v>6.4949734553258779E-3</v>
      </c>
      <c r="D337" s="33">
        <f t="shared" si="9"/>
        <v>-6.0791968767428886E-3</v>
      </c>
    </row>
    <row r="338" spans="1:4" x14ac:dyDescent="0.35">
      <c r="A338" s="11">
        <v>43678</v>
      </c>
      <c r="B338" s="15">
        <f>VLOOKUP(A338,Database!A:K,MATCH($A$1,Database!$A$1:$K$1,),)+VLOOKUP(A338,Database!A:K,MATCH($B$1,Database!$A$1:$K$1,),)</f>
        <v>17720</v>
      </c>
      <c r="C338" s="12">
        <f t="shared" si="10"/>
        <v>-5.6674709612255202E-3</v>
      </c>
      <c r="D338" s="13">
        <f t="shared" si="9"/>
        <v>-5.7790495427256913E-3</v>
      </c>
    </row>
    <row r="339" spans="1:4" x14ac:dyDescent="0.35">
      <c r="A339" s="30">
        <v>43709</v>
      </c>
      <c r="B339" s="31">
        <f>VLOOKUP(A339,Database!A:K,MATCH($A$1,Database!$A$1:$K$1,),)+VLOOKUP(A339,Database!A:K,MATCH($B$1,Database!$A$1:$K$1,),)</f>
        <v>17886</v>
      </c>
      <c r="C339" s="32">
        <f t="shared" si="10"/>
        <v>9.3679458239277653E-3</v>
      </c>
      <c r="D339" s="33">
        <f t="shared" ref="D339:D402" si="11">(B339-B327)/B327</f>
        <v>1.1937765205091938E-2</v>
      </c>
    </row>
    <row r="340" spans="1:4" x14ac:dyDescent="0.35">
      <c r="A340" s="11">
        <v>43739</v>
      </c>
      <c r="B340" s="15">
        <f>VLOOKUP(A340,Database!A:K,MATCH($A$1,Database!$A$1:$K$1,),)+VLOOKUP(A340,Database!A:K,MATCH($B$1,Database!$A$1:$K$1,),)</f>
        <v>17580</v>
      </c>
      <c r="C340" s="12">
        <f t="shared" si="10"/>
        <v>-1.7108352901710835E-2</v>
      </c>
      <c r="D340" s="13">
        <f t="shared" si="11"/>
        <v>-7.3404856013551669E-3</v>
      </c>
    </row>
    <row r="341" spans="1:4" x14ac:dyDescent="0.35">
      <c r="A341" s="30">
        <v>43770</v>
      </c>
      <c r="B341" s="31">
        <f>VLOOKUP(A341,Database!A:K,MATCH($A$1,Database!$A$1:$K$1,),)+VLOOKUP(A341,Database!A:K,MATCH($B$1,Database!$A$1:$K$1,),)</f>
        <v>17708</v>
      </c>
      <c r="C341" s="32">
        <f t="shared" si="10"/>
        <v>7.2810011376564275E-3</v>
      </c>
      <c r="D341" s="33">
        <f t="shared" si="11"/>
        <v>1.6970245502884941E-3</v>
      </c>
    </row>
    <row r="342" spans="1:4" x14ac:dyDescent="0.35">
      <c r="A342" s="11">
        <v>43800</v>
      </c>
      <c r="B342" s="15">
        <f>VLOOKUP(A342,Database!A:K,MATCH($A$1,Database!$A$1:$K$1,),)+VLOOKUP(A342,Database!A:K,MATCH($B$1,Database!$A$1:$K$1,),)</f>
        <v>17598</v>
      </c>
      <c r="C342" s="12">
        <f t="shared" si="10"/>
        <v>-6.2118816354190193E-3</v>
      </c>
      <c r="D342" s="13">
        <f t="shared" si="11"/>
        <v>9.6695296058244701E-4</v>
      </c>
    </row>
    <row r="343" spans="1:4" x14ac:dyDescent="0.35">
      <c r="A343" s="30">
        <v>43831</v>
      </c>
      <c r="B343" s="31">
        <f>VLOOKUP(A343,Database!A:K,MATCH($A$1,Database!$A$1:$K$1,),)+VLOOKUP(A343,Database!A:K,MATCH($B$1,Database!$A$1:$K$1,),)</f>
        <v>17920</v>
      </c>
      <c r="C343" s="32">
        <f t="shared" si="10"/>
        <v>1.8297533810660304E-2</v>
      </c>
      <c r="D343" s="33">
        <f t="shared" si="11"/>
        <v>2.1664766248574687E-2</v>
      </c>
    </row>
    <row r="344" spans="1:4" x14ac:dyDescent="0.35">
      <c r="A344" s="11">
        <v>43862</v>
      </c>
      <c r="B344" s="15">
        <f>VLOOKUP(A344,Database!A:K,MATCH($A$1,Database!$A$1:$K$1,),)+VLOOKUP(A344,Database!A:K,MATCH($B$1,Database!$A$1:$K$1,),)</f>
        <v>17656</v>
      </c>
      <c r="C344" s="12">
        <f t="shared" si="10"/>
        <v>-1.4732142857142857E-2</v>
      </c>
      <c r="D344" s="13">
        <f t="shared" si="11"/>
        <v>1.2966150315547906E-2</v>
      </c>
    </row>
    <row r="345" spans="1:4" x14ac:dyDescent="0.35">
      <c r="A345" s="30">
        <v>43891</v>
      </c>
      <c r="B345" s="31">
        <f>VLOOKUP(A345,Database!A:K,MATCH($A$1,Database!$A$1:$K$1,),)+VLOOKUP(A345,Database!A:K,MATCH($B$1,Database!$A$1:$K$1,),)</f>
        <v>14044</v>
      </c>
      <c r="C345" s="32">
        <f t="shared" si="10"/>
        <v>-0.20457634798368826</v>
      </c>
      <c r="D345" s="33">
        <f t="shared" si="11"/>
        <v>-0.19876768598813327</v>
      </c>
    </row>
    <row r="346" spans="1:4" x14ac:dyDescent="0.35">
      <c r="A346" s="11">
        <v>43922</v>
      </c>
      <c r="B346" s="15">
        <f>VLOOKUP(A346,Database!A:K,MATCH($A$1,Database!$A$1:$K$1,),)+VLOOKUP(A346,Database!A:K,MATCH($B$1,Database!$A$1:$K$1,),)</f>
        <v>7446</v>
      </c>
      <c r="C346" s="12">
        <f t="shared" si="10"/>
        <v>-0.46980917117630305</v>
      </c>
      <c r="D346" s="13">
        <f t="shared" si="11"/>
        <v>-0.5761370751978141</v>
      </c>
    </row>
    <row r="347" spans="1:4" x14ac:dyDescent="0.35">
      <c r="A347" s="30">
        <v>43952</v>
      </c>
      <c r="B347" s="31">
        <f>VLOOKUP(A347,Database!A:K,MATCH($A$1,Database!$A$1:$K$1,),)+VLOOKUP(A347,Database!A:K,MATCH($B$1,Database!$A$1:$K$1,),)</f>
        <v>11317</v>
      </c>
      <c r="C347" s="32">
        <f t="shared" si="10"/>
        <v>0.51987644372817621</v>
      </c>
      <c r="D347" s="33">
        <f t="shared" si="11"/>
        <v>-0.36047694394213381</v>
      </c>
    </row>
    <row r="348" spans="1:4" x14ac:dyDescent="0.35">
      <c r="A348" s="11">
        <v>43983</v>
      </c>
      <c r="B348" s="15">
        <f>VLOOKUP(A348,Database!A:K,MATCH($A$1,Database!$A$1:$K$1,),)+VLOOKUP(A348,Database!A:K,MATCH($B$1,Database!$A$1:$K$1,),)</f>
        <v>15831</v>
      </c>
      <c r="C348" s="12">
        <f t="shared" si="10"/>
        <v>0.39886895820447116</v>
      </c>
      <c r="D348" s="13">
        <f t="shared" si="11"/>
        <v>-0.10589630633683497</v>
      </c>
    </row>
    <row r="349" spans="1:4" x14ac:dyDescent="0.35">
      <c r="A349" s="30">
        <v>44013</v>
      </c>
      <c r="B349" s="31">
        <f>VLOOKUP(A349,Database!A:K,MATCH($A$1,Database!$A$1:$K$1,),)+VLOOKUP(A349,Database!A:K,MATCH($B$1,Database!$A$1:$K$1,),)</f>
        <v>17003</v>
      </c>
      <c r="C349" s="32">
        <f t="shared" si="10"/>
        <v>7.4031962605015475E-2</v>
      </c>
      <c r="D349" s="33">
        <f t="shared" si="11"/>
        <v>-4.5900903428539364E-2</v>
      </c>
    </row>
    <row r="350" spans="1:4" x14ac:dyDescent="0.35">
      <c r="A350" s="11">
        <v>44044</v>
      </c>
      <c r="B350" s="15">
        <f>VLOOKUP(A350,Database!A:K,MATCH($A$1,Database!$A$1:$K$1,),)+VLOOKUP(A350,Database!A:K,MATCH($B$1,Database!$A$1:$K$1,),)</f>
        <v>17516</v>
      </c>
      <c r="C350" s="12">
        <f t="shared" si="10"/>
        <v>3.0171146268305592E-2</v>
      </c>
      <c r="D350" s="13">
        <f t="shared" si="11"/>
        <v>-1.1512415349887133E-2</v>
      </c>
    </row>
    <row r="351" spans="1:4" x14ac:dyDescent="0.35">
      <c r="A351" s="30">
        <v>44075</v>
      </c>
      <c r="B351" s="31">
        <f>VLOOKUP(A351,Database!A:K,MATCH($A$1,Database!$A$1:$K$1,),)+VLOOKUP(A351,Database!A:K,MATCH($B$1,Database!$A$1:$K$1,),)</f>
        <v>17530</v>
      </c>
      <c r="C351" s="32">
        <f t="shared" si="10"/>
        <v>7.9926923955240918E-4</v>
      </c>
      <c r="D351" s="33">
        <f t="shared" si="11"/>
        <v>-1.9903835401990384E-2</v>
      </c>
    </row>
    <row r="352" spans="1:4" x14ac:dyDescent="0.35">
      <c r="A352" s="11">
        <v>44105</v>
      </c>
      <c r="B352" s="15">
        <f>VLOOKUP(A352,Database!A:K,MATCH($A$1,Database!$A$1:$K$1,),)+VLOOKUP(A352,Database!A:K,MATCH($B$1,Database!$A$1:$K$1,),)</f>
        <v>17648</v>
      </c>
      <c r="C352" s="12">
        <f t="shared" si="10"/>
        <v>6.7313177410154024E-3</v>
      </c>
      <c r="D352" s="13">
        <f t="shared" si="11"/>
        <v>3.8680318543799774E-3</v>
      </c>
    </row>
    <row r="353" spans="1:4" x14ac:dyDescent="0.35">
      <c r="A353" s="30">
        <v>44136</v>
      </c>
      <c r="B353" s="31">
        <f>VLOOKUP(A353,Database!A:K,MATCH($A$1,Database!$A$1:$K$1,),)+VLOOKUP(A353,Database!A:K,MATCH($B$1,Database!$A$1:$K$1,),)</f>
        <v>17177</v>
      </c>
      <c r="C353" s="32">
        <f t="shared" si="10"/>
        <v>-2.6688576609247505E-2</v>
      </c>
      <c r="D353" s="33">
        <f t="shared" si="11"/>
        <v>-2.998644680370454E-2</v>
      </c>
    </row>
    <row r="354" spans="1:4" x14ac:dyDescent="0.35">
      <c r="A354" s="11">
        <v>44166</v>
      </c>
      <c r="B354" s="15">
        <f>VLOOKUP(A354,Database!A:K,MATCH($A$1,Database!$A$1:$K$1,),)+VLOOKUP(A354,Database!A:K,MATCH($B$1,Database!$A$1:$K$1,),)</f>
        <v>16924</v>
      </c>
      <c r="C354" s="12">
        <f t="shared" si="10"/>
        <v>-1.4728998078826338E-2</v>
      </c>
      <c r="D354" s="13">
        <f t="shared" si="11"/>
        <v>-3.8299806796226847E-2</v>
      </c>
    </row>
    <row r="355" spans="1:4" x14ac:dyDescent="0.35">
      <c r="A355" s="30">
        <v>44197</v>
      </c>
      <c r="B355" s="31">
        <f>VLOOKUP(A355,Database!A:K,MATCH($A$1,Database!$A$1:$K$1,),)+VLOOKUP(A355,Database!A:K,MATCH($B$1,Database!$A$1:$K$1,),)</f>
        <v>19237</v>
      </c>
      <c r="C355" s="32">
        <f t="shared" si="10"/>
        <v>0.13666981800992672</v>
      </c>
      <c r="D355" s="33">
        <f t="shared" si="11"/>
        <v>7.3493303571428567E-2</v>
      </c>
    </row>
    <row r="356" spans="1:4" x14ac:dyDescent="0.35">
      <c r="A356" s="11">
        <v>44228</v>
      </c>
      <c r="B356" s="15">
        <f>VLOOKUP(A356,Database!A:K,MATCH($A$1,Database!$A$1:$K$1,),)+VLOOKUP(A356,Database!A:K,MATCH($B$1,Database!$A$1:$K$1,),)</f>
        <v>18311</v>
      </c>
      <c r="C356" s="12">
        <f t="shared" si="10"/>
        <v>-4.8136403805167129E-2</v>
      </c>
      <c r="D356" s="13">
        <f t="shared" si="11"/>
        <v>3.7097870412324423E-2</v>
      </c>
    </row>
    <row r="357" spans="1:4" x14ac:dyDescent="0.35">
      <c r="A357" s="30">
        <v>44256</v>
      </c>
      <c r="B357" s="31">
        <f>VLOOKUP(A357,Database!A:K,MATCH($A$1,Database!$A$1:$K$1,),)+VLOOKUP(A357,Database!A:K,MATCH($B$1,Database!$A$1:$K$1,),)</f>
        <v>20071</v>
      </c>
      <c r="C357" s="32">
        <f t="shared" si="10"/>
        <v>9.6117088089126751E-2</v>
      </c>
      <c r="D357" s="33">
        <f t="shared" si="11"/>
        <v>0.42915123896325835</v>
      </c>
    </row>
    <row r="358" spans="1:4" x14ac:dyDescent="0.35">
      <c r="A358" s="11">
        <v>44287</v>
      </c>
      <c r="B358" s="15">
        <f>VLOOKUP(A358,Database!A:K,MATCH($A$1,Database!$A$1:$K$1,),)+VLOOKUP(A358,Database!A:K,MATCH($B$1,Database!$A$1:$K$1,),)</f>
        <v>20200</v>
      </c>
      <c r="C358" s="12">
        <f t="shared" si="10"/>
        <v>6.4271834985800405E-3</v>
      </c>
      <c r="D358" s="13">
        <f t="shared" si="11"/>
        <v>1.7128659683051304</v>
      </c>
    </row>
    <row r="359" spans="1:4" x14ac:dyDescent="0.35">
      <c r="A359" s="30">
        <v>44317</v>
      </c>
      <c r="B359" s="31">
        <f>VLOOKUP(A359,Database!A:K,MATCH($A$1,Database!$A$1:$K$1,),)+VLOOKUP(A359,Database!A:K,MATCH($B$1,Database!$A$1:$K$1,),)</f>
        <v>20059</v>
      </c>
      <c r="C359" s="32">
        <f t="shared" si="10"/>
        <v>-6.9801980198019803E-3</v>
      </c>
      <c r="D359" s="33">
        <f t="shared" si="11"/>
        <v>0.77246620129009458</v>
      </c>
    </row>
    <row r="360" spans="1:4" x14ac:dyDescent="0.35">
      <c r="A360" s="11">
        <v>44348</v>
      </c>
      <c r="B360" s="15">
        <f>VLOOKUP(A360,Database!A:K,MATCH($A$1,Database!$A$1:$K$1,),)+VLOOKUP(A360,Database!A:K,MATCH($B$1,Database!$A$1:$K$1,),)</f>
        <v>20449</v>
      </c>
      <c r="C360" s="12">
        <f t="shared" si="10"/>
        <v>1.9442644199611146E-2</v>
      </c>
      <c r="D360" s="13">
        <f t="shared" si="11"/>
        <v>0.29170614616890911</v>
      </c>
    </row>
    <row r="361" spans="1:4" x14ac:dyDescent="0.35">
      <c r="A361" s="30">
        <v>44378</v>
      </c>
      <c r="B361" s="31">
        <f>VLOOKUP(A361,Database!A:K,MATCH($A$1,Database!$A$1:$K$1,),)+VLOOKUP(A361,Database!A:K,MATCH($B$1,Database!$A$1:$K$1,),)</f>
        <v>20304</v>
      </c>
      <c r="C361" s="32">
        <f t="shared" si="10"/>
        <v>-7.090811286615482E-3</v>
      </c>
      <c r="D361" s="33">
        <f t="shared" si="11"/>
        <v>0.19414221019820033</v>
      </c>
    </row>
    <row r="362" spans="1:4" x14ac:dyDescent="0.35">
      <c r="A362" s="11">
        <v>44409</v>
      </c>
      <c r="B362" s="15">
        <f>VLOOKUP(A362,Database!A:K,MATCH($A$1,Database!$A$1:$K$1,),)+VLOOKUP(A362,Database!A:K,MATCH($B$1,Database!$A$1:$K$1,),)</f>
        <v>19888</v>
      </c>
      <c r="C362" s="12">
        <f t="shared" si="10"/>
        <v>-2.048857368006304E-2</v>
      </c>
      <c r="D362" s="13">
        <f t="shared" si="11"/>
        <v>0.13541904544416533</v>
      </c>
    </row>
    <row r="363" spans="1:4" x14ac:dyDescent="0.35">
      <c r="A363" s="11">
        <v>44440</v>
      </c>
      <c r="B363" s="15">
        <f>VLOOKUP(A363,Database!A:K,MATCH($A$1,Database!$A$1:$K$1,),)+VLOOKUP(A363,Database!A:K,MATCH($B$1,Database!$A$1:$K$1,),)</f>
        <v>20043</v>
      </c>
      <c r="C363" s="12">
        <f t="shared" si="10"/>
        <v>7.7936444086886564E-3</v>
      </c>
      <c r="D363" s="13">
        <f t="shared" si="11"/>
        <v>0.14335424985738734</v>
      </c>
    </row>
    <row r="364" spans="1:4" x14ac:dyDescent="0.35">
      <c r="A364" s="30">
        <v>44470</v>
      </c>
      <c r="B364" s="31">
        <f>VLOOKUP(A364,Database!A:K,MATCH($A$1,Database!$A$1:$K$1,),)+VLOOKUP(A364,Database!A:K,MATCH($B$1,Database!$A$1:$K$1,),)</f>
        <v>20328</v>
      </c>
      <c r="C364" s="32">
        <f t="shared" si="10"/>
        <v>1.4219428229306989E-2</v>
      </c>
      <c r="D364" s="33">
        <f t="shared" si="11"/>
        <v>0.15185856754306437</v>
      </c>
    </row>
    <row r="365" spans="1:4" x14ac:dyDescent="0.35">
      <c r="A365" s="11">
        <v>44501</v>
      </c>
      <c r="B365" s="15">
        <f>VLOOKUP(A365,Database!A:K,MATCH($A$1,Database!$A$1:$K$1,),)+VLOOKUP(A365,Database!A:K,MATCH($B$1,Database!$A$1:$K$1,),)</f>
        <v>19570</v>
      </c>
      <c r="C365" s="12">
        <f t="shared" si="10"/>
        <v>-3.7288469106650922E-2</v>
      </c>
      <c r="D365" s="13">
        <f t="shared" si="11"/>
        <v>0.13931419921988705</v>
      </c>
    </row>
    <row r="366" spans="1:4" x14ac:dyDescent="0.35">
      <c r="A366" s="11">
        <v>44531</v>
      </c>
      <c r="B366" s="15">
        <f>VLOOKUP(A366,Database!A:K,MATCH($A$1,Database!$A$1:$K$1,),)+VLOOKUP(A366,Database!A:K,MATCH($B$1,Database!$A$1:$K$1,),)</f>
        <v>18443</v>
      </c>
      <c r="C366" s="12">
        <f t="shared" si="10"/>
        <v>-5.7588145120081757E-2</v>
      </c>
      <c r="D366" s="13">
        <f t="shared" si="11"/>
        <v>8.9754195225714956E-2</v>
      </c>
    </row>
    <row r="367" spans="1:4" x14ac:dyDescent="0.35">
      <c r="A367" s="11">
        <v>44562</v>
      </c>
      <c r="B367" s="15">
        <f>VLOOKUP(A367,Database!A:K,MATCH($A$1,Database!$A$1:$K$1,),)+VLOOKUP(A367,Database!A:K,MATCH($B$1,Database!$A$1:$K$1,),)</f>
        <v>19257</v>
      </c>
      <c r="C367" s="12">
        <f t="shared" si="10"/>
        <v>4.4135986553163802E-2</v>
      </c>
      <c r="D367" s="13">
        <f t="shared" si="11"/>
        <v>1.0396631491396788E-3</v>
      </c>
    </row>
    <row r="368" spans="1:4" x14ac:dyDescent="0.35">
      <c r="A368" s="11">
        <v>44593</v>
      </c>
      <c r="B368" s="15">
        <f>VLOOKUP(A368,Database!A:K,MATCH($A$1,Database!$A$1:$K$1,),)+VLOOKUP(A368,Database!A:K,MATCH($B$1,Database!$A$1:$K$1,),)</f>
        <v>19617</v>
      </c>
      <c r="C368" s="12">
        <f t="shared" si="10"/>
        <v>1.8694500701043778E-2</v>
      </c>
      <c r="D368" s="13">
        <f t="shared" si="11"/>
        <v>7.1323248320681557E-2</v>
      </c>
    </row>
    <row r="369" spans="1:4" x14ac:dyDescent="0.35">
      <c r="A369" s="11">
        <v>44621</v>
      </c>
      <c r="B369" s="15">
        <f>VLOOKUP(A369,Database!A:K,MATCH($A$1,Database!$A$1:$K$1,),)+VLOOKUP(A369,Database!A:K,MATCH($B$1,Database!$A$1:$K$1,),)</f>
        <v>19770</v>
      </c>
      <c r="C369" s="12">
        <f t="shared" si="10"/>
        <v>7.7993576999541214E-3</v>
      </c>
      <c r="D369" s="13">
        <f t="shared" si="11"/>
        <v>-1.4996761496686762E-2</v>
      </c>
    </row>
    <row r="370" spans="1:4" x14ac:dyDescent="0.35">
      <c r="A370" s="30">
        <v>44652</v>
      </c>
      <c r="B370" s="31">
        <f>VLOOKUP(A370,Database!A:K,MATCH($A$1,Database!$A$1:$K$1,),)+VLOOKUP(A370,Database!A:K,MATCH($B$1,Database!$A$1:$K$1,),)</f>
        <v>20080</v>
      </c>
      <c r="C370" s="32">
        <f t="shared" si="10"/>
        <v>1.5680323722812341E-2</v>
      </c>
      <c r="D370" s="33">
        <f t="shared" si="11"/>
        <v>-5.9405940594059407E-3</v>
      </c>
    </row>
    <row r="371" spans="1:4" x14ac:dyDescent="0.35">
      <c r="A371" s="11">
        <v>44682</v>
      </c>
      <c r="B371" s="15">
        <f>VLOOKUP(A371,Database!A:K,MATCH($A$1,Database!$A$1:$K$1,),)+VLOOKUP(A371,Database!A:K,MATCH($B$1,Database!$A$1:$K$1,),)</f>
        <v>19740</v>
      </c>
      <c r="C371" s="12">
        <f t="shared" si="10"/>
        <v>-1.693227091633466E-2</v>
      </c>
      <c r="D371" s="13">
        <f t="shared" si="11"/>
        <v>-1.5903085896605017E-2</v>
      </c>
    </row>
    <row r="372" spans="1:4" x14ac:dyDescent="0.35">
      <c r="A372" s="11">
        <v>44713</v>
      </c>
      <c r="B372" s="15">
        <f>VLOOKUP(A372,Database!A:K,MATCH($A$1,Database!$A$1:$K$1,),)+VLOOKUP(A372,Database!A:K,MATCH($B$1,Database!$A$1:$K$1,),)</f>
        <v>19554</v>
      </c>
      <c r="C372" s="12">
        <f t="shared" si="10"/>
        <v>-9.4224924012158047E-3</v>
      </c>
      <c r="D372" s="13">
        <f t="shared" si="11"/>
        <v>-4.3767421389799013E-2</v>
      </c>
    </row>
    <row r="373" spans="1:4" x14ac:dyDescent="0.35">
      <c r="A373" s="11">
        <v>44743</v>
      </c>
      <c r="B373" s="15">
        <f>VLOOKUP(A373,Database!A:K,MATCH($A$1,Database!$A$1:$K$1,),)+VLOOKUP(A373,Database!A:K,MATCH($B$1,Database!$A$1:$K$1,),)</f>
        <v>19544</v>
      </c>
      <c r="C373" s="12">
        <f t="shared" si="10"/>
        <v>-5.1140431625242922E-4</v>
      </c>
      <c r="D373" s="13">
        <f t="shared" si="11"/>
        <v>-3.743104806934594E-2</v>
      </c>
    </row>
    <row r="374" spans="1:4" x14ac:dyDescent="0.35">
      <c r="A374" s="30">
        <v>44774</v>
      </c>
      <c r="B374" s="31">
        <f>VLOOKUP(A374,Database!A:K,MATCH($A$1,Database!$A$1:$K$1,),)+VLOOKUP(A374,Database!A:K,MATCH($B$1,Database!$A$1:$K$1,),)</f>
        <v>19474</v>
      </c>
      <c r="C374" s="32">
        <f t="shared" si="10"/>
        <v>-3.5816618911174787E-3</v>
      </c>
      <c r="D374" s="33">
        <f t="shared" si="11"/>
        <v>-2.0816572807723251E-2</v>
      </c>
    </row>
    <row r="375" spans="1:4" x14ac:dyDescent="0.35">
      <c r="A375" s="11">
        <v>44805</v>
      </c>
      <c r="B375" s="15">
        <f>VLOOKUP(A375,Database!A:K,MATCH($A$1,Database!$A$1:$K$1,),)+VLOOKUP(A375,Database!A:K,MATCH($B$1,Database!$A$1:$K$1,),)</f>
        <v>19116</v>
      </c>
      <c r="C375" s="12">
        <f t="shared" si="10"/>
        <v>-1.8383485673205299E-2</v>
      </c>
      <c r="D375" s="13">
        <f t="shared" si="11"/>
        <v>-4.6250561293219576E-2</v>
      </c>
    </row>
    <row r="376" spans="1:4" x14ac:dyDescent="0.35">
      <c r="A376" s="11">
        <v>44835</v>
      </c>
      <c r="B376" s="15">
        <f>VLOOKUP(A376,Database!A:K,MATCH($A$1,Database!$A$1:$K$1,),)+VLOOKUP(A376,Database!A:K,MATCH($B$1,Database!$A$1:$K$1,),)</f>
        <v>19279</v>
      </c>
      <c r="C376" s="12">
        <f t="shared" si="10"/>
        <v>8.5268884703912952E-3</v>
      </c>
      <c r="D376" s="13">
        <f t="shared" si="11"/>
        <v>-5.1603699330972058E-2</v>
      </c>
    </row>
    <row r="377" spans="1:4" x14ac:dyDescent="0.35">
      <c r="A377" s="11">
        <v>44866</v>
      </c>
      <c r="B377" s="15">
        <f>VLOOKUP(A377,Database!A:K,MATCH($A$1,Database!$A$1:$K$1,),)+VLOOKUP(A377,Database!A:K,MATCH($B$1,Database!$A$1:$K$1,),)</f>
        <v>18857</v>
      </c>
      <c r="C377" s="12">
        <f t="shared" si="10"/>
        <v>-2.1889102131853314E-2</v>
      </c>
      <c r="D377" s="13">
        <f t="shared" si="11"/>
        <v>-3.6433316300459886E-2</v>
      </c>
    </row>
  </sheetData>
  <conditionalFormatting sqref="D19:D377">
    <cfRule type="colorScale" priority="46">
      <colorScale>
        <cfvo type="min"/>
        <cfvo type="percentile" val="50"/>
        <cfvo type="max"/>
        <color rgb="FFF8696B"/>
        <color rgb="FFFFEB84"/>
        <color rgb="FF63BE7B"/>
      </colorScale>
    </cfRule>
  </conditionalFormatting>
  <conditionalFormatting sqref="C8:C377">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7"/>
  <sheetViews>
    <sheetView zoomScale="160" zoomScaleNormal="160" workbookViewId="0">
      <pane ySplit="6" topLeftCell="A361" activePane="bottomLeft" state="frozen"/>
      <selection pane="bottomLeft" activeCell="X370" sqref="X370"/>
    </sheetView>
  </sheetViews>
  <sheetFormatPr defaultColWidth="9.1796875" defaultRowHeight="14.5" x14ac:dyDescent="0.35"/>
  <cols>
    <col min="1" max="1" width="14" style="54" customWidth="1"/>
    <col min="2" max="2" width="20.6328125" style="54" customWidth="1"/>
    <col min="3" max="4" width="14.1796875" style="54" customWidth="1"/>
    <col min="5" max="22" width="9.1796875" style="109" customWidth="1"/>
    <col min="23" max="16384" width="9.1796875" style="109"/>
  </cols>
  <sheetData>
    <row r="1" spans="1:4" x14ac:dyDescent="0.35">
      <c r="A1" s="109" t="s">
        <v>62</v>
      </c>
      <c r="B1" s="29" t="s">
        <v>45</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122</v>
      </c>
      <c r="C6" s="93" t="s">
        <v>12</v>
      </c>
      <c r="D6" s="94" t="s">
        <v>13</v>
      </c>
    </row>
    <row r="7" spans="1:4" x14ac:dyDescent="0.35">
      <c r="A7" s="17">
        <v>33604</v>
      </c>
      <c r="B7" s="18">
        <f>VLOOKUP(A7,Database!A:Q,MATCH($A$1,Database!$A$1:$Q$1,),)</f>
        <v>4318</v>
      </c>
      <c r="C7" s="19"/>
      <c r="D7" s="19"/>
    </row>
    <row r="8" spans="1:4" x14ac:dyDescent="0.35">
      <c r="A8" s="11">
        <v>33635</v>
      </c>
      <c r="B8" s="15">
        <f>VLOOKUP(A8,Database!A:Q,MATCH($A$1,Database!$A$1:$Q$1,),)</f>
        <v>4308</v>
      </c>
      <c r="C8" s="12">
        <f t="shared" ref="C8:C71" si="0">(B8-B7)/B7</f>
        <v>-2.3158869847151459E-3</v>
      </c>
      <c r="D8" s="1"/>
    </row>
    <row r="9" spans="1:4" x14ac:dyDescent="0.35">
      <c r="A9" s="10">
        <v>33664</v>
      </c>
      <c r="B9" s="15">
        <f>VLOOKUP(A9,Database!A:Q,MATCH($A$1,Database!$A$1:$Q$1,),)</f>
        <v>4292</v>
      </c>
      <c r="C9" s="12">
        <f t="shared" si="0"/>
        <v>-3.7140204271123491E-3</v>
      </c>
      <c r="D9" s="1"/>
    </row>
    <row r="10" spans="1:4" x14ac:dyDescent="0.35">
      <c r="A10" s="11">
        <v>33695</v>
      </c>
      <c r="B10" s="15">
        <f>VLOOKUP(A10,Database!A:Q,MATCH($A$1,Database!$A$1:$Q$1,),)</f>
        <v>4391</v>
      </c>
      <c r="C10" s="12">
        <f t="shared" si="0"/>
        <v>2.3066169617893754E-2</v>
      </c>
      <c r="D10" s="1"/>
    </row>
    <row r="11" spans="1:4" x14ac:dyDescent="0.35">
      <c r="A11" s="10">
        <v>33725</v>
      </c>
      <c r="B11" s="15">
        <f>VLOOKUP(A11,Database!A:Q,MATCH($A$1,Database!$A$1:$Q$1,),)</f>
        <v>4356</v>
      </c>
      <c r="C11" s="12">
        <f t="shared" si="0"/>
        <v>-7.9708494648143939E-3</v>
      </c>
      <c r="D11" s="1"/>
    </row>
    <row r="12" spans="1:4" x14ac:dyDescent="0.35">
      <c r="A12" s="11">
        <v>33756</v>
      </c>
      <c r="B12" s="15">
        <f>VLOOKUP(A12,Database!A:Q,MATCH($A$1,Database!$A$1:$Q$1,),)</f>
        <v>4357</v>
      </c>
      <c r="C12" s="12">
        <f t="shared" si="0"/>
        <v>2.295684113865932E-4</v>
      </c>
      <c r="D12" s="1"/>
    </row>
    <row r="13" spans="1:4" x14ac:dyDescent="0.35">
      <c r="A13" s="10">
        <v>33786</v>
      </c>
      <c r="B13" s="15">
        <f>VLOOKUP(A13,Database!A:Q,MATCH($A$1,Database!$A$1:$Q$1,),)</f>
        <v>4468</v>
      </c>
      <c r="C13" s="12">
        <f t="shared" si="0"/>
        <v>2.5476245122790911E-2</v>
      </c>
      <c r="D13" s="1"/>
    </row>
    <row r="14" spans="1:4" x14ac:dyDescent="0.35">
      <c r="A14" s="11">
        <v>33817</v>
      </c>
      <c r="B14" s="15">
        <f>VLOOKUP(A14,Database!A:Q,MATCH($A$1,Database!$A$1:$Q$1,),)</f>
        <v>4494</v>
      </c>
      <c r="C14" s="12">
        <f t="shared" si="0"/>
        <v>5.8191584601611458E-3</v>
      </c>
      <c r="D14" s="1"/>
    </row>
    <row r="15" spans="1:4" x14ac:dyDescent="0.35">
      <c r="A15" s="10">
        <v>33848</v>
      </c>
      <c r="B15" s="15">
        <f>VLOOKUP(A15,Database!A:Q,MATCH($A$1,Database!$A$1:$Q$1,),)</f>
        <v>4549</v>
      </c>
      <c r="C15" s="12">
        <f t="shared" si="0"/>
        <v>1.2238540275923453E-2</v>
      </c>
      <c r="D15" s="1"/>
    </row>
    <row r="16" spans="1:4" x14ac:dyDescent="0.35">
      <c r="A16" s="11">
        <v>33878</v>
      </c>
      <c r="B16" s="15">
        <f>VLOOKUP(A16,Database!A:Q,MATCH($A$1,Database!$A$1:$Q$1,),)</f>
        <v>4809</v>
      </c>
      <c r="C16" s="12">
        <f t="shared" si="0"/>
        <v>5.7155418773356781E-2</v>
      </c>
      <c r="D16" s="1"/>
    </row>
    <row r="17" spans="1:4" x14ac:dyDescent="0.35">
      <c r="A17" s="10">
        <v>33909</v>
      </c>
      <c r="B17" s="15">
        <f>VLOOKUP(A17,Database!A:Q,MATCH($A$1,Database!$A$1:$Q$1,),)</f>
        <v>5059</v>
      </c>
      <c r="C17" s="12">
        <f t="shared" si="0"/>
        <v>5.1985859846121855E-2</v>
      </c>
      <c r="D17" s="1"/>
    </row>
    <row r="18" spans="1:4" x14ac:dyDescent="0.35">
      <c r="A18" s="11">
        <v>33939</v>
      </c>
      <c r="B18" s="15">
        <f>VLOOKUP(A18,Database!A:Q,MATCH($A$1,Database!$A$1:$Q$1,),)</f>
        <v>5059</v>
      </c>
      <c r="C18" s="12">
        <f t="shared" si="0"/>
        <v>0</v>
      </c>
      <c r="D18" s="1"/>
    </row>
    <row r="19" spans="1:4" x14ac:dyDescent="0.35">
      <c r="A19" s="10">
        <v>33970</v>
      </c>
      <c r="B19" s="15">
        <f>VLOOKUP(A19,Database!A:Q,MATCH($A$1,Database!$A$1:$Q$1,),)</f>
        <v>5352</v>
      </c>
      <c r="C19" s="12">
        <f t="shared" si="0"/>
        <v>5.7916584305198658E-2</v>
      </c>
      <c r="D19" s="13">
        <f t="shared" ref="D19:D82" si="1">(B19-B7)/B7</f>
        <v>0.2394627142195461</v>
      </c>
    </row>
    <row r="20" spans="1:4" x14ac:dyDescent="0.35">
      <c r="A20" s="11">
        <v>34001</v>
      </c>
      <c r="B20" s="15">
        <f>VLOOKUP(A20,Database!A:Q,MATCH($A$1,Database!$A$1:$Q$1,),)</f>
        <v>4896</v>
      </c>
      <c r="C20" s="12">
        <f t="shared" si="0"/>
        <v>-8.520179372197309E-2</v>
      </c>
      <c r="D20" s="13">
        <f t="shared" si="1"/>
        <v>0.13649025069637882</v>
      </c>
    </row>
    <row r="21" spans="1:4" x14ac:dyDescent="0.35">
      <c r="A21" s="10">
        <v>34029</v>
      </c>
      <c r="B21" s="15">
        <f>VLOOKUP(A21,Database!A:Q,MATCH($A$1,Database!$A$1:$Q$1,),)</f>
        <v>4811</v>
      </c>
      <c r="C21" s="12">
        <f t="shared" si="0"/>
        <v>-1.7361111111111112E-2</v>
      </c>
      <c r="D21" s="13">
        <f t="shared" si="1"/>
        <v>0.12092264678471575</v>
      </c>
    </row>
    <row r="22" spans="1:4" x14ac:dyDescent="0.35">
      <c r="A22" s="11">
        <v>34060</v>
      </c>
      <c r="B22" s="15">
        <f>VLOOKUP(A22,Database!A:Q,MATCH($A$1,Database!$A$1:$Q$1,),)</f>
        <v>5033</v>
      </c>
      <c r="C22" s="12">
        <f t="shared" si="0"/>
        <v>4.6144252754105178E-2</v>
      </c>
      <c r="D22" s="13">
        <f t="shared" si="1"/>
        <v>0.14620815304030974</v>
      </c>
    </row>
    <row r="23" spans="1:4" x14ac:dyDescent="0.35">
      <c r="A23" s="10">
        <v>34090</v>
      </c>
      <c r="B23" s="15">
        <f>VLOOKUP(A23,Database!A:Q,MATCH($A$1,Database!$A$1:$Q$1,),)</f>
        <v>4967</v>
      </c>
      <c r="C23" s="12">
        <f t="shared" si="0"/>
        <v>-1.3113451221935227E-2</v>
      </c>
      <c r="D23" s="13">
        <f t="shared" si="1"/>
        <v>0.14026629935720844</v>
      </c>
    </row>
    <row r="24" spans="1:4" x14ac:dyDescent="0.35">
      <c r="A24" s="11">
        <v>34121</v>
      </c>
      <c r="B24" s="15">
        <f>VLOOKUP(A24,Database!A:Q,MATCH($A$1,Database!$A$1:$Q$1,),)</f>
        <v>5153</v>
      </c>
      <c r="C24" s="12">
        <f t="shared" si="0"/>
        <v>3.7447151197906182E-2</v>
      </c>
      <c r="D24" s="13">
        <f t="shared" si="1"/>
        <v>0.18269451457424835</v>
      </c>
    </row>
    <row r="25" spans="1:4" x14ac:dyDescent="0.35">
      <c r="A25" s="10">
        <v>34151</v>
      </c>
      <c r="B25" s="15">
        <f>VLOOKUP(A25,Database!A:Q,MATCH($A$1,Database!$A$1:$Q$1,),)</f>
        <v>5064</v>
      </c>
      <c r="C25" s="12">
        <f t="shared" si="0"/>
        <v>-1.7271492334562391E-2</v>
      </c>
      <c r="D25" s="13">
        <f t="shared" si="1"/>
        <v>0.13339301700984782</v>
      </c>
    </row>
    <row r="26" spans="1:4" x14ac:dyDescent="0.35">
      <c r="A26" s="11">
        <v>34182</v>
      </c>
      <c r="B26" s="15">
        <f>VLOOKUP(A26,Database!A:Q,MATCH($A$1,Database!$A$1:$Q$1,),)</f>
        <v>5115</v>
      </c>
      <c r="C26" s="12">
        <f t="shared" si="0"/>
        <v>1.0071090047393365E-2</v>
      </c>
      <c r="D26" s="13">
        <f t="shared" si="1"/>
        <v>0.13818424566088117</v>
      </c>
    </row>
    <row r="27" spans="1:4" x14ac:dyDescent="0.35">
      <c r="A27" s="10">
        <v>34213</v>
      </c>
      <c r="B27" s="15">
        <f>VLOOKUP(A27,Database!A:Q,MATCH($A$1,Database!$A$1:$Q$1,),)</f>
        <v>5222</v>
      </c>
      <c r="C27" s="12">
        <f t="shared" si="0"/>
        <v>2.0918866080156404E-2</v>
      </c>
      <c r="D27" s="13">
        <f t="shared" si="1"/>
        <v>0.14794460320949659</v>
      </c>
    </row>
    <row r="28" spans="1:4" x14ac:dyDescent="0.35">
      <c r="A28" s="11">
        <v>34243</v>
      </c>
      <c r="B28" s="15">
        <f>VLOOKUP(A28,Database!A:Q,MATCH($A$1,Database!$A$1:$Q$1,),)</f>
        <v>5432</v>
      </c>
      <c r="C28" s="12">
        <f t="shared" si="0"/>
        <v>4.0214477211796246E-2</v>
      </c>
      <c r="D28" s="13">
        <f t="shared" si="1"/>
        <v>0.12954876273653565</v>
      </c>
    </row>
    <row r="29" spans="1:4" x14ac:dyDescent="0.35">
      <c r="A29" s="10">
        <v>34274</v>
      </c>
      <c r="B29" s="15">
        <f>VLOOKUP(A29,Database!A:Q,MATCH($A$1,Database!$A$1:$Q$1,),)</f>
        <v>5159</v>
      </c>
      <c r="C29" s="12">
        <f t="shared" si="0"/>
        <v>-5.0257731958762888E-2</v>
      </c>
      <c r="D29" s="13">
        <f t="shared" si="1"/>
        <v>1.9766752322593398E-2</v>
      </c>
    </row>
    <row r="30" spans="1:4" x14ac:dyDescent="0.35">
      <c r="A30" s="11">
        <v>34304</v>
      </c>
      <c r="B30" s="15">
        <f>VLOOKUP(A30,Database!A:Q,MATCH($A$1,Database!$A$1:$Q$1,),)</f>
        <v>5377</v>
      </c>
      <c r="C30" s="12">
        <f t="shared" si="0"/>
        <v>4.2256251211475089E-2</v>
      </c>
      <c r="D30" s="13">
        <f t="shared" si="1"/>
        <v>6.2858272385847E-2</v>
      </c>
    </row>
    <row r="31" spans="1:4" x14ac:dyDescent="0.35">
      <c r="A31" s="10">
        <v>34335</v>
      </c>
      <c r="B31" s="15">
        <f>VLOOKUP(A31,Database!A:Q,MATCH($A$1,Database!$A$1:$Q$1,),)</f>
        <v>5288</v>
      </c>
      <c r="C31" s="12">
        <f t="shared" si="0"/>
        <v>-1.655198065835968E-2</v>
      </c>
      <c r="D31" s="13">
        <f t="shared" si="1"/>
        <v>-1.195814648729447E-2</v>
      </c>
    </row>
    <row r="32" spans="1:4" x14ac:dyDescent="0.35">
      <c r="A32" s="11">
        <v>34366</v>
      </c>
      <c r="B32" s="15">
        <f>VLOOKUP(A32,Database!A:Q,MATCH($A$1,Database!$A$1:$Q$1,),)</f>
        <v>5282</v>
      </c>
      <c r="C32" s="12">
        <f t="shared" si="0"/>
        <v>-1.1346444780635401E-3</v>
      </c>
      <c r="D32" s="13">
        <f t="shared" si="1"/>
        <v>7.8839869281045749E-2</v>
      </c>
    </row>
    <row r="33" spans="1:4" x14ac:dyDescent="0.35">
      <c r="A33" s="10">
        <v>34394</v>
      </c>
      <c r="B33" s="15">
        <f>VLOOKUP(A33,Database!A:Q,MATCH($A$1,Database!$A$1:$Q$1,),)</f>
        <v>5593</v>
      </c>
      <c r="C33" s="12">
        <f t="shared" si="0"/>
        <v>5.887921241953805E-2</v>
      </c>
      <c r="D33" s="13">
        <f t="shared" si="1"/>
        <v>0.16254416961130741</v>
      </c>
    </row>
    <row r="34" spans="1:4" x14ac:dyDescent="0.35">
      <c r="A34" s="11">
        <v>34425</v>
      </c>
      <c r="B34" s="15">
        <f>VLOOKUP(A34,Database!A:Q,MATCH($A$1,Database!$A$1:$Q$1,),)</f>
        <v>5464</v>
      </c>
      <c r="C34" s="12">
        <f t="shared" si="0"/>
        <v>-2.306454496692294E-2</v>
      </c>
      <c r="D34" s="13">
        <f t="shared" si="1"/>
        <v>8.5634810252334589E-2</v>
      </c>
    </row>
    <row r="35" spans="1:4" x14ac:dyDescent="0.35">
      <c r="A35" s="10">
        <v>34455</v>
      </c>
      <c r="B35" s="15">
        <f>VLOOKUP(A35,Database!A:Q,MATCH($A$1,Database!$A$1:$Q$1,),)</f>
        <v>5756</v>
      </c>
      <c r="C35" s="12">
        <f t="shared" si="0"/>
        <v>5.3440702781844804E-2</v>
      </c>
      <c r="D35" s="13">
        <f t="shared" si="1"/>
        <v>0.15884839943627943</v>
      </c>
    </row>
    <row r="36" spans="1:4" x14ac:dyDescent="0.35">
      <c r="A36" s="11">
        <v>34486</v>
      </c>
      <c r="B36" s="15">
        <f>VLOOKUP(A36,Database!A:Q,MATCH($A$1,Database!$A$1:$Q$1,),)</f>
        <v>5739</v>
      </c>
      <c r="C36" s="12">
        <f t="shared" si="0"/>
        <v>-2.9534398888116748E-3</v>
      </c>
      <c r="D36" s="13">
        <f t="shared" si="1"/>
        <v>0.11372016301183777</v>
      </c>
    </row>
    <row r="37" spans="1:4" x14ac:dyDescent="0.35">
      <c r="A37" s="10">
        <v>34516</v>
      </c>
      <c r="B37" s="15">
        <f>VLOOKUP(A37,Database!A:Q,MATCH($A$1,Database!$A$1:$Q$1,),)</f>
        <v>5933</v>
      </c>
      <c r="C37" s="12">
        <f t="shared" si="0"/>
        <v>3.3803798571179648E-2</v>
      </c>
      <c r="D37" s="13">
        <f t="shared" si="1"/>
        <v>0.17160347551342811</v>
      </c>
    </row>
    <row r="38" spans="1:4" x14ac:dyDescent="0.35">
      <c r="A38" s="11">
        <v>34547</v>
      </c>
      <c r="B38" s="15">
        <f>VLOOKUP(A38,Database!A:Q,MATCH($A$1,Database!$A$1:$Q$1,),)</f>
        <v>6012</v>
      </c>
      <c r="C38" s="12">
        <f t="shared" si="0"/>
        <v>1.3315354795213214E-2</v>
      </c>
      <c r="D38" s="13">
        <f t="shared" si="1"/>
        <v>0.175366568914956</v>
      </c>
    </row>
    <row r="39" spans="1:4" x14ac:dyDescent="0.35">
      <c r="A39" s="10">
        <v>34578</v>
      </c>
      <c r="B39" s="15">
        <f>VLOOKUP(A39,Database!A:Q,MATCH($A$1,Database!$A$1:$Q$1,),)</f>
        <v>6092</v>
      </c>
      <c r="C39" s="12">
        <f t="shared" si="0"/>
        <v>1.330671989354624E-2</v>
      </c>
      <c r="D39" s="13">
        <f t="shared" si="1"/>
        <v>0.16660283416315588</v>
      </c>
    </row>
    <row r="40" spans="1:4" x14ac:dyDescent="0.35">
      <c r="A40" s="11">
        <v>34608</v>
      </c>
      <c r="B40" s="15">
        <f>VLOOKUP(A40,Database!A:Q,MATCH($A$1,Database!$A$1:$Q$1,),)</f>
        <v>6048</v>
      </c>
      <c r="C40" s="12">
        <f t="shared" si="0"/>
        <v>-7.222586999343401E-3</v>
      </c>
      <c r="D40" s="13">
        <f t="shared" si="1"/>
        <v>0.1134020618556701</v>
      </c>
    </row>
    <row r="41" spans="1:4" x14ac:dyDescent="0.35">
      <c r="A41" s="10">
        <v>34639</v>
      </c>
      <c r="B41" s="15">
        <f>VLOOKUP(A41,Database!A:Q,MATCH($A$1,Database!$A$1:$Q$1,),)</f>
        <v>6074</v>
      </c>
      <c r="C41" s="12">
        <f t="shared" si="0"/>
        <v>4.2989417989417987E-3</v>
      </c>
      <c r="D41" s="13">
        <f t="shared" si="1"/>
        <v>0.17735995347935646</v>
      </c>
    </row>
    <row r="42" spans="1:4" x14ac:dyDescent="0.35">
      <c r="A42" s="11">
        <v>34669</v>
      </c>
      <c r="B42" s="15">
        <f>VLOOKUP(A42,Database!A:Q,MATCH($A$1,Database!$A$1:$Q$1,),)</f>
        <v>6021</v>
      </c>
      <c r="C42" s="12">
        <f t="shared" si="0"/>
        <v>-8.7257161672703327E-3</v>
      </c>
      <c r="D42" s="13">
        <f t="shared" si="1"/>
        <v>0.11976938813464758</v>
      </c>
    </row>
    <row r="43" spans="1:4" x14ac:dyDescent="0.35">
      <c r="A43" s="10">
        <v>34700</v>
      </c>
      <c r="B43" s="15">
        <f>VLOOKUP(A43,Database!A:Q,MATCH($A$1,Database!$A$1:$Q$1,),)</f>
        <v>5955</v>
      </c>
      <c r="C43" s="12">
        <f t="shared" si="0"/>
        <v>-1.096163428001993E-2</v>
      </c>
      <c r="D43" s="13">
        <f t="shared" si="1"/>
        <v>0.12613464447806355</v>
      </c>
    </row>
    <row r="44" spans="1:4" x14ac:dyDescent="0.35">
      <c r="A44" s="11">
        <v>34731</v>
      </c>
      <c r="B44" s="15">
        <f>VLOOKUP(A44,Database!A:Q,MATCH($A$1,Database!$A$1:$Q$1,),)</f>
        <v>6097</v>
      </c>
      <c r="C44" s="12">
        <f t="shared" si="0"/>
        <v>2.3845507976490345E-2</v>
      </c>
      <c r="D44" s="13">
        <f t="shared" si="1"/>
        <v>0.154297614539947</v>
      </c>
    </row>
    <row r="45" spans="1:4" x14ac:dyDescent="0.35">
      <c r="A45" s="10">
        <v>34759</v>
      </c>
      <c r="B45" s="15">
        <f>VLOOKUP(A45,Database!A:Q,MATCH($A$1,Database!$A$1:$Q$1,),)</f>
        <v>6134</v>
      </c>
      <c r="C45" s="12">
        <f t="shared" si="0"/>
        <v>6.0685583073642772E-3</v>
      </c>
      <c r="D45" s="13">
        <f t="shared" si="1"/>
        <v>9.6728052923296975E-2</v>
      </c>
    </row>
    <row r="46" spans="1:4" x14ac:dyDescent="0.35">
      <c r="A46" s="11">
        <v>34790</v>
      </c>
      <c r="B46" s="15">
        <f>VLOOKUP(A46,Database!A:Q,MATCH($A$1,Database!$A$1:$Q$1,),)</f>
        <v>6265</v>
      </c>
      <c r="C46" s="12">
        <f t="shared" si="0"/>
        <v>2.1356374307140529E-2</v>
      </c>
      <c r="D46" s="13">
        <f t="shared" si="1"/>
        <v>0.14659590043923865</v>
      </c>
    </row>
    <row r="47" spans="1:4" x14ac:dyDescent="0.35">
      <c r="A47" s="10">
        <v>34820</v>
      </c>
      <c r="B47" s="15">
        <f>VLOOKUP(A47,Database!A:Q,MATCH($A$1,Database!$A$1:$Q$1,),)</f>
        <v>6372</v>
      </c>
      <c r="C47" s="12">
        <f t="shared" si="0"/>
        <v>1.7079010375099759E-2</v>
      </c>
      <c r="D47" s="13">
        <f t="shared" si="1"/>
        <v>0.10701876302988186</v>
      </c>
    </row>
    <row r="48" spans="1:4" x14ac:dyDescent="0.35">
      <c r="A48" s="11">
        <v>34851</v>
      </c>
      <c r="B48" s="15">
        <f>VLOOKUP(A48,Database!A:Q,MATCH($A$1,Database!$A$1:$Q$1,),)</f>
        <v>6288</v>
      </c>
      <c r="C48" s="12">
        <f t="shared" si="0"/>
        <v>-1.3182674199623353E-2</v>
      </c>
      <c r="D48" s="13">
        <f t="shared" si="1"/>
        <v>9.566126502875065E-2</v>
      </c>
    </row>
    <row r="49" spans="1:4" x14ac:dyDescent="0.35">
      <c r="A49" s="10">
        <v>34881</v>
      </c>
      <c r="B49" s="15">
        <f>VLOOKUP(A49,Database!A:Q,MATCH($A$1,Database!$A$1:$Q$1,),)</f>
        <v>6398</v>
      </c>
      <c r="C49" s="12">
        <f t="shared" si="0"/>
        <v>1.7493638676844784E-2</v>
      </c>
      <c r="D49" s="13">
        <f t="shared" si="1"/>
        <v>7.8375189617394231E-2</v>
      </c>
    </row>
    <row r="50" spans="1:4" x14ac:dyDescent="0.35">
      <c r="A50" s="11">
        <v>34912</v>
      </c>
      <c r="B50" s="15">
        <f>VLOOKUP(A50,Database!A:Q,MATCH($A$1,Database!$A$1:$Q$1,),)</f>
        <v>6502</v>
      </c>
      <c r="C50" s="12">
        <f t="shared" si="0"/>
        <v>1.625507971241013E-2</v>
      </c>
      <c r="D50" s="13">
        <f t="shared" si="1"/>
        <v>8.1503659347970728E-2</v>
      </c>
    </row>
    <row r="51" spans="1:4" x14ac:dyDescent="0.35">
      <c r="A51" s="10">
        <v>34943</v>
      </c>
      <c r="B51" s="15">
        <f>VLOOKUP(A51,Database!A:Q,MATCH($A$1,Database!$A$1:$Q$1,),)</f>
        <v>6413</v>
      </c>
      <c r="C51" s="12">
        <f t="shared" si="0"/>
        <v>-1.3688095970470625E-2</v>
      </c>
      <c r="D51" s="13">
        <f t="shared" si="1"/>
        <v>5.269205515430072E-2</v>
      </c>
    </row>
    <row r="52" spans="1:4" x14ac:dyDescent="0.35">
      <c r="A52" s="11">
        <v>34973</v>
      </c>
      <c r="B52" s="15">
        <f>VLOOKUP(A52,Database!A:Q,MATCH($A$1,Database!$A$1:$Q$1,),)</f>
        <v>6419</v>
      </c>
      <c r="C52" s="12">
        <f t="shared" si="0"/>
        <v>9.3559956338687042E-4</v>
      </c>
      <c r="D52" s="13">
        <f t="shared" si="1"/>
        <v>6.1342592592592594E-2</v>
      </c>
    </row>
    <row r="53" spans="1:4" x14ac:dyDescent="0.35">
      <c r="A53" s="10">
        <v>35004</v>
      </c>
      <c r="B53" s="15">
        <f>VLOOKUP(A53,Database!A:Q,MATCH($A$1,Database!$A$1:$Q$1,),)</f>
        <v>6520</v>
      </c>
      <c r="C53" s="12">
        <f t="shared" si="0"/>
        <v>1.5734538090045179E-2</v>
      </c>
      <c r="D53" s="13">
        <f t="shared" si="1"/>
        <v>7.3427724728350352E-2</v>
      </c>
    </row>
    <row r="54" spans="1:4" x14ac:dyDescent="0.35">
      <c r="A54" s="11">
        <v>35034</v>
      </c>
      <c r="B54" s="15">
        <f>VLOOKUP(A54,Database!A:Q,MATCH($A$1,Database!$A$1:$Q$1,),)</f>
        <v>6566</v>
      </c>
      <c r="C54" s="12">
        <f t="shared" si="0"/>
        <v>7.0552147239263804E-3</v>
      </c>
      <c r="D54" s="13">
        <f t="shared" si="1"/>
        <v>9.0516525494103967E-2</v>
      </c>
    </row>
    <row r="55" spans="1:4" x14ac:dyDescent="0.35">
      <c r="A55" s="10">
        <v>35065</v>
      </c>
      <c r="B55" s="15">
        <f>VLOOKUP(A55,Database!A:Q,MATCH($A$1,Database!$A$1:$Q$1,),)</f>
        <v>6202</v>
      </c>
      <c r="C55" s="12">
        <f t="shared" si="0"/>
        <v>-5.5437100213219619E-2</v>
      </c>
      <c r="D55" s="13">
        <f t="shared" si="1"/>
        <v>4.1477749790092361E-2</v>
      </c>
    </row>
    <row r="56" spans="1:4" x14ac:dyDescent="0.35">
      <c r="A56" s="11">
        <v>35096</v>
      </c>
      <c r="B56" s="15">
        <f>VLOOKUP(A56,Database!A:Q,MATCH($A$1,Database!$A$1:$Q$1,),)</f>
        <v>6339</v>
      </c>
      <c r="C56" s="12">
        <f t="shared" si="0"/>
        <v>2.2089648500483713E-2</v>
      </c>
      <c r="D56" s="13">
        <f t="shared" si="1"/>
        <v>3.9691651631950139E-2</v>
      </c>
    </row>
    <row r="57" spans="1:4" x14ac:dyDescent="0.35">
      <c r="A57" s="10">
        <v>35125</v>
      </c>
      <c r="B57" s="15">
        <f>VLOOKUP(A57,Database!A:Q,MATCH($A$1,Database!$A$1:$Q$1,),)</f>
        <v>6473</v>
      </c>
      <c r="C57" s="12">
        <f t="shared" si="0"/>
        <v>2.1138980911815743E-2</v>
      </c>
      <c r="D57" s="13">
        <f t="shared" si="1"/>
        <v>5.5265731985653731E-2</v>
      </c>
    </row>
    <row r="58" spans="1:4" x14ac:dyDescent="0.35">
      <c r="A58" s="11">
        <v>35156</v>
      </c>
      <c r="B58" s="15">
        <f>VLOOKUP(A58,Database!A:Q,MATCH($A$1,Database!$A$1:$Q$1,),)</f>
        <v>6772</v>
      </c>
      <c r="C58" s="12">
        <f t="shared" si="0"/>
        <v>4.6191873937895873E-2</v>
      </c>
      <c r="D58" s="13">
        <f t="shared" si="1"/>
        <v>8.0925778132482043E-2</v>
      </c>
    </row>
    <row r="59" spans="1:4" x14ac:dyDescent="0.35">
      <c r="A59" s="10">
        <v>35186</v>
      </c>
      <c r="B59" s="15">
        <f>VLOOKUP(A59,Database!A:Q,MATCH($A$1,Database!$A$1:$Q$1,),)</f>
        <v>7128</v>
      </c>
      <c r="C59" s="12">
        <f t="shared" si="0"/>
        <v>5.2569403425871235E-2</v>
      </c>
      <c r="D59" s="13">
        <f t="shared" si="1"/>
        <v>0.11864406779661017</v>
      </c>
    </row>
    <row r="60" spans="1:4" x14ac:dyDescent="0.35">
      <c r="A60" s="11">
        <v>35217</v>
      </c>
      <c r="B60" s="15">
        <f>VLOOKUP(A60,Database!A:Q,MATCH($A$1,Database!$A$1:$Q$1,),)</f>
        <v>7050</v>
      </c>
      <c r="C60" s="12">
        <f t="shared" si="0"/>
        <v>-1.0942760942760943E-2</v>
      </c>
      <c r="D60" s="13">
        <f t="shared" si="1"/>
        <v>0.12118320610687022</v>
      </c>
    </row>
    <row r="61" spans="1:4" x14ac:dyDescent="0.35">
      <c r="A61" s="10">
        <v>35247</v>
      </c>
      <c r="B61" s="15">
        <f>VLOOKUP(A61,Database!A:Q,MATCH($A$1,Database!$A$1:$Q$1,),)</f>
        <v>7018</v>
      </c>
      <c r="C61" s="12">
        <f t="shared" si="0"/>
        <v>-4.5390070921985815E-3</v>
      </c>
      <c r="D61" s="13">
        <f t="shared" si="1"/>
        <v>9.6905282900906539E-2</v>
      </c>
    </row>
    <row r="62" spans="1:4" x14ac:dyDescent="0.35">
      <c r="A62" s="11">
        <v>35278</v>
      </c>
      <c r="B62" s="15">
        <f>VLOOKUP(A62,Database!A:Q,MATCH($A$1,Database!$A$1:$Q$1,),)</f>
        <v>6918</v>
      </c>
      <c r="C62" s="12">
        <f t="shared" si="0"/>
        <v>-1.4249073810202337E-2</v>
      </c>
      <c r="D62" s="13">
        <f t="shared" si="1"/>
        <v>6.3980313749615506E-2</v>
      </c>
    </row>
    <row r="63" spans="1:4" x14ac:dyDescent="0.35">
      <c r="A63" s="10">
        <v>35309</v>
      </c>
      <c r="B63" s="15">
        <f>VLOOKUP(A63,Database!A:Q,MATCH($A$1,Database!$A$1:$Q$1,),)</f>
        <v>7011</v>
      </c>
      <c r="C63" s="12">
        <f t="shared" si="0"/>
        <v>1.3443191673894189E-2</v>
      </c>
      <c r="D63" s="13">
        <f t="shared" si="1"/>
        <v>9.3248089817558083E-2</v>
      </c>
    </row>
    <row r="64" spans="1:4" x14ac:dyDescent="0.35">
      <c r="A64" s="11">
        <v>35339</v>
      </c>
      <c r="B64" s="15">
        <f>VLOOKUP(A64,Database!A:Q,MATCH($A$1,Database!$A$1:$Q$1,),)</f>
        <v>7110</v>
      </c>
      <c r="C64" s="12">
        <f t="shared" si="0"/>
        <v>1.4120667522464698E-2</v>
      </c>
      <c r="D64" s="13">
        <f t="shared" si="1"/>
        <v>0.10764916653684374</v>
      </c>
    </row>
    <row r="65" spans="1:4" x14ac:dyDescent="0.35">
      <c r="A65" s="10">
        <v>35370</v>
      </c>
      <c r="B65" s="15">
        <f>VLOOKUP(A65,Database!A:Q,MATCH($A$1,Database!$A$1:$Q$1,),)</f>
        <v>7154</v>
      </c>
      <c r="C65" s="12">
        <f t="shared" si="0"/>
        <v>6.188466947960619E-3</v>
      </c>
      <c r="D65" s="13">
        <f t="shared" si="1"/>
        <v>9.7239263803680975E-2</v>
      </c>
    </row>
    <row r="66" spans="1:4" x14ac:dyDescent="0.35">
      <c r="A66" s="11">
        <v>35400</v>
      </c>
      <c r="B66" s="15">
        <f>VLOOKUP(A66,Database!A:Q,MATCH($A$1,Database!$A$1:$Q$1,),)</f>
        <v>7144</v>
      </c>
      <c r="C66" s="12">
        <f t="shared" si="0"/>
        <v>-1.3978194017332962E-3</v>
      </c>
      <c r="D66" s="13">
        <f t="shared" si="1"/>
        <v>8.8029241547365217E-2</v>
      </c>
    </row>
    <row r="67" spans="1:4" x14ac:dyDescent="0.35">
      <c r="A67" s="10">
        <v>35431</v>
      </c>
      <c r="B67" s="15">
        <f>VLOOKUP(A67,Database!A:Q,MATCH($A$1,Database!$A$1:$Q$1,),)</f>
        <v>7295</v>
      </c>
      <c r="C67" s="12">
        <f t="shared" si="0"/>
        <v>2.1136618141097425E-2</v>
      </c>
      <c r="D67" s="13">
        <f t="shared" si="1"/>
        <v>0.1762334730732022</v>
      </c>
    </row>
    <row r="68" spans="1:4" x14ac:dyDescent="0.35">
      <c r="A68" s="11">
        <v>35462</v>
      </c>
      <c r="B68" s="15">
        <f>VLOOKUP(A68,Database!A:Q,MATCH($A$1,Database!$A$1:$Q$1,),)</f>
        <v>7539</v>
      </c>
      <c r="C68" s="12">
        <f t="shared" si="0"/>
        <v>3.3447566826593556E-2</v>
      </c>
      <c r="D68" s="13">
        <f t="shared" si="1"/>
        <v>0.18930430667297682</v>
      </c>
    </row>
    <row r="69" spans="1:4" x14ac:dyDescent="0.35">
      <c r="A69" s="10">
        <v>35490</v>
      </c>
      <c r="B69" s="15">
        <f>VLOOKUP(A69,Database!A:Q,MATCH($A$1,Database!$A$1:$Q$1,),)</f>
        <v>7459</v>
      </c>
      <c r="C69" s="12">
        <f t="shared" si="0"/>
        <v>-1.0611486934606711E-2</v>
      </c>
      <c r="D69" s="13">
        <f t="shared" si="1"/>
        <v>0.15232504248416498</v>
      </c>
    </row>
    <row r="70" spans="1:4" x14ac:dyDescent="0.35">
      <c r="A70" s="11">
        <v>35521</v>
      </c>
      <c r="B70" s="15">
        <f>VLOOKUP(A70,Database!A:Q,MATCH($A$1,Database!$A$1:$Q$1,),)</f>
        <v>7417</v>
      </c>
      <c r="C70" s="12">
        <f t="shared" si="0"/>
        <v>-5.6307816061134204E-3</v>
      </c>
      <c r="D70" s="13">
        <f t="shared" si="1"/>
        <v>9.5245126993502655E-2</v>
      </c>
    </row>
    <row r="71" spans="1:4" x14ac:dyDescent="0.35">
      <c r="A71" s="10">
        <v>35551</v>
      </c>
      <c r="B71" s="15">
        <f>VLOOKUP(A71,Database!A:Q,MATCH($A$1,Database!$A$1:$Q$1,),)</f>
        <v>7181</v>
      </c>
      <c r="C71" s="12">
        <f t="shared" si="0"/>
        <v>-3.181879466091412E-2</v>
      </c>
      <c r="D71" s="13">
        <f t="shared" si="1"/>
        <v>7.4354657687991021E-3</v>
      </c>
    </row>
    <row r="72" spans="1:4" x14ac:dyDescent="0.35">
      <c r="A72" s="11">
        <v>35582</v>
      </c>
      <c r="B72" s="15">
        <f>VLOOKUP(A72,Database!A:Q,MATCH($A$1,Database!$A$1:$Q$1,),)</f>
        <v>7474</v>
      </c>
      <c r="C72" s="12">
        <f t="shared" ref="C72:C135" si="2">(B72-B71)/B71</f>
        <v>4.0802116696838878E-2</v>
      </c>
      <c r="D72" s="13">
        <f t="shared" si="1"/>
        <v>6.0141843971631206E-2</v>
      </c>
    </row>
    <row r="73" spans="1:4" x14ac:dyDescent="0.35">
      <c r="A73" s="10">
        <v>35612</v>
      </c>
      <c r="B73" s="15">
        <f>VLOOKUP(A73,Database!A:Q,MATCH($A$1,Database!$A$1:$Q$1,),)</f>
        <v>7464</v>
      </c>
      <c r="C73" s="12">
        <f t="shared" si="2"/>
        <v>-1.3379716350013381E-3</v>
      </c>
      <c r="D73" s="13">
        <f t="shared" si="1"/>
        <v>6.3550869193502418E-2</v>
      </c>
    </row>
    <row r="74" spans="1:4" x14ac:dyDescent="0.35">
      <c r="A74" s="11">
        <v>35643</v>
      </c>
      <c r="B74" s="15">
        <f>VLOOKUP(A74,Database!A:Q,MATCH($A$1,Database!$A$1:$Q$1,),)</f>
        <v>7562</v>
      </c>
      <c r="C74" s="12">
        <f t="shared" si="2"/>
        <v>1.3129689174705252E-2</v>
      </c>
      <c r="D74" s="13">
        <f t="shared" si="1"/>
        <v>9.3090488580514594E-2</v>
      </c>
    </row>
    <row r="75" spans="1:4" x14ac:dyDescent="0.35">
      <c r="A75" s="10">
        <v>35674</v>
      </c>
      <c r="B75" s="15">
        <f>VLOOKUP(A75,Database!A:Q,MATCH($A$1,Database!$A$1:$Q$1,),)</f>
        <v>7664</v>
      </c>
      <c r="C75" s="12">
        <f t="shared" si="2"/>
        <v>1.348849510711452E-2</v>
      </c>
      <c r="D75" s="13">
        <f t="shared" si="1"/>
        <v>9.3139352446156037E-2</v>
      </c>
    </row>
    <row r="76" spans="1:4" x14ac:dyDescent="0.35">
      <c r="A76" s="11">
        <v>35704</v>
      </c>
      <c r="B76" s="15">
        <f>VLOOKUP(A76,Database!A:Q,MATCH($A$1,Database!$A$1:$Q$1,),)</f>
        <v>7704</v>
      </c>
      <c r="C76" s="12">
        <f t="shared" si="2"/>
        <v>5.2192066805845511E-3</v>
      </c>
      <c r="D76" s="13">
        <f t="shared" si="1"/>
        <v>8.3544303797468356E-2</v>
      </c>
    </row>
    <row r="77" spans="1:4" x14ac:dyDescent="0.35">
      <c r="A77" s="10">
        <v>35735</v>
      </c>
      <c r="B77" s="15">
        <f>VLOOKUP(A77,Database!A:Q,MATCH($A$1,Database!$A$1:$Q$1,),)</f>
        <v>7707</v>
      </c>
      <c r="C77" s="12">
        <f t="shared" si="2"/>
        <v>3.8940809968847351E-4</v>
      </c>
      <c r="D77" s="13">
        <f t="shared" si="1"/>
        <v>7.7299412915851268E-2</v>
      </c>
    </row>
    <row r="78" spans="1:4" x14ac:dyDescent="0.35">
      <c r="A78" s="11">
        <v>35765</v>
      </c>
      <c r="B78" s="15">
        <f>VLOOKUP(A78,Database!A:Q,MATCH($A$1,Database!$A$1:$Q$1,),)</f>
        <v>7845</v>
      </c>
      <c r="C78" s="12">
        <f t="shared" si="2"/>
        <v>1.7905799922148698E-2</v>
      </c>
      <c r="D78" s="13">
        <f t="shared" si="1"/>
        <v>9.8124300111982088E-2</v>
      </c>
    </row>
    <row r="79" spans="1:4" x14ac:dyDescent="0.35">
      <c r="A79" s="10">
        <v>35796</v>
      </c>
      <c r="B79" s="15">
        <f>VLOOKUP(A79,Database!A:Q,MATCH($A$1,Database!$A$1:$Q$1,),)</f>
        <v>8070</v>
      </c>
      <c r="C79" s="12">
        <f t="shared" si="2"/>
        <v>2.8680688336520075E-2</v>
      </c>
      <c r="D79" s="13">
        <f t="shared" si="1"/>
        <v>0.10623714873200822</v>
      </c>
    </row>
    <row r="80" spans="1:4" x14ac:dyDescent="0.35">
      <c r="A80" s="11">
        <v>35827</v>
      </c>
      <c r="B80" s="15">
        <f>VLOOKUP(A80,Database!A:Q,MATCH($A$1,Database!$A$1:$Q$1,),)</f>
        <v>7948</v>
      </c>
      <c r="C80" s="12">
        <f t="shared" si="2"/>
        <v>-1.5117719950433706E-2</v>
      </c>
      <c r="D80" s="13">
        <f t="shared" si="1"/>
        <v>5.4251226953176815E-2</v>
      </c>
    </row>
    <row r="81" spans="1:4" x14ac:dyDescent="0.35">
      <c r="A81" s="10">
        <v>35855</v>
      </c>
      <c r="B81" s="15">
        <f>VLOOKUP(A81,Database!A:Q,MATCH($A$1,Database!$A$1:$Q$1,),)</f>
        <v>7957</v>
      </c>
      <c r="C81" s="12">
        <f t="shared" si="2"/>
        <v>1.1323603422244591E-3</v>
      </c>
      <c r="D81" s="13">
        <f t="shared" si="1"/>
        <v>6.6764981901059117E-2</v>
      </c>
    </row>
    <row r="82" spans="1:4" x14ac:dyDescent="0.35">
      <c r="A82" s="11">
        <v>35886</v>
      </c>
      <c r="B82" s="15">
        <f>VLOOKUP(A82,Database!A:Q,MATCH($A$1,Database!$A$1:$Q$1,),)</f>
        <v>7916</v>
      </c>
      <c r="C82" s="12">
        <f t="shared" si="2"/>
        <v>-5.152695739600352E-3</v>
      </c>
      <c r="D82" s="13">
        <f t="shared" si="1"/>
        <v>6.7277875151678573E-2</v>
      </c>
    </row>
    <row r="83" spans="1:4" x14ac:dyDescent="0.35">
      <c r="A83" s="10">
        <v>35916</v>
      </c>
      <c r="B83" s="15">
        <f>VLOOKUP(A83,Database!A:Q,MATCH($A$1,Database!$A$1:$Q$1,),)</f>
        <v>8037</v>
      </c>
      <c r="C83" s="12">
        <f t="shared" si="2"/>
        <v>1.5285497726124305E-2</v>
      </c>
      <c r="D83" s="13">
        <f t="shared" ref="D83:D146" si="3">(B83-B71)/B71</f>
        <v>0.11920345355800027</v>
      </c>
    </row>
    <row r="84" spans="1:4" x14ac:dyDescent="0.35">
      <c r="A84" s="11">
        <v>35947</v>
      </c>
      <c r="B84" s="15">
        <f>VLOOKUP(A84,Database!A:Q,MATCH($A$1,Database!$A$1:$Q$1,),)</f>
        <v>8064</v>
      </c>
      <c r="C84" s="12">
        <f t="shared" si="2"/>
        <v>3.3594624860022394E-3</v>
      </c>
      <c r="D84" s="13">
        <f t="shared" si="3"/>
        <v>7.8940326465078939E-2</v>
      </c>
    </row>
    <row r="85" spans="1:4" x14ac:dyDescent="0.35">
      <c r="A85" s="10">
        <v>35977</v>
      </c>
      <c r="B85" s="15">
        <f>VLOOKUP(A85,Database!A:Q,MATCH($A$1,Database!$A$1:$Q$1,),)</f>
        <v>8240</v>
      </c>
      <c r="C85" s="12">
        <f t="shared" si="2"/>
        <v>2.1825396825396824E-2</v>
      </c>
      <c r="D85" s="13">
        <f t="shared" si="3"/>
        <v>0.10396570203644159</v>
      </c>
    </row>
    <row r="86" spans="1:4" x14ac:dyDescent="0.35">
      <c r="A86" s="11">
        <v>36008</v>
      </c>
      <c r="B86" s="15">
        <f>VLOOKUP(A86,Database!A:Q,MATCH($A$1,Database!$A$1:$Q$1,),)</f>
        <v>8334</v>
      </c>
      <c r="C86" s="12">
        <f t="shared" si="2"/>
        <v>1.1407766990291262E-2</v>
      </c>
      <c r="D86" s="13">
        <f t="shared" si="3"/>
        <v>0.10208939434012167</v>
      </c>
    </row>
    <row r="87" spans="1:4" x14ac:dyDescent="0.35">
      <c r="A87" s="10">
        <v>36039</v>
      </c>
      <c r="B87" s="15">
        <f>VLOOKUP(A87,Database!A:Q,MATCH($A$1,Database!$A$1:$Q$1,),)</f>
        <v>8378</v>
      </c>
      <c r="C87" s="12">
        <f t="shared" si="2"/>
        <v>5.2795776337892968E-3</v>
      </c>
      <c r="D87" s="13">
        <f t="shared" si="3"/>
        <v>9.3162839248434243E-2</v>
      </c>
    </row>
    <row r="88" spans="1:4" x14ac:dyDescent="0.35">
      <c r="A88" s="11">
        <v>36069</v>
      </c>
      <c r="B88" s="15">
        <f>VLOOKUP(A88,Database!A:Q,MATCH($A$1,Database!$A$1:$Q$1,),)</f>
        <v>8444</v>
      </c>
      <c r="C88" s="12">
        <f t="shared" si="2"/>
        <v>7.8777751253282409E-3</v>
      </c>
      <c r="D88" s="13">
        <f t="shared" si="3"/>
        <v>9.6053997923156803E-2</v>
      </c>
    </row>
    <row r="89" spans="1:4" x14ac:dyDescent="0.35">
      <c r="A89" s="10">
        <v>36100</v>
      </c>
      <c r="B89" s="15">
        <f>VLOOKUP(A89,Database!A:Q,MATCH($A$1,Database!$A$1:$Q$1,),)</f>
        <v>8448</v>
      </c>
      <c r="C89" s="12">
        <f t="shared" si="2"/>
        <v>4.7370914258645192E-4</v>
      </c>
      <c r="D89" s="13">
        <f t="shared" si="3"/>
        <v>9.6146360451537558E-2</v>
      </c>
    </row>
    <row r="90" spans="1:4" x14ac:dyDescent="0.35">
      <c r="A90" s="11">
        <v>36130</v>
      </c>
      <c r="B90" s="15">
        <f>VLOOKUP(A90,Database!A:Q,MATCH($A$1,Database!$A$1:$Q$1,),)</f>
        <v>8622</v>
      </c>
      <c r="C90" s="12">
        <f t="shared" si="2"/>
        <v>2.0596590909090908E-2</v>
      </c>
      <c r="D90" s="13">
        <f t="shared" si="3"/>
        <v>9.9043977055449331E-2</v>
      </c>
    </row>
    <row r="91" spans="1:4" x14ac:dyDescent="0.35">
      <c r="A91" s="10">
        <v>36161</v>
      </c>
      <c r="B91" s="15">
        <f>VLOOKUP(A91,Database!A:Q,MATCH($A$1,Database!$A$1:$Q$1,),)</f>
        <v>8454</v>
      </c>
      <c r="C91" s="12">
        <f t="shared" si="2"/>
        <v>-1.9485038274182326E-2</v>
      </c>
      <c r="D91" s="13">
        <f t="shared" si="3"/>
        <v>4.7583643122676579E-2</v>
      </c>
    </row>
    <row r="92" spans="1:4" x14ac:dyDescent="0.35">
      <c r="A92" s="11">
        <v>36192</v>
      </c>
      <c r="B92" s="15">
        <f>VLOOKUP(A92,Database!A:Q,MATCH($A$1,Database!$A$1:$Q$1,),)</f>
        <v>8615</v>
      </c>
      <c r="C92" s="12">
        <f t="shared" si="2"/>
        <v>1.9044239413295482E-2</v>
      </c>
      <c r="D92" s="13">
        <f t="shared" si="3"/>
        <v>8.3920483140412686E-2</v>
      </c>
    </row>
    <row r="93" spans="1:4" x14ac:dyDescent="0.35">
      <c r="A93" s="10">
        <v>36220</v>
      </c>
      <c r="B93" s="15">
        <f>VLOOKUP(A93,Database!A:Q,MATCH($A$1,Database!$A$1:$Q$1,),)</f>
        <v>8503</v>
      </c>
      <c r="C93" s="12">
        <f t="shared" si="2"/>
        <v>-1.3000580383052815E-2</v>
      </c>
      <c r="D93" s="13">
        <f t="shared" si="3"/>
        <v>6.8618826190775417E-2</v>
      </c>
    </row>
    <row r="94" spans="1:4" x14ac:dyDescent="0.35">
      <c r="A94" s="11">
        <v>36251</v>
      </c>
      <c r="B94" s="15">
        <f>VLOOKUP(A94,Database!A:Q,MATCH($A$1,Database!$A$1:$Q$1,),)</f>
        <v>8590</v>
      </c>
      <c r="C94" s="12">
        <f t="shared" si="2"/>
        <v>1.0231682935434553E-2</v>
      </c>
      <c r="D94" s="13">
        <f t="shared" si="3"/>
        <v>8.5144012127337035E-2</v>
      </c>
    </row>
    <row r="95" spans="1:4" x14ac:dyDescent="0.35">
      <c r="A95" s="10">
        <v>36281</v>
      </c>
      <c r="B95" s="15">
        <f>VLOOKUP(A95,Database!A:Q,MATCH($A$1,Database!$A$1:$Q$1,),)</f>
        <v>8585</v>
      </c>
      <c r="C95" s="12">
        <f t="shared" si="2"/>
        <v>-5.8207217694994178E-4</v>
      </c>
      <c r="D95" s="13">
        <f t="shared" si="3"/>
        <v>6.8184646012193609E-2</v>
      </c>
    </row>
    <row r="96" spans="1:4" x14ac:dyDescent="0.35">
      <c r="A96" s="11">
        <v>36312</v>
      </c>
      <c r="B96" s="15">
        <f>VLOOKUP(A96,Database!A:Q,MATCH($A$1,Database!$A$1:$Q$1,),)</f>
        <v>8481</v>
      </c>
      <c r="C96" s="12">
        <f t="shared" si="2"/>
        <v>-1.2114152591729762E-2</v>
      </c>
      <c r="D96" s="13">
        <f t="shared" si="3"/>
        <v>5.1711309523809521E-2</v>
      </c>
    </row>
    <row r="97" spans="1:4" x14ac:dyDescent="0.35">
      <c r="A97" s="10">
        <v>36342</v>
      </c>
      <c r="B97" s="15">
        <f>VLOOKUP(A97,Database!A:Q,MATCH($A$1,Database!$A$1:$Q$1,),)</f>
        <v>8350</v>
      </c>
      <c r="C97" s="12">
        <f t="shared" si="2"/>
        <v>-1.544629171088315E-2</v>
      </c>
      <c r="D97" s="13">
        <f t="shared" si="3"/>
        <v>1.3349514563106795E-2</v>
      </c>
    </row>
    <row r="98" spans="1:4" x14ac:dyDescent="0.35">
      <c r="A98" s="11">
        <v>36373</v>
      </c>
      <c r="B98" s="15">
        <f>VLOOKUP(A98,Database!A:Q,MATCH($A$1,Database!$A$1:$Q$1,),)</f>
        <v>8519</v>
      </c>
      <c r="C98" s="12">
        <f t="shared" si="2"/>
        <v>2.0239520958083831E-2</v>
      </c>
      <c r="D98" s="13">
        <f t="shared" si="3"/>
        <v>2.2198224142068634E-2</v>
      </c>
    </row>
    <row r="99" spans="1:4" x14ac:dyDescent="0.35">
      <c r="A99" s="10">
        <v>36404</v>
      </c>
      <c r="B99" s="15">
        <f>VLOOKUP(A99,Database!A:Q,MATCH($A$1,Database!$A$1:$Q$1,),)</f>
        <v>8597</v>
      </c>
      <c r="C99" s="12">
        <f t="shared" si="2"/>
        <v>9.1560042258481047E-3</v>
      </c>
      <c r="D99" s="13">
        <f t="shared" si="3"/>
        <v>2.6139890188589161E-2</v>
      </c>
    </row>
    <row r="100" spans="1:4" x14ac:dyDescent="0.35">
      <c r="A100" s="11">
        <v>36434</v>
      </c>
      <c r="B100" s="15">
        <f>VLOOKUP(A100,Database!A:Q,MATCH($A$1,Database!$A$1:$Q$1,),)</f>
        <v>8661</v>
      </c>
      <c r="C100" s="12">
        <f t="shared" si="2"/>
        <v>7.4444573688495991E-3</v>
      </c>
      <c r="D100" s="13">
        <f t="shared" si="3"/>
        <v>2.5698720985315015E-2</v>
      </c>
    </row>
    <row r="101" spans="1:4" x14ac:dyDescent="0.35">
      <c r="A101" s="10">
        <v>36465</v>
      </c>
      <c r="B101" s="15">
        <f>VLOOKUP(A101,Database!A:Q,MATCH($A$1,Database!$A$1:$Q$1,),)</f>
        <v>9058</v>
      </c>
      <c r="C101" s="12">
        <f t="shared" si="2"/>
        <v>4.5837663087403301E-2</v>
      </c>
      <c r="D101" s="13">
        <f t="shared" si="3"/>
        <v>7.2206439393939392E-2</v>
      </c>
    </row>
    <row r="102" spans="1:4" x14ac:dyDescent="0.35">
      <c r="A102" s="11">
        <v>36495</v>
      </c>
      <c r="B102" s="15">
        <f>VLOOKUP(A102,Database!A:Q,MATCH($A$1,Database!$A$1:$Q$1,),)</f>
        <v>9489</v>
      </c>
      <c r="C102" s="12">
        <f t="shared" si="2"/>
        <v>4.7582247736807241E-2</v>
      </c>
      <c r="D102" s="13">
        <f t="shared" si="3"/>
        <v>0.10055671537926235</v>
      </c>
    </row>
    <row r="103" spans="1:4" x14ac:dyDescent="0.35">
      <c r="A103" s="10">
        <v>36526</v>
      </c>
      <c r="B103" s="15">
        <f>VLOOKUP(A103,Database!A:Q,MATCH($A$1,Database!$A$1:$Q$1,),)</f>
        <v>9136</v>
      </c>
      <c r="C103" s="12">
        <f t="shared" si="2"/>
        <v>-3.7200969543682155E-2</v>
      </c>
      <c r="D103" s="13">
        <f t="shared" si="3"/>
        <v>8.0671871303524961E-2</v>
      </c>
    </row>
    <row r="104" spans="1:4" x14ac:dyDescent="0.35">
      <c r="A104" s="11">
        <v>36557</v>
      </c>
      <c r="B104" s="15">
        <f>VLOOKUP(A104,Database!A:Q,MATCH($A$1,Database!$A$1:$Q$1,),)</f>
        <v>9163</v>
      </c>
      <c r="C104" s="12">
        <f t="shared" si="2"/>
        <v>2.9553415061295972E-3</v>
      </c>
      <c r="D104" s="13">
        <f t="shared" si="3"/>
        <v>6.3609982588508418E-2</v>
      </c>
    </row>
    <row r="105" spans="1:4" x14ac:dyDescent="0.35">
      <c r="A105" s="10">
        <v>36586</v>
      </c>
      <c r="B105" s="15">
        <f>VLOOKUP(A105,Database!A:Q,MATCH($A$1,Database!$A$1:$Q$1,),)</f>
        <v>9189</v>
      </c>
      <c r="C105" s="12">
        <f t="shared" si="2"/>
        <v>2.8374986358179637E-3</v>
      </c>
      <c r="D105" s="13">
        <f t="shared" si="3"/>
        <v>8.0677407973656357E-2</v>
      </c>
    </row>
    <row r="106" spans="1:4" x14ac:dyDescent="0.35">
      <c r="A106" s="11">
        <v>36617</v>
      </c>
      <c r="B106" s="15">
        <f>VLOOKUP(A106,Database!A:Q,MATCH($A$1,Database!$A$1:$Q$1,),)</f>
        <v>9056</v>
      </c>
      <c r="C106" s="12">
        <f t="shared" si="2"/>
        <v>-1.4473827402328871E-2</v>
      </c>
      <c r="D106" s="13">
        <f t="shared" si="3"/>
        <v>5.4249126891734577E-2</v>
      </c>
    </row>
    <row r="107" spans="1:4" x14ac:dyDescent="0.35">
      <c r="A107" s="10">
        <v>36647</v>
      </c>
      <c r="B107" s="15">
        <f>VLOOKUP(A107,Database!A:Q,MATCH($A$1,Database!$A$1:$Q$1,),)</f>
        <v>8760</v>
      </c>
      <c r="C107" s="12">
        <f t="shared" si="2"/>
        <v>-3.2685512367491169E-2</v>
      </c>
      <c r="D107" s="13">
        <f t="shared" si="3"/>
        <v>2.03843913803145E-2</v>
      </c>
    </row>
    <row r="108" spans="1:4" x14ac:dyDescent="0.35">
      <c r="A108" s="11">
        <v>36678</v>
      </c>
      <c r="B108" s="15">
        <f>VLOOKUP(A108,Database!A:Q,MATCH($A$1,Database!$A$1:$Q$1,),)</f>
        <v>8785</v>
      </c>
      <c r="C108" s="12">
        <f t="shared" si="2"/>
        <v>2.8538812785388126E-3</v>
      </c>
      <c r="D108" s="13">
        <f t="shared" si="3"/>
        <v>3.5844829619148685E-2</v>
      </c>
    </row>
    <row r="109" spans="1:4" x14ac:dyDescent="0.35">
      <c r="A109" s="10">
        <v>36708</v>
      </c>
      <c r="B109" s="15">
        <f>VLOOKUP(A109,Database!A:Q,MATCH($A$1,Database!$A$1:$Q$1,),)</f>
        <v>8789</v>
      </c>
      <c r="C109" s="12">
        <f t="shared" si="2"/>
        <v>4.5532157085941948E-4</v>
      </c>
      <c r="D109" s="13">
        <f t="shared" si="3"/>
        <v>5.2574850299401198E-2</v>
      </c>
    </row>
    <row r="110" spans="1:4" x14ac:dyDescent="0.35">
      <c r="A110" s="11">
        <v>36739</v>
      </c>
      <c r="B110" s="15">
        <f>VLOOKUP(A110,Database!A:Q,MATCH($A$1,Database!$A$1:$Q$1,),)</f>
        <v>8666</v>
      </c>
      <c r="C110" s="12">
        <f t="shared" si="2"/>
        <v>-1.3994766185003983E-2</v>
      </c>
      <c r="D110" s="13">
        <f t="shared" si="3"/>
        <v>1.7255546425636811E-2</v>
      </c>
    </row>
    <row r="111" spans="1:4" x14ac:dyDescent="0.35">
      <c r="A111" s="10">
        <v>36770</v>
      </c>
      <c r="B111" s="15">
        <f>VLOOKUP(A111,Database!A:Q,MATCH($A$1,Database!$A$1:$Q$1,),)</f>
        <v>8925</v>
      </c>
      <c r="C111" s="12">
        <f t="shared" si="2"/>
        <v>2.9886914378029081E-2</v>
      </c>
      <c r="D111" s="13">
        <f t="shared" si="3"/>
        <v>3.8152844015354195E-2</v>
      </c>
    </row>
    <row r="112" spans="1:4" x14ac:dyDescent="0.35">
      <c r="A112" s="11">
        <v>36800</v>
      </c>
      <c r="B112" s="15">
        <f>VLOOKUP(A112,Database!A:Q,MATCH($A$1,Database!$A$1:$Q$1,),)</f>
        <v>8870</v>
      </c>
      <c r="C112" s="12">
        <f t="shared" si="2"/>
        <v>-6.1624649859943975E-3</v>
      </c>
      <c r="D112" s="13">
        <f t="shared" si="3"/>
        <v>2.4131162683292923E-2</v>
      </c>
    </row>
    <row r="113" spans="1:4" x14ac:dyDescent="0.35">
      <c r="A113" s="10">
        <v>36831</v>
      </c>
      <c r="B113" s="15">
        <f>VLOOKUP(A113,Database!A:Q,MATCH($A$1,Database!$A$1:$Q$1,),)</f>
        <v>8829</v>
      </c>
      <c r="C113" s="12">
        <f t="shared" si="2"/>
        <v>-4.622322435174746E-3</v>
      </c>
      <c r="D113" s="13">
        <f t="shared" si="3"/>
        <v>-2.5281519099138883E-2</v>
      </c>
    </row>
    <row r="114" spans="1:4" x14ac:dyDescent="0.35">
      <c r="A114" s="11">
        <v>36861</v>
      </c>
      <c r="B114" s="15">
        <f>VLOOKUP(A114,Database!A:Q,MATCH($A$1,Database!$A$1:$Q$1,),)</f>
        <v>8631</v>
      </c>
      <c r="C114" s="12">
        <f t="shared" si="2"/>
        <v>-2.2426095820591234E-2</v>
      </c>
      <c r="D114" s="13">
        <f t="shared" si="3"/>
        <v>-9.0420486879544737E-2</v>
      </c>
    </row>
    <row r="115" spans="1:4" x14ac:dyDescent="0.35">
      <c r="A115" s="10">
        <v>36892</v>
      </c>
      <c r="B115" s="15">
        <f>VLOOKUP(A115,Database!A:Q,MATCH($A$1,Database!$A$1:$Q$1,),)</f>
        <v>8466</v>
      </c>
      <c r="C115" s="12">
        <f t="shared" si="2"/>
        <v>-1.9117135905457074E-2</v>
      </c>
      <c r="D115" s="13">
        <f t="shared" si="3"/>
        <v>-7.333625218914186E-2</v>
      </c>
    </row>
    <row r="116" spans="1:4" x14ac:dyDescent="0.35">
      <c r="A116" s="11">
        <v>36923</v>
      </c>
      <c r="B116" s="15">
        <f>VLOOKUP(A116,Database!A:Q,MATCH($A$1,Database!$A$1:$Q$1,),)</f>
        <v>8665</v>
      </c>
      <c r="C116" s="12">
        <f t="shared" si="2"/>
        <v>2.35057878573116E-2</v>
      </c>
      <c r="D116" s="13">
        <f t="shared" si="3"/>
        <v>-5.4349012332205612E-2</v>
      </c>
    </row>
    <row r="117" spans="1:4" x14ac:dyDescent="0.35">
      <c r="A117" s="10">
        <v>36951</v>
      </c>
      <c r="B117" s="15">
        <f>VLOOKUP(A117,Database!A:Q,MATCH($A$1,Database!$A$1:$Q$1,),)</f>
        <v>8897</v>
      </c>
      <c r="C117" s="12">
        <f t="shared" si="2"/>
        <v>2.6774379688401614E-2</v>
      </c>
      <c r="D117" s="13">
        <f t="shared" si="3"/>
        <v>-3.1777124823158122E-2</v>
      </c>
    </row>
    <row r="118" spans="1:4" x14ac:dyDescent="0.35">
      <c r="A118" s="11">
        <v>36982</v>
      </c>
      <c r="B118" s="15">
        <f>VLOOKUP(A118,Database!A:Q,MATCH($A$1,Database!$A$1:$Q$1,),)</f>
        <v>8527</v>
      </c>
      <c r="C118" s="12">
        <f t="shared" si="2"/>
        <v>-4.1587051815218615E-2</v>
      </c>
      <c r="D118" s="13">
        <f t="shared" si="3"/>
        <v>-5.8414310954063603E-2</v>
      </c>
    </row>
    <row r="119" spans="1:4" x14ac:dyDescent="0.35">
      <c r="A119" s="10">
        <v>37012</v>
      </c>
      <c r="B119" s="15">
        <f>VLOOKUP(A119,Database!A:Q,MATCH($A$1,Database!$A$1:$Q$1,),)</f>
        <v>8752</v>
      </c>
      <c r="C119" s="12">
        <f t="shared" si="2"/>
        <v>2.638677143192213E-2</v>
      </c>
      <c r="D119" s="13">
        <f t="shared" si="3"/>
        <v>-9.1324200913242006E-4</v>
      </c>
    </row>
    <row r="120" spans="1:4" x14ac:dyDescent="0.35">
      <c r="A120" s="11">
        <v>37043</v>
      </c>
      <c r="B120" s="15">
        <f>VLOOKUP(A120,Database!A:Q,MATCH($A$1,Database!$A$1:$Q$1,),)</f>
        <v>8693</v>
      </c>
      <c r="C120" s="12">
        <f t="shared" si="2"/>
        <v>-6.7413162705667277E-3</v>
      </c>
      <c r="D120" s="13">
        <f t="shared" si="3"/>
        <v>-1.0472396129766647E-2</v>
      </c>
    </row>
    <row r="121" spans="1:4" x14ac:dyDescent="0.35">
      <c r="A121" s="10">
        <v>37073</v>
      </c>
      <c r="B121" s="15">
        <f>VLOOKUP(A121,Database!A:Q,MATCH($A$1,Database!$A$1:$Q$1,),)</f>
        <v>8671</v>
      </c>
      <c r="C121" s="12">
        <f t="shared" si="2"/>
        <v>-2.5307718854250547E-3</v>
      </c>
      <c r="D121" s="13">
        <f t="shared" si="3"/>
        <v>-1.3425873250654226E-2</v>
      </c>
    </row>
    <row r="122" spans="1:4" x14ac:dyDescent="0.35">
      <c r="A122" s="11">
        <v>37104</v>
      </c>
      <c r="B122" s="15">
        <f>VLOOKUP(A122,Database!A:Q,MATCH($A$1,Database!$A$1:$Q$1,),)</f>
        <v>8691</v>
      </c>
      <c r="C122" s="12">
        <f t="shared" si="2"/>
        <v>2.3065390381732209E-3</v>
      </c>
      <c r="D122" s="13">
        <f t="shared" si="3"/>
        <v>2.8848372951765519E-3</v>
      </c>
    </row>
    <row r="123" spans="1:4" x14ac:dyDescent="0.35">
      <c r="A123" s="10">
        <v>37135</v>
      </c>
      <c r="B123" s="15">
        <f>VLOOKUP(A123,Database!A:Q,MATCH($A$1,Database!$A$1:$Q$1,),)</f>
        <v>8377</v>
      </c>
      <c r="C123" s="12">
        <f t="shared" si="2"/>
        <v>-3.6129329191117249E-2</v>
      </c>
      <c r="D123" s="13">
        <f t="shared" si="3"/>
        <v>-6.1400560224089636E-2</v>
      </c>
    </row>
    <row r="124" spans="1:4" x14ac:dyDescent="0.35">
      <c r="A124" s="11">
        <v>37165</v>
      </c>
      <c r="B124" s="15">
        <f>VLOOKUP(A124,Database!A:Q,MATCH($A$1,Database!$A$1:$Q$1,),)</f>
        <v>8456</v>
      </c>
      <c r="C124" s="12">
        <f t="shared" si="2"/>
        <v>9.4305837411961316E-3</v>
      </c>
      <c r="D124" s="13">
        <f t="shared" si="3"/>
        <v>-4.6674182638105972E-2</v>
      </c>
    </row>
    <row r="125" spans="1:4" x14ac:dyDescent="0.35">
      <c r="A125" s="10">
        <v>37196</v>
      </c>
      <c r="B125" s="15">
        <f>VLOOKUP(A125,Database!A:Q,MATCH($A$1,Database!$A$1:$Q$1,),)</f>
        <v>8548</v>
      </c>
      <c r="C125" s="12">
        <f t="shared" si="2"/>
        <v>1.0879848628192999E-2</v>
      </c>
      <c r="D125" s="13">
        <f t="shared" si="3"/>
        <v>-3.1826933967606753E-2</v>
      </c>
    </row>
    <row r="126" spans="1:4" x14ac:dyDescent="0.35">
      <c r="A126" s="11">
        <v>37226</v>
      </c>
      <c r="B126" s="15">
        <f>VLOOKUP(A126,Database!A:Q,MATCH($A$1,Database!$A$1:$Q$1,),)</f>
        <v>8432</v>
      </c>
      <c r="C126" s="12">
        <f t="shared" si="2"/>
        <v>-1.3570425830603651E-2</v>
      </c>
      <c r="D126" s="13">
        <f t="shared" si="3"/>
        <v>-2.3056424516278529E-2</v>
      </c>
    </row>
    <row r="127" spans="1:4" x14ac:dyDescent="0.35">
      <c r="A127" s="10">
        <v>37257</v>
      </c>
      <c r="B127" s="15">
        <f>VLOOKUP(A127,Database!A:Q,MATCH($A$1,Database!$A$1:$Q$1,),)</f>
        <v>8447</v>
      </c>
      <c r="C127" s="12">
        <f t="shared" si="2"/>
        <v>1.7789373814041745E-3</v>
      </c>
      <c r="D127" s="13">
        <f t="shared" si="3"/>
        <v>-2.2442712024568863E-3</v>
      </c>
    </row>
    <row r="128" spans="1:4" x14ac:dyDescent="0.35">
      <c r="A128" s="11">
        <v>37288</v>
      </c>
      <c r="B128" s="15">
        <f>VLOOKUP(A128,Database!A:Q,MATCH($A$1,Database!$A$1:$Q$1,),)</f>
        <v>8616</v>
      </c>
      <c r="C128" s="12">
        <f t="shared" si="2"/>
        <v>2.0007103113531433E-2</v>
      </c>
      <c r="D128" s="13">
        <f t="shared" si="3"/>
        <v>-5.6549336410848241E-3</v>
      </c>
    </row>
    <row r="129" spans="1:4" x14ac:dyDescent="0.35">
      <c r="A129" s="10">
        <v>37316</v>
      </c>
      <c r="B129" s="15">
        <f>VLOOKUP(A129,Database!A:Q,MATCH($A$1,Database!$A$1:$Q$1,),)</f>
        <v>8380</v>
      </c>
      <c r="C129" s="12">
        <f t="shared" si="2"/>
        <v>-2.7390900649953576E-2</v>
      </c>
      <c r="D129" s="13">
        <f t="shared" si="3"/>
        <v>-5.8109475103967627E-2</v>
      </c>
    </row>
    <row r="130" spans="1:4" x14ac:dyDescent="0.35">
      <c r="A130" s="11">
        <v>37347</v>
      </c>
      <c r="B130" s="15">
        <f>VLOOKUP(A130,Database!A:Q,MATCH($A$1,Database!$A$1:$Q$1,),)</f>
        <v>8579</v>
      </c>
      <c r="C130" s="12">
        <f t="shared" si="2"/>
        <v>2.3747016706443913E-2</v>
      </c>
      <c r="D130" s="13">
        <f t="shared" si="3"/>
        <v>6.0982760642664478E-3</v>
      </c>
    </row>
    <row r="131" spans="1:4" x14ac:dyDescent="0.35">
      <c r="A131" s="10">
        <v>37377</v>
      </c>
      <c r="B131" s="15">
        <f>VLOOKUP(A131,Database!A:Q,MATCH($A$1,Database!$A$1:$Q$1,),)</f>
        <v>8539</v>
      </c>
      <c r="C131" s="12">
        <f t="shared" si="2"/>
        <v>-4.6625480825271013E-3</v>
      </c>
      <c r="D131" s="13">
        <f t="shared" si="3"/>
        <v>-2.4337294332723948E-2</v>
      </c>
    </row>
    <row r="132" spans="1:4" x14ac:dyDescent="0.35">
      <c r="A132" s="11">
        <v>37408</v>
      </c>
      <c r="B132" s="15">
        <f>VLOOKUP(A132,Database!A:Q,MATCH($A$1,Database!$A$1:$Q$1,),)</f>
        <v>8639</v>
      </c>
      <c r="C132" s="12">
        <f t="shared" si="2"/>
        <v>1.1710973181871413E-2</v>
      </c>
      <c r="D132" s="13">
        <f t="shared" si="3"/>
        <v>-6.211894627861498E-3</v>
      </c>
    </row>
    <row r="133" spans="1:4" x14ac:dyDescent="0.35">
      <c r="A133" s="10">
        <v>37438</v>
      </c>
      <c r="B133" s="15">
        <f>VLOOKUP(A133,Database!A:Q,MATCH($A$1,Database!$A$1:$Q$1,),)</f>
        <v>8575</v>
      </c>
      <c r="C133" s="12">
        <f t="shared" si="2"/>
        <v>-7.4082648454682253E-3</v>
      </c>
      <c r="D133" s="13">
        <f t="shared" si="3"/>
        <v>-1.1071387383231461E-2</v>
      </c>
    </row>
    <row r="134" spans="1:4" x14ac:dyDescent="0.35">
      <c r="A134" s="11">
        <v>37469</v>
      </c>
      <c r="B134" s="15">
        <f>VLOOKUP(A134,Database!A:Q,MATCH($A$1,Database!$A$1:$Q$1,),)</f>
        <v>8740</v>
      </c>
      <c r="C134" s="12">
        <f t="shared" si="2"/>
        <v>1.9241982507288629E-2</v>
      </c>
      <c r="D134" s="13">
        <f t="shared" si="3"/>
        <v>5.6380163387412269E-3</v>
      </c>
    </row>
    <row r="135" spans="1:4" x14ac:dyDescent="0.35">
      <c r="A135" s="10">
        <v>37500</v>
      </c>
      <c r="B135" s="15">
        <f>VLOOKUP(A135,Database!A:Q,MATCH($A$1,Database!$A$1:$Q$1,),)</f>
        <v>8724</v>
      </c>
      <c r="C135" s="12">
        <f t="shared" si="2"/>
        <v>-1.8306636155606408E-3</v>
      </c>
      <c r="D135" s="13">
        <f t="shared" si="3"/>
        <v>4.1422943774620989E-2</v>
      </c>
    </row>
    <row r="136" spans="1:4" x14ac:dyDescent="0.35">
      <c r="A136" s="11">
        <v>37530</v>
      </c>
      <c r="B136" s="15">
        <f>VLOOKUP(A136,Database!A:Q,MATCH($A$1,Database!$A$1:$Q$1,),)</f>
        <v>8579</v>
      </c>
      <c r="C136" s="12">
        <f t="shared" ref="C136:C199" si="4">(B136-B135)/B135</f>
        <v>-1.6620816139385604E-2</v>
      </c>
      <c r="D136" s="13">
        <f t="shared" si="3"/>
        <v>1.4545884578997161E-2</v>
      </c>
    </row>
    <row r="137" spans="1:4" x14ac:dyDescent="0.35">
      <c r="A137" s="10">
        <v>37561</v>
      </c>
      <c r="B137" s="15">
        <f>VLOOKUP(A137,Database!A:Q,MATCH($A$1,Database!$A$1:$Q$1,),)</f>
        <v>8362</v>
      </c>
      <c r="C137" s="12">
        <f t="shared" si="4"/>
        <v>-2.5294323347709525E-2</v>
      </c>
      <c r="D137" s="13">
        <f t="shared" si="3"/>
        <v>-2.1759475900795508E-2</v>
      </c>
    </row>
    <row r="138" spans="1:4" x14ac:dyDescent="0.35">
      <c r="A138" s="11">
        <v>37591</v>
      </c>
      <c r="B138" s="15">
        <f>VLOOKUP(A138,Database!A:Q,MATCH($A$1,Database!$A$1:$Q$1,),)</f>
        <v>8569</v>
      </c>
      <c r="C138" s="12">
        <f t="shared" si="4"/>
        <v>2.4754843338914135E-2</v>
      </c>
      <c r="D138" s="13">
        <f t="shared" si="3"/>
        <v>1.624762808349146E-2</v>
      </c>
    </row>
    <row r="139" spans="1:4" x14ac:dyDescent="0.35">
      <c r="A139" s="10">
        <v>37622</v>
      </c>
      <c r="B139" s="15">
        <f>VLOOKUP(A139,Database!A:Q,MATCH($A$1,Database!$A$1:$Q$1,),)</f>
        <v>8565</v>
      </c>
      <c r="C139" s="12">
        <f t="shared" si="4"/>
        <v>-4.6679892636246936E-4</v>
      </c>
      <c r="D139" s="13">
        <f t="shared" si="3"/>
        <v>1.3969456611814845E-2</v>
      </c>
    </row>
    <row r="140" spans="1:4" x14ac:dyDescent="0.35">
      <c r="A140" s="11">
        <v>37653</v>
      </c>
      <c r="B140" s="15">
        <f>VLOOKUP(A140,Database!A:Q,MATCH($A$1,Database!$A$1:$Q$1,),)</f>
        <v>8372</v>
      </c>
      <c r="C140" s="12">
        <f t="shared" si="4"/>
        <v>-2.2533566841798015E-2</v>
      </c>
      <c r="D140" s="13">
        <f t="shared" si="3"/>
        <v>-2.8319405756731662E-2</v>
      </c>
    </row>
    <row r="141" spans="1:4" x14ac:dyDescent="0.35">
      <c r="A141" s="10">
        <v>37681</v>
      </c>
      <c r="B141" s="15">
        <f>VLOOKUP(A141,Database!A:Q,MATCH($A$1,Database!$A$1:$Q$1,),)</f>
        <v>8405</v>
      </c>
      <c r="C141" s="12">
        <f t="shared" si="4"/>
        <v>3.941710463449594E-3</v>
      </c>
      <c r="D141" s="13">
        <f t="shared" si="3"/>
        <v>2.9832935560859188E-3</v>
      </c>
    </row>
    <row r="142" spans="1:4" x14ac:dyDescent="0.35">
      <c r="A142" s="11">
        <v>37712</v>
      </c>
      <c r="B142" s="15">
        <f>VLOOKUP(A142,Database!A:Q,MATCH($A$1,Database!$A$1:$Q$1,),)</f>
        <v>8359</v>
      </c>
      <c r="C142" s="12">
        <f t="shared" si="4"/>
        <v>-5.4729327781082686E-3</v>
      </c>
      <c r="D142" s="13">
        <f t="shared" si="3"/>
        <v>-2.5644014453899057E-2</v>
      </c>
    </row>
    <row r="143" spans="1:4" x14ac:dyDescent="0.35">
      <c r="A143" s="10">
        <v>37742</v>
      </c>
      <c r="B143" s="15">
        <f>VLOOKUP(A143,Database!A:Q,MATCH($A$1,Database!$A$1:$Q$1,),)</f>
        <v>8525</v>
      </c>
      <c r="C143" s="12">
        <f t="shared" si="4"/>
        <v>1.9858834788850342E-2</v>
      </c>
      <c r="D143" s="13">
        <f t="shared" si="3"/>
        <v>-1.639536245461998E-3</v>
      </c>
    </row>
    <row r="144" spans="1:4" x14ac:dyDescent="0.35">
      <c r="A144" s="11">
        <v>37773</v>
      </c>
      <c r="B144" s="15">
        <f>VLOOKUP(A144,Database!A:Q,MATCH($A$1,Database!$A$1:$Q$1,),)</f>
        <v>8537</v>
      </c>
      <c r="C144" s="12">
        <f t="shared" si="4"/>
        <v>1.407624633431085E-3</v>
      </c>
      <c r="D144" s="13">
        <f t="shared" si="3"/>
        <v>-1.1806922097464985E-2</v>
      </c>
    </row>
    <row r="145" spans="1:4" x14ac:dyDescent="0.35">
      <c r="A145" s="10">
        <v>37803</v>
      </c>
      <c r="B145" s="15">
        <f>VLOOKUP(A145,Database!A:Q,MATCH($A$1,Database!$A$1:$Q$1,),)</f>
        <v>8497</v>
      </c>
      <c r="C145" s="12">
        <f t="shared" si="4"/>
        <v>-4.6854867049314752E-3</v>
      </c>
      <c r="D145" s="13">
        <f t="shared" si="3"/>
        <v>-9.0962099125364432E-3</v>
      </c>
    </row>
    <row r="146" spans="1:4" x14ac:dyDescent="0.35">
      <c r="A146" s="11">
        <v>37834</v>
      </c>
      <c r="B146" s="15">
        <f>VLOOKUP(A146,Database!A:Q,MATCH($A$1,Database!$A$1:$Q$1,),)</f>
        <v>8618</v>
      </c>
      <c r="C146" s="12">
        <f t="shared" si="4"/>
        <v>1.4240320112981052E-2</v>
      </c>
      <c r="D146" s="13">
        <f t="shared" si="3"/>
        <v>-1.3958810068649886E-2</v>
      </c>
    </row>
    <row r="147" spans="1:4" x14ac:dyDescent="0.35">
      <c r="A147" s="10">
        <v>37865</v>
      </c>
      <c r="B147" s="15">
        <f>VLOOKUP(A147,Database!A:Q,MATCH($A$1,Database!$A$1:$Q$1,),)</f>
        <v>8442</v>
      </c>
      <c r="C147" s="12">
        <f t="shared" si="4"/>
        <v>-2.0422371779995358E-2</v>
      </c>
      <c r="D147" s="13">
        <f t="shared" ref="D147:D210" si="5">(B147-B135)/B135</f>
        <v>-3.2324621733149934E-2</v>
      </c>
    </row>
    <row r="148" spans="1:4" x14ac:dyDescent="0.35">
      <c r="A148" s="11">
        <v>37895</v>
      </c>
      <c r="B148" s="15">
        <f>VLOOKUP(A148,Database!A:Q,MATCH($A$1,Database!$A$1:$Q$1,),)</f>
        <v>8591</v>
      </c>
      <c r="C148" s="12">
        <f t="shared" si="4"/>
        <v>1.7649846008054963E-2</v>
      </c>
      <c r="D148" s="13">
        <f t="shared" si="5"/>
        <v>1.3987644247581304E-3</v>
      </c>
    </row>
    <row r="149" spans="1:4" x14ac:dyDescent="0.35">
      <c r="A149" s="10">
        <v>37926</v>
      </c>
      <c r="B149" s="15">
        <f>VLOOKUP(A149,Database!A:Q,MATCH($A$1,Database!$A$1:$Q$1,),)</f>
        <v>8530</v>
      </c>
      <c r="C149" s="12">
        <f t="shared" si="4"/>
        <v>-7.1004539634501223E-3</v>
      </c>
      <c r="D149" s="13">
        <f t="shared" si="5"/>
        <v>2.0090887347524514E-2</v>
      </c>
    </row>
    <row r="150" spans="1:4" x14ac:dyDescent="0.35">
      <c r="A150" s="11">
        <v>37956</v>
      </c>
      <c r="B150" s="15">
        <f>VLOOKUP(A150,Database!A:Q,MATCH($A$1,Database!$A$1:$Q$1,),)</f>
        <v>8576</v>
      </c>
      <c r="C150" s="12">
        <f t="shared" si="4"/>
        <v>5.3927315357561552E-3</v>
      </c>
      <c r="D150" s="13">
        <f t="shared" si="5"/>
        <v>8.1689812113432136E-4</v>
      </c>
    </row>
    <row r="151" spans="1:4" x14ac:dyDescent="0.35">
      <c r="A151" s="10">
        <v>37987</v>
      </c>
      <c r="B151" s="15">
        <f>VLOOKUP(A151,Database!A:Q,MATCH($A$1,Database!$A$1:$Q$1,),)</f>
        <v>8665</v>
      </c>
      <c r="C151" s="12">
        <f t="shared" si="4"/>
        <v>1.0377798507462687E-2</v>
      </c>
      <c r="D151" s="13">
        <f t="shared" si="5"/>
        <v>1.1675423234092236E-2</v>
      </c>
    </row>
    <row r="152" spans="1:4" x14ac:dyDescent="0.35">
      <c r="A152" s="11">
        <v>38018</v>
      </c>
      <c r="B152" s="15">
        <f>VLOOKUP(A152,Database!A:Q,MATCH($A$1,Database!$A$1:$Q$1,),)</f>
        <v>8481</v>
      </c>
      <c r="C152" s="12">
        <f t="shared" si="4"/>
        <v>-2.1234852856318522E-2</v>
      </c>
      <c r="D152" s="13">
        <f t="shared" si="5"/>
        <v>1.3019589106545628E-2</v>
      </c>
    </row>
    <row r="153" spans="1:4" x14ac:dyDescent="0.35">
      <c r="A153" s="10">
        <v>38047</v>
      </c>
      <c r="B153" s="15">
        <f>VLOOKUP(A153,Database!A:Q,MATCH($A$1,Database!$A$1:$Q$1,),)</f>
        <v>8552</v>
      </c>
      <c r="C153" s="12">
        <f t="shared" si="4"/>
        <v>8.3716542860511733E-3</v>
      </c>
      <c r="D153" s="13">
        <f t="shared" si="5"/>
        <v>1.7489589530041642E-2</v>
      </c>
    </row>
    <row r="154" spans="1:4" x14ac:dyDescent="0.35">
      <c r="A154" s="11">
        <v>38078</v>
      </c>
      <c r="B154" s="15">
        <f>VLOOKUP(A154,Database!A:Q,MATCH($A$1,Database!$A$1:$Q$1,),)</f>
        <v>8685</v>
      </c>
      <c r="C154" s="12">
        <f t="shared" si="4"/>
        <v>1.5551917680074837E-2</v>
      </c>
      <c r="D154" s="13">
        <f t="shared" si="5"/>
        <v>3.8999880368465127E-2</v>
      </c>
    </row>
    <row r="155" spans="1:4" x14ac:dyDescent="0.35">
      <c r="A155" s="10">
        <v>38108</v>
      </c>
      <c r="B155" s="15">
        <f>VLOOKUP(A155,Database!A:Q,MATCH($A$1,Database!$A$1:$Q$1,),)</f>
        <v>8869</v>
      </c>
      <c r="C155" s="12">
        <f t="shared" si="4"/>
        <v>2.118595279217041E-2</v>
      </c>
      <c r="D155" s="13">
        <f t="shared" si="5"/>
        <v>4.0351906158357771E-2</v>
      </c>
    </row>
    <row r="156" spans="1:4" x14ac:dyDescent="0.35">
      <c r="A156" s="11">
        <v>38139</v>
      </c>
      <c r="B156" s="15">
        <f>VLOOKUP(A156,Database!A:Q,MATCH($A$1,Database!$A$1:$Q$1,),)</f>
        <v>8446</v>
      </c>
      <c r="C156" s="12">
        <f t="shared" si="4"/>
        <v>-4.7694215807870109E-2</v>
      </c>
      <c r="D156" s="13">
        <f t="shared" si="5"/>
        <v>-1.0659482253719104E-2</v>
      </c>
    </row>
    <row r="157" spans="1:4" x14ac:dyDescent="0.35">
      <c r="A157" s="10">
        <v>38169</v>
      </c>
      <c r="B157" s="15">
        <f>VLOOKUP(A157,Database!A:Q,MATCH($A$1,Database!$A$1:$Q$1,),)</f>
        <v>8554</v>
      </c>
      <c r="C157" s="12">
        <f t="shared" si="4"/>
        <v>1.278711816244376E-2</v>
      </c>
      <c r="D157" s="13">
        <f t="shared" si="5"/>
        <v>6.7082499705778511E-3</v>
      </c>
    </row>
    <row r="158" spans="1:4" x14ac:dyDescent="0.35">
      <c r="A158" s="11">
        <v>38200</v>
      </c>
      <c r="B158" s="15">
        <f>VLOOKUP(A158,Database!A:Q,MATCH($A$1,Database!$A$1:$Q$1,),)</f>
        <v>8567</v>
      </c>
      <c r="C158" s="12">
        <f t="shared" si="4"/>
        <v>1.5197568389057751E-3</v>
      </c>
      <c r="D158" s="13">
        <f t="shared" si="5"/>
        <v>-5.9178463680668366E-3</v>
      </c>
    </row>
    <row r="159" spans="1:4" x14ac:dyDescent="0.35">
      <c r="A159" s="10">
        <v>38231</v>
      </c>
      <c r="B159" s="15">
        <f>VLOOKUP(A159,Database!A:Q,MATCH($A$1,Database!$A$1:$Q$1,),)</f>
        <v>8596</v>
      </c>
      <c r="C159" s="12">
        <f t="shared" si="4"/>
        <v>3.385082292517801E-3</v>
      </c>
      <c r="D159" s="13">
        <f t="shared" si="5"/>
        <v>1.824212271973466E-2</v>
      </c>
    </row>
    <row r="160" spans="1:4" x14ac:dyDescent="0.35">
      <c r="A160" s="11">
        <v>38261</v>
      </c>
      <c r="B160" s="15">
        <f>VLOOKUP(A160,Database!A:Q,MATCH($A$1,Database!$A$1:$Q$1,),)</f>
        <v>8677</v>
      </c>
      <c r="C160" s="12">
        <f t="shared" si="4"/>
        <v>9.4229874360167512E-3</v>
      </c>
      <c r="D160" s="13">
        <f t="shared" si="5"/>
        <v>1.0010476079618205E-2</v>
      </c>
    </row>
    <row r="161" spans="1:4" x14ac:dyDescent="0.35">
      <c r="A161" s="10">
        <v>38292</v>
      </c>
      <c r="B161" s="15">
        <f>VLOOKUP(A161,Database!A:Q,MATCH($A$1,Database!$A$1:$Q$1,),)</f>
        <v>8877</v>
      </c>
      <c r="C161" s="12">
        <f t="shared" si="4"/>
        <v>2.3049441051054512E-2</v>
      </c>
      <c r="D161" s="13">
        <f t="shared" si="5"/>
        <v>4.06799531066823E-2</v>
      </c>
    </row>
    <row r="162" spans="1:4" x14ac:dyDescent="0.35">
      <c r="A162" s="11">
        <v>38322</v>
      </c>
      <c r="B162" s="15">
        <f>VLOOKUP(A162,Database!A:Q,MATCH($A$1,Database!$A$1:$Q$1,),)</f>
        <v>8914</v>
      </c>
      <c r="C162" s="12">
        <f t="shared" si="4"/>
        <v>4.1680748000450605E-3</v>
      </c>
      <c r="D162" s="13">
        <f t="shared" si="5"/>
        <v>3.941231343283582E-2</v>
      </c>
    </row>
    <row r="163" spans="1:4" x14ac:dyDescent="0.35">
      <c r="A163" s="10">
        <v>38353</v>
      </c>
      <c r="B163" s="15">
        <f>VLOOKUP(A163,Database!A:Q,MATCH($A$1,Database!$A$1:$Q$1,),)</f>
        <v>8784</v>
      </c>
      <c r="C163" s="12">
        <f t="shared" si="4"/>
        <v>-1.4583800762844963E-2</v>
      </c>
      <c r="D163" s="13">
        <f t="shared" si="5"/>
        <v>1.3733410271206002E-2</v>
      </c>
    </row>
    <row r="164" spans="1:4" x14ac:dyDescent="0.35">
      <c r="A164" s="11">
        <v>38384</v>
      </c>
      <c r="B164" s="15">
        <f>VLOOKUP(A164,Database!A:Q,MATCH($A$1,Database!$A$1:$Q$1,),)</f>
        <v>8949</v>
      </c>
      <c r="C164" s="12">
        <f t="shared" si="4"/>
        <v>1.8784153005464481E-2</v>
      </c>
      <c r="D164" s="13">
        <f t="shared" si="5"/>
        <v>5.5182171913689425E-2</v>
      </c>
    </row>
    <row r="165" spans="1:4" x14ac:dyDescent="0.35">
      <c r="A165" s="10">
        <v>38412</v>
      </c>
      <c r="B165" s="15">
        <f>VLOOKUP(A165,Database!A:Q,MATCH($A$1,Database!$A$1:$Q$1,),)</f>
        <v>8890</v>
      </c>
      <c r="C165" s="12">
        <f t="shared" si="4"/>
        <v>-6.5929154095429659E-3</v>
      </c>
      <c r="D165" s="13">
        <f t="shared" si="5"/>
        <v>3.9522918615528528E-2</v>
      </c>
    </row>
    <row r="166" spans="1:4" x14ac:dyDescent="0.35">
      <c r="A166" s="11">
        <v>38443</v>
      </c>
      <c r="B166" s="15">
        <f>VLOOKUP(A166,Database!A:Q,MATCH($A$1,Database!$A$1:$Q$1,),)</f>
        <v>8839</v>
      </c>
      <c r="C166" s="12">
        <f t="shared" si="4"/>
        <v>-5.7367829021372331E-3</v>
      </c>
      <c r="D166" s="13">
        <f t="shared" si="5"/>
        <v>1.7731721358664364E-2</v>
      </c>
    </row>
    <row r="167" spans="1:4" x14ac:dyDescent="0.35">
      <c r="A167" s="10">
        <v>38473</v>
      </c>
      <c r="B167" s="15">
        <f>VLOOKUP(A167,Database!A:Q,MATCH($A$1,Database!$A$1:$Q$1,),)</f>
        <v>8932</v>
      </c>
      <c r="C167" s="12">
        <f t="shared" si="4"/>
        <v>1.0521552211788665E-2</v>
      </c>
      <c r="D167" s="13">
        <f t="shared" si="5"/>
        <v>7.1033938437253356E-3</v>
      </c>
    </row>
    <row r="168" spans="1:4" x14ac:dyDescent="0.35">
      <c r="A168" s="11">
        <v>38504</v>
      </c>
      <c r="B168" s="15">
        <f>VLOOKUP(A168,Database!A:Q,MATCH($A$1,Database!$A$1:$Q$1,),)</f>
        <v>8879</v>
      </c>
      <c r="C168" s="12">
        <f t="shared" si="4"/>
        <v>-5.9337214509628299E-3</v>
      </c>
      <c r="D168" s="13">
        <f t="shared" si="5"/>
        <v>5.1266871892019894E-2</v>
      </c>
    </row>
    <row r="169" spans="1:4" x14ac:dyDescent="0.35">
      <c r="A169" s="10">
        <v>38534</v>
      </c>
      <c r="B169" s="15">
        <f>VLOOKUP(A169,Database!A:Q,MATCH($A$1,Database!$A$1:$Q$1,),)</f>
        <v>8927</v>
      </c>
      <c r="C169" s="12">
        <f t="shared" si="4"/>
        <v>5.4060141907872512E-3</v>
      </c>
      <c r="D169" s="13">
        <f t="shared" si="5"/>
        <v>4.3605330839373395E-2</v>
      </c>
    </row>
    <row r="170" spans="1:4" x14ac:dyDescent="0.35">
      <c r="A170" s="11">
        <v>38565</v>
      </c>
      <c r="B170" s="15">
        <f>VLOOKUP(A170,Database!A:Q,MATCH($A$1,Database!$A$1:$Q$1,),)</f>
        <v>8881</v>
      </c>
      <c r="C170" s="12">
        <f t="shared" si="4"/>
        <v>-5.1529069116164443E-3</v>
      </c>
      <c r="D170" s="13">
        <f t="shared" si="5"/>
        <v>3.6652270339675497E-2</v>
      </c>
    </row>
    <row r="171" spans="1:4" x14ac:dyDescent="0.35">
      <c r="A171" s="10">
        <v>38596</v>
      </c>
      <c r="B171" s="15">
        <f>VLOOKUP(A171,Database!A:Q,MATCH($A$1,Database!$A$1:$Q$1,),)</f>
        <v>9010</v>
      </c>
      <c r="C171" s="12">
        <f t="shared" si="4"/>
        <v>1.4525391284765229E-2</v>
      </c>
      <c r="D171" s="13">
        <f t="shared" si="5"/>
        <v>4.8161935784085619E-2</v>
      </c>
    </row>
    <row r="172" spans="1:4" x14ac:dyDescent="0.35">
      <c r="A172" s="11">
        <v>38626</v>
      </c>
      <c r="B172" s="15">
        <f>VLOOKUP(A172,Database!A:Q,MATCH($A$1,Database!$A$1:$Q$1,),)</f>
        <v>9086</v>
      </c>
      <c r="C172" s="12">
        <f t="shared" si="4"/>
        <v>8.4350721420643725E-3</v>
      </c>
      <c r="D172" s="13">
        <f t="shared" si="5"/>
        <v>4.7136106949406474E-2</v>
      </c>
    </row>
    <row r="173" spans="1:4" x14ac:dyDescent="0.35">
      <c r="A173" s="10">
        <v>38657</v>
      </c>
      <c r="B173" s="15">
        <f>VLOOKUP(A173,Database!A:Q,MATCH($A$1,Database!$A$1:$Q$1,),)</f>
        <v>9151</v>
      </c>
      <c r="C173" s="12">
        <f t="shared" si="4"/>
        <v>7.1538630860664759E-3</v>
      </c>
      <c r="D173" s="13">
        <f t="shared" si="5"/>
        <v>3.0866283654387743E-2</v>
      </c>
    </row>
    <row r="174" spans="1:4" x14ac:dyDescent="0.35">
      <c r="A174" s="11">
        <v>38687</v>
      </c>
      <c r="B174" s="15">
        <f>VLOOKUP(A174,Database!A:Q,MATCH($A$1,Database!$A$1:$Q$1,),)</f>
        <v>9044</v>
      </c>
      <c r="C174" s="12">
        <f t="shared" si="4"/>
        <v>-1.1692711179106108E-2</v>
      </c>
      <c r="D174" s="13">
        <f t="shared" si="5"/>
        <v>1.4583800762844963E-2</v>
      </c>
    </row>
    <row r="175" spans="1:4" x14ac:dyDescent="0.35">
      <c r="A175" s="10">
        <v>38718</v>
      </c>
      <c r="B175" s="15">
        <f>VLOOKUP(A175,Database!A:Q,MATCH($A$1,Database!$A$1:$Q$1,),)</f>
        <v>9620</v>
      </c>
      <c r="C175" s="12">
        <f t="shared" si="4"/>
        <v>6.3688633348076076E-2</v>
      </c>
      <c r="D175" s="13">
        <f t="shared" si="5"/>
        <v>9.5173041894353369E-2</v>
      </c>
    </row>
    <row r="176" spans="1:4" x14ac:dyDescent="0.35">
      <c r="A176" s="11">
        <v>38749</v>
      </c>
      <c r="B176" s="15">
        <f>VLOOKUP(A176,Database!A:Q,MATCH($A$1,Database!$A$1:$Q$1,),)</f>
        <v>9512</v>
      </c>
      <c r="C176" s="12">
        <f t="shared" si="4"/>
        <v>-1.1226611226611227E-2</v>
      </c>
      <c r="D176" s="13">
        <f t="shared" si="5"/>
        <v>6.2912057213096437E-2</v>
      </c>
    </row>
    <row r="177" spans="1:4" x14ac:dyDescent="0.35">
      <c r="A177" s="10">
        <v>38777</v>
      </c>
      <c r="B177" s="15">
        <f>VLOOKUP(A177,Database!A:Q,MATCH($A$1,Database!$A$1:$Q$1,),)</f>
        <v>9398</v>
      </c>
      <c r="C177" s="12">
        <f t="shared" si="4"/>
        <v>-1.1984861227922625E-2</v>
      </c>
      <c r="D177" s="13">
        <f t="shared" si="5"/>
        <v>5.7142857142857141E-2</v>
      </c>
    </row>
    <row r="178" spans="1:4" x14ac:dyDescent="0.35">
      <c r="A178" s="11">
        <v>38808</v>
      </c>
      <c r="B178" s="15">
        <f>VLOOKUP(A178,Database!A:Q,MATCH($A$1,Database!$A$1:$Q$1,),)</f>
        <v>9507</v>
      </c>
      <c r="C178" s="12">
        <f t="shared" si="4"/>
        <v>1.1598212385613961E-2</v>
      </c>
      <c r="D178" s="13">
        <f t="shared" si="5"/>
        <v>7.557415997284761E-2</v>
      </c>
    </row>
    <row r="179" spans="1:4" x14ac:dyDescent="0.35">
      <c r="A179" s="10">
        <v>38838</v>
      </c>
      <c r="B179" s="15">
        <f>VLOOKUP(A179,Database!A:Q,MATCH($A$1,Database!$A$1:$Q$1,),)</f>
        <v>9475</v>
      </c>
      <c r="C179" s="12">
        <f t="shared" si="4"/>
        <v>-3.3659408856631956E-3</v>
      </c>
      <c r="D179" s="13">
        <f t="shared" si="5"/>
        <v>6.0792655620241824E-2</v>
      </c>
    </row>
    <row r="180" spans="1:4" x14ac:dyDescent="0.35">
      <c r="A180" s="11">
        <v>38869</v>
      </c>
      <c r="B180" s="15">
        <f>VLOOKUP(A180,Database!A:Q,MATCH($A$1,Database!$A$1:$Q$1,),)</f>
        <v>9324</v>
      </c>
      <c r="C180" s="12">
        <f t="shared" si="4"/>
        <v>-1.5936675461741424E-2</v>
      </c>
      <c r="D180" s="13">
        <f t="shared" si="5"/>
        <v>5.0118256560423471E-2</v>
      </c>
    </row>
    <row r="181" spans="1:4" x14ac:dyDescent="0.35">
      <c r="A181" s="10">
        <v>38899</v>
      </c>
      <c r="B181" s="15">
        <f>VLOOKUP(A181,Database!A:Q,MATCH($A$1,Database!$A$1:$Q$1,),)</f>
        <v>9287</v>
      </c>
      <c r="C181" s="12">
        <f t="shared" si="4"/>
        <v>-3.968253968253968E-3</v>
      </c>
      <c r="D181" s="13">
        <f t="shared" si="5"/>
        <v>4.0327097569172174E-2</v>
      </c>
    </row>
    <row r="182" spans="1:4" x14ac:dyDescent="0.35">
      <c r="A182" s="11">
        <v>38930</v>
      </c>
      <c r="B182" s="15">
        <f>VLOOKUP(A182,Database!A:Q,MATCH($A$1,Database!$A$1:$Q$1,),)</f>
        <v>9305</v>
      </c>
      <c r="C182" s="12">
        <f t="shared" si="4"/>
        <v>1.9381931732529343E-3</v>
      </c>
      <c r="D182" s="13">
        <f t="shared" si="5"/>
        <v>4.7742371354577186E-2</v>
      </c>
    </row>
    <row r="183" spans="1:4" x14ac:dyDescent="0.35">
      <c r="A183" s="10">
        <v>38961</v>
      </c>
      <c r="B183" s="15">
        <f>VLOOKUP(A183,Database!A:Q,MATCH($A$1,Database!$A$1:$Q$1,),)</f>
        <v>9378</v>
      </c>
      <c r="C183" s="12">
        <f t="shared" si="4"/>
        <v>7.8452444922084905E-3</v>
      </c>
      <c r="D183" s="13">
        <f t="shared" si="5"/>
        <v>4.0843507214206438E-2</v>
      </c>
    </row>
    <row r="184" spans="1:4" x14ac:dyDescent="0.35">
      <c r="A184" s="11">
        <v>38991</v>
      </c>
      <c r="B184" s="15">
        <f>VLOOKUP(A184,Database!A:Q,MATCH($A$1,Database!$A$1:$Q$1,),)</f>
        <v>9501</v>
      </c>
      <c r="C184" s="12">
        <f t="shared" si="4"/>
        <v>1.3115802943058221E-2</v>
      </c>
      <c r="D184" s="13">
        <f t="shared" si="5"/>
        <v>4.5674664318732114E-2</v>
      </c>
    </row>
    <row r="185" spans="1:4" x14ac:dyDescent="0.35">
      <c r="A185" s="10">
        <v>39022</v>
      </c>
      <c r="B185" s="15">
        <f>VLOOKUP(A185,Database!A:Q,MATCH($A$1,Database!$A$1:$Q$1,),)</f>
        <v>9563</v>
      </c>
      <c r="C185" s="12">
        <f t="shared" si="4"/>
        <v>6.5256288811704035E-3</v>
      </c>
      <c r="D185" s="13">
        <f t="shared" si="5"/>
        <v>4.5022401923287075E-2</v>
      </c>
    </row>
    <row r="186" spans="1:4" x14ac:dyDescent="0.35">
      <c r="A186" s="11">
        <v>39052</v>
      </c>
      <c r="B186" s="15">
        <f>VLOOKUP(A186,Database!A:Q,MATCH($A$1,Database!$A$1:$Q$1,),)</f>
        <v>9876</v>
      </c>
      <c r="C186" s="12">
        <f t="shared" si="4"/>
        <v>3.2730314754784065E-2</v>
      </c>
      <c r="D186" s="13">
        <f t="shared" si="5"/>
        <v>9.1994692613887666E-2</v>
      </c>
    </row>
    <row r="187" spans="1:4" x14ac:dyDescent="0.35">
      <c r="A187" s="10">
        <v>39083</v>
      </c>
      <c r="B187" s="15">
        <f>VLOOKUP(A187,Database!A:Q,MATCH($A$1,Database!$A$1:$Q$1,),)</f>
        <v>9629</v>
      </c>
      <c r="C187" s="12">
        <f t="shared" si="4"/>
        <v>-2.501012555690563E-2</v>
      </c>
      <c r="D187" s="13">
        <f t="shared" si="5"/>
        <v>9.355509355509356E-4</v>
      </c>
    </row>
    <row r="188" spans="1:4" x14ac:dyDescent="0.35">
      <c r="A188" s="11">
        <v>39114</v>
      </c>
      <c r="B188" s="15">
        <f>VLOOKUP(A188,Database!A:Q,MATCH($A$1,Database!$A$1:$Q$1,),)</f>
        <v>9489</v>
      </c>
      <c r="C188" s="12">
        <f t="shared" si="4"/>
        <v>-1.4539412192335652E-2</v>
      </c>
      <c r="D188" s="13">
        <f t="shared" si="5"/>
        <v>-2.4179983179142138E-3</v>
      </c>
    </row>
    <row r="189" spans="1:4" x14ac:dyDescent="0.35">
      <c r="A189" s="10">
        <v>39142</v>
      </c>
      <c r="B189" s="15">
        <f>VLOOKUP(A189,Database!A:Q,MATCH($A$1,Database!$A$1:$Q$1,),)</f>
        <v>9771</v>
      </c>
      <c r="C189" s="12">
        <f t="shared" si="4"/>
        <v>2.9718621561808409E-2</v>
      </c>
      <c r="D189" s="13">
        <f t="shared" si="5"/>
        <v>3.9689295594807404E-2</v>
      </c>
    </row>
    <row r="190" spans="1:4" x14ac:dyDescent="0.35">
      <c r="A190" s="11">
        <v>39173</v>
      </c>
      <c r="B190" s="15">
        <f>VLOOKUP(A190,Database!A:Q,MATCH($A$1,Database!$A$1:$Q$1,),)</f>
        <v>9586</v>
      </c>
      <c r="C190" s="12">
        <f t="shared" si="4"/>
        <v>-1.8933578958141437E-2</v>
      </c>
      <c r="D190" s="13">
        <f t="shared" si="5"/>
        <v>8.3096665614810147E-3</v>
      </c>
    </row>
    <row r="191" spans="1:4" x14ac:dyDescent="0.35">
      <c r="A191" s="10">
        <v>39203</v>
      </c>
      <c r="B191" s="15">
        <f>VLOOKUP(A191,Database!A:Q,MATCH($A$1,Database!$A$1:$Q$1,),)</f>
        <v>9843</v>
      </c>
      <c r="C191" s="12">
        <f t="shared" si="4"/>
        <v>2.6809931149593156E-2</v>
      </c>
      <c r="D191" s="13">
        <f t="shared" si="5"/>
        <v>3.8839050131926123E-2</v>
      </c>
    </row>
    <row r="192" spans="1:4" x14ac:dyDescent="0.35">
      <c r="A192" s="11">
        <v>39234</v>
      </c>
      <c r="B192" s="15">
        <f>VLOOKUP(A192,Database!A:Q,MATCH($A$1,Database!$A$1:$Q$1,),)</f>
        <v>9988</v>
      </c>
      <c r="C192" s="12">
        <f t="shared" si="4"/>
        <v>1.4731281113481662E-2</v>
      </c>
      <c r="D192" s="13">
        <f t="shared" si="5"/>
        <v>7.1214071214071209E-2</v>
      </c>
    </row>
    <row r="193" spans="1:4" x14ac:dyDescent="0.35">
      <c r="A193" s="10">
        <v>39264</v>
      </c>
      <c r="B193" s="15">
        <f>VLOOKUP(A193,Database!A:Q,MATCH($A$1,Database!$A$1:$Q$1,),)</f>
        <v>9759</v>
      </c>
      <c r="C193" s="12">
        <f t="shared" si="4"/>
        <v>-2.2927513015618742E-2</v>
      </c>
      <c r="D193" s="13">
        <f t="shared" si="5"/>
        <v>5.0823732098632494E-2</v>
      </c>
    </row>
    <row r="194" spans="1:4" x14ac:dyDescent="0.35">
      <c r="A194" s="11">
        <v>39295</v>
      </c>
      <c r="B194" s="15">
        <f>VLOOKUP(A194,Database!A:Q,MATCH($A$1,Database!$A$1:$Q$1,),)</f>
        <v>9740</v>
      </c>
      <c r="C194" s="12">
        <f t="shared" si="4"/>
        <v>-1.9469207910646582E-3</v>
      </c>
      <c r="D194" s="13">
        <f t="shared" si="5"/>
        <v>4.6749059645351962E-2</v>
      </c>
    </row>
    <row r="195" spans="1:4" x14ac:dyDescent="0.35">
      <c r="A195" s="10">
        <v>39326</v>
      </c>
      <c r="B195" s="15">
        <f>VLOOKUP(A195,Database!A:Q,MATCH($A$1,Database!$A$1:$Q$1,),)</f>
        <v>9783</v>
      </c>
      <c r="C195" s="12">
        <f t="shared" si="4"/>
        <v>4.414784394250513E-3</v>
      </c>
      <c r="D195" s="13">
        <f t="shared" si="5"/>
        <v>4.3186180422264873E-2</v>
      </c>
    </row>
    <row r="196" spans="1:4" x14ac:dyDescent="0.35">
      <c r="A196" s="11">
        <v>39356</v>
      </c>
      <c r="B196" s="15">
        <f>VLOOKUP(A196,Database!A:Q,MATCH($A$1,Database!$A$1:$Q$1,),)</f>
        <v>9620</v>
      </c>
      <c r="C196" s="12">
        <f t="shared" si="4"/>
        <v>-1.6661555759991821E-2</v>
      </c>
      <c r="D196" s="13">
        <f t="shared" si="5"/>
        <v>1.2524997368698032E-2</v>
      </c>
    </row>
    <row r="197" spans="1:4" x14ac:dyDescent="0.35">
      <c r="A197" s="10">
        <v>39387</v>
      </c>
      <c r="B197" s="15">
        <f>VLOOKUP(A197,Database!A:Q,MATCH($A$1,Database!$A$1:$Q$1,),)</f>
        <v>9632</v>
      </c>
      <c r="C197" s="12">
        <f t="shared" si="4"/>
        <v>1.2474012474012475E-3</v>
      </c>
      <c r="D197" s="13">
        <f t="shared" si="5"/>
        <v>7.2153090034508E-3</v>
      </c>
    </row>
    <row r="198" spans="1:4" x14ac:dyDescent="0.35">
      <c r="A198" s="11">
        <v>39417</v>
      </c>
      <c r="B198" s="15">
        <f>VLOOKUP(A198,Database!A:Q,MATCH($A$1,Database!$A$1:$Q$1,),)</f>
        <v>9688</v>
      </c>
      <c r="C198" s="12">
        <f t="shared" si="4"/>
        <v>5.8139534883720929E-3</v>
      </c>
      <c r="D198" s="13">
        <f t="shared" si="5"/>
        <v>-1.9036046982584043E-2</v>
      </c>
    </row>
    <row r="199" spans="1:4" x14ac:dyDescent="0.35">
      <c r="A199" s="10">
        <v>39448</v>
      </c>
      <c r="B199" s="15">
        <f>VLOOKUP(A199,Database!A:Q,MATCH($A$1,Database!$A$1:$Q$1,),)</f>
        <v>10074</v>
      </c>
      <c r="C199" s="12">
        <f t="shared" si="4"/>
        <v>3.9843104872006603E-2</v>
      </c>
      <c r="D199" s="13">
        <f t="shared" si="5"/>
        <v>4.6214560182781181E-2</v>
      </c>
    </row>
    <row r="200" spans="1:4" x14ac:dyDescent="0.35">
      <c r="A200" s="11">
        <v>39479</v>
      </c>
      <c r="B200" s="15">
        <f>VLOOKUP(A200,Database!A:Q,MATCH($A$1,Database!$A$1:$Q$1,),)</f>
        <v>9380</v>
      </c>
      <c r="C200" s="12">
        <f t="shared" ref="C200:C263" si="6">(B200-B199)/B199</f>
        <v>-6.889021242803256E-2</v>
      </c>
      <c r="D200" s="13">
        <f t="shared" si="5"/>
        <v>-1.1486984929918854E-2</v>
      </c>
    </row>
    <row r="201" spans="1:4" x14ac:dyDescent="0.35">
      <c r="A201" s="10">
        <v>39508</v>
      </c>
      <c r="B201" s="15">
        <f>VLOOKUP(A201,Database!A:Q,MATCH($A$1,Database!$A$1:$Q$1,),)</f>
        <v>9355</v>
      </c>
      <c r="C201" s="12">
        <f t="shared" si="6"/>
        <v>-2.6652452025586353E-3</v>
      </c>
      <c r="D201" s="13">
        <f t="shared" si="5"/>
        <v>-4.2574966738307234E-2</v>
      </c>
    </row>
    <row r="202" spans="1:4" x14ac:dyDescent="0.35">
      <c r="A202" s="11">
        <v>39539</v>
      </c>
      <c r="B202" s="15">
        <f>VLOOKUP(A202,Database!A:Q,MATCH($A$1,Database!$A$1:$Q$1,),)</f>
        <v>9277</v>
      </c>
      <c r="C202" s="12">
        <f t="shared" si="6"/>
        <v>-8.3377872795296626E-3</v>
      </c>
      <c r="D202" s="13">
        <f t="shared" si="5"/>
        <v>-3.2234508658460254E-2</v>
      </c>
    </row>
    <row r="203" spans="1:4" x14ac:dyDescent="0.35">
      <c r="A203" s="10">
        <v>39569</v>
      </c>
      <c r="B203" s="15">
        <f>VLOOKUP(A203,Database!A:Q,MATCH($A$1,Database!$A$1:$Q$1,),)</f>
        <v>9310</v>
      </c>
      <c r="C203" s="12">
        <f t="shared" si="6"/>
        <v>3.557184434623262E-3</v>
      </c>
      <c r="D203" s="13">
        <f t="shared" si="5"/>
        <v>-5.4150157472315351E-2</v>
      </c>
    </row>
    <row r="204" spans="1:4" x14ac:dyDescent="0.35">
      <c r="A204" s="11">
        <v>39600</v>
      </c>
      <c r="B204" s="15">
        <f>VLOOKUP(A204,Database!A:Q,MATCH($A$1,Database!$A$1:$Q$1,),)</f>
        <v>9308</v>
      </c>
      <c r="C204" s="12">
        <f t="shared" si="6"/>
        <v>-2.1482277121374866E-4</v>
      </c>
      <c r="D204" s="13">
        <f t="shared" si="5"/>
        <v>-6.8081698037645175E-2</v>
      </c>
    </row>
    <row r="205" spans="1:4" x14ac:dyDescent="0.35">
      <c r="A205" s="10">
        <v>39630</v>
      </c>
      <c r="B205" s="15">
        <f>VLOOKUP(A205,Database!A:Q,MATCH($A$1,Database!$A$1:$Q$1,),)</f>
        <v>9583</v>
      </c>
      <c r="C205" s="12">
        <f t="shared" si="6"/>
        <v>2.9544477868500216E-2</v>
      </c>
      <c r="D205" s="13">
        <f t="shared" si="5"/>
        <v>-1.8034634696177887E-2</v>
      </c>
    </row>
    <row r="206" spans="1:4" x14ac:dyDescent="0.35">
      <c r="A206" s="11">
        <v>39661</v>
      </c>
      <c r="B206" s="15">
        <f>VLOOKUP(A206,Database!A:Q,MATCH($A$1,Database!$A$1:$Q$1,),)</f>
        <v>9163</v>
      </c>
      <c r="C206" s="12">
        <f t="shared" si="6"/>
        <v>-4.3827611395178961E-2</v>
      </c>
      <c r="D206" s="13">
        <f t="shared" si="5"/>
        <v>-5.9240246406570843E-2</v>
      </c>
    </row>
    <row r="207" spans="1:4" x14ac:dyDescent="0.35">
      <c r="A207" s="10">
        <v>39692</v>
      </c>
      <c r="B207" s="15">
        <f>VLOOKUP(A207,Database!A:Q,MATCH($A$1,Database!$A$1:$Q$1,),)</f>
        <v>9080</v>
      </c>
      <c r="C207" s="12">
        <f t="shared" si="6"/>
        <v>-9.0581687220342676E-3</v>
      </c>
      <c r="D207" s="13">
        <f t="shared" si="5"/>
        <v>-7.1859347848308289E-2</v>
      </c>
    </row>
    <row r="208" spans="1:4" x14ac:dyDescent="0.35">
      <c r="A208" s="11">
        <v>39722</v>
      </c>
      <c r="B208" s="15">
        <f>VLOOKUP(A208,Database!A:Q,MATCH($A$1,Database!$A$1:$Q$1,),)</f>
        <v>8914</v>
      </c>
      <c r="C208" s="12">
        <f t="shared" si="6"/>
        <v>-1.828193832599119E-2</v>
      </c>
      <c r="D208" s="13">
        <f t="shared" si="5"/>
        <v>-7.3388773388773393E-2</v>
      </c>
    </row>
    <row r="209" spans="1:4" x14ac:dyDescent="0.35">
      <c r="A209" s="10">
        <v>39753</v>
      </c>
      <c r="B209" s="15">
        <f>VLOOKUP(A209,Database!A:Q,MATCH($A$1,Database!$A$1:$Q$1,),)</f>
        <v>8630</v>
      </c>
      <c r="C209" s="12">
        <f t="shared" si="6"/>
        <v>-3.1859995512676688E-2</v>
      </c>
      <c r="D209" s="13">
        <f t="shared" si="5"/>
        <v>-0.1040282392026578</v>
      </c>
    </row>
    <row r="210" spans="1:4" x14ac:dyDescent="0.35">
      <c r="A210" s="11">
        <v>39783</v>
      </c>
      <c r="B210" s="15">
        <f>VLOOKUP(A210,Database!A:Q,MATCH($A$1,Database!$A$1:$Q$1,),)</f>
        <v>8564</v>
      </c>
      <c r="C210" s="12">
        <f t="shared" si="6"/>
        <v>-7.6477404403244497E-3</v>
      </c>
      <c r="D210" s="13">
        <f t="shared" si="5"/>
        <v>-0.11601981833195706</v>
      </c>
    </row>
    <row r="211" spans="1:4" x14ac:dyDescent="0.35">
      <c r="A211" s="10">
        <v>39814</v>
      </c>
      <c r="B211" s="15">
        <f>VLOOKUP(A211,Database!A:Q,MATCH($A$1,Database!$A$1:$Q$1,),)</f>
        <v>8511</v>
      </c>
      <c r="C211" s="12">
        <f t="shared" si="6"/>
        <v>-6.1886968706212049E-3</v>
      </c>
      <c r="D211" s="13">
        <f t="shared" ref="D211:D274" si="7">(B211-B199)/B199</f>
        <v>-0.15515187611673614</v>
      </c>
    </row>
    <row r="212" spans="1:4" x14ac:dyDescent="0.35">
      <c r="A212" s="11">
        <v>39845</v>
      </c>
      <c r="B212" s="15">
        <f>VLOOKUP(A212,Database!A:Q,MATCH($A$1,Database!$A$1:$Q$1,),)</f>
        <v>8746</v>
      </c>
      <c r="C212" s="12">
        <f t="shared" si="6"/>
        <v>2.7611326518622959E-2</v>
      </c>
      <c r="D212" s="13">
        <f t="shared" si="7"/>
        <v>-6.7590618336886996E-2</v>
      </c>
    </row>
    <row r="213" spans="1:4" x14ac:dyDescent="0.35">
      <c r="A213" s="10">
        <v>39873</v>
      </c>
      <c r="B213" s="15">
        <f>VLOOKUP(A213,Database!A:Q,MATCH($A$1,Database!$A$1:$Q$1,),)</f>
        <v>8615</v>
      </c>
      <c r="C213" s="12">
        <f t="shared" si="6"/>
        <v>-1.4978275783215185E-2</v>
      </c>
      <c r="D213" s="13">
        <f t="shared" si="7"/>
        <v>-7.9102084446819876E-2</v>
      </c>
    </row>
    <row r="214" spans="1:4" x14ac:dyDescent="0.35">
      <c r="A214" s="11">
        <v>39904</v>
      </c>
      <c r="B214" s="15">
        <f>VLOOKUP(A214,Database!A:Q,MATCH($A$1,Database!$A$1:$Q$1,),)</f>
        <v>8677</v>
      </c>
      <c r="C214" s="12">
        <f t="shared" si="6"/>
        <v>7.1967498549042365E-3</v>
      </c>
      <c r="D214" s="13">
        <f t="shared" si="7"/>
        <v>-6.4676080629513855E-2</v>
      </c>
    </row>
    <row r="215" spans="1:4" x14ac:dyDescent="0.35">
      <c r="A215" s="10">
        <v>39934</v>
      </c>
      <c r="B215" s="15">
        <f>VLOOKUP(A215,Database!A:Q,MATCH($A$1,Database!$A$1:$Q$1,),)</f>
        <v>8426</v>
      </c>
      <c r="C215" s="12">
        <f t="shared" si="6"/>
        <v>-2.8927048519073413E-2</v>
      </c>
      <c r="D215" s="13">
        <f t="shared" si="7"/>
        <v>-9.495166487647691E-2</v>
      </c>
    </row>
    <row r="216" spans="1:4" x14ac:dyDescent="0.35">
      <c r="A216" s="11">
        <v>39965</v>
      </c>
      <c r="B216" s="15">
        <f>VLOOKUP(A216,Database!A:Q,MATCH($A$1,Database!$A$1:$Q$1,),)</f>
        <v>8465</v>
      </c>
      <c r="C216" s="12">
        <f t="shared" si="6"/>
        <v>4.6285307381913124E-3</v>
      </c>
      <c r="D216" s="13">
        <f t="shared" si="7"/>
        <v>-9.0567253975075201E-2</v>
      </c>
    </row>
    <row r="217" spans="1:4" x14ac:dyDescent="0.35">
      <c r="A217" s="10">
        <v>39995</v>
      </c>
      <c r="B217" s="15">
        <f>VLOOKUP(A217,Database!A:Q,MATCH($A$1,Database!$A$1:$Q$1,),)</f>
        <v>8352</v>
      </c>
      <c r="C217" s="12">
        <f t="shared" si="6"/>
        <v>-1.3349084465445953E-2</v>
      </c>
      <c r="D217" s="13">
        <f t="shared" si="7"/>
        <v>-0.12845664197015549</v>
      </c>
    </row>
    <row r="218" spans="1:4" x14ac:dyDescent="0.35">
      <c r="A218" s="11">
        <v>40026</v>
      </c>
      <c r="B218" s="15">
        <f>VLOOKUP(A218,Database!A:Q,MATCH($A$1,Database!$A$1:$Q$1,),)</f>
        <v>8313</v>
      </c>
      <c r="C218" s="12">
        <f t="shared" si="6"/>
        <v>-4.6695402298850578E-3</v>
      </c>
      <c r="D218" s="13">
        <f t="shared" si="7"/>
        <v>-9.2764378478664186E-2</v>
      </c>
    </row>
    <row r="219" spans="1:4" x14ac:dyDescent="0.35">
      <c r="A219" s="10">
        <v>40057</v>
      </c>
      <c r="B219" s="15">
        <f>VLOOKUP(A219,Database!A:Q,MATCH($A$1,Database!$A$1:$Q$1,),)</f>
        <v>8385</v>
      </c>
      <c r="C219" s="12">
        <f t="shared" si="6"/>
        <v>8.6611331649224105E-3</v>
      </c>
      <c r="D219" s="13">
        <f t="shared" si="7"/>
        <v>-7.6541850220264315E-2</v>
      </c>
    </row>
    <row r="220" spans="1:4" x14ac:dyDescent="0.35">
      <c r="A220" s="11">
        <v>40087</v>
      </c>
      <c r="B220" s="15">
        <f>VLOOKUP(A220,Database!A:Q,MATCH($A$1,Database!$A$1:$Q$1,),)</f>
        <v>8360</v>
      </c>
      <c r="C220" s="12">
        <f t="shared" si="6"/>
        <v>-2.9815146094215863E-3</v>
      </c>
      <c r="D220" s="13">
        <f t="shared" si="7"/>
        <v>-6.2149427866277765E-2</v>
      </c>
    </row>
    <row r="221" spans="1:4" x14ac:dyDescent="0.35">
      <c r="A221" s="10">
        <v>40118</v>
      </c>
      <c r="B221" s="15">
        <f>VLOOKUP(A221,Database!A:Q,MATCH($A$1,Database!$A$1:$Q$1,),)</f>
        <v>8406</v>
      </c>
      <c r="C221" s="12">
        <f t="shared" si="6"/>
        <v>5.5023923444976076E-3</v>
      </c>
      <c r="D221" s="13">
        <f t="shared" si="7"/>
        <v>-2.5955967555040555E-2</v>
      </c>
    </row>
    <row r="222" spans="1:4" x14ac:dyDescent="0.35">
      <c r="A222" s="11">
        <v>40148</v>
      </c>
      <c r="B222" s="15">
        <f>VLOOKUP(A222,Database!A:Q,MATCH($A$1,Database!$A$1:$Q$1,),)</f>
        <v>8591</v>
      </c>
      <c r="C222" s="12">
        <f t="shared" si="6"/>
        <v>2.2008089459909588E-2</v>
      </c>
      <c r="D222" s="13">
        <f t="shared" si="7"/>
        <v>3.1527323680523118E-3</v>
      </c>
    </row>
    <row r="223" spans="1:4" x14ac:dyDescent="0.35">
      <c r="A223" s="10">
        <v>40179</v>
      </c>
      <c r="B223" s="15">
        <f>VLOOKUP(A223,Database!A:Q,MATCH($A$1,Database!$A$1:$Q$1,),)</f>
        <v>8363</v>
      </c>
      <c r="C223" s="12">
        <f t="shared" si="6"/>
        <v>-2.6539401699452916E-2</v>
      </c>
      <c r="D223" s="13">
        <f t="shared" si="7"/>
        <v>-1.7389260956409351E-2</v>
      </c>
    </row>
    <row r="224" spans="1:4" x14ac:dyDescent="0.35">
      <c r="A224" s="11">
        <v>40210</v>
      </c>
      <c r="B224" s="15">
        <f>VLOOKUP(A224,Database!A:Q,MATCH($A$1,Database!$A$1:$Q$1,),)</f>
        <v>8251</v>
      </c>
      <c r="C224" s="12">
        <f t="shared" si="6"/>
        <v>-1.3392323328948942E-2</v>
      </c>
      <c r="D224" s="13">
        <f t="shared" si="7"/>
        <v>-5.6597301623599362E-2</v>
      </c>
    </row>
    <row r="225" spans="1:4" x14ac:dyDescent="0.35">
      <c r="A225" s="10">
        <v>40238</v>
      </c>
      <c r="B225" s="15">
        <f>VLOOKUP(A225,Database!A:Q,MATCH($A$1,Database!$A$1:$Q$1,),)</f>
        <v>8705</v>
      </c>
      <c r="C225" s="12">
        <f t="shared" si="6"/>
        <v>5.5023633498969819E-2</v>
      </c>
      <c r="D225" s="13">
        <f t="shared" si="7"/>
        <v>1.0446894950667441E-2</v>
      </c>
    </row>
    <row r="226" spans="1:4" x14ac:dyDescent="0.35">
      <c r="A226" s="11">
        <v>40269</v>
      </c>
      <c r="B226" s="15">
        <f>VLOOKUP(A226,Database!A:Q,MATCH($A$1,Database!$A$1:$Q$1,),)</f>
        <v>8567</v>
      </c>
      <c r="C226" s="12">
        <f t="shared" si="6"/>
        <v>-1.5852958070074669E-2</v>
      </c>
      <c r="D226" s="13">
        <f t="shared" si="7"/>
        <v>-1.2677192578079982E-2</v>
      </c>
    </row>
    <row r="227" spans="1:4" x14ac:dyDescent="0.35">
      <c r="A227" s="10">
        <v>40299</v>
      </c>
      <c r="B227" s="15">
        <f>VLOOKUP(A227,Database!A:Q,MATCH($A$1,Database!$A$1:$Q$1,),)</f>
        <v>8632</v>
      </c>
      <c r="C227" s="12">
        <f t="shared" si="6"/>
        <v>7.5872534142640367E-3</v>
      </c>
      <c r="D227" s="13">
        <f t="shared" si="7"/>
        <v>2.4448136719677188E-2</v>
      </c>
    </row>
    <row r="228" spans="1:4" x14ac:dyDescent="0.35">
      <c r="A228" s="11">
        <v>40330</v>
      </c>
      <c r="B228" s="15">
        <f>VLOOKUP(A228,Database!A:Q,MATCH($A$1,Database!$A$1:$Q$1,),)</f>
        <v>8797</v>
      </c>
      <c r="C228" s="12">
        <f t="shared" si="6"/>
        <v>1.911492122335496E-2</v>
      </c>
      <c r="D228" s="13">
        <f t="shared" si="7"/>
        <v>3.9220318960425278E-2</v>
      </c>
    </row>
    <row r="229" spans="1:4" x14ac:dyDescent="0.35">
      <c r="A229" s="10">
        <v>40360</v>
      </c>
      <c r="B229" s="15">
        <f>VLOOKUP(A229,Database!A:Q,MATCH($A$1,Database!$A$1:$Q$1,),)</f>
        <v>8613</v>
      </c>
      <c r="C229" s="12">
        <f t="shared" si="6"/>
        <v>-2.0916221439126977E-2</v>
      </c>
      <c r="D229" s="13">
        <f t="shared" si="7"/>
        <v>3.125E-2</v>
      </c>
    </row>
    <row r="230" spans="1:4" x14ac:dyDescent="0.35">
      <c r="A230" s="11">
        <v>40391</v>
      </c>
      <c r="B230" s="15">
        <f>VLOOKUP(A230,Database!A:Q,MATCH($A$1,Database!$A$1:$Q$1,),)</f>
        <v>8649</v>
      </c>
      <c r="C230" s="12">
        <f t="shared" si="6"/>
        <v>4.1797283176593526E-3</v>
      </c>
      <c r="D230" s="13">
        <f t="shared" si="7"/>
        <v>4.0418621436304585E-2</v>
      </c>
    </row>
    <row r="231" spans="1:4" x14ac:dyDescent="0.35">
      <c r="A231" s="10">
        <v>40422</v>
      </c>
      <c r="B231" s="15">
        <f>VLOOKUP(A231,Database!A:Q,MATCH($A$1,Database!$A$1:$Q$1,),)</f>
        <v>8766</v>
      </c>
      <c r="C231" s="12">
        <f t="shared" si="6"/>
        <v>1.3527575442247659E-2</v>
      </c>
      <c r="D231" s="13">
        <f t="shared" si="7"/>
        <v>4.5438282647584975E-2</v>
      </c>
    </row>
    <row r="232" spans="1:4" x14ac:dyDescent="0.35">
      <c r="A232" s="11">
        <v>40452</v>
      </c>
      <c r="B232" s="15">
        <f>VLOOKUP(A232,Database!A:Q,MATCH($A$1,Database!$A$1:$Q$1,),)</f>
        <v>8924</v>
      </c>
      <c r="C232" s="12">
        <f t="shared" si="6"/>
        <v>1.8024184348619667E-2</v>
      </c>
      <c r="D232" s="13">
        <f t="shared" si="7"/>
        <v>6.7464114832535879E-2</v>
      </c>
    </row>
    <row r="233" spans="1:4" x14ac:dyDescent="0.35">
      <c r="A233" s="10">
        <v>40483</v>
      </c>
      <c r="B233" s="15">
        <f>VLOOKUP(A233,Database!A:Q,MATCH($A$1,Database!$A$1:$Q$1,),)</f>
        <v>8902</v>
      </c>
      <c r="C233" s="12">
        <f t="shared" si="6"/>
        <v>-2.4652622142536979E-3</v>
      </c>
      <c r="D233" s="13">
        <f t="shared" si="7"/>
        <v>5.9005472281703546E-2</v>
      </c>
    </row>
    <row r="234" spans="1:4" x14ac:dyDescent="0.35">
      <c r="A234" s="11">
        <v>40513</v>
      </c>
      <c r="B234" s="15">
        <f>VLOOKUP(A234,Database!A:Q,MATCH($A$1,Database!$A$1:$Q$1,),)</f>
        <v>8878</v>
      </c>
      <c r="C234" s="12">
        <f t="shared" si="6"/>
        <v>-2.6960233655358348E-3</v>
      </c>
      <c r="D234" s="13">
        <f t="shared" si="7"/>
        <v>3.3407053893609588E-2</v>
      </c>
    </row>
    <row r="235" spans="1:4" x14ac:dyDescent="0.35">
      <c r="A235" s="10">
        <v>40544</v>
      </c>
      <c r="B235" s="15">
        <f>VLOOKUP(A235,Database!A:Q,MATCH($A$1,Database!$A$1:$Q$1,),)</f>
        <v>8828</v>
      </c>
      <c r="C235" s="12">
        <f t="shared" si="6"/>
        <v>-5.6318990763685513E-3</v>
      </c>
      <c r="D235" s="13">
        <f t="shared" si="7"/>
        <v>5.5602056678225514E-2</v>
      </c>
    </row>
    <row r="236" spans="1:4" x14ac:dyDescent="0.35">
      <c r="A236" s="11">
        <v>40575</v>
      </c>
      <c r="B236" s="15">
        <f>VLOOKUP(A236,Database!A:Q,MATCH($A$1,Database!$A$1:$Q$1,),)</f>
        <v>9116</v>
      </c>
      <c r="C236" s="12">
        <f t="shared" si="6"/>
        <v>3.2623470774807428E-2</v>
      </c>
      <c r="D236" s="13">
        <f t="shared" si="7"/>
        <v>0.10483577748151739</v>
      </c>
    </row>
    <row r="237" spans="1:4" x14ac:dyDescent="0.35">
      <c r="A237" s="10">
        <v>40603</v>
      </c>
      <c r="B237" s="15">
        <f>VLOOKUP(A237,Database!A:Q,MATCH($A$1,Database!$A$1:$Q$1,),)</f>
        <v>8842</v>
      </c>
      <c r="C237" s="12">
        <f t="shared" si="6"/>
        <v>-3.0057042562527423E-2</v>
      </c>
      <c r="D237" s="13">
        <f t="shared" si="7"/>
        <v>1.5738081562320507E-2</v>
      </c>
    </row>
    <row r="238" spans="1:4" x14ac:dyDescent="0.35">
      <c r="A238" s="11">
        <v>40634</v>
      </c>
      <c r="B238" s="15">
        <f>VLOOKUP(A238,Database!A:Q,MATCH($A$1,Database!$A$1:$Q$1,),)</f>
        <v>9053</v>
      </c>
      <c r="C238" s="12">
        <f t="shared" si="6"/>
        <v>2.3863379325944355E-2</v>
      </c>
      <c r="D238" s="13">
        <f t="shared" si="7"/>
        <v>5.6729310143574178E-2</v>
      </c>
    </row>
    <row r="239" spans="1:4" x14ac:dyDescent="0.35">
      <c r="A239" s="10">
        <v>40664</v>
      </c>
      <c r="B239" s="15">
        <f>VLOOKUP(A239,Database!A:Q,MATCH($A$1,Database!$A$1:$Q$1,),)</f>
        <v>8975</v>
      </c>
      <c r="C239" s="12">
        <f t="shared" si="6"/>
        <v>-8.6159284215177288E-3</v>
      </c>
      <c r="D239" s="13">
        <f t="shared" si="7"/>
        <v>3.9735866543095459E-2</v>
      </c>
    </row>
    <row r="240" spans="1:4" x14ac:dyDescent="0.35">
      <c r="A240" s="11">
        <v>40695</v>
      </c>
      <c r="B240" s="15">
        <f>VLOOKUP(A240,Database!A:Q,MATCH($A$1,Database!$A$1:$Q$1,),)</f>
        <v>9062</v>
      </c>
      <c r="C240" s="12">
        <f t="shared" si="6"/>
        <v>9.6935933147632315E-3</v>
      </c>
      <c r="D240" s="13">
        <f t="shared" si="7"/>
        <v>3.0123905877003525E-2</v>
      </c>
    </row>
    <row r="241" spans="1:4" x14ac:dyDescent="0.35">
      <c r="A241" s="10">
        <v>40725</v>
      </c>
      <c r="B241" s="15">
        <f>VLOOKUP(A241,Database!A:Q,MATCH($A$1,Database!$A$1:$Q$1,),)</f>
        <v>9168</v>
      </c>
      <c r="C241" s="12">
        <f t="shared" si="6"/>
        <v>1.1697197086735819E-2</v>
      </c>
      <c r="D241" s="13">
        <f t="shared" si="7"/>
        <v>6.4437478230581685E-2</v>
      </c>
    </row>
    <row r="242" spans="1:4" x14ac:dyDescent="0.35">
      <c r="A242" s="11">
        <v>40756</v>
      </c>
      <c r="B242" s="15">
        <f>VLOOKUP(A242,Database!A:Q,MATCH($A$1,Database!$A$1:$Q$1,),)</f>
        <v>9228</v>
      </c>
      <c r="C242" s="12">
        <f t="shared" si="6"/>
        <v>6.5445026178010471E-3</v>
      </c>
      <c r="D242" s="13">
        <f t="shared" si="7"/>
        <v>6.694415539368713E-2</v>
      </c>
    </row>
    <row r="243" spans="1:4" x14ac:dyDescent="0.35">
      <c r="A243" s="10">
        <v>40787</v>
      </c>
      <c r="B243" s="15">
        <f>VLOOKUP(A243,Database!A:Q,MATCH($A$1,Database!$A$1:$Q$1,),)</f>
        <v>9151</v>
      </c>
      <c r="C243" s="12">
        <f t="shared" si="6"/>
        <v>-8.3441699176419592E-3</v>
      </c>
      <c r="D243" s="13">
        <f t="shared" si="7"/>
        <v>4.3919689710244125E-2</v>
      </c>
    </row>
    <row r="244" spans="1:4" x14ac:dyDescent="0.35">
      <c r="A244" s="11">
        <v>40817</v>
      </c>
      <c r="B244" s="15">
        <f>VLOOKUP(A244,Database!A:Q,MATCH($A$1,Database!$A$1:$Q$1,),)</f>
        <v>9076</v>
      </c>
      <c r="C244" s="12">
        <f t="shared" si="6"/>
        <v>-8.195825592831385E-3</v>
      </c>
      <c r="D244" s="13">
        <f t="shared" si="7"/>
        <v>1.7032720753025549E-2</v>
      </c>
    </row>
    <row r="245" spans="1:4" x14ac:dyDescent="0.35">
      <c r="A245" s="10">
        <v>40848</v>
      </c>
      <c r="B245" s="15">
        <f>VLOOKUP(A245,Database!A:Q,MATCH($A$1,Database!$A$1:$Q$1,),)</f>
        <v>9043</v>
      </c>
      <c r="C245" s="12">
        <f t="shared" si="6"/>
        <v>-3.635962979286029E-3</v>
      </c>
      <c r="D245" s="13">
        <f t="shared" si="7"/>
        <v>1.5839137272523028E-2</v>
      </c>
    </row>
    <row r="246" spans="1:4" x14ac:dyDescent="0.35">
      <c r="A246" s="11">
        <v>40878</v>
      </c>
      <c r="B246" s="15">
        <f>VLOOKUP(A246,Database!A:Q,MATCH($A$1,Database!$A$1:$Q$1,),)</f>
        <v>8868</v>
      </c>
      <c r="C246" s="12">
        <f t="shared" si="6"/>
        <v>-1.9351984960743116E-2</v>
      </c>
      <c r="D246" s="13">
        <f t="shared" si="7"/>
        <v>-1.1263798152737104E-3</v>
      </c>
    </row>
    <row r="247" spans="1:4" x14ac:dyDescent="0.35">
      <c r="A247" s="10">
        <v>40909</v>
      </c>
      <c r="B247" s="15">
        <f>VLOOKUP(A247,Database!A:Q,MATCH($A$1,Database!$A$1:$Q$1,),)</f>
        <v>9309</v>
      </c>
      <c r="C247" s="12">
        <f t="shared" si="6"/>
        <v>4.9729364005412717E-2</v>
      </c>
      <c r="D247" s="13">
        <f t="shared" si="7"/>
        <v>5.4485727231536024E-2</v>
      </c>
    </row>
    <row r="248" spans="1:4" x14ac:dyDescent="0.35">
      <c r="A248" s="11">
        <v>40940</v>
      </c>
      <c r="B248" s="15">
        <f>VLOOKUP(A248,Database!A:Q,MATCH($A$1,Database!$A$1:$Q$1,),)</f>
        <v>9416</v>
      </c>
      <c r="C248" s="12">
        <f t="shared" si="6"/>
        <v>1.1494252873563218E-2</v>
      </c>
      <c r="D248" s="13">
        <f t="shared" si="7"/>
        <v>3.2909170688898641E-2</v>
      </c>
    </row>
    <row r="249" spans="1:4" x14ac:dyDescent="0.35">
      <c r="A249" s="10">
        <v>40969</v>
      </c>
      <c r="B249" s="15">
        <f>VLOOKUP(A249,Database!A:Q,MATCH($A$1,Database!$A$1:$Q$1,),)</f>
        <v>9186</v>
      </c>
      <c r="C249" s="12">
        <f t="shared" si="6"/>
        <v>-2.4426508071367883E-2</v>
      </c>
      <c r="D249" s="13">
        <f t="shared" si="7"/>
        <v>3.8905225062203119E-2</v>
      </c>
    </row>
    <row r="250" spans="1:4" x14ac:dyDescent="0.35">
      <c r="A250" s="11">
        <v>41000</v>
      </c>
      <c r="B250" s="15">
        <f>VLOOKUP(A250,Database!A:Q,MATCH($A$1,Database!$A$1:$Q$1,),)</f>
        <v>9201</v>
      </c>
      <c r="C250" s="12">
        <f t="shared" si="6"/>
        <v>1.6329196603527107E-3</v>
      </c>
      <c r="D250" s="13">
        <f t="shared" si="7"/>
        <v>1.6348171876725947E-2</v>
      </c>
    </row>
    <row r="251" spans="1:4" x14ac:dyDescent="0.35">
      <c r="A251" s="10">
        <v>41030</v>
      </c>
      <c r="B251" s="15">
        <f>VLOOKUP(A251,Database!A:Q,MATCH($A$1,Database!$A$1:$Q$1,),)</f>
        <v>8897</v>
      </c>
      <c r="C251" s="12">
        <f t="shared" si="6"/>
        <v>-3.303988696880774E-2</v>
      </c>
      <c r="D251" s="13">
        <f t="shared" si="7"/>
        <v>-8.6908077994428973E-3</v>
      </c>
    </row>
    <row r="252" spans="1:4" x14ac:dyDescent="0.35">
      <c r="A252" s="11">
        <v>41061</v>
      </c>
      <c r="B252" s="15">
        <f>VLOOKUP(A252,Database!A:Q,MATCH($A$1,Database!$A$1:$Q$1,),)</f>
        <v>9079</v>
      </c>
      <c r="C252" s="12">
        <f t="shared" si="6"/>
        <v>2.0456333595594022E-2</v>
      </c>
      <c r="D252" s="13">
        <f t="shared" si="7"/>
        <v>1.8759655705142353E-3</v>
      </c>
    </row>
    <row r="253" spans="1:4" x14ac:dyDescent="0.35">
      <c r="A253" s="10">
        <v>41091</v>
      </c>
      <c r="B253" s="15">
        <f>VLOOKUP(A253,Database!A:Q,MATCH($A$1,Database!$A$1:$Q$1,),)</f>
        <v>9181</v>
      </c>
      <c r="C253" s="12">
        <f t="shared" si="6"/>
        <v>1.1234717479898668E-2</v>
      </c>
      <c r="D253" s="13">
        <f t="shared" si="7"/>
        <v>1.4179755671902268E-3</v>
      </c>
    </row>
    <row r="254" spans="1:4" x14ac:dyDescent="0.35">
      <c r="A254" s="11">
        <v>41122</v>
      </c>
      <c r="B254" s="15">
        <f>VLOOKUP(A254,Database!A:Q,MATCH($A$1,Database!$A$1:$Q$1,),)</f>
        <v>9083</v>
      </c>
      <c r="C254" s="12">
        <f t="shared" si="6"/>
        <v>-1.0674218494717351E-2</v>
      </c>
      <c r="D254" s="13">
        <f t="shared" si="7"/>
        <v>-1.5713047247507585E-2</v>
      </c>
    </row>
    <row r="255" spans="1:4" x14ac:dyDescent="0.35">
      <c r="A255" s="10">
        <v>41153</v>
      </c>
      <c r="B255" s="15">
        <f>VLOOKUP(A255,Database!A:Q,MATCH($A$1,Database!$A$1:$Q$1,),)</f>
        <v>9103</v>
      </c>
      <c r="C255" s="12">
        <f t="shared" si="6"/>
        <v>2.2019156666299683E-3</v>
      </c>
      <c r="D255" s="13">
        <f t="shared" si="7"/>
        <v>-5.2453283794120864E-3</v>
      </c>
    </row>
    <row r="256" spans="1:4" x14ac:dyDescent="0.35">
      <c r="A256" s="11">
        <v>41183</v>
      </c>
      <c r="B256" s="15">
        <f>VLOOKUP(A256,Database!A:Q,MATCH($A$1,Database!$A$1:$Q$1,),)</f>
        <v>9157</v>
      </c>
      <c r="C256" s="12">
        <f t="shared" si="6"/>
        <v>5.9321102933098981E-3</v>
      </c>
      <c r="D256" s="13">
        <f t="shared" si="7"/>
        <v>8.9246364037020715E-3</v>
      </c>
    </row>
    <row r="257" spans="1:4" x14ac:dyDescent="0.35">
      <c r="A257" s="10">
        <v>41214</v>
      </c>
      <c r="B257" s="15">
        <f>VLOOKUP(A257,Database!A:Q,MATCH($A$1,Database!$A$1:$Q$1,),)</f>
        <v>9089</v>
      </c>
      <c r="C257" s="12">
        <f t="shared" si="6"/>
        <v>-7.4260128863164795E-3</v>
      </c>
      <c r="D257" s="13">
        <f t="shared" si="7"/>
        <v>5.0868074753953338E-3</v>
      </c>
    </row>
    <row r="258" spans="1:4" x14ac:dyDescent="0.35">
      <c r="A258" s="11">
        <v>41244</v>
      </c>
      <c r="B258" s="15">
        <f>VLOOKUP(A258,Database!A:Q,MATCH($A$1,Database!$A$1:$Q$1,),)</f>
        <v>9324</v>
      </c>
      <c r="C258" s="12">
        <f t="shared" si="6"/>
        <v>2.5855429640224446E-2</v>
      </c>
      <c r="D258" s="13">
        <f t="shared" si="7"/>
        <v>5.142083897158322E-2</v>
      </c>
    </row>
    <row r="259" spans="1:4" x14ac:dyDescent="0.35">
      <c r="A259" s="10">
        <v>41275</v>
      </c>
      <c r="B259" s="15">
        <f>VLOOKUP(A259,Database!A:Q,MATCH($A$1,Database!$A$1:$Q$1,),)</f>
        <v>9229</v>
      </c>
      <c r="C259" s="12">
        <f t="shared" si="6"/>
        <v>-1.018876018876019E-2</v>
      </c>
      <c r="D259" s="13">
        <f t="shared" si="7"/>
        <v>-8.593833924159416E-3</v>
      </c>
    </row>
    <row r="260" spans="1:4" x14ac:dyDescent="0.35">
      <c r="A260" s="11">
        <v>41306</v>
      </c>
      <c r="B260" s="15">
        <f>VLOOKUP(A260,Database!A:Q,MATCH($A$1,Database!$A$1:$Q$1,),)</f>
        <v>9281</v>
      </c>
      <c r="C260" s="12">
        <f t="shared" si="6"/>
        <v>5.6344132625419869E-3</v>
      </c>
      <c r="D260" s="13">
        <f t="shared" si="7"/>
        <v>-1.433729821580289E-2</v>
      </c>
    </row>
    <row r="261" spans="1:4" x14ac:dyDescent="0.35">
      <c r="A261" s="10">
        <v>41334</v>
      </c>
      <c r="B261" s="15">
        <f>VLOOKUP(A261,Database!A:Q,MATCH($A$1,Database!$A$1:$Q$1,),)</f>
        <v>9367</v>
      </c>
      <c r="C261" s="12">
        <f t="shared" si="6"/>
        <v>9.2662428617605857E-3</v>
      </c>
      <c r="D261" s="13">
        <f t="shared" si="7"/>
        <v>1.9703897234922708E-2</v>
      </c>
    </row>
    <row r="262" spans="1:4" x14ac:dyDescent="0.35">
      <c r="A262" s="11">
        <v>41365</v>
      </c>
      <c r="B262" s="15">
        <f>VLOOKUP(A262,Database!A:Q,MATCH($A$1,Database!$A$1:$Q$1,),)</f>
        <v>9329</v>
      </c>
      <c r="C262" s="12">
        <f t="shared" si="6"/>
        <v>-4.0567951318458417E-3</v>
      </c>
      <c r="D262" s="13">
        <f t="shared" si="7"/>
        <v>1.3911531355287469E-2</v>
      </c>
    </row>
    <row r="263" spans="1:4" x14ac:dyDescent="0.35">
      <c r="A263" s="10">
        <v>41395</v>
      </c>
      <c r="B263" s="15">
        <f>VLOOKUP(A263,Database!A:Q,MATCH($A$1,Database!$A$1:$Q$1,),)</f>
        <v>9328</v>
      </c>
      <c r="C263" s="12">
        <f t="shared" si="6"/>
        <v>-1.0719262514738985E-4</v>
      </c>
      <c r="D263" s="13">
        <f t="shared" si="7"/>
        <v>4.8443295492862762E-2</v>
      </c>
    </row>
    <row r="264" spans="1:4" x14ac:dyDescent="0.35">
      <c r="A264" s="11">
        <v>41426</v>
      </c>
      <c r="B264" s="15">
        <f>VLOOKUP(A264,Database!A:Q,MATCH($A$1,Database!$A$1:$Q$1,),)</f>
        <v>9170</v>
      </c>
      <c r="C264" s="12">
        <f t="shared" ref="C264:C327" si="8">(B264-B263)/B263</f>
        <v>-1.6938250428816467E-2</v>
      </c>
      <c r="D264" s="13">
        <f t="shared" si="7"/>
        <v>1.0023130300693909E-2</v>
      </c>
    </row>
    <row r="265" spans="1:4" x14ac:dyDescent="0.35">
      <c r="A265" s="10">
        <v>41456</v>
      </c>
      <c r="B265" s="15">
        <f>VLOOKUP(A265,Database!A:Q,MATCH($A$1,Database!$A$1:$Q$1,),)</f>
        <v>9215</v>
      </c>
      <c r="C265" s="12">
        <f t="shared" si="8"/>
        <v>4.9073064340239914E-3</v>
      </c>
      <c r="D265" s="13">
        <f t="shared" si="7"/>
        <v>3.7033002940856114E-3</v>
      </c>
    </row>
    <row r="266" spans="1:4" x14ac:dyDescent="0.35">
      <c r="A266" s="11">
        <v>41487</v>
      </c>
      <c r="B266" s="15">
        <f>VLOOKUP(A266,Database!A:Q,MATCH($A$1,Database!$A$1:$Q$1,),)</f>
        <v>9301</v>
      </c>
      <c r="C266" s="12">
        <f t="shared" si="8"/>
        <v>9.3326098752034726E-3</v>
      </c>
      <c r="D266" s="13">
        <f t="shared" si="7"/>
        <v>2.4000880766266653E-2</v>
      </c>
    </row>
    <row r="267" spans="1:4" x14ac:dyDescent="0.35">
      <c r="A267" s="10">
        <v>41518</v>
      </c>
      <c r="B267" s="15">
        <f>VLOOKUP(A267,Database!A:Q,MATCH($A$1,Database!$A$1:$Q$1,),)</f>
        <v>9507</v>
      </c>
      <c r="C267" s="12">
        <f t="shared" si="8"/>
        <v>2.2148156112245996E-2</v>
      </c>
      <c r="D267" s="13">
        <f t="shared" si="7"/>
        <v>4.4380973305503682E-2</v>
      </c>
    </row>
    <row r="268" spans="1:4" x14ac:dyDescent="0.35">
      <c r="A268" s="11">
        <v>41548</v>
      </c>
      <c r="B268" s="15">
        <f>VLOOKUP(A268,Database!A:Q,MATCH($A$1,Database!$A$1:$Q$1,),)</f>
        <v>9478</v>
      </c>
      <c r="C268" s="12">
        <f t="shared" si="8"/>
        <v>-3.0503839276322712E-3</v>
      </c>
      <c r="D268" s="13">
        <f t="shared" si="7"/>
        <v>3.5055149066288087E-2</v>
      </c>
    </row>
    <row r="269" spans="1:4" x14ac:dyDescent="0.35">
      <c r="A269" s="10">
        <v>41579</v>
      </c>
      <c r="B269" s="15">
        <f>VLOOKUP(A269,Database!A:Q,MATCH($A$1,Database!$A$1:$Q$1,),)</f>
        <v>9545</v>
      </c>
      <c r="C269" s="12">
        <f t="shared" si="8"/>
        <v>7.0690018991348387E-3</v>
      </c>
      <c r="D269" s="13">
        <f t="shared" si="7"/>
        <v>5.0170535812520629E-2</v>
      </c>
    </row>
    <row r="270" spans="1:4" x14ac:dyDescent="0.35">
      <c r="A270" s="11">
        <v>41609</v>
      </c>
      <c r="B270" s="15">
        <f>VLOOKUP(A270,Database!A:Q,MATCH($A$1,Database!$A$1:$Q$1,),)</f>
        <v>9389</v>
      </c>
      <c r="C270" s="12">
        <f t="shared" si="8"/>
        <v>-1.6343635411210058E-2</v>
      </c>
      <c r="D270" s="13">
        <f t="shared" si="7"/>
        <v>6.971256971256971E-3</v>
      </c>
    </row>
    <row r="271" spans="1:4" x14ac:dyDescent="0.35">
      <c r="A271" s="10">
        <v>41640</v>
      </c>
      <c r="B271" s="15">
        <f>VLOOKUP(A271,Database!A:Q,MATCH($A$1,Database!$A$1:$Q$1,),)</f>
        <v>9248</v>
      </c>
      <c r="C271" s="12">
        <f t="shared" si="8"/>
        <v>-1.5017573756523591E-2</v>
      </c>
      <c r="D271" s="13">
        <f t="shared" si="7"/>
        <v>2.0587279228518798E-3</v>
      </c>
    </row>
    <row r="272" spans="1:4" x14ac:dyDescent="0.35">
      <c r="A272" s="11">
        <v>41671</v>
      </c>
      <c r="B272" s="15">
        <f>VLOOKUP(A272,Database!A:Q,MATCH($A$1,Database!$A$1:$Q$1,),)</f>
        <v>9386</v>
      </c>
      <c r="C272" s="12">
        <f t="shared" si="8"/>
        <v>1.4922145328719723E-2</v>
      </c>
      <c r="D272" s="13">
        <f t="shared" si="7"/>
        <v>1.1313436052149553E-2</v>
      </c>
    </row>
    <row r="273" spans="1:4" x14ac:dyDescent="0.35">
      <c r="A273" s="10">
        <v>41699</v>
      </c>
      <c r="B273" s="15">
        <f>VLOOKUP(A273,Database!A:Q,MATCH($A$1,Database!$A$1:$Q$1,),)</f>
        <v>9471</v>
      </c>
      <c r="C273" s="12">
        <f t="shared" si="8"/>
        <v>9.0560409119965907E-3</v>
      </c>
      <c r="D273" s="13">
        <f t="shared" si="7"/>
        <v>1.1102807729262304E-2</v>
      </c>
    </row>
    <row r="274" spans="1:4" x14ac:dyDescent="0.35">
      <c r="A274" s="11">
        <v>41730</v>
      </c>
      <c r="B274" s="15">
        <f>VLOOKUP(A274,Database!A:Q,MATCH($A$1,Database!$A$1:$Q$1,),)</f>
        <v>9348</v>
      </c>
      <c r="C274" s="12">
        <f t="shared" si="8"/>
        <v>-1.2987012987012988E-2</v>
      </c>
      <c r="D274" s="13">
        <f t="shared" si="7"/>
        <v>2.0366598778004071E-3</v>
      </c>
    </row>
    <row r="275" spans="1:4" x14ac:dyDescent="0.35">
      <c r="A275" s="10">
        <v>41760</v>
      </c>
      <c r="B275" s="15">
        <f>VLOOKUP(A275,Database!A:Q,MATCH($A$1,Database!$A$1:$Q$1,),)</f>
        <v>9534</v>
      </c>
      <c r="C275" s="12">
        <f t="shared" si="8"/>
        <v>1.9897304236200258E-2</v>
      </c>
      <c r="D275" s="13">
        <f t="shared" ref="D275:D338" si="9">(B275-B263)/B263</f>
        <v>2.2084048027444254E-2</v>
      </c>
    </row>
    <row r="276" spans="1:4" x14ac:dyDescent="0.35">
      <c r="A276" s="11">
        <v>41791</v>
      </c>
      <c r="B276" s="15">
        <f>VLOOKUP(A276,Database!A:Q,MATCH($A$1,Database!$A$1:$Q$1,),)</f>
        <v>9596</v>
      </c>
      <c r="C276" s="12">
        <f t="shared" si="8"/>
        <v>6.5030417453324938E-3</v>
      </c>
      <c r="D276" s="13">
        <f t="shared" si="9"/>
        <v>4.6455834242093784E-2</v>
      </c>
    </row>
    <row r="277" spans="1:4" x14ac:dyDescent="0.35">
      <c r="A277" s="10">
        <v>41821</v>
      </c>
      <c r="B277" s="15">
        <f>VLOOKUP(A277,Database!A:Q,MATCH($A$1,Database!$A$1:$Q$1,),)</f>
        <v>9628</v>
      </c>
      <c r="C277" s="12">
        <f t="shared" si="8"/>
        <v>3.3347228011671531E-3</v>
      </c>
      <c r="D277" s="13">
        <f t="shared" si="9"/>
        <v>4.4818231144872489E-2</v>
      </c>
    </row>
    <row r="278" spans="1:4" x14ac:dyDescent="0.35">
      <c r="A278" s="11">
        <v>41852</v>
      </c>
      <c r="B278" s="15">
        <f>VLOOKUP(A278,Database!A:Q,MATCH($A$1,Database!$A$1:$Q$1,),)</f>
        <v>9740</v>
      </c>
      <c r="C278" s="12">
        <f t="shared" si="8"/>
        <v>1.1632737847943497E-2</v>
      </c>
      <c r="D278" s="13">
        <f t="shared" si="9"/>
        <v>4.7199225889689278E-2</v>
      </c>
    </row>
    <row r="279" spans="1:4" x14ac:dyDescent="0.35">
      <c r="A279" s="10">
        <v>41883</v>
      </c>
      <c r="B279" s="15">
        <f>VLOOKUP(A279,Database!A:Q,MATCH($A$1,Database!$A$1:$Q$1,),)</f>
        <v>9734</v>
      </c>
      <c r="C279" s="12">
        <f t="shared" si="8"/>
        <v>-6.1601642710472284E-4</v>
      </c>
      <c r="D279" s="13">
        <f t="shared" si="9"/>
        <v>2.3877143157673295E-2</v>
      </c>
    </row>
    <row r="280" spans="1:4" x14ac:dyDescent="0.35">
      <c r="A280" s="11">
        <v>41913</v>
      </c>
      <c r="B280" s="15">
        <f>VLOOKUP(A280,Database!A:Q,MATCH($A$1,Database!$A$1:$Q$1,),)</f>
        <v>9895</v>
      </c>
      <c r="C280" s="12">
        <f t="shared" si="8"/>
        <v>1.6539963016231764E-2</v>
      </c>
      <c r="D280" s="13">
        <f t="shared" si="9"/>
        <v>4.3996623760286978E-2</v>
      </c>
    </row>
    <row r="281" spans="1:4" x14ac:dyDescent="0.35">
      <c r="A281" s="10">
        <v>41944</v>
      </c>
      <c r="B281" s="15">
        <f>VLOOKUP(A281,Database!A:Q,MATCH($A$1,Database!$A$1:$Q$1,),)</f>
        <v>9834</v>
      </c>
      <c r="C281" s="12">
        <f t="shared" si="8"/>
        <v>-6.1647296614451745E-3</v>
      </c>
      <c r="D281" s="13">
        <f t="shared" si="9"/>
        <v>3.0277632268203247E-2</v>
      </c>
    </row>
    <row r="282" spans="1:4" x14ac:dyDescent="0.35">
      <c r="A282" s="11">
        <v>41974</v>
      </c>
      <c r="B282" s="15">
        <f>VLOOKUP(A282,Database!A:Q,MATCH($A$1,Database!$A$1:$Q$1,),)</f>
        <v>9815</v>
      </c>
      <c r="C282" s="12">
        <f t="shared" si="8"/>
        <v>-1.9320724018710596E-3</v>
      </c>
      <c r="D282" s="13">
        <f t="shared" si="9"/>
        <v>4.5372244115454256E-2</v>
      </c>
    </row>
    <row r="283" spans="1:4" x14ac:dyDescent="0.35">
      <c r="A283" s="10">
        <v>42005</v>
      </c>
      <c r="B283" s="15">
        <f>VLOOKUP(A283,Database!A:Q,MATCH($A$1,Database!$A$1:$Q$1,),)</f>
        <v>9847</v>
      </c>
      <c r="C283" s="12">
        <f t="shared" si="8"/>
        <v>3.2603158430973E-3</v>
      </c>
      <c r="D283" s="13">
        <f t="shared" si="9"/>
        <v>6.4770761245674741E-2</v>
      </c>
    </row>
    <row r="284" spans="1:4" x14ac:dyDescent="0.35">
      <c r="A284" s="11">
        <v>42036</v>
      </c>
      <c r="B284" s="15">
        <f>VLOOKUP(A284,Database!A:Q,MATCH($A$1,Database!$A$1:$Q$1,),)</f>
        <v>9766</v>
      </c>
      <c r="C284" s="12">
        <f t="shared" si="8"/>
        <v>-8.2258555905351891E-3</v>
      </c>
      <c r="D284" s="13">
        <f t="shared" si="9"/>
        <v>4.048582995951417E-2</v>
      </c>
    </row>
    <row r="285" spans="1:4" x14ac:dyDescent="0.35">
      <c r="A285" s="10">
        <v>42064</v>
      </c>
      <c r="B285" s="15">
        <f>VLOOKUP(A285,Database!A:Q,MATCH($A$1,Database!$A$1:$Q$1,),)</f>
        <v>9794</v>
      </c>
      <c r="C285" s="12">
        <f t="shared" si="8"/>
        <v>2.8670899037476962E-3</v>
      </c>
      <c r="D285" s="13">
        <f t="shared" si="9"/>
        <v>3.410410727483898E-2</v>
      </c>
    </row>
    <row r="286" spans="1:4" x14ac:dyDescent="0.35">
      <c r="A286" s="11">
        <v>42095</v>
      </c>
      <c r="B286" s="15">
        <f>VLOOKUP(A286,Database!A:Q,MATCH($A$1,Database!$A$1:$Q$1,),)</f>
        <v>9738</v>
      </c>
      <c r="C286" s="12">
        <f t="shared" si="8"/>
        <v>-5.717786399836635E-3</v>
      </c>
      <c r="D286" s="13">
        <f t="shared" si="9"/>
        <v>4.1720154043645701E-2</v>
      </c>
    </row>
    <row r="287" spans="1:4" x14ac:dyDescent="0.35">
      <c r="A287" s="10">
        <v>42125</v>
      </c>
      <c r="B287" s="15">
        <f>VLOOKUP(A287,Database!A:Q,MATCH($A$1,Database!$A$1:$Q$1,),)</f>
        <v>10001</v>
      </c>
      <c r="C287" s="12">
        <f t="shared" si="8"/>
        <v>2.7007599096323682E-2</v>
      </c>
      <c r="D287" s="13">
        <f t="shared" si="9"/>
        <v>4.8982588630165726E-2</v>
      </c>
    </row>
    <row r="288" spans="1:4" x14ac:dyDescent="0.35">
      <c r="A288" s="11">
        <v>42156</v>
      </c>
      <c r="B288" s="15">
        <f>VLOOKUP(A288,Database!A:Q,MATCH($A$1,Database!$A$1:$Q$1,),)</f>
        <v>10042</v>
      </c>
      <c r="C288" s="12">
        <f t="shared" si="8"/>
        <v>4.0995900409959004E-3</v>
      </c>
      <c r="D288" s="13">
        <f t="shared" si="9"/>
        <v>4.6477699041267195E-2</v>
      </c>
    </row>
    <row r="289" spans="1:4" x14ac:dyDescent="0.35">
      <c r="A289" s="10">
        <v>42186</v>
      </c>
      <c r="B289" s="15">
        <f>VLOOKUP(A289,Database!A:Q,MATCH($A$1,Database!$A$1:$Q$1,),)</f>
        <v>10062</v>
      </c>
      <c r="C289" s="12">
        <f t="shared" si="8"/>
        <v>1.9916351324437364E-3</v>
      </c>
      <c r="D289" s="13">
        <f t="shared" si="9"/>
        <v>4.5076859160781052E-2</v>
      </c>
    </row>
    <row r="290" spans="1:4" x14ac:dyDescent="0.35">
      <c r="A290" s="11">
        <v>42217</v>
      </c>
      <c r="B290" s="15">
        <f>VLOOKUP(A290,Database!A:Q,MATCH($A$1,Database!$A$1:$Q$1,),)</f>
        <v>10162</v>
      </c>
      <c r="C290" s="12">
        <f t="shared" si="8"/>
        <v>9.9383820314052872E-3</v>
      </c>
      <c r="D290" s="13">
        <f t="shared" si="9"/>
        <v>4.3326488706365504E-2</v>
      </c>
    </row>
    <row r="291" spans="1:4" x14ac:dyDescent="0.35">
      <c r="A291" s="10">
        <v>42248</v>
      </c>
      <c r="B291" s="15">
        <f>VLOOKUP(A291,Database!A:Q,MATCH($A$1,Database!$A$1:$Q$1,),)</f>
        <v>9721</v>
      </c>
      <c r="C291" s="12">
        <f t="shared" si="8"/>
        <v>-4.3396969100570754E-2</v>
      </c>
      <c r="D291" s="13">
        <f t="shared" si="9"/>
        <v>-1.3355249640435586E-3</v>
      </c>
    </row>
    <row r="292" spans="1:4" x14ac:dyDescent="0.35">
      <c r="A292" s="11">
        <v>42278</v>
      </c>
      <c r="B292" s="15">
        <f>VLOOKUP(A292,Database!A:Q,MATCH($A$1,Database!$A$1:$Q$1,),)</f>
        <v>9713</v>
      </c>
      <c r="C292" s="12">
        <f t="shared" si="8"/>
        <v>-8.2296060076123858E-4</v>
      </c>
      <c r="D292" s="13">
        <f t="shared" si="9"/>
        <v>-1.839312784234462E-2</v>
      </c>
    </row>
    <row r="293" spans="1:4" x14ac:dyDescent="0.35">
      <c r="A293" s="10">
        <v>42309</v>
      </c>
      <c r="B293" s="15">
        <f>VLOOKUP(A293,Database!A:Q,MATCH($A$1,Database!$A$1:$Q$1,),)</f>
        <v>9861</v>
      </c>
      <c r="C293" s="12">
        <f t="shared" si="8"/>
        <v>1.5237310820549778E-2</v>
      </c>
      <c r="D293" s="13">
        <f t="shared" si="9"/>
        <v>2.7455765710799268E-3</v>
      </c>
    </row>
    <row r="294" spans="1:4" x14ac:dyDescent="0.35">
      <c r="A294" s="11">
        <v>42339</v>
      </c>
      <c r="B294" s="15">
        <f>VLOOKUP(A294,Database!A:Q,MATCH($A$1,Database!$A$1:$Q$1,),)</f>
        <v>9777</v>
      </c>
      <c r="C294" s="12">
        <f t="shared" si="8"/>
        <v>-8.5184058411925771E-3</v>
      </c>
      <c r="D294" s="13">
        <f t="shared" si="9"/>
        <v>-3.8716250636780438E-3</v>
      </c>
    </row>
    <row r="295" spans="1:4" x14ac:dyDescent="0.35">
      <c r="A295" s="10">
        <v>42370</v>
      </c>
      <c r="B295" s="15">
        <f>VLOOKUP(A295,Database!A:Q,MATCH($A$1,Database!$A$1:$Q$1,),)</f>
        <v>9799</v>
      </c>
      <c r="C295" s="12">
        <f t="shared" si="8"/>
        <v>2.2501789915106885E-3</v>
      </c>
      <c r="D295" s="13">
        <f t="shared" si="9"/>
        <v>-4.8745810906875194E-3</v>
      </c>
    </row>
    <row r="296" spans="1:4" x14ac:dyDescent="0.35">
      <c r="A296" s="11">
        <v>42401</v>
      </c>
      <c r="B296" s="15">
        <f>VLOOKUP(A296,Database!A:Q,MATCH($A$1,Database!$A$1:$Q$1,),)</f>
        <v>9784</v>
      </c>
      <c r="C296" s="12">
        <f t="shared" si="8"/>
        <v>-1.5307684457597714E-3</v>
      </c>
      <c r="D296" s="13">
        <f t="shared" si="9"/>
        <v>1.8431292238378046E-3</v>
      </c>
    </row>
    <row r="297" spans="1:4" x14ac:dyDescent="0.35">
      <c r="A297" s="10">
        <v>42430</v>
      </c>
      <c r="B297" s="15">
        <f>VLOOKUP(A297,Database!A:Q,MATCH($A$1,Database!$A$1:$Q$1,),)</f>
        <v>10022</v>
      </c>
      <c r="C297" s="12">
        <f t="shared" si="8"/>
        <v>2.4325429272281276E-2</v>
      </c>
      <c r="D297" s="13">
        <f t="shared" si="9"/>
        <v>2.3279558913620584E-2</v>
      </c>
    </row>
    <row r="298" spans="1:4" x14ac:dyDescent="0.35">
      <c r="A298" s="11">
        <v>42461</v>
      </c>
      <c r="B298" s="15">
        <f>VLOOKUP(A298,Database!A:Q,MATCH($A$1,Database!$A$1:$Q$1,),)</f>
        <v>10144</v>
      </c>
      <c r="C298" s="12">
        <f t="shared" si="8"/>
        <v>1.2173218918379565E-2</v>
      </c>
      <c r="D298" s="13">
        <f t="shared" si="9"/>
        <v>4.1692339289381805E-2</v>
      </c>
    </row>
    <row r="299" spans="1:4" x14ac:dyDescent="0.35">
      <c r="A299" s="10">
        <v>42491</v>
      </c>
      <c r="B299" s="15">
        <f>VLOOKUP(A299,Database!A:Q,MATCH($A$1,Database!$A$1:$Q$1,),)</f>
        <v>10007</v>
      </c>
      <c r="C299" s="12">
        <f t="shared" si="8"/>
        <v>-1.350552050473186E-2</v>
      </c>
      <c r="D299" s="13">
        <f t="shared" si="9"/>
        <v>5.9994000599940007E-4</v>
      </c>
    </row>
    <row r="300" spans="1:4" x14ac:dyDescent="0.35">
      <c r="A300" s="11">
        <v>42522</v>
      </c>
      <c r="B300" s="15">
        <f>VLOOKUP(A300,Database!A:Q,MATCH($A$1,Database!$A$1:$Q$1,),)</f>
        <v>10067</v>
      </c>
      <c r="C300" s="12">
        <f t="shared" si="8"/>
        <v>5.9958029379434397E-3</v>
      </c>
      <c r="D300" s="13">
        <f t="shared" si="9"/>
        <v>2.4895439155546706E-3</v>
      </c>
    </row>
    <row r="301" spans="1:4" x14ac:dyDescent="0.35">
      <c r="A301" s="10">
        <v>42552</v>
      </c>
      <c r="B301" s="15">
        <f>VLOOKUP(A301,Database!A:Q,MATCH($A$1,Database!$A$1:$Q$1,),)</f>
        <v>10001</v>
      </c>
      <c r="C301" s="12">
        <f t="shared" si="8"/>
        <v>-6.5560743021754247E-3</v>
      </c>
      <c r="D301" s="13">
        <f t="shared" si="9"/>
        <v>-6.0624130391572252E-3</v>
      </c>
    </row>
    <row r="302" spans="1:4" x14ac:dyDescent="0.35">
      <c r="A302" s="11">
        <v>42583</v>
      </c>
      <c r="B302" s="15">
        <f>VLOOKUP(A302,Database!A:Q,MATCH($A$1,Database!$A$1:$Q$1,),)</f>
        <v>9934</v>
      </c>
      <c r="C302" s="12">
        <f t="shared" si="8"/>
        <v>-6.6993300669933005E-3</v>
      </c>
      <c r="D302" s="13">
        <f t="shared" si="9"/>
        <v>-2.2436528242471953E-2</v>
      </c>
    </row>
    <row r="303" spans="1:4" x14ac:dyDescent="0.35">
      <c r="A303" s="10">
        <v>42614</v>
      </c>
      <c r="B303" s="15">
        <f>VLOOKUP(A303,Database!A:Q,MATCH($A$1,Database!$A$1:$Q$1,),)</f>
        <v>10196</v>
      </c>
      <c r="C303" s="12">
        <f t="shared" si="8"/>
        <v>2.6374068854439301E-2</v>
      </c>
      <c r="D303" s="13">
        <f t="shared" si="9"/>
        <v>4.8863285670198542E-2</v>
      </c>
    </row>
    <row r="304" spans="1:4" x14ac:dyDescent="0.35">
      <c r="A304" s="11">
        <v>42644</v>
      </c>
      <c r="B304" s="15">
        <f>VLOOKUP(A304,Database!A:Q,MATCH($A$1,Database!$A$1:$Q$1,),)</f>
        <v>10358</v>
      </c>
      <c r="C304" s="12">
        <f t="shared" si="8"/>
        <v>1.5888583758336603E-2</v>
      </c>
      <c r="D304" s="13">
        <f t="shared" si="9"/>
        <v>6.6405847832801401E-2</v>
      </c>
    </row>
    <row r="305" spans="1:4" x14ac:dyDescent="0.35">
      <c r="A305" s="10">
        <v>42675</v>
      </c>
      <c r="B305" s="15">
        <f>VLOOKUP(A305,Database!A:Q,MATCH($A$1,Database!$A$1:$Q$1,),)</f>
        <v>9967</v>
      </c>
      <c r="C305" s="12">
        <f t="shared" si="8"/>
        <v>-3.7748600115852481E-2</v>
      </c>
      <c r="D305" s="13">
        <f t="shared" si="9"/>
        <v>1.0749416894838252E-2</v>
      </c>
    </row>
    <row r="306" spans="1:4" x14ac:dyDescent="0.35">
      <c r="A306" s="11">
        <v>42705</v>
      </c>
      <c r="B306" s="15">
        <f>VLOOKUP(A306,Database!A:Q,MATCH($A$1,Database!$A$1:$Q$1,),)</f>
        <v>10156</v>
      </c>
      <c r="C306" s="12">
        <f t="shared" si="8"/>
        <v>1.8962576502458112E-2</v>
      </c>
      <c r="D306" s="13">
        <f t="shared" si="9"/>
        <v>3.8764447171934134E-2</v>
      </c>
    </row>
    <row r="307" spans="1:4" x14ac:dyDescent="0.35">
      <c r="A307" s="10">
        <v>42736</v>
      </c>
      <c r="B307" s="15">
        <f>VLOOKUP(A307,Database!A:Q,MATCH($A$1,Database!$A$1:$Q$1,),)</f>
        <v>10119</v>
      </c>
      <c r="C307" s="12">
        <f t="shared" si="8"/>
        <v>-3.643166601024025E-3</v>
      </c>
      <c r="D307" s="13">
        <f t="shared" si="9"/>
        <v>3.265639350954179E-2</v>
      </c>
    </row>
    <row r="308" spans="1:4" x14ac:dyDescent="0.35">
      <c r="A308" s="11">
        <v>42767</v>
      </c>
      <c r="B308" s="15">
        <f>VLOOKUP(A308,Database!A:Q,MATCH($A$1,Database!$A$1:$Q$1,),)</f>
        <v>10276</v>
      </c>
      <c r="C308" s="12">
        <f t="shared" si="8"/>
        <v>1.551536713113944E-2</v>
      </c>
      <c r="D308" s="13">
        <f t="shared" si="9"/>
        <v>5.0286181520850369E-2</v>
      </c>
    </row>
    <row r="309" spans="1:4" x14ac:dyDescent="0.35">
      <c r="A309" s="10">
        <v>42795</v>
      </c>
      <c r="B309" s="15">
        <f>VLOOKUP(A309,Database!A:Q,MATCH($A$1,Database!$A$1:$Q$1,),)</f>
        <v>10193</v>
      </c>
      <c r="C309" s="12">
        <f t="shared" si="8"/>
        <v>-8.0770727909692495E-3</v>
      </c>
      <c r="D309" s="13">
        <f t="shared" si="9"/>
        <v>1.7062462582318898E-2</v>
      </c>
    </row>
    <row r="310" spans="1:4" x14ac:dyDescent="0.35">
      <c r="A310" s="11">
        <v>42826</v>
      </c>
      <c r="B310" s="15">
        <f>VLOOKUP(A310,Database!A:Q,MATCH($A$1,Database!$A$1:$Q$1,),)</f>
        <v>10251</v>
      </c>
      <c r="C310" s="12">
        <f t="shared" si="8"/>
        <v>5.6901795349749828E-3</v>
      </c>
      <c r="D310" s="13">
        <f t="shared" si="9"/>
        <v>1.0548107255520505E-2</v>
      </c>
    </row>
    <row r="311" spans="1:4" x14ac:dyDescent="0.35">
      <c r="A311" s="10">
        <v>42856</v>
      </c>
      <c r="B311" s="15">
        <f>VLOOKUP(A311,Database!A:Q,MATCH($A$1,Database!$A$1:$Q$1,),)</f>
        <v>10057</v>
      </c>
      <c r="C311" s="12">
        <f t="shared" si="8"/>
        <v>-1.8924982928494781E-2</v>
      </c>
      <c r="D311" s="13">
        <f t="shared" si="9"/>
        <v>4.9965024482861997E-3</v>
      </c>
    </row>
    <row r="312" spans="1:4" x14ac:dyDescent="0.35">
      <c r="A312" s="11">
        <v>42887</v>
      </c>
      <c r="B312" s="15">
        <f>VLOOKUP(A312,Database!A:Q,MATCH($A$1,Database!$A$1:$Q$1,),)</f>
        <v>10039</v>
      </c>
      <c r="C312" s="12">
        <f t="shared" si="8"/>
        <v>-1.7897981505419112E-3</v>
      </c>
      <c r="D312" s="13">
        <f t="shared" si="9"/>
        <v>-2.7813648554683621E-3</v>
      </c>
    </row>
    <row r="313" spans="1:4" x14ac:dyDescent="0.35">
      <c r="A313" s="10">
        <v>42917</v>
      </c>
      <c r="B313" s="15">
        <f>VLOOKUP(A313,Database!A:Q,MATCH($A$1,Database!$A$1:$Q$1,),)</f>
        <v>10270</v>
      </c>
      <c r="C313" s="12">
        <f t="shared" si="8"/>
        <v>2.3010259986054389E-2</v>
      </c>
      <c r="D313" s="13">
        <f t="shared" si="9"/>
        <v>2.6897310268973101E-2</v>
      </c>
    </row>
    <row r="314" spans="1:4" x14ac:dyDescent="0.35">
      <c r="A314" s="11">
        <v>42948</v>
      </c>
      <c r="B314" s="15">
        <f>VLOOKUP(A314,Database!A:Q,MATCH($A$1,Database!$A$1:$Q$1,),)</f>
        <v>10219</v>
      </c>
      <c r="C314" s="12">
        <f t="shared" si="8"/>
        <v>-4.9659201557935738E-3</v>
      </c>
      <c r="D314" s="13">
        <f t="shared" si="9"/>
        <v>2.8689349708073283E-2</v>
      </c>
    </row>
    <row r="315" spans="1:4" x14ac:dyDescent="0.35">
      <c r="A315" s="10">
        <v>42979</v>
      </c>
      <c r="B315" s="15">
        <f>VLOOKUP(A315,Database!A:Q,MATCH($A$1,Database!$A$1:$Q$1,),)</f>
        <v>10331</v>
      </c>
      <c r="C315" s="12">
        <f t="shared" si="8"/>
        <v>1.0959976514336041E-2</v>
      </c>
      <c r="D315" s="13">
        <f t="shared" si="9"/>
        <v>1.3240486465280503E-2</v>
      </c>
    </row>
    <row r="316" spans="1:4" x14ac:dyDescent="0.35">
      <c r="A316" s="11">
        <v>43009</v>
      </c>
      <c r="B316" s="15">
        <f>VLOOKUP(A316,Database!A:Q,MATCH($A$1,Database!$A$1:$Q$1,),)</f>
        <v>10358</v>
      </c>
      <c r="C316" s="12">
        <f t="shared" si="8"/>
        <v>2.6134933694705255E-3</v>
      </c>
      <c r="D316" s="13">
        <f t="shared" si="9"/>
        <v>0</v>
      </c>
    </row>
    <row r="317" spans="1:4" x14ac:dyDescent="0.35">
      <c r="A317" s="10">
        <v>43040</v>
      </c>
      <c r="B317" s="15">
        <f>VLOOKUP(A317,Database!A:Q,MATCH($A$1,Database!$A$1:$Q$1,),)</f>
        <v>10594</v>
      </c>
      <c r="C317" s="12">
        <f t="shared" si="8"/>
        <v>2.2784321297547788E-2</v>
      </c>
      <c r="D317" s="13">
        <f t="shared" si="9"/>
        <v>6.2907595063710242E-2</v>
      </c>
    </row>
    <row r="318" spans="1:4" x14ac:dyDescent="0.35">
      <c r="A318" s="11">
        <v>43070</v>
      </c>
      <c r="B318" s="15">
        <f>VLOOKUP(A318,Database!A:Q,MATCH($A$1,Database!$A$1:$Q$1,),)</f>
        <v>10696</v>
      </c>
      <c r="C318" s="12">
        <f t="shared" si="8"/>
        <v>9.6280913724749867E-3</v>
      </c>
      <c r="D318" s="13">
        <f t="shared" si="9"/>
        <v>5.3170539582512798E-2</v>
      </c>
    </row>
    <row r="319" spans="1:4" x14ac:dyDescent="0.35">
      <c r="A319" s="10">
        <v>43101</v>
      </c>
      <c r="B319" s="15">
        <f>VLOOKUP(A319,Database!A:Q,MATCH($A$1,Database!$A$1:$Q$1,),)</f>
        <v>10899</v>
      </c>
      <c r="C319" s="12">
        <f t="shared" si="8"/>
        <v>1.8979057591623036E-2</v>
      </c>
      <c r="D319" s="13">
        <f t="shared" si="9"/>
        <v>7.7082715683367928E-2</v>
      </c>
    </row>
    <row r="320" spans="1:4" x14ac:dyDescent="0.35">
      <c r="A320" s="11">
        <v>43132</v>
      </c>
      <c r="B320" s="15">
        <f>VLOOKUP(A320,Database!A:Q,MATCH($A$1,Database!$A$1:$Q$1,),)</f>
        <v>10819</v>
      </c>
      <c r="C320" s="12">
        <f t="shared" si="8"/>
        <v>-7.3401229470593634E-3</v>
      </c>
      <c r="D320" s="13">
        <f t="shared" si="9"/>
        <v>5.2841572596340987E-2</v>
      </c>
    </row>
    <row r="321" spans="1:4" x14ac:dyDescent="0.35">
      <c r="A321" s="10">
        <v>43160</v>
      </c>
      <c r="B321" s="15">
        <f>VLOOKUP(A321,Database!A:Q,MATCH($A$1,Database!$A$1:$Q$1,),)</f>
        <v>10743</v>
      </c>
      <c r="C321" s="12">
        <f t="shared" si="8"/>
        <v>-7.0246788058046031E-3</v>
      </c>
      <c r="D321" s="13">
        <f t="shared" si="9"/>
        <v>5.395859903855587E-2</v>
      </c>
    </row>
    <row r="322" spans="1:4" x14ac:dyDescent="0.35">
      <c r="A322" s="11">
        <v>43191</v>
      </c>
      <c r="B322" s="15">
        <f>VLOOKUP(A322,Database!A:Q,MATCH($A$1,Database!$A$1:$Q$1,),)</f>
        <v>10684</v>
      </c>
      <c r="C322" s="12">
        <f t="shared" si="8"/>
        <v>-5.4919482453690775E-3</v>
      </c>
      <c r="D322" s="13">
        <f t="shared" si="9"/>
        <v>4.2239781484733195E-2</v>
      </c>
    </row>
    <row r="323" spans="1:4" x14ac:dyDescent="0.35">
      <c r="A323" s="10">
        <v>43221</v>
      </c>
      <c r="B323" s="15">
        <f>VLOOKUP(A323,Database!A:Q,MATCH($A$1,Database!$A$1:$Q$1,),)</f>
        <v>10851</v>
      </c>
      <c r="C323" s="12">
        <f t="shared" si="8"/>
        <v>1.5630849868962935E-2</v>
      </c>
      <c r="D323" s="13">
        <f t="shared" si="9"/>
        <v>7.8949985085015412E-2</v>
      </c>
    </row>
    <row r="324" spans="1:4" x14ac:dyDescent="0.35">
      <c r="A324" s="11">
        <v>43252</v>
      </c>
      <c r="B324" s="15">
        <f>VLOOKUP(A324,Database!A:Q,MATCH($A$1,Database!$A$1:$Q$1,),)</f>
        <v>10783</v>
      </c>
      <c r="C324" s="12">
        <f t="shared" si="8"/>
        <v>-6.2667035296286059E-3</v>
      </c>
      <c r="D324" s="13">
        <f t="shared" si="9"/>
        <v>7.4110967227811533E-2</v>
      </c>
    </row>
    <row r="325" spans="1:4" x14ac:dyDescent="0.35">
      <c r="A325" s="10">
        <v>43282</v>
      </c>
      <c r="B325" s="15">
        <f>VLOOKUP(A325,Database!A:Q,MATCH($A$1,Database!$A$1:$Q$1,),)</f>
        <v>10422</v>
      </c>
      <c r="C325" s="12">
        <f t="shared" si="8"/>
        <v>-3.3478623759621629E-2</v>
      </c>
      <c r="D325" s="13">
        <f t="shared" si="9"/>
        <v>1.4800389483933788E-2</v>
      </c>
    </row>
    <row r="326" spans="1:4" x14ac:dyDescent="0.35">
      <c r="A326" s="11">
        <v>43313</v>
      </c>
      <c r="B326" s="15">
        <f>VLOOKUP(A326,Database!A:Q,MATCH($A$1,Database!$A$1:$Q$1,),)</f>
        <v>10596</v>
      </c>
      <c r="C326" s="12">
        <f t="shared" si="8"/>
        <v>1.6695451928612551E-2</v>
      </c>
      <c r="D326" s="13">
        <f t="shared" si="9"/>
        <v>3.6892063802720421E-2</v>
      </c>
    </row>
    <row r="327" spans="1:4" x14ac:dyDescent="0.35">
      <c r="A327" s="10">
        <v>43344</v>
      </c>
      <c r="B327" s="15">
        <f>VLOOKUP(A327,Database!A:Q,MATCH($A$1,Database!$A$1:$Q$1,),)</f>
        <v>10602</v>
      </c>
      <c r="C327" s="12">
        <f t="shared" si="8"/>
        <v>5.6625141562853911E-4</v>
      </c>
      <c r="D327" s="13">
        <f t="shared" si="9"/>
        <v>2.6231729745426386E-2</v>
      </c>
    </row>
    <row r="328" spans="1:4" x14ac:dyDescent="0.35">
      <c r="A328" s="11">
        <v>43374</v>
      </c>
      <c r="B328" s="15">
        <f>VLOOKUP(A328,Database!A:Q,MATCH($A$1,Database!$A$1:$Q$1,),)</f>
        <v>10844</v>
      </c>
      <c r="C328" s="12">
        <f t="shared" ref="C328:C391" si="10">(B328-B327)/B327</f>
        <v>2.282588190907376E-2</v>
      </c>
      <c r="D328" s="13">
        <f t="shared" si="9"/>
        <v>4.6920254875458582E-2</v>
      </c>
    </row>
    <row r="329" spans="1:4" x14ac:dyDescent="0.35">
      <c r="A329" s="10">
        <v>43405</v>
      </c>
      <c r="B329" s="15">
        <f>VLOOKUP(A329,Database!A:Q,MATCH($A$1,Database!$A$1:$Q$1,),)</f>
        <v>10789</v>
      </c>
      <c r="C329" s="12">
        <f t="shared" si="10"/>
        <v>-5.0719291774253047E-3</v>
      </c>
      <c r="D329" s="13">
        <f t="shared" si="9"/>
        <v>1.8406645270908063E-2</v>
      </c>
    </row>
    <row r="330" spans="1:4" x14ac:dyDescent="0.35">
      <c r="A330" s="11">
        <v>43435</v>
      </c>
      <c r="B330" s="15">
        <f>VLOOKUP(A330,Database!A:Q,MATCH($A$1,Database!$A$1:$Q$1,),)</f>
        <v>10614</v>
      </c>
      <c r="C330" s="12">
        <f t="shared" si="10"/>
        <v>-1.6220224302530353E-2</v>
      </c>
      <c r="D330" s="13">
        <f t="shared" si="9"/>
        <v>-7.6664173522812268E-3</v>
      </c>
    </row>
    <row r="331" spans="1:4" x14ac:dyDescent="0.35">
      <c r="A331" s="10">
        <v>43466</v>
      </c>
      <c r="B331" s="15">
        <f>VLOOKUP(A331,Database!A:Q,MATCH($A$1,Database!$A$1:$Q$1,),)</f>
        <v>10368</v>
      </c>
      <c r="C331" s="12">
        <f t="shared" si="10"/>
        <v>-2.3176936122102882E-2</v>
      </c>
      <c r="D331" s="13">
        <f t="shared" si="9"/>
        <v>-4.8720066061106522E-2</v>
      </c>
    </row>
    <row r="332" spans="1:4" x14ac:dyDescent="0.35">
      <c r="A332" s="11">
        <v>43497</v>
      </c>
      <c r="B332" s="15">
        <f>VLOOKUP(A332,Database!A:Q,MATCH($A$1,Database!$A$1:$Q$1,),)</f>
        <v>10415</v>
      </c>
      <c r="C332" s="12">
        <f t="shared" si="10"/>
        <v>4.5331790123456792E-3</v>
      </c>
      <c r="D332" s="13">
        <f t="shared" si="9"/>
        <v>-3.7341713651908678E-2</v>
      </c>
    </row>
    <row r="333" spans="1:4" x14ac:dyDescent="0.35">
      <c r="A333" s="10">
        <v>43525</v>
      </c>
      <c r="B333" s="15">
        <f>VLOOKUP(A333,Database!A:Q,MATCH($A$1,Database!$A$1:$Q$1,),)</f>
        <v>10600</v>
      </c>
      <c r="C333" s="12">
        <f t="shared" si="10"/>
        <v>1.7762842054728757E-2</v>
      </c>
      <c r="D333" s="13">
        <f t="shared" si="9"/>
        <v>-1.3310993204877594E-2</v>
      </c>
    </row>
    <row r="334" spans="1:4" x14ac:dyDescent="0.35">
      <c r="A334" s="11">
        <v>43556</v>
      </c>
      <c r="B334" s="15">
        <f>VLOOKUP(A334,Database!A:Q,MATCH($A$1,Database!$A$1:$Q$1,),)</f>
        <v>10837</v>
      </c>
      <c r="C334" s="12">
        <f t="shared" si="10"/>
        <v>2.2358490566037736E-2</v>
      </c>
      <c r="D334" s="13">
        <f t="shared" si="9"/>
        <v>1.4320479221265444E-2</v>
      </c>
    </row>
    <row r="335" spans="1:4" x14ac:dyDescent="0.35">
      <c r="A335" s="30">
        <v>43586</v>
      </c>
      <c r="B335" s="31">
        <f>VLOOKUP(A335,Database!A:Q,MATCH($A$1,Database!$A$1:$Q$1,),)</f>
        <v>10930</v>
      </c>
      <c r="C335" s="32">
        <f t="shared" si="10"/>
        <v>8.5817108055734979E-3</v>
      </c>
      <c r="D335" s="33">
        <f t="shared" si="9"/>
        <v>7.2804349829508801E-3</v>
      </c>
    </row>
    <row r="336" spans="1:4" x14ac:dyDescent="0.35">
      <c r="A336" s="11">
        <v>43617</v>
      </c>
      <c r="B336" s="15">
        <f>VLOOKUP(A336,Database!A:Q,MATCH($A$1,Database!$A$1:$Q$1,),)</f>
        <v>10986</v>
      </c>
      <c r="C336" s="12">
        <f t="shared" si="10"/>
        <v>5.123513266239707E-3</v>
      </c>
      <c r="D336" s="13">
        <f t="shared" si="9"/>
        <v>1.8825929704163961E-2</v>
      </c>
    </row>
    <row r="337" spans="1:4" x14ac:dyDescent="0.35">
      <c r="A337" s="30">
        <v>43647</v>
      </c>
      <c r="B337" s="31">
        <f>VLOOKUP(A337,Database!A:Q,MATCH($A$1,Database!$A$1:$Q$1,),)</f>
        <v>10845</v>
      </c>
      <c r="C337" s="32">
        <f t="shared" si="10"/>
        <v>-1.2834516657564172E-2</v>
      </c>
      <c r="D337" s="33">
        <f t="shared" si="9"/>
        <v>4.0587219343696031E-2</v>
      </c>
    </row>
    <row r="338" spans="1:4" x14ac:dyDescent="0.35">
      <c r="A338" s="11">
        <v>43678</v>
      </c>
      <c r="B338" s="15">
        <f>VLOOKUP(A338,Database!A:Q,MATCH($A$1,Database!$A$1:$Q$1,),)</f>
        <v>11045</v>
      </c>
      <c r="C338" s="12">
        <f t="shared" si="10"/>
        <v>1.8441678192715538E-2</v>
      </c>
      <c r="D338" s="13">
        <f t="shared" si="9"/>
        <v>4.2374480936202344E-2</v>
      </c>
    </row>
    <row r="339" spans="1:4" x14ac:dyDescent="0.35">
      <c r="A339" s="30">
        <v>43709</v>
      </c>
      <c r="B339" s="31">
        <f>VLOOKUP(A339,Database!A:Q,MATCH($A$1,Database!$A$1:$Q$1,),)</f>
        <v>10997</v>
      </c>
      <c r="C339" s="32">
        <f t="shared" si="10"/>
        <v>-4.3458578542326844E-3</v>
      </c>
      <c r="D339" s="33">
        <f t="shared" ref="D339:D402" si="11">(B339-B327)/B327</f>
        <v>3.7257121297868324E-2</v>
      </c>
    </row>
    <row r="340" spans="1:4" x14ac:dyDescent="0.35">
      <c r="A340" s="11">
        <v>43739</v>
      </c>
      <c r="B340" s="15">
        <f>VLOOKUP(A340,Database!A:Q,MATCH($A$1,Database!$A$1:$Q$1,),)</f>
        <v>11156</v>
      </c>
      <c r="C340" s="12">
        <f t="shared" si="10"/>
        <v>1.4458488678730563E-2</v>
      </c>
      <c r="D340" s="13">
        <f t="shared" si="11"/>
        <v>2.8771670970121725E-2</v>
      </c>
    </row>
    <row r="341" spans="1:4" x14ac:dyDescent="0.35">
      <c r="A341" s="30">
        <v>43770</v>
      </c>
      <c r="B341" s="31">
        <f>VLOOKUP(A341,Database!A:Q,MATCH($A$1,Database!$A$1:$Q$1,),)</f>
        <v>11255</v>
      </c>
      <c r="C341" s="32">
        <f t="shared" si="10"/>
        <v>8.8741484403011828E-3</v>
      </c>
      <c r="D341" s="33">
        <f t="shared" si="11"/>
        <v>4.3192140142737971E-2</v>
      </c>
    </row>
    <row r="342" spans="1:4" x14ac:dyDescent="0.35">
      <c r="A342" s="11">
        <v>43800</v>
      </c>
      <c r="B342" s="15">
        <f>VLOOKUP(A342,Database!A:Q,MATCH($A$1,Database!$A$1:$Q$1,),)</f>
        <v>11096</v>
      </c>
      <c r="C342" s="12">
        <f t="shared" si="10"/>
        <v>-1.4127054642381164E-2</v>
      </c>
      <c r="D342" s="13">
        <f t="shared" si="11"/>
        <v>4.5411720369323533E-2</v>
      </c>
    </row>
    <row r="343" spans="1:4" x14ac:dyDescent="0.35">
      <c r="A343" s="30">
        <v>43831</v>
      </c>
      <c r="B343" s="31">
        <f>VLOOKUP(A343,Database!A:Q,MATCH($A$1,Database!$A$1:$Q$1,),)</f>
        <v>11463</v>
      </c>
      <c r="C343" s="32">
        <f t="shared" si="10"/>
        <v>3.307498197548666E-2</v>
      </c>
      <c r="D343" s="33">
        <f t="shared" si="11"/>
        <v>0.10561342592592593</v>
      </c>
    </row>
    <row r="344" spans="1:4" x14ac:dyDescent="0.35">
      <c r="A344" s="11">
        <v>43862</v>
      </c>
      <c r="B344" s="15">
        <f>VLOOKUP(A344,Database!A:Q,MATCH($A$1,Database!$A$1:$Q$1,),)</f>
        <v>11324</v>
      </c>
      <c r="C344" s="12">
        <f t="shared" si="10"/>
        <v>-1.2125970513827095E-2</v>
      </c>
      <c r="D344" s="13">
        <f t="shared" si="11"/>
        <v>8.7277964474315892E-2</v>
      </c>
    </row>
    <row r="345" spans="1:4" x14ac:dyDescent="0.35">
      <c r="A345" s="30">
        <v>43891</v>
      </c>
      <c r="B345" s="31">
        <f>VLOOKUP(A345,Database!A:Q,MATCH($A$1,Database!$A$1:$Q$1,),)</f>
        <v>9784</v>
      </c>
      <c r="C345" s="32">
        <f t="shared" si="10"/>
        <v>-0.13599434828682444</v>
      </c>
      <c r="D345" s="33">
        <f t="shared" si="11"/>
        <v>-7.6981132075471692E-2</v>
      </c>
    </row>
    <row r="346" spans="1:4" x14ac:dyDescent="0.35">
      <c r="A346" s="11">
        <v>43922</v>
      </c>
      <c r="B346" s="15">
        <f>VLOOKUP(A346,Database!A:Q,MATCH($A$1,Database!$A$1:$Q$1,),)</f>
        <v>7179</v>
      </c>
      <c r="C346" s="12">
        <f t="shared" si="10"/>
        <v>-0.26625102207686019</v>
      </c>
      <c r="D346" s="13">
        <f t="shared" si="11"/>
        <v>-0.33754729168589093</v>
      </c>
    </row>
    <row r="347" spans="1:4" x14ac:dyDescent="0.35">
      <c r="A347" s="30">
        <v>43952</v>
      </c>
      <c r="B347" s="31">
        <f>VLOOKUP(A347,Database!A:Q,MATCH($A$1,Database!$A$1:$Q$1,),)</f>
        <v>8550</v>
      </c>
      <c r="C347" s="32">
        <f t="shared" si="10"/>
        <v>0.1909736732135395</v>
      </c>
      <c r="D347" s="33">
        <f t="shared" si="11"/>
        <v>-0.21774931381518756</v>
      </c>
    </row>
    <row r="348" spans="1:4" x14ac:dyDescent="0.35">
      <c r="A348" s="11">
        <v>43983</v>
      </c>
      <c r="B348" s="15">
        <f>VLOOKUP(A348,Database!A:Q,MATCH($A$1,Database!$A$1:$Q$1,),)</f>
        <v>10512</v>
      </c>
      <c r="C348" s="12">
        <f t="shared" si="10"/>
        <v>0.2294736842105263</v>
      </c>
      <c r="D348" s="13">
        <f t="shared" si="11"/>
        <v>-4.3145821955215727E-2</v>
      </c>
    </row>
    <row r="349" spans="1:4" x14ac:dyDescent="0.35">
      <c r="A349" s="30">
        <v>44013</v>
      </c>
      <c r="B349" s="31">
        <f>VLOOKUP(A349,Database!A:Q,MATCH($A$1,Database!$A$1:$Q$1,),)</f>
        <v>10997</v>
      </c>
      <c r="C349" s="32">
        <f t="shared" si="10"/>
        <v>4.6137747336377474E-2</v>
      </c>
      <c r="D349" s="33">
        <f t="shared" si="11"/>
        <v>1.4015675426463809E-2</v>
      </c>
    </row>
    <row r="350" spans="1:4" x14ac:dyDescent="0.35">
      <c r="A350" s="11">
        <v>44044</v>
      </c>
      <c r="B350" s="15">
        <f>VLOOKUP(A350,Database!A:Q,MATCH($A$1,Database!$A$1:$Q$1,),)</f>
        <v>11174</v>
      </c>
      <c r="C350" s="12">
        <f t="shared" si="10"/>
        <v>1.6095298717832135E-2</v>
      </c>
      <c r="D350" s="13">
        <f t="shared" si="11"/>
        <v>1.167949298325034E-2</v>
      </c>
    </row>
    <row r="351" spans="1:4" x14ac:dyDescent="0.35">
      <c r="A351" s="30">
        <v>44075</v>
      </c>
      <c r="B351" s="31">
        <f>VLOOKUP(A351,Database!A:Q,MATCH($A$1,Database!$A$1:$Q$1,),)</f>
        <v>11198</v>
      </c>
      <c r="C351" s="32">
        <f t="shared" si="10"/>
        <v>2.1478432074458565E-3</v>
      </c>
      <c r="D351" s="33">
        <f t="shared" si="11"/>
        <v>1.8277712103300901E-2</v>
      </c>
    </row>
    <row r="352" spans="1:4" x14ac:dyDescent="0.35">
      <c r="A352" s="11">
        <v>44105</v>
      </c>
      <c r="B352" s="15">
        <f>VLOOKUP(A352,Database!A:Q,MATCH($A$1,Database!$A$1:$Q$1,),)</f>
        <v>11212</v>
      </c>
      <c r="C352" s="12">
        <f t="shared" si="10"/>
        <v>1.2502232541525273E-3</v>
      </c>
      <c r="D352" s="13">
        <f t="shared" si="11"/>
        <v>5.0197203298673358E-3</v>
      </c>
    </row>
    <row r="353" spans="1:4" x14ac:dyDescent="0.35">
      <c r="A353" s="30">
        <v>44136</v>
      </c>
      <c r="B353" s="31">
        <f>VLOOKUP(A353,Database!A:Q,MATCH($A$1,Database!$A$1:$Q$1,),)</f>
        <v>11229</v>
      </c>
      <c r="C353" s="32">
        <f t="shared" si="10"/>
        <v>1.5162326079200855E-3</v>
      </c>
      <c r="D353" s="33">
        <f t="shared" si="11"/>
        <v>-2.3100844069302534E-3</v>
      </c>
    </row>
    <row r="354" spans="1:4" x14ac:dyDescent="0.35">
      <c r="A354" s="11">
        <v>44166</v>
      </c>
      <c r="B354" s="15">
        <f>VLOOKUP(A354,Database!A:Q,MATCH($A$1,Database!$A$1:$Q$1,),)</f>
        <v>11802</v>
      </c>
      <c r="C354" s="12">
        <f t="shared" si="10"/>
        <v>5.1028586695164309E-2</v>
      </c>
      <c r="D354" s="13">
        <f t="shared" si="11"/>
        <v>6.3626532083633738E-2</v>
      </c>
    </row>
    <row r="355" spans="1:4" x14ac:dyDescent="0.35">
      <c r="A355" s="30">
        <v>44197</v>
      </c>
      <c r="B355" s="31">
        <f>VLOOKUP(A355,Database!A:Q,MATCH($A$1,Database!$A$1:$Q$1,),)</f>
        <v>11835</v>
      </c>
      <c r="C355" s="32">
        <f t="shared" si="10"/>
        <v>2.7961362480935434E-3</v>
      </c>
      <c r="D355" s="33">
        <f t="shared" si="11"/>
        <v>3.245223763412719E-2</v>
      </c>
    </row>
    <row r="356" spans="1:4" x14ac:dyDescent="0.35">
      <c r="A356" s="11">
        <v>44228</v>
      </c>
      <c r="B356" s="15">
        <f>VLOOKUP(A356,Database!A:Q,MATCH($A$1,Database!$A$1:$Q$1,),)</f>
        <v>11602</v>
      </c>
      <c r="C356" s="12">
        <f t="shared" si="10"/>
        <v>-1.9687367976341359E-2</v>
      </c>
      <c r="D356" s="13">
        <f t="shared" si="11"/>
        <v>2.4549629106322853E-2</v>
      </c>
    </row>
    <row r="357" spans="1:4" x14ac:dyDescent="0.35">
      <c r="A357" s="30">
        <v>44256</v>
      </c>
      <c r="B357" s="31">
        <f>VLOOKUP(A357,Database!A:Q,MATCH($A$1,Database!$A$1:$Q$1,),)</f>
        <v>13170</v>
      </c>
      <c r="C357" s="32">
        <f t="shared" si="10"/>
        <v>0.13514911222203069</v>
      </c>
      <c r="D357" s="33">
        <f t="shared" si="11"/>
        <v>0.34607522485690922</v>
      </c>
    </row>
    <row r="358" spans="1:4" x14ac:dyDescent="0.35">
      <c r="A358" s="11">
        <v>44287</v>
      </c>
      <c r="B358" s="15">
        <f>VLOOKUP(A358,Database!A:Q,MATCH($A$1,Database!$A$1:$Q$1,),)</f>
        <v>13291</v>
      </c>
      <c r="C358" s="12">
        <f t="shared" si="10"/>
        <v>9.1875474563401678E-3</v>
      </c>
      <c r="D358" s="13">
        <f t="shared" si="11"/>
        <v>0.85137205738960853</v>
      </c>
    </row>
    <row r="359" spans="1:4" x14ac:dyDescent="0.35">
      <c r="A359" s="30">
        <v>44317</v>
      </c>
      <c r="B359" s="31">
        <f>VLOOKUP(A359,Database!A:Q,MATCH($A$1,Database!$A$1:$Q$1,),)</f>
        <v>12482</v>
      </c>
      <c r="C359" s="32">
        <f t="shared" si="10"/>
        <v>-6.0868256715070346E-2</v>
      </c>
      <c r="D359" s="33">
        <f t="shared" si="11"/>
        <v>0.4598830409356725</v>
      </c>
    </row>
    <row r="360" spans="1:4" x14ac:dyDescent="0.35">
      <c r="A360" s="11">
        <v>44348</v>
      </c>
      <c r="B360" s="15">
        <f>VLOOKUP(A360,Database!A:Q,MATCH($A$1,Database!$A$1:$Q$1,),)</f>
        <v>13588</v>
      </c>
      <c r="C360" s="12">
        <f t="shared" si="10"/>
        <v>8.8607594936708861E-2</v>
      </c>
      <c r="D360" s="13">
        <f t="shared" si="11"/>
        <v>0.2926179604261796</v>
      </c>
    </row>
    <row r="361" spans="1:4" x14ac:dyDescent="0.35">
      <c r="A361" s="30">
        <v>44378</v>
      </c>
      <c r="B361" s="31">
        <f>VLOOKUP(A361,Database!A:Q,MATCH($A$1,Database!$A$1:$Q$1,),)</f>
        <v>13833</v>
      </c>
      <c r="C361" s="32">
        <f t="shared" si="10"/>
        <v>1.8030615248748896E-2</v>
      </c>
      <c r="D361" s="33">
        <f t="shared" si="11"/>
        <v>0.25788851504955895</v>
      </c>
    </row>
    <row r="362" spans="1:4" x14ac:dyDescent="0.35">
      <c r="A362" s="11">
        <v>44409</v>
      </c>
      <c r="B362" s="15">
        <f>VLOOKUP(A362,Database!A:Q,MATCH($A$1,Database!$A$1:$Q$1,),)</f>
        <v>14073</v>
      </c>
      <c r="C362" s="12">
        <f t="shared" si="10"/>
        <v>1.7349815658208631E-2</v>
      </c>
      <c r="D362" s="13">
        <f t="shared" si="11"/>
        <v>0.25944156076606406</v>
      </c>
    </row>
    <row r="363" spans="1:4" x14ac:dyDescent="0.35">
      <c r="A363" s="11">
        <v>44440</v>
      </c>
      <c r="B363" s="15">
        <f>VLOOKUP(A363,Database!A:Q,MATCH($A$1,Database!$A$1:$Q$1,),)</f>
        <v>14403</v>
      </c>
      <c r="C363" s="12">
        <f t="shared" si="10"/>
        <v>2.3449157962055E-2</v>
      </c>
      <c r="D363" s="13">
        <f t="shared" si="11"/>
        <v>0.28621182353991786</v>
      </c>
    </row>
    <row r="364" spans="1:4" x14ac:dyDescent="0.35">
      <c r="A364" s="30">
        <v>44470</v>
      </c>
      <c r="B364" s="31">
        <f>VLOOKUP(A364,Database!A:Q,MATCH($A$1,Database!$A$1:$Q$1,),)</f>
        <v>14616</v>
      </c>
      <c r="C364" s="32">
        <f t="shared" si="10"/>
        <v>1.4788585711310144E-2</v>
      </c>
      <c r="D364" s="33">
        <f t="shared" si="11"/>
        <v>0.30360328219764537</v>
      </c>
    </row>
    <row r="365" spans="1:4" x14ac:dyDescent="0.35">
      <c r="A365" s="11">
        <v>44501</v>
      </c>
      <c r="B365" s="15">
        <f>VLOOKUP(A365,Database!A:Q,MATCH($A$1,Database!$A$1:$Q$1,),)</f>
        <v>14493</v>
      </c>
      <c r="C365" s="12">
        <f t="shared" si="10"/>
        <v>-8.4154351395730707E-3</v>
      </c>
      <c r="D365" s="13">
        <f t="shared" si="11"/>
        <v>0.29067592839967943</v>
      </c>
    </row>
    <row r="366" spans="1:4" x14ac:dyDescent="0.35">
      <c r="A366" s="11">
        <v>44531</v>
      </c>
      <c r="B366" s="15">
        <f>VLOOKUP(A366,Database!A:Q,MATCH($A$1,Database!$A$1:$Q$1,),)</f>
        <v>14285</v>
      </c>
      <c r="C366" s="12">
        <f t="shared" si="10"/>
        <v>-1.4351756020147658E-2</v>
      </c>
      <c r="D366" s="13">
        <f t="shared" si="11"/>
        <v>0.21038806981867481</v>
      </c>
    </row>
    <row r="367" spans="1:4" x14ac:dyDescent="0.35">
      <c r="A367" s="11">
        <v>44562</v>
      </c>
      <c r="B367" s="15">
        <f>VLOOKUP(A367,Database!A:Q,MATCH($A$1,Database!$A$1:$Q$1,),)</f>
        <v>14527</v>
      </c>
      <c r="C367" s="12">
        <f t="shared" si="10"/>
        <v>1.6940847042352117E-2</v>
      </c>
      <c r="D367" s="13">
        <f t="shared" si="11"/>
        <v>0.22746092099704268</v>
      </c>
    </row>
    <row r="368" spans="1:4" x14ac:dyDescent="0.35">
      <c r="A368" s="11">
        <v>44593</v>
      </c>
      <c r="B368" s="15">
        <f>VLOOKUP(A368,Database!A:Q,MATCH($A$1,Database!$A$1:$Q$1,),)</f>
        <v>14986</v>
      </c>
      <c r="C368" s="12">
        <f t="shared" si="10"/>
        <v>3.1596337853651818E-2</v>
      </c>
      <c r="D368" s="13">
        <f t="shared" si="11"/>
        <v>0.29167384933632134</v>
      </c>
    </row>
    <row r="369" spans="1:4" x14ac:dyDescent="0.35">
      <c r="A369" s="11">
        <v>44621</v>
      </c>
      <c r="B369" s="15">
        <f>VLOOKUP(A369,Database!A:Q,MATCH($A$1,Database!$A$1:$Q$1,),)</f>
        <v>15490</v>
      </c>
      <c r="C369" s="12">
        <f t="shared" si="10"/>
        <v>3.3631389296676896E-2</v>
      </c>
      <c r="D369" s="13">
        <f t="shared" si="11"/>
        <v>0.17615793470007593</v>
      </c>
    </row>
    <row r="370" spans="1:4" x14ac:dyDescent="0.35">
      <c r="A370" s="30">
        <v>44652</v>
      </c>
      <c r="B370" s="31">
        <f>VLOOKUP(A370,Database!A:Q,MATCH($A$1,Database!$A$1:$Q$1,),)</f>
        <v>15864</v>
      </c>
      <c r="C370" s="32">
        <f t="shared" si="10"/>
        <v>2.4144609425435764E-2</v>
      </c>
      <c r="D370" s="33">
        <f t="shared" si="11"/>
        <v>0.19358964712963658</v>
      </c>
    </row>
    <row r="371" spans="1:4" x14ac:dyDescent="0.35">
      <c r="A371" s="11">
        <v>44682</v>
      </c>
      <c r="B371" s="15">
        <f>VLOOKUP(A371,Database!A:Q,MATCH($A$1,Database!$A$1:$Q$1,),)</f>
        <v>15515</v>
      </c>
      <c r="C371" s="12">
        <f t="shared" si="10"/>
        <v>-2.1999495713565305E-2</v>
      </c>
      <c r="D371" s="13">
        <f t="shared" si="11"/>
        <v>0.24298990546386798</v>
      </c>
    </row>
    <row r="372" spans="1:4" x14ac:dyDescent="0.35">
      <c r="A372" s="11">
        <v>44713</v>
      </c>
      <c r="B372" s="15">
        <f>VLOOKUP(A372,Database!A:Q,MATCH($A$1,Database!$A$1:$Q$1,),)</f>
        <v>16110</v>
      </c>
      <c r="C372" s="12">
        <f t="shared" si="10"/>
        <v>3.8349983886561391E-2</v>
      </c>
      <c r="D372" s="13">
        <f t="shared" si="11"/>
        <v>0.1856049455401825</v>
      </c>
    </row>
    <row r="373" spans="1:4" x14ac:dyDescent="0.35">
      <c r="A373" s="11">
        <v>44743</v>
      </c>
      <c r="B373" s="15">
        <f>VLOOKUP(A373,Database!A:Q,MATCH($A$1,Database!$A$1:$Q$1,),)</f>
        <v>15898</v>
      </c>
      <c r="C373" s="12">
        <f t="shared" si="10"/>
        <v>-1.3159528243327126E-2</v>
      </c>
      <c r="D373" s="13">
        <f t="shared" si="11"/>
        <v>0.14928070555917011</v>
      </c>
    </row>
    <row r="374" spans="1:4" x14ac:dyDescent="0.35">
      <c r="A374" s="11">
        <v>44774</v>
      </c>
      <c r="B374" s="15">
        <f>VLOOKUP(A374,Database!A:Q,MATCH($A$1,Database!$A$1:$Q$1,),)</f>
        <v>15934</v>
      </c>
      <c r="C374" s="12">
        <f t="shared" si="10"/>
        <v>2.2644357780852937E-3</v>
      </c>
      <c r="D374" s="13">
        <f t="shared" si="11"/>
        <v>0.13223903929510411</v>
      </c>
    </row>
    <row r="375" spans="1:4" x14ac:dyDescent="0.35">
      <c r="A375" s="30">
        <v>44805</v>
      </c>
      <c r="B375" s="31">
        <f>VLOOKUP(A375,Database!A:Q,MATCH($A$1,Database!$A$1:$Q$1,),)</f>
        <v>15992</v>
      </c>
      <c r="C375" s="32">
        <f t="shared" si="10"/>
        <v>3.6400150621312918E-3</v>
      </c>
      <c r="D375" s="33">
        <f t="shared" si="11"/>
        <v>0.11032423800597098</v>
      </c>
    </row>
    <row r="376" spans="1:4" x14ac:dyDescent="0.35">
      <c r="A376" s="30">
        <v>44835</v>
      </c>
      <c r="B376" s="31">
        <f>VLOOKUP(A376,Database!A:Q,MATCH($A$1,Database!$A$1:$Q$1,),)</f>
        <v>16176</v>
      </c>
      <c r="C376" s="32">
        <f t="shared" si="10"/>
        <v>1.150575287643822E-2</v>
      </c>
      <c r="D376" s="33">
        <f t="shared" si="11"/>
        <v>0.10673234811165845</v>
      </c>
    </row>
    <row r="377" spans="1:4" x14ac:dyDescent="0.35">
      <c r="A377" s="11">
        <v>44866</v>
      </c>
      <c r="B377" s="15">
        <f>VLOOKUP(A377,Database!A:Q,MATCH($A$1,Database!$A$1:$Q$1,),)</f>
        <v>16249</v>
      </c>
      <c r="C377" s="12">
        <f t="shared" si="10"/>
        <v>4.5128585558852621E-3</v>
      </c>
      <c r="D377" s="13">
        <f t="shared" si="11"/>
        <v>0.12116194024701581</v>
      </c>
    </row>
  </sheetData>
  <conditionalFormatting sqref="D19:D377">
    <cfRule type="colorScale" priority="44">
      <colorScale>
        <cfvo type="min"/>
        <cfvo type="percentile" val="50"/>
        <cfvo type="max"/>
        <color rgb="FFF8696B"/>
        <color rgb="FFFFEB84"/>
        <color rgb="FF63BE7B"/>
      </colorScale>
    </cfRule>
  </conditionalFormatting>
  <conditionalFormatting sqref="C8:C377">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7"/>
  <sheetViews>
    <sheetView zoomScale="140" zoomScaleNormal="140" workbookViewId="0">
      <pane ySplit="6" topLeftCell="A366" activePane="bottomLeft" state="frozen"/>
      <selection activeCell="P14" sqref="P14"/>
      <selection pane="bottomLeft" activeCell="X290" sqref="X290"/>
    </sheetView>
  </sheetViews>
  <sheetFormatPr defaultColWidth="9.1796875" defaultRowHeight="14.5" x14ac:dyDescent="0.35"/>
  <cols>
    <col min="1" max="1" width="14" style="54" customWidth="1"/>
    <col min="2" max="2" width="20.6328125" style="54" customWidth="1"/>
    <col min="3" max="4" width="14.1796875" style="54" customWidth="1"/>
    <col min="5" max="22" width="9.1796875" style="109" customWidth="1"/>
    <col min="23" max="16384" width="9.1796875" style="109"/>
  </cols>
  <sheetData>
    <row r="1" spans="1:4" x14ac:dyDescent="0.35">
      <c r="A1" s="109" t="s">
        <v>53</v>
      </c>
      <c r="B1" s="29" t="s">
        <v>41</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123</v>
      </c>
      <c r="C6" s="93" t="s">
        <v>12</v>
      </c>
      <c r="D6" s="94" t="s">
        <v>13</v>
      </c>
    </row>
    <row r="7" spans="1:4" x14ac:dyDescent="0.35">
      <c r="A7" s="17">
        <v>33604</v>
      </c>
      <c r="B7" s="18">
        <f>VLOOKUP(A7,Database!A:Q,MATCH($A$1,Database!$A$1:$Q$1,),)</f>
        <v>9716</v>
      </c>
      <c r="C7" s="19"/>
      <c r="D7" s="19"/>
    </row>
    <row r="8" spans="1:4" x14ac:dyDescent="0.35">
      <c r="A8" s="11">
        <v>33635</v>
      </c>
      <c r="B8" s="15">
        <f>VLOOKUP(A8,Database!A:Q,MATCH($A$1,Database!$A$1:$Q$1,),)</f>
        <v>9712</v>
      </c>
      <c r="C8" s="12">
        <f t="shared" ref="C8:C71" si="0">(B8-B7)/B7</f>
        <v>-4.1169205434335118E-4</v>
      </c>
      <c r="D8" s="1"/>
    </row>
    <row r="9" spans="1:4" x14ac:dyDescent="0.35">
      <c r="A9" s="10">
        <v>33664</v>
      </c>
      <c r="B9" s="15">
        <f>VLOOKUP(A9,Database!A:Q,MATCH($A$1,Database!$A$1:$Q$1,),)</f>
        <v>9669</v>
      </c>
      <c r="C9" s="12">
        <f t="shared" si="0"/>
        <v>-4.4275123558484347E-3</v>
      </c>
      <c r="D9" s="1"/>
    </row>
    <row r="10" spans="1:4" x14ac:dyDescent="0.35">
      <c r="A10" s="11">
        <v>33695</v>
      </c>
      <c r="B10" s="15">
        <f>VLOOKUP(A10,Database!A:Q,MATCH($A$1,Database!$A$1:$Q$1,),)</f>
        <v>9862</v>
      </c>
      <c r="C10" s="12">
        <f t="shared" si="0"/>
        <v>1.9960699141586515E-2</v>
      </c>
      <c r="D10" s="1"/>
    </row>
    <row r="11" spans="1:4" x14ac:dyDescent="0.35">
      <c r="A11" s="10">
        <v>33725</v>
      </c>
      <c r="B11" s="15">
        <f>VLOOKUP(A11,Database!A:Q,MATCH($A$1,Database!$A$1:$Q$1,),)</f>
        <v>9755</v>
      </c>
      <c r="C11" s="12">
        <f t="shared" si="0"/>
        <v>-1.0849726221861691E-2</v>
      </c>
      <c r="D11" s="1"/>
    </row>
    <row r="12" spans="1:4" x14ac:dyDescent="0.35">
      <c r="A12" s="11">
        <v>33756</v>
      </c>
      <c r="B12" s="15">
        <f>VLOOKUP(A12,Database!A:Q,MATCH($A$1,Database!$A$1:$Q$1,),)</f>
        <v>9915</v>
      </c>
      <c r="C12" s="12">
        <f t="shared" si="0"/>
        <v>1.6401845207585853E-2</v>
      </c>
      <c r="D12" s="1"/>
    </row>
    <row r="13" spans="1:4" x14ac:dyDescent="0.35">
      <c r="A13" s="10">
        <v>33786</v>
      </c>
      <c r="B13" s="15">
        <f>VLOOKUP(A13,Database!A:Q,MATCH($A$1,Database!$A$1:$Q$1,),)</f>
        <v>9957</v>
      </c>
      <c r="C13" s="12">
        <f t="shared" si="0"/>
        <v>4.2360060514372161E-3</v>
      </c>
      <c r="D13" s="1"/>
    </row>
    <row r="14" spans="1:4" x14ac:dyDescent="0.35">
      <c r="A14" s="11">
        <v>33817</v>
      </c>
      <c r="B14" s="15">
        <f>VLOOKUP(A14,Database!A:Q,MATCH($A$1,Database!$A$1:$Q$1,),)</f>
        <v>10141</v>
      </c>
      <c r="C14" s="12">
        <f t="shared" si="0"/>
        <v>1.847946168524656E-2</v>
      </c>
      <c r="D14" s="1"/>
    </row>
    <row r="15" spans="1:4" x14ac:dyDescent="0.35">
      <c r="A15" s="10">
        <v>33848</v>
      </c>
      <c r="B15" s="15">
        <f>VLOOKUP(A15,Database!A:Q,MATCH($A$1,Database!$A$1:$Q$1,),)</f>
        <v>10154</v>
      </c>
      <c r="C15" s="12">
        <f t="shared" si="0"/>
        <v>1.2819248594813134E-3</v>
      </c>
      <c r="D15" s="1"/>
    </row>
    <row r="16" spans="1:4" x14ac:dyDescent="0.35">
      <c r="A16" s="11">
        <v>33878</v>
      </c>
      <c r="B16" s="15">
        <f>VLOOKUP(A16,Database!A:Q,MATCH($A$1,Database!$A$1:$Q$1,),)</f>
        <v>10174</v>
      </c>
      <c r="C16" s="12">
        <f t="shared" si="0"/>
        <v>1.9696671262556626E-3</v>
      </c>
      <c r="D16" s="1"/>
    </row>
    <row r="17" spans="1:4" x14ac:dyDescent="0.35">
      <c r="A17" s="10">
        <v>33909</v>
      </c>
      <c r="B17" s="15">
        <f>VLOOKUP(A17,Database!A:Q,MATCH($A$1,Database!$A$1:$Q$1,),)</f>
        <v>10076</v>
      </c>
      <c r="C17" s="12">
        <f t="shared" si="0"/>
        <v>-9.6323963043050912E-3</v>
      </c>
      <c r="D17" s="1"/>
    </row>
    <row r="18" spans="1:4" x14ac:dyDescent="0.35">
      <c r="A18" s="11">
        <v>33939</v>
      </c>
      <c r="B18" s="15">
        <f>VLOOKUP(A18,Database!A:Q,MATCH($A$1,Database!$A$1:$Q$1,),)</f>
        <v>10318</v>
      </c>
      <c r="C18" s="12">
        <f t="shared" si="0"/>
        <v>2.4017467248908297E-2</v>
      </c>
      <c r="D18" s="1"/>
    </row>
    <row r="19" spans="1:4" x14ac:dyDescent="0.35">
      <c r="A19" s="10">
        <v>33970</v>
      </c>
      <c r="B19" s="15">
        <f>VLOOKUP(A19,Database!A:Q,MATCH($A$1,Database!$A$1:$Q$1,),)</f>
        <v>10581</v>
      </c>
      <c r="C19" s="12">
        <f t="shared" si="0"/>
        <v>2.548943593719713E-2</v>
      </c>
      <c r="D19" s="13">
        <f t="shared" ref="D19:D82" si="1">(B19-B7)/B7</f>
        <v>8.9028406751749695E-2</v>
      </c>
    </row>
    <row r="20" spans="1:4" x14ac:dyDescent="0.35">
      <c r="A20" s="11">
        <v>34001</v>
      </c>
      <c r="B20" s="15">
        <f>VLOOKUP(A20,Database!A:Q,MATCH($A$1,Database!$A$1:$Q$1,),)</f>
        <v>10150</v>
      </c>
      <c r="C20" s="12">
        <f t="shared" si="0"/>
        <v>-4.07333900387487E-2</v>
      </c>
      <c r="D20" s="13">
        <f t="shared" si="1"/>
        <v>4.5098846787479406E-2</v>
      </c>
    </row>
    <row r="21" spans="1:4" x14ac:dyDescent="0.35">
      <c r="A21" s="10">
        <v>34029</v>
      </c>
      <c r="B21" s="15">
        <f>VLOOKUP(A21,Database!A:Q,MATCH($A$1,Database!$A$1:$Q$1,),)</f>
        <v>9916</v>
      </c>
      <c r="C21" s="12">
        <f t="shared" si="0"/>
        <v>-2.3054187192118228E-2</v>
      </c>
      <c r="D21" s="13">
        <f t="shared" si="1"/>
        <v>2.5545557968766161E-2</v>
      </c>
    </row>
    <row r="22" spans="1:4" x14ac:dyDescent="0.35">
      <c r="A22" s="11">
        <v>34060</v>
      </c>
      <c r="B22" s="15">
        <f>VLOOKUP(A22,Database!A:Q,MATCH($A$1,Database!$A$1:$Q$1,),)</f>
        <v>10257</v>
      </c>
      <c r="C22" s="12">
        <f t="shared" si="0"/>
        <v>3.4388866478418718E-2</v>
      </c>
      <c r="D22" s="13">
        <f t="shared" si="1"/>
        <v>4.0052727641452041E-2</v>
      </c>
    </row>
    <row r="23" spans="1:4" x14ac:dyDescent="0.35">
      <c r="A23" s="10">
        <v>34090</v>
      </c>
      <c r="B23" s="15">
        <f>VLOOKUP(A23,Database!A:Q,MATCH($A$1,Database!$A$1:$Q$1,),)</f>
        <v>10386</v>
      </c>
      <c r="C23" s="12">
        <f t="shared" si="0"/>
        <v>1.2576776835331968E-2</v>
      </c>
      <c r="D23" s="13">
        <f t="shared" si="1"/>
        <v>6.4684777037416707E-2</v>
      </c>
    </row>
    <row r="24" spans="1:4" x14ac:dyDescent="0.35">
      <c r="A24" s="11">
        <v>34121</v>
      </c>
      <c r="B24" s="15">
        <f>VLOOKUP(A24,Database!A:Q,MATCH($A$1,Database!$A$1:$Q$1,),)</f>
        <v>10411</v>
      </c>
      <c r="C24" s="12">
        <f t="shared" si="0"/>
        <v>2.4070864625457345E-3</v>
      </c>
      <c r="D24" s="13">
        <f t="shared" si="1"/>
        <v>5.0025214321734748E-2</v>
      </c>
    </row>
    <row r="25" spans="1:4" x14ac:dyDescent="0.35">
      <c r="A25" s="10">
        <v>34151</v>
      </c>
      <c r="B25" s="15">
        <f>VLOOKUP(A25,Database!A:Q,MATCH($A$1,Database!$A$1:$Q$1,),)</f>
        <v>10593</v>
      </c>
      <c r="C25" s="12">
        <f t="shared" si="0"/>
        <v>1.7481509941408124E-2</v>
      </c>
      <c r="D25" s="13">
        <f t="shared" si="1"/>
        <v>6.3874661042482669E-2</v>
      </c>
    </row>
    <row r="26" spans="1:4" x14ac:dyDescent="0.35">
      <c r="A26" s="11">
        <v>34182</v>
      </c>
      <c r="B26" s="15">
        <f>VLOOKUP(A26,Database!A:Q,MATCH($A$1,Database!$A$1:$Q$1,),)</f>
        <v>10406</v>
      </c>
      <c r="C26" s="12">
        <f t="shared" si="0"/>
        <v>-1.7653167185877467E-2</v>
      </c>
      <c r="D26" s="13">
        <f t="shared" si="1"/>
        <v>2.6131545212503698E-2</v>
      </c>
    </row>
    <row r="27" spans="1:4" x14ac:dyDescent="0.35">
      <c r="A27" s="10">
        <v>34213</v>
      </c>
      <c r="B27" s="15">
        <f>VLOOKUP(A27,Database!A:Q,MATCH($A$1,Database!$A$1:$Q$1,),)</f>
        <v>10549</v>
      </c>
      <c r="C27" s="12">
        <f t="shared" si="0"/>
        <v>1.3742071881606765E-2</v>
      </c>
      <c r="D27" s="13">
        <f t="shared" si="1"/>
        <v>3.8900925743549343E-2</v>
      </c>
    </row>
    <row r="28" spans="1:4" x14ac:dyDescent="0.35">
      <c r="A28" s="11">
        <v>34243</v>
      </c>
      <c r="B28" s="15">
        <f>VLOOKUP(A28,Database!A:Q,MATCH($A$1,Database!$A$1:$Q$1,),)</f>
        <v>10449</v>
      </c>
      <c r="C28" s="12">
        <f t="shared" si="0"/>
        <v>-9.4795715233671439E-3</v>
      </c>
      <c r="D28" s="13">
        <f t="shared" si="1"/>
        <v>2.7029683506978572E-2</v>
      </c>
    </row>
    <row r="29" spans="1:4" x14ac:dyDescent="0.35">
      <c r="A29" s="10">
        <v>34274</v>
      </c>
      <c r="B29" s="15">
        <f>VLOOKUP(A29,Database!A:Q,MATCH($A$1,Database!$A$1:$Q$1,),)</f>
        <v>10475</v>
      </c>
      <c r="C29" s="12">
        <f t="shared" si="0"/>
        <v>2.4882763900851757E-3</v>
      </c>
      <c r="D29" s="13">
        <f t="shared" si="1"/>
        <v>3.9599047240968639E-2</v>
      </c>
    </row>
    <row r="30" spans="1:4" x14ac:dyDescent="0.35">
      <c r="A30" s="11">
        <v>34304</v>
      </c>
      <c r="B30" s="15">
        <f>VLOOKUP(A30,Database!A:Q,MATCH($A$1,Database!$A$1:$Q$1,),)</f>
        <v>10442</v>
      </c>
      <c r="C30" s="12">
        <f t="shared" si="0"/>
        <v>-3.1503579952267304E-3</v>
      </c>
      <c r="D30" s="13">
        <f t="shared" si="1"/>
        <v>1.2017832913355302E-2</v>
      </c>
    </row>
    <row r="31" spans="1:4" x14ac:dyDescent="0.35">
      <c r="A31" s="10">
        <v>34335</v>
      </c>
      <c r="B31" s="15">
        <f>VLOOKUP(A31,Database!A:Q,MATCH($A$1,Database!$A$1:$Q$1,),)</f>
        <v>10450</v>
      </c>
      <c r="C31" s="12">
        <f t="shared" si="0"/>
        <v>7.6613675541084081E-4</v>
      </c>
      <c r="D31" s="13">
        <f t="shared" si="1"/>
        <v>-1.2380682355164919E-2</v>
      </c>
    </row>
    <row r="32" spans="1:4" x14ac:dyDescent="0.35">
      <c r="A32" s="11">
        <v>34366</v>
      </c>
      <c r="B32" s="15">
        <f>VLOOKUP(A32,Database!A:Q,MATCH($A$1,Database!$A$1:$Q$1,),)</f>
        <v>10587</v>
      </c>
      <c r="C32" s="12">
        <f t="shared" si="0"/>
        <v>1.3110047846889952E-2</v>
      </c>
      <c r="D32" s="13">
        <f t="shared" si="1"/>
        <v>4.3054187192118225E-2</v>
      </c>
    </row>
    <row r="33" spans="1:4" x14ac:dyDescent="0.35">
      <c r="A33" s="10">
        <v>34394</v>
      </c>
      <c r="B33" s="15">
        <f>VLOOKUP(A33,Database!A:Q,MATCH($A$1,Database!$A$1:$Q$1,),)</f>
        <v>10806</v>
      </c>
      <c r="C33" s="12">
        <f t="shared" si="0"/>
        <v>2.0685746670444885E-2</v>
      </c>
      <c r="D33" s="13">
        <f t="shared" si="1"/>
        <v>8.9753933037515124E-2</v>
      </c>
    </row>
    <row r="34" spans="1:4" x14ac:dyDescent="0.35">
      <c r="A34" s="11">
        <v>34425</v>
      </c>
      <c r="B34" s="15">
        <f>VLOOKUP(A34,Database!A:Q,MATCH($A$1,Database!$A$1:$Q$1,),)</f>
        <v>10554</v>
      </c>
      <c r="C34" s="12">
        <f t="shared" si="0"/>
        <v>-2.3320377568017768E-2</v>
      </c>
      <c r="D34" s="13">
        <f t="shared" si="1"/>
        <v>2.895583503948523E-2</v>
      </c>
    </row>
    <row r="35" spans="1:4" x14ac:dyDescent="0.35">
      <c r="A35" s="10">
        <v>34455</v>
      </c>
      <c r="B35" s="15">
        <f>VLOOKUP(A35,Database!A:Q,MATCH($A$1,Database!$A$1:$Q$1,),)</f>
        <v>10451</v>
      </c>
      <c r="C35" s="12">
        <f t="shared" si="0"/>
        <v>-9.7593329543301122E-3</v>
      </c>
      <c r="D35" s="13">
        <f t="shared" si="1"/>
        <v>6.25842480261891E-3</v>
      </c>
    </row>
    <row r="36" spans="1:4" x14ac:dyDescent="0.35">
      <c r="A36" s="11">
        <v>34486</v>
      </c>
      <c r="B36" s="15">
        <f>VLOOKUP(A36,Database!A:Q,MATCH($A$1,Database!$A$1:$Q$1,),)</f>
        <v>10612</v>
      </c>
      <c r="C36" s="12">
        <f t="shared" si="0"/>
        <v>1.5405224380442064E-2</v>
      </c>
      <c r="D36" s="13">
        <f t="shared" si="1"/>
        <v>1.9306502737489194E-2</v>
      </c>
    </row>
    <row r="37" spans="1:4" x14ac:dyDescent="0.35">
      <c r="A37" s="10">
        <v>34516</v>
      </c>
      <c r="B37" s="15">
        <f>VLOOKUP(A37,Database!A:Q,MATCH($A$1,Database!$A$1:$Q$1,),)</f>
        <v>10672</v>
      </c>
      <c r="C37" s="12">
        <f t="shared" si="0"/>
        <v>5.6539766302299288E-3</v>
      </c>
      <c r="D37" s="13">
        <f t="shared" si="1"/>
        <v>7.4577551213065229E-3</v>
      </c>
    </row>
    <row r="38" spans="1:4" x14ac:dyDescent="0.35">
      <c r="A38" s="11">
        <v>34547</v>
      </c>
      <c r="B38" s="15">
        <f>VLOOKUP(A38,Database!A:Q,MATCH($A$1,Database!$A$1:$Q$1,),)</f>
        <v>10839</v>
      </c>
      <c r="C38" s="12">
        <f t="shared" si="0"/>
        <v>1.5648425787106447E-2</v>
      </c>
      <c r="D38" s="13">
        <f t="shared" si="1"/>
        <v>4.1610609263886218E-2</v>
      </c>
    </row>
    <row r="39" spans="1:4" x14ac:dyDescent="0.35">
      <c r="A39" s="10">
        <v>34578</v>
      </c>
      <c r="B39" s="15">
        <f>VLOOKUP(A39,Database!A:Q,MATCH($A$1,Database!$A$1:$Q$1,),)</f>
        <v>10674</v>
      </c>
      <c r="C39" s="12">
        <f t="shared" si="0"/>
        <v>-1.5222806531967894E-2</v>
      </c>
      <c r="D39" s="13">
        <f t="shared" si="1"/>
        <v>1.1849464404208929E-2</v>
      </c>
    </row>
    <row r="40" spans="1:4" x14ac:dyDescent="0.35">
      <c r="A40" s="11">
        <v>34608</v>
      </c>
      <c r="B40" s="15">
        <f>VLOOKUP(A40,Database!A:Q,MATCH($A$1,Database!$A$1:$Q$1,),)</f>
        <v>11000</v>
      </c>
      <c r="C40" s="12">
        <f t="shared" si="0"/>
        <v>3.0541502716882142E-2</v>
      </c>
      <c r="D40" s="13">
        <f t="shared" si="1"/>
        <v>5.2732318882189683E-2</v>
      </c>
    </row>
    <row r="41" spans="1:4" x14ac:dyDescent="0.35">
      <c r="A41" s="10">
        <v>34639</v>
      </c>
      <c r="B41" s="15">
        <f>VLOOKUP(A41,Database!A:Q,MATCH($A$1,Database!$A$1:$Q$1,),)</f>
        <v>10983</v>
      </c>
      <c r="C41" s="12">
        <f t="shared" si="0"/>
        <v>-1.5454545454545454E-3</v>
      </c>
      <c r="D41" s="13">
        <f t="shared" si="1"/>
        <v>4.8496420047732698E-2</v>
      </c>
    </row>
    <row r="42" spans="1:4" x14ac:dyDescent="0.35">
      <c r="A42" s="11">
        <v>34669</v>
      </c>
      <c r="B42" s="15">
        <f>VLOOKUP(A42,Database!A:Q,MATCH($A$1,Database!$A$1:$Q$1,),)</f>
        <v>10952</v>
      </c>
      <c r="C42" s="12">
        <f t="shared" si="0"/>
        <v>-2.8225439315305474E-3</v>
      </c>
      <c r="D42" s="13">
        <f t="shared" si="1"/>
        <v>4.8841218157441101E-2</v>
      </c>
    </row>
    <row r="43" spans="1:4" x14ac:dyDescent="0.35">
      <c r="A43" s="10">
        <v>34700</v>
      </c>
      <c r="B43" s="15">
        <f>VLOOKUP(A43,Database!A:Q,MATCH($A$1,Database!$A$1:$Q$1,),)</f>
        <v>10939</v>
      </c>
      <c r="C43" s="12">
        <f t="shared" si="0"/>
        <v>-1.1869978086194303E-3</v>
      </c>
      <c r="D43" s="13">
        <f t="shared" si="1"/>
        <v>4.6794258373205742E-2</v>
      </c>
    </row>
    <row r="44" spans="1:4" x14ac:dyDescent="0.35">
      <c r="A44" s="11">
        <v>34731</v>
      </c>
      <c r="B44" s="15">
        <f>VLOOKUP(A44,Database!A:Q,MATCH($A$1,Database!$A$1:$Q$1,),)</f>
        <v>10582</v>
      </c>
      <c r="C44" s="12">
        <f t="shared" si="0"/>
        <v>-3.2635524270957124E-2</v>
      </c>
      <c r="D44" s="13">
        <f t="shared" si="1"/>
        <v>-4.7227732124303391E-4</v>
      </c>
    </row>
    <row r="45" spans="1:4" x14ac:dyDescent="0.35">
      <c r="A45" s="10">
        <v>34759</v>
      </c>
      <c r="B45" s="15">
        <f>VLOOKUP(A45,Database!A:Q,MATCH($A$1,Database!$A$1:$Q$1,),)</f>
        <v>10850</v>
      </c>
      <c r="C45" s="12">
        <f t="shared" si="0"/>
        <v>2.5326025326025327E-2</v>
      </c>
      <c r="D45" s="13">
        <f t="shared" si="1"/>
        <v>4.0718119563205625E-3</v>
      </c>
    </row>
    <row r="46" spans="1:4" x14ac:dyDescent="0.35">
      <c r="A46" s="11">
        <v>34790</v>
      </c>
      <c r="B46" s="15">
        <f>VLOOKUP(A46,Database!A:Q,MATCH($A$1,Database!$A$1:$Q$1,),)</f>
        <v>10796</v>
      </c>
      <c r="C46" s="12">
        <f t="shared" si="0"/>
        <v>-4.9769585253456221E-3</v>
      </c>
      <c r="D46" s="13">
        <f t="shared" si="1"/>
        <v>2.2929694902406671E-2</v>
      </c>
    </row>
    <row r="47" spans="1:4" x14ac:dyDescent="0.35">
      <c r="A47" s="10">
        <v>34820</v>
      </c>
      <c r="B47" s="15">
        <f>VLOOKUP(A47,Database!A:Q,MATCH($A$1,Database!$A$1:$Q$1,),)</f>
        <v>10976</v>
      </c>
      <c r="C47" s="12">
        <f t="shared" si="0"/>
        <v>1.6672841793256763E-2</v>
      </c>
      <c r="D47" s="13">
        <f t="shared" si="1"/>
        <v>5.0234427327528468E-2</v>
      </c>
    </row>
    <row r="48" spans="1:4" x14ac:dyDescent="0.35">
      <c r="A48" s="11">
        <v>34851</v>
      </c>
      <c r="B48" s="15">
        <f>VLOOKUP(A48,Database!A:Q,MATCH($A$1,Database!$A$1:$Q$1,),)</f>
        <v>10948</v>
      </c>
      <c r="C48" s="12">
        <f t="shared" si="0"/>
        <v>-2.5510204081632651E-3</v>
      </c>
      <c r="D48" s="13">
        <f t="shared" si="1"/>
        <v>3.1662269129287601E-2</v>
      </c>
    </row>
    <row r="49" spans="1:4" x14ac:dyDescent="0.35">
      <c r="A49" s="10">
        <v>34881</v>
      </c>
      <c r="B49" s="15">
        <f>VLOOKUP(A49,Database!A:Q,MATCH($A$1,Database!$A$1:$Q$1,),)</f>
        <v>10824</v>
      </c>
      <c r="C49" s="12">
        <f t="shared" si="0"/>
        <v>-1.13262696382901E-2</v>
      </c>
      <c r="D49" s="13">
        <f t="shared" si="1"/>
        <v>1.424287856071964E-2</v>
      </c>
    </row>
    <row r="50" spans="1:4" x14ac:dyDescent="0.35">
      <c r="A50" s="11">
        <v>34912</v>
      </c>
      <c r="B50" s="15">
        <f>VLOOKUP(A50,Database!A:Q,MATCH($A$1,Database!$A$1:$Q$1,),)</f>
        <v>10813</v>
      </c>
      <c r="C50" s="12">
        <f t="shared" si="0"/>
        <v>-1.0162601626016261E-3</v>
      </c>
      <c r="D50" s="13">
        <f t="shared" si="1"/>
        <v>-2.3987452717040315E-3</v>
      </c>
    </row>
    <row r="51" spans="1:4" x14ac:dyDescent="0.35">
      <c r="A51" s="10">
        <v>34943</v>
      </c>
      <c r="B51" s="15">
        <f>VLOOKUP(A51,Database!A:Q,MATCH($A$1,Database!$A$1:$Q$1,),)</f>
        <v>11198</v>
      </c>
      <c r="C51" s="12">
        <f t="shared" si="0"/>
        <v>3.5605289928789419E-2</v>
      </c>
      <c r="D51" s="13">
        <f t="shared" si="1"/>
        <v>4.9091249765786021E-2</v>
      </c>
    </row>
    <row r="52" spans="1:4" x14ac:dyDescent="0.35">
      <c r="A52" s="11">
        <v>34973</v>
      </c>
      <c r="B52" s="15">
        <f>VLOOKUP(A52,Database!A:Q,MATCH($A$1,Database!$A$1:$Q$1,),)</f>
        <v>10882</v>
      </c>
      <c r="C52" s="12">
        <f t="shared" si="0"/>
        <v>-2.8219324879442759E-2</v>
      </c>
      <c r="D52" s="13">
        <f t="shared" si="1"/>
        <v>-1.0727272727272728E-2</v>
      </c>
    </row>
    <row r="53" spans="1:4" x14ac:dyDescent="0.35">
      <c r="A53" s="10">
        <v>35004</v>
      </c>
      <c r="B53" s="15">
        <f>VLOOKUP(A53,Database!A:Q,MATCH($A$1,Database!$A$1:$Q$1,),)</f>
        <v>11269</v>
      </c>
      <c r="C53" s="12">
        <f t="shared" si="0"/>
        <v>3.5563315566991362E-2</v>
      </c>
      <c r="D53" s="13">
        <f t="shared" si="1"/>
        <v>2.6040244013475371E-2</v>
      </c>
    </row>
    <row r="54" spans="1:4" x14ac:dyDescent="0.35">
      <c r="A54" s="11">
        <v>35034</v>
      </c>
      <c r="B54" s="15">
        <f>VLOOKUP(A54,Database!A:Q,MATCH($A$1,Database!$A$1:$Q$1,),)</f>
        <v>11124</v>
      </c>
      <c r="C54" s="12">
        <f t="shared" si="0"/>
        <v>-1.2867157689235957E-2</v>
      </c>
      <c r="D54" s="13">
        <f t="shared" si="1"/>
        <v>1.5704894083272462E-2</v>
      </c>
    </row>
    <row r="55" spans="1:4" x14ac:dyDescent="0.35">
      <c r="A55" s="10">
        <v>35065</v>
      </c>
      <c r="B55" s="15">
        <f>VLOOKUP(A55,Database!A:Q,MATCH($A$1,Database!$A$1:$Q$1,),)</f>
        <v>11105</v>
      </c>
      <c r="C55" s="12">
        <f t="shared" si="0"/>
        <v>-1.7080186983099604E-3</v>
      </c>
      <c r="D55" s="13">
        <f t="shared" si="1"/>
        <v>1.5175061705823202E-2</v>
      </c>
    </row>
    <row r="56" spans="1:4" x14ac:dyDescent="0.35">
      <c r="A56" s="11">
        <v>35096</v>
      </c>
      <c r="B56" s="15">
        <f>VLOOKUP(A56,Database!A:Q,MATCH($A$1,Database!$A$1:$Q$1,),)</f>
        <v>11341</v>
      </c>
      <c r="C56" s="12">
        <f t="shared" si="0"/>
        <v>2.125168842863575E-2</v>
      </c>
      <c r="D56" s="13">
        <f t="shared" si="1"/>
        <v>7.172557172557173E-2</v>
      </c>
    </row>
    <row r="57" spans="1:4" x14ac:dyDescent="0.35">
      <c r="A57" s="10">
        <v>35125</v>
      </c>
      <c r="B57" s="15">
        <f>VLOOKUP(A57,Database!A:Q,MATCH($A$1,Database!$A$1:$Q$1,),)</f>
        <v>11376</v>
      </c>
      <c r="C57" s="12">
        <f t="shared" si="0"/>
        <v>3.0861476060312144E-3</v>
      </c>
      <c r="D57" s="13">
        <f t="shared" si="1"/>
        <v>4.8479262672811059E-2</v>
      </c>
    </row>
    <row r="58" spans="1:4" x14ac:dyDescent="0.35">
      <c r="A58" s="11">
        <v>35156</v>
      </c>
      <c r="B58" s="15">
        <f>VLOOKUP(A58,Database!A:Q,MATCH($A$1,Database!$A$1:$Q$1,),)</f>
        <v>11422</v>
      </c>
      <c r="C58" s="12">
        <f t="shared" si="0"/>
        <v>4.0436005625879047E-3</v>
      </c>
      <c r="D58" s="13">
        <f t="shared" si="1"/>
        <v>5.7984438680992963E-2</v>
      </c>
    </row>
    <row r="59" spans="1:4" x14ac:dyDescent="0.35">
      <c r="A59" s="10">
        <v>35186</v>
      </c>
      <c r="B59" s="15">
        <f>VLOOKUP(A59,Database!A:Q,MATCH($A$1,Database!$A$1:$Q$1,),)</f>
        <v>11504</v>
      </c>
      <c r="C59" s="12">
        <f t="shared" si="0"/>
        <v>7.1791279985991942E-3</v>
      </c>
      <c r="D59" s="13">
        <f t="shared" si="1"/>
        <v>4.8104956268221574E-2</v>
      </c>
    </row>
    <row r="60" spans="1:4" x14ac:dyDescent="0.35">
      <c r="A60" s="11">
        <v>35217</v>
      </c>
      <c r="B60" s="15">
        <f>VLOOKUP(A60,Database!A:Q,MATCH($A$1,Database!$A$1:$Q$1,),)</f>
        <v>11365</v>
      </c>
      <c r="C60" s="12">
        <f t="shared" si="0"/>
        <v>-1.2082753824756607E-2</v>
      </c>
      <c r="D60" s="13">
        <f t="shared" si="1"/>
        <v>3.8089148702959444E-2</v>
      </c>
    </row>
    <row r="61" spans="1:4" x14ac:dyDescent="0.35">
      <c r="A61" s="10">
        <v>35247</v>
      </c>
      <c r="B61" s="15">
        <f>VLOOKUP(A61,Database!A:Q,MATCH($A$1,Database!$A$1:$Q$1,),)</f>
        <v>11316</v>
      </c>
      <c r="C61" s="12">
        <f t="shared" si="0"/>
        <v>-4.3114826220853495E-3</v>
      </c>
      <c r="D61" s="13">
        <f t="shared" si="1"/>
        <v>4.5454545454545456E-2</v>
      </c>
    </row>
    <row r="62" spans="1:4" x14ac:dyDescent="0.35">
      <c r="A62" s="11">
        <v>35278</v>
      </c>
      <c r="B62" s="15">
        <f>VLOOKUP(A62,Database!A:Q,MATCH($A$1,Database!$A$1:$Q$1,),)</f>
        <v>11360</v>
      </c>
      <c r="C62" s="12">
        <f t="shared" si="0"/>
        <v>3.888299752562743E-3</v>
      </c>
      <c r="D62" s="13">
        <f t="shared" si="1"/>
        <v>5.0587256080643669E-2</v>
      </c>
    </row>
    <row r="63" spans="1:4" x14ac:dyDescent="0.35">
      <c r="A63" s="10">
        <v>35309</v>
      </c>
      <c r="B63" s="15">
        <f>VLOOKUP(A63,Database!A:Q,MATCH($A$1,Database!$A$1:$Q$1,),)</f>
        <v>11534</v>
      </c>
      <c r="C63" s="12">
        <f t="shared" si="0"/>
        <v>1.5316901408450705E-2</v>
      </c>
      <c r="D63" s="13">
        <f t="shared" si="1"/>
        <v>3.0005358099660654E-2</v>
      </c>
    </row>
    <row r="64" spans="1:4" x14ac:dyDescent="0.35">
      <c r="A64" s="11">
        <v>35339</v>
      </c>
      <c r="B64" s="15">
        <f>VLOOKUP(A64,Database!A:Q,MATCH($A$1,Database!$A$1:$Q$1,),)</f>
        <v>11577</v>
      </c>
      <c r="C64" s="12">
        <f t="shared" si="0"/>
        <v>3.7281082018380441E-3</v>
      </c>
      <c r="D64" s="13">
        <f t="shared" si="1"/>
        <v>6.3866936224958648E-2</v>
      </c>
    </row>
    <row r="65" spans="1:4" x14ac:dyDescent="0.35">
      <c r="A65" s="10">
        <v>35370</v>
      </c>
      <c r="B65" s="15">
        <f>VLOOKUP(A65,Database!A:Q,MATCH($A$1,Database!$A$1:$Q$1,),)</f>
        <v>11318</v>
      </c>
      <c r="C65" s="12">
        <f t="shared" si="0"/>
        <v>-2.2371944372462642E-2</v>
      </c>
      <c r="D65" s="13">
        <f t="shared" si="1"/>
        <v>4.3482119087762889E-3</v>
      </c>
    </row>
    <row r="66" spans="1:4" x14ac:dyDescent="0.35">
      <c r="A66" s="11">
        <v>35400</v>
      </c>
      <c r="B66" s="15">
        <f>VLOOKUP(A66,Database!A:Q,MATCH($A$1,Database!$A$1:$Q$1,),)</f>
        <v>11435</v>
      </c>
      <c r="C66" s="12">
        <f t="shared" si="0"/>
        <v>1.0337515462095777E-2</v>
      </c>
      <c r="D66" s="13">
        <f t="shared" si="1"/>
        <v>2.7957569219705141E-2</v>
      </c>
    </row>
    <row r="67" spans="1:4" x14ac:dyDescent="0.35">
      <c r="A67" s="10">
        <v>35431</v>
      </c>
      <c r="B67" s="15">
        <f>VLOOKUP(A67,Database!A:Q,MATCH($A$1,Database!$A$1:$Q$1,),)</f>
        <v>11513</v>
      </c>
      <c r="C67" s="12">
        <f t="shared" si="0"/>
        <v>6.8211630957586361E-3</v>
      </c>
      <c r="D67" s="13">
        <f t="shared" si="1"/>
        <v>3.6740207113912654E-2</v>
      </c>
    </row>
    <row r="68" spans="1:4" x14ac:dyDescent="0.35">
      <c r="A68" s="11">
        <v>35462</v>
      </c>
      <c r="B68" s="15">
        <f>VLOOKUP(A68,Database!A:Q,MATCH($A$1,Database!$A$1:$Q$1,),)</f>
        <v>11468</v>
      </c>
      <c r="C68" s="12">
        <f t="shared" si="0"/>
        <v>-3.9086250325718755E-3</v>
      </c>
      <c r="D68" s="13">
        <f t="shared" si="1"/>
        <v>1.1198307027598978E-2</v>
      </c>
    </row>
    <row r="69" spans="1:4" x14ac:dyDescent="0.35">
      <c r="A69" s="10">
        <v>35490</v>
      </c>
      <c r="B69" s="15">
        <f>VLOOKUP(A69,Database!A:Q,MATCH($A$1,Database!$A$1:$Q$1,),)</f>
        <v>11623</v>
      </c>
      <c r="C69" s="12">
        <f t="shared" si="0"/>
        <v>1.3515870247645622E-2</v>
      </c>
      <c r="D69" s="13">
        <f t="shared" si="1"/>
        <v>2.1712376933895921E-2</v>
      </c>
    </row>
    <row r="70" spans="1:4" x14ac:dyDescent="0.35">
      <c r="A70" s="11">
        <v>35521</v>
      </c>
      <c r="B70" s="15">
        <f>VLOOKUP(A70,Database!A:Q,MATCH($A$1,Database!$A$1:$Q$1,),)</f>
        <v>11195</v>
      </c>
      <c r="C70" s="12">
        <f t="shared" si="0"/>
        <v>-3.6823539533683211E-2</v>
      </c>
      <c r="D70" s="13">
        <f t="shared" si="1"/>
        <v>-1.9873927508317284E-2</v>
      </c>
    </row>
    <row r="71" spans="1:4" x14ac:dyDescent="0.35">
      <c r="A71" s="10">
        <v>35551</v>
      </c>
      <c r="B71" s="15">
        <f>VLOOKUP(A71,Database!A:Q,MATCH($A$1,Database!$A$1:$Q$1,),)</f>
        <v>11413</v>
      </c>
      <c r="C71" s="12">
        <f t="shared" si="0"/>
        <v>1.9472979008485932E-2</v>
      </c>
      <c r="D71" s="13">
        <f t="shared" si="1"/>
        <v>-7.9102920723226697E-3</v>
      </c>
    </row>
    <row r="72" spans="1:4" x14ac:dyDescent="0.35">
      <c r="A72" s="11">
        <v>35582</v>
      </c>
      <c r="B72" s="15">
        <f>VLOOKUP(A72,Database!A:Q,MATCH($A$1,Database!$A$1:$Q$1,),)</f>
        <v>11643</v>
      </c>
      <c r="C72" s="12">
        <f t="shared" ref="C72:C135" si="2">(B72-B71)/B71</f>
        <v>2.015245772364847E-2</v>
      </c>
      <c r="D72" s="13">
        <f t="shared" si="1"/>
        <v>2.4461064672239331E-2</v>
      </c>
    </row>
    <row r="73" spans="1:4" x14ac:dyDescent="0.35">
      <c r="A73" s="10">
        <v>35612</v>
      </c>
      <c r="B73" s="15">
        <f>VLOOKUP(A73,Database!A:Q,MATCH($A$1,Database!$A$1:$Q$1,),)</f>
        <v>11735</v>
      </c>
      <c r="C73" s="12">
        <f t="shared" si="2"/>
        <v>7.9017435368891175E-3</v>
      </c>
      <c r="D73" s="13">
        <f t="shared" si="1"/>
        <v>3.7027218098267936E-2</v>
      </c>
    </row>
    <row r="74" spans="1:4" x14ac:dyDescent="0.35">
      <c r="A74" s="11">
        <v>35643</v>
      </c>
      <c r="B74" s="15">
        <f>VLOOKUP(A74,Database!A:Q,MATCH($A$1,Database!$A$1:$Q$1,),)</f>
        <v>11828</v>
      </c>
      <c r="C74" s="12">
        <f t="shared" si="2"/>
        <v>7.9250106518960368E-3</v>
      </c>
      <c r="D74" s="13">
        <f t="shared" si="1"/>
        <v>4.119718309859155E-2</v>
      </c>
    </row>
    <row r="75" spans="1:4" x14ac:dyDescent="0.35">
      <c r="A75" s="10">
        <v>35674</v>
      </c>
      <c r="B75" s="15">
        <f>VLOOKUP(A75,Database!A:Q,MATCH($A$1,Database!$A$1:$Q$1,),)</f>
        <v>11845</v>
      </c>
      <c r="C75" s="12">
        <f t="shared" si="2"/>
        <v>1.4372675008454514E-3</v>
      </c>
      <c r="D75" s="13">
        <f t="shared" si="1"/>
        <v>2.6963759320270505E-2</v>
      </c>
    </row>
    <row r="76" spans="1:4" x14ac:dyDescent="0.35">
      <c r="A76" s="11">
        <v>35704</v>
      </c>
      <c r="B76" s="15">
        <f>VLOOKUP(A76,Database!A:Q,MATCH($A$1,Database!$A$1:$Q$1,),)</f>
        <v>11881</v>
      </c>
      <c r="C76" s="12">
        <f t="shared" si="2"/>
        <v>3.0392570704938795E-3</v>
      </c>
      <c r="D76" s="13">
        <f t="shared" si="1"/>
        <v>2.6258961734473524E-2</v>
      </c>
    </row>
    <row r="77" spans="1:4" x14ac:dyDescent="0.35">
      <c r="A77" s="10">
        <v>35735</v>
      </c>
      <c r="B77" s="15">
        <f>VLOOKUP(A77,Database!A:Q,MATCH($A$1,Database!$A$1:$Q$1,),)</f>
        <v>11936</v>
      </c>
      <c r="C77" s="12">
        <f t="shared" si="2"/>
        <v>4.6292399629660804E-3</v>
      </c>
      <c r="D77" s="13">
        <f t="shared" si="1"/>
        <v>5.4603286799787945E-2</v>
      </c>
    </row>
    <row r="78" spans="1:4" x14ac:dyDescent="0.35">
      <c r="A78" s="11">
        <v>35765</v>
      </c>
      <c r="B78" s="15">
        <f>VLOOKUP(A78,Database!A:Q,MATCH($A$1,Database!$A$1:$Q$1,),)</f>
        <v>12110</v>
      </c>
      <c r="C78" s="12">
        <f t="shared" si="2"/>
        <v>1.4577747989276139E-2</v>
      </c>
      <c r="D78" s="13">
        <f t="shared" si="1"/>
        <v>5.9029296020988192E-2</v>
      </c>
    </row>
    <row r="79" spans="1:4" x14ac:dyDescent="0.35">
      <c r="A79" s="10">
        <v>35796</v>
      </c>
      <c r="B79" s="15">
        <f>VLOOKUP(A79,Database!A:Q,MATCH($A$1,Database!$A$1:$Q$1,),)</f>
        <v>12154</v>
      </c>
      <c r="C79" s="12">
        <f t="shared" si="2"/>
        <v>3.633360858794385E-3</v>
      </c>
      <c r="D79" s="13">
        <f t="shared" si="1"/>
        <v>5.5676192130634933E-2</v>
      </c>
    </row>
    <row r="80" spans="1:4" x14ac:dyDescent="0.35">
      <c r="A80" s="11">
        <v>35827</v>
      </c>
      <c r="B80" s="15">
        <f>VLOOKUP(A80,Database!A:Q,MATCH($A$1,Database!$A$1:$Q$1,),)</f>
        <v>12199</v>
      </c>
      <c r="C80" s="12">
        <f t="shared" si="2"/>
        <v>3.7024847786736878E-3</v>
      </c>
      <c r="D80" s="13">
        <f t="shared" si="1"/>
        <v>6.3742588071154516E-2</v>
      </c>
    </row>
    <row r="81" spans="1:4" x14ac:dyDescent="0.35">
      <c r="A81" s="10">
        <v>35855</v>
      </c>
      <c r="B81" s="15">
        <f>VLOOKUP(A81,Database!A:Q,MATCH($A$1,Database!$A$1:$Q$1,),)</f>
        <v>12164</v>
      </c>
      <c r="C81" s="12">
        <f t="shared" si="2"/>
        <v>-2.8690876301336174E-3</v>
      </c>
      <c r="D81" s="13">
        <f t="shared" si="1"/>
        <v>4.6545642261034158E-2</v>
      </c>
    </row>
    <row r="82" spans="1:4" x14ac:dyDescent="0.35">
      <c r="A82" s="11">
        <v>35886</v>
      </c>
      <c r="B82" s="15">
        <f>VLOOKUP(A82,Database!A:Q,MATCH($A$1,Database!$A$1:$Q$1,),)</f>
        <v>12459</v>
      </c>
      <c r="C82" s="12">
        <f t="shared" si="2"/>
        <v>2.4251890825386386E-2</v>
      </c>
      <c r="D82" s="13">
        <f t="shared" si="1"/>
        <v>0.11290754801250558</v>
      </c>
    </row>
    <row r="83" spans="1:4" x14ac:dyDescent="0.35">
      <c r="A83" s="10">
        <v>35916</v>
      </c>
      <c r="B83" s="15">
        <f>VLOOKUP(A83,Database!A:Q,MATCH($A$1,Database!$A$1:$Q$1,),)</f>
        <v>12304</v>
      </c>
      <c r="C83" s="12">
        <f t="shared" si="2"/>
        <v>-1.2440805843165583E-2</v>
      </c>
      <c r="D83" s="13">
        <f t="shared" ref="D83:D146" si="3">(B83-B71)/B71</f>
        <v>7.806886883378604E-2</v>
      </c>
    </row>
    <row r="84" spans="1:4" x14ac:dyDescent="0.35">
      <c r="A84" s="11">
        <v>35947</v>
      </c>
      <c r="B84" s="15">
        <f>VLOOKUP(A84,Database!A:Q,MATCH($A$1,Database!$A$1:$Q$1,),)</f>
        <v>12447</v>
      </c>
      <c r="C84" s="12">
        <f t="shared" si="2"/>
        <v>1.1622236671001301E-2</v>
      </c>
      <c r="D84" s="13">
        <f t="shared" si="3"/>
        <v>6.9054367431074459E-2</v>
      </c>
    </row>
    <row r="85" spans="1:4" x14ac:dyDescent="0.35">
      <c r="A85" s="10">
        <v>35977</v>
      </c>
      <c r="B85" s="15">
        <f>VLOOKUP(A85,Database!A:Q,MATCH($A$1,Database!$A$1:$Q$1,),)</f>
        <v>12559</v>
      </c>
      <c r="C85" s="12">
        <f t="shared" si="2"/>
        <v>8.9981521651803648E-3</v>
      </c>
      <c r="D85" s="13">
        <f t="shared" si="3"/>
        <v>7.0217298679164888E-2</v>
      </c>
    </row>
    <row r="86" spans="1:4" x14ac:dyDescent="0.35">
      <c r="A86" s="11">
        <v>36008</v>
      </c>
      <c r="B86" s="15">
        <f>VLOOKUP(A86,Database!A:Q,MATCH($A$1,Database!$A$1:$Q$1,),)</f>
        <v>12460</v>
      </c>
      <c r="C86" s="12">
        <f t="shared" si="2"/>
        <v>-7.8827932160203829E-3</v>
      </c>
      <c r="D86" s="13">
        <f t="shared" si="3"/>
        <v>5.3432532972607374E-2</v>
      </c>
    </row>
    <row r="87" spans="1:4" x14ac:dyDescent="0.35">
      <c r="A87" s="10">
        <v>36039</v>
      </c>
      <c r="B87" s="15">
        <f>VLOOKUP(A87,Database!A:Q,MATCH($A$1,Database!$A$1:$Q$1,),)</f>
        <v>12180</v>
      </c>
      <c r="C87" s="12">
        <f t="shared" si="2"/>
        <v>-2.247191011235955E-2</v>
      </c>
      <c r="D87" s="13">
        <f t="shared" si="3"/>
        <v>2.8281975517095822E-2</v>
      </c>
    </row>
    <row r="88" spans="1:4" x14ac:dyDescent="0.35">
      <c r="A88" s="11">
        <v>36069</v>
      </c>
      <c r="B88" s="15">
        <f>VLOOKUP(A88,Database!A:Q,MATCH($A$1,Database!$A$1:$Q$1,),)</f>
        <v>12540</v>
      </c>
      <c r="C88" s="12">
        <f t="shared" si="2"/>
        <v>2.9556650246305417E-2</v>
      </c>
      <c r="D88" s="13">
        <f t="shared" si="3"/>
        <v>5.5466711556266306E-2</v>
      </c>
    </row>
    <row r="89" spans="1:4" x14ac:dyDescent="0.35">
      <c r="A89" s="10">
        <v>36100</v>
      </c>
      <c r="B89" s="15">
        <f>VLOOKUP(A89,Database!A:Q,MATCH($A$1,Database!$A$1:$Q$1,),)</f>
        <v>12736</v>
      </c>
      <c r="C89" s="12">
        <f t="shared" si="2"/>
        <v>1.5629984051036681E-2</v>
      </c>
      <c r="D89" s="13">
        <f t="shared" si="3"/>
        <v>6.7024128686327081E-2</v>
      </c>
    </row>
    <row r="90" spans="1:4" x14ac:dyDescent="0.35">
      <c r="A90" s="11">
        <v>36130</v>
      </c>
      <c r="B90" s="15">
        <f>VLOOKUP(A90,Database!A:Q,MATCH($A$1,Database!$A$1:$Q$1,),)</f>
        <v>12746</v>
      </c>
      <c r="C90" s="12">
        <f t="shared" si="2"/>
        <v>7.8517587939698496E-4</v>
      </c>
      <c r="D90" s="13">
        <f t="shared" si="3"/>
        <v>5.2518579686209745E-2</v>
      </c>
    </row>
    <row r="91" spans="1:4" x14ac:dyDescent="0.35">
      <c r="A91" s="10">
        <v>36161</v>
      </c>
      <c r="B91" s="15">
        <f>VLOOKUP(A91,Database!A:Q,MATCH($A$1,Database!$A$1:$Q$1,),)</f>
        <v>12897</v>
      </c>
      <c r="C91" s="12">
        <f t="shared" si="2"/>
        <v>1.1846853914953711E-2</v>
      </c>
      <c r="D91" s="13">
        <f t="shared" si="3"/>
        <v>6.1132137567878886E-2</v>
      </c>
    </row>
    <row r="92" spans="1:4" x14ac:dyDescent="0.35">
      <c r="A92" s="11">
        <v>36192</v>
      </c>
      <c r="B92" s="15">
        <f>VLOOKUP(A92,Database!A:Q,MATCH($A$1,Database!$A$1:$Q$1,),)</f>
        <v>12920</v>
      </c>
      <c r="C92" s="12">
        <f t="shared" si="2"/>
        <v>1.7833604714274638E-3</v>
      </c>
      <c r="D92" s="13">
        <f t="shared" si="3"/>
        <v>5.9103205180752523E-2</v>
      </c>
    </row>
    <row r="93" spans="1:4" x14ac:dyDescent="0.35">
      <c r="A93" s="10">
        <v>36220</v>
      </c>
      <c r="B93" s="15">
        <f>VLOOKUP(A93,Database!A:Q,MATCH($A$1,Database!$A$1:$Q$1,),)</f>
        <v>13075</v>
      </c>
      <c r="C93" s="12">
        <f t="shared" si="2"/>
        <v>1.1996904024767802E-2</v>
      </c>
      <c r="D93" s="13">
        <f t="shared" si="3"/>
        <v>7.4893127260769479E-2</v>
      </c>
    </row>
    <row r="94" spans="1:4" x14ac:dyDescent="0.35">
      <c r="A94" s="11">
        <v>36251</v>
      </c>
      <c r="B94" s="15">
        <f>VLOOKUP(A94,Database!A:Q,MATCH($A$1,Database!$A$1:$Q$1,),)</f>
        <v>13139</v>
      </c>
      <c r="C94" s="12">
        <f t="shared" si="2"/>
        <v>4.8948374760994263E-3</v>
      </c>
      <c r="D94" s="13">
        <f t="shared" si="3"/>
        <v>5.4579019182919977E-2</v>
      </c>
    </row>
    <row r="95" spans="1:4" x14ac:dyDescent="0.35">
      <c r="A95" s="10">
        <v>36281</v>
      </c>
      <c r="B95" s="15">
        <f>VLOOKUP(A95,Database!A:Q,MATCH($A$1,Database!$A$1:$Q$1,),)</f>
        <v>13373</v>
      </c>
      <c r="C95" s="12">
        <f t="shared" si="2"/>
        <v>1.7809574549052441E-2</v>
      </c>
      <c r="D95" s="13">
        <f t="shared" si="3"/>
        <v>8.6882314694408325E-2</v>
      </c>
    </row>
    <row r="96" spans="1:4" x14ac:dyDescent="0.35">
      <c r="A96" s="11">
        <v>36312</v>
      </c>
      <c r="B96" s="15">
        <f>VLOOKUP(A96,Database!A:Q,MATCH($A$1,Database!$A$1:$Q$1,),)</f>
        <v>13373</v>
      </c>
      <c r="C96" s="12">
        <f t="shared" si="2"/>
        <v>0</v>
      </c>
      <c r="D96" s="13">
        <f t="shared" si="3"/>
        <v>7.4395436651401942E-2</v>
      </c>
    </row>
    <row r="97" spans="1:4" x14ac:dyDescent="0.35">
      <c r="A97" s="10">
        <v>36342</v>
      </c>
      <c r="B97" s="15">
        <f>VLOOKUP(A97,Database!A:Q,MATCH($A$1,Database!$A$1:$Q$1,),)</f>
        <v>13270</v>
      </c>
      <c r="C97" s="12">
        <f t="shared" si="2"/>
        <v>-7.7020862932774999E-3</v>
      </c>
      <c r="D97" s="13">
        <f t="shared" si="3"/>
        <v>5.6612787642328209E-2</v>
      </c>
    </row>
    <row r="98" spans="1:4" x14ac:dyDescent="0.35">
      <c r="A98" s="11">
        <v>36373</v>
      </c>
      <c r="B98" s="15">
        <f>VLOOKUP(A98,Database!A:Q,MATCH($A$1,Database!$A$1:$Q$1,),)</f>
        <v>13404</v>
      </c>
      <c r="C98" s="12">
        <f t="shared" si="2"/>
        <v>1.0097965335342879E-2</v>
      </c>
      <c r="D98" s="13">
        <f t="shared" si="3"/>
        <v>7.5762439807383633E-2</v>
      </c>
    </row>
    <row r="99" spans="1:4" x14ac:dyDescent="0.35">
      <c r="A99" s="10">
        <v>36404</v>
      </c>
      <c r="B99" s="15">
        <f>VLOOKUP(A99,Database!A:Q,MATCH($A$1,Database!$A$1:$Q$1,),)</f>
        <v>13381</v>
      </c>
      <c r="C99" s="12">
        <f t="shared" si="2"/>
        <v>-1.7159056997911072E-3</v>
      </c>
      <c r="D99" s="13">
        <f t="shared" si="3"/>
        <v>9.8604269293924462E-2</v>
      </c>
    </row>
    <row r="100" spans="1:4" x14ac:dyDescent="0.35">
      <c r="A100" s="11">
        <v>36434</v>
      </c>
      <c r="B100" s="15">
        <f>VLOOKUP(A100,Database!A:Q,MATCH($A$1,Database!$A$1:$Q$1,),)</f>
        <v>13400</v>
      </c>
      <c r="C100" s="12">
        <f t="shared" si="2"/>
        <v>1.4199237725132652E-3</v>
      </c>
      <c r="D100" s="13">
        <f t="shared" si="3"/>
        <v>6.8580542264752797E-2</v>
      </c>
    </row>
    <row r="101" spans="1:4" x14ac:dyDescent="0.35">
      <c r="A101" s="10">
        <v>36465</v>
      </c>
      <c r="B101" s="15">
        <f>VLOOKUP(A101,Database!A:Q,MATCH($A$1,Database!$A$1:$Q$1,),)</f>
        <v>13416</v>
      </c>
      <c r="C101" s="12">
        <f t="shared" si="2"/>
        <v>1.1940298507462687E-3</v>
      </c>
      <c r="D101" s="13">
        <f t="shared" si="3"/>
        <v>5.3391959798994977E-2</v>
      </c>
    </row>
    <row r="102" spans="1:4" x14ac:dyDescent="0.35">
      <c r="A102" s="11">
        <v>36495</v>
      </c>
      <c r="B102" s="15">
        <f>VLOOKUP(A102,Database!A:Q,MATCH($A$1,Database!$A$1:$Q$1,),)</f>
        <v>13573</v>
      </c>
      <c r="C102" s="12">
        <f t="shared" si="2"/>
        <v>1.1702444841979725E-2</v>
      </c>
      <c r="D102" s="13">
        <f t="shared" si="3"/>
        <v>6.4883100580574296E-2</v>
      </c>
    </row>
    <row r="103" spans="1:4" x14ac:dyDescent="0.35">
      <c r="A103" s="10">
        <v>36526</v>
      </c>
      <c r="B103" s="15">
        <f>VLOOKUP(A103,Database!A:Q,MATCH($A$1,Database!$A$1:$Q$1,),)</f>
        <v>13301</v>
      </c>
      <c r="C103" s="12">
        <f t="shared" si="2"/>
        <v>-2.0039784867015398E-2</v>
      </c>
      <c r="D103" s="13">
        <f t="shared" si="3"/>
        <v>3.1325114367682406E-2</v>
      </c>
    </row>
    <row r="104" spans="1:4" x14ac:dyDescent="0.35">
      <c r="A104" s="11">
        <v>36557</v>
      </c>
      <c r="B104" s="15">
        <f>VLOOKUP(A104,Database!A:Q,MATCH($A$1,Database!$A$1:$Q$1,),)</f>
        <v>13532</v>
      </c>
      <c r="C104" s="12">
        <f t="shared" si="2"/>
        <v>1.7367115254492145E-2</v>
      </c>
      <c r="D104" s="13">
        <f t="shared" si="3"/>
        <v>4.736842105263158E-2</v>
      </c>
    </row>
    <row r="105" spans="1:4" x14ac:dyDescent="0.35">
      <c r="A105" s="10">
        <v>36586</v>
      </c>
      <c r="B105" s="15">
        <f>VLOOKUP(A105,Database!A:Q,MATCH($A$1,Database!$A$1:$Q$1,),)</f>
        <v>13818</v>
      </c>
      <c r="C105" s="12">
        <f t="shared" si="2"/>
        <v>2.1135087200709429E-2</v>
      </c>
      <c r="D105" s="13">
        <f t="shared" si="3"/>
        <v>5.6826003824091781E-2</v>
      </c>
    </row>
    <row r="106" spans="1:4" x14ac:dyDescent="0.35">
      <c r="A106" s="11">
        <v>36617</v>
      </c>
      <c r="B106" s="15">
        <f>VLOOKUP(A106,Database!A:Q,MATCH($A$1,Database!$A$1:$Q$1,),)</f>
        <v>13801</v>
      </c>
      <c r="C106" s="12">
        <f t="shared" si="2"/>
        <v>-1.2302793457808655E-3</v>
      </c>
      <c r="D106" s="13">
        <f t="shared" si="3"/>
        <v>5.0384351929370574E-2</v>
      </c>
    </row>
    <row r="107" spans="1:4" x14ac:dyDescent="0.35">
      <c r="A107" s="10">
        <v>36647</v>
      </c>
      <c r="B107" s="15">
        <f>VLOOKUP(A107,Database!A:Q,MATCH($A$1,Database!$A$1:$Q$1,),)</f>
        <v>14027</v>
      </c>
      <c r="C107" s="12">
        <f t="shared" si="2"/>
        <v>1.6375624954713428E-2</v>
      </c>
      <c r="D107" s="13">
        <f t="shared" si="3"/>
        <v>4.8904509085470727E-2</v>
      </c>
    </row>
    <row r="108" spans="1:4" x14ac:dyDescent="0.35">
      <c r="A108" s="11">
        <v>36678</v>
      </c>
      <c r="B108" s="15">
        <f>VLOOKUP(A108,Database!A:Q,MATCH($A$1,Database!$A$1:$Q$1,),)</f>
        <v>13864</v>
      </c>
      <c r="C108" s="12">
        <f t="shared" si="2"/>
        <v>-1.1620446282170101E-2</v>
      </c>
      <c r="D108" s="13">
        <f t="shared" si="3"/>
        <v>3.6715770582517009E-2</v>
      </c>
    </row>
    <row r="109" spans="1:4" x14ac:dyDescent="0.35">
      <c r="A109" s="10">
        <v>36708</v>
      </c>
      <c r="B109" s="15">
        <f>VLOOKUP(A109,Database!A:Q,MATCH($A$1,Database!$A$1:$Q$1,),)</f>
        <v>13722</v>
      </c>
      <c r="C109" s="12">
        <f t="shared" si="2"/>
        <v>-1.0242354298903635E-2</v>
      </c>
      <c r="D109" s="13">
        <f t="shared" si="3"/>
        <v>3.4061793519216274E-2</v>
      </c>
    </row>
    <row r="110" spans="1:4" x14ac:dyDescent="0.35">
      <c r="A110" s="11">
        <v>36739</v>
      </c>
      <c r="B110" s="15">
        <f>VLOOKUP(A110,Database!A:Q,MATCH($A$1,Database!$A$1:$Q$1,),)</f>
        <v>14072</v>
      </c>
      <c r="C110" s="12">
        <f t="shared" si="2"/>
        <v>2.55064859349949E-2</v>
      </c>
      <c r="D110" s="13">
        <f t="shared" si="3"/>
        <v>4.9835869889585195E-2</v>
      </c>
    </row>
    <row r="111" spans="1:4" x14ac:dyDescent="0.35">
      <c r="A111" s="10">
        <v>36770</v>
      </c>
      <c r="B111" s="15">
        <f>VLOOKUP(A111,Database!A:Q,MATCH($A$1,Database!$A$1:$Q$1,),)</f>
        <v>14366</v>
      </c>
      <c r="C111" s="12">
        <f t="shared" si="2"/>
        <v>2.0892552586696988E-2</v>
      </c>
      <c r="D111" s="13">
        <f t="shared" si="3"/>
        <v>7.3611837680292946E-2</v>
      </c>
    </row>
    <row r="112" spans="1:4" x14ac:dyDescent="0.35">
      <c r="A112" s="11">
        <v>36800</v>
      </c>
      <c r="B112" s="15">
        <f>VLOOKUP(A112,Database!A:Q,MATCH($A$1,Database!$A$1:$Q$1,),)</f>
        <v>14231</v>
      </c>
      <c r="C112" s="12">
        <f t="shared" si="2"/>
        <v>-9.3971878045384944E-3</v>
      </c>
      <c r="D112" s="13">
        <f t="shared" si="3"/>
        <v>6.2014925373134328E-2</v>
      </c>
    </row>
    <row r="113" spans="1:4" x14ac:dyDescent="0.35">
      <c r="A113" s="10">
        <v>36831</v>
      </c>
      <c r="B113" s="15">
        <f>VLOOKUP(A113,Database!A:Q,MATCH($A$1,Database!$A$1:$Q$1,),)</f>
        <v>14294</v>
      </c>
      <c r="C113" s="12">
        <f t="shared" si="2"/>
        <v>4.426955238563699E-3</v>
      </c>
      <c r="D113" s="13">
        <f t="shared" si="3"/>
        <v>6.5444245676803819E-2</v>
      </c>
    </row>
    <row r="114" spans="1:4" x14ac:dyDescent="0.35">
      <c r="A114" s="11">
        <v>36861</v>
      </c>
      <c r="B114" s="15">
        <f>VLOOKUP(A114,Database!A:Q,MATCH($A$1,Database!$A$1:$Q$1,),)</f>
        <v>14084</v>
      </c>
      <c r="C114" s="12">
        <f t="shared" si="2"/>
        <v>-1.4691478942213516E-2</v>
      </c>
      <c r="D114" s="13">
        <f t="shared" si="3"/>
        <v>3.7648272305312015E-2</v>
      </c>
    </row>
    <row r="115" spans="1:4" x14ac:dyDescent="0.35">
      <c r="A115" s="10">
        <v>36892</v>
      </c>
      <c r="B115" s="15">
        <f>VLOOKUP(A115,Database!A:Q,MATCH($A$1,Database!$A$1:$Q$1,),)</f>
        <v>14135</v>
      </c>
      <c r="C115" s="12">
        <f t="shared" si="2"/>
        <v>3.6211303606929848E-3</v>
      </c>
      <c r="D115" s="13">
        <f t="shared" si="3"/>
        <v>6.2702052477257353E-2</v>
      </c>
    </row>
    <row r="116" spans="1:4" x14ac:dyDescent="0.35">
      <c r="A116" s="11">
        <v>36923</v>
      </c>
      <c r="B116" s="15">
        <f>VLOOKUP(A116,Database!A:Q,MATCH($A$1,Database!$A$1:$Q$1,),)</f>
        <v>14166</v>
      </c>
      <c r="C116" s="12">
        <f t="shared" si="2"/>
        <v>2.1931376016979128E-3</v>
      </c>
      <c r="D116" s="13">
        <f t="shared" si="3"/>
        <v>4.6851906591782441E-2</v>
      </c>
    </row>
    <row r="117" spans="1:4" x14ac:dyDescent="0.35">
      <c r="A117" s="10">
        <v>36951</v>
      </c>
      <c r="B117" s="15">
        <f>VLOOKUP(A117,Database!A:Q,MATCH($A$1,Database!$A$1:$Q$1,),)</f>
        <v>13801</v>
      </c>
      <c r="C117" s="12">
        <f t="shared" si="2"/>
        <v>-2.5765918396159819E-2</v>
      </c>
      <c r="D117" s="13">
        <f t="shared" si="3"/>
        <v>-1.2302793457808655E-3</v>
      </c>
    </row>
    <row r="118" spans="1:4" x14ac:dyDescent="0.35">
      <c r="A118" s="11">
        <v>36982</v>
      </c>
      <c r="B118" s="15">
        <f>VLOOKUP(A118,Database!A:Q,MATCH($A$1,Database!$A$1:$Q$1,),)</f>
        <v>14217</v>
      </c>
      <c r="C118" s="12">
        <f t="shared" si="2"/>
        <v>3.01427432794725E-2</v>
      </c>
      <c r="D118" s="13">
        <f t="shared" si="3"/>
        <v>3.01427432794725E-2</v>
      </c>
    </row>
    <row r="119" spans="1:4" x14ac:dyDescent="0.35">
      <c r="A119" s="10">
        <v>37012</v>
      </c>
      <c r="B119" s="15">
        <f>VLOOKUP(A119,Database!A:Q,MATCH($A$1,Database!$A$1:$Q$1,),)</f>
        <v>13950</v>
      </c>
      <c r="C119" s="12">
        <f t="shared" si="2"/>
        <v>-1.8780333403671662E-2</v>
      </c>
      <c r="D119" s="13">
        <f t="shared" si="3"/>
        <v>-5.4894132743993724E-3</v>
      </c>
    </row>
    <row r="120" spans="1:4" x14ac:dyDescent="0.35">
      <c r="A120" s="11">
        <v>37043</v>
      </c>
      <c r="B120" s="15">
        <f>VLOOKUP(A120,Database!A:Q,MATCH($A$1,Database!$A$1:$Q$1,),)</f>
        <v>13804</v>
      </c>
      <c r="C120" s="12">
        <f t="shared" si="2"/>
        <v>-1.0465949820788531E-2</v>
      </c>
      <c r="D120" s="13">
        <f t="shared" si="3"/>
        <v>-4.3277553375649161E-3</v>
      </c>
    </row>
    <row r="121" spans="1:4" x14ac:dyDescent="0.35">
      <c r="A121" s="10">
        <v>37073</v>
      </c>
      <c r="B121" s="15">
        <f>VLOOKUP(A121,Database!A:Q,MATCH($A$1,Database!$A$1:$Q$1,),)</f>
        <v>13994</v>
      </c>
      <c r="C121" s="12">
        <f t="shared" si="2"/>
        <v>1.3764126340191248E-2</v>
      </c>
      <c r="D121" s="13">
        <f t="shared" si="3"/>
        <v>1.9822183355196036E-2</v>
      </c>
    </row>
    <row r="122" spans="1:4" x14ac:dyDescent="0.35">
      <c r="A122" s="11">
        <v>37104</v>
      </c>
      <c r="B122" s="15">
        <f>VLOOKUP(A122,Database!A:Q,MATCH($A$1,Database!$A$1:$Q$1,),)</f>
        <v>14171</v>
      </c>
      <c r="C122" s="12">
        <f t="shared" si="2"/>
        <v>1.2648277833357154E-2</v>
      </c>
      <c r="D122" s="13">
        <f t="shared" si="3"/>
        <v>7.0352472996020468E-3</v>
      </c>
    </row>
    <row r="123" spans="1:4" x14ac:dyDescent="0.35">
      <c r="A123" s="10">
        <v>37135</v>
      </c>
      <c r="B123" s="15">
        <f>VLOOKUP(A123,Database!A:Q,MATCH($A$1,Database!$A$1:$Q$1,),)</f>
        <v>13286</v>
      </c>
      <c r="C123" s="12">
        <f t="shared" si="2"/>
        <v>-6.245148542798673E-2</v>
      </c>
      <c r="D123" s="13">
        <f t="shared" si="3"/>
        <v>-7.5177502436307955E-2</v>
      </c>
    </row>
    <row r="124" spans="1:4" x14ac:dyDescent="0.35">
      <c r="A124" s="11">
        <v>37165</v>
      </c>
      <c r="B124" s="15">
        <f>VLOOKUP(A124,Database!A:Q,MATCH($A$1,Database!$A$1:$Q$1,),)</f>
        <v>13973</v>
      </c>
      <c r="C124" s="12">
        <f t="shared" si="2"/>
        <v>5.1708565407195546E-2</v>
      </c>
      <c r="D124" s="13">
        <f t="shared" si="3"/>
        <v>-1.8129435738879911E-2</v>
      </c>
    </row>
    <row r="125" spans="1:4" x14ac:dyDescent="0.35">
      <c r="A125" s="10">
        <v>37196</v>
      </c>
      <c r="B125" s="15">
        <f>VLOOKUP(A125,Database!A:Q,MATCH($A$1,Database!$A$1:$Q$1,),)</f>
        <v>13970</v>
      </c>
      <c r="C125" s="12">
        <f t="shared" si="2"/>
        <v>-2.1469977814356258E-4</v>
      </c>
      <c r="D125" s="13">
        <f t="shared" si="3"/>
        <v>-2.2666853225129426E-2</v>
      </c>
    </row>
    <row r="126" spans="1:4" x14ac:dyDescent="0.35">
      <c r="A126" s="11">
        <v>37226</v>
      </c>
      <c r="B126" s="15">
        <f>VLOOKUP(A126,Database!A:Q,MATCH($A$1,Database!$A$1:$Q$1,),)</f>
        <v>14126</v>
      </c>
      <c r="C126" s="12">
        <f t="shared" si="2"/>
        <v>1.1166785969935577E-2</v>
      </c>
      <c r="D126" s="13">
        <f t="shared" si="3"/>
        <v>2.982107355864811E-3</v>
      </c>
    </row>
    <row r="127" spans="1:4" x14ac:dyDescent="0.35">
      <c r="A127" s="10">
        <v>37257</v>
      </c>
      <c r="B127" s="15">
        <f>VLOOKUP(A127,Database!A:Q,MATCH($A$1,Database!$A$1:$Q$1,),)</f>
        <v>14220</v>
      </c>
      <c r="C127" s="12">
        <f t="shared" si="2"/>
        <v>6.6543961489452077E-3</v>
      </c>
      <c r="D127" s="13">
        <f t="shared" si="3"/>
        <v>6.013441811107181E-3</v>
      </c>
    </row>
    <row r="128" spans="1:4" x14ac:dyDescent="0.35">
      <c r="A128" s="11">
        <v>37288</v>
      </c>
      <c r="B128" s="15">
        <f>VLOOKUP(A128,Database!A:Q,MATCH($A$1,Database!$A$1:$Q$1,),)</f>
        <v>14357</v>
      </c>
      <c r="C128" s="12">
        <f t="shared" si="2"/>
        <v>9.6343178621659635E-3</v>
      </c>
      <c r="D128" s="13">
        <f t="shared" si="3"/>
        <v>1.348298743470281E-2</v>
      </c>
    </row>
    <row r="129" spans="1:4" x14ac:dyDescent="0.35">
      <c r="A129" s="10">
        <v>37316</v>
      </c>
      <c r="B129" s="15">
        <f>VLOOKUP(A129,Database!A:Q,MATCH($A$1,Database!$A$1:$Q$1,),)</f>
        <v>14436</v>
      </c>
      <c r="C129" s="12">
        <f t="shared" si="2"/>
        <v>5.5025423138538691E-3</v>
      </c>
      <c r="D129" s="13">
        <f t="shared" si="3"/>
        <v>4.6011158611694802E-2</v>
      </c>
    </row>
    <row r="130" spans="1:4" x14ac:dyDescent="0.35">
      <c r="A130" s="11">
        <v>37347</v>
      </c>
      <c r="B130" s="15">
        <f>VLOOKUP(A130,Database!A:Q,MATCH($A$1,Database!$A$1:$Q$1,),)</f>
        <v>14410</v>
      </c>
      <c r="C130" s="12">
        <f t="shared" si="2"/>
        <v>-1.8010529232474369E-3</v>
      </c>
      <c r="D130" s="13">
        <f t="shared" si="3"/>
        <v>1.3575297179433073E-2</v>
      </c>
    </row>
    <row r="131" spans="1:4" x14ac:dyDescent="0.35">
      <c r="A131" s="10">
        <v>37377</v>
      </c>
      <c r="B131" s="15">
        <f>VLOOKUP(A131,Database!A:Q,MATCH($A$1,Database!$A$1:$Q$1,),)</f>
        <v>14220</v>
      </c>
      <c r="C131" s="12">
        <f t="shared" si="2"/>
        <v>-1.31852879944483E-2</v>
      </c>
      <c r="D131" s="13">
        <f t="shared" si="3"/>
        <v>1.935483870967742E-2</v>
      </c>
    </row>
    <row r="132" spans="1:4" x14ac:dyDescent="0.35">
      <c r="A132" s="11">
        <v>37408</v>
      </c>
      <c r="B132" s="15">
        <f>VLOOKUP(A132,Database!A:Q,MATCH($A$1,Database!$A$1:$Q$1,),)</f>
        <v>14366</v>
      </c>
      <c r="C132" s="12">
        <f t="shared" si="2"/>
        <v>1.0267229254571027E-2</v>
      </c>
      <c r="D132" s="13">
        <f t="shared" si="3"/>
        <v>4.0712836858881482E-2</v>
      </c>
    </row>
    <row r="133" spans="1:4" x14ac:dyDescent="0.35">
      <c r="A133" s="10">
        <v>37438</v>
      </c>
      <c r="B133" s="15">
        <f>VLOOKUP(A133,Database!A:Q,MATCH($A$1,Database!$A$1:$Q$1,),)</f>
        <v>14200</v>
      </c>
      <c r="C133" s="12">
        <f t="shared" si="2"/>
        <v>-1.155506055965474E-2</v>
      </c>
      <c r="D133" s="13">
        <f t="shared" si="3"/>
        <v>1.4720594540517365E-2</v>
      </c>
    </row>
    <row r="134" spans="1:4" x14ac:dyDescent="0.35">
      <c r="A134" s="11">
        <v>37469</v>
      </c>
      <c r="B134" s="15">
        <f>VLOOKUP(A134,Database!A:Q,MATCH($A$1,Database!$A$1:$Q$1,),)</f>
        <v>14338</v>
      </c>
      <c r="C134" s="12">
        <f t="shared" si="2"/>
        <v>9.7183098591549291E-3</v>
      </c>
      <c r="D134" s="13">
        <f t="shared" si="3"/>
        <v>1.1784630583586198E-2</v>
      </c>
    </row>
    <row r="135" spans="1:4" x14ac:dyDescent="0.35">
      <c r="A135" s="10">
        <v>37500</v>
      </c>
      <c r="B135" s="15">
        <f>VLOOKUP(A135,Database!A:Q,MATCH($A$1,Database!$A$1:$Q$1,),)</f>
        <v>13966</v>
      </c>
      <c r="C135" s="12">
        <f t="shared" si="2"/>
        <v>-2.5945041149393222E-2</v>
      </c>
      <c r="D135" s="13">
        <f t="shared" si="3"/>
        <v>5.1181695017311457E-2</v>
      </c>
    </row>
    <row r="136" spans="1:4" x14ac:dyDescent="0.35">
      <c r="A136" s="11">
        <v>37530</v>
      </c>
      <c r="B136" s="15">
        <f>VLOOKUP(A136,Database!A:Q,MATCH($A$1,Database!$A$1:$Q$1,),)</f>
        <v>14625</v>
      </c>
      <c r="C136" s="12">
        <f t="shared" ref="C136:C199" si="4">(B136-B135)/B135</f>
        <v>4.7186023199198054E-2</v>
      </c>
      <c r="D136" s="13">
        <f t="shared" si="3"/>
        <v>4.6661418449867605E-2</v>
      </c>
    </row>
    <row r="137" spans="1:4" x14ac:dyDescent="0.35">
      <c r="A137" s="10">
        <v>37561</v>
      </c>
      <c r="B137" s="15">
        <f>VLOOKUP(A137,Database!A:Q,MATCH($A$1,Database!$A$1:$Q$1,),)</f>
        <v>14456</v>
      </c>
      <c r="C137" s="12">
        <f t="shared" si="4"/>
        <v>-1.1555555555555555E-2</v>
      </c>
      <c r="D137" s="13">
        <f t="shared" si="3"/>
        <v>3.4788833214030063E-2</v>
      </c>
    </row>
    <row r="138" spans="1:4" x14ac:dyDescent="0.35">
      <c r="A138" s="11">
        <v>37591</v>
      </c>
      <c r="B138" s="15">
        <f>VLOOKUP(A138,Database!A:Q,MATCH($A$1,Database!$A$1:$Q$1,),)</f>
        <v>14714</v>
      </c>
      <c r="C138" s="12">
        <f t="shared" si="4"/>
        <v>1.7847260653016048E-2</v>
      </c>
      <c r="D138" s="13">
        <f t="shared" si="3"/>
        <v>4.1625371655104063E-2</v>
      </c>
    </row>
    <row r="139" spans="1:4" x14ac:dyDescent="0.35">
      <c r="A139" s="10">
        <v>37622</v>
      </c>
      <c r="B139" s="15">
        <f>VLOOKUP(A139,Database!A:Q,MATCH($A$1,Database!$A$1:$Q$1,),)</f>
        <v>14565</v>
      </c>
      <c r="C139" s="12">
        <f t="shared" si="4"/>
        <v>-1.01264102215577E-2</v>
      </c>
      <c r="D139" s="13">
        <f t="shared" si="3"/>
        <v>2.4261603375527425E-2</v>
      </c>
    </row>
    <row r="140" spans="1:4" x14ac:dyDescent="0.35">
      <c r="A140" s="11">
        <v>37653</v>
      </c>
      <c r="B140" s="15">
        <f>VLOOKUP(A140,Database!A:Q,MATCH($A$1,Database!$A$1:$Q$1,),)</f>
        <v>14142</v>
      </c>
      <c r="C140" s="12">
        <f t="shared" si="4"/>
        <v>-2.9042224510813595E-2</v>
      </c>
      <c r="D140" s="13">
        <f t="shared" si="3"/>
        <v>-1.4975273385804833E-2</v>
      </c>
    </row>
    <row r="141" spans="1:4" x14ac:dyDescent="0.35">
      <c r="A141" s="10">
        <v>37681</v>
      </c>
      <c r="B141" s="15">
        <f>VLOOKUP(A141,Database!A:Q,MATCH($A$1,Database!$A$1:$Q$1,),)</f>
        <v>14465</v>
      </c>
      <c r="C141" s="12">
        <f t="shared" si="4"/>
        <v>2.2839768066751521E-2</v>
      </c>
      <c r="D141" s="13">
        <f t="shared" si="3"/>
        <v>2.0088667220836795E-3</v>
      </c>
    </row>
    <row r="142" spans="1:4" x14ac:dyDescent="0.35">
      <c r="A142" s="11">
        <v>37712</v>
      </c>
      <c r="B142" s="15">
        <f>VLOOKUP(A142,Database!A:Q,MATCH($A$1,Database!$A$1:$Q$1,),)</f>
        <v>14434</v>
      </c>
      <c r="C142" s="12">
        <f t="shared" si="4"/>
        <v>-2.1431040442447288E-3</v>
      </c>
      <c r="D142" s="13">
        <f t="shared" si="3"/>
        <v>1.6655100624566274E-3</v>
      </c>
    </row>
    <row r="143" spans="1:4" x14ac:dyDescent="0.35">
      <c r="A143" s="10">
        <v>37742</v>
      </c>
      <c r="B143" s="15">
        <f>VLOOKUP(A143,Database!A:Q,MATCH($A$1,Database!$A$1:$Q$1,),)</f>
        <v>14651</v>
      </c>
      <c r="C143" s="12">
        <f t="shared" si="4"/>
        <v>1.5033947623666343E-2</v>
      </c>
      <c r="D143" s="13">
        <f t="shared" si="3"/>
        <v>3.0309423347398032E-2</v>
      </c>
    </row>
    <row r="144" spans="1:4" x14ac:dyDescent="0.35">
      <c r="A144" s="11">
        <v>37773</v>
      </c>
      <c r="B144" s="15">
        <f>VLOOKUP(A144,Database!A:Q,MATCH($A$1,Database!$A$1:$Q$1,),)</f>
        <v>14894</v>
      </c>
      <c r="C144" s="12">
        <f t="shared" si="4"/>
        <v>1.6585898573476213E-2</v>
      </c>
      <c r="D144" s="13">
        <f t="shared" si="3"/>
        <v>3.6753445635528334E-2</v>
      </c>
    </row>
    <row r="145" spans="1:4" x14ac:dyDescent="0.35">
      <c r="A145" s="10">
        <v>37803</v>
      </c>
      <c r="B145" s="15">
        <f>VLOOKUP(A145,Database!A:Q,MATCH($A$1,Database!$A$1:$Q$1,),)</f>
        <v>15141</v>
      </c>
      <c r="C145" s="12">
        <f t="shared" si="4"/>
        <v>1.6583859272190145E-2</v>
      </c>
      <c r="D145" s="13">
        <f t="shared" si="3"/>
        <v>6.6267605633802823E-2</v>
      </c>
    </row>
    <row r="146" spans="1:4" x14ac:dyDescent="0.35">
      <c r="A146" s="11">
        <v>37834</v>
      </c>
      <c r="B146" s="15">
        <f>VLOOKUP(A146,Database!A:Q,MATCH($A$1,Database!$A$1:$Q$1,),)</f>
        <v>15089</v>
      </c>
      <c r="C146" s="12">
        <f t="shared" si="4"/>
        <v>-3.434383462122713E-3</v>
      </c>
      <c r="D146" s="13">
        <f t="shared" si="3"/>
        <v>5.2378295438694378E-2</v>
      </c>
    </row>
    <row r="147" spans="1:4" x14ac:dyDescent="0.35">
      <c r="A147" s="10">
        <v>37865</v>
      </c>
      <c r="B147" s="15">
        <f>VLOOKUP(A147,Database!A:Q,MATCH($A$1,Database!$A$1:$Q$1,),)</f>
        <v>15175</v>
      </c>
      <c r="C147" s="12">
        <f t="shared" si="4"/>
        <v>5.6995162038571143E-3</v>
      </c>
      <c r="D147" s="13">
        <f t="shared" ref="D147:D210" si="5">(B147-B135)/B135</f>
        <v>8.6567377917800378E-2</v>
      </c>
    </row>
    <row r="148" spans="1:4" x14ac:dyDescent="0.35">
      <c r="A148" s="11">
        <v>37895</v>
      </c>
      <c r="B148" s="15">
        <f>VLOOKUP(A148,Database!A:Q,MATCH($A$1,Database!$A$1:$Q$1,),)</f>
        <v>15067</v>
      </c>
      <c r="C148" s="12">
        <f t="shared" si="4"/>
        <v>-7.1169686985172982E-3</v>
      </c>
      <c r="D148" s="13">
        <f t="shared" si="5"/>
        <v>3.0222222222222223E-2</v>
      </c>
    </row>
    <row r="149" spans="1:4" x14ac:dyDescent="0.35">
      <c r="A149" s="10">
        <v>37926</v>
      </c>
      <c r="B149" s="15">
        <f>VLOOKUP(A149,Database!A:Q,MATCH($A$1,Database!$A$1:$Q$1,),)</f>
        <v>15338</v>
      </c>
      <c r="C149" s="12">
        <f t="shared" si="4"/>
        <v>1.7986327736112032E-2</v>
      </c>
      <c r="D149" s="13">
        <f t="shared" si="5"/>
        <v>6.1012728278915331E-2</v>
      </c>
    </row>
    <row r="150" spans="1:4" x14ac:dyDescent="0.35">
      <c r="A150" s="11">
        <v>37956</v>
      </c>
      <c r="B150" s="15">
        <f>VLOOKUP(A150,Database!A:Q,MATCH($A$1,Database!$A$1:$Q$1,),)</f>
        <v>15456</v>
      </c>
      <c r="C150" s="12">
        <f t="shared" si="4"/>
        <v>7.693310731516495E-3</v>
      </c>
      <c r="D150" s="13">
        <f t="shared" si="5"/>
        <v>5.0428163653663177E-2</v>
      </c>
    </row>
    <row r="151" spans="1:4" x14ac:dyDescent="0.35">
      <c r="A151" s="10">
        <v>37987</v>
      </c>
      <c r="B151" s="15">
        <f>VLOOKUP(A151,Database!A:Q,MATCH($A$1,Database!$A$1:$Q$1,),)</f>
        <v>15513</v>
      </c>
      <c r="C151" s="12">
        <f t="shared" si="4"/>
        <v>3.687888198757764E-3</v>
      </c>
      <c r="D151" s="13">
        <f t="shared" si="5"/>
        <v>6.5087538619979401E-2</v>
      </c>
    </row>
    <row r="152" spans="1:4" x14ac:dyDescent="0.35">
      <c r="A152" s="11">
        <v>38018</v>
      </c>
      <c r="B152" s="15">
        <f>VLOOKUP(A152,Database!A:Q,MATCH($A$1,Database!$A$1:$Q$1,),)</f>
        <v>15687</v>
      </c>
      <c r="C152" s="12">
        <f t="shared" si="4"/>
        <v>1.1216399149100754E-2</v>
      </c>
      <c r="D152" s="13">
        <f t="shared" si="5"/>
        <v>0.10924904539669071</v>
      </c>
    </row>
    <row r="153" spans="1:4" x14ac:dyDescent="0.35">
      <c r="A153" s="10">
        <v>38047</v>
      </c>
      <c r="B153" s="15">
        <f>VLOOKUP(A153,Database!A:Q,MATCH($A$1,Database!$A$1:$Q$1,),)</f>
        <v>15984</v>
      </c>
      <c r="C153" s="12">
        <f t="shared" si="4"/>
        <v>1.8932874354561102E-2</v>
      </c>
      <c r="D153" s="13">
        <f t="shared" si="5"/>
        <v>0.1050120981679917</v>
      </c>
    </row>
    <row r="154" spans="1:4" x14ac:dyDescent="0.35">
      <c r="A154" s="11">
        <v>38078</v>
      </c>
      <c r="B154" s="15">
        <f>VLOOKUP(A154,Database!A:Q,MATCH($A$1,Database!$A$1:$Q$1,),)</f>
        <v>15567</v>
      </c>
      <c r="C154" s="12">
        <f t="shared" si="4"/>
        <v>-2.6088588588588587E-2</v>
      </c>
      <c r="D154" s="13">
        <f t="shared" si="5"/>
        <v>7.8495219620340867E-2</v>
      </c>
    </row>
    <row r="155" spans="1:4" x14ac:dyDescent="0.35">
      <c r="A155" s="10">
        <v>38108</v>
      </c>
      <c r="B155" s="15">
        <f>VLOOKUP(A155,Database!A:Q,MATCH($A$1,Database!$A$1:$Q$1,),)</f>
        <v>15736</v>
      </c>
      <c r="C155" s="12">
        <f t="shared" si="4"/>
        <v>1.0856298580330185E-2</v>
      </c>
      <c r="D155" s="13">
        <f t="shared" si="5"/>
        <v>7.4056378404204495E-2</v>
      </c>
    </row>
    <row r="156" spans="1:4" x14ac:dyDescent="0.35">
      <c r="A156" s="11">
        <v>38139</v>
      </c>
      <c r="B156" s="15">
        <f>VLOOKUP(A156,Database!A:Q,MATCH($A$1,Database!$A$1:$Q$1,),)</f>
        <v>15555</v>
      </c>
      <c r="C156" s="12">
        <f t="shared" si="4"/>
        <v>-1.1502287747839349E-2</v>
      </c>
      <c r="D156" s="13">
        <f t="shared" si="5"/>
        <v>4.4380287364039213E-2</v>
      </c>
    </row>
    <row r="157" spans="1:4" x14ac:dyDescent="0.35">
      <c r="A157" s="10">
        <v>38169</v>
      </c>
      <c r="B157" s="15">
        <f>VLOOKUP(A157,Database!A:Q,MATCH($A$1,Database!$A$1:$Q$1,),)</f>
        <v>15645</v>
      </c>
      <c r="C157" s="12">
        <f t="shared" si="4"/>
        <v>5.7859209257473485E-3</v>
      </c>
      <c r="D157" s="13">
        <f t="shared" si="5"/>
        <v>3.3287101248266296E-2</v>
      </c>
    </row>
    <row r="158" spans="1:4" x14ac:dyDescent="0.35">
      <c r="A158" s="11">
        <v>38200</v>
      </c>
      <c r="B158" s="15">
        <f>VLOOKUP(A158,Database!A:Q,MATCH($A$1,Database!$A$1:$Q$1,),)</f>
        <v>15660</v>
      </c>
      <c r="C158" s="12">
        <f t="shared" si="4"/>
        <v>9.5877277085330771E-4</v>
      </c>
      <c r="D158" s="13">
        <f t="shared" si="5"/>
        <v>3.7842136655842004E-2</v>
      </c>
    </row>
    <row r="159" spans="1:4" x14ac:dyDescent="0.35">
      <c r="A159" s="10">
        <v>38231</v>
      </c>
      <c r="B159" s="15">
        <f>VLOOKUP(A159,Database!A:Q,MATCH($A$1,Database!$A$1:$Q$1,),)</f>
        <v>15764</v>
      </c>
      <c r="C159" s="12">
        <f t="shared" si="4"/>
        <v>6.6411238825031926E-3</v>
      </c>
      <c r="D159" s="13">
        <f t="shared" si="5"/>
        <v>3.8813838550247115E-2</v>
      </c>
    </row>
    <row r="160" spans="1:4" x14ac:dyDescent="0.35">
      <c r="A160" s="11">
        <v>38261</v>
      </c>
      <c r="B160" s="15">
        <f>VLOOKUP(A160,Database!A:Q,MATCH($A$1,Database!$A$1:$Q$1,),)</f>
        <v>16055</v>
      </c>
      <c r="C160" s="12">
        <f t="shared" si="4"/>
        <v>1.8459781781273787E-2</v>
      </c>
      <c r="D160" s="13">
        <f t="shared" si="5"/>
        <v>6.5573770491803282E-2</v>
      </c>
    </row>
    <row r="161" spans="1:4" x14ac:dyDescent="0.35">
      <c r="A161" s="10">
        <v>38292</v>
      </c>
      <c r="B161" s="15">
        <f>VLOOKUP(A161,Database!A:Q,MATCH($A$1,Database!$A$1:$Q$1,),)</f>
        <v>16044</v>
      </c>
      <c r="C161" s="12">
        <f t="shared" si="4"/>
        <v>-6.8514481469947059E-4</v>
      </c>
      <c r="D161" s="13">
        <f t="shared" si="5"/>
        <v>4.6029469291954624E-2</v>
      </c>
    </row>
    <row r="162" spans="1:4" x14ac:dyDescent="0.35">
      <c r="A162" s="11">
        <v>38322</v>
      </c>
      <c r="B162" s="15">
        <f>VLOOKUP(A162,Database!A:Q,MATCH($A$1,Database!$A$1:$Q$1,),)</f>
        <v>16183</v>
      </c>
      <c r="C162" s="12">
        <f t="shared" si="4"/>
        <v>8.6636748940413857E-3</v>
      </c>
      <c r="D162" s="13">
        <f t="shared" si="5"/>
        <v>4.7036749482401656E-2</v>
      </c>
    </row>
    <row r="163" spans="1:4" x14ac:dyDescent="0.35">
      <c r="A163" s="10">
        <v>38353</v>
      </c>
      <c r="B163" s="15">
        <f>VLOOKUP(A163,Database!A:Q,MATCH($A$1,Database!$A$1:$Q$1,),)</f>
        <v>16125</v>
      </c>
      <c r="C163" s="12">
        <f t="shared" si="4"/>
        <v>-3.5840079095346969E-3</v>
      </c>
      <c r="D163" s="13">
        <f t="shared" si="5"/>
        <v>3.9450783214078515E-2</v>
      </c>
    </row>
    <row r="164" spans="1:4" x14ac:dyDescent="0.35">
      <c r="A164" s="11">
        <v>38384</v>
      </c>
      <c r="B164" s="15">
        <f>VLOOKUP(A164,Database!A:Q,MATCH($A$1,Database!$A$1:$Q$1,),)</f>
        <v>16674</v>
      </c>
      <c r="C164" s="12">
        <f t="shared" si="4"/>
        <v>3.4046511627906978E-2</v>
      </c>
      <c r="D164" s="13">
        <f t="shared" si="5"/>
        <v>6.2918340026773767E-2</v>
      </c>
    </row>
    <row r="165" spans="1:4" x14ac:dyDescent="0.35">
      <c r="A165" s="10">
        <v>38412</v>
      </c>
      <c r="B165" s="15">
        <f>VLOOKUP(A165,Database!A:Q,MATCH($A$1,Database!$A$1:$Q$1,),)</f>
        <v>16293</v>
      </c>
      <c r="C165" s="12">
        <f t="shared" si="4"/>
        <v>-2.284994602374955E-2</v>
      </c>
      <c r="D165" s="13">
        <f t="shared" si="5"/>
        <v>1.9331831831831833E-2</v>
      </c>
    </row>
    <row r="166" spans="1:4" x14ac:dyDescent="0.35">
      <c r="A166" s="11">
        <v>38443</v>
      </c>
      <c r="B166" s="15">
        <f>VLOOKUP(A166,Database!A:Q,MATCH($A$1,Database!$A$1:$Q$1,),)</f>
        <v>16636</v>
      </c>
      <c r="C166" s="12">
        <f t="shared" si="4"/>
        <v>2.1051985515251948E-2</v>
      </c>
      <c r="D166" s="13">
        <f t="shared" si="5"/>
        <v>6.8670906404573781E-2</v>
      </c>
    </row>
    <row r="167" spans="1:4" x14ac:dyDescent="0.35">
      <c r="A167" s="10">
        <v>38473</v>
      </c>
      <c r="B167" s="15">
        <f>VLOOKUP(A167,Database!A:Q,MATCH($A$1,Database!$A$1:$Q$1,),)</f>
        <v>16514</v>
      </c>
      <c r="C167" s="12">
        <f t="shared" si="4"/>
        <v>-7.3334936282760275E-3</v>
      </c>
      <c r="D167" s="13">
        <f t="shared" si="5"/>
        <v>4.9440772750381293E-2</v>
      </c>
    </row>
    <row r="168" spans="1:4" x14ac:dyDescent="0.35">
      <c r="A168" s="11">
        <v>38504</v>
      </c>
      <c r="B168" s="15">
        <f>VLOOKUP(A168,Database!A:Q,MATCH($A$1,Database!$A$1:$Q$1,),)</f>
        <v>16824</v>
      </c>
      <c r="C168" s="12">
        <f t="shared" si="4"/>
        <v>1.8771951071817852E-2</v>
      </c>
      <c r="D168" s="13">
        <f t="shared" si="5"/>
        <v>8.1581485053037611E-2</v>
      </c>
    </row>
    <row r="169" spans="1:4" x14ac:dyDescent="0.35">
      <c r="A169" s="10">
        <v>38534</v>
      </c>
      <c r="B169" s="15">
        <f>VLOOKUP(A169,Database!A:Q,MATCH($A$1,Database!$A$1:$Q$1,),)</f>
        <v>16450</v>
      </c>
      <c r="C169" s="12">
        <f t="shared" si="4"/>
        <v>-2.2230147408464098E-2</v>
      </c>
      <c r="D169" s="13">
        <f t="shared" si="5"/>
        <v>5.145413870246085E-2</v>
      </c>
    </row>
    <row r="170" spans="1:4" x14ac:dyDescent="0.35">
      <c r="A170" s="11">
        <v>38565</v>
      </c>
      <c r="B170" s="15">
        <f>VLOOKUP(A170,Database!A:Q,MATCH($A$1,Database!$A$1:$Q$1,),)</f>
        <v>16759</v>
      </c>
      <c r="C170" s="12">
        <f t="shared" si="4"/>
        <v>1.8784194528875382E-2</v>
      </c>
      <c r="D170" s="13">
        <f t="shared" si="5"/>
        <v>7.0178799489144322E-2</v>
      </c>
    </row>
    <row r="171" spans="1:4" x14ac:dyDescent="0.35">
      <c r="A171" s="10">
        <v>38596</v>
      </c>
      <c r="B171" s="15">
        <f>VLOOKUP(A171,Database!A:Q,MATCH($A$1,Database!$A$1:$Q$1,),)</f>
        <v>16450</v>
      </c>
      <c r="C171" s="12">
        <f t="shared" si="4"/>
        <v>-1.8437854287248642E-2</v>
      </c>
      <c r="D171" s="13">
        <f t="shared" si="5"/>
        <v>4.3516873889875664E-2</v>
      </c>
    </row>
    <row r="172" spans="1:4" x14ac:dyDescent="0.35">
      <c r="A172" s="11">
        <v>38626</v>
      </c>
      <c r="B172" s="15">
        <f>VLOOKUP(A172,Database!A:Q,MATCH($A$1,Database!$A$1:$Q$1,),)</f>
        <v>17120</v>
      </c>
      <c r="C172" s="12">
        <f t="shared" si="4"/>
        <v>4.0729483282674769E-2</v>
      </c>
      <c r="D172" s="13">
        <f t="shared" si="5"/>
        <v>6.6334475241357826E-2</v>
      </c>
    </row>
    <row r="173" spans="1:4" x14ac:dyDescent="0.35">
      <c r="A173" s="10">
        <v>38657</v>
      </c>
      <c r="B173" s="15">
        <f>VLOOKUP(A173,Database!A:Q,MATCH($A$1,Database!$A$1:$Q$1,),)</f>
        <v>17142</v>
      </c>
      <c r="C173" s="12">
        <f t="shared" si="4"/>
        <v>1.2850467289719626E-3</v>
      </c>
      <c r="D173" s="13">
        <f t="shared" si="5"/>
        <v>6.8436798803290955E-2</v>
      </c>
    </row>
    <row r="174" spans="1:4" x14ac:dyDescent="0.35">
      <c r="A174" s="11">
        <v>38687</v>
      </c>
      <c r="B174" s="15">
        <f>VLOOKUP(A174,Database!A:Q,MATCH($A$1,Database!$A$1:$Q$1,),)</f>
        <v>17207</v>
      </c>
      <c r="C174" s="12">
        <f t="shared" si="4"/>
        <v>3.7918562594796406E-3</v>
      </c>
      <c r="D174" s="13">
        <f t="shared" si="5"/>
        <v>6.327627757523327E-2</v>
      </c>
    </row>
    <row r="175" spans="1:4" x14ac:dyDescent="0.35">
      <c r="A175" s="10">
        <v>38718</v>
      </c>
      <c r="B175" s="15">
        <f>VLOOKUP(A175,Database!A:Q,MATCH($A$1,Database!$A$1:$Q$1,),)</f>
        <v>17331</v>
      </c>
      <c r="C175" s="12">
        <f t="shared" si="4"/>
        <v>7.2063695007845647E-3</v>
      </c>
      <c r="D175" s="13">
        <f t="shared" si="5"/>
        <v>7.4790697674418607E-2</v>
      </c>
    </row>
    <row r="176" spans="1:4" x14ac:dyDescent="0.35">
      <c r="A176" s="11">
        <v>38749</v>
      </c>
      <c r="B176" s="15">
        <f>VLOOKUP(A176,Database!A:Q,MATCH($A$1,Database!$A$1:$Q$1,),)</f>
        <v>17384</v>
      </c>
      <c r="C176" s="12">
        <f t="shared" si="4"/>
        <v>3.0581039755351682E-3</v>
      </c>
      <c r="D176" s="13">
        <f t="shared" si="5"/>
        <v>4.2581264243732757E-2</v>
      </c>
    </row>
    <row r="177" spans="1:4" x14ac:dyDescent="0.35">
      <c r="A177" s="10">
        <v>38777</v>
      </c>
      <c r="B177" s="15">
        <f>VLOOKUP(A177,Database!A:Q,MATCH($A$1,Database!$A$1:$Q$1,),)</f>
        <v>17385</v>
      </c>
      <c r="C177" s="12">
        <f t="shared" si="4"/>
        <v>5.7524160147261853E-5</v>
      </c>
      <c r="D177" s="13">
        <f t="shared" si="5"/>
        <v>6.7022647762842932E-2</v>
      </c>
    </row>
    <row r="178" spans="1:4" x14ac:dyDescent="0.35">
      <c r="A178" s="11">
        <v>38808</v>
      </c>
      <c r="B178" s="15">
        <f>VLOOKUP(A178,Database!A:Q,MATCH($A$1,Database!$A$1:$Q$1,),)</f>
        <v>17542</v>
      </c>
      <c r="C178" s="12">
        <f t="shared" si="4"/>
        <v>9.0307736554501011E-3</v>
      </c>
      <c r="D178" s="13">
        <f t="shared" si="5"/>
        <v>5.4460206780476077E-2</v>
      </c>
    </row>
    <row r="179" spans="1:4" x14ac:dyDescent="0.35">
      <c r="A179" s="10">
        <v>38838</v>
      </c>
      <c r="B179" s="15">
        <f>VLOOKUP(A179,Database!A:Q,MATCH($A$1,Database!$A$1:$Q$1,),)</f>
        <v>17492</v>
      </c>
      <c r="C179" s="12">
        <f t="shared" si="4"/>
        <v>-2.8503021320259946E-3</v>
      </c>
      <c r="D179" s="13">
        <f t="shared" si="5"/>
        <v>5.9222477897541481E-2</v>
      </c>
    </row>
    <row r="180" spans="1:4" x14ac:dyDescent="0.35">
      <c r="A180" s="11">
        <v>38869</v>
      </c>
      <c r="B180" s="15">
        <f>VLOOKUP(A180,Database!A:Q,MATCH($A$1,Database!$A$1:$Q$1,),)</f>
        <v>17701</v>
      </c>
      <c r="C180" s="12">
        <f t="shared" si="4"/>
        <v>1.1948319231648753E-2</v>
      </c>
      <c r="D180" s="13">
        <f t="shared" si="5"/>
        <v>5.2127912505943889E-2</v>
      </c>
    </row>
    <row r="181" spans="1:4" x14ac:dyDescent="0.35">
      <c r="A181" s="10">
        <v>38899</v>
      </c>
      <c r="B181" s="15">
        <f>VLOOKUP(A181,Database!A:Q,MATCH($A$1,Database!$A$1:$Q$1,),)</f>
        <v>17691</v>
      </c>
      <c r="C181" s="12">
        <f t="shared" si="4"/>
        <v>-5.6493983390768887E-4</v>
      </c>
      <c r="D181" s="13">
        <f t="shared" si="5"/>
        <v>7.5440729483282676E-2</v>
      </c>
    </row>
    <row r="182" spans="1:4" x14ac:dyDescent="0.35">
      <c r="A182" s="11">
        <v>38930</v>
      </c>
      <c r="B182" s="15">
        <f>VLOOKUP(A182,Database!A:Q,MATCH($A$1,Database!$A$1:$Q$1,),)</f>
        <v>17635</v>
      </c>
      <c r="C182" s="12">
        <f t="shared" si="4"/>
        <v>-3.1654513594483072E-3</v>
      </c>
      <c r="D182" s="13">
        <f t="shared" si="5"/>
        <v>5.2270421862879647E-2</v>
      </c>
    </row>
    <row r="183" spans="1:4" x14ac:dyDescent="0.35">
      <c r="A183" s="10">
        <v>38961</v>
      </c>
      <c r="B183" s="15">
        <f>VLOOKUP(A183,Database!A:Q,MATCH($A$1,Database!$A$1:$Q$1,),)</f>
        <v>18256</v>
      </c>
      <c r="C183" s="12">
        <f t="shared" si="4"/>
        <v>3.5214062943011055E-2</v>
      </c>
      <c r="D183" s="13">
        <f t="shared" si="5"/>
        <v>0.10978723404255319</v>
      </c>
    </row>
    <row r="184" spans="1:4" x14ac:dyDescent="0.35">
      <c r="A184" s="11">
        <v>38991</v>
      </c>
      <c r="B184" s="15">
        <f>VLOOKUP(A184,Database!A:Q,MATCH($A$1,Database!$A$1:$Q$1,),)</f>
        <v>18126</v>
      </c>
      <c r="C184" s="12">
        <f t="shared" si="4"/>
        <v>-7.1209465381244525E-3</v>
      </c>
      <c r="D184" s="13">
        <f t="shared" si="5"/>
        <v>5.8761682242990651E-2</v>
      </c>
    </row>
    <row r="185" spans="1:4" x14ac:dyDescent="0.35">
      <c r="A185" s="10">
        <v>39022</v>
      </c>
      <c r="B185" s="15">
        <f>VLOOKUP(A185,Database!A:Q,MATCH($A$1,Database!$A$1:$Q$1,),)</f>
        <v>17910</v>
      </c>
      <c r="C185" s="12">
        <f t="shared" si="4"/>
        <v>-1.1916583912611719E-2</v>
      </c>
      <c r="D185" s="13">
        <f t="shared" si="5"/>
        <v>4.4802240112005599E-2</v>
      </c>
    </row>
    <row r="186" spans="1:4" x14ac:dyDescent="0.35">
      <c r="A186" s="11">
        <v>39052</v>
      </c>
      <c r="B186" s="15">
        <f>VLOOKUP(A186,Database!A:Q,MATCH($A$1,Database!$A$1:$Q$1,),)</f>
        <v>18497</v>
      </c>
      <c r="C186" s="12">
        <f t="shared" si="4"/>
        <v>3.2774986041317698E-2</v>
      </c>
      <c r="D186" s="13">
        <f t="shared" si="5"/>
        <v>7.4969489161387806E-2</v>
      </c>
    </row>
    <row r="187" spans="1:4" x14ac:dyDescent="0.35">
      <c r="A187" s="10">
        <v>39083</v>
      </c>
      <c r="B187" s="15">
        <f>VLOOKUP(A187,Database!A:Q,MATCH($A$1,Database!$A$1:$Q$1,),)</f>
        <v>18493</v>
      </c>
      <c r="C187" s="12">
        <f t="shared" si="4"/>
        <v>-2.1625128399199871E-4</v>
      </c>
      <c r="D187" s="13">
        <f t="shared" si="5"/>
        <v>6.704748716173331E-2</v>
      </c>
    </row>
    <row r="188" spans="1:4" x14ac:dyDescent="0.35">
      <c r="A188" s="11">
        <v>39114</v>
      </c>
      <c r="B188" s="15">
        <f>VLOOKUP(A188,Database!A:Q,MATCH($A$1,Database!$A$1:$Q$1,),)</f>
        <v>18144</v>
      </c>
      <c r="C188" s="12">
        <f t="shared" si="4"/>
        <v>-1.8872005623749528E-2</v>
      </c>
      <c r="D188" s="13">
        <f t="shared" si="5"/>
        <v>4.3718361711919007E-2</v>
      </c>
    </row>
    <row r="189" spans="1:4" x14ac:dyDescent="0.35">
      <c r="A189" s="10">
        <v>39142</v>
      </c>
      <c r="B189" s="15">
        <f>VLOOKUP(A189,Database!A:Q,MATCH($A$1,Database!$A$1:$Q$1,),)</f>
        <v>18643</v>
      </c>
      <c r="C189" s="12">
        <f t="shared" si="4"/>
        <v>2.7502204585537919E-2</v>
      </c>
      <c r="D189" s="13">
        <f t="shared" si="5"/>
        <v>7.2361230946218005E-2</v>
      </c>
    </row>
    <row r="190" spans="1:4" x14ac:dyDescent="0.35">
      <c r="A190" s="11">
        <v>39173</v>
      </c>
      <c r="B190" s="15">
        <f>VLOOKUP(A190,Database!A:Q,MATCH($A$1,Database!$A$1:$Q$1,),)</f>
        <v>18189</v>
      </c>
      <c r="C190" s="12">
        <f t="shared" si="4"/>
        <v>-2.4352303813763878E-2</v>
      </c>
      <c r="D190" s="13">
        <f t="shared" si="5"/>
        <v>3.688290958841637E-2</v>
      </c>
    </row>
    <row r="191" spans="1:4" x14ac:dyDescent="0.35">
      <c r="A191" s="10">
        <v>39203</v>
      </c>
      <c r="B191" s="15">
        <f>VLOOKUP(A191,Database!A:Q,MATCH($A$1,Database!$A$1:$Q$1,),)</f>
        <v>18545</v>
      </c>
      <c r="C191" s="12">
        <f t="shared" si="4"/>
        <v>1.9572268953763263E-2</v>
      </c>
      <c r="D191" s="13">
        <f t="shared" si="5"/>
        <v>6.0198948090555683E-2</v>
      </c>
    </row>
    <row r="192" spans="1:4" x14ac:dyDescent="0.35">
      <c r="A192" s="11">
        <v>39234</v>
      </c>
      <c r="B192" s="15">
        <f>VLOOKUP(A192,Database!A:Q,MATCH($A$1,Database!$A$1:$Q$1,),)</f>
        <v>18388</v>
      </c>
      <c r="C192" s="12">
        <f t="shared" si="4"/>
        <v>-8.4658937719061748E-3</v>
      </c>
      <c r="D192" s="13">
        <f t="shared" si="5"/>
        <v>3.8811366589458225E-2</v>
      </c>
    </row>
    <row r="193" spans="1:4" x14ac:dyDescent="0.35">
      <c r="A193" s="10">
        <v>39264</v>
      </c>
      <c r="B193" s="15">
        <f>VLOOKUP(A193,Database!A:Q,MATCH($A$1,Database!$A$1:$Q$1,),)</f>
        <v>18522</v>
      </c>
      <c r="C193" s="12">
        <f t="shared" si="4"/>
        <v>7.2873613226016971E-3</v>
      </c>
      <c r="D193" s="13">
        <f t="shared" si="5"/>
        <v>4.6973037137527554E-2</v>
      </c>
    </row>
    <row r="194" spans="1:4" x14ac:dyDescent="0.35">
      <c r="A194" s="11">
        <v>39295</v>
      </c>
      <c r="B194" s="15">
        <f>VLOOKUP(A194,Database!A:Q,MATCH($A$1,Database!$A$1:$Q$1,),)</f>
        <v>18491</v>
      </c>
      <c r="C194" s="12">
        <f t="shared" si="4"/>
        <v>-1.6736853471547349E-3</v>
      </c>
      <c r="D194" s="13">
        <f t="shared" si="5"/>
        <v>4.8539835554295432E-2</v>
      </c>
    </row>
    <row r="195" spans="1:4" x14ac:dyDescent="0.35">
      <c r="A195" s="10">
        <v>39326</v>
      </c>
      <c r="B195" s="15">
        <f>VLOOKUP(A195,Database!A:Q,MATCH($A$1,Database!$A$1:$Q$1,),)</f>
        <v>18412</v>
      </c>
      <c r="C195" s="12">
        <f t="shared" si="4"/>
        <v>-4.2723487101833327E-3</v>
      </c>
      <c r="D195" s="13">
        <f t="shared" si="5"/>
        <v>8.5451358457493427E-3</v>
      </c>
    </row>
    <row r="196" spans="1:4" x14ac:dyDescent="0.35">
      <c r="A196" s="11">
        <v>39356</v>
      </c>
      <c r="B196" s="15">
        <f>VLOOKUP(A196,Database!A:Q,MATCH($A$1,Database!$A$1:$Q$1,),)</f>
        <v>18431</v>
      </c>
      <c r="C196" s="12">
        <f t="shared" si="4"/>
        <v>1.0319356941125353E-3</v>
      </c>
      <c r="D196" s="13">
        <f t="shared" si="5"/>
        <v>1.6826657839567473E-2</v>
      </c>
    </row>
    <row r="197" spans="1:4" x14ac:dyDescent="0.35">
      <c r="A197" s="10">
        <v>39387</v>
      </c>
      <c r="B197" s="15">
        <f>VLOOKUP(A197,Database!A:Q,MATCH($A$1,Database!$A$1:$Q$1,),)</f>
        <v>18759</v>
      </c>
      <c r="C197" s="12">
        <f t="shared" si="4"/>
        <v>1.779610438934404E-2</v>
      </c>
      <c r="D197" s="13">
        <f t="shared" si="5"/>
        <v>4.74036850921273E-2</v>
      </c>
    </row>
    <row r="198" spans="1:4" x14ac:dyDescent="0.35">
      <c r="A198" s="11">
        <v>39417</v>
      </c>
      <c r="B198" s="15">
        <f>VLOOKUP(A198,Database!A:Q,MATCH($A$1,Database!$A$1:$Q$1,),)</f>
        <v>18570</v>
      </c>
      <c r="C198" s="12">
        <f t="shared" si="4"/>
        <v>-1.0075163921317767E-2</v>
      </c>
      <c r="D198" s="13">
        <f t="shared" si="5"/>
        <v>3.9465859328539762E-3</v>
      </c>
    </row>
    <row r="199" spans="1:4" x14ac:dyDescent="0.35">
      <c r="A199" s="10">
        <v>39448</v>
      </c>
      <c r="B199" s="15">
        <f>VLOOKUP(A199,Database!A:Q,MATCH($A$1,Database!$A$1:$Q$1,),)</f>
        <v>18542</v>
      </c>
      <c r="C199" s="12">
        <f t="shared" si="4"/>
        <v>-1.5078082929456111E-3</v>
      </c>
      <c r="D199" s="13">
        <f t="shared" si="5"/>
        <v>2.6496512193803059E-3</v>
      </c>
    </row>
    <row r="200" spans="1:4" x14ac:dyDescent="0.35">
      <c r="A200" s="11">
        <v>39479</v>
      </c>
      <c r="B200" s="15">
        <f>VLOOKUP(A200,Database!A:Q,MATCH($A$1,Database!$A$1:$Q$1,),)</f>
        <v>18280</v>
      </c>
      <c r="C200" s="12">
        <f t="shared" ref="C200:C263" si="6">(B200-B199)/B199</f>
        <v>-1.4130083054686658E-2</v>
      </c>
      <c r="D200" s="13">
        <f t="shared" si="5"/>
        <v>7.4955908289241618E-3</v>
      </c>
    </row>
    <row r="201" spans="1:4" x14ac:dyDescent="0.35">
      <c r="A201" s="10">
        <v>39508</v>
      </c>
      <c r="B201" s="15">
        <f>VLOOKUP(A201,Database!A:Q,MATCH($A$1,Database!$A$1:$Q$1,),)</f>
        <v>18338</v>
      </c>
      <c r="C201" s="12">
        <f t="shared" si="6"/>
        <v>3.1728665207877461E-3</v>
      </c>
      <c r="D201" s="13">
        <f t="shared" si="5"/>
        <v>-1.6360027892506571E-2</v>
      </c>
    </row>
    <row r="202" spans="1:4" x14ac:dyDescent="0.35">
      <c r="A202" s="11">
        <v>39539</v>
      </c>
      <c r="B202" s="15">
        <f>VLOOKUP(A202,Database!A:Q,MATCH($A$1,Database!$A$1:$Q$1,),)</f>
        <v>18384</v>
      </c>
      <c r="C202" s="12">
        <f t="shared" si="6"/>
        <v>2.508452393936089E-3</v>
      </c>
      <c r="D202" s="13">
        <f t="shared" si="5"/>
        <v>1.0720765297707406E-2</v>
      </c>
    </row>
    <row r="203" spans="1:4" x14ac:dyDescent="0.35">
      <c r="A203" s="10">
        <v>39569</v>
      </c>
      <c r="B203" s="15">
        <f>VLOOKUP(A203,Database!A:Q,MATCH($A$1,Database!$A$1:$Q$1,),)</f>
        <v>18642</v>
      </c>
      <c r="C203" s="12">
        <f t="shared" si="6"/>
        <v>1.4033942558746737E-2</v>
      </c>
      <c r="D203" s="13">
        <f t="shared" si="5"/>
        <v>5.2305203558910759E-3</v>
      </c>
    </row>
    <row r="204" spans="1:4" x14ac:dyDescent="0.35">
      <c r="A204" s="11">
        <v>39600</v>
      </c>
      <c r="B204" s="15">
        <f>VLOOKUP(A204,Database!A:Q,MATCH($A$1,Database!$A$1:$Q$1,),)</f>
        <v>18708</v>
      </c>
      <c r="C204" s="12">
        <f t="shared" si="6"/>
        <v>3.5403926617315739E-3</v>
      </c>
      <c r="D204" s="13">
        <f t="shared" si="5"/>
        <v>1.7402653904720469E-2</v>
      </c>
    </row>
    <row r="205" spans="1:4" x14ac:dyDescent="0.35">
      <c r="A205" s="10">
        <v>39630</v>
      </c>
      <c r="B205" s="15">
        <f>VLOOKUP(A205,Database!A:Q,MATCH($A$1,Database!$A$1:$Q$1,),)</f>
        <v>18635</v>
      </c>
      <c r="C205" s="12">
        <f t="shared" si="6"/>
        <v>-3.9020739790463972E-3</v>
      </c>
      <c r="D205" s="13">
        <f t="shared" si="5"/>
        <v>6.1008530396285494E-3</v>
      </c>
    </row>
    <row r="206" spans="1:4" x14ac:dyDescent="0.35">
      <c r="A206" s="11">
        <v>39661</v>
      </c>
      <c r="B206" s="15">
        <f>VLOOKUP(A206,Database!A:Q,MATCH($A$1,Database!$A$1:$Q$1,),)</f>
        <v>18524</v>
      </c>
      <c r="C206" s="12">
        <f t="shared" si="6"/>
        <v>-5.956533404883284E-3</v>
      </c>
      <c r="D206" s="13">
        <f t="shared" si="5"/>
        <v>1.784651992861392E-3</v>
      </c>
    </row>
    <row r="207" spans="1:4" x14ac:dyDescent="0.35">
      <c r="A207" s="10">
        <v>39692</v>
      </c>
      <c r="B207" s="15">
        <f>VLOOKUP(A207,Database!A:Q,MATCH($A$1,Database!$A$1:$Q$1,),)</f>
        <v>17560</v>
      </c>
      <c r="C207" s="12">
        <f t="shared" si="6"/>
        <v>-5.2040595983588858E-2</v>
      </c>
      <c r="D207" s="13">
        <f t="shared" si="5"/>
        <v>-4.6274169020204217E-2</v>
      </c>
    </row>
    <row r="208" spans="1:4" x14ac:dyDescent="0.35">
      <c r="A208" s="11">
        <v>39722</v>
      </c>
      <c r="B208" s="15">
        <f>VLOOKUP(A208,Database!A:Q,MATCH($A$1,Database!$A$1:$Q$1,),)</f>
        <v>17317</v>
      </c>
      <c r="C208" s="12">
        <f t="shared" si="6"/>
        <v>-1.3838268792710707E-2</v>
      </c>
      <c r="D208" s="13">
        <f t="shared" si="5"/>
        <v>-6.0441647224784331E-2</v>
      </c>
    </row>
    <row r="209" spans="1:4" x14ac:dyDescent="0.35">
      <c r="A209" s="10">
        <v>39753</v>
      </c>
      <c r="B209" s="15">
        <f>VLOOKUP(A209,Database!A:Q,MATCH($A$1,Database!$A$1:$Q$1,),)</f>
        <v>17173</v>
      </c>
      <c r="C209" s="12">
        <f t="shared" si="6"/>
        <v>-8.3155280937806785E-3</v>
      </c>
      <c r="D209" s="13">
        <f t="shared" si="5"/>
        <v>-8.4546084546084546E-2</v>
      </c>
    </row>
    <row r="210" spans="1:4" x14ac:dyDescent="0.35">
      <c r="A210" s="11">
        <v>39783</v>
      </c>
      <c r="B210" s="15">
        <f>VLOOKUP(A210,Database!A:Q,MATCH($A$1,Database!$A$1:$Q$1,),)</f>
        <v>16868</v>
      </c>
      <c r="C210" s="12">
        <f t="shared" si="6"/>
        <v>-1.7760437896698306E-2</v>
      </c>
      <c r="D210" s="13">
        <f t="shared" si="5"/>
        <v>-9.1653204092622509E-2</v>
      </c>
    </row>
    <row r="211" spans="1:4" x14ac:dyDescent="0.35">
      <c r="A211" s="10">
        <v>39814</v>
      </c>
      <c r="B211" s="15">
        <f>VLOOKUP(A211,Database!A:Q,MATCH($A$1,Database!$A$1:$Q$1,),)</f>
        <v>17159</v>
      </c>
      <c r="C211" s="12">
        <f t="shared" si="6"/>
        <v>1.7251600663979131E-2</v>
      </c>
      <c r="D211" s="13">
        <f t="shared" ref="D211:D274" si="7">(B211-B199)/B199</f>
        <v>-7.4587423147449039E-2</v>
      </c>
    </row>
    <row r="212" spans="1:4" x14ac:dyDescent="0.35">
      <c r="A212" s="11">
        <v>39845</v>
      </c>
      <c r="B212" s="15">
        <f>VLOOKUP(A212,Database!A:Q,MATCH($A$1,Database!$A$1:$Q$1,),)</f>
        <v>17401</v>
      </c>
      <c r="C212" s="12">
        <f t="shared" si="6"/>
        <v>1.4103385978203858E-2</v>
      </c>
      <c r="D212" s="13">
        <f t="shared" si="7"/>
        <v>-4.808533916849015E-2</v>
      </c>
    </row>
    <row r="213" spans="1:4" x14ac:dyDescent="0.35">
      <c r="A213" s="10">
        <v>39873</v>
      </c>
      <c r="B213" s="15">
        <f>VLOOKUP(A213,Database!A:Q,MATCH($A$1,Database!$A$1:$Q$1,),)</f>
        <v>16510</v>
      </c>
      <c r="C213" s="12">
        <f t="shared" si="6"/>
        <v>-5.1203953795758865E-2</v>
      </c>
      <c r="D213" s="13">
        <f t="shared" si="7"/>
        <v>-9.9683716872068923E-2</v>
      </c>
    </row>
    <row r="214" spans="1:4" x14ac:dyDescent="0.35">
      <c r="A214" s="11">
        <v>39904</v>
      </c>
      <c r="B214" s="15">
        <f>VLOOKUP(A214,Database!A:Q,MATCH($A$1,Database!$A$1:$Q$1,),)</f>
        <v>16900</v>
      </c>
      <c r="C214" s="12">
        <f t="shared" si="6"/>
        <v>2.3622047244094488E-2</v>
      </c>
      <c r="D214" s="13">
        <f t="shared" si="7"/>
        <v>-8.0722367275892076E-2</v>
      </c>
    </row>
    <row r="215" spans="1:4" x14ac:dyDescent="0.35">
      <c r="A215" s="10">
        <v>39934</v>
      </c>
      <c r="B215" s="15">
        <f>VLOOKUP(A215,Database!A:Q,MATCH($A$1,Database!$A$1:$Q$1,),)</f>
        <v>17038</v>
      </c>
      <c r="C215" s="12">
        <f t="shared" si="6"/>
        <v>8.1656804733727818E-3</v>
      </c>
      <c r="D215" s="13">
        <f t="shared" si="7"/>
        <v>-8.6042270142688559E-2</v>
      </c>
    </row>
    <row r="216" spans="1:4" x14ac:dyDescent="0.35">
      <c r="A216" s="11">
        <v>39965</v>
      </c>
      <c r="B216" s="15">
        <f>VLOOKUP(A216,Database!A:Q,MATCH($A$1,Database!$A$1:$Q$1,),)</f>
        <v>16817</v>
      </c>
      <c r="C216" s="12">
        <f t="shared" si="6"/>
        <v>-1.2971005986618147E-2</v>
      </c>
      <c r="D216" s="13">
        <f t="shared" si="7"/>
        <v>-0.10107975197776352</v>
      </c>
    </row>
    <row r="217" spans="1:4" x14ac:dyDescent="0.35">
      <c r="A217" s="10">
        <v>39995</v>
      </c>
      <c r="B217" s="15">
        <f>VLOOKUP(A217,Database!A:Q,MATCH($A$1,Database!$A$1:$Q$1,),)</f>
        <v>17015</v>
      </c>
      <c r="C217" s="12">
        <f t="shared" si="6"/>
        <v>1.1773800321103645E-2</v>
      </c>
      <c r="D217" s="13">
        <f t="shared" si="7"/>
        <v>-8.6933190233431712E-2</v>
      </c>
    </row>
    <row r="218" spans="1:4" x14ac:dyDescent="0.35">
      <c r="A218" s="11">
        <v>40026</v>
      </c>
      <c r="B218" s="15">
        <f>VLOOKUP(A218,Database!A:Q,MATCH($A$1,Database!$A$1:$Q$1,),)</f>
        <v>17233</v>
      </c>
      <c r="C218" s="12">
        <f t="shared" si="6"/>
        <v>1.2812224507787247E-2</v>
      </c>
      <c r="D218" s="13">
        <f t="shared" si="7"/>
        <v>-6.9693370762254375E-2</v>
      </c>
    </row>
    <row r="219" spans="1:4" x14ac:dyDescent="0.35">
      <c r="A219" s="10">
        <v>40057</v>
      </c>
      <c r="B219" s="15">
        <f>VLOOKUP(A219,Database!A:Q,MATCH($A$1,Database!$A$1:$Q$1,),)</f>
        <v>17172</v>
      </c>
      <c r="C219" s="12">
        <f t="shared" si="6"/>
        <v>-3.5397203040677771E-3</v>
      </c>
      <c r="D219" s="13">
        <f t="shared" si="7"/>
        <v>-2.2095671981776765E-2</v>
      </c>
    </row>
    <row r="220" spans="1:4" x14ac:dyDescent="0.35">
      <c r="A220" s="11">
        <v>40087</v>
      </c>
      <c r="B220" s="15">
        <f>VLOOKUP(A220,Database!A:Q,MATCH($A$1,Database!$A$1:$Q$1,),)</f>
        <v>17296</v>
      </c>
      <c r="C220" s="12">
        <f t="shared" si="6"/>
        <v>7.221057535522944E-3</v>
      </c>
      <c r="D220" s="13">
        <f t="shared" si="7"/>
        <v>-1.2126811803430154E-3</v>
      </c>
    </row>
    <row r="221" spans="1:4" x14ac:dyDescent="0.35">
      <c r="A221" s="10">
        <v>40118</v>
      </c>
      <c r="B221" s="15">
        <f>VLOOKUP(A221,Database!A:Q,MATCH($A$1,Database!$A$1:$Q$1,),)</f>
        <v>17105</v>
      </c>
      <c r="C221" s="12">
        <f t="shared" si="6"/>
        <v>-1.1043015726179464E-2</v>
      </c>
      <c r="D221" s="13">
        <f t="shared" si="7"/>
        <v>-3.9597041868048681E-3</v>
      </c>
    </row>
    <row r="222" spans="1:4" x14ac:dyDescent="0.35">
      <c r="A222" s="11">
        <v>40148</v>
      </c>
      <c r="B222" s="15">
        <f>VLOOKUP(A222,Database!A:Q,MATCH($A$1,Database!$A$1:$Q$1,),)</f>
        <v>17127</v>
      </c>
      <c r="C222" s="12">
        <f t="shared" si="6"/>
        <v>1.2861736334405145E-3</v>
      </c>
      <c r="D222" s="13">
        <f t="shared" si="7"/>
        <v>1.5354517429452217E-2</v>
      </c>
    </row>
    <row r="223" spans="1:4" x14ac:dyDescent="0.35">
      <c r="A223" s="10">
        <v>40179</v>
      </c>
      <c r="B223" s="15">
        <f>VLOOKUP(A223,Database!A:Q,MATCH($A$1,Database!$A$1:$Q$1,),)</f>
        <v>17351</v>
      </c>
      <c r="C223" s="12">
        <f t="shared" si="6"/>
        <v>1.3078764523851229E-2</v>
      </c>
      <c r="D223" s="13">
        <f t="shared" si="7"/>
        <v>1.1189463255434465E-2</v>
      </c>
    </row>
    <row r="224" spans="1:4" x14ac:dyDescent="0.35">
      <c r="A224" s="11">
        <v>40210</v>
      </c>
      <c r="B224" s="15">
        <f>VLOOKUP(A224,Database!A:Q,MATCH($A$1,Database!$A$1:$Q$1,),)</f>
        <v>17402</v>
      </c>
      <c r="C224" s="12">
        <f t="shared" si="6"/>
        <v>2.9393118552244828E-3</v>
      </c>
      <c r="D224" s="13">
        <f t="shared" si="7"/>
        <v>5.7467961611401642E-5</v>
      </c>
    </row>
    <row r="225" spans="1:4" x14ac:dyDescent="0.35">
      <c r="A225" s="10">
        <v>40238</v>
      </c>
      <c r="B225" s="15">
        <f>VLOOKUP(A225,Database!A:Q,MATCH($A$1,Database!$A$1:$Q$1,),)</f>
        <v>17908</v>
      </c>
      <c r="C225" s="12">
        <f t="shared" si="6"/>
        <v>2.9077117572692796E-2</v>
      </c>
      <c r="D225" s="13">
        <f t="shared" si="7"/>
        <v>8.467595396729255E-2</v>
      </c>
    </row>
    <row r="226" spans="1:4" x14ac:dyDescent="0.35">
      <c r="A226" s="11">
        <v>40269</v>
      </c>
      <c r="B226" s="15">
        <f>VLOOKUP(A226,Database!A:Q,MATCH($A$1,Database!$A$1:$Q$1,),)</f>
        <v>17724</v>
      </c>
      <c r="C226" s="12">
        <f t="shared" si="6"/>
        <v>-1.0274737547464821E-2</v>
      </c>
      <c r="D226" s="13">
        <f t="shared" si="7"/>
        <v>4.8757396449704143E-2</v>
      </c>
    </row>
    <row r="227" spans="1:4" x14ac:dyDescent="0.35">
      <c r="A227" s="10">
        <v>40299</v>
      </c>
      <c r="B227" s="15">
        <f>VLOOKUP(A227,Database!A:Q,MATCH($A$1,Database!$A$1:$Q$1,),)</f>
        <v>17656</v>
      </c>
      <c r="C227" s="12">
        <f t="shared" si="6"/>
        <v>-3.8366057323403293E-3</v>
      </c>
      <c r="D227" s="13">
        <f t="shared" si="7"/>
        <v>3.627186289470595E-2</v>
      </c>
    </row>
    <row r="228" spans="1:4" x14ac:dyDescent="0.35">
      <c r="A228" s="11">
        <v>40330</v>
      </c>
      <c r="B228" s="15">
        <f>VLOOKUP(A228,Database!A:Q,MATCH($A$1,Database!$A$1:$Q$1,),)</f>
        <v>17495</v>
      </c>
      <c r="C228" s="12">
        <f t="shared" si="6"/>
        <v>-9.1187131853194374E-3</v>
      </c>
      <c r="D228" s="13">
        <f t="shared" si="7"/>
        <v>4.0316346554082179E-2</v>
      </c>
    </row>
    <row r="229" spans="1:4" x14ac:dyDescent="0.35">
      <c r="A229" s="10">
        <v>40360</v>
      </c>
      <c r="B229" s="15">
        <f>VLOOKUP(A229,Database!A:Q,MATCH($A$1,Database!$A$1:$Q$1,),)</f>
        <v>17573</v>
      </c>
      <c r="C229" s="12">
        <f t="shared" si="6"/>
        <v>4.4584166904829952E-3</v>
      </c>
      <c r="D229" s="13">
        <f t="shared" si="7"/>
        <v>3.2794593006171026E-2</v>
      </c>
    </row>
    <row r="230" spans="1:4" x14ac:dyDescent="0.35">
      <c r="A230" s="11">
        <v>40391</v>
      </c>
      <c r="B230" s="15">
        <f>VLOOKUP(A230,Database!A:Q,MATCH($A$1,Database!$A$1:$Q$1,),)</f>
        <v>17643</v>
      </c>
      <c r="C230" s="12">
        <f t="shared" si="6"/>
        <v>3.983383599840665E-3</v>
      </c>
      <c r="D230" s="13">
        <f t="shared" si="7"/>
        <v>2.3791562699471944E-2</v>
      </c>
    </row>
    <row r="231" spans="1:4" x14ac:dyDescent="0.35">
      <c r="A231" s="10">
        <v>40422</v>
      </c>
      <c r="B231" s="15">
        <f>VLOOKUP(A231,Database!A:Q,MATCH($A$1,Database!$A$1:$Q$1,),)</f>
        <v>17705</v>
      </c>
      <c r="C231" s="12">
        <f t="shared" si="6"/>
        <v>3.5141415858980897E-3</v>
      </c>
      <c r="D231" s="13">
        <f t="shared" si="7"/>
        <v>3.1038900535755882E-2</v>
      </c>
    </row>
    <row r="232" spans="1:4" x14ac:dyDescent="0.35">
      <c r="A232" s="11">
        <v>40452</v>
      </c>
      <c r="B232" s="15">
        <f>VLOOKUP(A232,Database!A:Q,MATCH($A$1,Database!$A$1:$Q$1,),)</f>
        <v>18002</v>
      </c>
      <c r="C232" s="12">
        <f t="shared" si="6"/>
        <v>1.6774922338322507E-2</v>
      </c>
      <c r="D232" s="13">
        <f t="shared" si="7"/>
        <v>4.0818686401480113E-2</v>
      </c>
    </row>
    <row r="233" spans="1:4" x14ac:dyDescent="0.35">
      <c r="A233" s="10">
        <v>40483</v>
      </c>
      <c r="B233" s="15">
        <f>VLOOKUP(A233,Database!A:Q,MATCH($A$1,Database!$A$1:$Q$1,),)</f>
        <v>18420</v>
      </c>
      <c r="C233" s="12">
        <f t="shared" si="6"/>
        <v>2.3219642261970892E-2</v>
      </c>
      <c r="D233" s="13">
        <f t="shared" si="7"/>
        <v>7.6878105817012571E-2</v>
      </c>
    </row>
    <row r="234" spans="1:4" x14ac:dyDescent="0.35">
      <c r="A234" s="11">
        <v>40513</v>
      </c>
      <c r="B234" s="15">
        <f>VLOOKUP(A234,Database!A:Q,MATCH($A$1,Database!$A$1:$Q$1,),)</f>
        <v>18206</v>
      </c>
      <c r="C234" s="12">
        <f t="shared" si="6"/>
        <v>-1.1617806731813247E-2</v>
      </c>
      <c r="D234" s="13">
        <f t="shared" si="7"/>
        <v>6.2999941612658372E-2</v>
      </c>
    </row>
    <row r="235" spans="1:4" x14ac:dyDescent="0.35">
      <c r="A235" s="10">
        <v>40544</v>
      </c>
      <c r="B235" s="15">
        <f>VLOOKUP(A235,Database!A:Q,MATCH($A$1,Database!$A$1:$Q$1,),)</f>
        <v>18351</v>
      </c>
      <c r="C235" s="12">
        <f t="shared" si="6"/>
        <v>7.9644073382401405E-3</v>
      </c>
      <c r="D235" s="13">
        <f t="shared" si="7"/>
        <v>5.7633565788715348E-2</v>
      </c>
    </row>
    <row r="236" spans="1:4" x14ac:dyDescent="0.35">
      <c r="A236" s="11">
        <v>40575</v>
      </c>
      <c r="B236" s="15">
        <f>VLOOKUP(A236,Database!A:Q,MATCH($A$1,Database!$A$1:$Q$1,),)</f>
        <v>18594</v>
      </c>
      <c r="C236" s="12">
        <f t="shared" si="6"/>
        <v>1.3241785188818049E-2</v>
      </c>
      <c r="D236" s="13">
        <f t="shared" si="7"/>
        <v>6.8497873807608314E-2</v>
      </c>
    </row>
    <row r="237" spans="1:4" x14ac:dyDescent="0.35">
      <c r="A237" s="10">
        <v>40603</v>
      </c>
      <c r="B237" s="15">
        <f>VLOOKUP(A237,Database!A:Q,MATCH($A$1,Database!$A$1:$Q$1,),)</f>
        <v>18706</v>
      </c>
      <c r="C237" s="12">
        <f t="shared" si="6"/>
        <v>6.0234484242228676E-3</v>
      </c>
      <c r="D237" s="13">
        <f t="shared" si="7"/>
        <v>4.456109001563547E-2</v>
      </c>
    </row>
    <row r="238" spans="1:4" x14ac:dyDescent="0.35">
      <c r="A238" s="11">
        <v>40634</v>
      </c>
      <c r="B238" s="15">
        <f>VLOOKUP(A238,Database!A:Q,MATCH($A$1,Database!$A$1:$Q$1,),)</f>
        <v>18946</v>
      </c>
      <c r="C238" s="12">
        <f t="shared" si="6"/>
        <v>1.2830107986742221E-2</v>
      </c>
      <c r="D238" s="13">
        <f t="shared" si="7"/>
        <v>6.8946061837057093E-2</v>
      </c>
    </row>
    <row r="239" spans="1:4" x14ac:dyDescent="0.35">
      <c r="A239" s="10">
        <v>40664</v>
      </c>
      <c r="B239" s="15">
        <f>VLOOKUP(A239,Database!A:Q,MATCH($A$1,Database!$A$1:$Q$1,),)</f>
        <v>18831</v>
      </c>
      <c r="C239" s="12">
        <f t="shared" si="6"/>
        <v>-6.0698828248706852E-3</v>
      </c>
      <c r="D239" s="13">
        <f t="shared" si="7"/>
        <v>6.6549614861803358E-2</v>
      </c>
    </row>
    <row r="240" spans="1:4" x14ac:dyDescent="0.35">
      <c r="A240" s="11">
        <v>40695</v>
      </c>
      <c r="B240" s="15">
        <f>VLOOKUP(A240,Database!A:Q,MATCH($A$1,Database!$A$1:$Q$1,),)</f>
        <v>19187</v>
      </c>
      <c r="C240" s="12">
        <f t="shared" si="6"/>
        <v>1.8904997079284159E-2</v>
      </c>
      <c r="D240" s="13">
        <f t="shared" si="7"/>
        <v>9.6713346670477277E-2</v>
      </c>
    </row>
    <row r="241" spans="1:4" x14ac:dyDescent="0.35">
      <c r="A241" s="10">
        <v>40725</v>
      </c>
      <c r="B241" s="15">
        <f>VLOOKUP(A241,Database!A:Q,MATCH($A$1,Database!$A$1:$Q$1,),)</f>
        <v>18998</v>
      </c>
      <c r="C241" s="12">
        <f t="shared" si="6"/>
        <v>-9.8504195549069685E-3</v>
      </c>
      <c r="D241" s="13">
        <f t="shared" si="7"/>
        <v>8.1090308996756386E-2</v>
      </c>
    </row>
    <row r="242" spans="1:4" x14ac:dyDescent="0.35">
      <c r="A242" s="11">
        <v>40756</v>
      </c>
      <c r="B242" s="15">
        <f>VLOOKUP(A242,Database!A:Q,MATCH($A$1,Database!$A$1:$Q$1,),)</f>
        <v>18902</v>
      </c>
      <c r="C242" s="12">
        <f t="shared" si="6"/>
        <v>-5.0531634908937782E-3</v>
      </c>
      <c r="D242" s="13">
        <f t="shared" si="7"/>
        <v>7.1359746074930563E-2</v>
      </c>
    </row>
    <row r="243" spans="1:4" x14ac:dyDescent="0.35">
      <c r="A243" s="10">
        <v>40787</v>
      </c>
      <c r="B243" s="15">
        <f>VLOOKUP(A243,Database!A:Q,MATCH($A$1,Database!$A$1:$Q$1,),)</f>
        <v>19514</v>
      </c>
      <c r="C243" s="12">
        <f t="shared" si="6"/>
        <v>3.2377526187705008E-2</v>
      </c>
      <c r="D243" s="13">
        <f t="shared" si="7"/>
        <v>0.10217452696978255</v>
      </c>
    </row>
    <row r="244" spans="1:4" x14ac:dyDescent="0.35">
      <c r="A244" s="11">
        <v>40817</v>
      </c>
      <c r="B244" s="15">
        <f>VLOOKUP(A244,Database!A:Q,MATCH($A$1,Database!$A$1:$Q$1,),)</f>
        <v>19128</v>
      </c>
      <c r="C244" s="12">
        <f t="shared" si="6"/>
        <v>-1.9780670287998361E-2</v>
      </c>
      <c r="D244" s="13">
        <f t="shared" si="7"/>
        <v>6.2548605710476615E-2</v>
      </c>
    </row>
    <row r="245" spans="1:4" x14ac:dyDescent="0.35">
      <c r="A245" s="10">
        <v>40848</v>
      </c>
      <c r="B245" s="15">
        <f>VLOOKUP(A245,Database!A:Q,MATCH($A$1,Database!$A$1:$Q$1,),)</f>
        <v>19292</v>
      </c>
      <c r="C245" s="12">
        <f t="shared" si="6"/>
        <v>8.5738184859891261E-3</v>
      </c>
      <c r="D245" s="13">
        <f t="shared" si="7"/>
        <v>4.7339847991313792E-2</v>
      </c>
    </row>
    <row r="246" spans="1:4" x14ac:dyDescent="0.35">
      <c r="A246" s="11">
        <v>40878</v>
      </c>
      <c r="B246" s="15">
        <f>VLOOKUP(A246,Database!A:Q,MATCH($A$1,Database!$A$1:$Q$1,),)</f>
        <v>19512</v>
      </c>
      <c r="C246" s="12">
        <f t="shared" si="6"/>
        <v>1.1403690648973668E-2</v>
      </c>
      <c r="D246" s="13">
        <f t="shared" si="7"/>
        <v>7.1734592991321539E-2</v>
      </c>
    </row>
    <row r="247" spans="1:4" x14ac:dyDescent="0.35">
      <c r="A247" s="10">
        <v>40909</v>
      </c>
      <c r="B247" s="15">
        <f>VLOOKUP(A247,Database!A:Q,MATCH($A$1,Database!$A$1:$Q$1,),)</f>
        <v>19564</v>
      </c>
      <c r="C247" s="12">
        <f t="shared" si="6"/>
        <v>2.6650266502665026E-3</v>
      </c>
      <c r="D247" s="13">
        <f t="shared" si="7"/>
        <v>6.6099940057762513E-2</v>
      </c>
    </row>
    <row r="248" spans="1:4" x14ac:dyDescent="0.35">
      <c r="A248" s="11">
        <v>40940</v>
      </c>
      <c r="B248" s="15">
        <f>VLOOKUP(A248,Database!A:Q,MATCH($A$1,Database!$A$1:$Q$1,),)</f>
        <v>20275</v>
      </c>
      <c r="C248" s="12">
        <f t="shared" si="6"/>
        <v>3.6342261296258435E-2</v>
      </c>
      <c r="D248" s="13">
        <f t="shared" si="7"/>
        <v>9.040550715284501E-2</v>
      </c>
    </row>
    <row r="249" spans="1:4" x14ac:dyDescent="0.35">
      <c r="A249" s="10">
        <v>40969</v>
      </c>
      <c r="B249" s="15">
        <f>VLOOKUP(A249,Database!A:Q,MATCH($A$1,Database!$A$1:$Q$1,),)</f>
        <v>20063</v>
      </c>
      <c r="C249" s="12">
        <f t="shared" si="6"/>
        <v>-1.0456226880394574E-2</v>
      </c>
      <c r="D249" s="13">
        <f t="shared" si="7"/>
        <v>7.2543568908371645E-2</v>
      </c>
    </row>
    <row r="250" spans="1:4" x14ac:dyDescent="0.35">
      <c r="A250" s="11">
        <v>41000</v>
      </c>
      <c r="B250" s="15">
        <f>VLOOKUP(A250,Database!A:Q,MATCH($A$1,Database!$A$1:$Q$1,),)</f>
        <v>19540</v>
      </c>
      <c r="C250" s="12">
        <f t="shared" si="6"/>
        <v>-2.6067886158600409E-2</v>
      </c>
      <c r="D250" s="13">
        <f t="shared" si="7"/>
        <v>3.1352264330201628E-2</v>
      </c>
    </row>
    <row r="251" spans="1:4" x14ac:dyDescent="0.35">
      <c r="A251" s="10">
        <v>41030</v>
      </c>
      <c r="B251" s="15">
        <f>VLOOKUP(A251,Database!A:Q,MATCH($A$1,Database!$A$1:$Q$1,),)</f>
        <v>19633</v>
      </c>
      <c r="C251" s="12">
        <f t="shared" si="6"/>
        <v>4.759467758444217E-3</v>
      </c>
      <c r="D251" s="13">
        <f t="shared" si="7"/>
        <v>4.2589347352769369E-2</v>
      </c>
    </row>
    <row r="252" spans="1:4" x14ac:dyDescent="0.35">
      <c r="A252" s="11">
        <v>41061</v>
      </c>
      <c r="B252" s="15">
        <f>VLOOKUP(A252,Database!A:Q,MATCH($A$1,Database!$A$1:$Q$1,),)</f>
        <v>19860</v>
      </c>
      <c r="C252" s="12">
        <f t="shared" si="6"/>
        <v>1.1562165741353844E-2</v>
      </c>
      <c r="D252" s="13">
        <f t="shared" si="7"/>
        <v>3.5075832594986187E-2</v>
      </c>
    </row>
    <row r="253" spans="1:4" x14ac:dyDescent="0.35">
      <c r="A253" s="10">
        <v>41091</v>
      </c>
      <c r="B253" s="15">
        <f>VLOOKUP(A253,Database!A:Q,MATCH($A$1,Database!$A$1:$Q$1,),)</f>
        <v>19701</v>
      </c>
      <c r="C253" s="12">
        <f t="shared" si="6"/>
        <v>-8.0060422960725082E-3</v>
      </c>
      <c r="D253" s="13">
        <f t="shared" si="7"/>
        <v>3.7003895146857563E-2</v>
      </c>
    </row>
    <row r="254" spans="1:4" x14ac:dyDescent="0.35">
      <c r="A254" s="11">
        <v>41122</v>
      </c>
      <c r="B254" s="15">
        <f>VLOOKUP(A254,Database!A:Q,MATCH($A$1,Database!$A$1:$Q$1,),)</f>
        <v>19947</v>
      </c>
      <c r="C254" s="12">
        <f t="shared" si="6"/>
        <v>1.2486675803258717E-2</v>
      </c>
      <c r="D254" s="13">
        <f t="shared" si="7"/>
        <v>5.5285155010051844E-2</v>
      </c>
    </row>
    <row r="255" spans="1:4" x14ac:dyDescent="0.35">
      <c r="A255" s="10">
        <v>41153</v>
      </c>
      <c r="B255" s="15">
        <f>VLOOKUP(A255,Database!A:Q,MATCH($A$1,Database!$A$1:$Q$1,),)</f>
        <v>20118</v>
      </c>
      <c r="C255" s="12">
        <f t="shared" si="6"/>
        <v>8.5727177019100619E-3</v>
      </c>
      <c r="D255" s="13">
        <f t="shared" si="7"/>
        <v>3.0952136927334221E-2</v>
      </c>
    </row>
    <row r="256" spans="1:4" x14ac:dyDescent="0.35">
      <c r="A256" s="11">
        <v>41183</v>
      </c>
      <c r="B256" s="15">
        <f>VLOOKUP(A256,Database!A:Q,MATCH($A$1,Database!$A$1:$Q$1,),)</f>
        <v>19911</v>
      </c>
      <c r="C256" s="12">
        <f t="shared" si="6"/>
        <v>-1.0289293170295259E-2</v>
      </c>
      <c r="D256" s="13">
        <f t="shared" si="7"/>
        <v>4.0934755332496867E-2</v>
      </c>
    </row>
    <row r="257" spans="1:4" x14ac:dyDescent="0.35">
      <c r="A257" s="10">
        <v>41214</v>
      </c>
      <c r="B257" s="15">
        <f>VLOOKUP(A257,Database!A:Q,MATCH($A$1,Database!$A$1:$Q$1,),)</f>
        <v>19989</v>
      </c>
      <c r="C257" s="12">
        <f t="shared" si="6"/>
        <v>3.9174325749585653E-3</v>
      </c>
      <c r="D257" s="13">
        <f t="shared" si="7"/>
        <v>3.6128965374248395E-2</v>
      </c>
    </row>
    <row r="258" spans="1:4" x14ac:dyDescent="0.35">
      <c r="A258" s="11">
        <v>41244</v>
      </c>
      <c r="B258" s="15">
        <f>VLOOKUP(A258,Database!A:Q,MATCH($A$1,Database!$A$1:$Q$1,),)</f>
        <v>20196</v>
      </c>
      <c r="C258" s="12">
        <f t="shared" si="6"/>
        <v>1.0355695632597929E-2</v>
      </c>
      <c r="D258" s="13">
        <f t="shared" si="7"/>
        <v>3.5055350553505532E-2</v>
      </c>
    </row>
    <row r="259" spans="1:4" x14ac:dyDescent="0.35">
      <c r="A259" s="10">
        <v>41275</v>
      </c>
      <c r="B259" s="15">
        <f>VLOOKUP(A259,Database!A:Q,MATCH($A$1,Database!$A$1:$Q$1,),)</f>
        <v>20427</v>
      </c>
      <c r="C259" s="12">
        <f t="shared" si="6"/>
        <v>1.1437908496732025E-2</v>
      </c>
      <c r="D259" s="13">
        <f t="shared" si="7"/>
        <v>4.4111633612758126E-2</v>
      </c>
    </row>
    <row r="260" spans="1:4" x14ac:dyDescent="0.35">
      <c r="A260" s="11">
        <v>41306</v>
      </c>
      <c r="B260" s="15">
        <f>VLOOKUP(A260,Database!A:Q,MATCH($A$1,Database!$A$1:$Q$1,),)</f>
        <v>20324</v>
      </c>
      <c r="C260" s="12">
        <f t="shared" si="6"/>
        <v>-5.0423459147207125E-3</v>
      </c>
      <c r="D260" s="13">
        <f t="shared" si="7"/>
        <v>2.4167694204685571E-3</v>
      </c>
    </row>
    <row r="261" spans="1:4" x14ac:dyDescent="0.35">
      <c r="A261" s="10">
        <v>41334</v>
      </c>
      <c r="B261" s="15">
        <f>VLOOKUP(A261,Database!A:Q,MATCH($A$1,Database!$A$1:$Q$1,),)</f>
        <v>20345</v>
      </c>
      <c r="C261" s="12">
        <f t="shared" si="6"/>
        <v>1.0332611690612083E-3</v>
      </c>
      <c r="D261" s="13">
        <f t="shared" si="7"/>
        <v>1.4055724467926033E-2</v>
      </c>
    </row>
    <row r="262" spans="1:4" x14ac:dyDescent="0.35">
      <c r="A262" s="11">
        <v>41365</v>
      </c>
      <c r="B262" s="15">
        <f>VLOOKUP(A262,Database!A:Q,MATCH($A$1,Database!$A$1:$Q$1,),)</f>
        <v>20490</v>
      </c>
      <c r="C262" s="12">
        <f t="shared" si="6"/>
        <v>7.1270582452691075E-3</v>
      </c>
      <c r="D262" s="13">
        <f t="shared" si="7"/>
        <v>4.8618219037871037E-2</v>
      </c>
    </row>
    <row r="263" spans="1:4" x14ac:dyDescent="0.35">
      <c r="A263" s="10">
        <v>41395</v>
      </c>
      <c r="B263" s="15">
        <f>VLOOKUP(A263,Database!A:Q,MATCH($A$1,Database!$A$1:$Q$1,),)</f>
        <v>20403</v>
      </c>
      <c r="C263" s="12">
        <f t="shared" si="6"/>
        <v>-4.2459736456808197E-3</v>
      </c>
      <c r="D263" s="13">
        <f t="shared" si="7"/>
        <v>3.9219681149085722E-2</v>
      </c>
    </row>
    <row r="264" spans="1:4" x14ac:dyDescent="0.35">
      <c r="A264" s="11">
        <v>41426</v>
      </c>
      <c r="B264" s="15">
        <f>VLOOKUP(A264,Database!A:Q,MATCH($A$1,Database!$A$1:$Q$1,),)</f>
        <v>20369</v>
      </c>
      <c r="C264" s="12">
        <f t="shared" ref="C264:C327" si="8">(B264-B263)/B263</f>
        <v>-1.6664216046659804E-3</v>
      </c>
      <c r="D264" s="13">
        <f t="shared" si="7"/>
        <v>2.5629405840886202E-2</v>
      </c>
    </row>
    <row r="265" spans="1:4" x14ac:dyDescent="0.35">
      <c r="A265" s="10">
        <v>41456</v>
      </c>
      <c r="B265" s="15">
        <f>VLOOKUP(A265,Database!A:Q,MATCH($A$1,Database!$A$1:$Q$1,),)</f>
        <v>20579</v>
      </c>
      <c r="C265" s="12">
        <f t="shared" si="8"/>
        <v>1.0309784476410231E-2</v>
      </c>
      <c r="D265" s="13">
        <f t="shared" si="7"/>
        <v>4.4566265671793309E-2</v>
      </c>
    </row>
    <row r="266" spans="1:4" x14ac:dyDescent="0.35">
      <c r="A266" s="11">
        <v>41487</v>
      </c>
      <c r="B266" s="15">
        <f>VLOOKUP(A266,Database!A:Q,MATCH($A$1,Database!$A$1:$Q$1,),)</f>
        <v>20336</v>
      </c>
      <c r="C266" s="12">
        <f t="shared" si="8"/>
        <v>-1.1808153943340298E-2</v>
      </c>
      <c r="D266" s="13">
        <f t="shared" si="7"/>
        <v>1.950167945054394E-2</v>
      </c>
    </row>
    <row r="267" spans="1:4" x14ac:dyDescent="0.35">
      <c r="A267" s="10">
        <v>41518</v>
      </c>
      <c r="B267" s="15">
        <f>VLOOKUP(A267,Database!A:Q,MATCH($A$1,Database!$A$1:$Q$1,),)</f>
        <v>20327</v>
      </c>
      <c r="C267" s="12">
        <f t="shared" si="8"/>
        <v>-4.4256490952006294E-4</v>
      </c>
      <c r="D267" s="13">
        <f t="shared" si="7"/>
        <v>1.0388706630877821E-2</v>
      </c>
    </row>
    <row r="268" spans="1:4" x14ac:dyDescent="0.35">
      <c r="A268" s="11">
        <v>41548</v>
      </c>
      <c r="B268" s="15">
        <f>VLOOKUP(A268,Database!A:Q,MATCH($A$1,Database!$A$1:$Q$1,),)</f>
        <v>20770</v>
      </c>
      <c r="C268" s="12">
        <f t="shared" si="8"/>
        <v>2.1793673439267969E-2</v>
      </c>
      <c r="D268" s="13">
        <f t="shared" si="7"/>
        <v>4.3141981819094975E-2</v>
      </c>
    </row>
    <row r="269" spans="1:4" x14ac:dyDescent="0.35">
      <c r="A269" s="10">
        <v>41579</v>
      </c>
      <c r="B269" s="15">
        <f>VLOOKUP(A269,Database!A:Q,MATCH($A$1,Database!$A$1:$Q$1,),)</f>
        <v>20271</v>
      </c>
      <c r="C269" s="12">
        <f t="shared" si="8"/>
        <v>-2.4025036109773711E-2</v>
      </c>
      <c r="D269" s="13">
        <f t="shared" si="7"/>
        <v>1.4107759267597178E-2</v>
      </c>
    </row>
    <row r="270" spans="1:4" x14ac:dyDescent="0.35">
      <c r="A270" s="11">
        <v>41609</v>
      </c>
      <c r="B270" s="15">
        <f>VLOOKUP(A270,Database!A:Q,MATCH($A$1,Database!$A$1:$Q$1,),)</f>
        <v>20584</v>
      </c>
      <c r="C270" s="12">
        <f t="shared" si="8"/>
        <v>1.5440777465344582E-2</v>
      </c>
      <c r="D270" s="13">
        <f t="shared" si="7"/>
        <v>1.9211725094078036E-2</v>
      </c>
    </row>
    <row r="271" spans="1:4" x14ac:dyDescent="0.35">
      <c r="A271" s="10">
        <v>41640</v>
      </c>
      <c r="B271" s="15">
        <f>VLOOKUP(A271,Database!A:Q,MATCH($A$1,Database!$A$1:$Q$1,),)</f>
        <v>20538</v>
      </c>
      <c r="C271" s="12">
        <f t="shared" si="8"/>
        <v>-2.2347454333462883E-3</v>
      </c>
      <c r="D271" s="13">
        <f t="shared" si="7"/>
        <v>5.4339844323689239E-3</v>
      </c>
    </row>
    <row r="272" spans="1:4" x14ac:dyDescent="0.35">
      <c r="A272" s="11">
        <v>41671</v>
      </c>
      <c r="B272" s="15">
        <f>VLOOKUP(A272,Database!A:Q,MATCH($A$1,Database!$A$1:$Q$1,),)</f>
        <v>20554</v>
      </c>
      <c r="C272" s="12">
        <f t="shared" si="8"/>
        <v>7.7904372382899987E-4</v>
      </c>
      <c r="D272" s="13">
        <f t="shared" si="7"/>
        <v>1.1316669946860853E-2</v>
      </c>
    </row>
    <row r="273" spans="1:4" x14ac:dyDescent="0.35">
      <c r="A273" s="10">
        <v>41699</v>
      </c>
      <c r="B273" s="15">
        <f>VLOOKUP(A273,Database!A:Q,MATCH($A$1,Database!$A$1:$Q$1,),)</f>
        <v>20686</v>
      </c>
      <c r="C273" s="12">
        <f t="shared" si="8"/>
        <v>6.4221076189549479E-3</v>
      </c>
      <c r="D273" s="13">
        <f t="shared" si="7"/>
        <v>1.6760874907839764E-2</v>
      </c>
    </row>
    <row r="274" spans="1:4" x14ac:dyDescent="0.35">
      <c r="A274" s="11">
        <v>41730</v>
      </c>
      <c r="B274" s="15">
        <f>VLOOKUP(A274,Database!A:Q,MATCH($A$1,Database!$A$1:$Q$1,),)</f>
        <v>21166</v>
      </c>
      <c r="C274" s="12">
        <f t="shared" si="8"/>
        <v>2.320409939089239E-2</v>
      </c>
      <c r="D274" s="13">
        <f t="shared" si="7"/>
        <v>3.2991703269887748E-2</v>
      </c>
    </row>
    <row r="275" spans="1:4" x14ac:dyDescent="0.35">
      <c r="A275" s="10">
        <v>41760</v>
      </c>
      <c r="B275" s="15">
        <f>VLOOKUP(A275,Database!A:Q,MATCH($A$1,Database!$A$1:$Q$1,),)</f>
        <v>20775</v>
      </c>
      <c r="C275" s="12">
        <f t="shared" si="8"/>
        <v>-1.8473022772370784E-2</v>
      </c>
      <c r="D275" s="13">
        <f t="shared" ref="D275:D338" si="9">(B275-B263)/B263</f>
        <v>1.8232612851051315E-2</v>
      </c>
    </row>
    <row r="276" spans="1:4" x14ac:dyDescent="0.35">
      <c r="A276" s="11">
        <v>41791</v>
      </c>
      <c r="B276" s="15">
        <f>VLOOKUP(A276,Database!A:Q,MATCH($A$1,Database!$A$1:$Q$1,),)</f>
        <v>20827</v>
      </c>
      <c r="C276" s="12">
        <f t="shared" si="8"/>
        <v>2.503008423586041E-3</v>
      </c>
      <c r="D276" s="13">
        <f t="shared" si="9"/>
        <v>2.2485149000932791E-2</v>
      </c>
    </row>
    <row r="277" spans="1:4" x14ac:dyDescent="0.35">
      <c r="A277" s="10">
        <v>41821</v>
      </c>
      <c r="B277" s="15">
        <f>VLOOKUP(A277,Database!A:Q,MATCH($A$1,Database!$A$1:$Q$1,),)</f>
        <v>20929</v>
      </c>
      <c r="C277" s="12">
        <f t="shared" si="8"/>
        <v>4.8974888366063287E-3</v>
      </c>
      <c r="D277" s="13">
        <f t="shared" si="9"/>
        <v>1.7007629136498371E-2</v>
      </c>
    </row>
    <row r="278" spans="1:4" x14ac:dyDescent="0.35">
      <c r="A278" s="11">
        <v>41852</v>
      </c>
      <c r="B278" s="15">
        <f>VLOOKUP(A278,Database!A:Q,MATCH($A$1,Database!$A$1:$Q$1,),)</f>
        <v>21076</v>
      </c>
      <c r="C278" s="12">
        <f t="shared" si="8"/>
        <v>7.0237469539872902E-3</v>
      </c>
      <c r="D278" s="13">
        <f t="shared" si="9"/>
        <v>3.638867033831629E-2</v>
      </c>
    </row>
    <row r="279" spans="1:4" x14ac:dyDescent="0.35">
      <c r="A279" s="10">
        <v>41883</v>
      </c>
      <c r="B279" s="15">
        <f>VLOOKUP(A279,Database!A:Q,MATCH($A$1,Database!$A$1:$Q$1,),)</f>
        <v>20820</v>
      </c>
      <c r="C279" s="12">
        <f t="shared" si="8"/>
        <v>-1.2146517365724046E-2</v>
      </c>
      <c r="D279" s="13">
        <f t="shared" si="9"/>
        <v>2.4253455994490088E-2</v>
      </c>
    </row>
    <row r="280" spans="1:4" x14ac:dyDescent="0.35">
      <c r="A280" s="11">
        <v>41913</v>
      </c>
      <c r="B280" s="15">
        <f>VLOOKUP(A280,Database!A:Q,MATCH($A$1,Database!$A$1:$Q$1,),)</f>
        <v>21157</v>
      </c>
      <c r="C280" s="12">
        <f t="shared" si="8"/>
        <v>1.6186359269932758E-2</v>
      </c>
      <c r="D280" s="13">
        <f t="shared" si="9"/>
        <v>1.8632643235435724E-2</v>
      </c>
    </row>
    <row r="281" spans="1:4" x14ac:dyDescent="0.35">
      <c r="A281" s="10">
        <v>41944</v>
      </c>
      <c r="B281" s="15">
        <f>VLOOKUP(A281,Database!A:Q,MATCH($A$1,Database!$A$1:$Q$1,),)</f>
        <v>21379</v>
      </c>
      <c r="C281" s="12">
        <f t="shared" si="8"/>
        <v>1.0492981046462164E-2</v>
      </c>
      <c r="D281" s="13">
        <f t="shared" si="9"/>
        <v>5.465936559617187E-2</v>
      </c>
    </row>
    <row r="282" spans="1:4" x14ac:dyDescent="0.35">
      <c r="A282" s="11">
        <v>41974</v>
      </c>
      <c r="B282" s="15">
        <f>VLOOKUP(A282,Database!A:Q,MATCH($A$1,Database!$A$1:$Q$1,),)</f>
        <v>21319</v>
      </c>
      <c r="C282" s="12">
        <f t="shared" si="8"/>
        <v>-2.8064923523083399E-3</v>
      </c>
      <c r="D282" s="13">
        <f t="shared" si="9"/>
        <v>3.5707345511076564E-2</v>
      </c>
    </row>
    <row r="283" spans="1:4" x14ac:dyDescent="0.35">
      <c r="A283" s="10">
        <v>42005</v>
      </c>
      <c r="B283" s="15">
        <f>VLOOKUP(A283,Database!A:Q,MATCH($A$1,Database!$A$1:$Q$1,),)</f>
        <v>21055</v>
      </c>
      <c r="C283" s="12">
        <f t="shared" si="8"/>
        <v>-1.2383320043153994E-2</v>
      </c>
      <c r="D283" s="13">
        <f t="shared" si="9"/>
        <v>2.5172850326224558E-2</v>
      </c>
    </row>
    <row r="284" spans="1:4" x14ac:dyDescent="0.35">
      <c r="A284" s="11">
        <v>42036</v>
      </c>
      <c r="B284" s="15">
        <f>VLOOKUP(A284,Database!A:Q,MATCH($A$1,Database!$A$1:$Q$1,),)</f>
        <v>21333</v>
      </c>
      <c r="C284" s="12">
        <f t="shared" si="8"/>
        <v>1.3203514604606982E-2</v>
      </c>
      <c r="D284" s="13">
        <f t="shared" si="9"/>
        <v>3.7900165417923522E-2</v>
      </c>
    </row>
    <row r="285" spans="1:4" x14ac:dyDescent="0.35">
      <c r="A285" s="10">
        <v>42064</v>
      </c>
      <c r="B285" s="15">
        <f>VLOOKUP(A285,Database!A:Q,MATCH($A$1,Database!$A$1:$Q$1,),)</f>
        <v>21394</v>
      </c>
      <c r="C285" s="12">
        <f t="shared" si="8"/>
        <v>2.8594196784324753E-3</v>
      </c>
      <c r="D285" s="13">
        <f t="shared" si="9"/>
        <v>3.4226046601566279E-2</v>
      </c>
    </row>
    <row r="286" spans="1:4" x14ac:dyDescent="0.35">
      <c r="A286" s="11">
        <v>42095</v>
      </c>
      <c r="B286" s="15">
        <f>VLOOKUP(A286,Database!A:Q,MATCH($A$1,Database!$A$1:$Q$1,),)</f>
        <v>21474</v>
      </c>
      <c r="C286" s="12">
        <f t="shared" si="8"/>
        <v>3.7393661774329252E-3</v>
      </c>
      <c r="D286" s="13">
        <f t="shared" si="9"/>
        <v>1.455163942171407E-2</v>
      </c>
    </row>
    <row r="287" spans="1:4" x14ac:dyDescent="0.35">
      <c r="A287" s="10">
        <v>42125</v>
      </c>
      <c r="B287" s="15">
        <f>VLOOKUP(A287,Database!A:Q,MATCH($A$1,Database!$A$1:$Q$1,),)</f>
        <v>21635</v>
      </c>
      <c r="C287" s="12">
        <f t="shared" si="8"/>
        <v>7.4974387631554437E-3</v>
      </c>
      <c r="D287" s="13">
        <f t="shared" si="9"/>
        <v>4.1395908543922985E-2</v>
      </c>
    </row>
    <row r="288" spans="1:4" x14ac:dyDescent="0.35">
      <c r="A288" s="11">
        <v>42156</v>
      </c>
      <c r="B288" s="15">
        <f>VLOOKUP(A288,Database!A:Q,MATCH($A$1,Database!$A$1:$Q$1,),)</f>
        <v>21385</v>
      </c>
      <c r="C288" s="12">
        <f t="shared" si="8"/>
        <v>-1.1555350127108852E-2</v>
      </c>
      <c r="D288" s="13">
        <f t="shared" si="9"/>
        <v>2.6792144812022856E-2</v>
      </c>
    </row>
    <row r="289" spans="1:4" x14ac:dyDescent="0.35">
      <c r="A289" s="10">
        <v>42186</v>
      </c>
      <c r="B289" s="15">
        <f>VLOOKUP(A289,Database!A:Q,MATCH($A$1,Database!$A$1:$Q$1,),)</f>
        <v>21601</v>
      </c>
      <c r="C289" s="12">
        <f t="shared" si="8"/>
        <v>1.0100537760112228E-2</v>
      </c>
      <c r="D289" s="13">
        <f t="shared" si="9"/>
        <v>3.2108557503941898E-2</v>
      </c>
    </row>
    <row r="290" spans="1:4" x14ac:dyDescent="0.35">
      <c r="A290" s="11">
        <v>42217</v>
      </c>
      <c r="B290" s="15">
        <f>VLOOKUP(A290,Database!A:Q,MATCH($A$1,Database!$A$1:$Q$1,),)</f>
        <v>21653</v>
      </c>
      <c r="C290" s="12">
        <f t="shared" si="8"/>
        <v>2.4072959585204391E-3</v>
      </c>
      <c r="D290" s="13">
        <f t="shared" si="9"/>
        <v>2.7377111406338965E-2</v>
      </c>
    </row>
    <row r="291" spans="1:4" x14ac:dyDescent="0.35">
      <c r="A291" s="10">
        <v>42248</v>
      </c>
      <c r="B291" s="15">
        <f>VLOOKUP(A291,Database!A:Q,MATCH($A$1,Database!$A$1:$Q$1,),)</f>
        <v>21462</v>
      </c>
      <c r="C291" s="12">
        <f t="shared" si="8"/>
        <v>-8.8209485983466486E-3</v>
      </c>
      <c r="D291" s="13">
        <f t="shared" si="9"/>
        <v>3.0835734870317003E-2</v>
      </c>
    </row>
    <row r="292" spans="1:4" x14ac:dyDescent="0.35">
      <c r="A292" s="11">
        <v>42278</v>
      </c>
      <c r="B292" s="15">
        <f>VLOOKUP(A292,Database!A:Q,MATCH($A$1,Database!$A$1:$Q$1,),)</f>
        <v>21303</v>
      </c>
      <c r="C292" s="12">
        <f t="shared" si="8"/>
        <v>-7.4084428291864689E-3</v>
      </c>
      <c r="D292" s="13">
        <f t="shared" si="9"/>
        <v>6.9007893368625041E-3</v>
      </c>
    </row>
    <row r="293" spans="1:4" x14ac:dyDescent="0.35">
      <c r="A293" s="10">
        <v>42309</v>
      </c>
      <c r="B293" s="15">
        <f>VLOOKUP(A293,Database!A:Q,MATCH($A$1,Database!$A$1:$Q$1,),)</f>
        <v>21341</v>
      </c>
      <c r="C293" s="12">
        <f t="shared" si="8"/>
        <v>1.7837863211754212E-3</v>
      </c>
      <c r="D293" s="13">
        <f t="shared" si="9"/>
        <v>-1.7774451564619485E-3</v>
      </c>
    </row>
    <row r="294" spans="1:4" x14ac:dyDescent="0.35">
      <c r="A294" s="11">
        <v>42339</v>
      </c>
      <c r="B294" s="15">
        <f>VLOOKUP(A294,Database!A:Q,MATCH($A$1,Database!$A$1:$Q$1,),)</f>
        <v>21547</v>
      </c>
      <c r="C294" s="12">
        <f t="shared" si="8"/>
        <v>9.6527810318166908E-3</v>
      </c>
      <c r="D294" s="13">
        <f t="shared" si="9"/>
        <v>1.0694685491814813E-2</v>
      </c>
    </row>
    <row r="295" spans="1:4" x14ac:dyDescent="0.35">
      <c r="A295" s="10">
        <v>42370</v>
      </c>
      <c r="B295" s="15">
        <f>VLOOKUP(A295,Database!A:Q,MATCH($A$1,Database!$A$1:$Q$1,),)</f>
        <v>21325</v>
      </c>
      <c r="C295" s="12">
        <f t="shared" si="8"/>
        <v>-1.0303058430407946E-2</v>
      </c>
      <c r="D295" s="13">
        <f t="shared" si="9"/>
        <v>1.2823557349798148E-2</v>
      </c>
    </row>
    <row r="296" spans="1:4" x14ac:dyDescent="0.35">
      <c r="A296" s="11">
        <v>42401</v>
      </c>
      <c r="B296" s="15">
        <f>VLOOKUP(A296,Database!A:Q,MATCH($A$1,Database!$A$1:$Q$1,),)</f>
        <v>22000</v>
      </c>
      <c r="C296" s="12">
        <f t="shared" si="8"/>
        <v>3.1652989449003514E-2</v>
      </c>
      <c r="D296" s="13">
        <f t="shared" si="9"/>
        <v>3.1266113533023956E-2</v>
      </c>
    </row>
    <row r="297" spans="1:4" x14ac:dyDescent="0.35">
      <c r="A297" s="10">
        <v>42430</v>
      </c>
      <c r="B297" s="15">
        <f>VLOOKUP(A297,Database!A:Q,MATCH($A$1,Database!$A$1:$Q$1,),)</f>
        <v>21513</v>
      </c>
      <c r="C297" s="12">
        <f t="shared" si="8"/>
        <v>-2.2136363636363638E-2</v>
      </c>
      <c r="D297" s="13">
        <f t="shared" si="9"/>
        <v>5.5623071889314762E-3</v>
      </c>
    </row>
    <row r="298" spans="1:4" x14ac:dyDescent="0.35">
      <c r="A298" s="11">
        <v>42461</v>
      </c>
      <c r="B298" s="15">
        <f>VLOOKUP(A298,Database!A:Q,MATCH($A$1,Database!$A$1:$Q$1,),)</f>
        <v>21439</v>
      </c>
      <c r="C298" s="12">
        <f t="shared" si="8"/>
        <v>-3.4397805977780878E-3</v>
      </c>
      <c r="D298" s="13">
        <f t="shared" si="9"/>
        <v>-1.629877991990314E-3</v>
      </c>
    </row>
    <row r="299" spans="1:4" x14ac:dyDescent="0.35">
      <c r="A299" s="10">
        <v>42491</v>
      </c>
      <c r="B299" s="15">
        <f>VLOOKUP(A299,Database!A:Q,MATCH($A$1,Database!$A$1:$Q$1,),)</f>
        <v>21572</v>
      </c>
      <c r="C299" s="12">
        <f t="shared" si="8"/>
        <v>6.2036475581883485E-3</v>
      </c>
      <c r="D299" s="13">
        <f t="shared" si="9"/>
        <v>-2.9119482320314307E-3</v>
      </c>
    </row>
    <row r="300" spans="1:4" x14ac:dyDescent="0.35">
      <c r="A300" s="11">
        <v>42522</v>
      </c>
      <c r="B300" s="15">
        <f>VLOOKUP(A300,Database!A:Q,MATCH($A$1,Database!$A$1:$Q$1,),)</f>
        <v>21706</v>
      </c>
      <c r="C300" s="12">
        <f t="shared" si="8"/>
        <v>6.2117559799740405E-3</v>
      </c>
      <c r="D300" s="13">
        <f t="shared" si="9"/>
        <v>1.5010521393500117E-2</v>
      </c>
    </row>
    <row r="301" spans="1:4" x14ac:dyDescent="0.35">
      <c r="A301" s="10">
        <v>42552</v>
      </c>
      <c r="B301" s="15">
        <f>VLOOKUP(A301,Database!A:Q,MATCH($A$1,Database!$A$1:$Q$1,),)</f>
        <v>21471</v>
      </c>
      <c r="C301" s="12">
        <f t="shared" si="8"/>
        <v>-1.0826499585368101E-2</v>
      </c>
      <c r="D301" s="13">
        <f t="shared" si="9"/>
        <v>-6.0182398963010975E-3</v>
      </c>
    </row>
    <row r="302" spans="1:4" x14ac:dyDescent="0.35">
      <c r="A302" s="11">
        <v>42583</v>
      </c>
      <c r="B302" s="15">
        <f>VLOOKUP(A302,Database!A:Q,MATCH($A$1,Database!$A$1:$Q$1,),)</f>
        <v>21837</v>
      </c>
      <c r="C302" s="12">
        <f t="shared" si="8"/>
        <v>1.7046248428112337E-2</v>
      </c>
      <c r="D302" s="13">
        <f t="shared" si="9"/>
        <v>8.4976677596637872E-3</v>
      </c>
    </row>
    <row r="303" spans="1:4" x14ac:dyDescent="0.35">
      <c r="A303" s="10">
        <v>42614</v>
      </c>
      <c r="B303" s="15">
        <f>VLOOKUP(A303,Database!A:Q,MATCH($A$1,Database!$A$1:$Q$1,),)</f>
        <v>21946</v>
      </c>
      <c r="C303" s="12">
        <f t="shared" si="8"/>
        <v>4.9915281403123141E-3</v>
      </c>
      <c r="D303" s="13">
        <f t="shared" si="9"/>
        <v>2.2551486347963844E-2</v>
      </c>
    </row>
    <row r="304" spans="1:4" x14ac:dyDescent="0.35">
      <c r="A304" s="11">
        <v>42644</v>
      </c>
      <c r="B304" s="15">
        <f>VLOOKUP(A304,Database!A:Q,MATCH($A$1,Database!$A$1:$Q$1,),)</f>
        <v>21739</v>
      </c>
      <c r="C304" s="12">
        <f t="shared" si="8"/>
        <v>-9.4322427777271487E-3</v>
      </c>
      <c r="D304" s="13">
        <f t="shared" si="9"/>
        <v>2.0466600948223255E-2</v>
      </c>
    </row>
    <row r="305" spans="1:4" x14ac:dyDescent="0.35">
      <c r="A305" s="10">
        <v>42675</v>
      </c>
      <c r="B305" s="15">
        <f>VLOOKUP(A305,Database!A:Q,MATCH($A$1,Database!$A$1:$Q$1,),)</f>
        <v>21536</v>
      </c>
      <c r="C305" s="12">
        <f t="shared" si="8"/>
        <v>-9.3380560283361693E-3</v>
      </c>
      <c r="D305" s="13">
        <f t="shared" si="9"/>
        <v>9.1373412679818192E-3</v>
      </c>
    </row>
    <row r="306" spans="1:4" x14ac:dyDescent="0.35">
      <c r="A306" s="11">
        <v>42705</v>
      </c>
      <c r="B306" s="15">
        <f>VLOOKUP(A306,Database!A:Q,MATCH($A$1,Database!$A$1:$Q$1,),)</f>
        <v>21999</v>
      </c>
      <c r="C306" s="12">
        <f t="shared" si="8"/>
        <v>2.149888558692422E-2</v>
      </c>
      <c r="D306" s="13">
        <f t="shared" si="9"/>
        <v>2.0977398245695455E-2</v>
      </c>
    </row>
    <row r="307" spans="1:4" x14ac:dyDescent="0.35">
      <c r="A307" s="10">
        <v>42736</v>
      </c>
      <c r="B307" s="15">
        <f>VLOOKUP(A307,Database!A:Q,MATCH($A$1,Database!$A$1:$Q$1,),)</f>
        <v>22061</v>
      </c>
      <c r="C307" s="12">
        <f t="shared" si="8"/>
        <v>2.8183099231783265E-3</v>
      </c>
      <c r="D307" s="13">
        <f t="shared" si="9"/>
        <v>3.4513481828839392E-2</v>
      </c>
    </row>
    <row r="308" spans="1:4" x14ac:dyDescent="0.35">
      <c r="A308" s="11">
        <v>42767</v>
      </c>
      <c r="B308" s="15">
        <f>VLOOKUP(A308,Database!A:Q,MATCH($A$1,Database!$A$1:$Q$1,),)</f>
        <v>21694</v>
      </c>
      <c r="C308" s="12">
        <f t="shared" si="8"/>
        <v>-1.6635691945061419E-2</v>
      </c>
      <c r="D308" s="13">
        <f t="shared" si="9"/>
        <v>-1.3909090909090909E-2</v>
      </c>
    </row>
    <row r="309" spans="1:4" x14ac:dyDescent="0.35">
      <c r="A309" s="10">
        <v>42795</v>
      </c>
      <c r="B309" s="15">
        <f>VLOOKUP(A309,Database!A:Q,MATCH($A$1,Database!$A$1:$Q$1,),)</f>
        <v>21821</v>
      </c>
      <c r="C309" s="12">
        <f t="shared" si="8"/>
        <v>5.8541532220890572E-3</v>
      </c>
      <c r="D309" s="13">
        <f t="shared" si="9"/>
        <v>1.4316924650211499E-2</v>
      </c>
    </row>
    <row r="310" spans="1:4" x14ac:dyDescent="0.35">
      <c r="A310" s="11">
        <v>42826</v>
      </c>
      <c r="B310" s="15">
        <f>VLOOKUP(A310,Database!A:Q,MATCH($A$1,Database!$A$1:$Q$1,),)</f>
        <v>21797</v>
      </c>
      <c r="C310" s="12">
        <f t="shared" si="8"/>
        <v>-1.0998579350167271E-3</v>
      </c>
      <c r="D310" s="13">
        <f t="shared" si="9"/>
        <v>1.6698540043845328E-2</v>
      </c>
    </row>
    <row r="311" spans="1:4" x14ac:dyDescent="0.35">
      <c r="A311" s="10">
        <v>42856</v>
      </c>
      <c r="B311" s="15">
        <f>VLOOKUP(A311,Database!A:Q,MATCH($A$1,Database!$A$1:$Q$1,),)</f>
        <v>21601</v>
      </c>
      <c r="C311" s="12">
        <f t="shared" si="8"/>
        <v>-8.9920631279533873E-3</v>
      </c>
      <c r="D311" s="13">
        <f t="shared" si="9"/>
        <v>1.344335249397367E-3</v>
      </c>
    </row>
    <row r="312" spans="1:4" x14ac:dyDescent="0.35">
      <c r="A312" s="11">
        <v>42887</v>
      </c>
      <c r="B312" s="15">
        <f>VLOOKUP(A312,Database!A:Q,MATCH($A$1,Database!$A$1:$Q$1,),)</f>
        <v>21768</v>
      </c>
      <c r="C312" s="12">
        <f t="shared" si="8"/>
        <v>7.7311235590944863E-3</v>
      </c>
      <c r="D312" s="13">
        <f t="shared" si="9"/>
        <v>2.8563530820971158E-3</v>
      </c>
    </row>
    <row r="313" spans="1:4" x14ac:dyDescent="0.35">
      <c r="A313" s="10">
        <v>42917</v>
      </c>
      <c r="B313" s="15">
        <f>VLOOKUP(A313,Database!A:Q,MATCH($A$1,Database!$A$1:$Q$1,),)</f>
        <v>21626</v>
      </c>
      <c r="C313" s="12">
        <f t="shared" si="8"/>
        <v>-6.5233370084527747E-3</v>
      </c>
      <c r="D313" s="13">
        <f t="shared" si="9"/>
        <v>7.2190396348563177E-3</v>
      </c>
    </row>
    <row r="314" spans="1:4" x14ac:dyDescent="0.35">
      <c r="A314" s="11">
        <v>42948</v>
      </c>
      <c r="B314" s="15">
        <f>VLOOKUP(A314,Database!A:Q,MATCH($A$1,Database!$A$1:$Q$1,),)</f>
        <v>21810</v>
      </c>
      <c r="C314" s="12">
        <f t="shared" si="8"/>
        <v>8.508277073892536E-3</v>
      </c>
      <c r="D314" s="13">
        <f t="shared" si="9"/>
        <v>-1.2364335760406649E-3</v>
      </c>
    </row>
    <row r="315" spans="1:4" x14ac:dyDescent="0.35">
      <c r="A315" s="10">
        <v>42979</v>
      </c>
      <c r="B315" s="15">
        <f>VLOOKUP(A315,Database!A:Q,MATCH($A$1,Database!$A$1:$Q$1,),)</f>
        <v>21864</v>
      </c>
      <c r="C315" s="12">
        <f t="shared" si="8"/>
        <v>2.4759284731774417E-3</v>
      </c>
      <c r="D315" s="13">
        <f t="shared" si="9"/>
        <v>-3.7364439989064067E-3</v>
      </c>
    </row>
    <row r="316" spans="1:4" x14ac:dyDescent="0.35">
      <c r="A316" s="11">
        <v>43009</v>
      </c>
      <c r="B316" s="15">
        <f>VLOOKUP(A316,Database!A:Q,MATCH($A$1,Database!$A$1:$Q$1,),)</f>
        <v>21792</v>
      </c>
      <c r="C316" s="12">
        <f t="shared" si="8"/>
        <v>-3.2930845225027441E-3</v>
      </c>
      <c r="D316" s="13">
        <f t="shared" si="9"/>
        <v>2.4380146280877685E-3</v>
      </c>
    </row>
    <row r="317" spans="1:4" x14ac:dyDescent="0.35">
      <c r="A317" s="10">
        <v>43040</v>
      </c>
      <c r="B317" s="15">
        <f>VLOOKUP(A317,Database!A:Q,MATCH($A$1,Database!$A$1:$Q$1,),)</f>
        <v>21987</v>
      </c>
      <c r="C317" s="12">
        <f t="shared" si="8"/>
        <v>8.9482378854625552E-3</v>
      </c>
      <c r="D317" s="13">
        <f t="shared" si="9"/>
        <v>2.0941679049034174E-2</v>
      </c>
    </row>
    <row r="318" spans="1:4" x14ac:dyDescent="0.35">
      <c r="A318" s="11">
        <v>43070</v>
      </c>
      <c r="B318" s="15">
        <f>VLOOKUP(A318,Database!A:Q,MATCH($A$1,Database!$A$1:$Q$1,),)</f>
        <v>21793</v>
      </c>
      <c r="C318" s="12">
        <f t="shared" si="8"/>
        <v>-8.8233956428798842E-3</v>
      </c>
      <c r="D318" s="13">
        <f t="shared" si="9"/>
        <v>-9.3640620028183092E-3</v>
      </c>
    </row>
    <row r="319" spans="1:4" x14ac:dyDescent="0.35">
      <c r="A319" s="10">
        <v>43101</v>
      </c>
      <c r="B319" s="15">
        <f>VLOOKUP(A319,Database!A:Q,MATCH($A$1,Database!$A$1:$Q$1,),)</f>
        <v>21874</v>
      </c>
      <c r="C319" s="12">
        <f t="shared" si="8"/>
        <v>3.716789794888267E-3</v>
      </c>
      <c r="D319" s="13">
        <f t="shared" si="9"/>
        <v>-8.4764969856307507E-3</v>
      </c>
    </row>
    <row r="320" spans="1:4" x14ac:dyDescent="0.35">
      <c r="A320" s="11">
        <v>43132</v>
      </c>
      <c r="B320" s="15">
        <f>VLOOKUP(A320,Database!A:Q,MATCH($A$1,Database!$A$1:$Q$1,),)</f>
        <v>22449</v>
      </c>
      <c r="C320" s="12">
        <f t="shared" si="8"/>
        <v>2.6286915973301638E-2</v>
      </c>
      <c r="D320" s="13">
        <f t="shared" si="9"/>
        <v>3.4802249469899509E-2</v>
      </c>
    </row>
    <row r="321" spans="1:4" x14ac:dyDescent="0.35">
      <c r="A321" s="10">
        <v>43160</v>
      </c>
      <c r="B321" s="15">
        <f>VLOOKUP(A321,Database!A:Q,MATCH($A$1,Database!$A$1:$Q$1,),)</f>
        <v>21778</v>
      </c>
      <c r="C321" s="12">
        <f t="shared" si="8"/>
        <v>-2.9889972827297429E-2</v>
      </c>
      <c r="D321" s="13">
        <f t="shared" si="9"/>
        <v>-1.9705788002383024E-3</v>
      </c>
    </row>
    <row r="322" spans="1:4" x14ac:dyDescent="0.35">
      <c r="A322" s="11">
        <v>43191</v>
      </c>
      <c r="B322" s="15">
        <f>VLOOKUP(A322,Database!A:Q,MATCH($A$1,Database!$A$1:$Q$1,),)</f>
        <v>22169</v>
      </c>
      <c r="C322" s="12">
        <f t="shared" si="8"/>
        <v>1.7953898429607863E-2</v>
      </c>
      <c r="D322" s="13">
        <f t="shared" si="9"/>
        <v>1.7066568793870716E-2</v>
      </c>
    </row>
    <row r="323" spans="1:4" x14ac:dyDescent="0.35">
      <c r="A323" s="10">
        <v>43221</v>
      </c>
      <c r="B323" s="15">
        <f>VLOOKUP(A323,Database!A:Q,MATCH($A$1,Database!$A$1:$Q$1,),)</f>
        <v>22820</v>
      </c>
      <c r="C323" s="12">
        <f t="shared" si="8"/>
        <v>2.9365329965266813E-2</v>
      </c>
      <c r="D323" s="13">
        <f t="shared" si="9"/>
        <v>5.6432572566084901E-2</v>
      </c>
    </row>
    <row r="324" spans="1:4" x14ac:dyDescent="0.35">
      <c r="A324" s="11">
        <v>43252</v>
      </c>
      <c r="B324" s="15">
        <f>VLOOKUP(A324,Database!A:Q,MATCH($A$1,Database!$A$1:$Q$1,),)</f>
        <v>22256</v>
      </c>
      <c r="C324" s="12">
        <f t="shared" si="8"/>
        <v>-2.4715162138475022E-2</v>
      </c>
      <c r="D324" s="13">
        <f t="shared" si="9"/>
        <v>2.2418228592429253E-2</v>
      </c>
    </row>
    <row r="325" spans="1:4" x14ac:dyDescent="0.35">
      <c r="A325" s="10">
        <v>43282</v>
      </c>
      <c r="B325" s="15">
        <f>VLOOKUP(A325,Database!A:Q,MATCH($A$1,Database!$A$1:$Q$1,),)</f>
        <v>22704</v>
      </c>
      <c r="C325" s="12">
        <f t="shared" si="8"/>
        <v>2.0129403306973402E-2</v>
      </c>
      <c r="D325" s="13">
        <f t="shared" si="9"/>
        <v>4.9847405900305189E-2</v>
      </c>
    </row>
    <row r="326" spans="1:4" x14ac:dyDescent="0.35">
      <c r="A326" s="11">
        <v>43313</v>
      </c>
      <c r="B326" s="15">
        <f>VLOOKUP(A326,Database!A:Q,MATCH($A$1,Database!$A$1:$Q$1,),)</f>
        <v>22229</v>
      </c>
      <c r="C326" s="12">
        <f t="shared" si="8"/>
        <v>-2.0921423537702606E-2</v>
      </c>
      <c r="D326" s="13">
        <f t="shared" si="9"/>
        <v>1.9211370930765703E-2</v>
      </c>
    </row>
    <row r="327" spans="1:4" x14ac:dyDescent="0.35">
      <c r="A327" s="10">
        <v>43344</v>
      </c>
      <c r="B327" s="15">
        <f>VLOOKUP(A327,Database!A:Q,MATCH($A$1,Database!$A$1:$Q$1,),)</f>
        <v>22104</v>
      </c>
      <c r="C327" s="12">
        <f t="shared" si="8"/>
        <v>-5.6232848981060774E-3</v>
      </c>
      <c r="D327" s="13">
        <f t="shared" si="9"/>
        <v>1.0976948408342482E-2</v>
      </c>
    </row>
    <row r="328" spans="1:4" x14ac:dyDescent="0.35">
      <c r="A328" s="11">
        <v>43374</v>
      </c>
      <c r="B328" s="15">
        <f>VLOOKUP(A328,Database!A:Q,MATCH($A$1,Database!$A$1:$Q$1,),)</f>
        <v>22560</v>
      </c>
      <c r="C328" s="12">
        <f t="shared" ref="C328:C391" si="10">(B328-B327)/B327</f>
        <v>2.0629750271444081E-2</v>
      </c>
      <c r="D328" s="13">
        <f t="shared" si="9"/>
        <v>3.5242290748898682E-2</v>
      </c>
    </row>
    <row r="329" spans="1:4" x14ac:dyDescent="0.35">
      <c r="A329" s="10">
        <v>43405</v>
      </c>
      <c r="B329" s="15">
        <f>VLOOKUP(A329,Database!A:Q,MATCH($A$1,Database!$A$1:$Q$1,),)</f>
        <v>22531</v>
      </c>
      <c r="C329" s="12">
        <f t="shared" si="10"/>
        <v>-1.2854609929078013E-3</v>
      </c>
      <c r="D329" s="13">
        <f t="shared" si="9"/>
        <v>2.4741892936735344E-2</v>
      </c>
    </row>
    <row r="330" spans="1:4" x14ac:dyDescent="0.35">
      <c r="A330" s="11">
        <v>43435</v>
      </c>
      <c r="B330" s="15">
        <f>VLOOKUP(A330,Database!A:Q,MATCH($A$1,Database!$A$1:$Q$1,),)</f>
        <v>22200</v>
      </c>
      <c r="C330" s="12">
        <f t="shared" si="10"/>
        <v>-1.4690870356397852E-2</v>
      </c>
      <c r="D330" s="13">
        <f t="shared" si="9"/>
        <v>1.8675721561969439E-2</v>
      </c>
    </row>
    <row r="331" spans="1:4" x14ac:dyDescent="0.35">
      <c r="A331" s="10">
        <v>43466</v>
      </c>
      <c r="B331" s="15">
        <f>VLOOKUP(A331,Database!A:Q,MATCH($A$1,Database!$A$1:$Q$1,),)</f>
        <v>22176</v>
      </c>
      <c r="C331" s="12">
        <f t="shared" si="10"/>
        <v>-1.0810810810810811E-3</v>
      </c>
      <c r="D331" s="13">
        <f t="shared" si="9"/>
        <v>1.3806345432934077E-2</v>
      </c>
    </row>
    <row r="332" spans="1:4" x14ac:dyDescent="0.35">
      <c r="A332" s="11">
        <v>43497</v>
      </c>
      <c r="B332" s="15">
        <f>VLOOKUP(A332,Database!A:Q,MATCH($A$1,Database!$A$1:$Q$1,),)</f>
        <v>22194</v>
      </c>
      <c r="C332" s="12">
        <f t="shared" si="10"/>
        <v>8.1168831168831174E-4</v>
      </c>
      <c r="D332" s="13">
        <f t="shared" si="9"/>
        <v>-1.1359080582654016E-2</v>
      </c>
    </row>
    <row r="333" spans="1:4" x14ac:dyDescent="0.35">
      <c r="A333" s="10">
        <v>43525</v>
      </c>
      <c r="B333" s="15">
        <f>VLOOKUP(A333,Database!A:Q,MATCH($A$1,Database!$A$1:$Q$1,),)</f>
        <v>22566</v>
      </c>
      <c r="C333" s="12">
        <f t="shared" si="10"/>
        <v>1.6761286834279535E-2</v>
      </c>
      <c r="D333" s="13">
        <f t="shared" si="9"/>
        <v>3.6183304251997429E-2</v>
      </c>
    </row>
    <row r="334" spans="1:4" x14ac:dyDescent="0.35">
      <c r="A334" s="11">
        <v>43556</v>
      </c>
      <c r="B334" s="15">
        <f>VLOOKUP(A334,Database!A:Q,MATCH($A$1,Database!$A$1:$Q$1,),)</f>
        <v>22515</v>
      </c>
      <c r="C334" s="12">
        <f t="shared" si="10"/>
        <v>-2.2600372241425152E-3</v>
      </c>
      <c r="D334" s="13">
        <f t="shared" si="9"/>
        <v>1.5607379674319997E-2</v>
      </c>
    </row>
    <row r="335" spans="1:4" x14ac:dyDescent="0.35">
      <c r="A335" s="30">
        <v>43586</v>
      </c>
      <c r="B335" s="31">
        <f>VLOOKUP(A335,Database!A:Q,MATCH($A$1,Database!$A$1:$Q$1,),)</f>
        <v>22215</v>
      </c>
      <c r="C335" s="32">
        <f t="shared" si="10"/>
        <v>-1.3324450366422385E-2</v>
      </c>
      <c r="D335" s="33">
        <f t="shared" si="9"/>
        <v>-2.6511831726555652E-2</v>
      </c>
    </row>
    <row r="336" spans="1:4" x14ac:dyDescent="0.35">
      <c r="A336" s="11">
        <v>43617</v>
      </c>
      <c r="B336" s="15">
        <f>VLOOKUP(A336,Database!A:Q,MATCH($A$1,Database!$A$1:$Q$1,),)</f>
        <v>22167</v>
      </c>
      <c r="C336" s="12">
        <f t="shared" si="10"/>
        <v>-2.1607022282241727E-3</v>
      </c>
      <c r="D336" s="13">
        <f t="shared" si="9"/>
        <v>-3.998921639108555E-3</v>
      </c>
    </row>
    <row r="337" spans="1:4" x14ac:dyDescent="0.35">
      <c r="A337" s="30">
        <v>43647</v>
      </c>
      <c r="B337" s="31">
        <f>VLOOKUP(A337,Database!A:Q,MATCH($A$1,Database!$A$1:$Q$1,),)</f>
        <v>22569</v>
      </c>
      <c r="C337" s="32">
        <f t="shared" si="10"/>
        <v>1.8135065638110705E-2</v>
      </c>
      <c r="D337" s="33">
        <f t="shared" si="9"/>
        <v>-5.9460887949260039E-3</v>
      </c>
    </row>
    <row r="338" spans="1:4" x14ac:dyDescent="0.35">
      <c r="A338" s="11">
        <v>43678</v>
      </c>
      <c r="B338" s="15">
        <f>VLOOKUP(A338,Database!A:Q,MATCH($A$1,Database!$A$1:$Q$1,),)</f>
        <v>22615</v>
      </c>
      <c r="C338" s="12">
        <f t="shared" si="10"/>
        <v>2.0381939828968939E-3</v>
      </c>
      <c r="D338" s="13">
        <f t="shared" si="9"/>
        <v>1.7364703765351569E-2</v>
      </c>
    </row>
    <row r="339" spans="1:4" x14ac:dyDescent="0.35">
      <c r="A339" s="30">
        <v>43709</v>
      </c>
      <c r="B339" s="31">
        <f>VLOOKUP(A339,Database!A:Q,MATCH($A$1,Database!$A$1:$Q$1,),)</f>
        <v>22376</v>
      </c>
      <c r="C339" s="32">
        <f t="shared" si="10"/>
        <v>-1.0568206942294937E-2</v>
      </c>
      <c r="D339" s="33">
        <f t="shared" ref="D339:D402" si="11">(B339-B327)/B327</f>
        <v>1.2305465074194716E-2</v>
      </c>
    </row>
    <row r="340" spans="1:4" x14ac:dyDescent="0.35">
      <c r="A340" s="11">
        <v>43739</v>
      </c>
      <c r="B340" s="15">
        <f>VLOOKUP(A340,Database!A:Q,MATCH($A$1,Database!$A$1:$Q$1,),)</f>
        <v>22417</v>
      </c>
      <c r="C340" s="12">
        <f t="shared" si="10"/>
        <v>1.8323203432248838E-3</v>
      </c>
      <c r="D340" s="13">
        <f t="shared" si="11"/>
        <v>-6.3386524822695032E-3</v>
      </c>
    </row>
    <row r="341" spans="1:4" x14ac:dyDescent="0.35">
      <c r="A341" s="30">
        <v>43770</v>
      </c>
      <c r="B341" s="31">
        <f>VLOOKUP(A341,Database!A:Q,MATCH($A$1,Database!$A$1:$Q$1,),)</f>
        <v>22184</v>
      </c>
      <c r="C341" s="32">
        <f t="shared" si="10"/>
        <v>-1.0393897488513182E-2</v>
      </c>
      <c r="D341" s="33">
        <f t="shared" si="11"/>
        <v>-1.5401003062447296E-2</v>
      </c>
    </row>
    <row r="342" spans="1:4" x14ac:dyDescent="0.35">
      <c r="A342" s="11">
        <v>43800</v>
      </c>
      <c r="B342" s="15">
        <f>VLOOKUP(A342,Database!A:Q,MATCH($A$1,Database!$A$1:$Q$1,),)</f>
        <v>23230</v>
      </c>
      <c r="C342" s="12">
        <f t="shared" si="10"/>
        <v>4.7151099891813923E-2</v>
      </c>
      <c r="D342" s="13">
        <f t="shared" si="11"/>
        <v>4.6396396396396394E-2</v>
      </c>
    </row>
    <row r="343" spans="1:4" x14ac:dyDescent="0.35">
      <c r="A343" s="30">
        <v>43831</v>
      </c>
      <c r="B343" s="31">
        <f>VLOOKUP(A343,Database!A:Q,MATCH($A$1,Database!$A$1:$Q$1,),)</f>
        <v>23009</v>
      </c>
      <c r="C343" s="32">
        <f t="shared" si="10"/>
        <v>-9.5135600516573389E-3</v>
      </c>
      <c r="D343" s="33">
        <f t="shared" si="11"/>
        <v>3.7563131313131312E-2</v>
      </c>
    </row>
    <row r="344" spans="1:4" x14ac:dyDescent="0.35">
      <c r="A344" s="11">
        <v>43862</v>
      </c>
      <c r="B344" s="15">
        <f>VLOOKUP(A344,Database!A:Q,MATCH($A$1,Database!$A$1:$Q$1,),)</f>
        <v>22735</v>
      </c>
      <c r="C344" s="12">
        <f t="shared" si="10"/>
        <v>-1.1908383675952887E-2</v>
      </c>
      <c r="D344" s="13">
        <f t="shared" si="11"/>
        <v>2.4375957465981798E-2</v>
      </c>
    </row>
    <row r="345" spans="1:4" x14ac:dyDescent="0.35">
      <c r="A345" s="30">
        <v>43891</v>
      </c>
      <c r="B345" s="31">
        <f>VLOOKUP(A345,Database!A:Q,MATCH($A$1,Database!$A$1:$Q$1,),)</f>
        <v>11477</v>
      </c>
      <c r="C345" s="32">
        <f t="shared" si="10"/>
        <v>-0.49518363756322853</v>
      </c>
      <c r="D345" s="33">
        <f t="shared" si="11"/>
        <v>-0.49140299565718337</v>
      </c>
    </row>
    <row r="346" spans="1:4" x14ac:dyDescent="0.35">
      <c r="A346" s="11">
        <v>43922</v>
      </c>
      <c r="B346" s="15">
        <f>VLOOKUP(A346,Database!A:Q,MATCH($A$1,Database!$A$1:$Q$1,),)</f>
        <v>2866</v>
      </c>
      <c r="C346" s="12">
        <f t="shared" si="10"/>
        <v>-0.75028317504574371</v>
      </c>
      <c r="D346" s="13">
        <f t="shared" si="11"/>
        <v>-0.87270708416611154</v>
      </c>
    </row>
    <row r="347" spans="1:4" x14ac:dyDescent="0.35">
      <c r="A347" s="30">
        <v>43952</v>
      </c>
      <c r="B347" s="31">
        <f>VLOOKUP(A347,Database!A:Q,MATCH($A$1,Database!$A$1:$Q$1,),)</f>
        <v>8288</v>
      </c>
      <c r="C347" s="32">
        <f t="shared" si="10"/>
        <v>1.8918353105373342</v>
      </c>
      <c r="D347" s="33">
        <f t="shared" si="11"/>
        <v>-0.62691874859329277</v>
      </c>
    </row>
    <row r="348" spans="1:4" x14ac:dyDescent="0.35">
      <c r="A348" s="11">
        <v>43983</v>
      </c>
      <c r="B348" s="15">
        <f>VLOOKUP(A348,Database!A:Q,MATCH($A$1,Database!$A$1:$Q$1,),)</f>
        <v>17139</v>
      </c>
      <c r="C348" s="12">
        <f t="shared" si="10"/>
        <v>1.0679295366795367</v>
      </c>
      <c r="D348" s="13">
        <f t="shared" si="11"/>
        <v>-0.226823656787116</v>
      </c>
    </row>
    <row r="349" spans="1:4" x14ac:dyDescent="0.35">
      <c r="A349" s="30">
        <v>44013</v>
      </c>
      <c r="B349" s="31">
        <f>VLOOKUP(A349,Database!A:Q,MATCH($A$1,Database!$A$1:$Q$1,),)</f>
        <v>17912</v>
      </c>
      <c r="C349" s="32">
        <f t="shared" si="10"/>
        <v>4.5101814574946032E-2</v>
      </c>
      <c r="D349" s="33">
        <f t="shared" si="11"/>
        <v>-0.20634498648588773</v>
      </c>
    </row>
    <row r="350" spans="1:4" x14ac:dyDescent="0.35">
      <c r="A350" s="11">
        <v>44044</v>
      </c>
      <c r="B350" s="15">
        <f>VLOOKUP(A350,Database!A:Q,MATCH($A$1,Database!$A$1:$Q$1,),)</f>
        <v>18400</v>
      </c>
      <c r="C350" s="12">
        <f t="shared" si="10"/>
        <v>2.7244305493523895E-2</v>
      </c>
      <c r="D350" s="13">
        <f t="shared" si="11"/>
        <v>-0.18638072076055714</v>
      </c>
    </row>
    <row r="351" spans="1:4" x14ac:dyDescent="0.35">
      <c r="A351" s="30">
        <v>44075</v>
      </c>
      <c r="B351" s="31">
        <f>VLOOKUP(A351,Database!A:Q,MATCH($A$1,Database!$A$1:$Q$1,),)</f>
        <v>20827</v>
      </c>
      <c r="C351" s="32">
        <f t="shared" si="10"/>
        <v>0.13190217391304349</v>
      </c>
      <c r="D351" s="33">
        <f t="shared" si="11"/>
        <v>-6.9225956381837678E-2</v>
      </c>
    </row>
    <row r="352" spans="1:4" x14ac:dyDescent="0.35">
      <c r="A352" s="11">
        <v>44105</v>
      </c>
      <c r="B352" s="15">
        <f>VLOOKUP(A352,Database!A:Q,MATCH($A$1,Database!$A$1:$Q$1,),)</f>
        <v>20303</v>
      </c>
      <c r="C352" s="12">
        <f t="shared" si="10"/>
        <v>-2.515964853315408E-2</v>
      </c>
      <c r="D352" s="13">
        <f t="shared" si="11"/>
        <v>-9.4303430432261234E-2</v>
      </c>
    </row>
    <row r="353" spans="1:4" x14ac:dyDescent="0.35">
      <c r="A353" s="30">
        <v>44136</v>
      </c>
      <c r="B353" s="31">
        <f>VLOOKUP(A353,Database!A:Q,MATCH($A$1,Database!$A$1:$Q$1,),)</f>
        <v>19017</v>
      </c>
      <c r="C353" s="32">
        <f t="shared" si="10"/>
        <v>-6.334039304536275E-2</v>
      </c>
      <c r="D353" s="33">
        <f t="shared" si="11"/>
        <v>-0.14276054814280562</v>
      </c>
    </row>
    <row r="354" spans="1:4" x14ac:dyDescent="0.35">
      <c r="A354" s="11">
        <v>44166</v>
      </c>
      <c r="B354" s="15">
        <f>VLOOKUP(A354,Database!A:Q,MATCH($A$1,Database!$A$1:$Q$1,),)</f>
        <v>20007</v>
      </c>
      <c r="C354" s="12">
        <f t="shared" si="10"/>
        <v>5.205868433506862E-2</v>
      </c>
      <c r="D354" s="13">
        <f t="shared" si="11"/>
        <v>-0.13874300473525614</v>
      </c>
    </row>
    <row r="355" spans="1:4" x14ac:dyDescent="0.35">
      <c r="A355" s="30">
        <v>44197</v>
      </c>
      <c r="B355" s="31">
        <f>VLOOKUP(A355,Database!A:Q,MATCH($A$1,Database!$A$1:$Q$1,),)</f>
        <v>21093</v>
      </c>
      <c r="C355" s="32">
        <f t="shared" si="10"/>
        <v>5.4281001649422705E-2</v>
      </c>
      <c r="D355" s="33">
        <f t="shared" si="11"/>
        <v>-8.3271763223086617E-2</v>
      </c>
    </row>
    <row r="356" spans="1:4" x14ac:dyDescent="0.35">
      <c r="A356" s="11">
        <v>44228</v>
      </c>
      <c r="B356" s="15">
        <f>VLOOKUP(A356,Database!A:Q,MATCH($A$1,Database!$A$1:$Q$1,),)</f>
        <v>19904</v>
      </c>
      <c r="C356" s="12">
        <f t="shared" si="10"/>
        <v>-5.6369411653155073E-2</v>
      </c>
      <c r="D356" s="13">
        <f t="shared" si="11"/>
        <v>-0.1245216626347042</v>
      </c>
    </row>
    <row r="357" spans="1:4" x14ac:dyDescent="0.35">
      <c r="A357" s="30">
        <v>44256</v>
      </c>
      <c r="B357" s="31">
        <f>VLOOKUP(A357,Database!A:Q,MATCH($A$1,Database!$A$1:$Q$1,),)</f>
        <v>24019</v>
      </c>
      <c r="C357" s="32">
        <f t="shared" si="10"/>
        <v>0.20674236334405144</v>
      </c>
      <c r="D357" s="33">
        <f t="shared" si="11"/>
        <v>1.0927942842206151</v>
      </c>
    </row>
    <row r="358" spans="1:4" x14ac:dyDescent="0.35">
      <c r="A358" s="11">
        <v>44287</v>
      </c>
      <c r="B358" s="15">
        <f>VLOOKUP(A358,Database!A:Q,MATCH($A$1,Database!$A$1:$Q$1,),)</f>
        <v>24070</v>
      </c>
      <c r="C358" s="12">
        <f t="shared" si="10"/>
        <v>2.1233190390940507E-3</v>
      </c>
      <c r="D358" s="13">
        <f t="shared" si="11"/>
        <v>7.3984647592463366</v>
      </c>
    </row>
    <row r="359" spans="1:4" x14ac:dyDescent="0.35">
      <c r="A359" s="30">
        <v>44317</v>
      </c>
      <c r="B359" s="31">
        <f>VLOOKUP(A359,Database!A:Q,MATCH($A$1,Database!$A$1:$Q$1,),)</f>
        <v>24789</v>
      </c>
      <c r="C359" s="32">
        <f t="shared" si="10"/>
        <v>2.9871208973826339E-2</v>
      </c>
      <c r="D359" s="33">
        <f t="shared" si="11"/>
        <v>1.9909507722007722</v>
      </c>
    </row>
    <row r="360" spans="1:4" x14ac:dyDescent="0.35">
      <c r="A360" s="11">
        <v>44348</v>
      </c>
      <c r="B360" s="15">
        <f>VLOOKUP(A360,Database!A:Q,MATCH($A$1,Database!$A$1:$Q$1,),)</f>
        <v>25799</v>
      </c>
      <c r="C360" s="12">
        <f t="shared" si="10"/>
        <v>4.0743878333131631E-2</v>
      </c>
      <c r="D360" s="13">
        <f t="shared" si="11"/>
        <v>0.50528035474648458</v>
      </c>
    </row>
    <row r="361" spans="1:4" x14ac:dyDescent="0.35">
      <c r="A361" s="30">
        <v>44378</v>
      </c>
      <c r="B361" s="31">
        <f>VLOOKUP(A361,Database!A:Q,MATCH($A$1,Database!$A$1:$Q$1,),)</f>
        <v>25397</v>
      </c>
      <c r="C361" s="32">
        <f t="shared" si="10"/>
        <v>-1.558199930229854E-2</v>
      </c>
      <c r="D361" s="33">
        <f t="shared" si="11"/>
        <v>0.41787628405538185</v>
      </c>
    </row>
    <row r="362" spans="1:4" x14ac:dyDescent="0.35">
      <c r="A362" s="11">
        <v>44409</v>
      </c>
      <c r="B362" s="15">
        <f>VLOOKUP(A362,Database!A:Q,MATCH($A$1,Database!$A$1:$Q$1,),)</f>
        <v>24874</v>
      </c>
      <c r="C362" s="12">
        <f t="shared" si="10"/>
        <v>-2.0592983423238967E-2</v>
      </c>
      <c r="D362" s="13">
        <f t="shared" si="11"/>
        <v>0.35184782608695653</v>
      </c>
    </row>
    <row r="363" spans="1:4" x14ac:dyDescent="0.35">
      <c r="A363" s="11">
        <v>44440</v>
      </c>
      <c r="B363" s="15">
        <f>VLOOKUP(A363,Database!A:Q,MATCH($A$1,Database!$A$1:$Q$1,),)</f>
        <v>25264</v>
      </c>
      <c r="C363" s="12">
        <f t="shared" si="10"/>
        <v>1.5679022272252152E-2</v>
      </c>
      <c r="D363" s="13">
        <f t="shared" si="11"/>
        <v>0.21304076439237529</v>
      </c>
    </row>
    <row r="364" spans="1:4" x14ac:dyDescent="0.35">
      <c r="A364" s="30">
        <v>44470</v>
      </c>
      <c r="B364" s="31">
        <f>VLOOKUP(A364,Database!A:Q,MATCH($A$1,Database!$A$1:$Q$1,),)</f>
        <v>25420</v>
      </c>
      <c r="C364" s="32">
        <f t="shared" si="10"/>
        <v>6.174794173527549E-3</v>
      </c>
      <c r="D364" s="33">
        <f t="shared" si="11"/>
        <v>0.25203171945032754</v>
      </c>
    </row>
    <row r="365" spans="1:4" x14ac:dyDescent="0.35">
      <c r="A365" s="11">
        <v>44501</v>
      </c>
      <c r="B365" s="15">
        <f>VLOOKUP(A365,Database!A:Q,MATCH($A$1,Database!$A$1:$Q$1,),)</f>
        <v>26165</v>
      </c>
      <c r="C365" s="12">
        <f t="shared" si="10"/>
        <v>2.930763178599528E-2</v>
      </c>
      <c r="D365" s="13">
        <f t="shared" si="11"/>
        <v>0.37587421780512176</v>
      </c>
    </row>
    <row r="366" spans="1:4" x14ac:dyDescent="0.35">
      <c r="A366" s="30">
        <v>44531</v>
      </c>
      <c r="B366" s="31">
        <f>VLOOKUP(A366,Database!A:Q,MATCH($A$1,Database!$A$1:$Q$1,),)</f>
        <v>25051</v>
      </c>
      <c r="C366" s="32">
        <f t="shared" si="10"/>
        <v>-4.2575960252245366E-2</v>
      </c>
      <c r="D366" s="33">
        <f t="shared" si="11"/>
        <v>0.25211176088369069</v>
      </c>
    </row>
    <row r="367" spans="1:4" x14ac:dyDescent="0.35">
      <c r="A367" s="11">
        <v>44562</v>
      </c>
      <c r="B367" s="15">
        <f>VLOOKUP(A367,Database!A:Q,MATCH($A$1,Database!$A$1:$Q$1,),)</f>
        <v>25160</v>
      </c>
      <c r="C367" s="12">
        <f t="shared" si="10"/>
        <v>4.3511237076364218E-3</v>
      </c>
      <c r="D367" s="13">
        <f t="shared" si="11"/>
        <v>0.19281278149149006</v>
      </c>
    </row>
    <row r="368" spans="1:4" x14ac:dyDescent="0.35">
      <c r="A368" s="11">
        <v>44593</v>
      </c>
      <c r="B368" s="15">
        <f>VLOOKUP(A368,Database!A:Q,MATCH($A$1,Database!$A$1:$Q$1,),)</f>
        <v>25481</v>
      </c>
      <c r="C368" s="12">
        <f t="shared" si="10"/>
        <v>1.2758346581875994E-2</v>
      </c>
      <c r="D368" s="13">
        <f t="shared" si="11"/>
        <v>0.28019493569131831</v>
      </c>
    </row>
    <row r="369" spans="1:4" x14ac:dyDescent="0.35">
      <c r="A369" s="11">
        <v>44621</v>
      </c>
      <c r="B369" s="15">
        <f>VLOOKUP(A369,Database!A:Q,MATCH($A$1,Database!$A$1:$Q$1,),)</f>
        <v>26157</v>
      </c>
      <c r="C369" s="12">
        <f t="shared" si="10"/>
        <v>2.6529571052941407E-2</v>
      </c>
      <c r="D369" s="13">
        <f t="shared" si="11"/>
        <v>8.9012864815354517E-2</v>
      </c>
    </row>
    <row r="370" spans="1:4" x14ac:dyDescent="0.35">
      <c r="A370" s="30">
        <v>44652</v>
      </c>
      <c r="B370" s="31">
        <f>VLOOKUP(A370,Database!A:Q,MATCH($A$1,Database!$A$1:$Q$1,),)</f>
        <v>26166</v>
      </c>
      <c r="C370" s="32">
        <f t="shared" si="10"/>
        <v>3.4407615552242232E-4</v>
      </c>
      <c r="D370" s="33">
        <f t="shared" si="11"/>
        <v>8.70793518903199E-2</v>
      </c>
    </row>
    <row r="371" spans="1:4" x14ac:dyDescent="0.35">
      <c r="A371" s="11">
        <v>44682</v>
      </c>
      <c r="B371" s="15">
        <f>VLOOKUP(A371,Database!A:Q,MATCH($A$1,Database!$A$1:$Q$1,),)</f>
        <v>25812</v>
      </c>
      <c r="C371" s="12">
        <f t="shared" si="10"/>
        <v>-1.3529007108461362E-2</v>
      </c>
      <c r="D371" s="13">
        <f t="shared" si="11"/>
        <v>4.1268304489894714E-2</v>
      </c>
    </row>
    <row r="372" spans="1:4" x14ac:dyDescent="0.35">
      <c r="A372" s="11">
        <v>44713</v>
      </c>
      <c r="B372" s="15">
        <f>VLOOKUP(A372,Database!A:Q,MATCH($A$1,Database!$A$1:$Q$1,),)</f>
        <v>26004</v>
      </c>
      <c r="C372" s="12">
        <f t="shared" si="10"/>
        <v>7.4384007438400741E-3</v>
      </c>
      <c r="D372" s="13">
        <f t="shared" si="11"/>
        <v>7.9460444203263685E-3</v>
      </c>
    </row>
    <row r="373" spans="1:4" x14ac:dyDescent="0.35">
      <c r="A373" s="11">
        <v>44743</v>
      </c>
      <c r="B373" s="15">
        <f>VLOOKUP(A373,Database!A:Q,MATCH($A$1,Database!$A$1:$Q$1,),)</f>
        <v>25889</v>
      </c>
      <c r="C373" s="12">
        <f t="shared" si="10"/>
        <v>-4.4223965543762501E-3</v>
      </c>
      <c r="D373" s="13">
        <f t="shared" si="11"/>
        <v>1.9372366814978146E-2</v>
      </c>
    </row>
    <row r="374" spans="1:4" x14ac:dyDescent="0.35">
      <c r="A374" s="30">
        <v>44774</v>
      </c>
      <c r="B374" s="31">
        <f>VLOOKUP(A374,Database!A:Q,MATCH($A$1,Database!$A$1:$Q$1,),)</f>
        <v>26145</v>
      </c>
      <c r="C374" s="32">
        <f t="shared" si="10"/>
        <v>9.8883695778129704E-3</v>
      </c>
      <c r="D374" s="33">
        <f t="shared" si="11"/>
        <v>5.1097531559057649E-2</v>
      </c>
    </row>
    <row r="375" spans="1:4" x14ac:dyDescent="0.35">
      <c r="A375" s="11">
        <v>44805</v>
      </c>
      <c r="B375" s="15">
        <f>VLOOKUP(A375,Database!A:Q,MATCH($A$1,Database!$A$1:$Q$1,),)</f>
        <v>26403</v>
      </c>
      <c r="C375" s="12">
        <f t="shared" si="10"/>
        <v>9.8680436029833628E-3</v>
      </c>
      <c r="D375" s="13">
        <f t="shared" si="11"/>
        <v>4.5083913869537681E-2</v>
      </c>
    </row>
    <row r="376" spans="1:4" x14ac:dyDescent="0.35">
      <c r="A376" s="11">
        <v>44835</v>
      </c>
      <c r="B376" s="15">
        <f>VLOOKUP(A376,Database!A:Q,MATCH($A$1,Database!$A$1:$Q$1,),)</f>
        <v>26409</v>
      </c>
      <c r="C376" s="12">
        <f t="shared" si="10"/>
        <v>2.2724690376093625E-4</v>
      </c>
      <c r="D376" s="13">
        <f t="shared" si="11"/>
        <v>3.8906372934697092E-2</v>
      </c>
    </row>
    <row r="377" spans="1:4" x14ac:dyDescent="0.35">
      <c r="A377" s="30">
        <v>44866</v>
      </c>
      <c r="B377" s="31">
        <f>VLOOKUP(A377,Database!A:Q,MATCH($A$1,Database!$A$1:$Q$1,),)</f>
        <v>26353</v>
      </c>
      <c r="C377" s="32">
        <f t="shared" si="10"/>
        <v>-2.1204892271574085E-3</v>
      </c>
      <c r="D377" s="33">
        <f t="shared" si="11"/>
        <v>7.1851710300019113E-3</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2023-01-13T07:35:28Z</dcterms:modified>
</cp:coreProperties>
</file>