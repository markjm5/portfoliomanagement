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740" yWindow="246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Gas'!$A$8:$A$381</f>
              <numCache>
                <formatCode>[$-409]mmm\-yy;@</formatCode>
                <ptCount val="37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'Retail Sales ex Auto and Gas'!$C$8:$C$381</f>
              <numCache>
                <formatCode>0.00%</formatCode>
                <ptCount val="374"/>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0.007666351260271747</v>
                </pt>
                <pt idx="356">
                  <v>0.01146868443470323</v>
                </pt>
                <pt idx="357">
                  <v>0.003463628667989222</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0.005849507022678592</v>
                </pt>
                <pt idx="367">
                  <v>0.002812242194199141</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Gas'!$A$8:$A$378</f>
              <numCache>
                <formatCode>[$-409]mmm\-yy;@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'Retail Sales ex Auto and Gas'!$C$8:$C$378</f>
              <numCache>
                <formatCode>0.00%</formatCode>
                <ptCount val="371"/>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0.007666351260271747</v>
                </pt>
                <pt idx="356">
                  <v>0.01146868443470323</v>
                </pt>
                <pt idx="357">
                  <v>0.003463628667989222</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0.005849507022678592</v>
                </pt>
                <pt idx="367">
                  <v>0.002812242194199141</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Gas'!$A$19:$A$378</f>
              <numCache>
                <formatCode>[$-409]mmm\-yy;@</formatCode>
                <ptCount val="360"/>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'Retail Sales ex Auto and Gas'!$D$19:$D$378</f>
              <numCache>
                <formatCode>0.00%</formatCode>
                <ptCount val="360"/>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0.1357487336964187</v>
                </pt>
                <pt idx="345">
                  <v>0.1529624175174651</v>
                </pt>
                <pt idx="346">
                  <v>0.1684089347251413</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0.08043302151276517</v>
                </pt>
                <pt idx="356">
                  <v>0.07522838237953415</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 ex Auto and Gas'!$B$7:$B$378</f>
              <numCache>
                <formatCode>#,##0</formatCode>
                <ptCount val="372"/>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458989</v>
                </pt>
                <pt idx="357">
                  <v>464253</v>
                </pt>
                <pt idx="358">
                  <v>465861</v>
                </pt>
                <pt idx="359">
                  <v>457676</v>
                </pt>
                <pt idx="360">
                  <v>466972</v>
                </pt>
                <pt idx="361">
                  <v>472501</v>
                </pt>
                <pt idx="362">
                  <v>476780</v>
                </pt>
                <pt idx="363">
                  <v>480089</v>
                </pt>
                <pt idx="364">
                  <v>483737</v>
                </pt>
                <pt idx="365">
                  <v>488175</v>
                </pt>
                <pt idx="366">
                  <v>489272</v>
                </pt>
                <pt idx="367">
                  <v>492134</v>
                </pt>
                <pt idx="368">
                  <v>493518</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Sales'!$D$7:$D$380</f>
              <numCache>
                <formatCode>General</formatCode>
                <ptCount val="374"/>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0.1451661710798357</v>
                </pt>
                <pt idx="357">
                  <formatCode>0.00%</formatCode>
                  <v>0.1651671032944338</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0.09444879136844901</v>
                </pt>
                <pt idx="368">
                  <formatCode>0.00%</formatCode>
                  <v>0.08226474087951594</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Sales'!$B$7:$B$383</f>
              <numCache>
                <formatCode>#,##0</formatCode>
                <ptCount val="377"/>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631984</v>
                </pt>
                <pt idx="357">
                  <v>640899</v>
                </pt>
                <pt idx="358">
                  <v>644741</v>
                </pt>
                <pt idx="359">
                  <v>634393</v>
                </pt>
                <pt idx="360">
                  <v>651557</v>
                </pt>
                <pt idx="361">
                  <v>662321</v>
                </pt>
                <pt idx="362">
                  <v>669958</v>
                </pt>
                <pt idx="363">
                  <v>674719</v>
                </pt>
                <pt idx="364">
                  <v>677115</v>
                </pt>
                <pt idx="365">
                  <v>684084</v>
                </pt>
                <pt idx="366">
                  <v>681108</v>
                </pt>
                <pt idx="367">
                  <v>683990</v>
                </pt>
                <pt idx="368">
                  <v>683974</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Auto'!$A$19:$A$380</f>
              <numCache>
                <formatCode>[$-409]mmm\-yy;@</formatCode>
                <ptCount val="36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'Retail Sales ex Auto'!$C$19:$C$380</f>
              <numCache>
                <formatCode>0.00%</formatCode>
                <ptCount val="362"/>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0.01146143145205176</v>
                </pt>
                <pt idx="345">
                  <v>0.01387489508724633</v>
                </pt>
                <pt idx="346">
                  <v>0.005478251976435219</v>
                </pt>
                <pt idx="347">
                  <v>-0.01436275356478016</v>
                </pt>
                <pt idx="348">
                  <v>0.01617061212727761</v>
                </pt>
                <pt idx="349">
                  <v>0.01724881249149727</v>
                </pt>
                <pt idx="350">
                  <v>0.01985899230165024</v>
                </pt>
                <pt idx="351">
                  <v>0.004565636566463996</v>
                </pt>
                <pt idx="352">
                  <v>0.01253336961397883</v>
                </pt>
                <pt idx="353">
                  <v>0.01135775568568705</v>
                </pt>
                <pt idx="354">
                  <v>-0.0007630435563215915</v>
                </pt>
                <pt idx="355">
                  <v>-0.001148134506023663</v>
                </pt>
                <pt idx="356">
                  <v>0.000886824628181236</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 ex Auto'!$B$7:$B$382</f>
              <numCache>
                <formatCode>#,##0</formatCode>
                <ptCount val="376"/>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511139</v>
                </pt>
                <pt idx="357">
                  <v>518231</v>
                </pt>
                <pt idx="358">
                  <v>521070</v>
                </pt>
                <pt idx="359">
                  <v>513586</v>
                </pt>
                <pt idx="360">
                  <v>521891</v>
                </pt>
                <pt idx="361">
                  <v>530893</v>
                </pt>
                <pt idx="362">
                  <v>541436</v>
                </pt>
                <pt idx="363">
                  <v>543908</v>
                </pt>
                <pt idx="364">
                  <v>550725</v>
                </pt>
                <pt idx="365">
                  <v>556980</v>
                </pt>
                <pt idx="366">
                  <v>556555</v>
                </pt>
                <pt idx="367">
                  <v>555916</v>
                </pt>
                <pt idx="368">
                  <v>556409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'Retail Sales ex Auto'!$D$7:$D$383</f>
              <numCache>
                <formatCode>General</formatCode>
                <ptCount val="377"/>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0.159458129084504</v>
                </pt>
                <pt idx="357">
                  <formatCode>0.00%</formatCode>
                  <v>0.1789042897082944</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0.1000678741537993</v>
                </pt>
                <pt idx="368">
                  <formatCode>0.00%</formatCode>
                  <v>0.08856690645793024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0.06643541318715829</v>
                </pt>
                <pt idx="345">
                  <v>0.08394919997129942</v>
                </pt>
                <pt idx="346">
                  <v>0.07548535422343325</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0.06871836404130391</v>
                </pt>
                <pt idx="356">
                  <v>0.06396990911159597</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74707</v>
                </pt>
                <pt idx="357">
                  <v>75535</v>
                </pt>
                <pt idx="358">
                  <v>75783</v>
                </pt>
                <pt idx="359">
                  <v>76187</v>
                </pt>
                <pt idx="360">
                  <v>76603</v>
                </pt>
                <pt idx="361">
                  <v>76533</v>
                </pt>
                <pt idx="362">
                  <v>77268</v>
                </pt>
                <pt idx="363">
                  <v>77270</v>
                </pt>
                <pt idx="364">
                  <v>78111</v>
                </pt>
                <pt idx="365">
                  <v>79000</v>
                </pt>
                <pt idx="366">
                  <v>78968</v>
                </pt>
                <pt idx="367">
                  <v>79176</v>
                </pt>
                <pt idx="368">
                  <v>79486</v>
                </pt>
              </numCache>
            </numRef>
          </val>
          <smooth val="0"/>
        </ser>
        <dLbls>
          <showLegendKey val="0"/>
          <showVal val="0"/>
          <showCatName val="0"/>
          <showSerName val="0"/>
          <showPercent val="0"/>
          <showBubbleSize val="0"/>
        </dLbls>
        <smooth val="0"/>
        <axId val="644217568"/>
        <axId val="644219216"/>
      </lineChart>
      <dateAx>
        <axId val="644217568"/>
        <scaling>
          <orientation val="minMax"/>
          <max val="44774"/>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97872</v>
                </pt>
                <pt idx="357">
                  <v>99837</v>
                </pt>
                <pt idx="358">
                  <v>100341</v>
                </pt>
                <pt idx="359">
                  <v>95958</v>
                </pt>
                <pt idx="360">
                  <v>102773</v>
                </pt>
                <pt idx="361">
                  <v>104095</v>
                </pt>
                <pt idx="362">
                  <v>102895</v>
                </pt>
                <pt idx="363">
                  <v>104003</v>
                </pt>
                <pt idx="364">
                  <v>106789</v>
                </pt>
                <pt idx="365">
                  <v>107157</v>
                </pt>
                <pt idx="366">
                  <v>108939</v>
                </pt>
                <pt idx="367">
                  <v>108666</v>
                </pt>
                <pt idx="368">
                  <v>109246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0.1119038422212629</v>
                </pt>
                <pt idx="357">
                  <formatCode>0.00%</formatCode>
                  <v>0.1256468943434093</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0.1181240096310168</v>
                </pt>
                <pt idx="368">
                  <formatCode>0.00%</formatCode>
                  <v>0.1162130129148275</v>
                </pt>
              </numCache>
            </numRef>
          </val>
          <smooth val="0"/>
        </ser>
        <dLbls>
          <showLegendKey val="0"/>
          <showVal val="0"/>
          <showCatName val="0"/>
          <showSerName val="0"/>
          <showPercent val="0"/>
          <showBubbleSize val="0"/>
        </dLbls>
        <smooth val="0"/>
        <axId val="721545464"/>
        <axId val="721548088"/>
      </lineChart>
      <dateAx>
        <axId val="721545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32545</v>
                </pt>
                <pt idx="357">
                  <v>32444</v>
                </pt>
                <pt idx="358">
                  <v>32793</v>
                </pt>
                <pt idx="359">
                  <v>32797</v>
                </pt>
                <pt idx="360">
                  <v>32815</v>
                </pt>
                <pt idx="361">
                  <v>32445</v>
                </pt>
                <pt idx="362">
                  <v>32763</v>
                </pt>
                <pt idx="363">
                  <v>32962</v>
                </pt>
                <pt idx="364">
                  <v>32985</v>
                </pt>
                <pt idx="365">
                  <v>33426</v>
                </pt>
                <pt idx="366">
                  <v>33641</v>
                </pt>
                <pt idx="367">
                  <v>33788</v>
                </pt>
                <pt idx="368">
                  <v>33949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0.07501486423994186</v>
                </pt>
                <pt idx="357">
                  <formatCode>0.00%</formatCode>
                  <v>0.07537288697381504</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0.03015335833409555</v>
                </pt>
                <pt idx="368">
                  <formatCode>0.00%</formatCode>
                  <v>0.0431402673221693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9020</v>
                </pt>
                <pt idx="358">
                  <v>9194</v>
                </pt>
                <pt idx="359">
                  <v>8968</v>
                </pt>
                <pt idx="360">
                  <v>8877</v>
                </pt>
                <pt idx="361">
                  <v>8916</v>
                </pt>
                <pt idx="362">
                  <v>9009</v>
                </pt>
                <pt idx="363">
                  <v>9069</v>
                </pt>
                <pt idx="364">
                  <v>9153</v>
                </pt>
                <pt idx="365">
                  <v>9233</v>
                </pt>
                <pt idx="366">
                  <v>9236</v>
                </pt>
                <pt idx="367">
                  <v>9295</v>
                </pt>
                <pt idx="368">
                  <v>9234</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0.1617722823286966</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0.05612998522895125</v>
                </pt>
                <pt idx="368">
                  <formatCode>0.00%</formatCode>
                  <v>0.03706199460916442</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67608</v>
                </pt>
                <pt idx="357">
                  <v>68516</v>
                </pt>
                <pt idx="358">
                  <v>68402</v>
                </pt>
                <pt idx="359">
                  <v>67197</v>
                </pt>
                <pt idx="360">
                  <v>69233</v>
                </pt>
                <pt idx="361">
                  <v>67568</v>
                </pt>
                <pt idx="362">
                  <v>68468</v>
                </pt>
                <pt idx="363">
                  <v>68026</v>
                </pt>
                <pt idx="364">
                  <v>68053</v>
                </pt>
                <pt idx="365">
                  <v>69621</v>
                </pt>
                <pt idx="366">
                  <v>69346</v>
                </pt>
                <pt idx="367">
                  <v>69616</v>
                </pt>
                <pt idx="368">
                  <v>70132</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0.08539228435197226</v>
                </pt>
                <pt idx="357">
                  <formatCode>0.00%</formatCode>
                  <v>0.1147156918571545</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0.03419793802180824</v>
                </pt>
                <pt idx="368">
                  <formatCode>0.00%</formatCode>
                  <v>0.03733286001656608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78603</v>
                </pt>
                <pt idx="358">
                  <v>79051</v>
                </pt>
                <pt idx="359">
                  <v>77583</v>
                </pt>
                <pt idx="360">
                  <v>75557</v>
                </pt>
                <pt idx="361">
                  <v>80553</v>
                </pt>
                <pt idx="362">
                  <v>82388</v>
                </pt>
                <pt idx="363">
                  <v>84481</v>
                </pt>
                <pt idx="364">
                  <v>85322</v>
                </pt>
                <pt idx="365">
                  <v>85939</v>
                </pt>
                <pt idx="366">
                  <v>85214</v>
                </pt>
                <pt idx="367">
                  <v>86760</v>
                </pt>
                <pt idx="368">
                  <v>87222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0.3272377285851781</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0.118560156773761</v>
                </pt>
                <pt idx="368">
                  <formatCode>0.00%</formatCode>
                  <v>0.1141171060698958</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52150</v>
                </pt>
                <pt idx="357">
                  <v>53978</v>
                </pt>
                <pt idx="358">
                  <v>55209</v>
                </pt>
                <pt idx="359">
                  <v>55910</v>
                </pt>
                <pt idx="360">
                  <v>54919</v>
                </pt>
                <pt idx="361">
                  <v>58392</v>
                </pt>
                <pt idx="362">
                  <v>64656</v>
                </pt>
                <pt idx="363">
                  <v>63819</v>
                </pt>
                <pt idx="364">
                  <v>66988</v>
                </pt>
                <pt idx="365">
                  <v>68805</v>
                </pt>
                <pt idx="366">
                  <v>67283</v>
                </pt>
                <pt idx="367">
                  <v>63782</v>
                </pt>
                <pt idx="368">
                  <v>62891</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0.4204390695647437</v>
                </pt>
                <pt idx="357">
                  <formatCode>0.00%</formatCode>
                  <v>0.4617884417483616</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0.2794784353059178</v>
                </pt>
                <pt idx="368">
                  <formatCode>0.00%</formatCode>
                  <v>0.2059635666347076</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120845</v>
                </pt>
                <pt idx="357">
                  <v>122668</v>
                </pt>
                <pt idx="358">
                  <v>123671</v>
                </pt>
                <pt idx="359">
                  <v>120807</v>
                </pt>
                <pt idx="360">
                  <v>129666</v>
                </pt>
                <pt idx="361">
                  <v>131428</v>
                </pt>
                <pt idx="362">
                  <v>128522</v>
                </pt>
                <pt idx="363">
                  <v>130811</v>
                </pt>
                <pt idx="364">
                  <v>126390</v>
                </pt>
                <pt idx="365">
                  <v>127104</v>
                </pt>
                <pt idx="366">
                  <v>124553</v>
                </pt>
                <pt idx="367">
                  <v>128074</v>
                </pt>
                <pt idx="368">
                  <v>127565</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0.08841913751486112</v>
                </pt>
                <pt idx="357">
                  <formatCode>0.00%</formatCode>
                  <v>0.1104995383027648</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0.07070960406634563</v>
                </pt>
                <pt idx="368">
                  <formatCode>0.00%</formatCode>
                  <v>0.05560842401423311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Housing!$B$7:$B$383</f>
              <numCache>
                <formatCode>#,##0</formatCode>
                <ptCount val="377"/>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39230</v>
                </pt>
                <pt idx="357">
                  <v>40093</v>
                </pt>
                <pt idx="358">
                  <v>40880</v>
                </pt>
                <pt idx="359">
                  <v>41207</v>
                </pt>
                <pt idx="360">
                  <v>42170</v>
                </pt>
                <pt idx="361">
                  <v>42307</v>
                </pt>
                <pt idx="362">
                  <v>42572</v>
                </pt>
                <pt idx="363">
                  <v>42168</v>
                </pt>
                <pt idx="364">
                  <v>42257</v>
                </pt>
                <pt idx="365">
                  <v>42131</v>
                </pt>
                <pt idx="366">
                  <v>42597</v>
                </pt>
                <pt idx="367">
                  <v>43181</v>
                </pt>
                <pt idx="368">
                  <v>43024</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Housing!$D$7:$D$382</f>
              <numCache>
                <formatCode>General</formatCode>
                <ptCount val="376"/>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0.06285559468978597</v>
                </pt>
                <pt idx="357">
                  <formatCode>0.00%</formatCode>
                  <v>0.09849854786563647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0.1096805694754966</v>
                </pt>
                <pt idx="368">
                  <formatCode>0.00%</formatCode>
                  <v>0.09671170022941626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'Furniture Home'!$B$7:$B$381</f>
              <numCache>
                <formatCode>#,##0</formatCode>
                <ptCount val="375"/>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20056</v>
                </pt>
                <pt idx="357">
                  <v>20255</v>
                </pt>
                <pt idx="358">
                  <v>19252</v>
                </pt>
                <pt idx="359">
                  <v>18443</v>
                </pt>
                <pt idx="360">
                  <v>19257</v>
                </pt>
                <pt idx="361">
                  <v>19617</v>
                </pt>
                <pt idx="362">
                  <v>19770</v>
                </pt>
                <pt idx="363">
                  <v>20080</v>
                </pt>
                <pt idx="364">
                  <v>19740</v>
                </pt>
                <pt idx="365">
                  <v>19554</v>
                </pt>
                <pt idx="366">
                  <v>19544</v>
                </pt>
                <pt idx="367">
                  <v>19614</v>
                </pt>
                <pt idx="368">
                  <v>19467</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'Furniture Home'!$D$7:$D$382</f>
              <numCache>
                <formatCode>General</formatCode>
                <ptCount val="376"/>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0.1440958357102111</v>
                </pt>
                <pt idx="357">
                  <formatCode>0.00%</formatCode>
                  <v>0.147722121486854</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-0.01377715205148834</v>
                </pt>
                <pt idx="368">
                  <formatCode>0.00%</formatCode>
                  <v>-0.02936777024331871</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'Miscellaneous stores retailers'!$B$7:$B$380</f>
              <numCache>
                <formatCode>#,##0</formatCode>
                <ptCount val="374"/>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14346</v>
                </pt>
                <pt idx="357">
                  <v>14463</v>
                </pt>
                <pt idx="358">
                  <v>14381</v>
                </pt>
                <pt idx="359">
                  <v>14285</v>
                </pt>
                <pt idx="360">
                  <v>14527</v>
                </pt>
                <pt idx="361">
                  <v>14986</v>
                </pt>
                <pt idx="362">
                  <v>15490</v>
                </pt>
                <pt idx="363">
                  <v>15864</v>
                </pt>
                <pt idx="364">
                  <v>15515</v>
                </pt>
                <pt idx="365">
                  <v>16110</v>
                </pt>
                <pt idx="366">
                  <v>15898</v>
                </pt>
                <pt idx="367">
                  <v>15927</v>
                </pt>
                <pt idx="368">
                  <v>15526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'Miscellaneous stores retailers'!$D$7:$D$380</f>
              <numCache>
                <formatCode>General</formatCode>
                <ptCount val="374"/>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0.2811216288622969</v>
                </pt>
                <pt idx="357">
                  <formatCode>0.00%</formatCode>
                  <v>0.2899571887263646</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0.1317416329140908</v>
                </pt>
                <pt idx="368">
                  <formatCode>0.00%</formatCode>
                  <v>0.082252892792416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'Clothing and clothing access'!$B$7:$B$381</f>
              <numCache>
                <formatCode>#,##0</formatCode>
                <ptCount val="375"/>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25433</v>
                </pt>
                <pt idx="357">
                  <v>25487</v>
                </pt>
                <pt idx="358">
                  <v>25784</v>
                </pt>
                <pt idx="359">
                  <v>25051</v>
                </pt>
                <pt idx="360">
                  <v>25160</v>
                </pt>
                <pt idx="361">
                  <v>25481</v>
                </pt>
                <pt idx="362">
                  <v>26157</v>
                </pt>
                <pt idx="363">
                  <v>26166</v>
                </pt>
                <pt idx="364">
                  <v>25812</v>
                </pt>
                <pt idx="365">
                  <v>26004</v>
                </pt>
                <pt idx="366">
                  <v>25889</v>
                </pt>
                <pt idx="367">
                  <v>26111</v>
                </pt>
                <pt idx="368">
                  <v>26232</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numCache>
            </numRef>
          </cat>
          <val>
            <numRef>
              <f>'Clothing and clothing access'!$D$19:$D$382</f>
              <numCache>
                <formatCode>0.00%</formatCode>
                <ptCount val="364"/>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0.2211552311902819</v>
                </pt>
                <pt idx="345">
                  <v>0.255331724375708</v>
                </pt>
                <pt idx="346">
                  <v>0.355839512015565</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0.04973064243788695</v>
                </pt>
                <pt idx="356">
                  <v>0.03141587701018362</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5" headerRowCount="1" totalsRowShown="0" headerRowDxfId="64" dataDxfId="62" headerRowBorderDxfId="63" tableBorderDxfId="61">
  <autoFilter ref="A6:D375"/>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5" headerRowCount="1" totalsRowShown="0" headerRowDxfId="56" dataDxfId="54" headerRowBorderDxfId="55" tableBorderDxfId="53">
  <autoFilter ref="A6:D375"/>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5" headerRowCount="1" totalsRowShown="0" headerRowDxfId="48" dataDxfId="46" headerRowBorderDxfId="47" tableBorderDxfId="45">
  <autoFilter ref="A6:D375"/>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5" headerRowCount="1" totalsRowShown="0" headerRowDxfId="40" headerRowBorderDxfId="39" tableBorderDxfId="38">
  <autoFilter ref="A6:D375"/>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5" headerRowCount="1" totalsRowShown="0" headerRowDxfId="33" tableBorderDxfId="32">
  <autoFilter ref="A6:D375"/>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5" headerRowCount="1" totalsRowShown="0" headerRowDxfId="27" headerRowBorderDxfId="26" tableBorderDxfId="25">
  <autoFilter ref="A6:D375"/>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5" headerRowCount="1" totalsRowShown="0" headerRowDxfId="20" headerRowBorderDxfId="19" tableBorderDxfId="18">
  <autoFilter ref="A6:D375"/>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G11" zoomScale="140" zoomScaleNormal="140" workbookViewId="0">
      <selection activeCell="S30" sqref="S30"/>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31"/>
    <col width="9.1640625" customWidth="1" style="114" min="32"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44774</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0"/>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5"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5"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5"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5"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5"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5"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5"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5"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5"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5"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5"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5"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5"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5"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5"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5"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5"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5"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5"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5"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5"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5"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5"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5"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5"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5"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5"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5"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5"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5"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5"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5"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5"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5"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5"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5"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5"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5"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5"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5"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5"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5"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5"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5"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5"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5"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5"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5"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5"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5"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5"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5"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5"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5"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5"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5"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5"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5"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5"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5"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5"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5"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5"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5"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5"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5"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5"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5"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5"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5"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5"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5"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5"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5"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5"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5"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5"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5"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5"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5"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5"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5"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5"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5"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5"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5"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5"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5"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5"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5"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5"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5"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5"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5"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5"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5"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5"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5"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5"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5"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5"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5"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5"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5"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5"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5"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5"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5"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5"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5"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5"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5"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5"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5"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5"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5"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5"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5"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5"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5"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5"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5"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5"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5"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5"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5"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5"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5"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5"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5"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5"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5"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5"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5"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5"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5"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5"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5"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5"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5" t="n">
        <v>44440</v>
      </c>
      <c r="B358" t="n">
        <v>458989</v>
      </c>
      <c r="C358" t="n">
        <v>631984</v>
      </c>
      <c r="D358" t="n">
        <v>39230</v>
      </c>
      <c r="E358" t="n">
        <v>25433</v>
      </c>
      <c r="F358" t="n">
        <v>74707</v>
      </c>
      <c r="G358" t="n">
        <v>8142</v>
      </c>
      <c r="H358" t="n">
        <v>11914</v>
      </c>
      <c r="I358" t="n">
        <v>78288</v>
      </c>
      <c r="J358" t="n">
        <v>511139</v>
      </c>
      <c r="K358" t="n">
        <v>52150</v>
      </c>
      <c r="L358" t="n">
        <v>67608</v>
      </c>
      <c r="M358" t="n">
        <v>32545</v>
      </c>
      <c r="N358" t="n">
        <v>14346</v>
      </c>
      <c r="O358" t="n">
        <v>120845</v>
      </c>
      <c r="P358" t="n">
        <v>97872</v>
      </c>
      <c r="Q358" t="n">
        <v>8904</v>
      </c>
    </row>
    <row r="359">
      <c r="A359" s="135" t="n">
        <v>44470</v>
      </c>
      <c r="B359" t="n">
        <v>464253</v>
      </c>
      <c r="C359" t="n">
        <v>640899</v>
      </c>
      <c r="D359" t="n">
        <v>40093</v>
      </c>
      <c r="E359" t="n">
        <v>25487</v>
      </c>
      <c r="F359" t="n">
        <v>75535</v>
      </c>
      <c r="G359" t="n">
        <v>8191</v>
      </c>
      <c r="H359" t="n">
        <v>12064</v>
      </c>
      <c r="I359" t="n">
        <v>78603</v>
      </c>
      <c r="J359" t="n">
        <v>518231</v>
      </c>
      <c r="K359" t="n">
        <v>53978</v>
      </c>
      <c r="L359" t="n">
        <v>68516</v>
      </c>
      <c r="M359" t="n">
        <v>32444</v>
      </c>
      <c r="N359" t="n">
        <v>14463</v>
      </c>
      <c r="O359" t="n">
        <v>122668</v>
      </c>
      <c r="P359" t="n">
        <v>99837</v>
      </c>
      <c r="Q359" t="n">
        <v>9020</v>
      </c>
    </row>
    <row r="360">
      <c r="A360" s="135"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5"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5"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5"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5"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5"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5"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5"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5"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5" t="n">
        <v>44774</v>
      </c>
      <c r="B369" t="n">
        <v>492134</v>
      </c>
      <c r="C369" t="n">
        <v>683990</v>
      </c>
      <c r="D369" t="n">
        <v>43181</v>
      </c>
      <c r="E369" t="n">
        <v>26111</v>
      </c>
      <c r="F369" t="n">
        <v>79176</v>
      </c>
      <c r="G369" t="n">
        <v>7502</v>
      </c>
      <c r="H369" t="n">
        <v>12112</v>
      </c>
      <c r="I369" t="n">
        <v>86760</v>
      </c>
      <c r="J369" t="n">
        <v>555916</v>
      </c>
      <c r="K369" t="n">
        <v>63782</v>
      </c>
      <c r="L369" t="n">
        <v>69616</v>
      </c>
      <c r="M369" t="n">
        <v>33788</v>
      </c>
      <c r="N369" t="n">
        <v>15927</v>
      </c>
      <c r="O369" t="n">
        <v>128074</v>
      </c>
      <c r="P369" t="n">
        <v>108666</v>
      </c>
      <c r="Q369" t="n">
        <v>9295</v>
      </c>
    </row>
    <row r="370">
      <c r="A370" s="135" t="n">
        <v>44805</v>
      </c>
      <c r="B370" t="n">
        <v>493518</v>
      </c>
      <c r="C370" t="n">
        <v>683974</v>
      </c>
      <c r="D370" t="n">
        <v>43024</v>
      </c>
      <c r="E370" t="n">
        <v>26232</v>
      </c>
      <c r="F370" t="n">
        <v>79486</v>
      </c>
      <c r="G370" t="n">
        <v>7444</v>
      </c>
      <c r="H370" t="n">
        <v>12023</v>
      </c>
      <c r="I370" t="n">
        <v>87222</v>
      </c>
      <c r="J370" t="n">
        <v>556409</v>
      </c>
      <c r="K370" t="n">
        <v>62891</v>
      </c>
      <c r="L370" t="n">
        <v>70132</v>
      </c>
      <c r="M370" t="n">
        <v>33949</v>
      </c>
      <c r="N370" t="n">
        <v>15526</v>
      </c>
      <c r="O370" t="n">
        <v>127565</v>
      </c>
      <c r="P370" t="n">
        <v>109246</v>
      </c>
      <c r="Q370" t="n">
        <v>9234</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tabSelected="1" zoomScale="130" zoomScaleNormal="130" workbookViewId="0">
      <selection activeCell="B2" sqref="B2:H22"/>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25"/>
    <col width="9.1640625" customWidth="1" style="114" min="26" max="16384"/>
  </cols>
  <sheetData>
    <row r="1" ht="16" customHeight="1" s="95" thickBot="1"/>
    <row r="2">
      <c r="D2" s="4" t="inlineStr">
        <is>
          <t>Previous</t>
        </is>
      </c>
      <c r="E2" s="6">
        <f>DATE(YEAR(E3),MONTH(E3)-1,DAY(E3))</f>
        <v/>
      </c>
    </row>
    <row r="3" ht="16" customHeight="1" s="95" thickBot="1">
      <c r="D3" s="5" t="inlineStr">
        <is>
          <t>Latest</t>
        </is>
      </c>
      <c r="E3" s="7" t="n">
        <v>44805</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3"/>
  <sheetViews>
    <sheetView zoomScale="140" zoomScaleNormal="140" workbookViewId="0">
      <pane ySplit="3" topLeftCell="A48" activePane="bottomLeft" state="frozen"/>
      <selection activeCell="P14" sqref="P14"/>
      <selection pane="bottomLeft" activeCell="F63" sqref="F63"/>
    </sheetView>
  </sheetViews>
  <sheetFormatPr baseColWidth="10" defaultColWidth="9.1640625" defaultRowHeight="15"/>
  <cols>
    <col width="3" customWidth="1" style="114" min="1" max="1"/>
    <col width="7.6640625" customWidth="1" style="114" min="2" max="32"/>
    <col width="9.1640625" customWidth="1" style="114" min="33" max="44"/>
    <col width="9.1640625" customWidth="1" style="114" min="45"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3">
    <cfRule type="colorScale" priority="243">
      <colorScale>
        <cfvo type="min"/>
        <cfvo type="percentile" val="50"/>
        <cfvo type="max"/>
        <color rgb="FFF8696B"/>
        <color rgb="FFFFEB84"/>
        <color rgb="FF63BE7B"/>
      </colorScale>
    </cfRule>
  </conditionalFormatting>
  <conditionalFormatting sqref="D4:D63">
    <cfRule type="colorScale" priority="244">
      <colorScale>
        <cfvo type="min"/>
        <cfvo type="percentile" val="50"/>
        <cfvo type="max"/>
        <color rgb="FFF8696B"/>
        <color rgb="FFFFEB84"/>
        <color rgb="FF63BE7B"/>
      </colorScale>
    </cfRule>
  </conditionalFormatting>
  <conditionalFormatting sqref="E4:E63">
    <cfRule type="colorScale" priority="245">
      <colorScale>
        <cfvo type="min"/>
        <cfvo type="percentile" val="50"/>
        <cfvo type="max"/>
        <color rgb="FFF8696B"/>
        <color rgb="FFFFEB84"/>
        <color rgb="FF63BE7B"/>
      </colorScale>
    </cfRule>
  </conditionalFormatting>
  <conditionalFormatting sqref="F4:F63">
    <cfRule type="colorScale" priority="246">
      <colorScale>
        <cfvo type="min"/>
        <cfvo type="percentile" val="50"/>
        <cfvo type="max"/>
        <color rgb="FFF8696B"/>
        <color rgb="FFFFEB84"/>
        <color rgb="FF63BE7B"/>
      </colorScale>
    </cfRule>
  </conditionalFormatting>
  <conditionalFormatting sqref="G4:G63">
    <cfRule type="colorScale" priority="247">
      <colorScale>
        <cfvo type="min"/>
        <cfvo type="percentile" val="50"/>
        <cfvo type="max"/>
        <color rgb="FFF8696B"/>
        <color rgb="FFFFEB84"/>
        <color rgb="FF63BE7B"/>
      </colorScale>
    </cfRule>
  </conditionalFormatting>
  <conditionalFormatting sqref="H4:H63">
    <cfRule type="colorScale" priority="248">
      <colorScale>
        <cfvo type="min"/>
        <cfvo type="percentile" val="50"/>
        <cfvo type="max"/>
        <color rgb="FFF8696B"/>
        <color rgb="FFFFEB84"/>
        <color rgb="FF63BE7B"/>
      </colorScale>
    </cfRule>
  </conditionalFormatting>
  <conditionalFormatting sqref="I4:I63">
    <cfRule type="colorScale" priority="249">
      <colorScale>
        <cfvo type="min"/>
        <cfvo type="percentile" val="50"/>
        <cfvo type="max"/>
        <color rgb="FFF8696B"/>
        <color rgb="FFFFEB84"/>
        <color rgb="FF63BE7B"/>
      </colorScale>
    </cfRule>
  </conditionalFormatting>
  <conditionalFormatting sqref="J4:J63">
    <cfRule type="colorScale" priority="250">
      <colorScale>
        <cfvo type="min"/>
        <cfvo type="percentile" val="50"/>
        <cfvo type="max"/>
        <color rgb="FFF8696B"/>
        <color rgb="FFFFEB84"/>
        <color rgb="FF63BE7B"/>
      </colorScale>
    </cfRule>
  </conditionalFormatting>
  <conditionalFormatting sqref="K4:K63">
    <cfRule type="colorScale" priority="251">
      <colorScale>
        <cfvo type="min"/>
        <cfvo type="percentile" val="50"/>
        <cfvo type="max"/>
        <color rgb="FFF8696B"/>
        <color rgb="FFFFEB84"/>
        <color rgb="FF63BE7B"/>
      </colorScale>
    </cfRule>
  </conditionalFormatting>
  <conditionalFormatting sqref="L4:L63">
    <cfRule type="colorScale" priority="252">
      <colorScale>
        <cfvo type="min"/>
        <cfvo type="percentile" val="50"/>
        <cfvo type="max"/>
        <color rgb="FFF8696B"/>
        <color rgb="FFFFEB84"/>
        <color rgb="FF63BE7B"/>
      </colorScale>
    </cfRule>
  </conditionalFormatting>
  <conditionalFormatting sqref="M4:M63">
    <cfRule type="colorScale" priority="253">
      <colorScale>
        <cfvo type="min"/>
        <cfvo type="percentile" val="50"/>
        <cfvo type="max"/>
        <color rgb="FFF8696B"/>
        <color rgb="FFFFEB84"/>
        <color rgb="FF63BE7B"/>
      </colorScale>
    </cfRule>
  </conditionalFormatting>
  <conditionalFormatting sqref="O4:O63">
    <cfRule type="colorScale" priority="254">
      <colorScale>
        <cfvo type="min"/>
        <cfvo type="percentile" val="50"/>
        <cfvo type="max"/>
        <color rgb="FFF8696B"/>
        <color rgb="FFFFEB84"/>
        <color rgb="FF63BE7B"/>
      </colorScale>
    </cfRule>
  </conditionalFormatting>
  <conditionalFormatting sqref="P4:P63">
    <cfRule type="colorScale" priority="255">
      <colorScale>
        <cfvo type="min"/>
        <cfvo type="percentile" val="50"/>
        <cfvo type="max"/>
        <color rgb="FFF8696B"/>
        <color rgb="FFFFEB84"/>
        <color rgb="FF63BE7B"/>
      </colorScale>
    </cfRule>
  </conditionalFormatting>
  <conditionalFormatting sqref="Q4:Q63">
    <cfRule type="colorScale" priority="256">
      <colorScale>
        <cfvo type="min"/>
        <cfvo type="percentile" val="50"/>
        <cfvo type="max"/>
        <color rgb="FFF8696B"/>
        <color rgb="FFFFEB84"/>
        <color rgb="FF63BE7B"/>
      </colorScale>
    </cfRule>
  </conditionalFormatting>
  <conditionalFormatting sqref="R4:R63">
    <cfRule type="colorScale" priority="257">
      <colorScale>
        <cfvo type="min"/>
        <cfvo type="percentile" val="50"/>
        <cfvo type="max"/>
        <color rgb="FFF8696B"/>
        <color rgb="FFFFEB84"/>
        <color rgb="FF63BE7B"/>
      </colorScale>
    </cfRule>
  </conditionalFormatting>
  <conditionalFormatting sqref="S4:S63">
    <cfRule type="colorScale" priority="258">
      <colorScale>
        <cfvo type="min"/>
        <cfvo type="percentile" val="50"/>
        <cfvo type="max"/>
        <color rgb="FFF8696B"/>
        <color rgb="FFFFEB84"/>
        <color rgb="FF63BE7B"/>
      </colorScale>
    </cfRule>
  </conditionalFormatting>
  <conditionalFormatting sqref="T4:T63">
    <cfRule type="colorScale" priority="259">
      <colorScale>
        <cfvo type="min"/>
        <cfvo type="percentile" val="50"/>
        <cfvo type="max"/>
        <color rgb="FFF8696B"/>
        <color rgb="FFFFEB84"/>
        <color rgb="FF63BE7B"/>
      </colorScale>
    </cfRule>
  </conditionalFormatting>
  <conditionalFormatting sqref="U4:U63">
    <cfRule type="colorScale" priority="260">
      <colorScale>
        <cfvo type="min"/>
        <cfvo type="percentile" val="50"/>
        <cfvo type="max"/>
        <color rgb="FFF8696B"/>
        <color rgb="FFFFEB84"/>
        <color rgb="FF63BE7B"/>
      </colorScale>
    </cfRule>
  </conditionalFormatting>
  <conditionalFormatting sqref="V4:V63">
    <cfRule type="colorScale" priority="261">
      <colorScale>
        <cfvo type="min"/>
        <cfvo type="percentile" val="50"/>
        <cfvo type="max"/>
        <color rgb="FFF8696B"/>
        <color rgb="FFFFEB84"/>
        <color rgb="FF63BE7B"/>
      </colorScale>
    </cfRule>
  </conditionalFormatting>
  <conditionalFormatting sqref="W4:W63">
    <cfRule type="colorScale" priority="262">
      <colorScale>
        <cfvo type="min"/>
        <cfvo type="percentile" val="50"/>
        <cfvo type="max"/>
        <color rgb="FFF8696B"/>
        <color rgb="FFFFEB84"/>
        <color rgb="FF63BE7B"/>
      </colorScale>
    </cfRule>
  </conditionalFormatting>
  <conditionalFormatting sqref="X4:X63">
    <cfRule type="colorScale" priority="265">
      <colorScale>
        <cfvo type="min"/>
        <cfvo type="percentile" val="50"/>
        <cfvo type="max"/>
        <color rgb="FFF8696B"/>
        <color rgb="FFFFEB84"/>
        <color rgb="FF63BE7B"/>
      </colorScale>
    </cfRule>
  </conditionalFormatting>
  <conditionalFormatting sqref="Y4:Y63">
    <cfRule type="colorScale" priority="268">
      <colorScale>
        <cfvo type="min"/>
        <cfvo type="percentile" val="50"/>
        <cfvo type="max"/>
        <color rgb="FFF8696B"/>
        <color rgb="FFFFEB84"/>
        <color rgb="FF63BE7B"/>
      </colorScale>
    </cfRule>
  </conditionalFormatting>
  <conditionalFormatting sqref="Z4:Z63">
    <cfRule type="colorScale" priority="269">
      <colorScale>
        <cfvo type="min"/>
        <cfvo type="percentile" val="50"/>
        <cfvo type="max"/>
        <color rgb="FFF8696B"/>
        <color rgb="FFFFEB84"/>
        <color rgb="FF63BE7B"/>
      </colorScale>
    </cfRule>
  </conditionalFormatting>
  <conditionalFormatting sqref="AA4:AA63">
    <cfRule type="colorScale" priority="270">
      <colorScale>
        <cfvo type="min"/>
        <cfvo type="percentile" val="50"/>
        <cfvo type="max"/>
        <color rgb="FFF8696B"/>
        <color rgb="FFFFEB84"/>
        <color rgb="FF63BE7B"/>
      </colorScale>
    </cfRule>
  </conditionalFormatting>
  <conditionalFormatting sqref="AB4:AB63">
    <cfRule type="colorScale" priority="271">
      <colorScale>
        <cfvo type="min"/>
        <cfvo type="percentile" val="50"/>
        <cfvo type="max"/>
        <color rgb="FFF8696B"/>
        <color rgb="FFFFEB84"/>
        <color rgb="FF63BE7B"/>
      </colorScale>
    </cfRule>
  </conditionalFormatting>
  <conditionalFormatting sqref="AC4:AC63">
    <cfRule type="colorScale" priority="272">
      <colorScale>
        <cfvo type="min"/>
        <cfvo type="percentile" val="50"/>
        <cfvo type="max"/>
        <color rgb="FFF8696B"/>
        <color rgb="FFFFEB84"/>
        <color rgb="FF63BE7B"/>
      </colorScale>
    </cfRule>
  </conditionalFormatting>
  <conditionalFormatting sqref="AD4:AD63">
    <cfRule type="colorScale" priority="273">
      <colorScale>
        <cfvo type="min"/>
        <cfvo type="percentile" val="50"/>
        <cfvo type="max"/>
        <color rgb="FFF8696B"/>
        <color rgb="FFFFEB84"/>
        <color rgb="FF63BE7B"/>
      </colorScale>
    </cfRule>
  </conditionalFormatting>
  <conditionalFormatting sqref="AE4:AE63">
    <cfRule type="colorScale" priority="274">
      <colorScale>
        <cfvo type="min"/>
        <cfvo type="percentile" val="50"/>
        <cfvo type="max"/>
        <color rgb="FFF8696B"/>
        <color rgb="FFFFEB84"/>
        <color rgb="FF63BE7B"/>
      </colorScale>
    </cfRule>
  </conditionalFormatting>
  <conditionalFormatting sqref="AF4:AF63">
    <cfRule type="colorScale" priority="275">
      <colorScale>
        <cfvo type="min"/>
        <cfvo type="percentile" val="50"/>
        <cfvo type="max"/>
        <color rgb="FFF8696B"/>
        <color rgb="FFFFEB84"/>
        <color rgb="FF63BE7B"/>
      </colorScale>
    </cfRule>
  </conditionalFormatting>
  <conditionalFormatting sqref="N4:N63">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2"/>
  <sheetViews>
    <sheetView topLeftCell="B1" zoomScale="170" zoomScaleNormal="170" workbookViewId="0">
      <pane ySplit="6" topLeftCell="A351" activePane="bottomLeft" state="frozen"/>
      <selection pane="bottomLeft" activeCell="A365" sqref="A365:D375"/>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0"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A373" s="11" t="n">
        <v>44743</v>
      </c>
      <c r="B373" s="15">
        <f>VLOOKUP(A373,Database!A:M,MATCH($A$1,Database!$A$1:$M$1,),)</f>
        <v/>
      </c>
      <c r="C373" s="12">
        <f>(B373-B372)/B372</f>
        <v/>
      </c>
      <c r="D373" s="13">
        <f>(B373-B361)/B361</f>
        <v/>
      </c>
    </row>
    <row r="374" customFormat="1" s="114">
      <c r="A374" s="11" t="n">
        <v>44774</v>
      </c>
      <c r="B374" s="15">
        <f>VLOOKUP(A374,Database!A:M,MATCH($A$1,Database!$A$1:$M$1,),)</f>
        <v/>
      </c>
      <c r="C374" s="12">
        <f>(B374-B373)/B373</f>
        <v/>
      </c>
      <c r="D374" s="13">
        <f>(B374-B362)/B362</f>
        <v/>
      </c>
    </row>
    <row r="375" customFormat="1" s="114">
      <c r="A375" s="11" t="n">
        <v>44805</v>
      </c>
      <c r="B375" s="15">
        <f>VLOOKUP(A375,Database!A:M,MATCH($A$1,Database!$A$1:$M$1,),)</f>
        <v/>
      </c>
      <c r="C375" s="12">
        <f>(B375-B374)/B374</f>
        <v/>
      </c>
      <c r="D375" s="13">
        <f>(B375-B363)/B363</f>
        <v/>
      </c>
    </row>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row r="664">
      <c r="A664" s="114" t="n"/>
      <c r="B664" s="114" t="n"/>
      <c r="C664" s="114" t="n"/>
      <c r="D664" s="114" t="n"/>
    </row>
    <row r="665">
      <c r="A665" s="114" t="n"/>
      <c r="B665" s="114" t="n"/>
      <c r="C665" s="114" t="n"/>
      <c r="D665" s="114" t="n"/>
    </row>
    <row r="666">
      <c r="A666" s="114" t="n"/>
      <c r="B666" s="114" t="n"/>
      <c r="C666" s="114" t="n"/>
      <c r="D666" s="114" t="n"/>
    </row>
    <row r="667">
      <c r="A667" s="114" t="n"/>
      <c r="B667" s="114" t="n"/>
      <c r="C667" s="114" t="n"/>
      <c r="D667" s="114" t="n"/>
    </row>
    <row r="668">
      <c r="A668" s="114" t="n"/>
      <c r="B668" s="114" t="n"/>
      <c r="C668" s="114" t="n"/>
      <c r="D668" s="114" t="n"/>
    </row>
    <row r="669">
      <c r="A669" s="114" t="n"/>
      <c r="B669" s="114" t="n"/>
      <c r="C669" s="114" t="n"/>
      <c r="D669" s="114" t="n"/>
    </row>
    <row r="670">
      <c r="A670" s="114" t="n"/>
      <c r="B670" s="114" t="n"/>
      <c r="C670" s="114" t="n"/>
      <c r="D670" s="114" t="n"/>
    </row>
    <row r="671">
      <c r="A671" s="114" t="n"/>
      <c r="B671" s="114" t="n"/>
      <c r="C671" s="114" t="n"/>
      <c r="D671" s="114" t="n"/>
    </row>
    <row r="672">
      <c r="A672" s="114" t="n"/>
      <c r="B672" s="114" t="n"/>
      <c r="C672" s="114" t="n"/>
      <c r="D672" s="114" t="n"/>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7"/>
  <sheetViews>
    <sheetView zoomScale="160" zoomScaleNormal="160" workbookViewId="0">
      <pane ySplit="6" topLeftCell="A366" activePane="bottomLeft" state="frozen"/>
      <selection pane="bottomLeft" activeCell="A361" sqref="A361:D375"/>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11" t="n">
        <v>44562</v>
      </c>
      <c r="B367" s="15">
        <f>VLOOKUP(A367,Database!A:K,MATCH('Retail Sales'!$A$1,Database!$A$1:$K$1,),)</f>
        <v/>
      </c>
      <c r="C367" s="12">
        <f>(B367-B366)/B366</f>
        <v/>
      </c>
      <c r="D367" s="13">
        <f>(B367-B355)/B355</f>
        <v/>
      </c>
    </row>
    <row r="368" customFormat="1" s="114">
      <c r="A368" s="10" t="n">
        <v>44593</v>
      </c>
      <c r="B368" s="15">
        <f>VLOOKUP(A368,Database!A:K,MATCH('Retail Sales'!$A$1,Database!$A$1:$K$1,),)</f>
        <v/>
      </c>
      <c r="C368" s="12">
        <f>(B368-B367)/B367</f>
        <v/>
      </c>
      <c r="D368" s="13">
        <f>(B368-B356)/B356</f>
        <v/>
      </c>
    </row>
    <row r="369" customFormat="1" s="114">
      <c r="A369" s="11" t="n">
        <v>44621</v>
      </c>
      <c r="B369" s="15">
        <f>VLOOKUP(A369,Database!A:K,MATCH('Retail Sales'!$A$1,Database!$A$1:$K$1,),)</f>
        <v/>
      </c>
      <c r="C369" s="12">
        <f>(B369-B368)/B368</f>
        <v/>
      </c>
      <c r="D369" s="13">
        <f>(B369-B357)/B357</f>
        <v/>
      </c>
    </row>
    <row r="370" customFormat="1" s="114">
      <c r="A370" s="11" t="n">
        <v>44652</v>
      </c>
      <c r="B370" s="15">
        <f>VLOOKUP(A370,Database!A:K,MATCH('Retail Sales'!$A$1,Database!$A$1:$K$1,),)</f>
        <v/>
      </c>
      <c r="C370" s="12">
        <f>(B370-B369)/B369</f>
        <v/>
      </c>
      <c r="D370" s="13">
        <f>(B370-B358)/B358</f>
        <v/>
      </c>
    </row>
    <row r="371" customFormat="1" s="114">
      <c r="A371" s="10" t="n">
        <v>44682</v>
      </c>
      <c r="B371" s="15">
        <f>VLOOKUP(A371,Database!A:K,MATCH('Retail Sales'!$A$1,Database!$A$1:$K$1,),)</f>
        <v/>
      </c>
      <c r="C371" s="12">
        <f>(B371-B370)/B370</f>
        <v/>
      </c>
      <c r="D371" s="13">
        <f>(B371-B359)/B359</f>
        <v/>
      </c>
    </row>
    <row r="372" customFormat="1" s="114">
      <c r="A372" s="11" t="n">
        <v>44713</v>
      </c>
      <c r="B372" s="15">
        <f>VLOOKUP(A372,Database!A:K,MATCH('Retail Sales'!$A$1,Database!$A$1:$K$1,),)</f>
        <v/>
      </c>
      <c r="C372" s="12">
        <f>(B372-B371)/B371</f>
        <v/>
      </c>
      <c r="D372" s="13">
        <f>(B372-B360)/B360</f>
        <v/>
      </c>
    </row>
    <row r="373" customFormat="1" s="114">
      <c r="A373" s="11" t="n">
        <v>44743</v>
      </c>
      <c r="B373" s="15">
        <f>VLOOKUP(A373,Database!A:K,MATCH('Retail Sales'!$A$1,Database!$A$1:$K$1,),)</f>
        <v/>
      </c>
      <c r="C373" s="12">
        <f>(B373-B372)/B372</f>
        <v/>
      </c>
      <c r="D373" s="13">
        <f>(B373-B361)/B361</f>
        <v/>
      </c>
    </row>
    <row r="374" customFormat="1" s="114">
      <c r="A374" s="10" t="n">
        <v>44774</v>
      </c>
      <c r="B374" s="15">
        <f>VLOOKUP(A374,Database!A:K,MATCH('Retail Sales'!$A$1,Database!$A$1:$K$1,),)</f>
        <v/>
      </c>
      <c r="C374" s="12">
        <f>(B374-B373)/B373</f>
        <v/>
      </c>
      <c r="D374" s="13">
        <f>(B374-B362)/B362</f>
        <v/>
      </c>
    </row>
    <row r="375" customFormat="1" s="114">
      <c r="A375" s="10" t="n">
        <v>44805</v>
      </c>
      <c r="B375" s="15">
        <f>VLOOKUP(A375,Database!A:K,MATCH('Retail Sales'!$A$1,Database!$A$1:$K$1,),)</f>
        <v/>
      </c>
      <c r="C375" s="12">
        <f>(B375-B374)/B374</f>
        <v/>
      </c>
      <c r="D375" s="13">
        <f>(B375-B363)/B363</f>
        <v/>
      </c>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sheetData>
  <conditionalFormatting sqref="C8:C375">
    <cfRule type="colorScale" priority="42">
      <colorScale>
        <cfvo type="min"/>
        <cfvo type="percentile" val="50"/>
        <cfvo type="max"/>
        <color rgb="FFF8696B"/>
        <color rgb="FFFFEB84"/>
        <color rgb="FF63BE7B"/>
      </colorScale>
    </cfRule>
  </conditionalFormatting>
  <conditionalFormatting sqref="D19:D375">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3"/>
  <sheetViews>
    <sheetView zoomScale="160" zoomScaleNormal="160" workbookViewId="0">
      <pane ySplit="6" topLeftCell="A364" activePane="bottomLeft" state="frozen"/>
      <selection pane="bottomLeft" activeCell="D381" sqref="D38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1"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A373" s="11" t="n">
        <v>44743</v>
      </c>
      <c r="B373" s="15">
        <f>VLOOKUP(A373,Database!A:M,MATCH($A$1,Database!$A$1:$M$1,),)</f>
        <v/>
      </c>
      <c r="C373" s="12">
        <f>(B373-B372)/B372</f>
        <v/>
      </c>
      <c r="D373" s="13">
        <f>(B373-B361)/B361</f>
        <v/>
      </c>
    </row>
    <row r="374" customFormat="1" s="114">
      <c r="A374" s="11" t="n">
        <v>44774</v>
      </c>
      <c r="B374" s="15">
        <f>VLOOKUP(A374,Database!A:M,MATCH($A$1,Database!$A$1:$M$1,),)</f>
        <v/>
      </c>
      <c r="C374" s="12">
        <f>(B374-B373)/B373</f>
        <v/>
      </c>
      <c r="D374" s="13">
        <f>(B374-B362)/B362</f>
        <v/>
      </c>
    </row>
    <row r="375" customFormat="1" s="114">
      <c r="A375" s="11" t="n">
        <v>44805</v>
      </c>
      <c r="B375" s="15">
        <f>VLOOKUP(A375,Database!A:M,MATCH($A$1,Database!$A$1:$M$1,),)</f>
        <v/>
      </c>
      <c r="C375" s="12">
        <f>(B375-B374)/B374</f>
        <v/>
      </c>
      <c r="D375" s="13">
        <f>(B375-B363)/B363</f>
        <v/>
      </c>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row r="805">
      <c r="A805" s="114" t="n"/>
      <c r="B805" s="22" t="n"/>
      <c r="C805" s="114" t="n"/>
      <c r="D805" s="114" t="n"/>
    </row>
    <row r="806">
      <c r="A806" s="114" t="n"/>
      <c r="B806" s="22" t="n"/>
      <c r="C806" s="114" t="n"/>
      <c r="D806" s="114" t="n"/>
    </row>
    <row r="807">
      <c r="A807" s="114" t="n"/>
      <c r="B807" s="22" t="n"/>
      <c r="C807" s="114" t="n"/>
      <c r="D807" s="114" t="n"/>
    </row>
    <row r="808">
      <c r="A808" s="114" t="n"/>
      <c r="B808" s="22" t="n"/>
      <c r="C808" s="114" t="n"/>
      <c r="D808" s="114" t="n"/>
    </row>
    <row r="809">
      <c r="A809" s="114" t="n"/>
      <c r="B809" s="22" t="n"/>
      <c r="C809" s="114" t="n"/>
      <c r="D809" s="114" t="n"/>
    </row>
    <row r="810">
      <c r="A810" s="114" t="n"/>
      <c r="B810" s="22" t="n"/>
      <c r="C810" s="114" t="n"/>
      <c r="D810" s="114" t="n"/>
    </row>
    <row r="811">
      <c r="A811" s="114" t="n"/>
      <c r="B811" s="22" t="n"/>
      <c r="C811" s="114" t="n"/>
      <c r="D811" s="114" t="n"/>
    </row>
    <row r="812">
      <c r="A812" s="114" t="n"/>
      <c r="B812" s="22" t="n"/>
      <c r="C812" s="114" t="n"/>
      <c r="D812" s="114" t="n"/>
    </row>
    <row r="813">
      <c r="A813" s="114" t="n"/>
      <c r="B813" s="22" t="n"/>
      <c r="C813" s="114" t="n"/>
      <c r="D813" s="114" t="n"/>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5"/>
  <sheetViews>
    <sheetView zoomScale="160" zoomScaleNormal="160" workbookViewId="0">
      <pane ySplit="6" topLeftCell="A363" activePane="bottomLeft" state="frozen"/>
      <selection pane="bottomLeft" activeCell="L380" sqref="L380"/>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5"/>
  <sheetViews>
    <sheetView zoomScale="200" zoomScaleNormal="200" workbookViewId="0">
      <pane ySplit="6" topLeftCell="A364" activePane="bottomLeft" state="frozen"/>
      <selection pane="bottomLeft" activeCell="A368" sqref="A368:D375"/>
    </sheetView>
  </sheetViews>
  <sheetFormatPr baseColWidth="10" defaultColWidth="9.1640625" defaultRowHeight="15"/>
  <cols>
    <col width="14" customWidth="1" style="54" min="1" max="1"/>
    <col width="14.1640625" customWidth="1" style="54" min="2" max="4"/>
    <col width="9.1640625" customWidth="1" style="114" min="5" max="16"/>
    <col width="9.1640625" customWidth="1" style="114" min="17"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5"/>
  <sheetViews>
    <sheetView topLeftCell="F1" zoomScale="150" zoomScaleNormal="150" workbookViewId="0">
      <pane ySplit="6" topLeftCell="A359" activePane="bottomLeft" state="frozen"/>
      <selection pane="bottomLeft" activeCell="A361" sqref="A361: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5"/>
  <sheetViews>
    <sheetView zoomScale="130" zoomScaleNormal="130" workbookViewId="0">
      <pane ySplit="6" topLeftCell="A363" activePane="bottomLeft" state="frozen"/>
      <selection pane="bottomLeft" activeCell="A362" sqref="A362: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5"/>
  <sheetViews>
    <sheetView topLeftCell="C1" zoomScale="150" zoomScaleNormal="150" workbookViewId="0">
      <pane ySplit="6" topLeftCell="A359" activePane="bottomLeft" state="frozen"/>
      <selection pane="bottomLeft" activeCell="A363" sqref="A363: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5"/>
  <sheetViews>
    <sheetView zoomScale="150" zoomScaleNormal="150" workbookViewId="0">
      <pane ySplit="6" topLeftCell="A362" activePane="bottomLeft" state="frozen"/>
      <selection pane="bottomLeft" activeCell="A369" sqref="A369: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5"/>
  <sheetViews>
    <sheetView zoomScale="140" zoomScaleNormal="140" workbookViewId="0">
      <pane ySplit="6" topLeftCell="A354" activePane="bottomLeft" state="frozen"/>
      <selection pane="bottomLeft" activeCell="A365" sqref="A365: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5"/>
  <sheetViews>
    <sheetView topLeftCell="B1" zoomScale="140" zoomScaleNormal="140" workbookViewId="0">
      <pane ySplit="6" topLeftCell="A360" activePane="bottomLeft" state="frozen"/>
      <selection pane="bottomLeft" activeCell="A364" sqref="A364: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sheetData>
  <conditionalFormatting sqref="D19:D375">
    <cfRule type="colorScale" priority="50">
      <colorScale>
        <cfvo type="min"/>
        <cfvo type="percentile" val="50"/>
        <cfvo type="max"/>
        <color rgb="FFF8696B"/>
        <color rgb="FFFFEB84"/>
        <color rgb="FF63BE7B"/>
      </colorScale>
    </cfRule>
  </conditionalFormatting>
  <conditionalFormatting sqref="C8:C375">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5"/>
  <sheetViews>
    <sheetView topLeftCell="B1" zoomScale="150" zoomScaleNormal="150" workbookViewId="0">
      <pane ySplit="6" topLeftCell="A355" activePane="bottomLeft" state="frozen"/>
      <selection pane="bottomLeft" activeCell="A362" sqref="A362:D375"/>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16"/>
    <col width="9.1640625" customWidth="1" style="114" min="17"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sheetData>
  <conditionalFormatting sqref="D19:D375">
    <cfRule type="colorScale" priority="48">
      <colorScale>
        <cfvo type="min"/>
        <cfvo type="percentile" val="50"/>
        <cfvo type="max"/>
        <color rgb="FFF8696B"/>
        <color rgb="FFFFEB84"/>
        <color rgb="FF63BE7B"/>
      </colorScale>
    </cfRule>
  </conditionalFormatting>
  <conditionalFormatting sqref="C8:C375">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5"/>
  <sheetViews>
    <sheetView zoomScale="140" zoomScaleNormal="140" workbookViewId="0">
      <pane ySplit="6" topLeftCell="A360" activePane="bottomLeft" state="frozen"/>
      <selection pane="bottomLeft" activeCell="A365" sqref="A365: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sheetData>
  <conditionalFormatting sqref="D19:D375">
    <cfRule type="colorScale" priority="46">
      <colorScale>
        <cfvo type="min"/>
        <cfvo type="percentile" val="50"/>
        <cfvo type="max"/>
        <color rgb="FFF8696B"/>
        <color rgb="FFFFEB84"/>
        <color rgb="FF63BE7B"/>
      </colorScale>
    </cfRule>
  </conditionalFormatting>
  <conditionalFormatting sqref="C8:C375">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5"/>
  <sheetViews>
    <sheetView topLeftCell="B1" zoomScale="170" zoomScaleNormal="170" workbookViewId="0">
      <pane ySplit="6" topLeftCell="A363" activePane="bottomLeft" state="frozen"/>
      <selection pane="bottomLeft" activeCell="A370" sqref="A370: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sheetData>
  <conditionalFormatting sqref="D19:D375">
    <cfRule type="colorScale" priority="44">
      <colorScale>
        <cfvo type="min"/>
        <cfvo type="percentile" val="50"/>
        <cfvo type="max"/>
        <color rgb="FFF8696B"/>
        <color rgb="FFFFEB84"/>
        <color rgb="FF63BE7B"/>
      </colorScale>
    </cfRule>
  </conditionalFormatting>
  <conditionalFormatting sqref="C8:C375">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5"/>
  <sheetViews>
    <sheetView zoomScale="190" zoomScaleNormal="190" workbookViewId="0">
      <pane ySplit="6" topLeftCell="A366" activePane="bottomLeft" state="frozen"/>
      <selection activeCell="P14" sqref="P14"/>
      <selection pane="bottomLeft" activeCell="A369" sqref="A369:D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6"/>
    <col width="9.1640625" customWidth="1" style="114" min="17"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2022-10-15T02:53:00Z</dcterms:modified>
  <cp:lastModifiedBy>Mark Mukherjee</cp:lastModifiedBy>
</cp:coreProperties>
</file>