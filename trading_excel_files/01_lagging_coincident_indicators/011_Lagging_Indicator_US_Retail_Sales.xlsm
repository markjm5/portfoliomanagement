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86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yyyy-mm-dd h:mm:ss"/>
    <numFmt numFmtId="169" formatCode="dd-mm-YYYY"/>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4">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22" fillId="2" borderId="16" applyAlignment="1" pivotButton="0" quotePrefix="0" xfId="0">
      <alignment horizontal="center"/>
    </xf>
    <xf numFmtId="0" fontId="0" fillId="0" borderId="30" pivotButton="0" quotePrefix="0" xfId="0"/>
    <xf numFmtId="0" fontId="22" fillId="2" borderId="18" applyAlignment="1" pivotButton="0" quotePrefix="0" xfId="0">
      <alignment horizontal="center"/>
    </xf>
    <xf numFmtId="0" fontId="0" fillId="0" borderId="35" pivotButton="0" quotePrefix="0" xfId="0"/>
    <xf numFmtId="0" fontId="1" fillId="6" borderId="1" applyAlignment="1" pivotButton="0" quotePrefix="0" xfId="0">
      <alignment horizontal="center"/>
    </xf>
    <xf numFmtId="0" fontId="0" fillId="0" borderId="29" pivotButton="0" quotePrefix="0" xfId="0"/>
    <xf numFmtId="0" fontId="22" fillId="2" borderId="14" applyAlignment="1" pivotButton="0" quotePrefix="0" xfId="0">
      <alignment horizontal="center"/>
    </xf>
    <xf numFmtId="0" fontId="0" fillId="0" borderId="34" pivotButton="0" quotePrefix="0" xfId="0"/>
    <xf numFmtId="0" fontId="1" fillId="2" borderId="28" applyAlignment="1" pivotButton="0" quotePrefix="0" xfId="0">
      <alignment horizontal="center" vertical="center"/>
    </xf>
    <xf numFmtId="0" fontId="0" fillId="2" borderId="0" pivotButton="0" quotePrefix="0" xfId="0"/>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0" fillId="2" borderId="0" applyAlignment="1" pivotButton="0" quotePrefix="0" xfId="0">
      <alignment wrapText="1"/>
    </xf>
    <xf numFmtId="0" fontId="5" fillId="2" borderId="0" applyAlignment="1" pivotButton="0" quotePrefix="0" xfId="1">
      <alignment wrapText="1"/>
    </xf>
    <xf numFmtId="166" fontId="0" fillId="2" borderId="0" applyAlignment="1" pivotButton="0" quotePrefix="0" xfId="0">
      <alignment horizontal="left" vertical="center" wrapText="1"/>
    </xf>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9"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Gas'!$A$8:$A$383</f>
              <numCache>
                <formatCode>[$-409]mmm\-yy;@</formatCode>
                <ptCount val="376"/>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'Retail Sales ex Auto and Gas'!$C$8:$C$383</f>
              <numCache>
                <formatCode>0.00%</formatCode>
                <ptCount val="376"/>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0.01079392348544968</v>
                </pt>
                <pt idx="357">
                  <v>0.007702179516214263</v>
                </pt>
                <pt idx="358">
                  <v>-0.02039785447960857</v>
                </pt>
                <pt idx="359">
                  <v>0.02031131193245877</v>
                </pt>
                <pt idx="360">
                  <v>0.01184011032781409</v>
                </pt>
                <pt idx="361">
                  <v>0.009056065489808487</v>
                </pt>
                <pt idx="362">
                  <v>0.006940307898821259</v>
                </pt>
                <pt idx="363">
                  <v>0.007598591094567882</v>
                </pt>
                <pt idx="364">
                  <v>0.009174406754083314</v>
                </pt>
                <pt idx="365">
                  <v>0.002247144978747376</v>
                </pt>
                <pt idx="366">
                  <v>0.008821269150901747</v>
                </pt>
                <pt idx="367">
                  <v>0.004220118803536553</v>
                </pt>
                <pt idx="368">
                  <v>0.007962943161895693</v>
                </pt>
                <pt idx="369">
                  <v>-0.002061575043333107</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Gas'!$A$8:$A$380</f>
              <numCache>
                <formatCode>[$-409]mmm\-yy;@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'Retail Sales ex Auto and Gas'!$C$8:$C$380</f>
              <numCache>
                <formatCode>0.00%</formatCode>
                <ptCount val="373"/>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0.01079392348544968</v>
                </pt>
                <pt idx="357">
                  <v>0.007702179516214263</v>
                </pt>
                <pt idx="358">
                  <v>-0.02039785447960857</v>
                </pt>
                <pt idx="359">
                  <v>0.02031131193245877</v>
                </pt>
                <pt idx="360">
                  <v>0.01184011032781409</v>
                </pt>
                <pt idx="361">
                  <v>0.009056065489808487</v>
                </pt>
                <pt idx="362">
                  <v>0.006940307898821259</v>
                </pt>
                <pt idx="363">
                  <v>0.007598591094567882</v>
                </pt>
                <pt idx="364">
                  <v>0.009174406754083314</v>
                </pt>
                <pt idx="365">
                  <v>0.002247144978747376</v>
                </pt>
                <pt idx="366">
                  <v>0.008821269150901747</v>
                </pt>
                <pt idx="367">
                  <v>0.004220118803536553</v>
                </pt>
                <pt idx="368">
                  <v>0.007962943161895693</v>
                </pt>
                <pt idx="369">
                  <v>-0.002061575043333107</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Gas'!$A$19:$A$380</f>
              <numCache>
                <formatCode>[$-409]mmm\-yy;@</formatCode>
                <ptCount val="362"/>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numCache>
            </numRef>
          </cat>
          <val>
            <numRef>
              <f>'Retail Sales ex Auto and Gas'!$D$19:$D$380</f>
              <numCache>
                <formatCode>0.00%</formatCode>
                <ptCount val="362"/>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-0.001882522659628013</v>
                </pt>
                <pt idx="205">
                  <v>0.01015393912407366</v>
                </pt>
                <pt idx="206">
                  <v>0.0343714440203049</v>
                </pt>
                <pt idx="207">
                  <v>0.03763129999036331</v>
                </pt>
                <pt idx="208">
                  <v>0.02562890751725215</v>
                </pt>
                <pt idx="209">
                  <v>0.02735126872271376</v>
                </pt>
                <pt idx="210">
                  <v>0.0268238667537034</v>
                </pt>
                <pt idx="211">
                  <v>0.03241280175537644</v>
                </pt>
                <pt idx="212">
                  <v>0.03539950354354787</v>
                </pt>
                <pt idx="213">
                  <v>0.03932081502197363</v>
                </pt>
                <pt idx="214">
                  <v>0.04830962239515746</v>
                </pt>
                <pt idx="215">
                  <v>0.04306007283240208</v>
                </pt>
                <pt idx="216">
                  <v>0.04837480047330511</v>
                </pt>
                <pt idx="217">
                  <v>0.04499728434127565</v>
                </pt>
                <pt idx="218">
                  <v>0.04242412421003355</v>
                </pt>
                <pt idx="219">
                  <v>0.04138998529525578</v>
                </pt>
                <pt idx="220">
                  <v>0.05071111145822757</v>
                </pt>
                <pt idx="221">
                  <v>0.05919791845192652</v>
                </pt>
                <pt idx="222">
                  <v>0.05936404304195381</v>
                </pt>
                <pt idx="223">
                  <v>0.05879181824528199</v>
                </pt>
                <pt idx="224">
                  <v>0.05725613734369511</v>
                </pt>
                <pt idx="225">
                  <v>0.05856801285451792</v>
                </pt>
                <pt idx="226">
                  <v>0.04952275029899522</v>
                </pt>
                <pt idx="227">
                  <v>0.04652508623512301</v>
                </pt>
                <pt idx="228">
                  <v>0.05355472315541096</v>
                </pt>
                <pt idx="229">
                  <v>0.05665216654426303</v>
                </pt>
                <pt idx="230">
                  <v>0.05370955971783021</v>
                </pt>
                <pt idx="231">
                  <v>0.04129446038139687</v>
                </pt>
                <pt idx="232">
                  <v>0.04047735854666547</v>
                </pt>
                <pt idx="233">
                  <v>0.02814327216563086</v>
                </pt>
                <pt idx="234">
                  <v>0.03441179285919403</v>
                </pt>
                <pt idx="235">
                  <v>0.03267020999923077</v>
                </pt>
                <pt idx="236">
                  <v>0.03419630468122398</v>
                </pt>
                <pt idx="237">
                  <v>0.02686489116777666</v>
                </pt>
                <pt idx="238">
                  <v>0.03305776126119587</v>
                </pt>
                <pt idx="239">
                  <v>0.04156813667353042</v>
                </pt>
                <pt idx="240">
                  <v>0.03775043229116113</v>
                </pt>
                <pt idx="241">
                  <v>0.03147310528698268</v>
                </pt>
                <pt idx="242">
                  <v>0.0248573163758537</v>
                </pt>
                <pt idx="243">
                  <v>0.02623211730406204</v>
                </pt>
                <pt idx="244">
                  <v>0.03268739618867318</v>
                </pt>
                <pt idx="245">
                  <v>0.03159705704567159</v>
                </pt>
                <pt idx="246">
                  <v>0.03511419409258672</v>
                </pt>
                <pt idx="247">
                  <v>0.03096268444948922</v>
                </pt>
                <pt idx="248">
                  <v>0.03075999646923824</v>
                </pt>
                <pt idx="249">
                  <v>0.03590120802331174</v>
                </pt>
                <pt idx="250">
                  <v>0.03341565462995816</v>
                </pt>
                <pt idx="251">
                  <v>0.02983583653510304</v>
                </pt>
                <pt idx="252">
                  <v>0.01499982679183843</v>
                </pt>
                <pt idx="253">
                  <v>0.02245090484368683</v>
                </pt>
                <pt idx="254">
                  <v>0.03338231115238802</v>
                </pt>
                <pt idx="255">
                  <v>0.04587593017595104</v>
                </pt>
                <pt idx="256">
                  <v>0.04391468873008516</v>
                </pt>
                <pt idx="257">
                  <v>0.05252117593623122</v>
                </pt>
                <pt idx="258">
                  <v>0.04554816304777623</v>
                </pt>
                <pt idx="259">
                  <v>0.05425444436416434</v>
                </pt>
                <pt idx="260">
                  <v>0.05115829785193381</v>
                </pt>
                <pt idx="261">
                  <v>0.05441951605855364</v>
                </pt>
                <pt idx="262">
                  <v>0.0537854090675768</v>
                </pt>
                <pt idx="263">
                  <v>0.05412390365009056</v>
                </pt>
                <pt idx="264">
                  <v>0.06288737201365188</v>
                </pt>
                <pt idx="265">
                  <v>0.04960051912235876</v>
                </pt>
                <pt idx="266">
                  <v>0.04850116868265823</v>
                </pt>
                <pt idx="267">
                  <v>0.04251046470261626</v>
                </pt>
                <pt idx="268">
                  <v>0.04249474821240416</v>
                </pt>
                <pt idx="269">
                  <v>0.03654900927313755</v>
                </pt>
                <pt idx="270">
                  <v>0.04390263152702232</v>
                </pt>
                <pt idx="271">
                  <v>0.0375434863487132</v>
                </pt>
                <pt idx="272">
                  <v>0.03637673036314815</v>
                </pt>
                <pt idx="273">
                  <v>0.02914180445431558</v>
                </pt>
                <pt idx="274">
                  <v>0.0287976102532009</v>
                </pt>
                <pt idx="275">
                  <v>0.03453346203346203</v>
                </pt>
                <pt idx="276">
                  <v>0.02753784205557661</v>
                </pt>
                <pt idx="277">
                  <v>0.04303516228748068</v>
                </pt>
                <pt idx="278">
                  <v>0.03358259078493709</v>
                </pt>
                <pt idx="279">
                  <v>0.03172608663760249</v>
                </pt>
                <pt idx="280">
                  <v>0.03008959815908997</v>
                </pt>
                <pt idx="281">
                  <v>0.0396904595436344</v>
                </pt>
                <pt idx="282">
                  <v>0.02465409914564379</v>
                </pt>
                <pt idx="283">
                  <v>0.0266291731934248</v>
                </pt>
                <pt idx="284">
                  <v>0.02997468832046787</v>
                </pt>
                <pt idx="285">
                  <v>0.03116682920690848</v>
                </pt>
                <pt idx="286">
                  <v>0.02863745539605792</v>
                </pt>
                <pt idx="287">
                  <v>0.02573297297633525</v>
                </pt>
                <pt idx="288">
                  <v>0.04381847613452416</v>
                </pt>
                <pt idx="289">
                  <v>0.0318808366134136</v>
                </pt>
                <pt idx="290">
                  <v>0.03837703690409144</v>
                </pt>
                <pt idx="291">
                  <v>0.04209182490641625</v>
                </pt>
                <pt idx="292">
                  <v>0.03649558461434028</v>
                </pt>
                <pt idx="293">
                  <v>0.03171032159658137</v>
                </pt>
                <pt idx="294">
                  <v>0.03762859022683531</v>
                </pt>
                <pt idx="295">
                  <v>0.03931517090089096</v>
                </pt>
                <pt idx="296">
                  <v>0.04598129243393738</v>
                </pt>
                <pt idx="297">
                  <v>0.04484146233567334</v>
                </pt>
                <pt idx="298">
                  <v>0.05826837900204541</v>
                </pt>
                <pt idx="299">
                  <v>0.06128129481787833</v>
                </pt>
                <pt idx="300">
                  <v>0.04201195123703686</v>
                </pt>
                <pt idx="301">
                  <v>0.05002812249440542</v>
                </pt>
                <pt idx="302">
                  <v>0.04503164821017749</v>
                </pt>
                <pt idx="303">
                  <v>0.04320962019909588</v>
                </pt>
                <pt idx="304">
                  <v>0.06051404790397771</v>
                </pt>
                <pt idx="305">
                  <v>0.05233717405924929</v>
                </pt>
                <pt idx="306">
                  <v>0.06013979383520446</v>
                </pt>
                <pt idx="307">
                  <v>0.0548139850244679</v>
                </pt>
                <pt idx="308">
                  <v>0.04167177421708548</v>
                </pt>
                <pt idx="309">
                  <v>0.05114241915468282</v>
                </pt>
                <pt idx="310">
                  <v>0.04386086195076707</v>
                </pt>
                <pt idx="311">
                  <v>0.01440497345850785</v>
                </pt>
                <pt idx="312">
                  <v>0.0387666387976682</v>
                </pt>
                <pt idx="313">
                  <v>0.02597058471567695</v>
                </pt>
                <pt idx="314">
                  <v>0.03508661866400514</v>
                </pt>
                <pt idx="315">
                  <v>0.03609987176242781</v>
                </pt>
                <pt idx="316">
                  <v>0.02843789473684211</v>
                </pt>
                <pt idx="317">
                  <v>0.03769834566483102</v>
                </pt>
                <pt idx="318">
                  <v>0.04103199047496604</v>
                </pt>
                <pt idx="319">
                  <v>0.04157746762284315</v>
                </pt>
                <pt idx="320">
                  <v>0.04139161912873906</v>
                </pt>
                <pt idx="321">
                  <v>0.03593155365426817</v>
                </pt>
                <pt idx="322">
                  <v>0.02874227703073735</v>
                </pt>
                <pt idx="323">
                  <v>0.06374697234270264</v>
                </pt>
                <pt idx="324">
                  <v>0.04489558843866685</v>
                </pt>
                <pt idx="325">
                  <v>0.05715253728939235</v>
                </pt>
                <pt idx="326">
                  <v>0.01784400750456638</v>
                </pt>
                <pt idx="327">
                  <v>-0.1363138641060191</v>
                </pt>
                <pt idx="328">
                  <v>-0.02951299330478382</v>
                </pt>
                <pt idx="329">
                  <v>0.04307636375475476</v>
                </pt>
                <pt idx="330">
                  <v>0.05995570172494798</v>
                </pt>
                <pt idx="331">
                  <v>0.0642838168885216</v>
                </pt>
                <pt idx="332">
                  <v>0.08730066912217735</v>
                </pt>
                <pt idx="333">
                  <v>0.07973721257625528</v>
                </pt>
                <pt idx="334">
                  <v>0.06948598343924101</v>
                </pt>
                <pt idx="335">
                  <v>0.03936784804630204</v>
                </pt>
                <pt idx="336">
                  <v>0.1029800255173619</v>
                </pt>
                <pt idx="337">
                  <v>0.07224123845125292</v>
                </pt>
                <pt idx="338">
                  <v>0.2138928586895327</v>
                </pt>
                <pt idx="339">
                  <v>0.4184439304007422</v>
                </pt>
                <pt idx="340">
                  <v>0.2531189533366332</v>
                </pt>
                <pt idx="341">
                  <v>0.1837900404468663</v>
                </pt>
                <pt idx="342">
                  <v>0.1368212822974263</v>
                </pt>
                <pt idx="343">
                  <v>0.1483629102808781</v>
                </pt>
                <pt idx="344">
                  <v>0.1349940241853468</v>
                </pt>
                <pt idx="345">
                  <v>0.1514276277066813</v>
                </pt>
                <pt idx="346">
                  <v>0.1717822800302974</v>
                </pt>
                <pt idx="347">
                  <v>0.1658663704933985</v>
                </pt>
                <pt idx="348">
                  <v>0.1206808004108609</v>
                </pt>
                <pt idx="349">
                  <v>0.1576111855628428</v>
                </pt>
                <pt idx="350">
                  <v>0.06310203353549768</v>
                </pt>
                <pt idx="351">
                  <v>0.07545132580806305</v>
                </pt>
                <pt idx="352">
                  <v>0.08566125560799787</v>
                </pt>
                <pt idx="353">
                  <v>0.07264333771318834</v>
                </pt>
                <pt idx="354">
                  <v>0.09011752910377095</v>
                </pt>
                <pt idx="355">
                  <v>0.08362513913373744</v>
                </pt>
                <pt idx="356">
                  <v>0.08063721429132038</v>
                </pt>
                <pt idx="357">
                  <v>0.07761062042339341</v>
                </pt>
                <pt idx="358">
                  <v>0.06716951409014439</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Gas'!$A$7:$A$380</f>
              <numCache>
                <formatCode>[$-409]mmm\-yy;@</formatCode>
                <ptCount val="37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'Retail Sales ex Auto and Gas'!$B$7:$B$380</f>
              <numCache>
                <formatCode>#,##0</formatCode>
                <ptCount val="374"/>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251846</v>
                </pt>
                <pt idx="217">
                  <v>254082</v>
                </pt>
                <pt idx="218">
                  <v>256340</v>
                </pt>
                <pt idx="219">
                  <v>258420</v>
                </pt>
                <pt idx="220">
                  <v>256078</v>
                </pt>
                <pt idx="221">
                  <v>256732</v>
                </pt>
                <pt idx="222">
                  <v>256401</v>
                </pt>
                <pt idx="223">
                  <v>257842</v>
                </pt>
                <pt idx="224">
                  <v>259029</v>
                </pt>
                <pt idx="225">
                  <v>260142</v>
                </pt>
                <pt idx="226">
                  <v>262546</v>
                </pt>
                <pt idx="227">
                  <v>262654</v>
                </pt>
                <pt idx="228">
                  <v>264029</v>
                </pt>
                <pt idx="229">
                  <v>265515</v>
                </pt>
                <pt idx="230">
                  <v>267215</v>
                </pt>
                <pt idx="231">
                  <v>269116</v>
                </pt>
                <pt idx="232">
                  <v>269064</v>
                </pt>
                <pt idx="233">
                  <v>271930</v>
                </pt>
                <pt idx="234">
                  <v>271622</v>
                </pt>
                <pt idx="235">
                  <v>273001</v>
                </pt>
                <pt idx="236">
                  <v>273860</v>
                </pt>
                <pt idx="237">
                  <v>275378</v>
                </pt>
                <pt idx="238">
                  <v>275548</v>
                </pt>
                <pt idx="239">
                  <v>274874</v>
                </pt>
                <pt idx="240">
                  <v>278169</v>
                </pt>
                <pt idx="241">
                  <v>280557</v>
                </pt>
                <pt idx="242">
                  <v>281567</v>
                </pt>
                <pt idx="243">
                  <v>280229</v>
                </pt>
                <pt idx="244">
                  <v>279955</v>
                </pt>
                <pt idx="245">
                  <v>279583</v>
                </pt>
                <pt idx="246">
                  <v>280969</v>
                </pt>
                <pt idx="247">
                  <v>281920</v>
                </pt>
                <pt idx="248">
                  <v>283225</v>
                </pt>
                <pt idx="249">
                  <v>282776</v>
                </pt>
                <pt idx="250">
                  <v>284657</v>
                </pt>
                <pt idx="251">
                  <v>286300</v>
                </pt>
                <pt idx="252">
                  <v>288670</v>
                </pt>
                <pt idx="253">
                  <v>289387</v>
                </pt>
                <pt idx="254">
                  <v>288566</v>
                </pt>
                <pt idx="255">
                  <v>287580</v>
                </pt>
                <pt idx="256">
                  <v>289106</v>
                </pt>
                <pt idx="257">
                  <v>288417</v>
                </pt>
                <pt idx="258">
                  <v>290835</v>
                </pt>
                <pt idx="259">
                  <v>290649</v>
                </pt>
                <pt idx="260">
                  <v>291937</v>
                </pt>
                <pt idx="261">
                  <v>292928</v>
                </pt>
                <pt idx="262">
                  <v>294169</v>
                </pt>
                <pt idx="263">
                  <v>294842</v>
                </pt>
                <pt idx="264">
                  <v>293000</v>
                </pt>
                <pt idx="265">
                  <v>295884</v>
                </pt>
                <pt idx="266">
                  <v>298199</v>
                </pt>
                <pt idx="267">
                  <v>300773</v>
                </pt>
                <pt idx="268">
                  <v>301802</v>
                </pt>
                <pt idx="269">
                  <v>303565</v>
                </pt>
                <pt idx="270">
                  <v>304082</v>
                </pt>
                <pt idx="271">
                  <v>306418</v>
                </pt>
                <pt idx="272">
                  <v>306872</v>
                </pt>
                <pt idx="273">
                  <v>308869</v>
                </pt>
                <pt idx="274">
                  <v>309991</v>
                </pt>
                <pt idx="275">
                  <v>310800</v>
                </pt>
                <pt idx="276">
                  <v>311426</v>
                </pt>
                <pt idx="277">
                  <v>310560</v>
                </pt>
                <pt idx="278">
                  <v>312662</v>
                </pt>
                <pt idx="279">
                  <v>313559</v>
                </pt>
                <pt idx="280">
                  <v>314627</v>
                </pt>
                <pt idx="281">
                  <v>314660</v>
                </pt>
                <pt idx="282">
                  <v>317432</v>
                </pt>
                <pt idx="283">
                  <v>317922</v>
                </pt>
                <pt idx="284">
                  <v>318035</v>
                </pt>
                <pt idx="285">
                  <v>317870</v>
                </pt>
                <pt idx="286">
                  <v>318918</v>
                </pt>
                <pt idx="287">
                  <v>321533</v>
                </pt>
                <pt idx="288">
                  <v>320002</v>
                </pt>
                <pt idx="289">
                  <v>323925</v>
                </pt>
                <pt idx="290">
                  <v>323162</v>
                </pt>
                <pt idx="291">
                  <v>323507</v>
                </pt>
                <pt idx="292">
                  <v>324094</v>
                </pt>
                <pt idx="293">
                  <v>327149</v>
                </pt>
                <pt idx="294">
                  <v>325258</v>
                </pt>
                <pt idx="295">
                  <v>326388</v>
                </pt>
                <pt idx="296">
                  <v>327568</v>
                </pt>
                <pt idx="297">
                  <v>327777</v>
                </pt>
                <pt idx="298">
                  <v>328051</v>
                </pt>
                <pt idx="299">
                  <v>329807</v>
                </pt>
                <pt idx="300">
                  <v>334024</v>
                </pt>
                <pt idx="301">
                  <v>334252</v>
                </pt>
                <pt idx="302">
                  <v>335564</v>
                </pt>
                <pt idx="303">
                  <v>337124</v>
                </pt>
                <pt idx="304">
                  <v>335922</v>
                </pt>
                <pt idx="305">
                  <v>337523</v>
                </pt>
                <pt idx="306">
                  <v>337497</v>
                </pt>
                <pt idx="307">
                  <v>339220</v>
                </pt>
                <pt idx="308">
                  <v>342630</v>
                </pt>
                <pt idx="309">
                  <v>342475</v>
                </pt>
                <pt idx="310">
                  <v>347166</v>
                </pt>
                <pt idx="311">
                  <v>350018</v>
                </pt>
                <pt idx="312">
                  <v>348057</v>
                </pt>
                <pt idx="313">
                  <v>350974</v>
                </pt>
                <pt idx="314">
                  <v>350675</v>
                </pt>
                <pt idx="315">
                  <v>351691</v>
                </pt>
                <pt idx="316">
                  <v>356250</v>
                </pt>
                <pt idx="317">
                  <v>355188</v>
                </pt>
                <pt idx="318">
                  <v>357794</v>
                </pt>
                <pt idx="319">
                  <v>357814</v>
                </pt>
                <pt idx="320">
                  <v>356908</v>
                </pt>
                <pt idx="321">
                  <v>359990</v>
                </pt>
                <pt idx="322">
                  <v>362393</v>
                </pt>
                <pt idx="323">
                  <v>355060</v>
                </pt>
                <pt idx="324">
                  <v>361550</v>
                </pt>
                <pt idx="325">
                  <v>360089</v>
                </pt>
                <pt idx="326">
                  <v>362979</v>
                </pt>
                <pt idx="327">
                  <v>364387</v>
                </pt>
                <pt idx="328">
                  <v>366381</v>
                </pt>
                <pt idx="329">
                  <v>368578</v>
                </pt>
                <pt idx="330">
                  <v>372475</v>
                </pt>
                <pt idx="331">
                  <v>372691</v>
                </pt>
                <pt idx="332">
                  <v>371681</v>
                </pt>
                <pt idx="333">
                  <v>372925</v>
                </pt>
                <pt idx="334">
                  <v>372809</v>
                </pt>
                <pt idx="335">
                  <v>377694</v>
                </pt>
                <pt idx="336">
                  <v>377782</v>
                </pt>
                <pt idx="337">
                  <v>380669</v>
                </pt>
                <pt idx="338">
                  <v>369456</v>
                </pt>
                <pt idx="339">
                  <v>314716</v>
                </pt>
                <pt idx="340">
                  <v>355568</v>
                </pt>
                <pt idx="341">
                  <v>384455</v>
                </pt>
                <pt idx="342">
                  <v>394807</v>
                </pt>
                <pt idx="343">
                  <v>396649</v>
                </pt>
                <pt idx="344">
                  <v>404129</v>
                </pt>
                <pt idx="345">
                  <v>402661</v>
                </pt>
                <pt idx="346">
                  <v>398714</v>
                </pt>
                <pt idx="347">
                  <v>392563</v>
                </pt>
                <pt idx="348">
                  <v>416686</v>
                </pt>
                <pt idx="349">
                  <v>408169</v>
                </pt>
                <pt idx="350">
                  <v>448480</v>
                </pt>
                <pt idx="351">
                  <v>446407</v>
                </pt>
                <pt idx="352">
                  <v>445569</v>
                </pt>
                <pt idx="353">
                  <v>455114</v>
                </pt>
                <pt idx="354">
                  <v>448825</v>
                </pt>
                <pt idx="355">
                  <v>455497</v>
                </pt>
                <pt idx="356">
                  <v>458684</v>
                </pt>
                <pt idx="357">
                  <v>463635</v>
                </pt>
                <pt idx="358">
                  <v>467206</v>
                </pt>
                <pt idx="359">
                  <v>457676</v>
                </pt>
                <pt idx="360">
                  <v>466972</v>
                </pt>
                <pt idx="361">
                  <v>472501</v>
                </pt>
                <pt idx="362">
                  <v>476780</v>
                </pt>
                <pt idx="363">
                  <v>480089</v>
                </pt>
                <pt idx="364">
                  <v>483737</v>
                </pt>
                <pt idx="365">
                  <v>488175</v>
                </pt>
                <pt idx="366">
                  <v>489272</v>
                </pt>
                <pt idx="367">
                  <v>493588</v>
                </pt>
                <pt idx="368">
                  <v>495671</v>
                </pt>
                <pt idx="369">
                  <v>499618</v>
                </pt>
                <pt idx="370">
                  <v>498588</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a:prstDash val="solid"/>
            </a:ln>
          </spPr>
          <marker>
            <symbol val="none"/>
            <spPr>
              <a:ln xmlns:a="http://schemas.openxmlformats.org/drawingml/2006/main">
                <a:prstDash val="solid"/>
              </a:ln>
            </spPr>
          </marker>
          <cat>
            <numRef>
              <f>'Retail Sales'!$A$7:$A$382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'Retail Sales'!$D$7:$D$382</f>
              <numCache>
                <formatCode>General</formatCode>
                <ptCount val="376"/>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0.02705020939129609</v>
                </pt>
                <pt idx="217">
                  <formatCode>0.00%</formatCode>
                  <v>0.0335512670751186</v>
                </pt>
                <pt idx="218">
                  <formatCode>0.00%</formatCode>
                  <v>0.07464207407497263</v>
                </pt>
                <pt idx="219">
                  <formatCode>0.00%</formatCode>
                  <v>0.07879535961756681</v>
                </pt>
                <pt idx="220">
                  <formatCode>0.00%</formatCode>
                  <v>0.05983138672155474</v>
                </pt>
                <pt idx="221">
                  <formatCode>0.00%</formatCode>
                  <v>0.04084640891130183</v>
                </pt>
                <pt idx="222">
                  <formatCode>0.00%</formatCode>
                  <v>0.04207425767289152</v>
                </pt>
                <pt idx="223">
                  <formatCode>0.00%</formatCode>
                  <v>0.02867873585101596</v>
                </pt>
                <pt idx="224">
                  <formatCode>0.00%</formatCode>
                  <v>0.06244774849559979</v>
                </pt>
                <pt idx="225">
                  <formatCode>0.00%</formatCode>
                  <v>0.06416725693245214</v>
                </pt>
                <pt idx="226">
                  <formatCode>0.00%</formatCode>
                  <v>0.06627368421052632</v>
                </pt>
                <pt idx="227">
                  <formatCode>0.00%</formatCode>
                  <v>0.06691382140132689</v>
                </pt>
                <pt idx="228">
                  <formatCode>0.00%</formatCode>
                  <v>0.07508315440566635</v>
                </pt>
                <pt idx="229">
                  <formatCode>0.00%</formatCode>
                  <v>0.0813902864474462</v>
                </pt>
                <pt idx="230">
                  <formatCode>0.00%</formatCode>
                  <v>0.06833728411784626</v>
                </pt>
                <pt idx="231">
                  <formatCode>0.00%</formatCode>
                  <v>0.06399579254799824</v>
                </pt>
                <pt idx="232">
                  <formatCode>0.00%</formatCode>
                  <v>0.07329183780045448</v>
                </pt>
                <pt idx="233">
                  <formatCode>0.00%</formatCode>
                  <v>0.08356088487870514</v>
                </pt>
                <pt idx="234">
                  <formatCode>0.00%</formatCode>
                  <v>0.07921790984207144</v>
                </pt>
                <pt idx="235">
                  <formatCode>0.00%</formatCode>
                  <v>0.07635512184178794</v>
                </pt>
                <pt idx="236">
                  <formatCode>0.00%</formatCode>
                  <v>0.07816575187823582</v>
                </pt>
                <pt idx="237">
                  <formatCode>0.00%</formatCode>
                  <v>0.07296116090951849</v>
                </pt>
                <pt idx="238">
                  <formatCode>0.00%</formatCode>
                  <v>0.06589088175861524</v>
                </pt>
                <pt idx="239">
                  <formatCode>0.00%</formatCode>
                  <v>0.06054779012482768</v>
                </pt>
                <pt idx="240">
                  <formatCode>0.00%</formatCode>
                  <v>0.06347960486526442</v>
                </pt>
                <pt idx="241">
                  <formatCode>0.00%</formatCode>
                  <v>0.06751114476462684</v>
                </pt>
                <pt idx="242">
                  <formatCode>0.00%</formatCode>
                  <v>0.06096001859600186</v>
                </pt>
                <pt idx="243">
                  <formatCode>0.00%</formatCode>
                  <v>0.05232201968254469</v>
                </pt>
                <pt idx="244">
                  <formatCode>0.00%</formatCode>
                  <v>0.05036045016161738</v>
                </pt>
                <pt idx="245">
                  <formatCode>0.00%</formatCode>
                  <v>0.03189443999509557</v>
                </pt>
                <pt idx="246">
                  <formatCode>0.00%</formatCode>
                  <v>0.03837536623197564</v>
                </pt>
                <pt idx="247">
                  <formatCode>0.00%</formatCode>
                  <v>0.04806181758497703</v>
                </pt>
                <pt idx="248">
                  <formatCode>0.00%</formatCode>
                  <v>0.04563929048530269</v>
                </pt>
                <pt idx="249">
                  <formatCode>0.00%</formatCode>
                  <v>0.03965096487090622</v>
                </pt>
                <pt idx="250">
                  <formatCode>0.00%</formatCode>
                  <v>0.0408617425452167</v>
                </pt>
                <pt idx="251">
                  <formatCode>0.00%</formatCode>
                  <v>0.04442458214691574</v>
                </pt>
                <pt idx="252">
                  <formatCode>0.00%</formatCode>
                  <v>0.04240965926180552</v>
                </pt>
                <pt idx="253">
                  <formatCode>0.00%</formatCode>
                  <v>0.04245413789227868</v>
                </pt>
                <pt idx="254">
                  <formatCode>0.00%</formatCode>
                  <v>0.03102670457657586</v>
                </pt>
                <pt idx="255">
                  <formatCode>0.00%</formatCode>
                  <v>0.02942756416823032</v>
                </pt>
                <pt idx="256">
                  <formatCode>0.00%</formatCode>
                  <v>0.03780733009988307</v>
                </pt>
                <pt idx="257">
                  <formatCode>0.00%</formatCode>
                  <v>0.05055454009955682</v>
                </pt>
                <pt idx="258">
                  <formatCode>0.00%</formatCode>
                  <v>0.05243304413428895</v>
                </pt>
                <pt idx="259">
                  <formatCode>0.00%</formatCode>
                  <v>0.03800271945153584</v>
                </pt>
                <pt idx="260">
                  <formatCode>0.00%</formatCode>
                  <v>0.03059772354515298</v>
                </pt>
                <pt idx="261">
                  <formatCode>0.00%</formatCode>
                  <v>0.03417888808892133</v>
                </pt>
                <pt idx="262">
                  <formatCode>0.00%</formatCode>
                  <v>0.03265207935471518</v>
                </pt>
                <pt idx="263">
                  <formatCode>0.00%</formatCode>
                  <v>0.03416784642807368</v>
                </pt>
                <pt idx="264">
                  <formatCode>0.00%</formatCode>
                  <v>0.01654866398331798</v>
                </pt>
                <pt idx="265">
                  <formatCode>0.00%</formatCode>
                  <v>0.01826380087353821</v>
                </pt>
                <pt idx="266">
                  <formatCode>0.00%</formatCode>
                  <v>0.03707173835350482</v>
                </pt>
                <pt idx="267">
                  <formatCode>0.00%</formatCode>
                  <v>0.05250536995012318</v>
                </pt>
                <pt idx="268">
                  <formatCode>0.00%</formatCode>
                  <v>0.04826692659952807</v>
                </pt>
                <pt idx="269">
                  <formatCode>0.00%</formatCode>
                  <v>0.04819395981229695</v>
                </pt>
                <pt idx="270">
                  <formatCode>0.00%</formatCode>
                  <v>0.04264516129032258</v>
                </pt>
                <pt idx="271">
                  <formatCode>0.00%</formatCode>
                  <v>0.0527354367478896</v>
                </pt>
                <pt idx="272">
                  <formatCode>0.00%</formatCode>
                  <v>0.04978689085605022</v>
                </pt>
                <pt idx="273">
                  <formatCode>0.00%</formatCode>
                  <v>0.049655011277102</v>
                </pt>
                <pt idx="274">
                  <formatCode>0.00%</formatCode>
                  <v>0.04906248811470734</v>
                </pt>
                <pt idx="275">
                  <formatCode>0.00%</formatCode>
                  <v>0.03719308200636001</v>
                </pt>
                <pt idx="276">
                  <formatCode>0.00%</formatCode>
                  <v>0.040906868298966</v>
                </pt>
                <pt idx="277">
                  <formatCode>0.00%</formatCode>
                  <v>0.02526552566316711</v>
                </pt>
                <pt idx="278">
                  <formatCode>0.00%</formatCode>
                  <v>0.02948531671742714</v>
                </pt>
                <pt idx="279">
                  <formatCode>0.00%</formatCode>
                  <v>0.02184029443235066</v>
                </pt>
                <pt idx="280">
                  <formatCode>0.00%</formatCode>
                  <v>0.02699144476846556</v>
                </pt>
                <pt idx="281">
                  <formatCode>0.00%</formatCode>
                  <v>0.02563725816560562</v>
                </pt>
                <pt idx="282">
                  <formatCode>0.00%</formatCode>
                  <v>0.03184621413691397</v>
                </pt>
                <pt idx="283">
                  <formatCode>0.00%</formatCode>
                  <v>0.02408347664673928</v>
                </pt>
                <pt idx="284">
                  <formatCode>0.00%</formatCode>
                  <v>0.02243397581297801</v>
                </pt>
                <pt idx="285">
                  <formatCode>0.00%</formatCode>
                  <v>0.01574066292494679</v>
                </pt>
                <pt idx="286">
                  <formatCode>0.00%</formatCode>
                  <v>0.01744507486495305</v>
                </pt>
                <pt idx="287">
                  <formatCode>0.00%</formatCode>
                  <v>0.02793113981298697</v>
                </pt>
                <pt idx="288">
                  <formatCode>0.00%</formatCode>
                  <v>0.02573585856849872</v>
                </pt>
                <pt idx="289">
                  <formatCode>0.00%</formatCode>
                  <v>0.03820821399720937</v>
                </pt>
                <pt idx="290">
                  <formatCode>0.00%</formatCode>
                  <v>0.0198018234414687</v>
                </pt>
                <pt idx="291">
                  <formatCode>0.00%</formatCode>
                  <v>0.02082059221112162</v>
                </pt>
                <pt idx="292">
                  <formatCode>0.00%</formatCode>
                  <v>0.01795839515192807</v>
                </pt>
                <pt idx="293">
                  <formatCode>0.00%</formatCode>
                  <v>0.0274967319091023</v>
                </pt>
                <pt idx="294">
                  <formatCode>0.00%</formatCode>
                  <v>0.01717739087559384</v>
                </pt>
                <pt idx="295">
                  <formatCode>0.00%</formatCode>
                  <v>0.01881901360113554</v>
                </pt>
                <pt idx="296">
                  <formatCode>0.00%</formatCode>
                  <v>0.02950908126089729</v>
                </pt>
                <pt idx="297">
                  <formatCode>0.00%</formatCode>
                  <v>0.03448191041411836</v>
                </pt>
                <pt idx="298">
                  <formatCode>0.00%</formatCode>
                  <v>0.02932340371514408</v>
                </pt>
                <pt idx="299">
                  <formatCode>0.00%</formatCode>
                  <v>0.03912502577954002</v>
                </pt>
                <pt idx="300">
                  <formatCode>0.00%</formatCode>
                  <v>0.0575614463860455</v>
                </pt>
                <pt idx="301">
                  <formatCode>0.00%</formatCode>
                  <v>0.04656791771755973</v>
                </pt>
                <pt idx="302">
                  <formatCode>0.00%</formatCode>
                  <v>0.04745545437205857</v>
                </pt>
                <pt idx="303">
                  <formatCode>0.00%</formatCode>
                  <v>0.0481756181675491</v>
                </pt>
                <pt idx="304">
                  <formatCode>0.00%</formatCode>
                  <v>0.03865384149657318</v>
                </pt>
                <pt idx="305">
                  <formatCode>0.00%</formatCode>
                  <v>0.03186733706876269</v>
                </pt>
                <pt idx="306">
                  <formatCode>0.00%</formatCode>
                  <v>0.03419385689674372</v>
                </pt>
                <pt idx="307">
                  <formatCode>0.00%</formatCode>
                  <v>0.03464259628696951</v>
                </pt>
                <pt idx="308">
                  <formatCode>0.00%</formatCode>
                  <v>0.04873294769145473</v>
                </pt>
                <pt idx="309">
                  <formatCode>0.00%</formatCode>
                  <v>0.04813763615651163</v>
                </pt>
                <pt idx="310">
                  <formatCode>0.00%</formatCode>
                  <v>0.05990558077344146</v>
                </pt>
                <pt idx="311">
                  <formatCode>0.00%</formatCode>
                  <v>0.05281893030462118</v>
                </pt>
                <pt idx="312">
                  <formatCode>0.00%</formatCode>
                  <v>0.03771926859769494</v>
                </pt>
                <pt idx="313">
                  <formatCode>0.00%</formatCode>
                  <v>0.04427829172474972</v>
                </pt>
                <pt idx="314">
                  <formatCode>0.00%</formatCode>
                  <v>0.04498150473339078</v>
                </pt>
                <pt idx="315">
                  <formatCode>0.00%</formatCode>
                  <v>0.04333979419450496</v>
                </pt>
                <pt idx="316">
                  <formatCode>0.00%</formatCode>
                  <v>0.06126528293568025</v>
                </pt>
                <pt idx="317">
                  <formatCode>0.00%</formatCode>
                  <v>0.05375209012447853</v>
                </pt>
                <pt idx="318">
                  <formatCode>0.00%</formatCode>
                  <v>0.06114176046212606</v>
                </pt>
                <pt idx="319">
                  <formatCode>0.00%</formatCode>
                  <v>0.0589176135405779</v>
                </pt>
                <pt idx="320">
                  <formatCode>0.00%</formatCode>
                  <v>0.03360915903792104</v>
                </pt>
                <pt idx="321">
                  <formatCode>0.00%</formatCode>
                  <v>0.04348498597591156</v>
                </pt>
                <pt idx="322">
                  <formatCode>0.00%</formatCode>
                  <v>0.0355187575783556</v>
                </pt>
                <pt idx="323">
                  <formatCode>0.00%</formatCode>
                  <v>0.01014327065748826</v>
                </pt>
                <pt idx="324">
                  <formatCode>0.00%</formatCode>
                  <v>0.02047234797902485</v>
                </pt>
                <pt idx="325">
                  <formatCode>0.00%</formatCode>
                  <v>0.01742027086063783</v>
                </pt>
                <pt idx="326">
                  <formatCode>0.00%</formatCode>
                  <v>0.03247036129735557</v>
                </pt>
                <pt idx="327">
                  <formatCode>0.00%</formatCode>
                  <v>0.03169889586525594</v>
                </pt>
                <pt idx="328">
                  <formatCode>0.00%</formatCode>
                  <v>0.02439126691979364</v>
                </pt>
                <pt idx="329">
                  <formatCode>0.00%</formatCode>
                  <v>0.0292076391059393</v>
                </pt>
                <pt idx="330">
                  <formatCode>0.00%</formatCode>
                  <v>0.03198194971706898</v>
                </pt>
                <pt idx="331">
                  <formatCode>0.00%</formatCode>
                  <v>0.03712415647269768</v>
                </pt>
                <pt idx="332">
                  <formatCode>0.00%</formatCode>
                  <v>0.03443832189851314</v>
                </pt>
                <pt idx="333">
                  <formatCode>0.00%</formatCode>
                  <v>0.02678841421837479</v>
                </pt>
                <pt idx="334">
                  <formatCode>0.00%</formatCode>
                  <v>0.02856793657176876</v>
                </pt>
                <pt idx="335">
                  <formatCode>0.00%</formatCode>
                  <v>0.05531809863224812</v>
                </pt>
                <pt idx="336">
                  <formatCode>0.00%</formatCode>
                  <v>0.04539751249239485</v>
                </pt>
                <pt idx="337">
                  <formatCode>0.00%</formatCode>
                  <v>0.04599462862572733</v>
                </pt>
                <pt idx="338">
                  <formatCode>0.00%</formatCode>
                  <v>-0.05770166734700286</v>
                </pt>
                <pt idx="339">
                  <formatCode>0.00%</formatCode>
                  <v>-0.2024856622783213</v>
                </pt>
                <pt idx="340">
                  <formatCode>0.00%</formatCode>
                  <v>-0.05813606612034324</v>
                </pt>
                <pt idx="341">
                  <formatCode>0.00%</formatCode>
                  <v>0.02219025334148345</v>
                </pt>
                <pt idx="342">
                  <formatCode>0.00%</formatCode>
                  <v>0.03358011837970193</v>
                </pt>
                <pt idx="343">
                  <formatCode>0.00%</formatCode>
                  <v>0.03630376968213095</v>
                </pt>
                <pt idx="344">
                  <formatCode>0.00%</formatCode>
                  <v>0.06589216907610743</v>
                </pt>
                <pt idx="345">
                  <formatCode>0.00%</formatCode>
                  <v>0.05876589691618593</v>
                </pt>
                <pt idx="346">
                  <formatCode>0.00%</formatCode>
                  <v>0.04227884103079111</v>
                </pt>
                <pt idx="347">
                  <formatCode>0.00%</formatCode>
                  <v>0.03239951093642744</v>
                </pt>
                <pt idx="348">
                  <formatCode>0.00%</formatCode>
                  <v>0.09304034056974066</v>
                </pt>
                <pt idx="349">
                  <formatCode>0.00%</formatCode>
                  <v>0.06939149406850205</v>
                </pt>
                <pt idx="350">
                  <formatCode>0.00%</formatCode>
                  <v>0.3031990003124024</v>
                </pt>
                <pt idx="351">
                  <formatCode>0.00%</formatCode>
                  <v>0.537409250046066</v>
                </pt>
                <pt idx="352">
                  <formatCode>0.00%</formatCode>
                  <v>0.289515304326945</v>
                </pt>
                <pt idx="353">
                  <formatCode>0.00%</formatCode>
                  <v>0.1976564151493164</v>
                </pt>
                <pt idx="354">
                  <formatCode>0.00%</formatCode>
                  <v>0.1546894440641165</v>
                </pt>
                <pt idx="355">
                  <formatCode>0.00%</formatCode>
                  <v>0.1571717418595092</v>
                </pt>
                <pt idx="356">
                  <formatCode>0.00%</formatCode>
                  <v>0.1444033116434819</v>
                </pt>
                <pt idx="357">
                  <formatCode>0.00%</formatCode>
                  <v>0.164485345851006</v>
                </pt>
                <pt idx="358">
                  <formatCode>0.00%</formatCode>
                  <v>0.1906500880783474</v>
                </pt>
                <pt idx="359">
                  <formatCode>0.00%</formatCode>
                  <v>0.1684360392086079</v>
                </pt>
                <pt idx="360">
                  <formatCode>0.00%</formatCode>
                  <v>0.1374510755522658</v>
                </pt>
                <pt idx="361">
                  <formatCode>0.00%</formatCode>
                  <v>0.1770703376305791</v>
                </pt>
                <pt idx="362">
                  <formatCode>0.00%</formatCode>
                  <v>0.07068053204971465</v>
                </pt>
                <pt idx="363">
                  <formatCode>0.00%</formatCode>
                  <v>0.07823236875243703</v>
                </pt>
                <pt idx="364">
                  <formatCode>0.00%</formatCode>
                  <v>0.08699979612181961</v>
                </pt>
                <pt idx="365">
                  <formatCode>0.00%</formatCode>
                  <v>0.08777972303186135</v>
                </pt>
                <pt idx="366">
                  <formatCode>0.00%</formatCode>
                  <v>0.1003111399742171</v>
                </pt>
                <pt idx="367">
                  <formatCode>0.00%</formatCode>
                  <v>0.09716095192835415</v>
                </pt>
                <pt idx="368">
                  <formatCode>0.00%</formatCode>
                  <v>0.08387920128316573</v>
                </pt>
                <pt idx="369">
                  <formatCode>0.00%</formatCode>
                  <v>0.0826791814202122</v>
                </pt>
                <pt idx="370">
                  <formatCode>0.00%</formatCode>
                  <v>0.06475052353918667</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5320"/>
        <crosses val="autoZero"/>
        <lblOffset val="100"/>
        <baseTimeUnit val="months"/>
        <majorUnit val="3"/>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a:prstDash val="solid"/>
            </a:ln>
          </spPr>
          <marker>
            <symbol val="none"/>
            <spPr>
              <a:ln xmlns:a="http://schemas.openxmlformats.org/drawingml/2006/main">
                <a:prstDash val="solid"/>
              </a:ln>
            </spPr>
          </marker>
          <cat>
            <numRef>
              <f>'Retail Sales'!$A$7:$A$385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'Retail Sales'!$B$7:$B$385</f>
              <numCache>
                <formatCode>#,##0</formatCode>
                <ptCount val="379"/>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346043</v>
                </pt>
                <pt idx="217">
                  <v>346835</v>
                </pt>
                <pt idx="218">
                  <v>354360</v>
                </pt>
                <pt idx="219">
                  <v>357461</v>
                </pt>
                <pt idx="220">
                  <v>354255</v>
                </pt>
                <pt idx="221">
                  <v>353766</v>
                </pt>
                <pt idx="222">
                  <v>354844</v>
                </pt>
                <pt idx="223">
                  <v>356610</v>
                </pt>
                <pt idx="224">
                  <v>359646</v>
                </pt>
                <pt idx="225">
                  <v>363577</v>
                </pt>
                <pt idx="226">
                  <v>367198</v>
                </pt>
                <pt idx="227">
                  <v>369229</v>
                </pt>
                <pt idx="228">
                  <v>372025</v>
                </pt>
                <pt idx="229">
                  <v>375064</v>
                </pt>
                <pt idx="230">
                  <v>378576</v>
                </pt>
                <pt idx="231">
                  <v>380337</v>
                </pt>
                <pt idx="232">
                  <v>380219</v>
                </pt>
                <pt idx="233">
                  <v>383327</v>
                </pt>
                <pt idx="234">
                  <v>382954</v>
                </pt>
                <pt idx="235">
                  <v>383839</v>
                </pt>
                <pt idx="236">
                  <v>387758</v>
                </pt>
                <pt idx="237">
                  <v>390104</v>
                </pt>
                <pt idx="238">
                  <v>391393</v>
                </pt>
                <pt idx="239">
                  <v>391585</v>
                </pt>
                <pt idx="240">
                  <v>395641</v>
                </pt>
                <pt idx="241">
                  <v>400385</v>
                </pt>
                <pt idx="242">
                  <v>401654</v>
                </pt>
                <pt idx="243">
                  <v>400237</v>
                </pt>
                <pt idx="244">
                  <v>399367</v>
                </pt>
                <pt idx="245">
                  <v>395553</v>
                </pt>
                <pt idx="246">
                  <v>397650</v>
                </pt>
                <pt idx="247">
                  <v>402287</v>
                </pt>
                <pt idx="248">
                  <v>405455</v>
                </pt>
                <pt idx="249">
                  <v>405572</v>
                </pt>
                <pt idx="250">
                  <v>407386</v>
                </pt>
                <pt idx="251">
                  <v>408981</v>
                </pt>
                <pt idx="252">
                  <v>412420</v>
                </pt>
                <pt idx="253">
                  <v>417383</v>
                </pt>
                <pt idx="254">
                  <v>414116</v>
                </pt>
                <pt idx="255">
                  <v>412015</v>
                </pt>
                <pt idx="256">
                  <v>414466</v>
                </pt>
                <pt idx="257">
                  <v>415550</v>
                </pt>
                <pt idx="258">
                  <v>418500</v>
                </pt>
                <pt idx="259">
                  <v>417575</v>
                </pt>
                <pt idx="260">
                  <v>417861</v>
                </pt>
                <pt idx="261">
                  <v>419434</v>
                </pt>
                <pt idx="262">
                  <v>420688</v>
                </pt>
                <pt idx="263">
                  <v>422955</v>
                </pt>
                <pt idx="264">
                  <v>419245</v>
                </pt>
                <pt idx="265">
                  <v>425006</v>
                </pt>
                <pt idx="266">
                  <v>429468</v>
                </pt>
                <pt idx="267">
                  <v>433648</v>
                </pt>
                <pt idx="268">
                  <v>434471</v>
                </pt>
                <pt idx="269">
                  <v>435577</v>
                </pt>
                <pt idx="270">
                  <v>436347</v>
                </pt>
                <pt idx="271">
                  <v>439596</v>
                </pt>
                <pt idx="272">
                  <v>438665</v>
                </pt>
                <pt idx="273">
                  <v>440261</v>
                </pt>
                <pt idx="274">
                  <v>441328</v>
                </pt>
                <pt idx="275">
                  <v>438686</v>
                </pt>
                <pt idx="276">
                  <v>436395</v>
                </pt>
                <pt idx="277">
                  <v>435744</v>
                </pt>
                <pt idx="278">
                  <v>442131</v>
                </pt>
                <pt idx="279">
                  <v>443119</v>
                </pt>
                <pt idx="280">
                  <v>446198</v>
                </pt>
                <pt idx="281">
                  <v>446744</v>
                </pt>
                <pt idx="282">
                  <v>450243</v>
                </pt>
                <pt idx="283">
                  <v>450183</v>
                </pt>
                <pt idx="284">
                  <v>448506</v>
                </pt>
                <pt idx="285">
                  <v>447191</v>
                </pt>
                <pt idx="286">
                  <v>449027</v>
                </pt>
                <pt idx="287">
                  <v>450939</v>
                </pt>
                <pt idx="288">
                  <v>447626</v>
                </pt>
                <pt idx="289">
                  <v>452393</v>
                </pt>
                <pt idx="290">
                  <v>450886</v>
                </pt>
                <pt idx="291">
                  <v>452345</v>
                </pt>
                <pt idx="292">
                  <v>454211</v>
                </pt>
                <pt idx="293">
                  <v>459028</v>
                </pt>
                <pt idx="294">
                  <v>457977</v>
                </pt>
                <pt idx="295">
                  <v>458655</v>
                </pt>
                <pt idx="296">
                  <v>461741</v>
                </pt>
                <pt idx="297">
                  <v>462611</v>
                </pt>
                <pt idx="298">
                  <v>462194</v>
                </pt>
                <pt idx="299">
                  <v>468582</v>
                </pt>
                <pt idx="300">
                  <v>473392</v>
                </pt>
                <pt idx="301">
                  <v>473460</v>
                </pt>
                <pt idx="302">
                  <v>472283</v>
                </pt>
                <pt idx="303">
                  <v>474137</v>
                </pt>
                <pt idx="304">
                  <v>471768</v>
                </pt>
                <pt idx="305">
                  <v>473656</v>
                </pt>
                <pt idx="306">
                  <v>473637</v>
                </pt>
                <pt idx="307">
                  <v>474544</v>
                </pt>
                <pt idx="308">
                  <v>484243</v>
                </pt>
                <pt idx="309">
                  <v>484880</v>
                </pt>
                <pt idx="310">
                  <v>489882</v>
                </pt>
                <pt idx="311">
                  <v>493332</v>
                </pt>
                <pt idx="312">
                  <v>491248</v>
                </pt>
                <pt idx="313">
                  <v>494424</v>
                </pt>
                <pt idx="314">
                  <v>493527</v>
                </pt>
                <pt idx="315">
                  <v>494686</v>
                </pt>
                <pt idx="316">
                  <v>500671</v>
                </pt>
                <pt idx="317">
                  <v>499116</v>
                </pt>
                <pt idx="318">
                  <v>502596</v>
                </pt>
                <pt idx="319">
                  <v>502503</v>
                </pt>
                <pt idx="320">
                  <v>500518</v>
                </pt>
                <pt idx="321">
                  <v>505965</v>
                </pt>
                <pt idx="322">
                  <v>507282</v>
                </pt>
                <pt idx="323">
                  <v>498336</v>
                </pt>
                <pt idx="324">
                  <v>501305</v>
                </pt>
                <pt idx="325">
                  <v>503037</v>
                </pt>
                <pt idx="326">
                  <v>509552</v>
                </pt>
                <pt idx="327">
                  <v>510367</v>
                </pt>
                <pt idx="328">
                  <v>512883</v>
                </pt>
                <pt idx="329">
                  <v>513694</v>
                </pt>
                <pt idx="330">
                  <v>518670</v>
                </pt>
                <pt idx="331">
                  <v>521158</v>
                </pt>
                <pt idx="332">
                  <v>517755</v>
                </pt>
                <pt idx="333">
                  <v>519519</v>
                </pt>
                <pt idx="334">
                  <v>521774</v>
                </pt>
                <pt idx="335">
                  <v>525903</v>
                </pt>
                <pt idx="336">
                  <v>524063</v>
                </pt>
                <pt idx="337">
                  <v>526174</v>
                </pt>
                <pt idx="338">
                  <v>480150</v>
                </pt>
                <pt idx="339">
                  <v>407025</v>
                </pt>
                <pt idx="340">
                  <v>483066</v>
                </pt>
                <pt idx="341">
                  <v>525093</v>
                </pt>
                <pt idx="342">
                  <v>536087</v>
                </pt>
                <pt idx="343">
                  <v>540078</v>
                </pt>
                <pt idx="344">
                  <v>551871</v>
                </pt>
                <pt idx="345">
                  <v>550049</v>
                </pt>
                <pt idx="346">
                  <v>543834</v>
                </pt>
                <pt idx="347">
                  <v>542942</v>
                </pt>
                <pt idx="348">
                  <v>572822</v>
                </pt>
                <pt idx="349">
                  <v>562686</v>
                </pt>
                <pt idx="350">
                  <v>625731</v>
                </pt>
                <pt idx="351">
                  <v>625764</v>
                </pt>
                <pt idx="352">
                  <v>622921</v>
                </pt>
                <pt idx="353">
                  <v>628881</v>
                </pt>
                <pt idx="354">
                  <v>619014</v>
                </pt>
                <pt idx="355">
                  <v>624963</v>
                </pt>
                <pt idx="356">
                  <v>631563</v>
                </pt>
                <pt idx="357">
                  <v>640524</v>
                </pt>
                <pt idx="358">
                  <v>647516</v>
                </pt>
                <pt idx="359">
                  <v>634393</v>
                </pt>
                <pt idx="360">
                  <v>651557</v>
                </pt>
                <pt idx="361">
                  <v>662321</v>
                </pt>
                <pt idx="362">
                  <v>669958</v>
                </pt>
                <pt idx="363">
                  <v>674719</v>
                </pt>
                <pt idx="364">
                  <v>677115</v>
                </pt>
                <pt idx="365">
                  <v>684084</v>
                </pt>
                <pt idx="366">
                  <v>681108</v>
                </pt>
                <pt idx="367">
                  <v>685685</v>
                </pt>
                <pt idx="368">
                  <v>684538</v>
                </pt>
                <pt idx="369">
                  <v>693482</v>
                </pt>
                <pt idx="370">
                  <v>689443</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Auto'!$A$19:$A$382</f>
              <numCache>
                <formatCode>[$-409]mmm\-yy;@</formatCode>
                <ptCount val="36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numCache>
            </numRef>
          </cat>
          <val>
            <numRef>
              <f>'Retail Sales ex Auto'!$C$19:$C$382</f>
              <numCache>
                <formatCode>0.00%</formatCode>
                <ptCount val="364"/>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0.0008719934392874568</v>
                </pt>
                <pt idx="205">
                  <v>0.006178153468512852</v>
                </pt>
                <pt idx="206">
                  <v>0.008353033343412409</v>
                </pt>
                <pt idx="207">
                  <v>0.007411496508929576</v>
                </pt>
                <pt idx="208">
                  <v>-0.009991949614055027</v>
                </pt>
                <pt idx="209">
                  <v>-0.001171912369654645</v>
                </pt>
                <pt idx="210">
                  <v>-0.0006020366626644911</v>
                </pt>
                <pt idx="211">
                  <v>0.006503174576010132</v>
                </pt>
                <pt idx="212">
                  <v>0.007892812813493615</v>
                </pt>
                <pt idx="213">
                  <v>0.007675801151201474</v>
                </pt>
                <pt idx="214">
                  <v>0.01057051305660933</v>
                </pt>
                <pt idx="215">
                  <v>0.007007534341888158</v>
                </pt>
                <pt idx="216">
                  <v>0.006165832601264094</v>
                </pt>
                <pt idx="217">
                  <v>0.006546612732867462</v>
                </pt>
                <pt idx="218">
                  <v>0.01035057454460396</v>
                </pt>
                <pt idx="219">
                  <v>0.008623932860656923</v>
                </pt>
                <pt idx="220">
                  <v>0.002190151015216289</v>
                </pt>
                <pt idx="221">
                  <v>0.006801033197185428</v>
                </pt>
                <pt idx="222">
                  <v>-0.0002654011665013175</v>
                </pt>
                <pt idx="223">
                  <v>0.005107168365895746</v>
                </pt>
                <pt idx="224">
                  <v>0.002855040656030487</v>
                </pt>
                <pt idx="225">
                  <v>0.004019539602811797</v>
                </pt>
                <pt idx="226">
                  <v>0.002954182072549215</v>
                </pt>
                <pt idx="227">
                  <v>-0.003129183921287792</v>
                </pt>
                <pt idx="228">
                  <v>0.01173145097059329</v>
                </pt>
                <pt idx="229">
                  <v>0.01175286566786346</v>
                </pt>
                <pt idx="230">
                  <v>0.004070448664746375</v>
                </pt>
                <pt idx="231">
                  <v>-0.005552145188444731</v>
                </pt>
                <pt idx="232">
                  <v>-0.004626644460403074</v>
                </pt>
                <pt idx="233">
                  <v>-0.007650719480782633</v>
                </pt>
                <pt idx="234">
                  <v>0.003786788932923717</v>
                </pt>
                <pt idx="235">
                  <v>0.01189078233210974</v>
                </pt>
                <pt idx="236">
                  <v>0.006155748665137629</v>
                </pt>
                <pt idx="237">
                  <v>0.001271448118862235</v>
                </pt>
                <pt idx="238">
                  <v>0.002198021478328173</v>
                </pt>
                <pt idx="239">
                  <v>0.00213286512871102</v>
                </pt>
                <pt idx="240">
                  <v>0.007607183927076999</v>
                </pt>
                <pt idx="241">
                  <v>0.01127831903750377</v>
                </pt>
                <pt idx="242">
                  <v>-0.006901278627307319</v>
                </pt>
                <pt idx="243">
                  <v>-0.007294319236535853</v>
                </pt>
                <pt idx="244">
                  <v>0.00298172010788133</v>
                </pt>
                <pt idx="245">
                  <v>-0.001356458865534293</v>
                </pt>
                <pt idx="246">
                  <v>0.007644184884559345</v>
                </pt>
                <pt idx="247">
                  <v>-0.00152911554769059</v>
                </pt>
                <pt idx="248">
                  <v>0.004166158658978652</v>
                </pt>
                <pt idx="249">
                  <v>0.0007995688251076457</v>
                </pt>
                <pt idx="250">
                  <v>0.002760747088343907</v>
                </pt>
                <pt idx="251">
                  <v>0.007740088820691385</v>
                </pt>
                <pt idx="252">
                  <v>-0.004193166777937852</v>
                </pt>
                <pt idx="253">
                  <v>0.009936014302685281</v>
                </pt>
                <pt idx="254">
                  <v>0.004673101279643621</v>
                </pt>
                <pt idx="255">
                  <v>0.008094244479221005</v>
                </pt>
                <pt idx="256">
                  <v>0.002095712844218678</v>
                </pt>
                <pt idx="257">
                  <v>0.002051167300663832</v>
                </pt>
                <pt idx="258">
                  <v>0.001574591250425855</v>
                </pt>
                <pt idx="259">
                  <v>0.007083096324964913</v>
                </pt>
                <pt idx="260">
                  <v>-0.0001873270417937983</v>
                </pt>
                <pt idx="261">
                  <v>0.003153929353118018</v>
                </pt>
                <pt idx="262">
                  <v>0.0007103036477346691</v>
                </pt>
                <pt idx="263">
                  <v>-0.006719057974498121</v>
                </pt>
                <pt idx="264">
                  <v>-0.009244259704764481</v>
                </pt>
                <pt idx="265">
                  <v>0.00116092621221961</v>
                </pt>
                <pt idx="266">
                  <v>0.007534399917336869</v>
                </pt>
                <pt idx="267">
                  <v>0.0009999230828397815</v>
                </pt>
                <pt idx="268">
                  <v>0.007234374377451064</v>
                </pt>
                <pt idx="269">
                  <v>0.001522943037974684</v>
                </pt>
                <pt idx="270">
                  <v>0.00917454486978748</v>
                </pt>
                <pt idx="271">
                  <v>-0.001705287229075986</v>
                </pt>
                <pt idx="272">
                  <v>-0.006048708908684097</v>
                </pt>
                <pt idx="273">
                  <v>-0.001465032216621917</v>
                </pt>
                <pt idx="274">
                  <v>0.001746510505867316</v>
                </pt>
                <pt idx="275">
                  <v>0.00692598017124831</v>
                </pt>
                <pt idx="276">
                  <v>-0.008209813174302586</v>
                </pt>
                <pt idx="277">
                  <v>0.006452995792014982</v>
                </pt>
                <pt idx="278">
                  <v>0.001398338807124522</v>
                </pt>
                <pt idx="279">
                  <v>0.003584710830527969</v>
                </pt>
                <pt idx="280">
                  <v>0.004129581297820607</v>
                </pt>
                <pt idx="281">
                  <v>0.01161857528053694</v>
                </pt>
                <pt idx="282">
                  <v>-0.006162554179694041</v>
                </pt>
                <pt idx="283">
                  <v>0.0007512732977583331</v>
                </pt>
                <pt idx="284">
                  <v>0.005950475265232223</v>
                </pt>
                <pt idx="285">
                  <v>0.003281387181738367</v>
                </pt>
                <pt idx="286">
                  <v>-0.0002844047736247389</v>
                </pt>
                <pt idx="287">
                  <v>0.01000623680150559</v>
                </pt>
                <pt idx="288">
                  <v>0.01281586003304174</v>
                </pt>
                <pt idx="289">
                  <v>0.001502826490392072</v>
                </pt>
                <pt idx="290">
                  <v>0.002349649154660315</v>
                </pt>
                <pt idx="291">
                  <v>0.00362276374252805</v>
                </pt>
                <pt idx="292">
                  <v>-0.007434362094042956</v>
                </pt>
                <pt idx="293">
                  <v>0.00260186168150325</v>
                </pt>
                <pt idx="294">
                  <v>-0.0001946998954488233</v>
                </pt>
                <pt idx="295">
                  <v>0.008042938353478472</v>
                </pt>
                <pt idx="296">
                  <v>0.01455760854032254</v>
                </pt>
                <pt idx="297">
                  <v>4.173415862632017e-05</v>
                </pt>
                <pt idx="298">
                  <v>0.01516190873642066</v>
                </pt>
                <pt idx="299">
                  <v>0.009550163408768577</v>
                </pt>
                <pt idx="300">
                  <v>-0.004721002735891073</v>
                </pt>
                <pt idx="301">
                  <v>0.00874779451249137</v>
                </pt>
                <pt idx="302">
                  <v>-0.002271281220610863</v>
                </pt>
                <pt idx="303">
                  <v>0.001864861088174392</v>
                </pt>
                <pt idx="304">
                  <v>0.01442450339690969</v>
                </pt>
                <pt idx="305">
                  <v>-0.003219863155815878</v>
                </pt>
                <pt idx="306">
                  <v>0.007443652204881009</v>
                </pt>
                <pt idx="307">
                  <v>0.001787416883870181</v>
                </pt>
                <pt idx="308">
                  <v>-0.003245405862107526</v>
                </pt>
                <pt idx="309">
                  <v>0.01193441184316483</v>
                </pt>
                <pt idx="310">
                  <v>0.0007292508425803654</v>
                </pt>
                <pt idx="311">
                  <v>-0.0243013156339859</v>
                </pt>
                <pt idx="312">
                  <v>0.01346888002402093</v>
                </pt>
                <pt idx="313">
                  <v>0.001060601156702576</v>
                </pt>
                <pt idx="314">
                  <v>0.009687006478729622</v>
                </pt>
                <pt idx="315">
                  <v>0.005273658800926154</v>
                </pt>
                <pt idx="316">
                  <v>0.004618728269312288</v>
                </pt>
                <pt idx="317">
                  <v>0.001975580845158364</v>
                </pt>
                <pt idx="318">
                  <v>0.01097571662252687</v>
                </pt>
                <pt idx="319">
                  <v>0.0002431830494191296</v>
                </pt>
                <pt idx="320">
                  <v>-0.002782685725014804</v>
                </pt>
                <pt idx="321">
                  <v>0.004608105824703695</v>
                </pt>
                <pt idx="322">
                  <v>-0.0002979487191809294</v>
                </pt>
                <pt idx="323">
                  <v>0.01465671605917487</v>
                </pt>
                <pt idx="324">
                  <v>-0.002416185600955104</v>
                </pt>
                <pt idx="325">
                  <v>0.003671049288467064</v>
                </pt>
                <pt idx="326">
                  <v>-0.04420848918446386</v>
                </pt>
                <pt idx="327">
                  <v>-0.1564606317436193</v>
                </pt>
                <pt idx="328">
                  <v>0.1300501197239307</v>
                </pt>
                <pt idx="329">
                  <v>0.08576666502208501</v>
                </pt>
                <pt idx="330">
                  <v>0.02899323658557585</v>
                </pt>
                <pt idx="331">
                  <v>0.006015037593984963</v>
                </pt>
                <pt idx="332">
                  <v>0.01848245206691572</v>
                </pt>
                <pt idx="333">
                  <v>-0.002849086863123606</v>
                </pt>
                <pt idx="334">
                  <v>-0.01064635669389677</v>
                </pt>
                <pt idx="335">
                  <v>-0.007015292924694245</v>
                </pt>
                <pt idx="336">
                  <v>0.0600524248823682</v>
                </pt>
                <pt idx="337">
                  <v>-0.01502872496122676</v>
                </pt>
                <pt idx="338">
                  <v>0.0969506109866714</v>
                </pt>
                <pt idx="339">
                  <v>-0.004688390824582614</v>
                </pt>
                <pt idx="340">
                  <v>-0.001074532761061695</v>
                </pt>
                <pt idx="341">
                  <v>0.02038724790454229</v>
                </pt>
                <pt idx="342">
                  <v>-0.01019920128177535</v>
                </pt>
                <pt idx="343">
                  <v>0.01743757625542093</v>
                </pt>
                <pt idx="344">
                  <v>0.01013956746552369</v>
                </pt>
                <pt idx="345">
                  <v>0.01441022114870384</v>
                </pt>
                <pt idx="346">
                  <v>0.009199983778366134</v>
                </pt>
                <pt idx="347">
                  <v>-0.0172314486854921</v>
                </pt>
                <pt idx="348">
                  <v>0.01617061212727761</v>
                </pt>
                <pt idx="349">
                  <v>0.01724881249149727</v>
                </pt>
                <pt idx="350">
                  <v>0.01985899230165024</v>
                </pt>
                <pt idx="351">
                  <v>0.004565636566463996</v>
                </pt>
                <pt idx="352">
                  <v>0.01253336961397883</v>
                </pt>
                <pt idx="353">
                  <v>0.01135775568568705</v>
                </pt>
                <pt idx="354">
                  <v>-0.0007630435563215915</v>
                </pt>
                <pt idx="355">
                  <v>0.001762629030374357</v>
                </pt>
                <pt idx="356">
                  <v>-0.0008053291626011593</v>
                </pt>
                <pt idx="357">
                  <v>0.01240919281907494</v>
                </pt>
                <pt idx="358">
                  <v>-0.001895390070921986</v>
                </pt>
              </numCache>
            </numRef>
          </val>
        </ser>
        <dLbls>
          <showLegendKey val="0"/>
          <showVal val="0"/>
          <showCatName val="0"/>
          <showSerName val="0"/>
          <showPercent val="0"/>
          <showBubbleSize val="0"/>
        </dLbls>
        <gapWidth val="219"/>
        <overlap val="-27"/>
        <axId val="986129336"/>
        <axId val="986131632"/>
      </barChart>
      <dateAx>
        <axId val="98612933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a:prstDash val="solid"/>
            </a:ln>
          </spPr>
          <marker>
            <symbol val="none"/>
            <spPr>
              <a:ln xmlns:a="http://schemas.openxmlformats.org/drawingml/2006/main">
                <a:prstDash val="solid"/>
              </a:ln>
            </spPr>
          </marker>
          <cat>
            <numRef>
              <f>'Retail Sales ex Auto'!$A$7:$A$384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'Retail Sales ex Auto'!$B$7:$B$384</f>
              <numCache>
                <formatCode>#,##0</formatCode>
                <ptCount val="378"/>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289245</v>
                </pt>
                <pt idx="217">
                  <v>291032</v>
                </pt>
                <pt idx="218">
                  <v>293463</v>
                </pt>
                <pt idx="219">
                  <v>295638</v>
                </pt>
                <pt idx="220">
                  <v>292684</v>
                </pt>
                <pt idx="221">
                  <v>292341</v>
                </pt>
                <pt idx="222">
                  <v>292165</v>
                </pt>
                <pt idx="223">
                  <v>294065</v>
                </pt>
                <pt idx="224">
                  <v>296386</v>
                </pt>
                <pt idx="225">
                  <v>298661</v>
                </pt>
                <pt idx="226">
                  <v>301818</v>
                </pt>
                <pt idx="227">
                  <v>303933</v>
                </pt>
                <pt idx="228">
                  <v>305807</v>
                </pt>
                <pt idx="229">
                  <v>307809</v>
                </pt>
                <pt idx="230">
                  <v>310995</v>
                </pt>
                <pt idx="231">
                  <v>313677</v>
                </pt>
                <pt idx="232">
                  <v>314364</v>
                </pt>
                <pt idx="233">
                  <v>316502</v>
                </pt>
                <pt idx="234">
                  <v>316418</v>
                </pt>
                <pt idx="235">
                  <v>318034</v>
                </pt>
                <pt idx="236">
                  <v>318942</v>
                </pt>
                <pt idx="237">
                  <v>320224</v>
                </pt>
                <pt idx="238">
                  <v>321170</v>
                </pt>
                <pt idx="239">
                  <v>320165</v>
                </pt>
                <pt idx="240">
                  <v>323921</v>
                </pt>
                <pt idx="241">
                  <v>327728</v>
                </pt>
                <pt idx="242">
                  <v>329062</v>
                </pt>
                <pt idx="243">
                  <v>327235</v>
                </pt>
                <pt idx="244">
                  <v>325721</v>
                </pt>
                <pt idx="245">
                  <v>323229</v>
                </pt>
                <pt idx="246">
                  <v>324453</v>
                </pt>
                <pt idx="247">
                  <v>328311</v>
                </pt>
                <pt idx="248">
                  <v>330332</v>
                </pt>
                <pt idx="249">
                  <v>330752</v>
                </pt>
                <pt idx="250">
                  <v>331479</v>
                </pt>
                <pt idx="251">
                  <v>332186</v>
                </pt>
                <pt idx="252">
                  <v>334713</v>
                </pt>
                <pt idx="253">
                  <v>338488</v>
                </pt>
                <pt idx="254">
                  <v>336152</v>
                </pt>
                <pt idx="255">
                  <v>333700</v>
                </pt>
                <pt idx="256">
                  <v>334695</v>
                </pt>
                <pt idx="257">
                  <v>334241</v>
                </pt>
                <pt idx="258">
                  <v>336796</v>
                </pt>
                <pt idx="259">
                  <v>336281</v>
                </pt>
                <pt idx="260">
                  <v>337682</v>
                </pt>
                <pt idx="261">
                  <v>337952</v>
                </pt>
                <pt idx="262">
                  <v>338885</v>
                </pt>
                <pt idx="263">
                  <v>341508</v>
                </pt>
                <pt idx="264">
                  <v>340076</v>
                </pt>
                <pt idx="265">
                  <v>343455</v>
                </pt>
                <pt idx="266">
                  <v>345060</v>
                </pt>
                <pt idx="267">
                  <v>347853</v>
                </pt>
                <pt idx="268">
                  <v>348582</v>
                </pt>
                <pt idx="269">
                  <v>349297</v>
                </pt>
                <pt idx="270">
                  <v>349847</v>
                </pt>
                <pt idx="271">
                  <v>352325</v>
                </pt>
                <pt idx="272">
                  <v>352259</v>
                </pt>
                <pt idx="273">
                  <v>353370</v>
                </pt>
                <pt idx="274">
                  <v>353621</v>
                </pt>
                <pt idx="275">
                  <v>351245</v>
                </pt>
                <pt idx="276">
                  <v>347998</v>
                </pt>
                <pt idx="277">
                  <v>348402</v>
                </pt>
                <pt idx="278">
                  <v>351027</v>
                </pt>
                <pt idx="279">
                  <v>351378</v>
                </pt>
                <pt idx="280">
                  <v>353920</v>
                </pt>
                <pt idx="281">
                  <v>354459</v>
                </pt>
                <pt idx="282">
                  <v>357711</v>
                </pt>
                <pt idx="283">
                  <v>357101</v>
                </pt>
                <pt idx="284">
                  <v>354941</v>
                </pt>
                <pt idx="285">
                  <v>354421</v>
                </pt>
                <pt idx="286">
                  <v>355040</v>
                </pt>
                <pt idx="287">
                  <v>357499</v>
                </pt>
                <pt idx="288">
                  <v>354564</v>
                </pt>
                <pt idx="289">
                  <v>356852</v>
                </pt>
                <pt idx="290">
                  <v>357351</v>
                </pt>
                <pt idx="291">
                  <v>358632</v>
                </pt>
                <pt idx="292">
                  <v>360113</v>
                </pt>
                <pt idx="293">
                  <v>364297</v>
                </pt>
                <pt idx="294">
                  <v>362052</v>
                </pt>
                <pt idx="295">
                  <v>362324</v>
                </pt>
                <pt idx="296">
                  <v>364480</v>
                </pt>
                <pt idx="297">
                  <v>365676</v>
                </pt>
                <pt idx="298">
                  <v>365572</v>
                </pt>
                <pt idx="299">
                  <v>369230</v>
                </pt>
                <pt idx="300">
                  <v>373962</v>
                </pt>
                <pt idx="301">
                  <v>374524</v>
                </pt>
                <pt idx="302">
                  <v>375404</v>
                </pt>
                <pt idx="303">
                  <v>376764</v>
                </pt>
                <pt idx="304">
                  <v>373963</v>
                </pt>
                <pt idx="305">
                  <v>374936</v>
                </pt>
                <pt idx="306">
                  <v>374863</v>
                </pt>
                <pt idx="307">
                  <v>377878</v>
                </pt>
                <pt idx="308">
                  <v>383379</v>
                </pt>
                <pt idx="309">
                  <v>383395</v>
                </pt>
                <pt idx="310">
                  <v>389208</v>
                </pt>
                <pt idx="311">
                  <v>392925</v>
                </pt>
                <pt idx="312">
                  <v>391070</v>
                </pt>
                <pt idx="313">
                  <v>394491</v>
                </pt>
                <pt idx="314">
                  <v>393595</v>
                </pt>
                <pt idx="315">
                  <v>394329</v>
                </pt>
                <pt idx="316">
                  <v>400017</v>
                </pt>
                <pt idx="317">
                  <v>398729</v>
                </pt>
                <pt idx="318">
                  <v>401697</v>
                </pt>
                <pt idx="319">
                  <v>402415</v>
                </pt>
                <pt idx="320">
                  <v>401109</v>
                </pt>
                <pt idx="321">
                  <v>405896</v>
                </pt>
                <pt idx="322">
                  <v>406192</v>
                </pt>
                <pt idx="323">
                  <v>396321</v>
                </pt>
                <pt idx="324">
                  <v>401659</v>
                </pt>
                <pt idx="325">
                  <v>402085</v>
                </pt>
                <pt idx="326">
                  <v>405980</v>
                </pt>
                <pt idx="327">
                  <v>408121</v>
                </pt>
                <pt idx="328">
                  <v>410006</v>
                </pt>
                <pt idx="329">
                  <v>410816</v>
                </pt>
                <pt idx="330">
                  <v>415325</v>
                </pt>
                <pt idx="331">
                  <v>415426</v>
                </pt>
                <pt idx="332">
                  <v>414270</v>
                </pt>
                <pt idx="333">
                  <v>416179</v>
                </pt>
                <pt idx="334">
                  <v>416055</v>
                </pt>
                <pt idx="335">
                  <v>422153</v>
                </pt>
                <pt idx="336">
                  <v>421133</v>
                </pt>
                <pt idx="337">
                  <v>422679</v>
                </pt>
                <pt idx="338">
                  <v>403993</v>
                </pt>
                <pt idx="339">
                  <v>340784</v>
                </pt>
                <pt idx="340">
                  <v>385103</v>
                </pt>
                <pt idx="341">
                  <v>418132</v>
                </pt>
                <pt idx="342">
                  <v>430255</v>
                </pt>
                <pt idx="343">
                  <v>432843</v>
                </pt>
                <pt idx="344">
                  <v>440843</v>
                </pt>
                <pt idx="345">
                  <v>439587</v>
                </pt>
                <pt idx="346">
                  <v>434907</v>
                </pt>
                <pt idx="347">
                  <v>431856</v>
                </pt>
                <pt idx="348">
                  <v>457790</v>
                </pt>
                <pt idx="349">
                  <v>450910</v>
                </pt>
                <pt idx="350">
                  <v>494626</v>
                </pt>
                <pt idx="351">
                  <v>492307</v>
                </pt>
                <pt idx="352">
                  <v>491778</v>
                </pt>
                <pt idx="353">
                  <v>501804</v>
                </pt>
                <pt idx="354">
                  <v>496686</v>
                </pt>
                <pt idx="355">
                  <v>505347</v>
                </pt>
                <pt idx="356">
                  <v>510471</v>
                </pt>
                <pt idx="357">
                  <v>517827</v>
                </pt>
                <pt idx="358">
                  <v>522591</v>
                </pt>
                <pt idx="359">
                  <v>513586</v>
                </pt>
                <pt idx="360">
                  <v>521891</v>
                </pt>
                <pt idx="361">
                  <v>530893</v>
                </pt>
                <pt idx="362">
                  <v>541436</v>
                </pt>
                <pt idx="363">
                  <v>543908</v>
                </pt>
                <pt idx="364">
                  <v>550725</v>
                </pt>
                <pt idx="365">
                  <v>556980</v>
                </pt>
                <pt idx="366">
                  <v>556555</v>
                </pt>
                <pt idx="367">
                  <v>557536</v>
                </pt>
                <pt idx="368">
                  <v>557087</v>
                </pt>
                <pt idx="369">
                  <v>564000</v>
                </pt>
                <pt idx="370">
                  <v>562931</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a:prstDash val="solid"/>
            </a:ln>
          </spPr>
          <marker>
            <symbol val="none"/>
            <spPr>
              <a:ln xmlns:a="http://schemas.openxmlformats.org/drawingml/2006/main">
                <a:prstDash val="solid"/>
              </a:ln>
            </spPr>
          </marker>
          <cat>
            <numRef>
              <f>'Retail Sales ex Auto'!$A$7:$A$385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'Retail Sales ex Auto'!$D$7:$D$385</f>
              <numCache>
                <formatCode>General</formatCode>
                <ptCount val="379"/>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0.02883271264392347</v>
                </pt>
                <pt idx="217">
                  <formatCode>0.00%</formatCode>
                  <v>0.03427296117815969</v>
                </pt>
                <pt idx="218">
                  <formatCode>0.00%</formatCode>
                  <v>0.06078504375612243</v>
                </pt>
                <pt idx="219">
                  <formatCode>0.00%</formatCode>
                  <v>0.06423081768930326</v>
                </pt>
                <pt idx="220">
                  <formatCode>0.00%</formatCode>
                  <v>0.0446769248341168</v>
                </pt>
                <pt idx="221">
                  <formatCode>0.00%</formatCode>
                  <v>0.03201516563585529</v>
                </pt>
                <pt idx="222">
                  <formatCode>0.00%</formatCode>
                  <v>0.03322853636714067</v>
                </pt>
                <pt idx="223">
                  <formatCode>0.00%</formatCode>
                  <v>0.03396564758003551</v>
                </pt>
                <pt idx="224">
                  <formatCode>0.00%</formatCode>
                  <v>0.04004940818954778</v>
                </pt>
                <pt idx="225">
                  <formatCode>0.00%</formatCode>
                  <v>0.04725353717762154</v>
                </pt>
                <pt idx="226">
                  <formatCode>0.00%</formatCode>
                  <v>0.05155738276078322</v>
                </pt>
                <pt idx="227">
                  <formatCode>0.00%</formatCode>
                  <v>0.05169675390061351</v>
                </pt>
                <pt idx="228">
                  <formatCode>0.00%</formatCode>
                  <v>0.05725941675742018</v>
                </pt>
                <pt idx="229">
                  <formatCode>0.00%</formatCode>
                  <v>0.0576465818191814</v>
                </pt>
                <pt idx="230">
                  <formatCode>0.00%</formatCode>
                  <v>0.05974177323887509</v>
                </pt>
                <pt idx="231">
                  <formatCode>0.00%</formatCode>
                  <v>0.06101718994175309</v>
                </pt>
                <pt idx="232">
                  <formatCode>0.00%</formatCode>
                  <v>0.07407306173210698</v>
                </pt>
                <pt idx="233">
                  <formatCode>0.00%</formatCode>
                  <v>0.08264663526498164</v>
                </pt>
                <pt idx="234">
                  <formatCode>0.00%</formatCode>
                  <v>0.08301131210103879</v>
                </pt>
                <pt idx="235">
                  <formatCode>0.00%</formatCode>
                  <v>0.08150919014503596</v>
                </pt>
                <pt idx="236">
                  <formatCode>0.00%</formatCode>
                  <v>0.07610345967758261</v>
                </pt>
                <pt idx="237">
                  <formatCode>0.00%</formatCode>
                  <v>0.07219891448833293</v>
                </pt>
                <pt idx="238">
                  <formatCode>0.00%</formatCode>
                  <v>0.06411811091452464</v>
                </pt>
                <pt idx="239">
                  <formatCode>0.00%</formatCode>
                  <v>0.05340650735523948</v>
                </pt>
                <pt idx="240">
                  <formatCode>0.00%</formatCode>
                  <v>0.0592334380834971</v>
                </pt>
                <pt idx="241">
                  <formatCode>0.00%</formatCode>
                  <v>0.06471220789515576</v>
                </pt>
                <pt idx="242">
                  <formatCode>0.00%</formatCode>
                  <v>0.05809418157848197</v>
                </pt>
                <pt idx="243">
                  <formatCode>0.00%</formatCode>
                  <v>0.0432228056248944</v>
                </pt>
                <pt idx="244">
                  <formatCode>0.00%</formatCode>
                  <v>0.03612691020600323</v>
                </pt>
                <pt idx="245">
                  <formatCode>0.00%</formatCode>
                  <v>0.02125421008398051</v>
                </pt>
                <pt idx="246">
                  <formatCode>0.00%</formatCode>
                  <v>0.02539362488859673</v>
                </pt>
                <pt idx="247">
                  <formatCode>0.00%</formatCode>
                  <v>0.03231415509033626</v>
                </pt>
                <pt idx="248">
                  <formatCode>0.00%</formatCode>
                  <v>0.03571182221218905</v>
                </pt>
                <pt idx="249">
                  <formatCode>0.00%</formatCode>
                  <v>0.03287698610972319</v>
                </pt>
                <pt idx="250">
                  <formatCode>0.00%</formatCode>
                  <v>0.03209826571597596</v>
                </pt>
                <pt idx="251">
                  <formatCode>0.00%</formatCode>
                  <v>0.03754626520700264</v>
                </pt>
                <pt idx="252">
                  <formatCode>0.00%</formatCode>
                  <v>0.03331676550763921</v>
                </pt>
                <pt idx="253">
                  <formatCode>0.00%</formatCode>
                  <v>0.03283210467216716</v>
                </pt>
                <pt idx="254">
                  <formatCode>0.00%</formatCode>
                  <v>0.02154609161799296</v>
                </pt>
                <pt idx="255">
                  <formatCode>0.00%</formatCode>
                  <v>0.01975644414564457</v>
                </pt>
                <pt idx="256">
                  <formatCode>0.00%</formatCode>
                  <v>0.02755118644484083</v>
                </pt>
                <pt idx="257">
                  <formatCode>0.00%</formatCode>
                  <v>0.03406872526908167</v>
                </pt>
                <pt idx="258">
                  <formatCode>0.00%</formatCode>
                  <v>0.03804248997543558</v>
                </pt>
                <pt idx="259">
                  <formatCode>0.00%</formatCode>
                  <v>0.02427576291991435</v>
                </pt>
                <pt idx="260">
                  <formatCode>0.00%</formatCode>
                  <v>0.02225034208008912</v>
                </pt>
                <pt idx="261">
                  <formatCode>0.00%</formatCode>
                  <v>0.02176857585139319</v>
                </pt>
                <pt idx="262">
                  <formatCode>0.00%</formatCode>
                  <v>0.02234229016016098</v>
                </pt>
                <pt idx="263">
                  <formatCode>0.00%</formatCode>
                  <v>0.02806259143973557</v>
                </pt>
                <pt idx="264">
                  <formatCode>0.00%</formatCode>
                  <v>0.01602268211871066</v>
                </pt>
                <pt idx="265">
                  <formatCode>0.00%</formatCode>
                  <v>0.01467408002647066</v>
                </pt>
                <pt idx="266">
                  <formatCode>0.00%</formatCode>
                  <v>0.02649991670434803</v>
                </pt>
                <pt idx="267">
                  <formatCode>0.00%</formatCode>
                  <v>0.04241234641893916</v>
                </pt>
                <pt idx="268">
                  <formatCode>0.00%</formatCode>
                  <v>0.04149150719311612</v>
                </pt>
                <pt idx="269">
                  <formatCode>0.00%</formatCode>
                  <v>0.04504534153500019</v>
                </pt>
                <pt idx="270">
                  <formatCode>0.00%</formatCode>
                  <v>0.03875046021924251</v>
                </pt>
                <pt idx="271">
                  <formatCode>0.00%</formatCode>
                  <v>0.04771009958933154</v>
                </pt>
                <pt idx="272">
                  <formatCode>0.00%</formatCode>
                  <v>0.04316783245775611</v>
                </pt>
                <pt idx="273">
                  <formatCode>0.00%</formatCode>
                  <v>0.04562186345989963</v>
                </pt>
                <pt idx="274">
                  <formatCode>0.00%</formatCode>
                  <v>0.04348377768269472</v>
                </pt>
                <pt idx="275">
                  <formatCode>0.00%</formatCode>
                  <v>0.02851177717652295</v>
                </pt>
                <pt idx="276">
                  <formatCode>0.00%</formatCode>
                  <v>0.02329479292863948</v>
                </pt>
                <pt idx="277">
                  <formatCode>0.00%</formatCode>
                  <v>0.01440363366379875</v>
                </pt>
                <pt idx="278">
                  <formatCode>0.00%</formatCode>
                  <v>0.01729264475743349</v>
                </pt>
                <pt idx="279">
                  <formatCode>0.00%</formatCode>
                  <v>0.01013359091340308</v>
                </pt>
                <pt idx="280">
                  <formatCode>0.00%</formatCode>
                  <v>0.01531347000131963</v>
                </pt>
                <pt idx="281">
                  <formatCode>0.00%</formatCode>
                  <v>0.0147782546085423</v>
                </pt>
                <pt idx="282">
                  <formatCode>0.00%</formatCode>
                  <v>0.02247839769956581</v>
                </pt>
                <pt idx="283">
                  <formatCode>0.00%</formatCode>
                  <v>0.01355566593344213</v>
                </pt>
                <pt idx="284">
                  <formatCode>0.00%</formatCode>
                  <v>0.007613716044160689</v>
                </pt>
                <pt idx="285">
                  <formatCode>0.00%</formatCode>
                  <v>0.002974219656450745</v>
                </pt>
                <pt idx="286">
                  <formatCode>0.00%</formatCode>
                  <v>0.004012770734769711</v>
                </pt>
                <pt idx="287">
                  <formatCode>0.00%</formatCode>
                  <v>0.0178052356617176</v>
                </pt>
                <pt idx="288">
                  <formatCode>0.00%</formatCode>
                  <v>0.01886792452830189</v>
                </pt>
                <pt idx="289">
                  <formatCode>0.00%</formatCode>
                  <v>0.02425359211485583</v>
                </pt>
                <pt idx="290">
                  <formatCode>0.00%</formatCode>
                  <v>0.01801570819338683</v>
                </pt>
                <pt idx="291">
                  <formatCode>0.00%</formatCode>
                  <v>0.02064443419906767</v>
                </pt>
                <pt idx="292">
                  <formatCode>0.00%</formatCode>
                  <v>0.01749830470162749</v>
                </pt>
                <pt idx="293">
                  <formatCode>0.00%</formatCode>
                  <v>0.02775497307163875</v>
                </pt>
                <pt idx="294">
                  <formatCode>0.00%</formatCode>
                  <v>0.01213549485478501</v>
                </pt>
                <pt idx="295">
                  <formatCode>0.00%</formatCode>
                  <v>0.01462611418058196</v>
                </pt>
                <pt idx="296">
                  <formatCode>0.00%</formatCode>
                  <v>0.02687488906607013</v>
                </pt>
                <pt idx="297">
                  <formatCode>0.00%</formatCode>
                  <v>0.03175601897178779</v>
                </pt>
                <pt idx="298">
                  <formatCode>0.00%</formatCode>
                  <v>0.02966426318161334</v>
                </pt>
                <pt idx="299">
                  <formatCode>0.00%</formatCode>
                  <v>0.03281407780161623</v>
                </pt>
                <pt idx="300">
                  <formatCode>0.00%</formatCode>
                  <v>0.05470944596744171</v>
                </pt>
                <pt idx="301">
                  <formatCode>0.00%</formatCode>
                  <v>0.04952193066032978</v>
                </pt>
                <pt idx="302">
                  <formatCode>0.00%</formatCode>
                  <v>0.05051895755153896</v>
                </pt>
                <pt idx="303">
                  <formatCode>0.00%</formatCode>
                  <v>0.0505587900689286</v>
                </pt>
                <pt idx="304">
                  <formatCode>0.00%</formatCode>
                  <v>0.03846015000846956</v>
                </pt>
                <pt idx="305">
                  <formatCode>0.00%</formatCode>
                  <v>0.02920419328185519</v>
                </pt>
                <pt idx="306">
                  <formatCode>0.00%</formatCode>
                  <v>0.0353844199175809</v>
                </pt>
                <pt idx="307">
                  <formatCode>0.00%</formatCode>
                  <v>0.04292842869917533</v>
                </pt>
                <pt idx="308">
                  <formatCode>0.00%</formatCode>
                  <v>0.05185195346795435</v>
                </pt>
                <pt idx="309">
                  <formatCode>0.00%</formatCode>
                  <v>0.04845546330631488</v>
                </pt>
                <pt idx="310">
                  <formatCode>0.00%</formatCode>
                  <v>0.06465484227457245</v>
                </pt>
                <pt idx="311">
                  <formatCode>0.00%</formatCode>
                  <v>0.06417409202935839</v>
                </pt>
                <pt idx="312">
                  <formatCode>0.00%</formatCode>
                  <v>0.0457479636968462</v>
                </pt>
                <pt idx="313">
                  <formatCode>0.00%</formatCode>
                  <v>0.05331300530807104</v>
                </pt>
                <pt idx="314">
                  <formatCode>0.00%</formatCode>
                  <v>0.04845712885318217</v>
                </pt>
                <pt idx="315">
                  <formatCode>0.00%</formatCode>
                  <v>0.04662069624486416</v>
                </pt>
                <pt idx="316">
                  <formatCode>0.00%</formatCode>
                  <v>0.06966999409032444</v>
                </pt>
                <pt idx="317">
                  <formatCode>0.00%</formatCode>
                  <v>0.06345883030703907</v>
                </pt>
                <pt idx="318">
                  <formatCode>0.00%</formatCode>
                  <v>0.07158348516658086</v>
                </pt>
                <pt idx="319">
                  <formatCode>0.00%</formatCode>
                  <v>0.06493365583601056</v>
                </pt>
                <pt idx="320">
                  <formatCode>0.00%</formatCode>
                  <v>0.04624666452779104</v>
                </pt>
                <pt idx="321">
                  <formatCode>0.00%</formatCode>
                  <v>0.05868881962466908</v>
                </pt>
                <pt idx="322">
                  <formatCode>0.00%</formatCode>
                  <v>0.0436373353065713</v>
                </pt>
                <pt idx="323">
                  <formatCode>0.00%</formatCode>
                  <v>0.008642870776865813</v>
                </pt>
                <pt idx="324">
                  <formatCode>0.00%</formatCode>
                  <v>0.02707699388856215</v>
                </pt>
                <pt idx="325">
                  <formatCode>0.00%</formatCode>
                  <v>0.0192501223095077</v>
                </pt>
                <pt idx="326">
                  <formatCode>0.00%</formatCode>
                  <v>0.03146635500959108</v>
                </pt>
                <pt idx="327">
                  <formatCode>0.00%</formatCode>
                  <v>0.03497587040263334</v>
                </pt>
                <pt idx="328">
                  <formatCode>0.00%</formatCode>
                  <v>0.02497143871385466</v>
                </pt>
                <pt idx="329">
                  <formatCode>0.00%</formatCode>
                  <v>0.030313822169945</v>
                </pt>
                <pt idx="330">
                  <formatCode>0.00%</formatCode>
                  <v>0.03392606865373652</v>
                </pt>
                <pt idx="331">
                  <formatCode>0.00%</formatCode>
                  <v>0.03233229377632543</v>
                </pt>
                <pt idx="332">
                  <formatCode>0.00%</formatCode>
                  <v>0.03281153003298355</v>
                </pt>
                <pt idx="333">
                  <formatCode>0.00%</formatCode>
                  <v>0.02533407572383074</v>
                </pt>
                <pt idx="334">
                  <formatCode>0.00%</formatCode>
                  <v>0.02428162051443652</v>
                </pt>
                <pt idx="335">
                  <formatCode>0.00%</formatCode>
                  <v>0.06517948834404434</v>
                </pt>
                <pt idx="336">
                  <formatCode>0.00%</formatCode>
                  <v>0.04848391297095297</v>
                </pt>
                <pt idx="337">
                  <formatCode>0.00%</formatCode>
                  <v>0.0512180260392703</v>
                </pt>
                <pt idx="338">
                  <formatCode>0.00%</formatCode>
                  <v>-0.004894329769939406</v>
                </pt>
                <pt idx="339">
                  <formatCode>0.00%</formatCode>
                  <v>-0.164992734997709</v>
                </pt>
                <pt idx="340">
                  <formatCode>0.00%</formatCode>
                  <v>-0.06073813553947991</v>
                </pt>
                <pt idx="341">
                  <formatCode>0.00%</formatCode>
                  <v>0.01780845926156722</v>
                </pt>
                <pt idx="342">
                  <formatCode>0.00%</formatCode>
                  <v>0.03594775176066935</v>
                </pt>
                <pt idx="343">
                  <formatCode>0.00%</formatCode>
                  <v>0.0419256377790509</v>
                </pt>
                <pt idx="344">
                  <formatCode>0.00%</formatCode>
                  <v>0.06414415719216936</v>
                </pt>
                <pt idx="345">
                  <formatCode>0.00%</formatCode>
                  <v>0.05624502918215479</v>
                </pt>
                <pt idx="346">
                  <formatCode>0.00%</formatCode>
                  <v>0.04531131701337564</v>
                </pt>
                <pt idx="347">
                  <formatCode>0.00%</formatCode>
                  <v>0.0229845577314386</v>
                </pt>
                <pt idx="348">
                  <formatCode>0.00%</formatCode>
                  <v>0.08704376052221033</v>
                </pt>
                <pt idx="349">
                  <formatCode>0.00%</formatCode>
                  <v>0.06679063781261903</v>
                </pt>
                <pt idx="350">
                  <formatCode>0.00%</formatCode>
                  <v>0.2243429960420106</v>
                </pt>
                <pt idx="351">
                  <formatCode>0.00%</formatCode>
                  <v>0.4446306164608667</v>
                </pt>
                <pt idx="352">
                  <formatCode>0.00%</formatCode>
                  <v>0.2770038145638959</v>
                </pt>
                <pt idx="353">
                  <formatCode>0.00%</formatCode>
                  <v>0.2001090564702056</v>
                </pt>
                <pt idx="354">
                  <formatCode>0.00%</formatCode>
                  <v>0.1543991353964509</v>
                </pt>
                <pt idx="355">
                  <formatCode>0.00%</formatCode>
                  <v>0.1675064630824571</v>
                </pt>
                <pt idx="356">
                  <formatCode>0.00%</formatCode>
                  <v>0.1579428504025243</v>
                </pt>
                <pt idx="357">
                  <formatCode>0.00%</formatCode>
                  <v>0.1779852452415563</v>
                </pt>
                <pt idx="358">
                  <formatCode>0.00%</formatCode>
                  <v>0.2016155178003573</v>
                </pt>
                <pt idx="359">
                  <formatCode>0.00%</formatCode>
                  <v>0.1892528991145196</v>
                </pt>
                <pt idx="360">
                  <formatCode>0.00%</formatCode>
                  <v>0.1400227178400577</v>
                </pt>
                <pt idx="361">
                  <formatCode>0.00%</formatCode>
                  <v>0.1773812956022266</v>
                </pt>
                <pt idx="362">
                  <formatCode>0.00%</formatCode>
                  <v>0.09463716019780602</v>
                </pt>
                <pt idx="363">
                  <formatCode>0.00%</formatCode>
                  <v>0.1048146786456418</v>
                </pt>
                <pt idx="364">
                  <formatCode>0.00%</formatCode>
                  <v>0.1198650610641387</v>
                </pt>
                <pt idx="365">
                  <formatCode>0.00%</formatCode>
                  <v>0.1099552813449076</v>
                </pt>
                <pt idx="366">
                  <formatCode>0.00%</formatCode>
                  <v>0.1205369186971245</v>
                </pt>
                <pt idx="367">
                  <formatCode>0.00%</formatCode>
                  <v>0.1032735922049602</v>
                </pt>
                <pt idx="368">
                  <formatCode>0.00%</formatCode>
                  <v>0.09131958524578282</v>
                </pt>
                <pt idx="369">
                  <formatCode>0.00%</formatCode>
                  <v>0.08916684529775389</v>
                </pt>
                <pt idx="370">
                  <formatCode>0.00%</formatCode>
                  <v>0.07719229760941157</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and Beverage'!$A$19:$A$382</f>
              <numCache>
                <formatCode>[$-409]mmm\-yy;@</formatCode>
                <ptCount val="36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numCache>
            </numRef>
          </cat>
          <val>
            <numRef>
              <f>'Food and Beverage'!$D$19:$D$382</f>
              <numCache>
                <formatCode>0.00%</formatCode>
                <ptCount val="36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0.004953924305715905</v>
                </pt>
                <pt idx="205">
                  <v>0.03773866348448687</v>
                </pt>
                <pt idx="206">
                  <v>0.02890518417462483</v>
                </pt>
                <pt idx="207">
                  <v>0.02299874822311332</v>
                </pt>
                <pt idx="208">
                  <v>0.02066964569347085</v>
                </pt>
                <pt idx="209">
                  <v>0.01089757127771911</v>
                </pt>
                <pt idx="210">
                  <v>0.01318402704415804</v>
                </pt>
                <pt idx="211">
                  <v>0.01919296539770445</v>
                </pt>
                <pt idx="212">
                  <v>0.02354969616686642</v>
                </pt>
                <pt idx="213">
                  <v>0.0202928386866374</v>
                </pt>
                <pt idx="214">
                  <v>0.03023758099352052</v>
                </pt>
                <pt idx="215">
                  <v>0.02185565296879545</v>
                </pt>
                <pt idx="216">
                  <v>0.03761879895561358</v>
                </pt>
                <pt idx="217">
                  <v>0.02807039158914967</v>
                </pt>
                <pt idx="218">
                  <v>0.03749896411701334</v>
                </pt>
                <pt idx="219">
                  <v>0.0543169421573304</v>
                </pt>
                <pt idx="220">
                  <v>0.0453781512605042</v>
                </pt>
                <pt idx="221">
                  <v>0.06428362512012702</v>
                </pt>
                <pt idx="222">
                  <v>0.06228886015765108</v>
                </pt>
                <pt idx="223">
                  <v>0.0614306157579277</v>
                </pt>
                <pt idx="224">
                  <v>0.04965180057108815</v>
                </pt>
                <pt idx="225">
                  <v>0.05668224587699973</v>
                </pt>
                <pt idx="226">
                  <v>0.04644725326168814</v>
                </pt>
                <pt idx="227">
                  <v>0.04220713211076323</v>
                </pt>
                <pt idx="228">
                  <v>0.03661727997423303</v>
                </pt>
                <pt idx="229">
                  <v>0.03171813206567331</v>
                </pt>
                <pt idx="230">
                  <v>0.04147529853428651</v>
                </pt>
                <pt idx="231">
                  <v>0.02779526319930758</v>
                </pt>
                <pt idx="232">
                  <v>0.03773172958596324</v>
                </pt>
                <pt idx="233">
                  <v>0.02563649569126279</v>
                </pt>
                <pt idx="234">
                  <v>0.02532341336055437</v>
                </pt>
                <pt idx="235">
                  <v>0.02309541022685086</v>
                </pt>
                <pt idx="236">
                  <v>0.02732112102708627</v>
                </pt>
                <pt idx="237">
                  <v>0.02889599002377148</v>
                </pt>
                <pt idx="238">
                  <v>0.0253632349794799</v>
                </pt>
                <pt idx="239">
                  <v>0.02789590729975421</v>
                </pt>
                <pt idx="240">
                  <v>0.02343916885134479</v>
                </pt>
                <pt idx="241">
                  <v>0.03151740426685252</v>
                </pt>
                <pt idx="242">
                  <v>0.01809989454510593</v>
                </pt>
                <pt idx="243">
                  <v>0.009205917816608931</v>
                </pt>
                <pt idx="244">
                  <v>0.01855287569573284</v>
                </pt>
                <pt idx="245">
                  <v>0.01845011387777757</v>
                </pt>
                <pt idx="246">
                  <v>0.02645938235913538</v>
                </pt>
                <pt idx="247">
                  <v>0.02639368996008479</v>
                </pt>
                <pt idx="248">
                  <v>0.02514668901927913</v>
                </pt>
                <pt idx="249">
                  <v>0.02147523908720765</v>
                </pt>
                <pt idx="250">
                  <v>0.02555152986702582</v>
                </pt>
                <pt idx="251">
                  <v>0.03545130190541259</v>
                </pt>
                <pt idx="252">
                  <v>0.03973283746347387</v>
                </pt>
                <pt idx="253">
                  <v>0.02862129799932435</v>
                </pt>
                <pt idx="254">
                  <v>0.03365411777999586</v>
                </pt>
                <pt idx="255">
                  <v>0.04720273089322966</v>
                </pt>
                <pt idx="256">
                  <v>0.04127466997164479</v>
                </pt>
                <pt idx="257">
                  <v>0.05154755416909402</v>
                </pt>
                <pt idx="258">
                  <v>0.04717139499748196</v>
                </pt>
                <pt idx="259">
                  <v>0.04750386096794001</v>
                </pt>
                <pt idx="260">
                  <v>0.04931985430758939</v>
                </pt>
                <pt idx="261">
                  <v>0.05242959639592874</v>
                </pt>
                <pt idx="262">
                  <v>0.04979283811778633</v>
                </pt>
                <pt idx="263">
                  <v>0.04580278592375366</v>
                </pt>
                <pt idx="264">
                  <v>0.04321483319950362</v>
                </pt>
                <pt idx="265">
                  <v>0.04347984746473991</v>
                </pt>
                <pt idx="266">
                  <v>0.04175928287723645</v>
                </pt>
                <pt idx="267">
                  <v>0.03390137452688386</v>
                </pt>
                <pt idx="268">
                  <v>0.02979206867324304</v>
                </pt>
                <pt idx="269">
                  <v>0.02582386160554722</v>
                </pt>
                <pt idx="270">
                  <v>0.02534644294823839</v>
                </pt>
                <pt idx="271">
                  <v>0.02193761546113401</v>
                </pt>
                <pt idx="272">
                  <v>0.01634611978889951</v>
                </pt>
                <pt idx="273">
                  <v>0.007328201243680307</v>
                </pt>
                <pt idx="274">
                  <v>0.01275636056099796</v>
                </pt>
                <pt idx="275">
                  <v>0.005380395730734853</v>
                </pt>
                <pt idx="276">
                  <v>0.006752501574417465</v>
                </pt>
                <pt idx="277">
                  <v>0.008235705542927085</v>
                </pt>
                <pt idx="278">
                  <v>0.000839483717513729</v>
                </pt>
                <pt idx="279">
                  <v>0.01318946944351999</v>
                </pt>
                <pt idx="280">
                  <v>0.01749470255503214</v>
                </pt>
                <pt idx="281">
                  <v>0.01928537830351388</v>
                </pt>
                <pt idx="282">
                  <v>0.01024928341874403</v>
                </pt>
                <pt idx="283">
                  <v>0.01470511550294624</v>
                </pt>
                <pt idx="284">
                  <v>0.02401157016152921</v>
                </pt>
                <pt idx="285">
                  <v>0.03270202682615463</v>
                </pt>
                <pt idx="286">
                  <v>0.02821851078636047</v>
                </pt>
                <pt idx="287">
                  <v>0.03442805843182373</v>
                </pt>
                <pt idx="288">
                  <v>0.03424847958297133</v>
                </pt>
                <pt idx="289">
                  <v>0.03900383274657047</v>
                </pt>
                <pt idx="290">
                  <v>0.05438087582567364</v>
                </pt>
                <pt idx="291">
                  <v>0.0453633911900975</v>
                </pt>
                <pt idx="292">
                  <v>0.04318267873739286</v>
                </pt>
                <pt idx="293">
                  <v>0.03250837492308744</v>
                </pt>
                <pt idx="294">
                  <v>0.03936033015217952</v>
                </pt>
                <pt idx="295">
                  <v>0.03981019922229645</v>
                </pt>
                <pt idx="296">
                  <v>0.04441268058604319</v>
                </pt>
                <pt idx="297">
                  <v>0.04255499297241461</v>
                </pt>
                <pt idx="298">
                  <v>0.04380562417515482</v>
                </pt>
                <pt idx="299">
                  <v>0.04848249945231796</v>
                </pt>
                <pt idx="300">
                  <v>0.03859142151509552</v>
                </pt>
                <pt idx="301">
                  <v>0.03617092305124353</v>
                </pt>
                <pt idx="302">
                  <v>0.03142298385760217</v>
                </pt>
                <pt idx="303">
                  <v>0.03143811602831249</v>
                </pt>
                <pt idx="304">
                  <v>0.03002755275445051</v>
                </pt>
                <pt idx="305">
                  <v>0.03082271147161066</v>
                </pt>
                <pt idx="306">
                  <v>0.03692674210839786</v>
                </pt>
                <pt idx="307">
                  <v>0.02729773809327688</v>
                </pt>
                <pt idx="308">
                  <v>0.02251657787118953</v>
                </pt>
                <pt idx="309">
                  <v>0.02540363187473606</v>
                </pt>
                <pt idx="310">
                  <v>0.02486586374025385</v>
                </pt>
                <pt idx="311">
                  <v>0.01449741232440773</v>
                </pt>
                <pt idx="312">
                  <v>0.0380309942088065</v>
                </pt>
                <pt idx="313">
                  <v>0.01367656297823671</v>
                </pt>
                <pt idx="314">
                  <v>0.02879454960311084</v>
                </pt>
                <pt idx="315">
                  <v>0.03001491125398836</v>
                </pt>
                <pt idx="316">
                  <v>0.03033749259182137</v>
                </pt>
                <pt idx="317">
                  <v>0.03910264645426516</v>
                </pt>
                <pt idx="318">
                  <v>0.04583891760801583</v>
                </pt>
                <pt idx="319">
                  <v>0.04756406555694538</v>
                </pt>
                <pt idx="320">
                  <v>0.0330311190426871</v>
                </pt>
                <pt idx="321">
                  <v>0.02856011405037225</v>
                </pt>
                <pt idx="322">
                  <v>0.02748912613681297</v>
                </pt>
                <pt idx="323">
                  <v>0.03699302915082383</v>
                </pt>
                <pt idx="324">
                  <v>0.009334725490501645</v>
                </pt>
                <pt idx="325">
                  <v>0.03092521374312685</v>
                </pt>
                <pt idx="326">
                  <v>0.2776059725736419</v>
                </pt>
                <pt idx="327">
                  <v>0.1073613424448561</v>
                </pt>
                <pt idx="328">
                  <v>0.1267158958414302</v>
                </pt>
                <pt idx="329">
                  <v>0.1004682646390653</v>
                </pt>
                <pt idx="330">
                  <v>0.0899327220857679</v>
                </pt>
                <pt idx="331">
                  <v>0.07280631927009981</v>
                </pt>
                <pt idx="332">
                  <v>0.08053121915103653</v>
                </pt>
                <pt idx="333">
                  <v>0.07318312722344571</v>
                </pt>
                <pt idx="334">
                  <v>0.08467897110662993</v>
                </pt>
                <pt idx="335">
                  <v>0.06917729737987931</v>
                </pt>
                <pt idx="336">
                  <v>0.0950006175889328</v>
                </pt>
                <pt idx="337">
                  <v>0.09398507830805278</v>
                </pt>
                <pt idx="338">
                  <v>-0.1282518337408313</v>
                </pt>
                <pt idx="339">
                  <v>0.01189237819449521</v>
                </pt>
                <pt idx="340">
                  <v>0.0007450742314697279</v>
                </pt>
                <pt idx="341">
                  <v>0.02679474216380182</v>
                </pt>
                <pt idx="342">
                  <v>0.02051956777336095</v>
                </pt>
                <pt idx="343">
                  <v>0.05714897260273973</v>
                </pt>
                <pt idx="344">
                  <v>0.06626411431344839</v>
                </pt>
                <pt idx="345">
                  <v>0.08102174069024898</v>
                </pt>
                <pt idx="346">
                  <v>0.07203678474114442</v>
                </pt>
                <pt idx="347">
                  <v>0.08865010073875083</v>
                </pt>
                <pt idx="348">
                  <v>0.08011731363065946</v>
                </pt>
                <pt idx="349">
                  <v>0.07840042835604277</v>
                </pt>
                <pt idx="350">
                  <v>0.083565889298686</v>
                </pt>
                <pt idx="351">
                  <v>0.07343298510780173</v>
                </pt>
                <pt idx="352">
                  <v>0.07694747001240866</v>
                </pt>
                <pt idx="353">
                  <v>0.08047486186334045</v>
                </pt>
                <pt idx="354">
                  <v>0.08308873954190098</v>
                </pt>
                <pt idx="355">
                  <v>0.07062158331646082</v>
                </pt>
                <pt idx="356">
                  <v>0.07080795233951402</v>
                </pt>
                <pt idx="357">
                  <v>0.07537401600934542</v>
                </pt>
                <pt idx="358">
                  <v>0.08059306327773365</v>
                </pt>
              </numCache>
            </numRef>
          </val>
          <smooth val="0"/>
        </ser>
        <dLbls>
          <showLegendKey val="0"/>
          <showVal val="0"/>
          <showCatName val="0"/>
          <showSerName val="0"/>
          <showPercent val="0"/>
          <showBubbleSize val="0"/>
        </dLbls>
        <smooth val="0"/>
        <axId val="1033339464"/>
        <axId val="1033342744"/>
      </lineChart>
      <dateAx>
        <axId val="1033339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strRef>
          <f>'Food and Beverage'!$B$6</f>
          <strCache>
            <ptCount val="1"/>
            <pt idx="0">
              <v>Food and Beverage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a:prstDash val="solid"/>
            </a:ln>
          </spPr>
          <marker>
            <symbol val="none"/>
            <spPr>
              <a:ln xmlns:a="http://schemas.openxmlformats.org/drawingml/2006/main">
                <a:prstDash val="solid"/>
              </a:ln>
            </spPr>
          </marker>
          <cat>
            <numRef>
              <f>'Food and Beverage'!$A$7:$A$381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'Food and Beverage'!$B$7:$B$381</f>
              <numCache>
                <formatCode>#,##0</formatCode>
                <ptCount val="375"/>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47875</v>
                </pt>
                <pt idx="217">
                  <v>48699</v>
                </pt>
                <pt idx="218">
                  <v>48268</v>
                </pt>
                <pt idx="219">
                  <v>48217</v>
                </pt>
                <pt idx="220">
                  <v>48195</v>
                </pt>
                <pt idx="221">
                  <v>47866</v>
                </pt>
                <pt idx="222">
                  <v>47954</v>
                </pt>
                <pt idx="223">
                  <v>48217</v>
                </pt>
                <pt idx="224">
                  <v>48679</v>
                </pt>
                <pt idx="225">
                  <v>48569</v>
                </pt>
                <pt idx="226">
                  <v>49131</v>
                </pt>
                <pt idx="227">
                  <v>49186</v>
                </pt>
                <pt idx="228">
                  <v>49676</v>
                </pt>
                <pt idx="229">
                  <v>50066</v>
                </pt>
                <pt idx="230">
                  <v>50078</v>
                </pt>
                <pt idx="231">
                  <v>50836</v>
                </pt>
                <pt idx="232">
                  <v>50382</v>
                </pt>
                <pt idx="233">
                  <v>50943</v>
                </pt>
                <pt idx="234">
                  <v>50941</v>
                </pt>
                <pt idx="235">
                  <v>51179</v>
                </pt>
                <pt idx="236">
                  <v>51096</v>
                </pt>
                <pt idx="237">
                  <v>51322</v>
                </pt>
                <pt idx="238">
                  <v>51413</v>
                </pt>
                <pt idx="239">
                  <v>51262</v>
                </pt>
                <pt idx="240">
                  <v>51495</v>
                </pt>
                <pt idx="241">
                  <v>51654</v>
                </pt>
                <pt idx="242">
                  <v>52155</v>
                </pt>
                <pt idx="243">
                  <v>52249</v>
                </pt>
                <pt idx="244">
                  <v>52283</v>
                </pt>
                <pt idx="245">
                  <v>52249</v>
                </pt>
                <pt idx="246">
                  <v>52231</v>
                </pt>
                <pt idx="247">
                  <v>52361</v>
                </pt>
                <pt idx="248">
                  <v>52492</v>
                </pt>
                <pt idx="249">
                  <v>52805</v>
                </pt>
                <pt idx="250">
                  <v>52717</v>
                </pt>
                <pt idx="251">
                  <v>52692</v>
                </pt>
                <pt idx="252">
                  <v>52702</v>
                </pt>
                <pt idx="253">
                  <v>53282</v>
                </pt>
                <pt idx="254">
                  <v>53099</v>
                </pt>
                <pt idx="255">
                  <v>52730</v>
                </pt>
                <pt idx="256">
                  <v>53253</v>
                </pt>
                <pt idx="257">
                  <v>53213</v>
                </pt>
                <pt idx="258">
                  <v>53613</v>
                </pt>
                <pt idx="259">
                  <v>53743</v>
                </pt>
                <pt idx="260">
                  <v>53812</v>
                </pt>
                <pt idx="261">
                  <v>53939</v>
                </pt>
                <pt idx="262">
                  <v>54064</v>
                </pt>
                <pt idx="263">
                  <v>54560</v>
                </pt>
                <pt idx="264">
                  <v>54796</v>
                </pt>
                <pt idx="265">
                  <v>54807</v>
                </pt>
                <pt idx="266">
                  <v>54886</v>
                </pt>
                <pt idx="267">
                  <v>55219</v>
                </pt>
                <pt idx="268">
                  <v>55451</v>
                </pt>
                <pt idx="269">
                  <v>55956</v>
                </pt>
                <pt idx="270">
                  <v>56142</v>
                </pt>
                <pt idx="271">
                  <v>56296</v>
                </pt>
                <pt idx="272">
                  <v>56466</v>
                </pt>
                <pt idx="273">
                  <v>56767</v>
                </pt>
                <pt idx="274">
                  <v>56756</v>
                </pt>
                <pt idx="275">
                  <v>57059</v>
                </pt>
                <pt idx="276">
                  <v>57164</v>
                </pt>
                <pt idx="277">
                  <v>57190</v>
                </pt>
                <pt idx="278">
                  <v>57178</v>
                </pt>
                <pt idx="279">
                  <v>57091</v>
                </pt>
                <pt idx="280">
                  <v>57103</v>
                </pt>
                <pt idx="281">
                  <v>57401</v>
                </pt>
                <pt idx="282">
                  <v>57565</v>
                </pt>
                <pt idx="283">
                  <v>57531</v>
                </pt>
                <pt idx="284">
                  <v>57389</v>
                </pt>
                <pt idx="285">
                  <v>57183</v>
                </pt>
                <pt idx="286">
                  <v>57480</v>
                </pt>
                <pt idx="287">
                  <v>57366</v>
                </pt>
                <pt idx="288">
                  <v>57550</v>
                </pt>
                <pt idx="289">
                  <v>57661</v>
                </pt>
                <pt idx="290">
                  <v>57226</v>
                </pt>
                <pt idx="291">
                  <v>57844</v>
                </pt>
                <pt idx="292">
                  <v>58102</v>
                </pt>
                <pt idx="293">
                  <v>58508</v>
                </pt>
                <pt idx="294">
                  <v>58155</v>
                </pt>
                <pt idx="295">
                  <v>58377</v>
                </pt>
                <pt idx="296">
                  <v>58767</v>
                </pt>
                <pt idx="297">
                  <v>59053</v>
                </pt>
                <pt idx="298">
                  <v>59102</v>
                </pt>
                <pt idx="299">
                  <v>59341</v>
                </pt>
                <pt idx="300">
                  <v>59521</v>
                </pt>
                <pt idx="301">
                  <v>59910</v>
                </pt>
                <pt idx="302">
                  <v>60338</v>
                </pt>
                <pt idx="303">
                  <v>60468</v>
                </pt>
                <pt idx="304">
                  <v>60611</v>
                </pt>
                <pt idx="305">
                  <v>60410</v>
                </pt>
                <pt idx="306">
                  <v>60444</v>
                </pt>
                <pt idx="307">
                  <v>60701</v>
                </pt>
                <pt idx="308">
                  <v>61377</v>
                </pt>
                <pt idx="309">
                  <v>61566</v>
                </pt>
                <pt idx="310">
                  <v>61691</v>
                </pt>
                <pt idx="311">
                  <v>62218</v>
                </pt>
                <pt idx="312">
                  <v>61818</v>
                </pt>
                <pt idx="313">
                  <v>62077</v>
                </pt>
                <pt idx="314">
                  <v>62234</v>
                </pt>
                <pt idx="315">
                  <v>62369</v>
                </pt>
                <pt idx="316">
                  <v>62431</v>
                </pt>
                <pt idx="317">
                  <v>62272</v>
                </pt>
                <pt idx="318">
                  <v>62676</v>
                </pt>
                <pt idx="319">
                  <v>62358</v>
                </pt>
                <pt idx="320">
                  <v>62759</v>
                </pt>
                <pt idx="321">
                  <v>63130</v>
                </pt>
                <pt idx="322">
                  <v>63225</v>
                </pt>
                <pt idx="323">
                  <v>63120</v>
                </pt>
                <pt idx="324">
                  <v>64169</v>
                </pt>
                <pt idx="325">
                  <v>62926</v>
                </pt>
                <pt idx="326">
                  <v>64026</v>
                </pt>
                <pt idx="327">
                  <v>64241</v>
                </pt>
                <pt idx="328">
                  <v>64325</v>
                </pt>
                <pt idx="329">
                  <v>64707</v>
                </pt>
                <pt idx="330">
                  <v>65549</v>
                </pt>
                <pt idx="331">
                  <v>65324</v>
                </pt>
                <pt idx="332">
                  <v>64832</v>
                </pt>
                <pt idx="333">
                  <v>64933</v>
                </pt>
                <pt idx="334">
                  <v>64963</v>
                </pt>
                <pt idx="335">
                  <v>65455</v>
                </pt>
                <pt idx="336">
                  <v>64768</v>
                </pt>
                <pt idx="337">
                  <v>64872</v>
                </pt>
                <pt idx="338">
                  <v>81800</v>
                </pt>
                <pt idx="339">
                  <v>71138</v>
                </pt>
                <pt idx="340">
                  <v>72476</v>
                </pt>
                <pt idx="341">
                  <v>71208</v>
                </pt>
                <pt idx="342">
                  <v>71444</v>
                </pt>
                <pt idx="343">
                  <v>70080</v>
                </pt>
                <pt idx="344">
                  <v>70053</v>
                </pt>
                <pt idx="345">
                  <v>69685</v>
                </pt>
                <pt idx="346">
                  <v>70464</v>
                </pt>
                <pt idx="347">
                  <v>69983</v>
                </pt>
                <pt idx="348">
                  <v>70921</v>
                </pt>
                <pt idx="349">
                  <v>70969</v>
                </pt>
                <pt idx="350">
                  <v>71309</v>
                </pt>
                <pt idx="351">
                  <v>71984</v>
                </pt>
                <pt idx="352">
                  <v>72530</v>
                </pt>
                <pt idx="353">
                  <v>73116</v>
                </pt>
                <pt idx="354">
                  <v>72910</v>
                </pt>
                <pt idx="355">
                  <v>74085</v>
                </pt>
                <pt idx="356">
                  <v>74695</v>
                </pt>
                <pt idx="357">
                  <v>75331</v>
                </pt>
                <pt idx="358">
                  <v>75540</v>
                </pt>
                <pt idx="359">
                  <v>76187</v>
                </pt>
                <pt idx="360">
                  <v>76603</v>
                </pt>
                <pt idx="361">
                  <v>76533</v>
                </pt>
                <pt idx="362">
                  <v>77268</v>
                </pt>
                <pt idx="363">
                  <v>77270</v>
                </pt>
                <pt idx="364">
                  <v>78111</v>
                </pt>
                <pt idx="365">
                  <v>79000</v>
                </pt>
                <pt idx="366">
                  <v>78968</v>
                </pt>
                <pt idx="367">
                  <v>79317</v>
                </pt>
                <pt idx="368">
                  <v>79984</v>
                </pt>
                <pt idx="369">
                  <v>81009</v>
                </pt>
                <pt idx="370">
                  <v>81628</v>
                </pt>
              </numCache>
            </numRef>
          </val>
          <smooth val="0"/>
        </ser>
        <dLbls>
          <showLegendKey val="0"/>
          <showVal val="0"/>
          <showCatName val="0"/>
          <showSerName val="0"/>
          <showPercent val="0"/>
          <showBubbleSize val="0"/>
        </dLbls>
        <smooth val="0"/>
        <axId val="644217568"/>
        <axId val="644219216"/>
      </lineChart>
      <dateAx>
        <axId val="64421756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44219216"/>
        <crosses val="autoZero"/>
        <lblOffset val="100"/>
        <baseTimeUnit val="months"/>
      </dateAx>
      <valAx>
        <axId val="644219216"/>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a:prstDash val="solid"/>
            </a:ln>
          </spPr>
          <marker>
            <symbol val="none"/>
            <spPr>
              <a:ln xmlns:a="http://schemas.openxmlformats.org/drawingml/2006/main">
                <a:prstDash val="solid"/>
              </a:ln>
            </spPr>
          </marker>
          <cat>
            <numRef>
              <f>'Non Store Retail'!$A$7:$A$380</f>
              <numCache>
                <formatCode>[$-409]mmm\-yy;@</formatCode>
                <ptCount val="37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'Non Store Retail'!$B$7:$B$380</f>
              <numCache>
                <formatCode>#,##0</formatCode>
                <ptCount val="374"/>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27236</v>
                </pt>
                <pt idx="217">
                  <v>27249</v>
                </pt>
                <pt idx="218">
                  <v>27852</v>
                </pt>
                <pt idx="219">
                  <v>27767</v>
                </pt>
                <pt idx="220">
                  <v>27752</v>
                </pt>
                <pt idx="221">
                  <v>28465</v>
                </pt>
                <pt idx="222">
                  <v>28113</v>
                </pt>
                <pt idx="223">
                  <v>28764</v>
                </pt>
                <pt idx="224">
                  <v>28998</v>
                </pt>
                <pt idx="225">
                  <v>28899</v>
                </pt>
                <pt idx="226">
                  <v>28943</v>
                </pt>
                <pt idx="227">
                  <v>29646</v>
                </pt>
                <pt idx="228">
                  <v>30596</v>
                </pt>
                <pt idx="229">
                  <v>30116</v>
                </pt>
                <pt idx="230">
                  <v>30497</v>
                </pt>
                <pt idx="231">
                  <v>30696</v>
                </pt>
                <pt idx="232">
                  <v>30943</v>
                </pt>
                <pt idx="233">
                  <v>31181</v>
                </pt>
                <pt idx="234">
                  <v>31130</v>
                </pt>
                <pt idx="235">
                  <v>31648</v>
                </pt>
                <pt idx="236">
                  <v>31604</v>
                </pt>
                <pt idx="237">
                  <v>32441</v>
                </pt>
                <pt idx="238">
                  <v>32722</v>
                </pt>
                <pt idx="239">
                  <v>32460</v>
                </pt>
                <pt idx="240">
                  <v>32483</v>
                </pt>
                <pt idx="241">
                  <v>32903</v>
                </pt>
                <pt idx="242">
                  <v>32899</v>
                </pt>
                <pt idx="243">
                  <v>33185</v>
                </pt>
                <pt idx="244">
                  <v>33845</v>
                </pt>
                <pt idx="245">
                  <v>33686</v>
                </pt>
                <pt idx="246">
                  <v>34154</v>
                </pt>
                <pt idx="247">
                  <v>34451</v>
                </pt>
                <pt idx="248">
                  <v>34766</v>
                </pt>
                <pt idx="249">
                  <v>34738</v>
                </pt>
                <pt idx="250">
                  <v>35177</v>
                </pt>
                <pt idx="251">
                  <v>35232</v>
                </pt>
                <pt idx="252">
                  <v>35822</v>
                </pt>
                <pt idx="253">
                  <v>35555</v>
                </pt>
                <pt idx="254">
                  <v>35372</v>
                </pt>
                <pt idx="255">
                  <v>35134</v>
                </pt>
                <pt idx="256">
                  <v>35184</v>
                </pt>
                <pt idx="257">
                  <v>35194</v>
                </pt>
                <pt idx="258">
                  <v>35608</v>
                </pt>
                <pt idx="259">
                  <v>35763</v>
                </pt>
                <pt idx="260">
                  <v>35662</v>
                </pt>
                <pt idx="261">
                  <v>35655</v>
                </pt>
                <pt idx="262">
                  <v>36542</v>
                </pt>
                <pt idx="263">
                  <v>37329</v>
                </pt>
                <pt idx="264">
                  <v>36494</v>
                </pt>
                <pt idx="265">
                  <v>37222</v>
                </pt>
                <pt idx="266">
                  <v>37682</v>
                </pt>
                <pt idx="267">
                  <v>37846</v>
                </pt>
                <pt idx="268">
                  <v>37955</v>
                </pt>
                <pt idx="269">
                  <v>38559</v>
                </pt>
                <pt idx="270">
                  <v>38651</v>
                </pt>
                <pt idx="271">
                  <v>38975</v>
                </pt>
                <pt idx="272">
                  <v>39185</v>
                </pt>
                <pt idx="273">
                  <v>39547</v>
                </pt>
                <pt idx="274">
                  <v>39811</v>
                </pt>
                <pt idx="275">
                  <v>39845</v>
                </pt>
                <pt idx="276">
                  <v>39923</v>
                </pt>
                <pt idx="277">
                  <v>40821</v>
                </pt>
                <pt idx="278">
                  <v>40614</v>
                </pt>
                <pt idx="279">
                  <v>40977</v>
                </pt>
                <pt idx="280">
                  <v>40687</v>
                </pt>
                <pt idx="281">
                  <v>40957</v>
                </pt>
                <pt idx="282">
                  <v>41636</v>
                </pt>
                <pt idx="283">
                  <v>41527</v>
                </pt>
                <pt idx="284">
                  <v>42038</v>
                </pt>
                <pt idx="285">
                  <v>42287</v>
                </pt>
                <pt idx="286">
                  <v>42112</v>
                </pt>
                <pt idx="287">
                  <v>42614</v>
                </pt>
                <pt idx="288">
                  <v>43126</v>
                </pt>
                <pt idx="289">
                  <v>43429</v>
                </pt>
                <pt idx="290">
                  <v>43585</v>
                </pt>
                <pt idx="291">
                  <v>43979</v>
                </pt>
                <pt idx="292">
                  <v>44826</v>
                </pt>
                <pt idx="293">
                  <v>45352</v>
                </pt>
                <pt idx="294">
                  <v>45204</v>
                </pt>
                <pt idx="295">
                  <v>45596</v>
                </pt>
                <pt idx="296">
                  <v>45978</v>
                </pt>
                <pt idx="297">
                  <v>46397</v>
                </pt>
                <pt idx="298">
                  <v>46452</v>
                </pt>
                <pt idx="299">
                  <v>48167</v>
                </pt>
                <pt idx="300">
                  <v>48082</v>
                </pt>
                <pt idx="301">
                  <v>48270</v>
                </pt>
                <pt idx="302">
                  <v>48919</v>
                </pt>
                <pt idx="303">
                  <v>49435</v>
                </pt>
                <pt idx="304">
                  <v>49924</v>
                </pt>
                <pt idx="305">
                  <v>50255</v>
                </pt>
                <pt idx="306">
                  <v>50606</v>
                </pt>
                <pt idx="307">
                  <v>50947</v>
                </pt>
                <pt idx="308">
                  <v>51433</v>
                </pt>
                <pt idx="309">
                  <v>50938</v>
                </pt>
                <pt idx="310">
                  <v>53336</v>
                </pt>
                <pt idx="311">
                  <v>55188</v>
                </pt>
                <pt idx="312">
                  <v>54273</v>
                </pt>
                <pt idx="313">
                  <v>54595</v>
                </pt>
                <pt idx="314">
                  <v>55486</v>
                </pt>
                <pt idx="315">
                  <v>55831</v>
                </pt>
                <pt idx="316">
                  <v>55791</v>
                </pt>
                <pt idx="317">
                  <v>55728</v>
                </pt>
                <pt idx="318">
                  <v>56803</v>
                </pt>
                <pt idx="319">
                  <v>57127</v>
                </pt>
                <pt idx="320">
                  <v>57839</v>
                </pt>
                <pt idx="321">
                  <v>58059</v>
                </pt>
                <pt idx="322">
                  <v>59497</v>
                </pt>
                <pt idx="323">
                  <v>55333</v>
                </pt>
                <pt idx="324">
                  <v>59084</v>
                </pt>
                <pt idx="325">
                  <v>59819</v>
                </pt>
                <pt idx="326">
                  <v>60006</v>
                </pt>
                <pt idx="327">
                  <v>59864</v>
                </pt>
                <pt idx="328">
                  <v>61676</v>
                </pt>
                <pt idx="329">
                  <v>62748</v>
                </pt>
                <pt idx="330">
                  <v>63746</v>
                </pt>
                <pt idx="331">
                  <v>63727</v>
                </pt>
                <pt idx="332">
                  <v>63995</v>
                </pt>
                <pt idx="333">
                  <v>64346</v>
                </pt>
                <pt idx="334">
                  <v>64466</v>
                </pt>
                <pt idx="335">
                  <v>66026</v>
                </pt>
                <pt idx="336">
                  <v>64673</v>
                </pt>
                <pt idx="337">
                  <v>66932</v>
                </pt>
                <pt idx="338">
                  <v>71863</v>
                </pt>
                <pt idx="339">
                  <v>76674</v>
                </pt>
                <pt idx="340">
                  <v>84419</v>
                </pt>
                <pt idx="341">
                  <v>82753</v>
                </pt>
                <pt idx="342">
                  <v>87256</v>
                </pt>
                <pt idx="343">
                  <v>87790</v>
                </pt>
                <pt idx="344">
                  <v>88022</v>
                </pt>
                <pt idx="345">
                  <v>88693</v>
                </pt>
                <pt idx="346">
                  <v>88465</v>
                </pt>
                <pt idx="347">
                  <v>85101</v>
                </pt>
                <pt idx="348">
                  <v>91081</v>
                </pt>
                <pt idx="349">
                  <v>90997</v>
                </pt>
                <pt idx="350">
                  <v>99351</v>
                </pt>
                <pt idx="351">
                  <v>95121</v>
                </pt>
                <pt idx="352">
                  <v>96292</v>
                </pt>
                <pt idx="353">
                  <v>98517</v>
                </pt>
                <pt idx="354">
                  <v>92162</v>
                </pt>
                <pt idx="355">
                  <v>97186</v>
                </pt>
                <pt idx="356">
                  <v>97674</v>
                </pt>
                <pt idx="357">
                  <v>99875</v>
                </pt>
                <pt idx="358">
                  <v>101265</v>
                </pt>
                <pt idx="359">
                  <v>95958</v>
                </pt>
                <pt idx="360">
                  <v>102773</v>
                </pt>
                <pt idx="361">
                  <v>104095</v>
                </pt>
                <pt idx="362">
                  <v>102895</v>
                </pt>
                <pt idx="363">
                  <v>104003</v>
                </pt>
                <pt idx="364">
                  <v>106789</v>
                </pt>
                <pt idx="365">
                  <v>107157</v>
                </pt>
                <pt idx="366">
                  <v>108939</v>
                </pt>
                <pt idx="367">
                  <v>109557</v>
                </pt>
                <pt idx="368">
                  <v>109410</v>
                </pt>
                <pt idx="369">
                  <v>110124</v>
                </pt>
                <pt idx="370">
                  <v>109084</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12700">
              <a:solidFill>
                <a:schemeClr val="tx1"/>
              </a:solidFill>
              <a:prstDash val="solid"/>
            </a:ln>
          </spPr>
          <marker>
            <symbol val="none"/>
            <spPr>
              <a:ln xmlns:a="http://schemas.openxmlformats.org/drawingml/2006/main">
                <a:prstDash val="solid"/>
              </a:ln>
            </spPr>
          </marker>
          <cat>
            <numRef>
              <f>'Non Store Retail'!$A$7:$A$383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'Non Store Retail'!$D$7:$D$383</f>
              <numCache>
                <formatCode>General</formatCode>
                <ptCount val="377"/>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0.08730887460577269</v>
                </pt>
                <pt idx="217">
                  <formatCode>0.00%</formatCode>
                  <v>0.07955310803850878</v>
                </pt>
                <pt idx="218">
                  <formatCode>0.00%</formatCode>
                  <v>0.1167154484583617</v>
                </pt>
                <pt idx="219">
                  <formatCode>0.00%</formatCode>
                  <v>0.1137092892668057</v>
                </pt>
                <pt idx="220">
                  <formatCode>0.00%</formatCode>
                  <v>0.1030645097181923</v>
                </pt>
                <pt idx="221">
                  <formatCode>0.00%</formatCode>
                  <v>0.1046647004036014</v>
                </pt>
                <pt idx="222">
                  <formatCode>0.00%</formatCode>
                  <v>0.07671390271926465</v>
                </pt>
                <pt idx="223">
                  <formatCode>0.00%</formatCode>
                  <v>0.09996175908221798</v>
                </pt>
                <pt idx="224">
                  <formatCode>0.00%</formatCode>
                  <v>0.1009529594897301</v>
                </pt>
                <pt idx="225">
                  <formatCode>0.00%</formatCode>
                  <v>0.08504167605316512</v>
                </pt>
                <pt idx="226">
                  <formatCode>0.00%</formatCode>
                  <v>0.08538963474086853</v>
                </pt>
                <pt idx="227">
                  <formatCode>0.00%</formatCode>
                  <v>0.09865105247554107</v>
                </pt>
                <pt idx="228">
                  <formatCode>0.00%</formatCode>
                  <v>0.1233661330591864</v>
                </pt>
                <pt idx="229">
                  <formatCode>0.00%</formatCode>
                  <v>0.1052148702704686</v>
                </pt>
                <pt idx="230">
                  <formatCode>0.00%</formatCode>
                  <v>0.09496625017952032</v>
                </pt>
                <pt idx="231">
                  <formatCode>0.00%</formatCode>
                  <v>0.105484928152123</v>
                </pt>
                <pt idx="232">
                  <formatCode>0.00%</formatCode>
                  <v>0.1149827039492649</v>
                </pt>
                <pt idx="233">
                  <formatCode>0.00%</formatCode>
                  <v>0.09541542244862111</v>
                </pt>
                <pt idx="234">
                  <formatCode>0.00%</formatCode>
                  <v>0.1073168996549639</v>
                </pt>
                <pt idx="235">
                  <formatCode>0.00%</formatCode>
                  <v>0.1002642191628424</v>
                </pt>
                <pt idx="236">
                  <formatCode>0.00%</formatCode>
                  <v>0.0898682667770191</v>
                </pt>
                <pt idx="237">
                  <formatCode>0.00%</formatCode>
                  <v>0.122564794629572</v>
                </pt>
                <pt idx="238">
                  <formatCode>0.00%</formatCode>
                  <v>0.1305669764709947</v>
                </pt>
                <pt idx="239">
                  <formatCode>0.00%</formatCode>
                  <v>0.09492005666869055</v>
                </pt>
                <pt idx="240">
                  <formatCode>0.00%</formatCode>
                  <v>0.06167472872270885</v>
                </pt>
                <pt idx="241">
                  <formatCode>0.00%</formatCode>
                  <v>0.09254217027493691</v>
                </pt>
                <pt idx="242">
                  <formatCode>0.00%</formatCode>
                  <v>0.0787618454274191</v>
                </pt>
                <pt idx="243">
                  <formatCode>0.00%</formatCode>
                  <v>0.08108548345061246</v>
                </pt>
                <pt idx="244">
                  <formatCode>0.00%</formatCode>
                  <v>0.09378534725139773</v>
                </pt>
                <pt idx="245">
                  <formatCode>0.00%</formatCode>
                  <v>0.08033738494596068</v>
                </pt>
                <pt idx="246">
                  <formatCode>0.00%</formatCode>
                  <v>0.09714102152264696</v>
                </pt>
                <pt idx="247">
                  <formatCode>0.00%</formatCode>
                  <v>0.0885679979777553</v>
                </pt>
                <pt idx="248">
                  <formatCode>0.00%</formatCode>
                  <v>0.1000506265029743</v>
                </pt>
                <pt idx="249">
                  <formatCode>0.00%</formatCode>
                  <v>0.07080546222372923</v>
                </pt>
                <pt idx="250">
                  <formatCode>0.00%</formatCode>
                  <v>0.07502597640731007</v>
                </pt>
                <pt idx="251">
                  <formatCode>0.00%</formatCode>
                  <v>0.08539741219963032</v>
                </pt>
                <pt idx="252">
                  <formatCode>0.00%</formatCode>
                  <v>0.102792229781732</v>
                </pt>
                <pt idx="253">
                  <formatCode>0.00%</formatCode>
                  <v>0.08060055314105097</v>
                </pt>
                <pt idx="254">
                  <formatCode>0.00%</formatCode>
                  <v>0.07516945803823824</v>
                </pt>
                <pt idx="255">
                  <formatCode>0.00%</formatCode>
                  <v>0.05873135452764804</v>
                </pt>
                <pt idx="256">
                  <formatCode>0.00%</formatCode>
                  <v>0.03956271236519427</v>
                </pt>
                <pt idx="257">
                  <formatCode>0.00%</formatCode>
                  <v>0.04476637178649884</v>
                </pt>
                <pt idx="258">
                  <formatCode>0.00%</formatCode>
                  <v>0.04257188030684547</v>
                </pt>
                <pt idx="259">
                  <formatCode>0.00%</formatCode>
                  <v>0.03808307451162521</v>
                </pt>
                <pt idx="260">
                  <formatCode>0.00%</formatCode>
                  <v>0.02577230627624691</v>
                </pt>
                <pt idx="261">
                  <formatCode>0.00%</formatCode>
                  <v>0.02639760492832057</v>
                </pt>
                <pt idx="262">
                  <formatCode>0.00%</formatCode>
                  <v>0.0388037638229525</v>
                </pt>
                <pt idx="263">
                  <formatCode>0.00%</formatCode>
                  <v>0.05951975476839237</v>
                </pt>
                <pt idx="264">
                  <formatCode>0.00%</formatCode>
                  <v>0.01875942158450114</v>
                </pt>
                <pt idx="265">
                  <formatCode>0.00%</formatCode>
                  <v>0.04688510757980593</v>
                </pt>
                <pt idx="266">
                  <formatCode>0.00%</formatCode>
                  <v>0.0653058916657243</v>
                </pt>
                <pt idx="267">
                  <formatCode>0.00%</formatCode>
                  <v>0.07719018614447544</v>
                </pt>
                <pt idx="268">
                  <formatCode>0.00%</formatCode>
                  <v>0.07875738972260118</v>
                </pt>
                <pt idx="269">
                  <formatCode>0.00%</formatCode>
                  <v>0.0956128885605501</v>
                </pt>
                <pt idx="270">
                  <formatCode>0.00%</formatCode>
                  <v>0.08545832397214109</v>
                </pt>
                <pt idx="271">
                  <formatCode>0.00%</formatCode>
                  <v>0.08981349439364707</v>
                </pt>
                <pt idx="272">
                  <formatCode>0.00%</formatCode>
                  <v>0.09878862654926814</v>
                </pt>
                <pt idx="273">
                  <formatCode>0.00%</formatCode>
                  <v>0.1091572009535829</v>
                </pt>
                <pt idx="274">
                  <formatCode>0.00%</formatCode>
                  <v>0.08945870505172131</v>
                </pt>
                <pt idx="275">
                  <formatCode>0.00%</formatCode>
                  <v>0.06740068043612205</v>
                </pt>
                <pt idx="276">
                  <formatCode>0.00%</formatCode>
                  <v>0.09396065106592864</v>
                </pt>
                <pt idx="277">
                  <formatCode>0.00%</formatCode>
                  <v>0.09669012949331041</v>
                </pt>
                <pt idx="278">
                  <formatCode>0.00%</formatCode>
                  <v>0.07780903349079137</v>
                </pt>
                <pt idx="279">
                  <formatCode>0.00%</formatCode>
                  <v>0.08273001109760608</v>
                </pt>
                <pt idx="280">
                  <formatCode>0.00%</formatCode>
                  <v>0.07197997628770914</v>
                </pt>
                <pt idx="281">
                  <formatCode>0.00%</formatCode>
                  <v>0.06219040950232112</v>
                </pt>
                <pt idx="282">
                  <formatCode>0.00%</formatCode>
                  <v>0.07722956715220822</v>
                </pt>
                <pt idx="283">
                  <formatCode>0.00%</formatCode>
                  <v>0.06547787042976266</v>
                </pt>
                <pt idx="284">
                  <formatCode>0.00%</formatCode>
                  <v>0.07280847262983284</v>
                </pt>
                <pt idx="285">
                  <formatCode>0.00%</formatCode>
                  <v>0.06928464864591499</v>
                </pt>
                <pt idx="286">
                  <formatCode>0.00%</formatCode>
                  <v>0.05779809600361709</v>
                </pt>
                <pt idx="287">
                  <formatCode>0.00%</formatCode>
                  <v>0.06949429037520391</v>
                </pt>
                <pt idx="288">
                  <formatCode>0.00%</formatCode>
                  <v>0.08022944167522481</v>
                </pt>
                <pt idx="289">
                  <formatCode>0.00%</formatCode>
                  <v>0.06388868474559663</v>
                </pt>
                <pt idx="290">
                  <formatCode>0.00%</formatCode>
                  <v>0.07315211503422465</v>
                </pt>
                <pt idx="291">
                  <formatCode>0.00%</formatCode>
                  <v>0.07326060961026917</v>
                </pt>
                <pt idx="292">
                  <formatCode>0.00%</formatCode>
                  <v>0.101727824612284</v>
                </pt>
                <pt idx="293">
                  <formatCode>0.00%</formatCode>
                  <v>0.1073076641355568</v>
                </pt>
                <pt idx="294">
                  <formatCode>0.00%</formatCode>
                  <v>0.08569507157267749</v>
                </pt>
                <pt idx="295">
                  <formatCode>0.00%</formatCode>
                  <v>0.09798444385580465</v>
                </pt>
                <pt idx="296">
                  <formatCode>0.00%</formatCode>
                  <v>0.09372472524858462</v>
                </pt>
                <pt idx="297">
                  <formatCode>0.00%</formatCode>
                  <v>0.09719299075365952</v>
                </pt>
                <pt idx="298">
                  <formatCode>0.00%</formatCode>
                  <v>0.1030585106382979</v>
                </pt>
                <pt idx="299">
                  <formatCode>0.00%</formatCode>
                  <v>0.1303092880274088</v>
                </pt>
                <pt idx="300">
                  <formatCode>0.00%</formatCode>
                  <v>0.1149190743403052</v>
                </pt>
                <pt idx="301">
                  <formatCode>0.00%</formatCode>
                  <v>0.1114692947109075</v>
                </pt>
                <pt idx="302">
                  <formatCode>0.00%</formatCode>
                  <v>0.1223815532866812</v>
                </pt>
                <pt idx="303">
                  <formatCode>0.00%</formatCode>
                  <v>0.124059210077537</v>
                </pt>
                <pt idx="304">
                  <formatCode>0.00%</formatCode>
                  <v>0.1137286396287869</v>
                </pt>
                <pt idx="305">
                  <formatCode>0.00%</formatCode>
                  <v>0.1081098959252073</v>
                </pt>
                <pt idx="306">
                  <formatCode>0.00%</formatCode>
                  <v>0.1195026988762056</v>
                </pt>
                <pt idx="307">
                  <formatCode>0.00%</formatCode>
                  <v>0.1173567856829546</v>
                </pt>
                <pt idx="308">
                  <formatCode>0.00%</formatCode>
                  <v>0.118643699160468</v>
                </pt>
                <pt idx="309">
                  <formatCode>0.00%</formatCode>
                  <v>0.09787270728710908</v>
                </pt>
                <pt idx="310">
                  <formatCode>0.00%</formatCode>
                  <v>0.1481959872556618</v>
                </pt>
                <pt idx="311">
                  <formatCode>0.00%</formatCode>
                  <v>0.145763697137044</v>
                </pt>
                <pt idx="312">
                  <formatCode>0.00%</formatCode>
                  <v>0.1287592030281602</v>
                </pt>
                <pt idx="313">
                  <formatCode>0.00%</formatCode>
                  <v>0.1310337683861612</v>
                </pt>
                <pt idx="314">
                  <formatCode>0.00%</formatCode>
                  <v>0.134242318935383</v>
                </pt>
                <pt idx="315">
                  <formatCode>0.00%</formatCode>
                  <v>0.1293820167897239</v>
                </pt>
                <pt idx="316">
                  <formatCode>0.00%</formatCode>
                  <v>0.1175186283150389</v>
                </pt>
                <pt idx="317">
                  <formatCode>0.00%</formatCode>
                  <v>0.1089045866082977</v>
                </pt>
                <pt idx="318">
                  <formatCode>0.00%</formatCode>
                  <v>0.1224558352764494</v>
                </pt>
                <pt idx="319">
                  <formatCode>0.00%</formatCode>
                  <v>0.1213025300802795</v>
                </pt>
                <pt idx="320">
                  <formatCode>0.00%</formatCode>
                  <v>0.1245503859389886</v>
                </pt>
                <pt idx="321">
                  <formatCode>0.00%</formatCode>
                  <v>0.1397974007617103</v>
                </pt>
                <pt idx="322">
                  <formatCode>0.00%</formatCode>
                  <v>0.1155129743512824</v>
                </pt>
                <pt idx="323">
                  <formatCode>0.00%</formatCode>
                  <v>0.002627382764369066</v>
                </pt>
                <pt idx="324">
                  <formatCode>0.00%</formatCode>
                  <v>0.08864444567280232</v>
                </pt>
                <pt idx="325">
                  <formatCode>0.00%</formatCode>
                  <v>0.0956864181701621</v>
                </pt>
                <pt idx="326">
                  <formatCode>0.00%</formatCode>
                  <v>0.08146199041199582</v>
                </pt>
                <pt idx="327">
                  <formatCode>0.00%</formatCode>
                  <v>0.07223585463273093</v>
                </pt>
                <pt idx="328">
                  <formatCode>0.00%</formatCode>
                  <v>0.1054829632019501</v>
                </pt>
                <pt idx="329">
                  <formatCode>0.00%</formatCode>
                  <v>0.125968992248062</v>
                </pt>
                <pt idx="330">
                  <formatCode>0.00%</formatCode>
                  <v>0.1222294597116349</v>
                </pt>
                <pt idx="331">
                  <formatCode>0.00%</formatCode>
                  <v>0.1155320601466907</v>
                </pt>
                <pt idx="332">
                  <formatCode>0.00%</formatCode>
                  <v>0.1064333754041391</v>
                </pt>
                <pt idx="333">
                  <formatCode>0.00%</formatCode>
                  <v>0.1082863983189514</v>
                </pt>
                <pt idx="334">
                  <formatCode>0.00%</formatCode>
                  <v>0.08351681597391465</v>
                </pt>
                <pt idx="335">
                  <formatCode>0.00%</formatCode>
                  <v>0.1932481520973018</v>
                </pt>
                <pt idx="336">
                  <formatCode>0.00%</formatCode>
                  <v>0.09459413716065262</v>
                </pt>
                <pt idx="337">
                  <formatCode>0.00%</formatCode>
                  <v>0.1189087079356057</v>
                </pt>
                <pt idx="338">
                  <formatCode>0.00%</formatCode>
                  <v>0.1975969069759691</v>
                </pt>
                <pt idx="339">
                  <formatCode>0.00%</formatCode>
                  <v>0.2808031538153147</v>
                </pt>
                <pt idx="340">
                  <formatCode>0.00%</formatCode>
                  <v>0.368749594655944</v>
                </pt>
                <pt idx="341">
                  <formatCode>0.00%</formatCode>
                  <v>0.3188149423089182</v>
                </pt>
                <pt idx="342">
                  <formatCode>0.00%</formatCode>
                  <v>0.3688074545853858</v>
                </pt>
                <pt idx="343">
                  <formatCode>0.00%</formatCode>
                  <v>0.3775950539017999</v>
                </pt>
                <pt idx="344">
                  <formatCode>0.00%</formatCode>
                  <v>0.3754512071255567</v>
                </pt>
                <pt idx="345">
                  <formatCode>0.00%</formatCode>
                  <v>0.378376278245734</v>
                </pt>
                <pt idx="346">
                  <formatCode>0.00%</formatCode>
                  <v>0.3722737567089628</v>
                </pt>
                <pt idx="347">
                  <formatCode>0.00%</formatCode>
                  <v>0.2889013418956169</v>
                </pt>
                <pt idx="348">
                  <formatCode>0.00%</formatCode>
                  <v>0.4083311428262181</v>
                </pt>
                <pt idx="349">
                  <formatCode>0.00%</formatCode>
                  <v>0.3595440148210124</v>
                </pt>
                <pt idx="350">
                  <formatCode>0.00%</formatCode>
                  <v>0.3825056009351127</v>
                </pt>
                <pt idx="351">
                  <formatCode>0.00%</formatCode>
                  <v>0.2405900305188199</v>
                </pt>
                <pt idx="352">
                  <formatCode>0.00%</formatCode>
                  <v>0.1406436939551523</v>
                </pt>
                <pt idx="353">
                  <formatCode>0.00%</formatCode>
                  <v>0.1904946044252172</v>
                </pt>
                <pt idx="354">
                  <formatCode>0.00%</formatCode>
                  <v>0.05622535986063996</v>
                </pt>
                <pt idx="355">
                  <formatCode>0.00%</formatCode>
                  <v>0.1070281353229297</v>
                </pt>
                <pt idx="356">
                  <formatCode>0.00%</formatCode>
                  <v>0.109654404580673</v>
                </pt>
                <pt idx="357">
                  <formatCode>0.00%</formatCode>
                  <v>0.1260753385272795</v>
                </pt>
                <pt idx="358">
                  <formatCode>0.00%</formatCode>
                  <v>0.1446899903916803</v>
                </pt>
                <pt idx="359">
                  <formatCode>0.00%</formatCode>
                  <v>0.1275778192970705</v>
                </pt>
                <pt idx="360">
                  <formatCode>0.00%</formatCode>
                  <v>0.1283692537411754</v>
                </pt>
                <pt idx="361">
                  <formatCode>0.00%</formatCode>
                  <v>0.143938811169599</v>
                </pt>
                <pt idx="362">
                  <formatCode>0.00%</formatCode>
                  <v>0.03567150808748779</v>
                </pt>
                <pt idx="363">
                  <formatCode>0.00%</formatCode>
                  <v>0.09337580555292732</v>
                </pt>
                <pt idx="364">
                  <formatCode>0.00%</formatCode>
                  <v>0.1090121713122585</v>
                </pt>
                <pt idx="365">
                  <formatCode>0.00%</formatCode>
                  <v>0.08770059989646457</v>
                </pt>
                <pt idx="366">
                  <formatCode>0.00%</formatCode>
                  <v>0.1820381502137541</v>
                </pt>
                <pt idx="367">
                  <formatCode>0.00%</formatCode>
                  <v>0.127291996789661</v>
                </pt>
                <pt idx="368">
                  <formatCode>0.00%</formatCode>
                  <v>0.1201548006634314</v>
                </pt>
                <pt idx="369">
                  <formatCode>0.00%</formatCode>
                  <v>0.1026182728410513</v>
                </pt>
                <pt idx="370">
                  <formatCode>0.00%</formatCode>
                  <v>0.0772132523576754</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a:prstDash val="solid"/>
            </a:ln>
          </spPr>
          <marker>
            <symbol val="none"/>
            <spPr>
              <a:ln xmlns:a="http://schemas.openxmlformats.org/drawingml/2006/main">
                <a:prstDash val="solid"/>
              </a:ln>
            </spPr>
          </marker>
          <cat>
            <numRef>
              <f>Health!$A$7:$A$384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Health!$B$7:$B$384</f>
              <numCache>
                <formatCode>#,##0</formatCode>
                <ptCount val="378"/>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21187</v>
                </pt>
                <pt idx="217">
                  <v>21199</v>
                </pt>
                <pt idx="218">
                  <v>21363</v>
                </pt>
                <pt idx="219">
                  <v>21471</v>
                </pt>
                <pt idx="220">
                  <v>21399</v>
                </pt>
                <pt idx="221">
                  <v>21661</v>
                </pt>
                <pt idx="222">
                  <v>21733</v>
                </pt>
                <pt idx="223">
                  <v>21863</v>
                </pt>
                <pt idx="224">
                  <v>21888</v>
                </pt>
                <pt idx="225">
                  <v>22105</v>
                </pt>
                <pt idx="226">
                  <v>22180</v>
                </pt>
                <pt idx="227">
                  <v>22272</v>
                </pt>
                <pt idx="228">
                  <v>22695</v>
                </pt>
                <pt idx="229">
                  <v>22428</v>
                </pt>
                <pt idx="230">
                  <v>22563</v>
                </pt>
                <pt idx="231">
                  <v>22448</v>
                </pt>
                <pt idx="232">
                  <v>22608</v>
                </pt>
                <pt idx="233">
                  <v>22607</v>
                </pt>
                <pt idx="234">
                  <v>22728</v>
                </pt>
                <pt idx="235">
                  <v>22822</v>
                </pt>
                <pt idx="236">
                  <v>22718</v>
                </pt>
                <pt idx="237">
                  <v>22830</v>
                </pt>
                <pt idx="238">
                  <v>22735</v>
                </pt>
                <pt idx="239">
                  <v>22656</v>
                </pt>
                <pt idx="240">
                  <v>22973</v>
                </pt>
                <pt idx="241">
                  <v>22999</v>
                </pt>
                <pt idx="242">
                  <v>22945</v>
                </pt>
                <pt idx="243">
                  <v>23045</v>
                </pt>
                <pt idx="244">
                  <v>22883</v>
                </pt>
                <pt idx="245">
                  <v>22471</v>
                </pt>
                <pt idx="246">
                  <v>22793</v>
                </pt>
                <pt idx="247">
                  <v>22741</v>
                </pt>
                <pt idx="248">
                  <v>22608</v>
                </pt>
                <pt idx="249">
                  <v>22504</v>
                </pt>
                <pt idx="250">
                  <v>22661</v>
                </pt>
                <pt idx="251">
                  <v>22898</v>
                </pt>
                <pt idx="252">
                  <v>23167</v>
                </pt>
                <pt idx="253">
                  <v>22992</v>
                </pt>
                <pt idx="254">
                  <v>23025</v>
                </pt>
                <pt idx="255">
                  <v>22925</v>
                </pt>
                <pt idx="256">
                  <v>23021</v>
                </pt>
                <pt idx="257">
                  <v>23001</v>
                </pt>
                <pt idx="258">
                  <v>23262</v>
                </pt>
                <pt idx="259">
                  <v>23254</v>
                </pt>
                <pt idx="260">
                  <v>23674</v>
                </pt>
                <pt idx="261">
                  <v>23690</v>
                </pt>
                <pt idx="262">
                  <v>23711</v>
                </pt>
                <pt idx="263">
                  <v>23755</v>
                </pt>
                <pt idx="264">
                  <v>23735</v>
                </pt>
                <pt idx="265">
                  <v>23842</v>
                </pt>
                <pt idx="266">
                  <v>23989</v>
                </pt>
                <pt idx="267">
                  <v>24191</v>
                </pt>
                <pt idx="268">
                  <v>24523</v>
                </pt>
                <pt idx="269">
                  <v>24717</v>
                </pt>
                <pt idx="270">
                  <v>24730</v>
                </pt>
                <pt idx="271">
                  <v>24836</v>
                </pt>
                <pt idx="272">
                  <v>24949</v>
                </pt>
                <pt idx="273">
                  <v>24859</v>
                </pt>
                <pt idx="274">
                  <v>24950</v>
                </pt>
                <pt idx="275">
                  <v>25117</v>
                </pt>
                <pt idx="276">
                  <v>25313</v>
                </pt>
                <pt idx="277">
                  <v>25111</v>
                </pt>
                <pt idx="278">
                  <v>25650</v>
                </pt>
                <pt idx="279">
                  <v>25225</v>
                </pt>
                <pt idx="280">
                  <v>25202</v>
                </pt>
                <pt idx="281">
                  <v>25362</v>
                </pt>
                <pt idx="282">
                  <v>25642</v>
                </pt>
                <pt idx="283">
                  <v>25816</v>
                </pt>
                <pt idx="284">
                  <v>26062</v>
                </pt>
                <pt idx="285">
                  <v>25924</v>
                </pt>
                <pt idx="286">
                  <v>26098</v>
                </pt>
                <pt idx="287">
                  <v>26298</v>
                </pt>
                <pt idx="288">
                  <v>26178</v>
                </pt>
                <pt idx="289">
                  <v>26752</v>
                </pt>
                <pt idx="290">
                  <v>26567</v>
                </pt>
                <pt idx="291">
                  <v>26781</v>
                </pt>
                <pt idx="292">
                  <v>26700</v>
                </pt>
                <pt idx="293">
                  <v>26877</v>
                </pt>
                <pt idx="294">
                  <v>26845</v>
                </pt>
                <pt idx="295">
                  <v>26744</v>
                </pt>
                <pt idx="296">
                  <v>26682</v>
                </pt>
                <pt idx="297">
                  <v>25894</v>
                </pt>
                <pt idx="298">
                  <v>26119</v>
                </pt>
                <pt idx="299">
                  <v>26179</v>
                </pt>
                <pt idx="300">
                  <v>26149</v>
                </pt>
                <pt idx="301">
                  <v>26447</v>
                </pt>
                <pt idx="302">
                  <v>26580</v>
                </pt>
                <pt idx="303">
                  <v>26763</v>
                </pt>
                <pt idx="304">
                  <v>26765</v>
                </pt>
                <pt idx="305">
                  <v>27011</v>
                </pt>
                <pt idx="306">
                  <v>27047</v>
                </pt>
                <pt idx="307">
                  <v>27333</v>
                </pt>
                <pt idx="308">
                  <v>27395</v>
                </pt>
                <pt idx="309">
                  <v>27559</v>
                </pt>
                <pt idx="310">
                  <v>27721</v>
                </pt>
                <pt idx="311">
                  <v>27603</v>
                </pt>
                <pt idx="312">
                  <v>27603</v>
                </pt>
                <pt idx="313">
                  <v>27494</v>
                </pt>
                <pt idx="314">
                  <v>27656</v>
                </pt>
                <pt idx="315">
                  <v>27950</v>
                </pt>
                <pt idx="316">
                  <v>28294</v>
                </pt>
                <pt idx="317">
                  <v>28127</v>
                </pt>
                <pt idx="318">
                  <v>28308</v>
                </pt>
                <pt idx="319">
                  <v>28535</v>
                </pt>
                <pt idx="320">
                  <v>28358</v>
                </pt>
                <pt idx="321">
                  <v>28542</v>
                </pt>
                <pt idx="322">
                  <v>29088</v>
                </pt>
                <pt idx="323">
                  <v>27847</v>
                </pt>
                <pt idx="324">
                  <v>28629</v>
                </pt>
                <pt idx="325">
                  <v>28875</v>
                </pt>
                <pt idx="326">
                  <v>28827</v>
                </pt>
                <pt idx="327">
                  <v>28719</v>
                </pt>
                <pt idx="328">
                  <v>28862</v>
                </pt>
                <pt idx="329">
                  <v>28805</v>
                </pt>
                <pt idx="330">
                  <v>28665</v>
                </pt>
                <pt idx="331">
                  <v>28580</v>
                </pt>
                <pt idx="332">
                  <v>28600</v>
                </pt>
                <pt idx="333">
                  <v>28809</v>
                </pt>
                <pt idx="334">
                  <v>28576</v>
                </pt>
                <pt idx="335">
                  <v>28267</v>
                </pt>
                <pt idx="336">
                  <v>28983</v>
                </pt>
                <pt idx="337">
                  <v>29290</v>
                </pt>
                <pt idx="338">
                  <v>30733</v>
                </pt>
                <pt idx="339">
                  <v>26103</v>
                </pt>
                <pt idx="340">
                  <v>26413</v>
                </pt>
                <pt idx="341">
                  <v>28579</v>
                </pt>
                <pt idx="342">
                  <v>30173</v>
                </pt>
                <pt idx="343">
                  <v>29802</v>
                </pt>
                <pt idx="344">
                  <v>30274</v>
                </pt>
                <pt idx="345">
                  <v>30170</v>
                </pt>
                <pt idx="346">
                  <v>29698</v>
                </pt>
                <pt idx="347">
                  <v>29948</v>
                </pt>
                <pt idx="348">
                  <v>29977</v>
                </pt>
                <pt idx="349">
                  <v>29740</v>
                </pt>
                <pt idx="350">
                  <v>32383</v>
                </pt>
                <pt idx="351">
                  <v>32315</v>
                </pt>
                <pt idx="352">
                  <v>31531</v>
                </pt>
                <pt idx="353">
                  <v>32715</v>
                </pt>
                <pt idx="354">
                  <v>32512</v>
                </pt>
                <pt idx="355">
                  <v>32799</v>
                </pt>
                <pt idx="356">
                  <v>32611</v>
                </pt>
                <pt idx="357">
                  <v>32444</v>
                </pt>
                <pt idx="358">
                  <v>32694</v>
                </pt>
                <pt idx="359">
                  <v>32797</v>
                </pt>
                <pt idx="360">
                  <v>32815</v>
                </pt>
                <pt idx="361">
                  <v>32445</v>
                </pt>
                <pt idx="362">
                  <v>32763</v>
                </pt>
                <pt idx="363">
                  <v>32962</v>
                </pt>
                <pt idx="364">
                  <v>32985</v>
                </pt>
                <pt idx="365">
                  <v>33426</v>
                </pt>
                <pt idx="366">
                  <v>33641</v>
                </pt>
                <pt idx="367">
                  <v>33649</v>
                </pt>
                <pt idx="368">
                  <v>33932</v>
                </pt>
                <pt idx="369">
                  <v>33928</v>
                </pt>
                <pt idx="370">
                  <v>34168</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Health!$A$7:$A$381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Health!$D$7:$D$381</f>
              <numCache>
                <formatCode>General</formatCode>
                <ptCount val="375"/>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0.02091263913651038</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0.03094531581178465</v>
                </pt>
                <pt idx="225">
                  <formatCode>0.00%</formatCode>
                  <v>0.03886643481530219</v>
                </pt>
                <pt idx="226">
                  <formatCode>0.00%</formatCode>
                  <v>0.04190154077414506</v>
                </pt>
                <pt idx="227">
                  <formatCode>0.00%</formatCode>
                  <v>0.0508138711960368</v>
                </pt>
                <pt idx="228">
                  <formatCode>0.00%</formatCode>
                  <v>0.07117572096096662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0.0379203216374269</v>
                </pt>
                <pt idx="237">
                  <formatCode>0.00%</formatCode>
                  <v>0.0327980095001131</v>
                </pt>
                <pt idx="238">
                  <formatCode>0.00%</formatCode>
                  <v>0.02502254283137962</v>
                </pt>
                <pt idx="239">
                  <formatCode>0.00%</formatCode>
                  <v>0.01724137931034483</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-0.006015835803069846</v>
                </pt>
                <pt idx="246">
                  <formatCode>0.00%</formatCode>
                  <v>0.002859908482928546</v>
                </pt>
                <pt idx="247">
                  <formatCode>0.00%</formatCode>
                  <v>-0.003549206905617387</v>
                </pt>
                <pt idx="248">
                  <formatCode>0.00%</formatCode>
                  <v>-0.004841975526014614</v>
                </pt>
                <pt idx="249">
                  <formatCode>0.00%</formatCode>
                  <v>-0.01427945685501533</v>
                </pt>
                <pt idx="250">
                  <formatCode>0.00%</formatCode>
                  <v>-0.00325489333626567</v>
                </pt>
                <pt idx="251">
                  <formatCode>0.00%</formatCode>
                  <v>0.01068149717514124</v>
                </pt>
                <pt idx="252">
                  <formatCode>0.00%</formatCode>
                  <v>0.008444695947416533</v>
                </pt>
                <pt idx="253">
                  <formatCode>0.00%</formatCode>
                  <v>-0.0003043610591764859</v>
                </pt>
                <pt idx="254">
                  <formatCode>0.00%</formatCode>
                  <v>0.003486598387448246</v>
                </pt>
                <pt idx="255">
                  <formatCode>0.00%</formatCode>
                  <v>-0.005207203297895422</v>
                </pt>
                <pt idx="256">
                  <formatCode>0.00%</formatCode>
                  <v>0.006030677795743565</v>
                </pt>
                <pt idx="257">
                  <formatCode>0.00%</formatCode>
                  <v>0.02358595523118686</v>
                </pt>
                <pt idx="258">
                  <formatCode>0.00%</formatCode>
                  <v>0.02057649278287194</v>
                </pt>
                <pt idx="259">
                  <formatCode>0.00%</formatCode>
                  <v>0.02255837474165604</v>
                </pt>
                <pt idx="260">
                  <formatCode>0.00%</formatCode>
                  <v>0.0471514508138712</v>
                </pt>
                <pt idx="261">
                  <formatCode>0.00%</formatCode>
                  <v>0.05270174191254888</v>
                </pt>
                <pt idx="262">
                  <formatCode>0.00%</formatCode>
                  <v>0.04633511319006222</v>
                </pt>
                <pt idx="263">
                  <formatCode>0.00%</formatCode>
                  <v>0.03742684950650712</v>
                </pt>
                <pt idx="264">
                  <formatCode>0.00%</formatCode>
                  <v>0.02451763283981525</v>
                </pt>
                <pt idx="265">
                  <formatCode>0.00%</formatCode>
                  <v>0.03696938065414057</v>
                </pt>
                <pt idx="266">
                  <formatCode>0.00%</formatCode>
                  <v>0.04186753528773073</v>
                </pt>
                <pt idx="267">
                  <formatCode>0.00%</formatCode>
                  <v>0.05522355507088331</v>
                </pt>
                <pt idx="268">
                  <formatCode>0.00%</formatCode>
                  <v>0.06524477650840536</v>
                </pt>
                <pt idx="269">
                  <formatCode>0.00%</formatCode>
                  <v>0.07460545193687231</v>
                </pt>
                <pt idx="270">
                  <formatCode>0.00%</formatCode>
                  <v>0.06310721348121399</v>
                </pt>
                <pt idx="271">
                  <formatCode>0.00%</formatCode>
                  <v>0.06803130644190247</v>
                </pt>
                <pt idx="272">
                  <formatCode>0.00%</formatCode>
                  <v>0.05385655149108727</v>
                </pt>
                <pt idx="273">
                  <formatCode>0.00%</formatCode>
                  <v>0.04934571549176868</v>
                </pt>
                <pt idx="274">
                  <formatCode>0.00%</formatCode>
                  <v>0.05225422799544515</v>
                </pt>
                <pt idx="275">
                  <formatCode>0.00%</formatCode>
                  <v>0.05733529783203536</v>
                </pt>
                <pt idx="276">
                  <formatCode>0.00%</formatCode>
                  <v>0.06648409521803245</v>
                </pt>
                <pt idx="277">
                  <formatCode>0.00%</formatCode>
                  <v>0.05322540055364483</v>
                </pt>
                <pt idx="278">
                  <formatCode>0.00%</formatCode>
                  <v>0.06924006836466715</v>
                </pt>
                <pt idx="279">
                  <formatCode>0.00%</formatCode>
                  <v>0.0427431689471291</v>
                </pt>
                <pt idx="280">
                  <formatCode>0.00%</formatCode>
                  <v>0.02768829262325164</v>
                </pt>
                <pt idx="281">
                  <formatCode>0.00%</formatCode>
                  <v>0.02609539992717563</v>
                </pt>
                <pt idx="282">
                  <formatCode>0.00%</formatCode>
                  <v>0.03687828548321876</v>
                </pt>
                <pt idx="283">
                  <formatCode>0.00%</formatCode>
                  <v>0.03945885005636979</v>
                </pt>
                <pt idx="284">
                  <formatCode>0.00%</formatCode>
                  <v>0.04461100645316445</v>
                </pt>
                <pt idx="285">
                  <formatCode>0.00%</formatCode>
                  <v>0.04284162677501106</v>
                </pt>
                <pt idx="286">
                  <formatCode>0.00%</formatCode>
                  <v>0.04601202404809619</v>
                </pt>
                <pt idx="287">
                  <formatCode>0.00%</formatCode>
                  <v>0.0470199466496795</v>
                </pt>
                <pt idx="288">
                  <formatCode>0.00%</formatCode>
                  <v>0.03417216450045431</v>
                </pt>
                <pt idx="289">
                  <formatCode>0.00%</formatCode>
                  <v>0.06534984668073753</v>
                </pt>
                <pt idx="290">
                  <formatCode>0.00%</formatCode>
                  <v>0.0357504873294347</v>
                </pt>
                <pt idx="291">
                  <formatCode>0.00%</formatCode>
                  <v>0.06168483647175421</v>
                </pt>
                <pt idx="292">
                  <formatCode>0.00%</formatCode>
                  <v>0.05943972700579319</v>
                </pt>
                <pt idx="293">
                  <formatCode>0.00%</formatCode>
                  <v>0.05973503666903241</v>
                </pt>
                <pt idx="294">
                  <formatCode>0.00%</formatCode>
                  <v>0.04691521722174558</v>
                </pt>
                <pt idx="295">
                  <formatCode>0.00%</formatCode>
                  <v>0.03594669972110319</v>
                </pt>
                <pt idx="296">
                  <formatCode>0.00%</formatCode>
                  <v>0.02378942521679073</v>
                </pt>
                <pt idx="297">
                  <formatCode>0.00%</formatCode>
                  <v>-0.001157228822712544</v>
                </pt>
                <pt idx="298">
                  <formatCode>0.00%</formatCode>
                  <v>0.0008046593608705648</v>
                </pt>
                <pt idx="299">
                  <formatCode>0.00%</formatCode>
                  <v>-0.004525058939843334</v>
                </pt>
                <pt idx="300">
                  <formatCode>0.00%</formatCode>
                  <v>-0.001107800443120177</v>
                </pt>
                <pt idx="301">
                  <formatCode>0.00%</formatCode>
                  <v>-0.01140101674641148</v>
                </pt>
                <pt idx="302">
                  <formatCode>0.00%</formatCode>
                  <v>0.0004893288666390635</v>
                </pt>
                <pt idx="303">
                  <formatCode>0.00%</formatCode>
                  <v>-0.0006721182928195363</v>
                </pt>
                <pt idx="304">
                  <formatCode>0.00%</formatCode>
                  <v>0.002434456928838951</v>
                </pt>
                <pt idx="305">
                  <formatCode>0.00%</formatCode>
                  <v>0.004985675484615098</v>
                </pt>
                <pt idx="306">
                  <formatCode>0.00%</formatCode>
                  <v>0.007524678711119389</v>
                </pt>
                <pt idx="307">
                  <formatCode>0.00%</formatCode>
                  <v>0.02202363146874065</v>
                </pt>
                <pt idx="308">
                  <formatCode>0.00%</formatCode>
                  <v>0.02672213477250581</v>
                </pt>
                <pt idx="309">
                  <formatCode>0.00%</formatCode>
                  <v>0.06430061017996447</v>
                </pt>
                <pt idx="310">
                  <formatCode>0.00%</formatCode>
                  <v>0.06133466059190627</v>
                </pt>
                <pt idx="311">
                  <formatCode>0.00%</formatCode>
                  <v>0.05439474387868139</v>
                </pt>
                <pt idx="312">
                  <formatCode>0.00%</formatCode>
                  <v>0.05560442081915178</v>
                </pt>
                <pt idx="313">
                  <formatCode>0.00%</formatCode>
                  <v>0.03958861118463342</v>
                </pt>
                <pt idx="314">
                  <formatCode>0.00%</formatCode>
                  <v>0.04048156508653122</v>
                </pt>
                <pt idx="315">
                  <formatCode>0.00%</formatCode>
                  <v>0.04435227739790008</v>
                </pt>
                <pt idx="316">
                  <formatCode>0.00%</formatCode>
                  <v>0.05712684475994769</v>
                </pt>
                <pt idx="317">
                  <formatCode>0.00%</formatCode>
                  <v>0.04131650068490615</v>
                </pt>
                <pt idx="318">
                  <formatCode>0.00%</formatCode>
                  <v>0.04662254593855141</v>
                </pt>
                <pt idx="319">
                  <formatCode>0.00%</formatCode>
                  <v>0.04397614605056159</v>
                </pt>
                <pt idx="320">
                  <formatCode>0.00%</formatCode>
                  <v>0.03515240007300603</v>
                </pt>
                <pt idx="321">
                  <formatCode>0.00%</formatCode>
                  <v>0.0356689284807141</v>
                </pt>
                <pt idx="322">
                  <formatCode>0.00%</formatCode>
                  <v>0.04931279535370297</v>
                </pt>
                <pt idx="323">
                  <formatCode>0.00%</formatCode>
                  <v>0.008839618882005578</v>
                </pt>
                <pt idx="324">
                  <formatCode>0.00%</formatCode>
                  <v>0.0371698728399087</v>
                </pt>
                <pt idx="325">
                  <formatCode>0.00%</formatCode>
                  <v>0.05022914090346985</v>
                </pt>
                <pt idx="326">
                  <formatCode>0.00%</formatCode>
                  <v>0.04234162568701186</v>
                </pt>
                <pt idx="327">
                  <formatCode>0.00%</formatCode>
                  <v>0.0275134168157424</v>
                </pt>
                <pt idx="328">
                  <formatCode>0.00%</formatCode>
                  <v>0.02007492754647628</v>
                </pt>
                <pt idx="329">
                  <formatCode>0.00%</formatCode>
                  <v>0.0241049525367085</v>
                </pt>
                <pt idx="330">
                  <formatCode>0.00%</formatCode>
                  <v>0.01261127596439169</v>
                </pt>
                <pt idx="331">
                  <formatCode>0.00%</formatCode>
                  <v>0.001577010688628001</v>
                </pt>
                <pt idx="332">
                  <formatCode>0.00%</formatCode>
                  <v>0.008533747090768037</v>
                </pt>
                <pt idx="333">
                  <formatCode>0.00%</formatCode>
                  <v>0.009354635274332562</v>
                </pt>
                <pt idx="334">
                  <formatCode>0.00%</formatCode>
                  <v>-0.0176017601760176</v>
                </pt>
                <pt idx="335">
                  <formatCode>0.00%</formatCode>
                  <v>0.01508241462276008</v>
                </pt>
                <pt idx="336">
                  <formatCode>0.00%</formatCode>
                  <v>0.01236508435502463</v>
                </pt>
                <pt idx="337">
                  <formatCode>0.00%</formatCode>
                  <v>0.01437229437229437</v>
                </pt>
                <pt idx="338">
                  <formatCode>0.00%</formatCode>
                  <v>0.06611856939674611</v>
                </pt>
                <pt idx="339">
                  <formatCode>0.00%</formatCode>
                  <v>-0.09108952261568996</v>
                </pt>
                <pt idx="340">
                  <formatCode>0.00%</formatCode>
                  <v>-0.0848520546046705</v>
                </pt>
                <pt idx="341">
                  <formatCode>0.00%</formatCode>
                  <v>-0.007845860093733727</v>
                </pt>
                <pt idx="342">
                  <formatCode>0.00%</formatCode>
                  <v>0.0526077097505669</v>
                </pt>
                <pt idx="343">
                  <formatCode>0.00%</formatCode>
                  <v>0.04275717284814556</v>
                </pt>
                <pt idx="344">
                  <formatCode>0.00%</formatCode>
                  <v>0.05853146853146853</v>
                </pt>
                <pt idx="345">
                  <formatCode>0.00%</formatCode>
                  <v>0.04724218126279982</v>
                </pt>
                <pt idx="346">
                  <formatCode>0.00%</formatCode>
                  <v>0.03926371780515118</v>
                </pt>
                <pt idx="347">
                  <formatCode>0.00%</formatCode>
                  <v>0.05946863834152899</v>
                </pt>
                <pt idx="348">
                  <formatCode>0.00%</formatCode>
                  <v>0.034295966601111</v>
                </pt>
                <pt idx="349">
                  <formatCode>0.00%</formatCode>
                  <v>0.01536360532604985</v>
                </pt>
                <pt idx="350">
                  <formatCode>0.00%</formatCode>
                  <v>0.05368821787654963</v>
                </pt>
                <pt idx="351">
                  <formatCode>0.00%</formatCode>
                  <v>0.237980308776769</v>
                </pt>
                <pt idx="352">
                  <formatCode>0.00%</formatCode>
                  <v>0.1937682201946011</v>
                </pt>
                <pt idx="353">
                  <formatCode>0.00%</formatCode>
                  <v>0.1447216487630778</v>
                </pt>
                <pt idx="354">
                  <formatCode>0.00%</formatCode>
                  <v>0.07751963676134292</v>
                </pt>
                <pt idx="355">
                  <formatCode>0.00%</formatCode>
                  <v>0.1005637205556674</v>
                </pt>
                <pt idx="356">
                  <formatCode>0.00%</formatCode>
                  <v>0.07719495276474862</v>
                </pt>
                <pt idx="357">
                  <formatCode>0.00%</formatCode>
                  <v>0.07537288697381504</v>
                </pt>
                <pt idx="358">
                  <formatCode>0.00%</formatCode>
                  <v>0.1008822142905246</v>
                </pt>
                <pt idx="359">
                  <formatCode>0.00%</formatCode>
                  <v>0.09513156137304661</v>
                </pt>
                <pt idx="360">
                  <formatCode>0.00%</formatCode>
                  <v>0.09467258231310671</v>
                </pt>
                <pt idx="361">
                  <formatCode>0.00%</formatCode>
                  <v>0.09095494283792871</v>
                </pt>
                <pt idx="362">
                  <formatCode>0.00%</formatCode>
                  <v>0.01173455207979495</v>
                </pt>
                <pt idx="363">
                  <formatCode>0.00%</formatCode>
                  <v>0.02002166176698128</v>
                </pt>
                <pt idx="364">
                  <formatCode>0.00%</formatCode>
                  <v>0.04611334876787923</v>
                </pt>
                <pt idx="365">
                  <formatCode>0.00%</formatCode>
                  <v>0.02173314993122421</v>
                </pt>
                <pt idx="366">
                  <formatCode>0.00%</formatCode>
                  <v>0.03472563976377953</v>
                </pt>
                <pt idx="367">
                  <formatCode>0.00%</formatCode>
                  <v>0.02591542425073935</v>
                </pt>
                <pt idx="368">
                  <formatCode>0.00%</formatCode>
                  <v>0.04050780411517586</v>
                </pt>
                <pt idx="369">
                  <formatCode>0.00%</formatCode>
                  <v>0.04574035260756996</v>
                </pt>
                <pt idx="370">
                  <formatCode>0.00%</formatCode>
                  <v>0.04508472502599865</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a:prstDash val="solid"/>
            </a:ln>
          </spPr>
          <marker>
            <symbol val="none"/>
            <spPr>
              <a:ln xmlns:a="http://schemas.openxmlformats.org/drawingml/2006/main">
                <a:prstDash val="solid"/>
              </a:ln>
            </spPr>
          </marker>
          <cat>
            <numRef>
              <f>'Sporting Goods'!$A$7:$A$383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'Sporting Goods'!$B$7:$B$383</f>
              <numCache>
                <formatCode>#,##0</formatCode>
                <ptCount val="377"/>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6507</v>
                </pt>
                <pt idx="217">
                  <v>6412</v>
                </pt>
                <pt idx="218">
                  <v>6515</v>
                </pt>
                <pt idx="219">
                  <v>6409</v>
                </pt>
                <pt idx="220">
                  <v>6496</v>
                </pt>
                <pt idx="221">
                  <v>6497</v>
                </pt>
                <pt idx="222">
                  <v>6516</v>
                </pt>
                <pt idx="223">
                  <v>6441</v>
                </pt>
                <pt idx="224">
                  <v>6469</v>
                </pt>
                <pt idx="225">
                  <v>6579</v>
                </pt>
                <pt idx="226">
                  <v>6723</v>
                </pt>
                <pt idx="227">
                  <v>6588</v>
                </pt>
                <pt idx="228">
                  <v>6565</v>
                </pt>
                <pt idx="229">
                  <v>6611</v>
                </pt>
                <pt idx="230">
                  <v>6566</v>
                </pt>
                <pt idx="231">
                  <v>6608</v>
                </pt>
                <pt idx="232">
                  <v>6542</v>
                </pt>
                <pt idx="233">
                  <v>6585</v>
                </pt>
                <pt idx="234">
                  <v>6462</v>
                </pt>
                <pt idx="235">
                  <v>6661</v>
                </pt>
                <pt idx="236">
                  <v>6686</v>
                </pt>
                <pt idx="237">
                  <v>6605</v>
                </pt>
                <pt idx="238">
                  <v>6544</v>
                </pt>
                <pt idx="239">
                  <v>6353</v>
                </pt>
                <pt idx="240">
                  <v>6575</v>
                </pt>
                <pt idx="241">
                  <v>6683</v>
                </pt>
                <pt idx="242">
                  <v>6815</v>
                </pt>
                <pt idx="243">
                  <v>6859</v>
                </pt>
                <pt idx="244">
                  <v>6869</v>
                </pt>
                <pt idx="245">
                  <v>6797</v>
                </pt>
                <pt idx="246">
                  <v>6813</v>
                </pt>
                <pt idx="247">
                  <v>6715</v>
                </pt>
                <pt idx="248">
                  <v>6720</v>
                </pt>
                <pt idx="249">
                  <v>6749</v>
                </pt>
                <pt idx="250">
                  <v>6675</v>
                </pt>
                <pt idx="251">
                  <v>6828</v>
                </pt>
                <pt idx="252">
                  <v>7012</v>
                </pt>
                <pt idx="253">
                  <v>7021</v>
                </pt>
                <pt idx="254">
                  <v>6899</v>
                </pt>
                <pt idx="255">
                  <v>6795</v>
                </pt>
                <pt idx="256">
                  <v>6862</v>
                </pt>
                <pt idx="257">
                  <v>6913</v>
                </pt>
                <pt idx="258">
                  <v>6938</v>
                </pt>
                <pt idx="259">
                  <v>6713</v>
                </pt>
                <pt idx="260">
                  <v>6877</v>
                </pt>
                <pt idx="261">
                  <v>6860</v>
                </pt>
                <pt idx="262">
                  <v>6875</v>
                </pt>
                <pt idx="263">
                  <v>6861</v>
                </pt>
                <pt idx="264">
                  <v>6488</v>
                </pt>
                <pt idx="265">
                  <v>6795</v>
                </pt>
                <pt idx="266">
                  <v>6803</v>
                </pt>
                <pt idx="267">
                  <v>6894</v>
                </pt>
                <pt idx="268">
                  <v>6860</v>
                </pt>
                <pt idx="269">
                  <v>6950</v>
                </pt>
                <pt idx="270">
                  <v>6922</v>
                </pt>
                <pt idx="271">
                  <v>7122</v>
                </pt>
                <pt idx="272">
                  <v>7043</v>
                </pt>
                <pt idx="273">
                  <v>7156</v>
                </pt>
                <pt idx="274">
                  <v>7147</v>
                </pt>
                <pt idx="275">
                  <v>7066</v>
                </pt>
                <pt idx="276">
                  <v>6939</v>
                </pt>
                <pt idx="277">
                  <v>6977</v>
                </pt>
                <pt idx="278">
                  <v>7061</v>
                </pt>
                <pt idx="279">
                  <v>7084</v>
                </pt>
                <pt idx="280">
                  <v>7121</v>
                </pt>
                <pt idx="281">
                  <v>7069</v>
                </pt>
                <pt idx="282">
                  <v>7124</v>
                </pt>
                <pt idx="283">
                  <v>7158</v>
                </pt>
                <pt idx="284">
                  <v>7188</v>
                </pt>
                <pt idx="285">
                  <v>7082</v>
                </pt>
                <pt idx="286">
                  <v>7195</v>
                </pt>
                <pt idx="287">
                  <v>7336</v>
                </pt>
                <pt idx="288">
                  <v>7292</v>
                </pt>
                <pt idx="289">
                  <v>7272</v>
                </pt>
                <pt idx="290">
                  <v>7257</v>
                </pt>
                <pt idx="291">
                  <v>7190</v>
                </pt>
                <pt idx="292">
                  <v>7246</v>
                </pt>
                <pt idx="293">
                  <v>7573</v>
                </pt>
                <pt idx="294">
                  <v>7203</v>
                </pt>
                <pt idx="295">
                  <v>7013</v>
                </pt>
                <pt idx="296">
                  <v>7045</v>
                </pt>
                <pt idx="297">
                  <v>7094</v>
                </pt>
                <pt idx="298">
                  <v>6952</v>
                </pt>
                <pt idx="299">
                  <v>7069</v>
                </pt>
                <pt idx="300">
                  <v>7223</v>
                </pt>
                <pt idx="301">
                  <v>7058</v>
                </pt>
                <pt idx="302">
                  <v>6974</v>
                </pt>
                <pt idx="303">
                  <v>7046</v>
                </pt>
                <pt idx="304">
                  <v>6951</v>
                </pt>
                <pt idx="305">
                  <v>6963</v>
                </pt>
                <pt idx="306">
                  <v>6854</v>
                </pt>
                <pt idx="307">
                  <v>6921</v>
                </pt>
                <pt idx="308">
                  <v>6985</v>
                </pt>
                <pt idx="309">
                  <v>7013</v>
                </pt>
                <pt idx="310">
                  <v>7124</v>
                </pt>
                <pt idx="311">
                  <v>7077</v>
                </pt>
                <pt idx="312">
                  <v>6820</v>
                </pt>
                <pt idx="313">
                  <v>7092</v>
                </pt>
                <pt idx="314">
                  <v>7153</v>
                </pt>
                <pt idx="315">
                  <v>7051</v>
                </pt>
                <pt idx="316">
                  <v>7044</v>
                </pt>
                <pt idx="317">
                  <v>6830</v>
                </pt>
                <pt idx="318">
                  <v>6574</v>
                </pt>
                <pt idx="319">
                  <v>6515</v>
                </pt>
                <pt idx="320">
                  <v>6426</v>
                </pt>
                <pt idx="321">
                  <v>6426</v>
                </pt>
                <pt idx="322">
                  <v>6473</v>
                </pt>
                <pt idx="323">
                  <v>6366</v>
                </pt>
                <pt idx="324">
                  <v>6477</v>
                </pt>
                <pt idx="325">
                  <v>6536</v>
                </pt>
                <pt idx="326">
                  <v>6558</v>
                </pt>
                <pt idx="327">
                  <v>6683</v>
                </pt>
                <pt idx="328">
                  <v>6717</v>
                </pt>
                <pt idx="329">
                  <v>6799</v>
                </pt>
                <pt idx="330">
                  <v>6680</v>
                </pt>
                <pt idx="331">
                  <v>6740</v>
                </pt>
                <pt idx="332">
                  <v>6698</v>
                </pt>
                <pt idx="333">
                  <v>6742</v>
                </pt>
                <pt idx="334">
                  <v>6532</v>
                </pt>
                <pt idx="335">
                  <v>6720</v>
                </pt>
                <pt idx="336">
                  <v>6702</v>
                </pt>
                <pt idx="337">
                  <v>6635</v>
                </pt>
                <pt idx="338">
                  <v>5482</v>
                </pt>
                <pt idx="339">
                  <v>3693</v>
                </pt>
                <pt idx="340">
                  <v>6455</v>
                </pt>
                <pt idx="341">
                  <v>8244</v>
                </pt>
                <pt idx="342">
                  <v>7889</v>
                </pt>
                <pt idx="343">
                  <v>7467</v>
                </pt>
                <pt idx="344">
                  <v>7855</v>
                </pt>
                <pt idx="345">
                  <v>7764</v>
                </pt>
                <pt idx="346">
                  <v>7664</v>
                </pt>
                <pt idx="347">
                  <v>7711</v>
                </pt>
                <pt idx="348">
                  <v>8545</v>
                </pt>
                <pt idx="349">
                  <v>7830</v>
                </pt>
                <pt idx="350">
                  <v>9513</v>
                </pt>
                <pt idx="351">
                  <v>9367</v>
                </pt>
                <pt idx="352">
                  <v>9095</v>
                </pt>
                <pt idx="353">
                  <v>8957</v>
                </pt>
                <pt idx="354">
                  <v>8912</v>
                </pt>
                <pt idx="355">
                  <v>8801</v>
                </pt>
                <pt idx="356">
                  <v>8904</v>
                </pt>
                <pt idx="357">
                  <v>8954</v>
                </pt>
                <pt idx="358">
                  <v>9136</v>
                </pt>
                <pt idx="359">
                  <v>8968</v>
                </pt>
                <pt idx="360">
                  <v>8877</v>
                </pt>
                <pt idx="361">
                  <v>8916</v>
                </pt>
                <pt idx="362">
                  <v>9009</v>
                </pt>
                <pt idx="363">
                  <v>9069</v>
                </pt>
                <pt idx="364">
                  <v>9153</v>
                </pt>
                <pt idx="365">
                  <v>9233</v>
                </pt>
                <pt idx="366">
                  <v>9236</v>
                </pt>
                <pt idx="367">
                  <v>9335</v>
                </pt>
                <pt idx="368">
                  <v>9295</v>
                </pt>
                <pt idx="369">
                  <v>9357</v>
                </pt>
                <pt idx="370">
                  <v>9303</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'Sporting Goods'!$A$7:$A$384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'Sporting Goods'!$D$7:$D$384</f>
              <numCache>
                <formatCode>General</formatCode>
                <ptCount val="378"/>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-0.02311965170394836</v>
                </pt>
                <pt idx="217">
                  <formatCode>0.00%</formatCode>
                  <v>-0.01882172915072686</v>
                </pt>
                <pt idx="218">
                  <formatCode>0.00%</formatCode>
                  <v>0.02437106918238994</v>
                </pt>
                <pt idx="219">
                  <formatCode>0.00%</formatCode>
                  <v>-0.01611912803193122</v>
                </pt>
                <pt idx="220">
                  <formatCode>0.00%</formatCode>
                  <v>0.0066635673330234</v>
                </pt>
                <pt idx="221">
                  <formatCode>0.00%</formatCode>
                  <v>0.003707708944847829</v>
                </pt>
                <pt idx="222">
                  <formatCode>0.00%</formatCode>
                  <v>0.009450038729666925</v>
                </pt>
                <pt idx="223">
                  <formatCode>0.00%</formatCode>
                  <v>-0.02821363910681955</v>
                </pt>
                <pt idx="224">
                  <formatCode>0.00%</formatCode>
                  <v>-0.002313386798272671</v>
                </pt>
                <pt idx="225">
                  <formatCode>0.00%</formatCode>
                  <v>0.02668539325842697</v>
                </pt>
                <pt idx="226">
                  <formatCode>0.00%</formatCode>
                  <v>0.06595845885524021</v>
                </pt>
                <pt idx="227">
                  <formatCode>0.00%</formatCode>
                  <v>0.009964740150237621</v>
                </pt>
                <pt idx="228">
                  <formatCode>0.00%</formatCode>
                  <v>0.008913477793145844</v>
                </pt>
                <pt idx="229">
                  <formatCode>0.00%</formatCode>
                  <v>0.03103555832813475</v>
                </pt>
                <pt idx="230">
                  <formatCode>0.00%</formatCode>
                  <v>0.00782808902532617</v>
                </pt>
                <pt idx="231">
                  <formatCode>0.00%</formatCode>
                  <v>0.0310500858168201</v>
                </pt>
                <pt idx="232">
                  <formatCode>0.00%</formatCode>
                  <v>0.00708128078817734</v>
                </pt>
                <pt idx="233">
                  <formatCode>0.00%</formatCode>
                  <v>0.01354471294443589</v>
                </pt>
                <pt idx="234">
                  <formatCode>0.00%</formatCode>
                  <v>-0.008287292817679558</v>
                </pt>
                <pt idx="235">
                  <formatCode>0.00%</formatCode>
                  <v>0.03415618692749573</v>
                </pt>
                <pt idx="236">
                  <formatCode>0.00%</formatCode>
                  <v>0.03354459731024888</v>
                </pt>
                <pt idx="237">
                  <formatCode>0.00%</formatCode>
                  <v>0.003951968384252926</v>
                </pt>
                <pt idx="238">
                  <formatCode>0.00%</formatCode>
                  <v>-0.02662501859289008</v>
                </pt>
                <pt idx="239">
                  <formatCode>0.00%</formatCode>
                  <v>-0.03567091681845781</v>
                </pt>
                <pt idx="240">
                  <formatCode>0.00%</formatCode>
                  <v>0.001523229246001523</v>
                </pt>
                <pt idx="241">
                  <formatCode>0.00%</formatCode>
                  <v>0.01089093934351838</v>
                </pt>
                <pt idx="242">
                  <formatCode>0.00%</formatCode>
                  <v>0.03792263173926287</v>
                </pt>
                <pt idx="243">
                  <formatCode>0.00%</formatCode>
                  <v>0.03798426150121065</v>
                </pt>
                <pt idx="244">
                  <formatCode>0.00%</formatCode>
                  <v>0.04998471415469275</v>
                </pt>
                <pt idx="245">
                  <formatCode>0.00%</formatCode>
                  <v>0.03219438116932422</v>
                </pt>
                <pt idx="246">
                  <formatCode>0.00%</formatCode>
                  <v>0.0543175487465181</v>
                </pt>
                <pt idx="247">
                  <formatCode>0.00%</formatCode>
                  <v>0.008106890857228644</v>
                </pt>
                <pt idx="248">
                  <formatCode>0.00%</formatCode>
                  <v>0.00508525276697577</v>
                </pt>
                <pt idx="249">
                  <formatCode>0.00%</formatCode>
                  <v>0.02180166540499621</v>
                </pt>
                <pt idx="250">
                  <formatCode>0.00%</formatCode>
                  <v>0.02001833740831296</v>
                </pt>
                <pt idx="251">
                  <formatCode>0.00%</formatCode>
                  <v>0.07476782622383125</v>
                </pt>
                <pt idx="252">
                  <formatCode>0.00%</formatCode>
                  <v>0.0664638783269962</v>
                </pt>
                <pt idx="253">
                  <formatCode>0.00%</formatCode>
                  <v>0.05057608858297172</v>
                </pt>
                <pt idx="254">
                  <formatCode>0.00%</formatCode>
                  <v>0.01232575201760822</v>
                </pt>
                <pt idx="255">
                  <formatCode>0.00%</formatCode>
                  <v>-0.009330806239976673</v>
                </pt>
                <pt idx="256">
                  <formatCode>0.00%</formatCode>
                  <v>-0.00101907118940166</v>
                </pt>
                <pt idx="257">
                  <formatCode>0.00%</formatCode>
                  <v>0.01706635280270708</v>
                </pt>
                <pt idx="258">
                  <formatCode>0.00%</formatCode>
                  <v>0.01834727726405401</v>
                </pt>
                <pt idx="259">
                  <formatCode>0.00%</formatCode>
                  <v>-0.0002978406552494416</v>
                </pt>
                <pt idx="260">
                  <formatCode>0.00%</formatCode>
                  <v>0.02336309523809524</v>
                </pt>
                <pt idx="261">
                  <formatCode>0.00%</formatCode>
                  <v>0.01644688101941028</v>
                </pt>
                <pt idx="262">
                  <formatCode>0.00%</formatCode>
                  <v>0.0299625468164794</v>
                </pt>
                <pt idx="263">
                  <formatCode>0.00%</formatCode>
                  <v>0.004833040421792618</v>
                </pt>
                <pt idx="264">
                  <formatCode>0.00%</formatCode>
                  <v>-0.07472903593839134</v>
                </pt>
                <pt idx="265">
                  <formatCode>0.00%</formatCode>
                  <v>-0.03218914684517875</v>
                </pt>
                <pt idx="266">
                  <formatCode>0.00%</formatCode>
                  <v>-0.01391506015364546</v>
                </pt>
                <pt idx="267">
                  <formatCode>0.00%</formatCode>
                  <v>0.01456953642384106</v>
                </pt>
                <pt idx="268">
                  <formatCode>0.00%</formatCode>
                  <v>-0.0002914602156805596</v>
                </pt>
                <pt idx="269">
                  <formatCode>0.00%</formatCode>
                  <v>0.005352234919716477</v>
                </pt>
                <pt idx="270">
                  <formatCode>0.00%</formatCode>
                  <v>-0.002306140098010954</v>
                </pt>
                <pt idx="271">
                  <formatCode>0.00%</formatCode>
                  <v>0.06092656040518397</v>
                </pt>
                <pt idx="272">
                  <formatCode>0.00%</formatCode>
                  <v>0.02413843245601279</v>
                </pt>
                <pt idx="273">
                  <formatCode>0.00%</formatCode>
                  <v>0.04314868804664723</v>
                </pt>
                <pt idx="274">
                  <formatCode>0.00%</formatCode>
                  <v>0.03956363636363636</v>
                </pt>
                <pt idx="275">
                  <formatCode>0.00%</formatCode>
                  <v>0.02987902638099402</v>
                </pt>
                <pt idx="276">
                  <formatCode>0.00%</formatCode>
                  <v>0.06951294697903822</v>
                </pt>
                <pt idx="277">
                  <formatCode>0.00%</formatCode>
                  <v>0.02678440029433407</v>
                </pt>
                <pt idx="278">
                  <formatCode>0.00%</formatCode>
                  <v>0.03792444509775099</v>
                </pt>
                <pt idx="279">
                  <formatCode>0.00%</formatCode>
                  <v>0.02756019727299101</v>
                </pt>
                <pt idx="280">
                  <formatCode>0.00%</formatCode>
                  <v>0.0380466472303207</v>
                </pt>
                <pt idx="281">
                  <formatCode>0.00%</formatCode>
                  <v>0.01712230215827338</v>
                </pt>
                <pt idx="282">
                  <formatCode>0.00%</formatCode>
                  <v>0.0291823172493499</v>
                </pt>
                <pt idx="283">
                  <formatCode>0.00%</formatCode>
                  <v>0.005054759898904802</v>
                </pt>
                <pt idx="284">
                  <formatCode>0.00%</formatCode>
                  <v>0.02058781769132472</v>
                </pt>
                <pt idx="285">
                  <formatCode>0.00%</formatCode>
                  <v>-0.01034097261039687</v>
                </pt>
                <pt idx="286">
                  <formatCode>0.00%</formatCode>
                  <v>0.006716104659297607</v>
                </pt>
                <pt idx="287">
                  <formatCode>0.00%</formatCode>
                  <v>0.03821115199547127</v>
                </pt>
                <pt idx="288">
                  <formatCode>0.00%</formatCode>
                  <v>0.05087188355670846</v>
                </pt>
                <pt idx="289">
                  <formatCode>0.00%</formatCode>
                  <v>0.04228178300128995</v>
                </pt>
                <pt idx="290">
                  <formatCode>0.00%</formatCode>
                  <v>0.02775810791672568</v>
                </pt>
                <pt idx="291">
                  <formatCode>0.00%</formatCode>
                  <v>0.01496329757199322</v>
                </pt>
                <pt idx="292">
                  <formatCode>0.00%</formatCode>
                  <v>0.01755371436595984</v>
                </pt>
                <pt idx="293">
                  <formatCode>0.00%</formatCode>
                  <v>0.07129721318432593</v>
                </pt>
                <pt idx="294">
                  <formatCode>0.00%</formatCode>
                  <v>0.01108927568781583</v>
                </pt>
                <pt idx="295">
                  <formatCode>0.00%</formatCode>
                  <v>-0.02025705504330819</v>
                </pt>
                <pt idx="296">
                  <formatCode>0.00%</formatCode>
                  <v>-0.01989426822481914</v>
                </pt>
                <pt idx="297">
                  <formatCode>0.00%</formatCode>
                  <v>0.001694436599830556</v>
                </pt>
                <pt idx="298">
                  <formatCode>0.00%</formatCode>
                  <v>-0.03377345378735233</v>
                </pt>
                <pt idx="299">
                  <formatCode>0.00%</formatCode>
                  <v>-0.03639585605234461</v>
                </pt>
                <pt idx="300">
                  <formatCode>0.00%</formatCode>
                  <v>-0.009462424574876577</v>
                </pt>
                <pt idx="301">
                  <formatCode>0.00%</formatCode>
                  <v>-0.02942794279427943</v>
                </pt>
                <pt idx="302">
                  <formatCode>0.00%</formatCode>
                  <v>-0.03899683064627257</v>
                </pt>
                <pt idx="303">
                  <formatCode>0.00%</formatCode>
                  <v>-0.02002781641168289</v>
                </pt>
                <pt idx="304">
                  <formatCode>0.00%</formatCode>
                  <v>-0.04071211703008557</v>
                </pt>
                <pt idx="305">
                  <formatCode>0.00%</formatCode>
                  <v>-0.0805493199524627</v>
                </pt>
                <pt idx="306">
                  <formatCode>0.00%</formatCode>
                  <v>-0.0484520338747744</v>
                </pt>
                <pt idx="307">
                  <formatCode>0.00%</formatCode>
                  <v>-0.01311849422501069</v>
                </pt>
                <pt idx="308">
                  <formatCode>0.00%</formatCode>
                  <v>-0.008516678495386799</v>
                </pt>
                <pt idx="309">
                  <formatCode>0.00%</formatCode>
                  <v>-0.01141809980265013</v>
                </pt>
                <pt idx="310">
                  <formatCode>0.00%</formatCode>
                  <v>0.02474108170310702</v>
                </pt>
                <pt idx="311">
                  <formatCode>0.00%</formatCode>
                  <v>0.001131701796576602</v>
                </pt>
                <pt idx="312">
                  <formatCode>0.00%</formatCode>
                  <v>-0.05579399141630902</v>
                </pt>
                <pt idx="313">
                  <formatCode>0.00%</formatCode>
                  <v>0.004817228676678946</v>
                </pt>
                <pt idx="314">
                  <formatCode>0.00%</formatCode>
                  <v>0.0256667622598222</v>
                </pt>
                <pt idx="315">
                  <formatCode>0.00%</formatCode>
                  <v>0.000709622480840193</v>
                </pt>
                <pt idx="316">
                  <formatCode>0.00%</formatCode>
                  <v>0.01337936987483815</v>
                </pt>
                <pt idx="317">
                  <formatCode>0.00%</formatCode>
                  <v>-0.01910096222892431</v>
                </pt>
                <pt idx="318">
                  <formatCode>0.00%</formatCode>
                  <v>-0.04085205719288007</v>
                </pt>
                <pt idx="319">
                  <formatCode>0.00%</formatCode>
                  <v>-0.05866204305736165</v>
                </pt>
                <pt idx="320">
                  <formatCode>0.00%</formatCode>
                  <v>-0.0800286327845383</v>
                </pt>
                <pt idx="321">
                  <formatCode>0.00%</formatCode>
                  <v>-0.08370169684870954</v>
                </pt>
                <pt idx="322">
                  <formatCode>0.00%</formatCode>
                  <v>-0.09138124649073555</v>
                </pt>
                <pt idx="323">
                  <formatCode>0.00%</formatCode>
                  <v>-0.1004662992793557</v>
                </pt>
                <pt idx="324">
                  <formatCode>0.00%</formatCode>
                  <v>-0.05029325513196481</v>
                </pt>
                <pt idx="325">
                  <formatCode>0.00%</formatCode>
                  <v>-0.07839819514946418</v>
                </pt>
                <pt idx="326">
                  <formatCode>0.00%</formatCode>
                  <v>-0.08318188172794631</v>
                </pt>
                <pt idx="327">
                  <formatCode>0.00%</formatCode>
                  <v>-0.05219117855623316</v>
                </pt>
                <pt idx="328">
                  <formatCode>0.00%</formatCode>
                  <v>-0.04642248722316866</v>
                </pt>
                <pt idx="329">
                  <formatCode>0.00%</formatCode>
                  <v>-0.004538799414348462</v>
                </pt>
                <pt idx="330">
                  <formatCode>0.00%</formatCode>
                  <v>0.01612412534225738</v>
                </pt>
                <pt idx="331">
                  <formatCode>0.00%</formatCode>
                  <v>0.03453568687643899</v>
                </pt>
                <pt idx="332">
                  <formatCode>0.00%</formatCode>
                  <v>0.04232804232804233</v>
                </pt>
                <pt idx="333">
                  <formatCode>0.00%</formatCode>
                  <v>0.04917522564581388</v>
                </pt>
                <pt idx="334">
                  <formatCode>0.00%</formatCode>
                  <v>0.00911478448941758</v>
                </pt>
                <pt idx="335">
                  <formatCode>0.00%</formatCode>
                  <v>0.05560791705937795</v>
                </pt>
                <pt idx="336">
                  <formatCode>0.00%</formatCode>
                  <v>0.03473830477072719</v>
                </pt>
                <pt idx="337">
                  <formatCode>0.00%</formatCode>
                  <v>0.0151468788249694</v>
                </pt>
                <pt idx="338">
                  <formatCode>0.00%</formatCode>
                  <v>-0.1640744129307716</v>
                </pt>
                <pt idx="339">
                  <formatCode>0.00%</formatCode>
                  <v>-0.4474038605416729</v>
                </pt>
                <pt idx="340">
                  <formatCode>0.00%</formatCode>
                  <v>-0.03900550841149322</v>
                </pt>
                <pt idx="341">
                  <formatCode>0.00%</formatCode>
                  <v>0.2125312545962642</v>
                </pt>
                <pt idx="342">
                  <formatCode>0.00%</formatCode>
                  <v>0.1809880239520958</v>
                </pt>
                <pt idx="343">
                  <formatCode>0.00%</formatCode>
                  <v>0.1078635014836795</v>
                </pt>
                <pt idx="344">
                  <formatCode>0.00%</formatCode>
                  <v>0.1727381307853091</v>
                </pt>
                <pt idx="345">
                  <formatCode>0.00%</formatCode>
                  <v>0.151587066152477</v>
                </pt>
                <pt idx="346">
                  <formatCode>0.00%</formatCode>
                  <v>0.1733006736068586</v>
                </pt>
                <pt idx="347">
                  <formatCode>0.00%</formatCode>
                  <v>0.1474702380952381</v>
                </pt>
                <pt idx="348">
                  <formatCode>0.00%</formatCode>
                  <v>0.2749925395404357</v>
                </pt>
                <pt idx="349">
                  <formatCode>0.00%</formatCode>
                  <v>0.1801055011303692</v>
                </pt>
                <pt idx="350">
                  <formatCode>0.00%</formatCode>
                  <v>0.7353155782561109</v>
                </pt>
                <pt idx="351">
                  <formatCode>0.00%</formatCode>
                  <v>1.536420254535608</v>
                </pt>
                <pt idx="352">
                  <formatCode>0.00%</formatCode>
                  <v>0.4089852827265685</v>
                </pt>
                <pt idx="353">
                  <formatCode>0.00%</formatCode>
                  <v>0.08648714216399805</v>
                </pt>
                <pt idx="354">
                  <formatCode>0.00%</formatCode>
                  <v>0.1296742299404234</v>
                </pt>
                <pt idx="355">
                  <formatCode>0.00%</formatCode>
                  <v>0.1786527387170216</v>
                </pt>
                <pt idx="356">
                  <formatCode>0.00%</formatCode>
                  <v>0.1335455124124761</v>
                </pt>
                <pt idx="357">
                  <formatCode>0.00%</formatCode>
                  <v>0.1532715095311695</v>
                </pt>
                <pt idx="358">
                  <formatCode>0.00%</formatCode>
                  <v>0.1920668058455115</v>
                </pt>
                <pt idx="359">
                  <formatCode>0.00%</formatCode>
                  <v>0.163013876280638</v>
                </pt>
                <pt idx="360">
                  <formatCode>0.00%</formatCode>
                  <v>0.03885313048566413</v>
                </pt>
                <pt idx="361">
                  <formatCode>0.00%</formatCode>
                  <v>0.1386973180076628</v>
                </pt>
                <pt idx="362">
                  <formatCode>0.00%</formatCode>
                  <v>-0.05298013245033113</v>
                </pt>
                <pt idx="363">
                  <formatCode>0.00%</formatCode>
                  <v>-0.0318138144550016</v>
                </pt>
                <pt idx="364">
                  <formatCode>0.00%</formatCode>
                  <v>0.006377130291368884</v>
                </pt>
                <pt idx="365">
                  <formatCode>0.00%</formatCode>
                  <v>0.03081388857876521</v>
                </pt>
                <pt idx="366">
                  <formatCode>0.00%</formatCode>
                  <v>0.03635547576301616</v>
                </pt>
                <pt idx="367">
                  <formatCode>0.00%</formatCode>
                  <v>0.06067492330416998</v>
                </pt>
                <pt idx="368">
                  <formatCode>0.00%</formatCode>
                  <v>0.04391284815813118</v>
                </pt>
                <pt idx="369">
                  <formatCode>0.00%</formatCode>
                  <v>0.04500781773509046</v>
                </pt>
                <pt idx="370">
                  <formatCode>0.00%</formatCode>
                  <v>0.01827933450087566</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a:prstDash val="solid"/>
            </a:ln>
          </spPr>
          <marker>
            <symbol val="none"/>
            <spPr>
              <a:ln xmlns:a="http://schemas.openxmlformats.org/drawingml/2006/main">
                <a:prstDash val="solid"/>
              </a:ln>
            </spPr>
          </marker>
          <cat>
            <numRef>
              <f>'General Merchandising'!$A$7:$A$379</f>
              <numCache>
                <formatCode>[$-409]mmm\-yy;@</formatCode>
                <ptCount val="37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'General Merchandising'!$B$7:$B$379</f>
              <numCache>
                <formatCode>#,##0</formatCode>
                <ptCount val="373"/>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49844</v>
                </pt>
                <pt idx="217">
                  <v>50538</v>
                </pt>
                <pt idx="218">
                  <v>50095</v>
                </pt>
                <pt idx="219">
                  <v>50650</v>
                </pt>
                <pt idx="220">
                  <v>50023</v>
                </pt>
                <pt idx="221">
                  <v>49966</v>
                </pt>
                <pt idx="222">
                  <v>49913</v>
                </pt>
                <pt idx="223">
                  <v>50133</v>
                </pt>
                <pt idx="224">
                  <v>50297</v>
                </pt>
                <pt idx="225">
                  <v>50255</v>
                </pt>
                <pt idx="226">
                  <v>51382</v>
                </pt>
                <pt idx="227">
                  <v>50935</v>
                </pt>
                <pt idx="228">
                  <v>50889</v>
                </pt>
                <pt idx="229">
                  <v>51513</v>
                </pt>
                <pt idx="230">
                  <v>51635</v>
                </pt>
                <pt idx="231">
                  <v>52018</v>
                </pt>
                <pt idx="232">
                  <v>51752</v>
                </pt>
                <pt idx="233">
                  <v>52419</v>
                </pt>
                <pt idx="234">
                  <v>52110</v>
                </pt>
                <pt idx="235">
                  <v>52132</v>
                </pt>
                <pt idx="236">
                  <v>52570</v>
                </pt>
                <pt idx="237">
                  <v>52463</v>
                </pt>
                <pt idx="238">
                  <v>52639</v>
                </pt>
                <pt idx="239">
                  <v>52459</v>
                </pt>
                <pt idx="240">
                  <v>53097</v>
                </pt>
                <pt idx="241">
                  <v>53944</v>
                </pt>
                <pt idx="242">
                  <v>53681</v>
                </pt>
                <pt idx="243">
                  <v>53301</v>
                </pt>
                <pt idx="244">
                  <v>53117</v>
                </pt>
                <pt idx="245">
                  <v>53158</v>
                </pt>
                <pt idx="246">
                  <v>53303</v>
                </pt>
                <pt idx="247">
                  <v>53564</v>
                </pt>
                <pt idx="248">
                  <v>53450</v>
                </pt>
                <pt idx="249">
                  <v>53646</v>
                </pt>
                <pt idx="250">
                  <v>53436</v>
                </pt>
                <pt idx="251">
                  <v>53698</v>
                </pt>
                <pt idx="252">
                  <v>54062</v>
                </pt>
                <pt idx="253">
                  <v>54584</v>
                </pt>
                <pt idx="254">
                  <v>54227</v>
                </pt>
                <pt idx="255">
                  <v>54152</v>
                </pt>
                <pt idx="256">
                  <v>54488</v>
                </pt>
                <pt idx="257">
                  <v>54418</v>
                </pt>
                <pt idx="258">
                  <v>54644</v>
                </pt>
                <pt idx="259">
                  <v>54470</v>
                </pt>
                <pt idx="260">
                  <v>54841</v>
                </pt>
                <pt idx="261">
                  <v>54845</v>
                </pt>
                <pt idx="262">
                  <v>54799</v>
                </pt>
                <pt idx="263">
                  <v>54632</v>
                </pt>
                <pt idx="264">
                  <v>54553</v>
                </pt>
                <pt idx="265">
                  <v>55394</v>
                </pt>
                <pt idx="266">
                  <v>55526</v>
                </pt>
                <pt idx="267">
                  <v>55954</v>
                </pt>
                <pt idx="268">
                  <v>55977</v>
                </pt>
                <pt idx="269">
                  <v>55945</v>
                </pt>
                <pt idx="270">
                  <v>56080</v>
                </pt>
                <pt idx="271">
                  <v>56404</v>
                </pt>
                <pt idx="272">
                  <v>56074</v>
                </pt>
                <pt idx="273">
                  <v>56232</v>
                </pt>
                <pt idx="274">
                  <v>56337</v>
                </pt>
                <pt idx="275">
                  <v>56353</v>
                </pt>
                <pt idx="276">
                  <v>56507</v>
                </pt>
                <pt idx="277">
                  <v>56147</v>
                </pt>
                <pt idx="278">
                  <v>56316</v>
                </pt>
                <pt idx="279">
                  <v>56230</v>
                </pt>
                <pt idx="280">
                  <v>56735</v>
                </pt>
                <pt idx="281">
                  <v>56607</v>
                </pt>
                <pt idx="282">
                  <v>56915</v>
                </pt>
                <pt idx="283">
                  <v>56752</v>
                </pt>
                <pt idx="284">
                  <v>57139</v>
                </pt>
                <pt idx="285">
                  <v>56789</v>
                </pt>
                <pt idx="286">
                  <v>56970</v>
                </pt>
                <pt idx="287">
                  <v>57204</v>
                </pt>
                <pt idx="288">
                  <v>56301</v>
                </pt>
                <pt idx="289">
                  <v>57209</v>
                </pt>
                <pt idx="290">
                  <v>56986</v>
                </pt>
                <pt idx="291">
                  <v>56870</v>
                </pt>
                <pt idx="292">
                  <v>56608</v>
                </pt>
                <pt idx="293">
                  <v>57111</v>
                </pt>
                <pt idx="294">
                  <v>56779</v>
                </pt>
                <pt idx="295">
                  <v>56867</v>
                </pt>
                <pt idx="296">
                  <v>56370</v>
                </pt>
                <pt idx="297">
                  <v>56836</v>
                </pt>
                <pt idx="298">
                  <v>56518</v>
                </pt>
                <pt idx="299">
                  <v>56445</v>
                </pt>
                <pt idx="300">
                  <v>57804</v>
                </pt>
                <pt idx="301">
                  <v>57170</v>
                </pt>
                <pt idx="302">
                  <v>57361</v>
                </pt>
                <pt idx="303">
                  <v>57644</v>
                </pt>
                <pt idx="304">
                  <v>56574</v>
                </pt>
                <pt idx="305">
                  <v>57790</v>
                </pt>
                <pt idx="306">
                  <v>57475</v>
                </pt>
                <pt idx="307">
                  <v>57612</v>
                </pt>
                <pt idx="308">
                  <v>58351</v>
                </pt>
                <pt idx="309">
                  <v>57945</v>
                </pt>
                <pt idx="310">
                  <v>57965</v>
                </pt>
                <pt idx="311">
                  <v>58394</v>
                </pt>
                <pt idx="312">
                  <v>58569</v>
                </pt>
                <pt idx="313">
                  <v>58800</v>
                </pt>
                <pt idx="314">
                  <v>57897</v>
                </pt>
                <pt idx="315">
                  <v>58154</v>
                </pt>
                <pt idx="316">
                  <v>59558</v>
                </pt>
                <pt idx="317">
                  <v>58534</v>
                </pt>
                <pt idx="318">
                  <v>58872</v>
                </pt>
                <pt idx="319">
                  <v>59007</v>
                </pt>
                <pt idx="320">
                  <v>58841</v>
                </pt>
                <pt idx="321">
                  <v>59247</v>
                </pt>
                <pt idx="322">
                  <v>60634</v>
                </pt>
                <pt idx="323">
                  <v>59479</v>
                </pt>
                <pt idx="324">
                  <v>59441</v>
                </pt>
                <pt idx="325">
                  <v>59106</v>
                </pt>
                <pt idx="326">
                  <v>59339</v>
                </pt>
                <pt idx="327">
                  <v>59893</v>
                </pt>
                <pt idx="328">
                  <v>59540</v>
                </pt>
                <pt idx="329">
                  <v>59459</v>
                </pt>
                <pt idx="330">
                  <v>60437</v>
                </pt>
                <pt idx="331">
                  <v>60074</v>
                </pt>
                <pt idx="332">
                  <v>59377</v>
                </pt>
                <pt idx="333">
                  <v>59662</v>
                </pt>
                <pt idx="334">
                  <v>60033</v>
                </pt>
                <pt idx="335">
                  <v>60632</v>
                </pt>
                <pt idx="336">
                  <v>60118</v>
                </pt>
                <pt idx="337">
                  <v>60618</v>
                </pt>
                <pt idx="338">
                  <v>64302</v>
                </pt>
                <pt idx="339">
                  <v>56625</v>
                </pt>
                <pt idx="340">
                  <v>60494</v>
                </pt>
                <pt idx="341">
                  <v>61107</v>
                </pt>
                <pt idx="342">
                  <v>61181</v>
                </pt>
                <pt idx="343">
                  <v>59992</v>
                </pt>
                <pt idx="344">
                  <v>62289</v>
                </pt>
                <pt idx="345">
                  <v>61465</v>
                </pt>
                <pt idx="346">
                  <v>61442</v>
                </pt>
                <pt idx="347">
                  <v>60493</v>
                </pt>
                <pt idx="348">
                  <v>65762</v>
                </pt>
                <pt idx="349">
                  <v>62783</v>
                </pt>
                <pt idx="350">
                  <v>69549</v>
                </pt>
                <pt idx="351">
                  <v>68499</v>
                </pt>
                <pt idx="352">
                  <v>66475</v>
                </pt>
                <pt idx="353">
                  <v>66887</v>
                </pt>
                <pt idx="354">
                  <v>66654</v>
                </pt>
                <pt idx="355">
                  <v>67314</v>
                </pt>
                <pt idx="356">
                  <v>67541</v>
                </pt>
                <pt idx="357">
                  <v>68323</v>
                </pt>
                <pt idx="358">
                  <v>68109</v>
                </pt>
                <pt idx="359">
                  <v>67197</v>
                </pt>
                <pt idx="360">
                  <v>69233</v>
                </pt>
                <pt idx="361">
                  <v>67568</v>
                </pt>
                <pt idx="362">
                  <v>68468</v>
                </pt>
                <pt idx="363">
                  <v>68026</v>
                </pt>
                <pt idx="364">
                  <v>68053</v>
                </pt>
                <pt idx="365">
                  <v>69621</v>
                </pt>
                <pt idx="366">
                  <v>69346</v>
                </pt>
                <pt idx="367">
                  <v>69558</v>
                </pt>
                <pt idx="368">
                  <v>70343</v>
                </pt>
                <pt idx="369">
                  <v>70145</v>
                </pt>
                <pt idx="370">
                  <v>70070</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'General Merchandising'!$A$7:$A$385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'General Merchandising'!$D$7:$D$385</f>
              <numCache>
                <formatCode>General</formatCode>
                <ptCount val="379"/>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0.01128063626034735</v>
                </pt>
                <pt idx="217">
                  <formatCode>0.00%</formatCode>
                  <v>0.02721600032520986</v>
                </pt>
                <pt idx="218">
                  <formatCode>0.00%</formatCode>
                  <v>0.0256961506961507</v>
                </pt>
                <pt idx="219">
                  <formatCode>0.00%</formatCode>
                  <v>0.03606275697015567</v>
                </pt>
                <pt idx="220">
                  <formatCode>0.00%</formatCode>
                  <v>0.01910970764999491</v>
                </pt>
                <pt idx="221">
                  <formatCode>0.00%</formatCode>
                  <v>0.02406132152811936</v>
                </pt>
                <pt idx="222">
                  <formatCode>0.00%</formatCode>
                  <v>0.02255592886995001</v>
                </pt>
                <pt idx="223">
                  <formatCode>0.00%</formatCode>
                  <v>0.02450239097559979</v>
                </pt>
                <pt idx="224">
                  <formatCode>0.00%</formatCode>
                  <v>0.02188134904510362</v>
                </pt>
                <pt idx="225">
                  <formatCode>0.00%</formatCode>
                  <v>0.01065862242332831</v>
                </pt>
                <pt idx="226">
                  <formatCode>0.00%</formatCode>
                  <v>0.04528440068353812</v>
                </pt>
                <pt idx="227">
                  <formatCode>0.00%</formatCode>
                  <v>0.02573655275187788</v>
                </pt>
                <pt idx="228">
                  <formatCode>0.00%</formatCode>
                  <v>0.02096541208570741</v>
                </pt>
                <pt idx="229">
                  <formatCode>0.00%</formatCode>
                  <v>0.01929241362934821</v>
                </pt>
                <pt idx="230">
                  <formatCode>0.00%</formatCode>
                  <v>0.03074159097714343</v>
                </pt>
                <pt idx="231">
                  <formatCode>0.00%</formatCode>
                  <v>0.02700888450148075</v>
                </pt>
                <pt idx="232">
                  <formatCode>0.00%</formatCode>
                  <v>0.03456410051376367</v>
                </pt>
                <pt idx="233">
                  <formatCode>0.00%</formatCode>
                  <v>0.04909338350078053</v>
                </pt>
                <pt idx="234">
                  <formatCode>0.00%</formatCode>
                  <v>0.04401658886462444</v>
                </pt>
                <pt idx="235">
                  <formatCode>0.00%</formatCode>
                  <v>0.03987393533201684</v>
                </pt>
                <pt idx="236">
                  <formatCode>0.00%</formatCode>
                  <v>0.04519156212100126</v>
                </pt>
                <pt idx="237">
                  <formatCode>0.00%</formatCode>
                  <v>0.04393592677345538</v>
                </pt>
                <pt idx="238">
                  <formatCode>0.00%</formatCode>
                  <v>0.02446382001479117</v>
                </pt>
                <pt idx="239">
                  <formatCode>0.00%</formatCode>
                  <v>0.02992048689506233</v>
                </pt>
                <pt idx="240">
                  <formatCode>0.00%</formatCode>
                  <v>0.04338855155338089</v>
                </pt>
                <pt idx="241">
                  <formatCode>0.00%</formatCode>
                  <v>0.04719197095878711</v>
                </pt>
                <pt idx="242">
                  <formatCode>0.00%</formatCode>
                  <v>0.03962428585261935</v>
                </pt>
                <pt idx="243">
                  <formatCode>0.00%</formatCode>
                  <v>0.02466453919796993</v>
                </pt>
                <pt idx="244">
                  <formatCode>0.00%</formatCode>
                  <v>0.02637579223991343</v>
                </pt>
                <pt idx="245">
                  <formatCode>0.00%</formatCode>
                  <v>0.01409794158606612</v>
                </pt>
                <pt idx="246">
                  <formatCode>0.00%</formatCode>
                  <v>0.02289387833429284</v>
                </pt>
                <pt idx="247">
                  <formatCode>0.00%</formatCode>
                  <v>0.02746873321568327</v>
                </pt>
                <pt idx="248">
                  <formatCode>0.00%</formatCode>
                  <v>0.01673958531481834</v>
                </pt>
                <pt idx="249">
                  <formatCode>0.00%</formatCode>
                  <v>0.02254922516821379</v>
                </pt>
                <pt idx="250">
                  <formatCode>0.00%</formatCode>
                  <v>0.01514086513801554</v>
                </pt>
                <pt idx="251">
                  <formatCode>0.00%</formatCode>
                  <v>0.02361844488076403</v>
                </pt>
                <pt idx="252">
                  <formatCode>0.00%</formatCode>
                  <v>0.01817428479951786</v>
                </pt>
                <pt idx="253">
                  <formatCode>0.00%</formatCode>
                  <v>0.01186415542043601</v>
                </pt>
                <pt idx="254">
                  <formatCode>0.00%</formatCode>
                  <v>0.01017119651273262</v>
                </pt>
                <pt idx="255">
                  <formatCode>0.00%</formatCode>
                  <v>0.0159659293446652</v>
                </pt>
                <pt idx="256">
                  <formatCode>0.00%</formatCode>
                  <v>0.02581094564828586</v>
                </pt>
                <pt idx="257">
                  <formatCode>0.00%</formatCode>
                  <v>0.0237029233605478</v>
                </pt>
                <pt idx="258">
                  <formatCode>0.00%</formatCode>
                  <v>0.02515805864585483</v>
                </pt>
                <pt idx="259">
                  <formatCode>0.00%</formatCode>
                  <v>0.01691434545590322</v>
                </pt>
                <pt idx="260">
                  <formatCode>0.00%</formatCode>
                  <v>0.02602432179607109</v>
                </pt>
                <pt idx="261">
                  <formatCode>0.00%</formatCode>
                  <v>0.02235022182455355</v>
                </pt>
                <pt idx="262">
                  <formatCode>0.00%</formatCode>
                  <v>0.02550714873867805</v>
                </pt>
                <pt idx="263">
                  <formatCode>0.00%</formatCode>
                  <v>0.01739357145517524</v>
                </pt>
                <pt idx="264">
                  <formatCode>0.00%</formatCode>
                  <v>0.009082164921756501</v>
                </pt>
                <pt idx="265">
                  <formatCode>0.00%</formatCode>
                  <v>0.01483951341052323</v>
                </pt>
                <pt idx="266">
                  <formatCode>0.00%</formatCode>
                  <v>0.02395485643683036</v>
                </pt>
                <pt idx="267">
                  <formatCode>0.00%</formatCode>
                  <v>0.03327670261486187</v>
                </pt>
                <pt idx="268">
                  <formatCode>0.00%</formatCode>
                  <v>0.02732711789751872</v>
                </pt>
                <pt idx="269">
                  <formatCode>0.00%</formatCode>
                  <v>0.02806056819434746</v>
                </pt>
                <pt idx="270">
                  <formatCode>0.00%</formatCode>
                  <v>0.02627918893199619</v>
                </pt>
                <pt idx="271">
                  <formatCode>0.00%</formatCode>
                  <v>0.03550578299981641</v>
                </pt>
                <pt idx="272">
                  <formatCode>0.00%</formatCode>
                  <v>0.02248317864371547</v>
                </pt>
                <pt idx="273">
                  <formatCode>0.00%</formatCode>
                  <v>0.02528945209226001</v>
                </pt>
                <pt idx="274">
                  <formatCode>0.00%</formatCode>
                  <v>0.02806620558769321</v>
                </pt>
                <pt idx="275">
                  <formatCode>0.00%</formatCode>
                  <v>0.03150168399472836</v>
                </pt>
                <pt idx="276">
                  <formatCode>0.00%</formatCode>
                  <v>0.03581837845764669</v>
                </pt>
                <pt idx="277">
                  <formatCode>0.00%</formatCode>
                  <v>0.01359352998519695</v>
                </pt>
                <pt idx="278">
                  <formatCode>0.00%</formatCode>
                  <v>0.01422756906674351</v>
                </pt>
                <pt idx="279">
                  <formatCode>0.00%</formatCode>
                  <v>0.004932623226221539</v>
                </pt>
                <pt idx="280">
                  <formatCode>0.00%</formatCode>
                  <v>0.01354127588116548</v>
                </pt>
                <pt idx="281">
                  <formatCode>0.00%</formatCode>
                  <v>0.0118330503172759</v>
                </pt>
                <pt idx="282">
                  <formatCode>0.00%</formatCode>
                  <v>0.01488944365192582</v>
                </pt>
                <pt idx="283">
                  <formatCode>0.00%</formatCode>
                  <v>0.006169775193248706</v>
                </pt>
                <pt idx="284">
                  <formatCode>0.00%</formatCode>
                  <v>0.01899275956771409</v>
                </pt>
                <pt idx="285">
                  <formatCode>0.00%</formatCode>
                  <v>0.009905391947645469</v>
                </pt>
                <pt idx="286">
                  <formatCode>0.00%</formatCode>
                  <v>0.01123595505617977</v>
                </pt>
                <pt idx="287">
                  <formatCode>0.00%</formatCode>
                  <v>0.01510123684630809</v>
                </pt>
                <pt idx="288">
                  <formatCode>0.00%</formatCode>
                  <v>-0.003645566036066328</v>
                </pt>
                <pt idx="289">
                  <formatCode>0.00%</formatCode>
                  <v>0.01891463479794112</v>
                </pt>
                <pt idx="290">
                  <formatCode>0.00%</formatCode>
                  <v>0.01189715178634846</v>
                </pt>
                <pt idx="291">
                  <formatCode>0.00%</formatCode>
                  <v>0.011381824648764</v>
                </pt>
                <pt idx="292">
                  <formatCode>0.00%</formatCode>
                  <v>-0.00223847713051908</v>
                </pt>
                <pt idx="293">
                  <formatCode>0.00%</formatCode>
                  <v>0.008903492500927448</v>
                </pt>
                <pt idx="294">
                  <formatCode>0.00%</formatCode>
                  <v>-0.002389528243872441</v>
                </pt>
                <pt idx="295">
                  <formatCode>0.00%</formatCode>
                  <v>0.002026360304482661</v>
                </pt>
                <pt idx="296">
                  <formatCode>0.00%</formatCode>
                  <v>-0.01345840844256987</v>
                </pt>
                <pt idx="297">
                  <formatCode>0.00%</formatCode>
                  <v>0.0008276250682350456</v>
                </pt>
                <pt idx="298">
                  <formatCode>0.00%</formatCode>
                  <v>-0.007934000351061963</v>
                </pt>
                <pt idx="299">
                  <formatCode>0.00%</formatCode>
                  <v>-0.01326830291588001</v>
                </pt>
                <pt idx="300">
                  <formatCode>0.00%</formatCode>
                  <v>0.0266957958117973</v>
                </pt>
                <pt idx="301">
                  <formatCode>0.00%</formatCode>
                  <v>-0.0006817109196105508</v>
                </pt>
                <pt idx="302">
                  <formatCode>0.00%</formatCode>
                  <v>0.006580563647211596</v>
                </pt>
                <pt idx="303">
                  <formatCode>0.00%</formatCode>
                  <v>0.0136099876912256</v>
                </pt>
                <pt idx="304">
                  <formatCode>0.00%</formatCode>
                  <v>-0.0006006218202374222</v>
                </pt>
                <pt idx="305">
                  <formatCode>0.00%</formatCode>
                  <v>0.01188912818896535</v>
                </pt>
                <pt idx="306">
                  <formatCode>0.00%</formatCode>
                  <v>0.01225805315345462</v>
                </pt>
                <pt idx="307">
                  <formatCode>0.00%</formatCode>
                  <v>0.01310074384089191</v>
                </pt>
                <pt idx="308">
                  <formatCode>0.00%</formatCode>
                  <v>0.03514280645733546</v>
                </pt>
                <pt idx="309">
                  <formatCode>0.00%</formatCode>
                  <v>0.01951228094869449</v>
                </pt>
                <pt idx="310">
                  <formatCode>0.00%</formatCode>
                  <v>0.0256024629321632</v>
                </pt>
                <pt idx="311">
                  <formatCode>0.00%</formatCode>
                  <v>0.03452918770484543</v>
                </pt>
                <pt idx="312">
                  <formatCode>0.00%</formatCode>
                  <v>0.01323437824372016</v>
                </pt>
                <pt idx="313">
                  <formatCode>0.00%</formatCode>
                  <v>0.0285114570578975</v>
                </pt>
                <pt idx="314">
                  <formatCode>0.00%</formatCode>
                  <v>0.00934432802775405</v>
                </pt>
                <pt idx="315">
                  <formatCode>0.00%</formatCode>
                  <v>0.00884740822982444</v>
                </pt>
                <pt idx="316">
                  <formatCode>0.00%</formatCode>
                  <v>0.05274507724396366</v>
                </pt>
                <pt idx="317">
                  <formatCode>0.00%</formatCode>
                  <v>0.01287419968852743</v>
                </pt>
                <pt idx="318">
                  <formatCode>0.00%</formatCode>
                  <v>0.02430622009569378</v>
                </pt>
                <pt idx="319">
                  <formatCode>0.00%</formatCode>
                  <v>0.02421370547802541</v>
                </pt>
                <pt idx="320">
                  <formatCode>0.00%</formatCode>
                  <v>0.0083974567702353</v>
                </pt>
                <pt idx="321">
                  <formatCode>0.00%</formatCode>
                  <v>0.02246958322547243</v>
                </pt>
                <pt idx="322">
                  <formatCode>0.00%</formatCode>
                  <v>0.04604502717156905</v>
                </pt>
                <pt idx="323">
                  <formatCode>0.00%</formatCode>
                  <v>0.01858067609685927</v>
                </pt>
                <pt idx="324">
                  <formatCode>0.00%</formatCode>
                  <v>0.01488842220287183</v>
                </pt>
                <pt idx="325">
                  <formatCode>0.00%</formatCode>
                  <v>0.005204081632653061</v>
                </pt>
                <pt idx="326">
                  <formatCode>0.00%</formatCode>
                  <v>0.02490629911739814</v>
                </pt>
                <pt idx="327">
                  <formatCode>0.00%</formatCode>
                  <v>0.02990336004402105</v>
                </pt>
                <pt idx="328">
                  <formatCode>0.00%</formatCode>
                  <v>-0.0003022264011551765</v>
                </pt>
                <pt idx="329">
                  <formatCode>0.00%</formatCode>
                  <v>0.01580278128950695</v>
                </pt>
                <pt idx="330">
                  <formatCode>0.00%</formatCode>
                  <v>0.02658309552928387</v>
                </pt>
                <pt idx="331">
                  <formatCode>0.00%</formatCode>
                  <v>0.01808260036944769</v>
                </pt>
                <pt idx="332">
                  <formatCode>0.00%</formatCode>
                  <v>0.009109294539521763</v>
                </pt>
                <pt idx="333">
                  <formatCode>0.00%</formatCode>
                  <v>0.007004574071260992</v>
                </pt>
                <pt idx="334">
                  <formatCode>0.00%</formatCode>
                  <v>-0.009911930599993403</v>
                </pt>
                <pt idx="335">
                  <formatCode>0.00%</formatCode>
                  <v>0.01938499302274753</v>
                </pt>
                <pt idx="336">
                  <formatCode>0.00%</formatCode>
                  <v>0.01138944499587827</v>
                </pt>
                <pt idx="337">
                  <formatCode>0.00%</formatCode>
                  <v>0.02558115927317024</v>
                </pt>
                <pt idx="338">
                  <formatCode>0.00%</formatCode>
                  <v>0.08363807950926035</v>
                </pt>
                <pt idx="339">
                  <formatCode>0.00%</formatCode>
                  <v>-0.05456397241747783</v>
                </pt>
                <pt idx="340">
                  <formatCode>0.00%</formatCode>
                  <v>0.01602284178703393</v>
                </pt>
                <pt idx="341">
                  <formatCode>0.00%</formatCode>
                  <v>0.02771657780991944</v>
                </pt>
                <pt idx="342">
                  <formatCode>0.00%</formatCode>
                  <v>0.01231033969257243</v>
                </pt>
                <pt idx="343">
                  <formatCode>0.00%</formatCode>
                  <v>-0.001364983187402204</v>
                </pt>
                <pt idx="344">
                  <formatCode>0.00%</formatCode>
                  <v>0.04904255856644829</v>
                </pt>
                <pt idx="345">
                  <formatCode>0.00%</formatCode>
                  <v>0.03022024068921592</v>
                </pt>
                <pt idx="346">
                  <formatCode>0.00%</formatCode>
                  <v>0.02347042459980344</v>
                </pt>
                <pt idx="347">
                  <formatCode>0.00%</formatCode>
                  <v>-0.002292518801952764</v>
                </pt>
                <pt idx="348">
                  <formatCode>0.00%</formatCode>
                  <v>0.09388203200372601</v>
                </pt>
                <pt idx="349">
                  <formatCode>0.00%</formatCode>
                  <v>0.03571546405358145</v>
                </pt>
                <pt idx="350">
                  <formatCode>0.00%</formatCode>
                  <v>0.08159932817019688</v>
                </pt>
                <pt idx="351">
                  <formatCode>0.00%</formatCode>
                  <v>0.2096953642384106</v>
                </pt>
                <pt idx="352">
                  <formatCode>0.00%</formatCode>
                  <v>0.09886930935299368</v>
                </pt>
                <pt idx="353">
                  <formatCode>0.00%</formatCode>
                  <v>0.09458818138674784</v>
                </pt>
                <pt idx="354">
                  <formatCode>0.00%</formatCode>
                  <v>0.08945587682450434</v>
                </pt>
                <pt idx="355">
                  <formatCode>0.00%</formatCode>
                  <v>0.1220496066142152</v>
                </pt>
                <pt idx="356">
                  <formatCode>0.00%</formatCode>
                  <v>0.08431665302059754</v>
                </pt>
                <pt idx="357">
                  <formatCode>0.00%</formatCode>
                  <v>0.1115756934840966</v>
                </pt>
                <pt idx="358">
                  <formatCode>0.00%</formatCode>
                  <v>0.1085088376029426</v>
                </pt>
                <pt idx="359">
                  <formatCode>0.00%</formatCode>
                  <v>0.1108227398211363</v>
                </pt>
                <pt idx="360">
                  <formatCode>0.00%</formatCode>
                  <v>0.05278124144642803</v>
                </pt>
                <pt idx="361">
                  <formatCode>0.00%</formatCode>
                  <v>0.07621489893761051</v>
                </pt>
                <pt idx="362">
                  <formatCode>0.00%</formatCode>
                  <v>-0.01554299846151634</v>
                </pt>
                <pt idx="363">
                  <formatCode>0.00%</formatCode>
                  <v>-0.006905210295040804</v>
                </pt>
                <pt idx="364">
                  <formatCode>0.00%</formatCode>
                  <v>0.02373824746145167</v>
                </pt>
                <pt idx="365">
                  <formatCode>0.00%</formatCode>
                  <v>0.04087490842764663</v>
                </pt>
                <pt idx="366">
                  <formatCode>0.00%</formatCode>
                  <v>0.04038767365799502</v>
                </pt>
                <pt idx="367">
                  <formatCode>0.00%</formatCode>
                  <v>0.03333630448346555</v>
                </pt>
                <pt idx="368">
                  <formatCode>0.00%</formatCode>
                  <v>0.04148591226070091</v>
                </pt>
                <pt idx="369">
                  <formatCode>0.00%</formatCode>
                  <v>0.02666744727251438</v>
                </pt>
                <pt idx="370">
                  <formatCode>0.00%</formatCode>
                  <v>0.02879208327827453</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a:prstDash val="solid"/>
            </a:ln>
          </spPr>
          <marker>
            <symbol val="none"/>
            <spPr>
              <a:ln xmlns:a="http://schemas.openxmlformats.org/drawingml/2006/main">
                <a:prstDash val="solid"/>
              </a:ln>
            </spPr>
          </marker>
          <cat>
            <numRef>
              <f>'Food Services'!$A$7:$A$382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'Food Services'!$B$7:$B$382</f>
              <numCache>
                <formatCode>#,##0</formatCode>
                <ptCount val="376"/>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37700</v>
                </pt>
                <pt idx="217">
                  <v>38267</v>
                </pt>
                <pt idx="218">
                  <v>38376</v>
                </pt>
                <pt idx="219">
                  <v>38658</v>
                </pt>
                <pt idx="220">
                  <v>38695</v>
                </pt>
                <pt idx="221">
                  <v>38877</v>
                </pt>
                <pt idx="222">
                  <v>39033</v>
                </pt>
                <pt idx="223">
                  <v>39402</v>
                </pt>
                <pt idx="224">
                  <v>39385</v>
                </pt>
                <pt idx="225">
                  <v>39479</v>
                </pt>
                <pt idx="226">
                  <v>39710</v>
                </pt>
                <pt idx="227">
                  <v>39469</v>
                </pt>
                <pt idx="228">
                  <v>39743</v>
                </pt>
                <pt idx="229">
                  <v>40382</v>
                </pt>
                <pt idx="230">
                  <v>40575</v>
                </pt>
                <pt idx="231">
                  <v>40624</v>
                </pt>
                <pt idx="232">
                  <v>41050</v>
                </pt>
                <pt idx="233">
                  <v>41540</v>
                </pt>
                <pt idx="234">
                  <v>41516</v>
                </pt>
                <pt idx="235">
                  <v>41718</v>
                </pt>
                <pt idx="236">
                  <v>42013</v>
                </pt>
                <pt idx="237">
                  <v>42162</v>
                </pt>
                <pt idx="238">
                  <v>42237</v>
                </pt>
                <pt idx="239">
                  <v>41864</v>
                </pt>
                <pt idx="240">
                  <v>42905</v>
                </pt>
                <pt idx="241">
                  <v>42950</v>
                </pt>
                <pt idx="242">
                  <v>42942</v>
                </pt>
                <pt idx="243">
                  <v>43365</v>
                </pt>
                <pt idx="244">
                  <v>43313</v>
                </pt>
                <pt idx="245">
                  <v>43542</v>
                </pt>
                <pt idx="246">
                  <v>43676</v>
                </pt>
                <pt idx="247">
                  <v>43712</v>
                </pt>
                <pt idx="248">
                  <v>44085</v>
                </pt>
                <pt idx="249">
                  <v>43708</v>
                </pt>
                <pt idx="250">
                  <v>44520</v>
                </pt>
                <pt idx="251">
                  <v>44538</v>
                </pt>
                <pt idx="252">
                  <v>45143</v>
                </pt>
                <pt idx="253">
                  <v>44868</v>
                </pt>
                <pt idx="254">
                  <v>45054</v>
                </pt>
                <pt idx="255">
                  <v>44725</v>
                </pt>
                <pt idx="256">
                  <v>44818</v>
                </pt>
                <pt idx="257">
                  <v>44703</v>
                </pt>
                <pt idx="258">
                  <v>45053</v>
                </pt>
                <pt idx="259">
                  <v>45156</v>
                </pt>
                <pt idx="260">
                  <v>45346</v>
                </pt>
                <pt idx="261">
                  <v>45942</v>
                </pt>
                <pt idx="262">
                  <v>46748</v>
                </pt>
                <pt idx="263">
                  <v>46334</v>
                </pt>
                <pt idx="264">
                  <v>45918</v>
                </pt>
                <pt idx="265">
                  <v>46426</v>
                </pt>
                <pt idx="266">
                  <v>47064</v>
                </pt>
                <pt idx="267">
                  <v>47141</v>
                </pt>
                <pt idx="268">
                  <v>47542</v>
                </pt>
                <pt idx="269">
                  <v>47714</v>
                </pt>
                <pt idx="270">
                  <v>48086</v>
                </pt>
                <pt idx="271">
                  <v>48379</v>
                </pt>
                <pt idx="272">
                  <v>48985</v>
                </pt>
                <pt idx="273">
                  <v>49664</v>
                </pt>
                <pt idx="274">
                  <v>49736</v>
                </pt>
                <pt idx="275">
                  <v>50463</v>
                </pt>
                <pt idx="276">
                  <v>50837</v>
                </pt>
                <pt idx="277">
                  <v>50640</v>
                </pt>
                <pt idx="278">
                  <v>51075</v>
                </pt>
                <pt idx="279">
                  <v>51744</v>
                </pt>
                <pt idx="280">
                  <v>51866</v>
                </pt>
                <pt idx="281">
                  <v>51885</v>
                </pt>
                <pt idx="282">
                  <v>52115</v>
                </pt>
                <pt idx="283">
                  <v>52473</v>
                </pt>
                <pt idx="284">
                  <v>52394</v>
                </pt>
                <pt idx="285">
                  <v>52766</v>
                </pt>
                <pt idx="286">
                  <v>52886</v>
                </pt>
                <pt idx="287">
                  <v>53695</v>
                </pt>
                <pt idx="288">
                  <v>53050</v>
                </pt>
                <pt idx="289">
                  <v>54244</v>
                </pt>
                <pt idx="290">
                  <v>53927</v>
                </pt>
                <pt idx="291">
                  <v>54246</v>
                </pt>
                <pt idx="292">
                  <v>54302</v>
                </pt>
                <pt idx="293">
                  <v>54351</v>
                </pt>
                <pt idx="294">
                  <v>54329</v>
                </pt>
                <pt idx="295">
                  <v>54794</v>
                </pt>
                <pt idx="296">
                  <v>55357</v>
                </pt>
                <pt idx="297">
                  <v>55358</v>
                </pt>
                <pt idx="298">
                  <v>56322</v>
                </pt>
                <pt idx="299">
                  <v>55371</v>
                </pt>
                <pt idx="300">
                  <v>57368</v>
                </pt>
                <pt idx="301">
                  <v>57449</v>
                </pt>
                <pt idx="302">
                  <v>57341</v>
                </pt>
                <pt idx="303">
                  <v>57435</v>
                </pt>
                <pt idx="304">
                  <v>57494</v>
                </pt>
                <pt idx="305">
                  <v>57296</v>
                </pt>
                <pt idx="306">
                  <v>57150</v>
                </pt>
                <pt idx="307">
                  <v>57530</v>
                </pt>
                <pt idx="308">
                  <v>57788</v>
                </pt>
                <pt idx="309">
                  <v>58224</v>
                </pt>
                <pt idx="310">
                  <v>58915</v>
                </pt>
                <pt idx="311">
                  <v>59203</v>
                </pt>
                <pt idx="312">
                  <v>59463</v>
                </pt>
                <pt idx="313">
                  <v>59793</v>
                </pt>
                <pt idx="314">
                  <v>60288</v>
                </pt>
                <pt idx="315">
                  <v>59625</v>
                </pt>
                <pt idx="316">
                  <v>60912</v>
                </pt>
                <pt idx="317">
                  <v>61589</v>
                </pt>
                <pt idx="318">
                  <v>62174</v>
                </pt>
                <pt idx="319">
                  <v>62627</v>
                </pt>
                <pt idx="320">
                  <v>61172</v>
                </pt>
                <pt idx="321">
                  <v>61817</v>
                </pt>
                <pt idx="322">
                  <v>61475</v>
                </pt>
                <pt idx="323">
                  <v>61452</v>
                </pt>
                <pt idx="324">
                  <v>61512</v>
                </pt>
                <pt idx="325">
                  <v>62162</v>
                </pt>
                <pt idx="326">
                  <v>62598</v>
                </pt>
                <pt idx="327">
                  <v>63137</v>
                </pt>
                <pt idx="328">
                  <v>63898</v>
                </pt>
                <pt idx="329">
                  <v>64702</v>
                </pt>
                <pt idx="330">
                  <v>65003</v>
                </pt>
                <pt idx="331">
                  <v>65191</v>
                </pt>
                <pt idx="332">
                  <v>65707</v>
                </pt>
                <pt idx="333">
                  <v>66068</v>
                </pt>
                <pt idx="334">
                  <v>65841</v>
                </pt>
                <pt idx="335">
                  <v>66980</v>
                </pt>
                <pt idx="336">
                  <v>67950</v>
                </pt>
                <pt idx="337">
                  <v>68276</v>
                </pt>
                <pt idx="338">
                  <v>47758</v>
                </pt>
                <pt idx="339">
                  <v>31107</v>
                </pt>
                <pt idx="340">
                  <v>41021</v>
                </pt>
                <pt idx="341">
                  <v>52844</v>
                </pt>
                <pt idx="342">
                  <v>54918</v>
                </pt>
                <pt idx="343">
                  <v>57687</v>
                </pt>
                <pt idx="344">
                  <v>59171</v>
                </pt>
                <pt idx="345">
                  <v>59223</v>
                </pt>
                <pt idx="346">
                  <v>57001</v>
                </pt>
                <pt idx="347">
                  <v>54066</v>
                </pt>
                <pt idx="348">
                  <v>59553</v>
                </pt>
                <pt idx="349">
                  <v>59036</v>
                </pt>
                <pt idx="350">
                  <v>67362</v>
                </pt>
                <pt idx="351">
                  <v>69899</v>
                </pt>
                <pt idx="352">
                  <v>72480</v>
                </pt>
                <pt idx="353">
                  <v>75837</v>
                </pt>
                <pt idx="354">
                  <v>77293</v>
                </pt>
                <pt idx="355">
                  <v>77564</v>
                </pt>
                <pt idx="356">
                  <v>78288</v>
                </pt>
                <pt idx="357">
                  <v>78449</v>
                </pt>
                <pt idx="358">
                  <v>79218</v>
                </pt>
                <pt idx="359">
                  <v>77583</v>
                </pt>
                <pt idx="360">
                  <v>75557</v>
                </pt>
                <pt idx="361">
                  <v>80553</v>
                </pt>
                <pt idx="362">
                  <v>82388</v>
                </pt>
                <pt idx="363">
                  <v>84481</v>
                </pt>
                <pt idx="364">
                  <v>85322</v>
                </pt>
                <pt idx="365">
                  <v>85939</v>
                </pt>
                <pt idx="366">
                  <v>85214</v>
                </pt>
                <pt idx="367">
                  <v>87305</v>
                </pt>
                <pt idx="368">
                  <v>88196</v>
                </pt>
                <pt idx="369">
                  <v>89613</v>
                </pt>
                <pt idx="370">
                  <v>90391</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Services'!$A$7:$A$384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'Food Services'!$D$7:$D$384</f>
              <numCache>
                <formatCode>General</formatCode>
                <ptCount val="378"/>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-0.01453366792137181</v>
                </pt>
                <pt idx="217">
                  <formatCode>0.00%</formatCode>
                  <v>0.008485966530504678</v>
                </pt>
                <pt idx="218">
                  <formatCode>0.00%</formatCode>
                  <v>0.0248083958661575</v>
                </pt>
                <pt idx="219">
                  <formatCode>0.00%</formatCode>
                  <v>0.02437861041920611</v>
                </pt>
                <pt idx="220">
                  <formatCode>0.00%</formatCode>
                  <v>0.02489736458747186</v>
                </pt>
                <pt idx="221">
                  <formatCode>0.00%</formatCode>
                  <v>0.03083735482844567</v>
                </pt>
                <pt idx="222">
                  <formatCode>0.00%</formatCode>
                  <v>0.03494630783507888</v>
                </pt>
                <pt idx="223">
                  <formatCode>0.00%</formatCode>
                  <v>0.04667286492230044</v>
                </pt>
                <pt idx="224">
                  <formatCode>0.00%</formatCode>
                  <v>0.05099535678070129</v>
                </pt>
                <pt idx="225">
                  <formatCode>0.00%</formatCode>
                  <v>0.05277333333333333</v>
                </pt>
                <pt idx="226">
                  <formatCode>0.00%</formatCode>
                  <v>0.05331564986737401</v>
                </pt>
                <pt idx="227">
                  <formatCode>0.00%</formatCode>
                  <v>0.04806288005523248</v>
                </pt>
                <pt idx="228">
                  <formatCode>0.00%</formatCode>
                  <v>0.05419098143236074</v>
                </pt>
                <pt idx="229">
                  <formatCode>0.00%</formatCode>
                  <v>0.05526955340110278</v>
                </pt>
                <pt idx="230">
                  <formatCode>0.00%</formatCode>
                  <v>0.05730143839899937</v>
                </pt>
                <pt idx="231">
                  <formatCode>0.00%</formatCode>
                  <v>0.05085622639557142</v>
                </pt>
                <pt idx="232">
                  <formatCode>0.00%</formatCode>
                  <v>0.06086057630184778</v>
                </pt>
                <pt idx="233">
                  <formatCode>0.00%</formatCode>
                  <v>0.06849808369987397</v>
                </pt>
                <pt idx="234">
                  <formatCode>0.00%</formatCode>
                  <v>0.06361284041708298</v>
                </pt>
                <pt idx="235">
                  <formatCode>0.00%</formatCode>
                  <v>0.05877874219582762</v>
                </pt>
                <pt idx="236">
                  <formatCode>0.00%</formatCode>
                  <v>0.06672591087977657</v>
                </pt>
                <pt idx="237">
                  <formatCode>0.00%</formatCode>
                  <v>0.06796018136224322</v>
                </pt>
                <pt idx="238">
                  <formatCode>0.00%</formatCode>
                  <v>0.06363636363636363</v>
                </pt>
                <pt idx="239">
                  <formatCode>0.00%</formatCode>
                  <v>0.06068053409004535</v>
                </pt>
                <pt idx="240">
                  <formatCode>0.00%</formatCode>
                  <v>0.07956118058526029</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0.05216175270947442</v>
                </pt>
                <pt idx="253">
                  <formatCode>0.00%</formatCode>
                  <v>0.04465657741559954</v>
                </pt>
                <pt idx="254">
                  <formatCode>0.00%</formatCode>
                  <v>0.04918261841553723</v>
                </pt>
                <pt idx="255">
                  <formatCode>0.00%</formatCode>
                  <v>0.03136169722126139</v>
                </pt>
                <pt idx="256">
                  <formatCode>0.00%</formatCode>
                  <v>0.03474707362685568</v>
                </pt>
                <pt idx="257">
                  <formatCode>0.00%</formatCode>
                  <v>0.02666391070690368</v>
                </pt>
                <pt idx="258">
                  <formatCode>0.00%</formatCode>
                  <v>0.03152761241871966</v>
                </pt>
                <pt idx="259">
                  <formatCode>0.00%</formatCode>
                  <v>0.03303440702781845</v>
                </pt>
                <pt idx="260">
                  <formatCode>0.00%</formatCode>
                  <v>0.02860383350345923</v>
                </pt>
                <pt idx="261">
                  <formatCode>0.00%</formatCode>
                  <v>0.05111192459046399</v>
                </pt>
                <pt idx="262">
                  <formatCode>0.00%</formatCode>
                  <v>0.05004492362982929</v>
                </pt>
                <pt idx="263">
                  <formatCode>0.00%</formatCode>
                  <v>0.04032511563159549</v>
                </pt>
                <pt idx="264">
                  <formatCode>0.00%</formatCode>
                  <v>0.01716766719092661</v>
                </pt>
                <pt idx="265">
                  <formatCode>0.00%</formatCode>
                  <v>0.03472407952215387</v>
                </pt>
                <pt idx="266">
                  <formatCode>0.00%</formatCode>
                  <v>0.04461313090957518</v>
                </pt>
                <pt idx="267">
                  <formatCode>0.00%</formatCode>
                  <v>0.05401900503074343</v>
                </pt>
                <pt idx="268">
                  <formatCode>0.00%</formatCode>
                  <v>0.06077915123387925</v>
                </pt>
                <pt idx="269">
                  <formatCode>0.00%</formatCode>
                  <v>0.06735565845692683</v>
                </pt>
                <pt idx="270">
                  <formatCode>0.00%</formatCode>
                  <v>0.06732071116240872</v>
                </pt>
                <pt idx="271">
                  <formatCode>0.00%</formatCode>
                  <v>0.07137478961821242</v>
                </pt>
                <pt idx="272">
                  <formatCode>0.00%</formatCode>
                  <v>0.08024963613108102</v>
                </pt>
                <pt idx="273">
                  <formatCode>0.00%</formatCode>
                  <v>0.08101519306952244</v>
                </pt>
                <pt idx="274">
                  <formatCode>0.00%</formatCode>
                  <v>0.06391717292718405</v>
                </pt>
                <pt idx="275">
                  <formatCode>0.00%</formatCode>
                  <v>0.08911382570034963</v>
                </pt>
                <pt idx="276">
                  <formatCode>0.00%</formatCode>
                  <v>0.107125745894856</v>
                </pt>
                <pt idx="277">
                  <formatCode>0.00%</formatCode>
                  <v>0.09076810407961056</v>
                </pt>
                <pt idx="278">
                  <formatCode>0.00%</formatCode>
                  <v>0.08522437531871493</v>
                </pt>
                <pt idx="279">
                  <formatCode>0.00%</formatCode>
                  <v>0.09764324049129208</v>
                </pt>
                <pt idx="280">
                  <formatCode>0.00%</formatCode>
                  <v>0.09095115897522191</v>
                </pt>
                <pt idx="281">
                  <formatCode>0.00%</formatCode>
                  <v>0.08741669111791088</v>
                </pt>
                <pt idx="282">
                  <formatCode>0.00%</formatCode>
                  <v>0.08378738094247806</v>
                </pt>
                <pt idx="283">
                  <formatCode>0.00%</formatCode>
                  <v>0.08462349366460654</v>
                </pt>
                <pt idx="284">
                  <formatCode>0.00%</formatCode>
                  <v>0.0695927324691232</v>
                </pt>
                <pt idx="285">
                  <formatCode>0.00%</formatCode>
                  <v>0.0624597293814433</v>
                </pt>
                <pt idx="286">
                  <formatCode>0.00%</formatCode>
                  <v>0.0633344056618948</v>
                </pt>
                <pt idx="287">
                  <formatCode>0.00%</formatCode>
                  <v>0.06404692547014644</v>
                </pt>
                <pt idx="288">
                  <formatCode>0.00%</formatCode>
                  <v>0.04353128626787576</v>
                </pt>
                <pt idx="289">
                  <formatCode>0.00%</formatCode>
                  <v>0.07116903633491312</v>
                </pt>
                <pt idx="290">
                  <formatCode>0.00%</formatCode>
                  <v>0.05583945178658835</v>
                </pt>
                <pt idx="291">
                  <formatCode>0.00%</formatCode>
                  <v>0.04835343228200371</v>
                </pt>
                <pt idx="292">
                  <formatCode>0.00%</formatCode>
                  <v>0.04696718466818339</v>
                </pt>
                <pt idx="293">
                  <formatCode>0.00%</formatCode>
                  <v>0.04752818733738075</v>
                </pt>
                <pt idx="294">
                  <formatCode>0.00%</formatCode>
                  <v>0.04248297035402476</v>
                </pt>
                <pt idx="295">
                  <formatCode>0.00%</formatCode>
                  <v>0.04423227183503897</v>
                </pt>
                <pt idx="296">
                  <formatCode>0.00%</formatCode>
                  <v>0.05655227697827996</v>
                </pt>
                <pt idx="297">
                  <formatCode>0.00%</formatCode>
                  <v>0.04912254103020885</v>
                </pt>
                <pt idx="298">
                  <formatCode>0.00%</formatCode>
                  <v>0.0649699353326022</v>
                </pt>
                <pt idx="299">
                  <formatCode>0.00%</formatCode>
                  <v>0.03121333457491387</v>
                </pt>
                <pt idx="300">
                  <formatCode>0.00%</formatCode>
                  <v>0.08139491046182847</v>
                </pt>
                <pt idx="301">
                  <formatCode>0.00%</formatCode>
                  <v>0.05908487574662635</v>
                </pt>
                <pt idx="302">
                  <formatCode>0.00%</formatCode>
                  <v>0.06330780499564226</v>
                </pt>
                <pt idx="303">
                  <formatCode>0.00%</formatCode>
                  <v>0.05878774471850459</v>
                </pt>
                <pt idx="304">
                  <formatCode>0.00%</formatCode>
                  <v>0.05878236529041288</v>
                </pt>
                <pt idx="305">
                  <formatCode>0.00%</formatCode>
                  <v>0.05418483560560063</v>
                </pt>
                <pt idx="306">
                  <formatCode>0.00%</formatCode>
                  <v>0.05192438660752084</v>
                </pt>
                <pt idx="307">
                  <formatCode>0.00%</formatCode>
                  <v>0.0499324743585064</v>
                </pt>
                <pt idx="308">
                  <formatCode>0.00%</formatCode>
                  <v>0.04391495203858591</v>
                </pt>
                <pt idx="309">
                  <formatCode>0.00%</formatCode>
                  <v>0.05177210159326565</v>
                </pt>
                <pt idx="310">
                  <formatCode>0.00%</formatCode>
                  <v>0.04603884805227087</v>
                </pt>
                <pt idx="311">
                  <formatCode>0.00%</formatCode>
                  <v>0.06920590200646548</v>
                </pt>
                <pt idx="312">
                  <formatCode>0.00%</formatCode>
                  <v>0.03651861665039743</v>
                </pt>
                <pt idx="313">
                  <formatCode>0.00%</formatCode>
                  <v>0.04080140646486449</v>
                </pt>
                <pt idx="314">
                  <formatCode>0.00%</formatCode>
                  <v>0.05139429029839033</v>
                </pt>
                <pt idx="315">
                  <formatCode>0.00%</formatCode>
                  <v>0.03813006006790284</v>
                </pt>
                <pt idx="316">
                  <formatCode>0.00%</formatCode>
                  <v>0.05944968170591714</v>
                </pt>
                <pt idx="317">
                  <formatCode>0.00%</formatCode>
                  <v>0.07492669645350461</v>
                </pt>
                <pt idx="318">
                  <formatCode>0.00%</formatCode>
                  <v>0.0879090113735783</v>
                </pt>
                <pt idx="319">
                  <formatCode>0.00%</formatCode>
                  <v>0.08859725360681384</v>
                </pt>
                <pt idx="320">
                  <formatCode>0.00%</formatCode>
                  <v>0.05855887035370665</v>
                </pt>
                <pt idx="321">
                  <formatCode>0.00%</formatCode>
                  <v>0.0617099477878538</v>
                </pt>
                <pt idx="322">
                  <formatCode>0.00%</formatCode>
                  <v>0.04345243146906561</v>
                </pt>
                <pt idx="323">
                  <formatCode>0.00%</formatCode>
                  <v>0.03798793980034795</v>
                </pt>
                <pt idx="324">
                  <formatCode>0.00%</formatCode>
                  <v>0.03445840270420261</v>
                </pt>
                <pt idx="325">
                  <formatCode>0.00%</formatCode>
                  <v>0.03962002241065007</v>
                </pt>
                <pt idx="326">
                  <formatCode>0.00%</formatCode>
                  <v>0.03831608280254777</v>
                </pt>
                <pt idx="327">
                  <formatCode>0.00%</formatCode>
                  <v>0.05890146750524109</v>
                </pt>
                <pt idx="328">
                  <formatCode>0.00%</formatCode>
                  <v>0.04902153926976622</v>
                </pt>
                <pt idx="329">
                  <formatCode>0.00%</formatCode>
                  <v>0.05054474013216646</v>
                </pt>
                <pt idx="330">
                  <formatCode>0.00%</formatCode>
                  <v>0.04550133496316788</v>
                </pt>
                <pt idx="331">
                  <formatCode>0.00%</formatCode>
                  <v>0.04094080827757995</v>
                </pt>
                <pt idx="332">
                  <formatCode>0.00%</formatCode>
                  <v>0.07413522526646178</v>
                </pt>
                <pt idx="333">
                  <formatCode>0.00%</formatCode>
                  <v>0.06876749114321304</v>
                </pt>
                <pt idx="334">
                  <formatCode>0.00%</formatCode>
                  <v>0.07102074013826759</v>
                </pt>
                <pt idx="335">
                  <formatCode>0.00%</formatCode>
                  <v>0.08995638872616026</v>
                </pt>
                <pt idx="336">
                  <formatCode>0.00%</formatCode>
                  <v>0.1046625048770971</v>
                </pt>
                <pt idx="337">
                  <formatCode>0.00%</formatCode>
                  <v>0.09835590875454457</v>
                </pt>
                <pt idx="338">
                  <formatCode>0.00%</formatCode>
                  <v>-0.2370682769417553</v>
                </pt>
                <pt idx="339">
                  <formatCode>0.00%</formatCode>
                  <v>-0.5073095015600995</v>
                </pt>
                <pt idx="340">
                  <formatCode>0.00%</formatCode>
                  <v>-0.3580237253122163</v>
                </pt>
                <pt idx="341">
                  <formatCode>0.00%</formatCode>
                  <v>-0.1832709962597756</v>
                </pt>
                <pt idx="342">
                  <formatCode>0.00%</formatCode>
                  <v>-0.1551466855375906</v>
                </pt>
                <pt idx="343">
                  <formatCode>0.00%</formatCode>
                  <v>-0.1151079136690648</v>
                </pt>
                <pt idx="344">
                  <formatCode>0.00%</formatCode>
                  <v>-0.09947189797129682</v>
                </pt>
                <pt idx="345">
                  <formatCode>0.00%</formatCode>
                  <v>-0.1036053762789853</v>
                </pt>
                <pt idx="346">
                  <formatCode>0.00%</formatCode>
                  <v>-0.1342628453395301</v>
                </pt>
                <pt idx="347">
                  <formatCode>0.00%</formatCode>
                  <v>-0.1928038220364288</v>
                </pt>
                <pt idx="348">
                  <formatCode>0.00%</formatCode>
                  <v>-0.1235761589403973</v>
                </pt>
                <pt idx="349">
                  <formatCode>0.00%</formatCode>
                  <v>-0.1353330599332123</v>
                </pt>
                <pt idx="350">
                  <formatCode>0.00%</formatCode>
                  <v>0.4104862012647096</v>
                </pt>
                <pt idx="351">
                  <formatCode>0.00%</formatCode>
                  <v>1.247050503102196</v>
                </pt>
                <pt idx="352">
                  <formatCode>0.00%</formatCode>
                  <v>0.7668998805489871</v>
                </pt>
                <pt idx="353">
                  <formatCode>0.00%</formatCode>
                  <v>0.4351108924381197</v>
                </pt>
                <pt idx="354">
                  <formatCode>0.00%</formatCode>
                  <v>0.4074256163735023</v>
                </pt>
                <pt idx="355">
                  <formatCode>0.00%</formatCode>
                  <v>0.3445663667724097</v>
                </pt>
                <pt idx="356">
                  <formatCode>0.00%</formatCode>
                  <v>0.3230805631136874</v>
                </pt>
                <pt idx="357">
                  <formatCode>0.00%</formatCode>
                  <v>0.3246373875014775</v>
                </pt>
                <pt idx="358">
                  <formatCode>0.00%</formatCode>
                  <v>0.389765091840494</v>
                </pt>
                <pt idx="359">
                  <formatCode>0.00%</formatCode>
                  <v>0.4349683719897903</v>
                </pt>
                <pt idx="360">
                  <formatCode>0.00%</formatCode>
                  <v>0.2687354121538797</v>
                </pt>
                <pt idx="361">
                  <formatCode>0.00%</formatCode>
                  <v>0.3644725252388373</v>
                </pt>
                <pt idx="362">
                  <formatCode>0.00%</formatCode>
                  <v>0.2230634482349099</v>
                </pt>
                <pt idx="363">
                  <formatCode>0.00%</formatCode>
                  <v>0.2086152877723573</v>
                </pt>
                <pt idx="364">
                  <formatCode>0.00%</formatCode>
                  <v>0.1771799116997793</v>
                </pt>
                <pt idx="365">
                  <formatCode>0.00%</formatCode>
                  <v>0.1332067460474439</v>
                </pt>
                <pt idx="366">
                  <formatCode>0.00%</formatCode>
                  <v>0.1024801728487703</v>
                </pt>
                <pt idx="367">
                  <formatCode>0.00%</formatCode>
                  <v>0.1255866123459337</v>
                </pt>
                <pt idx="368">
                  <formatCode>0.00%</formatCode>
                  <v>0.126558348661353</v>
                </pt>
                <pt idx="369">
                  <formatCode>0.00%</formatCode>
                  <v>0.1423090160486431</v>
                </pt>
                <pt idx="370">
                  <formatCode>0.00%</formatCode>
                  <v>0.1410411775101618</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a:prstDash val="solid"/>
            </a:ln>
          </spPr>
          <marker>
            <symbol val="none"/>
            <spPr>
              <a:ln xmlns:a="http://schemas.openxmlformats.org/drawingml/2006/main">
                <a:prstDash val="solid"/>
              </a:ln>
            </spPr>
          </marker>
          <cat>
            <numRef>
              <f>'Gas Station'!$A$7:$A$382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'Gas Station'!$B$7:$B$382</f>
              <numCache>
                <formatCode>#,##0</formatCode>
                <ptCount val="376"/>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37399</v>
                </pt>
                <pt idx="217">
                  <v>36950</v>
                </pt>
                <pt idx="218">
                  <v>37123</v>
                </pt>
                <pt idx="219">
                  <v>37218</v>
                </pt>
                <pt idx="220">
                  <v>36606</v>
                </pt>
                <pt idx="221">
                  <v>35609</v>
                </pt>
                <pt idx="222">
                  <v>35764</v>
                </pt>
                <pt idx="223">
                  <v>36223</v>
                </pt>
                <pt idx="224">
                  <v>37357</v>
                </pt>
                <pt idx="225">
                  <v>38519</v>
                </pt>
                <pt idx="226">
                  <v>39272</v>
                </pt>
                <pt idx="227">
                  <v>41279</v>
                </pt>
                <pt idx="228">
                  <v>41778</v>
                </pt>
                <pt idx="229">
                  <v>42294</v>
                </pt>
                <pt idx="230">
                  <v>43780</v>
                </pt>
                <pt idx="231">
                  <v>44561</v>
                </pt>
                <pt idx="232">
                  <v>45300</v>
                </pt>
                <pt idx="233">
                  <v>44572</v>
                </pt>
                <pt idx="234">
                  <v>44796</v>
                </pt>
                <pt idx="235">
                  <v>45033</v>
                </pt>
                <pt idx="236">
                  <v>45082</v>
                </pt>
                <pt idx="237">
                  <v>44846</v>
                </pt>
                <pt idx="238">
                  <v>45622</v>
                </pt>
                <pt idx="239">
                  <v>45291</v>
                </pt>
                <pt idx="240">
                  <v>45752</v>
                </pt>
                <pt idx="241">
                  <v>47171</v>
                </pt>
                <pt idx="242">
                  <v>47495</v>
                </pt>
                <pt idx="243">
                  <v>47006</v>
                </pt>
                <pt idx="244">
                  <v>45766</v>
                </pt>
                <pt idx="245">
                  <v>43646</v>
                </pt>
                <pt idx="246">
                  <v>43484</v>
                </pt>
                <pt idx="247">
                  <v>46391</v>
                </pt>
                <pt idx="248">
                  <v>47107</v>
                </pt>
                <pt idx="249">
                  <v>47976</v>
                </pt>
                <pt idx="250">
                  <v>46822</v>
                </pt>
                <pt idx="251">
                  <v>45886</v>
                </pt>
                <pt idx="252">
                  <v>46043</v>
                </pt>
                <pt idx="253">
                  <v>49101</v>
                </pt>
                <pt idx="254">
                  <v>47586</v>
                </pt>
                <pt idx="255">
                  <v>46120</v>
                </pt>
                <pt idx="256">
                  <v>45589</v>
                </pt>
                <pt idx="257">
                  <v>45824</v>
                </pt>
                <pt idx="258">
                  <v>45961</v>
                </pt>
                <pt idx="259">
                  <v>45632</v>
                </pt>
                <pt idx="260">
                  <v>45745</v>
                </pt>
                <pt idx="261">
                  <v>45024</v>
                </pt>
                <pt idx="262">
                  <v>44716</v>
                </pt>
                <pt idx="263">
                  <v>46666</v>
                </pt>
                <pt idx="264">
                  <v>47076</v>
                </pt>
                <pt idx="265">
                  <v>47571</v>
                </pt>
                <pt idx="266">
                  <v>46861</v>
                </pt>
                <pt idx="267">
                  <v>47080</v>
                </pt>
                <pt idx="268">
                  <v>46780</v>
                </pt>
                <pt idx="269">
                  <v>45732</v>
                </pt>
                <pt idx="270">
                  <v>45765</v>
                </pt>
                <pt idx="271">
                  <v>45907</v>
                </pt>
                <pt idx="272">
                  <v>45387</v>
                </pt>
                <pt idx="273">
                  <v>44501</v>
                </pt>
                <pt idx="274">
                  <v>43630</v>
                </pt>
                <pt idx="275">
                  <v>40445</v>
                </pt>
                <pt idx="276">
                  <v>36572</v>
                </pt>
                <pt idx="277">
                  <v>37842</v>
                </pt>
                <pt idx="278">
                  <v>38365</v>
                </pt>
                <pt idx="279">
                  <v>37819</v>
                </pt>
                <pt idx="280">
                  <v>39293</v>
                </pt>
                <pt idx="281">
                  <v>39799</v>
                </pt>
                <pt idx="282">
                  <v>40279</v>
                </pt>
                <pt idx="283">
                  <v>39179</v>
                </pt>
                <pt idx="284">
                  <v>36906</v>
                </pt>
                <pt idx="285">
                  <v>36551</v>
                </pt>
                <pt idx="286">
                  <v>36122</v>
                </pt>
                <pt idx="287">
                  <v>35966</v>
                </pt>
                <pt idx="288">
                  <v>34562</v>
                </pt>
                <pt idx="289">
                  <v>32927</v>
                </pt>
                <pt idx="290">
                  <v>34189</v>
                </pt>
                <pt idx="291">
                  <v>35125</v>
                </pt>
                <pt idx="292">
                  <v>36019</v>
                </pt>
                <pt idx="293">
                  <v>37148</v>
                </pt>
                <pt idx="294">
                  <v>36794</v>
                </pt>
                <pt idx="295">
                  <v>35936</v>
                </pt>
                <pt idx="296">
                  <v>36912</v>
                </pt>
                <pt idx="297">
                  <v>37899</v>
                </pt>
                <pt idx="298">
                  <v>37521</v>
                </pt>
                <pt idx="299">
                  <v>39423</v>
                </pt>
                <pt idx="300">
                  <v>39938</v>
                </pt>
                <pt idx="301">
                  <v>40272</v>
                </pt>
                <pt idx="302">
                  <v>39840</v>
                </pt>
                <pt idx="303">
                  <v>39640</v>
                </pt>
                <pt idx="304">
                  <v>38041</v>
                </pt>
                <pt idx="305">
                  <v>37413</v>
                </pt>
                <pt idx="306">
                  <v>37366</v>
                </pt>
                <pt idx="307">
                  <v>38658</v>
                </pt>
                <pt idx="308">
                  <v>40749</v>
                </pt>
                <pt idx="309">
                  <v>40920</v>
                </pt>
                <pt idx="310">
                  <v>42042</v>
                </pt>
                <pt idx="311">
                  <v>42907</v>
                </pt>
                <pt idx="312">
                  <v>43013</v>
                </pt>
                <pt idx="313">
                  <v>43517</v>
                </pt>
                <pt idx="314">
                  <v>42920</v>
                </pt>
                <pt idx="315">
                  <v>42638</v>
                </pt>
                <pt idx="316">
                  <v>43767</v>
                </pt>
                <pt idx="317">
                  <v>43541</v>
                </pt>
                <pt idx="318">
                  <v>43903</v>
                </pt>
                <pt idx="319">
                  <v>44601</v>
                </pt>
                <pt idx="320">
                  <v>44201</v>
                </pt>
                <pt idx="321">
                  <v>45906</v>
                </pt>
                <pt idx="322">
                  <v>43799</v>
                </pt>
                <pt idx="323">
                  <v>41261</v>
                </pt>
                <pt idx="324">
                  <v>40109</v>
                </pt>
                <pt idx="325">
                  <v>41996</v>
                </pt>
                <pt idx="326">
                  <v>43001</v>
                </pt>
                <pt idx="327">
                  <v>43734</v>
                </pt>
                <pt idx="328">
                  <v>43625</v>
                </pt>
                <pt idx="329">
                  <v>42238</v>
                </pt>
                <pt idx="330">
                  <v>42850</v>
                </pt>
                <pt idx="331">
                  <v>42735</v>
                </pt>
                <pt idx="332">
                  <v>42589</v>
                </pt>
                <pt idx="333">
                  <v>43254</v>
                </pt>
                <pt idx="334">
                  <v>43246</v>
                </pt>
                <pt idx="335">
                  <v>44459</v>
                </pt>
                <pt idx="336">
                  <v>43351</v>
                </pt>
                <pt idx="337">
                  <v>42010</v>
                </pt>
                <pt idx="338">
                  <v>34537</v>
                </pt>
                <pt idx="339">
                  <v>26068</v>
                </pt>
                <pt idx="340">
                  <v>29535</v>
                </pt>
                <pt idx="341">
                  <v>33677</v>
                </pt>
                <pt idx="342">
                  <v>35448</v>
                </pt>
                <pt idx="343">
                  <v>36194</v>
                </pt>
                <pt idx="344">
                  <v>36714</v>
                </pt>
                <pt idx="345">
                  <v>36926</v>
                </pt>
                <pt idx="346">
                  <v>36193</v>
                </pt>
                <pt idx="347">
                  <v>39293</v>
                </pt>
                <pt idx="348">
                  <v>41104</v>
                </pt>
                <pt idx="349">
                  <v>42741</v>
                </pt>
                <pt idx="350">
                  <v>46146</v>
                </pt>
                <pt idx="351">
                  <v>45900</v>
                </pt>
                <pt idx="352">
                  <v>46209</v>
                </pt>
                <pt idx="353">
                  <v>46690</v>
                </pt>
                <pt idx="354">
                  <v>47861</v>
                </pt>
                <pt idx="355">
                  <v>49850</v>
                </pt>
                <pt idx="356">
                  <v>51787</v>
                </pt>
                <pt idx="357">
                  <v>54192</v>
                </pt>
                <pt idx="358">
                  <v>55385</v>
                </pt>
                <pt idx="359">
                  <v>55910</v>
                </pt>
                <pt idx="360">
                  <v>54919</v>
                </pt>
                <pt idx="361">
                  <v>58392</v>
                </pt>
                <pt idx="362">
                  <v>64656</v>
                </pt>
                <pt idx="363">
                  <v>63819</v>
                </pt>
                <pt idx="364">
                  <v>66988</v>
                </pt>
                <pt idx="365">
                  <v>68805</v>
                </pt>
                <pt idx="366">
                  <v>67283</v>
                </pt>
                <pt idx="367">
                  <v>63948</v>
                </pt>
                <pt idx="368">
                  <v>61416</v>
                </pt>
                <pt idx="369">
                  <v>64382</v>
                </pt>
                <pt idx="370">
                  <v>64343</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'Gas Station'!$A$7:$A$377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'Gas Station'!$D$7:$D$377</f>
              <numCache>
                <formatCode>General</formatCode>
                <ptCount val="371"/>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0.297765285585398</v>
                </pt>
                <pt idx="217">
                  <formatCode>0.00%</formatCode>
                  <v>0.2374413931681179</v>
                </pt>
                <pt idx="218">
                  <formatCode>0.00%</formatCode>
                  <v>0.2878751084128361</v>
                </pt>
                <pt idx="219">
                  <formatCode>0.00%</formatCode>
                  <v>0.2946742268758479</v>
                </pt>
                <pt idx="220">
                  <formatCode>0.00%</formatCode>
                  <v>0.2006691157176594</v>
                </pt>
                <pt idx="221">
                  <formatCode>0.00%</formatCode>
                  <v>0.06693632958801499</v>
                </pt>
                <pt idx="222">
                  <formatCode>0.00%</formatCode>
                  <v>0.08159438698360855</v>
                </pt>
                <pt idx="223">
                  <formatCode>0.00%</formatCode>
                  <v>0.04515551964914306</v>
                </pt>
                <pt idx="224">
                  <formatCode>0.00%</formatCode>
                  <v>0.07347701149425287</v>
                </pt>
                <pt idx="225">
                  <formatCode>0.00%</formatCode>
                  <v>0.1041708470689408</v>
                </pt>
                <pt idx="226">
                  <formatCode>0.00%</formatCode>
                  <v>0.07379761025893419</v>
                </pt>
                <pt idx="227">
                  <formatCode>0.00%</formatCode>
                  <v>0.1101877252433973</v>
                </pt>
                <pt idx="228">
                  <formatCode>0.00%</formatCode>
                  <v>0.1170886922110217</v>
                </pt>
                <pt idx="229">
                  <formatCode>0.00%</formatCode>
                  <v>0.1446278755074425</v>
                </pt>
                <pt idx="230">
                  <formatCode>0.00%</formatCode>
                  <v>0.1793227918002317</v>
                </pt>
                <pt idx="231">
                  <formatCode>0.00%</formatCode>
                  <v>0.1972970068246547</v>
                </pt>
                <pt idx="232">
                  <formatCode>0.00%</formatCode>
                  <v>0.2375020488444517</v>
                </pt>
                <pt idx="233">
                  <formatCode>0.00%</formatCode>
                  <v>0.2517060293745963</v>
                </pt>
                <pt idx="234">
                  <formatCode>0.00%</formatCode>
                  <v>0.2525444581143049</v>
                </pt>
                <pt idx="235">
                  <formatCode>0.00%</formatCode>
                  <v>0.2432156364740634</v>
                </pt>
                <pt idx="236">
                  <formatCode>0.00%</formatCode>
                  <v>0.2067885536847177</v>
                </pt>
                <pt idx="237">
                  <formatCode>0.00%</formatCode>
                  <v>0.1642566006386459</v>
                </pt>
                <pt idx="238">
                  <formatCode>0.00%</formatCode>
                  <v>0.1616928091260949</v>
                </pt>
                <pt idx="239">
                  <formatCode>0.00%</formatCode>
                  <v>0.09719227694469343</v>
                </pt>
                <pt idx="240">
                  <formatCode>0.00%</formatCode>
                  <v>0.09512183445832735</v>
                </pt>
                <pt idx="241">
                  <formatCode>0.00%</formatCode>
                  <v>0.1153118645670781</v>
                </pt>
                <pt idx="242">
                  <formatCode>0.00%</formatCode>
                  <v>0.08485609867519416</v>
                </pt>
                <pt idx="243">
                  <formatCode>0.00%</formatCode>
                  <v>0.05486860707793811</v>
                </pt>
                <pt idx="244">
                  <formatCode>0.00%</formatCode>
                  <v>0.01028697571743929</v>
                </pt>
                <pt idx="245">
                  <formatCode>0.00%</formatCode>
                  <v>-0.02077537467468366</v>
                </pt>
                <pt idx="246">
                  <formatCode>0.00%</formatCode>
                  <v>-0.02928832931511742</v>
                </pt>
                <pt idx="247">
                  <formatCode>0.00%</formatCode>
                  <v>0.03015566362445318</v>
                </pt>
                <pt idx="248">
                  <formatCode>0.00%</formatCode>
                  <v>0.04491814915043698</v>
                </pt>
                <pt idx="249">
                  <formatCode>0.00%</formatCode>
                  <v>0.06979440752798466</v>
                </pt>
                <pt idx="250">
                  <formatCode>0.00%</formatCode>
                  <v>0.02630309938187717</v>
                </pt>
                <pt idx="251">
                  <formatCode>0.00%</formatCode>
                  <v>0.01313726788986774</v>
                </pt>
                <pt idx="252">
                  <formatCode>0.00%</formatCode>
                  <v>0.006360377688407064</v>
                </pt>
                <pt idx="253">
                  <formatCode>0.00%</formatCode>
                  <v>0.04091496894278264</v>
                </pt>
                <pt idx="254">
                  <formatCode>0.00%</formatCode>
                  <v>0.001915991156963891</v>
                </pt>
                <pt idx="255">
                  <formatCode>0.00%</formatCode>
                  <v>-0.0188486576181764</v>
                </pt>
                <pt idx="256">
                  <formatCode>0.00%</formatCode>
                  <v>-0.003867499890748591</v>
                </pt>
                <pt idx="257">
                  <formatCode>0.00%</formatCode>
                  <v>0.0499014800898135</v>
                </pt>
                <pt idx="258">
                  <formatCode>0.00%</formatCode>
                  <v>0.05696348082053169</v>
                </pt>
                <pt idx="259">
                  <formatCode>0.00%</formatCode>
                  <v>-0.01636093207734259</v>
                </pt>
                <pt idx="260">
                  <formatCode>0.00%</formatCode>
                  <v>-0.02891290041819687</v>
                </pt>
                <pt idx="261">
                  <formatCode>0.00%</formatCode>
                  <v>-0.06153076538269135</v>
                </pt>
                <pt idx="262">
                  <formatCode>0.00%</formatCode>
                  <v>-0.04497885609328948</v>
                </pt>
                <pt idx="263">
                  <formatCode>0.00%</formatCode>
                  <v>0.01699864882534978</v>
                </pt>
                <pt idx="264">
                  <formatCode>0.00%</formatCode>
                  <v>0.02243554937775558</v>
                </pt>
                <pt idx="265">
                  <formatCode>0.00%</formatCode>
                  <v>-0.03116026150180241</v>
                </pt>
                <pt idx="266">
                  <formatCode>0.00%</formatCode>
                  <v>-0.01523557348800067</v>
                </pt>
                <pt idx="267">
                  <formatCode>0.00%</formatCode>
                  <v>0.02081526452732003</v>
                </pt>
                <pt idx="268">
                  <formatCode>0.00%</formatCode>
                  <v>0.02612472306916142</v>
                </pt>
                <pt idx="269">
                  <formatCode>0.00%</formatCode>
                  <v>-0.00200768156424581</v>
                </pt>
                <pt idx="270">
                  <formatCode>0.00%</formatCode>
                  <v>-0.004264485106938491</v>
                </pt>
                <pt idx="271">
                  <formatCode>0.00%</formatCode>
                  <v>0.006026472650771389</v>
                </pt>
                <pt idx="272">
                  <formatCode>0.00%</formatCode>
                  <v>-0.007825991911684337</v>
                </pt>
                <pt idx="273">
                  <formatCode>0.00%</formatCode>
                  <v>-0.01161602700781805</v>
                </pt>
                <pt idx="274">
                  <formatCode>0.00%</formatCode>
                  <v>-0.02428660882010913</v>
                </pt>
                <pt idx="275">
                  <formatCode>0.00%</formatCode>
                  <v>-0.1333090472721039</v>
                </pt>
                <pt idx="276">
                  <formatCode>0.00%</formatCode>
                  <v>-0.2231285580763021</v>
                </pt>
                <pt idx="277">
                  <formatCode>0.00%</formatCode>
                  <v>-0.2045153559941982</v>
                </pt>
                <pt idx="278">
                  <formatCode>0.00%</formatCode>
                  <v>-0.181302148908474</v>
                </pt>
                <pt idx="279">
                  <formatCode>0.00%</formatCode>
                  <v>-0.1967077315208156</v>
                </pt>
                <pt idx="280">
                  <formatCode>0.00%</formatCode>
                  <v>-0.16004702864472</v>
                </pt>
                <pt idx="281">
                  <formatCode>0.00%</formatCode>
                  <v>-0.1297341030350739</v>
                </pt>
                <pt idx="282">
                  <formatCode>0.00%</formatCode>
                  <v>-0.1198732655959795</v>
                </pt>
                <pt idx="283">
                  <formatCode>0.00%</formatCode>
                  <v>-0.1465571699305117</v>
                </pt>
                <pt idx="284">
                  <formatCode>0.00%</formatCode>
                  <v>-0.1868596734747835</v>
                </pt>
                <pt idx="285">
                  <formatCode>0.00%</formatCode>
                  <v>-0.1786476708388575</v>
                </pt>
                <pt idx="286">
                  <formatCode>0.00%</formatCode>
                  <v>-0.1720834288333715</v>
                </pt>
                <pt idx="287">
                  <formatCode>0.00%</formatCode>
                  <v>-0.1107429842996662</v>
                </pt>
                <pt idx="288">
                  <formatCode>0.00%</formatCode>
                  <v>-0.05496007874876955</v>
                </pt>
                <pt idx="289">
                  <formatCode>0.00%</formatCode>
                  <v>-0.1298821415358596</v>
                </pt>
                <pt idx="290">
                  <formatCode>0.00%</formatCode>
                  <v>-0.1088492115209175</v>
                </pt>
                <pt idx="291">
                  <formatCode>0.00%</formatCode>
                  <v>-0.07123403580211005</v>
                </pt>
                <pt idx="292">
                  <formatCode>0.00%</formatCode>
                  <v>-0.08332272923930471</v>
                </pt>
                <pt idx="293">
                  <formatCode>0.00%</formatCode>
                  <v>-0.06660971381190482</v>
                </pt>
                <pt idx="294">
                  <formatCode>0.00%</formatCode>
                  <v>-0.08652151245065667</v>
                </pt>
                <pt idx="295">
                  <formatCode>0.00%</formatCode>
                  <v>-0.08277393501620767</v>
                </pt>
                <pt idx="296">
                  <formatCode>0.00%</formatCode>
                  <v>0.0001625751910258494</v>
                </pt>
                <pt idx="297">
                  <formatCode>0.00%</formatCode>
                  <v>0.03687997592405132</v>
                </pt>
                <pt idx="298">
                  <formatCode>0.00%</formatCode>
                  <v>0.03872985991916283</v>
                </pt>
                <pt idx="299">
                  <formatCode>0.00%</formatCode>
                  <v>0.09611855641439138</v>
                </pt>
                <pt idx="300">
                  <formatCode>0.00%</formatCode>
                  <v>0.1555465540188646</v>
                </pt>
                <pt idx="301">
                  <formatCode>0.00%</formatCode>
                  <v>0.2230692137151881</v>
                </pt>
                <pt idx="302">
                  <formatCode>0.00%</formatCode>
                  <v>0.1652870806399719</v>
                </pt>
                <pt idx="303">
                  <formatCode>0.00%</formatCode>
                  <v>0.1285409252669039</v>
                </pt>
                <pt idx="304">
                  <formatCode>0.00%</formatCode>
                  <v>0.05613703878508565</v>
                </pt>
                <pt idx="305">
                  <formatCode>0.00%</formatCode>
                  <v>0.007133627651555939</v>
                </pt>
                <pt idx="306">
                  <formatCode>0.00%</formatCode>
                  <v>0.01554601293689188</v>
                </pt>
                <pt idx="307">
                  <formatCode>0.00%</formatCode>
                  <v>0.07574577025823687</v>
                </pt>
                <pt idx="308">
                  <formatCode>0.00%</formatCode>
                  <v>0.1039499349804942</v>
                </pt>
                <pt idx="309">
                  <formatCode>0.00%</formatCode>
                  <v>0.07971186574843664</v>
                </pt>
                <pt idx="310">
                  <formatCode>0.00%</formatCode>
                  <v>0.1204925241864556</v>
                </pt>
                <pt idx="311">
                  <formatCode>0.00%</formatCode>
                  <v>0.08837480658498846</v>
                </pt>
                <pt idx="312">
                  <formatCode>0.00%</formatCode>
                  <v>0.07699434122890481</v>
                </pt>
                <pt idx="313">
                  <formatCode>0.00%</formatCode>
                  <v>0.08057707588398888</v>
                </pt>
                <pt idx="314">
                  <formatCode>0.00%</formatCode>
                  <v>0.07730923694779117</v>
                </pt>
                <pt idx="315">
                  <formatCode>0.00%</formatCode>
                  <v>0.07563067608476287</v>
                </pt>
                <pt idx="316">
                  <formatCode>0.00%</formatCode>
                  <v>0.1505218054204674</v>
                </pt>
                <pt idx="317">
                  <formatCode>0.00%</formatCode>
                  <v>0.1637933338679069</v>
                </pt>
                <pt idx="318">
                  <formatCode>0.00%</formatCode>
                  <v>0.174945137290585</v>
                </pt>
                <pt idx="319">
                  <formatCode>0.00%</formatCode>
                  <v>0.1537327331988204</v>
                </pt>
                <pt idx="320">
                  <formatCode>0.00%</formatCode>
                  <v>0.08471373530638789</v>
                </pt>
                <pt idx="321">
                  <formatCode>0.00%</formatCode>
                  <v>0.1218475073313783</v>
                </pt>
                <pt idx="322">
                  <formatCode>0.00%</formatCode>
                  <v>0.04179154179154179</v>
                </pt>
                <pt idx="323">
                  <formatCode>0.00%</formatCode>
                  <v>-0.03836203882816323</v>
                </pt>
                <pt idx="324">
                  <formatCode>0.00%</formatCode>
                  <v>-0.06751447236881873</v>
                </pt>
                <pt idx="325">
                  <formatCode>0.00%</formatCode>
                  <v>-0.0349518578946159</v>
                </pt>
                <pt idx="326">
                  <formatCode>0.00%</formatCode>
                  <v>0.001887232059645853</v>
                </pt>
                <pt idx="327">
                  <formatCode>0.00%</formatCode>
                  <v>0.02570477039260753</v>
                </pt>
                <pt idx="328">
                  <formatCode>0.00%</formatCode>
                  <v>-0.003244453583750314</v>
                </pt>
                <pt idx="329">
                  <formatCode>0.00%</formatCode>
                  <v>-0.02992581704600262</v>
                </pt>
                <pt idx="330">
                  <formatCode>0.00%</formatCode>
                  <v>-0.02398469352891602</v>
                </pt>
                <pt idx="331">
                  <formatCode>0.00%</formatCode>
                  <v>-0.04183762695903679</v>
                </pt>
                <pt idx="332">
                  <formatCode>0.00%</formatCode>
                  <v>-0.03646976312753105</v>
                </pt>
                <pt idx="333">
                  <formatCode>0.00%</formatCode>
                  <v>-0.05777022611423344</v>
                </pt>
                <pt idx="334">
                  <formatCode>0.00%</formatCode>
                  <v>-0.01262585903787758</v>
                </pt>
                <pt idx="335">
                  <formatCode>0.00%</formatCode>
                  <v>0.07750660429945953</v>
                </pt>
                <pt idx="336">
                  <formatCode>0.00%</formatCode>
                  <v>0.08082973896133037</v>
                </pt>
                <pt idx="337">
                  <formatCode>0.00%</formatCode>
                  <v>0.0003333650823887989</v>
                </pt>
                <pt idx="338">
                  <formatCode>0.00%</formatCode>
                  <v>-0.1968326317992605</v>
                </pt>
                <pt idx="339">
                  <formatCode>0.00%</formatCode>
                  <v>-0.4039420130790689</v>
                </pt>
                <pt idx="340">
                  <formatCode>0.00%</formatCode>
                  <v>-0.3229799426934097</v>
                </pt>
                <pt idx="341">
                  <formatCode>0.00%</formatCode>
                  <v>-0.2026847862114683</v>
                </pt>
                <pt idx="342">
                  <formatCode>0.00%</formatCode>
                  <v>-0.1727421236872812</v>
                </pt>
                <pt idx="343">
                  <formatCode>0.00%</formatCode>
                  <v>-0.1530595530595531</v>
                </pt>
                <pt idx="344">
                  <formatCode>0.00%</formatCode>
                  <v>-0.137946418089178</v>
                </pt>
                <pt idx="345">
                  <formatCode>0.00%</formatCode>
                  <v>-0.146298608221205</v>
                </pt>
                <pt idx="346">
                  <formatCode>0.00%</formatCode>
                  <v>-0.1630902279979651</v>
                </pt>
                <pt idx="347">
                  <formatCode>0.00%</formatCode>
                  <v>-0.1161969455003486</v>
                </pt>
                <pt idx="348">
                  <formatCode>0.00%</formatCode>
                  <v>-0.05183271435491684</v>
                </pt>
                <pt idx="349">
                  <formatCode>0.00%</formatCode>
                  <v>0.01740061890026184</v>
                </pt>
                <pt idx="350">
                  <formatCode>0.00%</formatCode>
                  <v>0.3361322639488085</v>
                </pt>
                <pt idx="351">
                  <formatCode>0.00%</formatCode>
                  <v>0.7607794997698327</v>
                </pt>
                <pt idx="352">
                  <formatCode>0.00%</formatCode>
                  <v>0.5645505332656171</v>
                </pt>
                <pt idx="353">
                  <formatCode>0.00%</formatCode>
                  <v>0.3864061525670339</v>
                </pt>
                <pt idx="354">
                  <formatCode>0.00%</formatCode>
                  <v>0.3501749040848567</v>
                </pt>
                <pt idx="355">
                  <formatCode>0.00%</formatCode>
                  <v>0.3773001049897773</v>
                </pt>
                <pt idx="356">
                  <formatCode>0.00%</formatCode>
                  <v>0.4105518330881953</v>
                </pt>
                <pt idx="357">
                  <formatCode>0.00%</formatCode>
                  <v>0.4675838162812111</v>
                </pt>
                <pt idx="358">
                  <formatCode>0.00%</formatCode>
                  <v>0.5302682839223054</v>
                </pt>
                <pt idx="359">
                  <formatCode>0.00%</formatCode>
                  <v>0.422899753136691</v>
                </pt>
                <pt idx="360">
                  <formatCode>0.00%</formatCode>
                  <v>0.3360986765278318</v>
                </pt>
                <pt idx="361">
                  <formatCode>0.00%</formatCode>
                  <v>0.3661823541798273</v>
                </pt>
                <pt idx="362">
                  <formatCode>0.00%</formatCode>
                  <v>0.4011181900923157</v>
                </pt>
                <pt idx="363">
                  <formatCode>0.00%</formatCode>
                  <v>0.3903921568627451</v>
                </pt>
                <pt idx="364">
                  <formatCode>0.00%</formatCode>
                  <v>0.4496743058711506</v>
                </pt>
                <pt idx="365">
                  <formatCode>0.00%</formatCode>
                  <v>0.473656029128293</v>
                </pt>
                <pt idx="366">
                  <formatCode>0.00%</formatCode>
                  <v>0.4058001295417981</v>
                </pt>
                <pt idx="367">
                  <formatCode>0.00%</formatCode>
                  <v>0.2828084252758275</v>
                </pt>
                <pt idx="368">
                  <formatCode>0.00%</formatCode>
                  <v>0.1859346940351826</v>
                </pt>
                <pt idx="369">
                  <formatCode>0.00%</formatCode>
                  <v>0.1880351343371715</v>
                </pt>
                <pt idx="370">
                  <formatCode>0.00%</formatCode>
                  <v>0.1617405434684481</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a:prstDash val="solid"/>
            </a:ln>
          </spPr>
          <marker>
            <symbol val="none"/>
            <spPr>
              <a:ln xmlns:a="http://schemas.openxmlformats.org/drawingml/2006/main">
                <a:prstDash val="solid"/>
              </a:ln>
            </spPr>
          </marker>
          <cat>
            <numRef>
              <f>Motor!$A$7:$A$381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Motor!$B$7:$B$381</f>
              <numCache>
                <formatCode>#,##0</formatCode>
                <ptCount val="375"/>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56798</v>
                </pt>
                <pt idx="217">
                  <v>55803</v>
                </pt>
                <pt idx="218">
                  <v>60897</v>
                </pt>
                <pt idx="219">
                  <v>61823</v>
                </pt>
                <pt idx="220">
                  <v>61571</v>
                </pt>
                <pt idx="221">
                  <v>61425</v>
                </pt>
                <pt idx="222">
                  <v>62679</v>
                </pt>
                <pt idx="223">
                  <v>62545</v>
                </pt>
                <pt idx="224">
                  <v>63260</v>
                </pt>
                <pt idx="225">
                  <v>64916</v>
                </pt>
                <pt idx="226">
                  <v>65380</v>
                </pt>
                <pt idx="227">
                  <v>65296</v>
                </pt>
                <pt idx="228">
                  <v>66218</v>
                </pt>
                <pt idx="229">
                  <v>67255</v>
                </pt>
                <pt idx="230">
                  <v>67581</v>
                </pt>
                <pt idx="231">
                  <v>66660</v>
                </pt>
                <pt idx="232">
                  <v>65855</v>
                </pt>
                <pt idx="233">
                  <v>66825</v>
                </pt>
                <pt idx="234">
                  <v>66536</v>
                </pt>
                <pt idx="235">
                  <v>65805</v>
                </pt>
                <pt idx="236">
                  <v>68816</v>
                </pt>
                <pt idx="237">
                  <v>69880</v>
                </pt>
                <pt idx="238">
                  <v>70223</v>
                </pt>
                <pt idx="239">
                  <v>71420</v>
                </pt>
                <pt idx="240">
                  <v>71720</v>
                </pt>
                <pt idx="241">
                  <v>72657</v>
                </pt>
                <pt idx="242">
                  <v>72592</v>
                </pt>
                <pt idx="243">
                  <v>73002</v>
                </pt>
                <pt idx="244">
                  <v>73646</v>
                </pt>
                <pt idx="245">
                  <v>72324</v>
                </pt>
                <pt idx="246">
                  <v>73197</v>
                </pt>
                <pt idx="247">
                  <v>73976</v>
                </pt>
                <pt idx="248">
                  <v>75123</v>
                </pt>
                <pt idx="249">
                  <v>74820</v>
                </pt>
                <pt idx="250">
                  <v>75907</v>
                </pt>
                <pt idx="251">
                  <v>76795</v>
                </pt>
                <pt idx="252">
                  <v>77707</v>
                </pt>
                <pt idx="253">
                  <v>78895</v>
                </pt>
                <pt idx="254">
                  <v>77964</v>
                </pt>
                <pt idx="255">
                  <v>78315</v>
                </pt>
                <pt idx="256">
                  <v>79771</v>
                </pt>
                <pt idx="257">
                  <v>81309</v>
                </pt>
                <pt idx="258">
                  <v>81704</v>
                </pt>
                <pt idx="259">
                  <v>81294</v>
                </pt>
                <pt idx="260">
                  <v>80179</v>
                </pt>
                <pt idx="261">
                  <v>81482</v>
                </pt>
                <pt idx="262">
                  <v>81803</v>
                </pt>
                <pt idx="263">
                  <v>81447</v>
                </pt>
                <pt idx="264">
                  <v>79169</v>
                </pt>
                <pt idx="265">
                  <v>81551</v>
                </pt>
                <pt idx="266">
                  <v>84408</v>
                </pt>
                <pt idx="267">
                  <v>85795</v>
                </pt>
                <pt idx="268">
                  <v>85889</v>
                </pt>
                <pt idx="269">
                  <v>86280</v>
                </pt>
                <pt idx="270">
                  <v>86500</v>
                </pt>
                <pt idx="271">
                  <v>87271</v>
                </pt>
                <pt idx="272">
                  <v>86406</v>
                </pt>
                <pt idx="273">
                  <v>86891</v>
                </pt>
                <pt idx="274">
                  <v>87707</v>
                </pt>
                <pt idx="275">
                  <v>87441</v>
                </pt>
                <pt idx="276">
                  <v>88397</v>
                </pt>
                <pt idx="277">
                  <v>87342</v>
                </pt>
                <pt idx="278">
                  <v>91104</v>
                </pt>
                <pt idx="279">
                  <v>91741</v>
                </pt>
                <pt idx="280">
                  <v>92278</v>
                </pt>
                <pt idx="281">
                  <v>92285</v>
                </pt>
                <pt idx="282">
                  <v>92532</v>
                </pt>
                <pt idx="283">
                  <v>93082</v>
                </pt>
                <pt idx="284">
                  <v>93565</v>
                </pt>
                <pt idx="285">
                  <v>92770</v>
                </pt>
                <pt idx="286">
                  <v>93987</v>
                </pt>
                <pt idx="287">
                  <v>93440</v>
                </pt>
                <pt idx="288">
                  <v>93062</v>
                </pt>
                <pt idx="289">
                  <v>95541</v>
                </pt>
                <pt idx="290">
                  <v>93535</v>
                </pt>
                <pt idx="291">
                  <v>93713</v>
                </pt>
                <pt idx="292">
                  <v>94098</v>
                </pt>
                <pt idx="293">
                  <v>94731</v>
                </pt>
                <pt idx="294">
                  <v>95925</v>
                </pt>
                <pt idx="295">
                  <v>96331</v>
                </pt>
                <pt idx="296">
                  <v>97261</v>
                </pt>
                <pt idx="297">
                  <v>96935</v>
                </pt>
                <pt idx="298">
                  <v>96622</v>
                </pt>
                <pt idx="299">
                  <v>99352</v>
                </pt>
                <pt idx="300">
                  <v>99430</v>
                </pt>
                <pt idx="301">
                  <v>98936</v>
                </pt>
                <pt idx="302">
                  <v>96879</v>
                </pt>
                <pt idx="303">
                  <v>97373</v>
                </pt>
                <pt idx="304">
                  <v>97805</v>
                </pt>
                <pt idx="305">
                  <v>98720</v>
                </pt>
                <pt idx="306">
                  <v>98774</v>
                </pt>
                <pt idx="307">
                  <v>96666</v>
                </pt>
                <pt idx="308">
                  <v>100864</v>
                </pt>
                <pt idx="309">
                  <v>101485</v>
                </pt>
                <pt idx="310">
                  <v>100674</v>
                </pt>
                <pt idx="311">
                  <v>100407</v>
                </pt>
                <pt idx="312">
                  <v>100178</v>
                </pt>
                <pt idx="313">
                  <v>99933</v>
                </pt>
                <pt idx="314">
                  <v>99932</v>
                </pt>
                <pt idx="315">
                  <v>100357</v>
                </pt>
                <pt idx="316">
                  <v>100654</v>
                </pt>
                <pt idx="317">
                  <v>100387</v>
                </pt>
                <pt idx="318">
                  <v>100899</v>
                </pt>
                <pt idx="319">
                  <v>100088</v>
                </pt>
                <pt idx="320">
                  <v>99409</v>
                </pt>
                <pt idx="321">
                  <v>100069</v>
                </pt>
                <pt idx="322">
                  <v>101090</v>
                </pt>
                <pt idx="323">
                  <v>102015</v>
                </pt>
                <pt idx="324">
                  <v>99646</v>
                </pt>
                <pt idx="325">
                  <v>100952</v>
                </pt>
                <pt idx="326">
                  <v>103572</v>
                </pt>
                <pt idx="327">
                  <v>102246</v>
                </pt>
                <pt idx="328">
                  <v>102877</v>
                </pt>
                <pt idx="329">
                  <v>102878</v>
                </pt>
                <pt idx="330">
                  <v>103345</v>
                </pt>
                <pt idx="331">
                  <v>105732</v>
                </pt>
                <pt idx="332">
                  <v>103485</v>
                </pt>
                <pt idx="333">
                  <v>103340</v>
                </pt>
                <pt idx="334">
                  <v>105719</v>
                </pt>
                <pt idx="335">
                  <v>103750</v>
                </pt>
                <pt idx="336">
                  <v>102930</v>
                </pt>
                <pt idx="337">
                  <v>103495</v>
                </pt>
                <pt idx="338">
                  <v>76157</v>
                </pt>
                <pt idx="339">
                  <v>66241</v>
                </pt>
                <pt idx="340">
                  <v>97963</v>
                </pt>
                <pt idx="341">
                  <v>106961</v>
                </pt>
                <pt idx="342">
                  <v>105832</v>
                </pt>
                <pt idx="343">
                  <v>107235</v>
                </pt>
                <pt idx="344">
                  <v>111028</v>
                </pt>
                <pt idx="345">
                  <v>110462</v>
                </pt>
                <pt idx="346">
                  <v>108927</v>
                </pt>
                <pt idx="347">
                  <v>111086</v>
                </pt>
                <pt idx="348">
                  <v>115032</v>
                </pt>
                <pt idx="349">
                  <v>111776</v>
                </pt>
                <pt idx="350">
                  <v>131105</v>
                </pt>
                <pt idx="351">
                  <v>133457</v>
                </pt>
                <pt idx="352">
                  <v>131143</v>
                </pt>
                <pt idx="353">
                  <v>127077</v>
                </pt>
                <pt idx="354">
                  <v>122328</v>
                </pt>
                <pt idx="355">
                  <v>119616</v>
                </pt>
                <pt idx="356">
                  <v>121092</v>
                </pt>
                <pt idx="357">
                  <v>122697</v>
                </pt>
                <pt idx="358">
                  <v>124925</v>
                </pt>
                <pt idx="359">
                  <v>120807</v>
                </pt>
                <pt idx="360">
                  <v>129666</v>
                </pt>
                <pt idx="361">
                  <v>131428</v>
                </pt>
                <pt idx="362">
                  <v>128522</v>
                </pt>
                <pt idx="363">
                  <v>130811</v>
                </pt>
                <pt idx="364">
                  <v>126390</v>
                </pt>
                <pt idx="365">
                  <v>127104</v>
                </pt>
                <pt idx="366">
                  <v>124553</v>
                </pt>
                <pt idx="367">
                  <v>128149</v>
                </pt>
                <pt idx="368">
                  <v>127451</v>
                </pt>
                <pt idx="369">
                  <v>129482</v>
                </pt>
                <pt idx="370">
                  <v>126512</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Motor!$A$7:$A$386</f>
              <numCache>
                <formatCode>[$-409]mmm\-yy;@</formatCode>
                <ptCount val="38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Motor!$D$7:$D$386</f>
              <numCache>
                <formatCode>General</formatCode>
                <ptCount val="38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0.01806775407779172</v>
                </pt>
                <pt idx="217">
                  <formatCode>0.00%</formatCode>
                  <v>0.02980364656381487</v>
                </pt>
                <pt idx="218">
                  <formatCode>0.00%</formatCode>
                  <v>0.1468361581920904</v>
                </pt>
                <pt idx="219">
                  <formatCode>0.00%</formatCode>
                  <v>0.1543402356367982</v>
                </pt>
                <pt idx="220">
                  <formatCode>0.00%</formatCode>
                  <v>0.1383275712252029</v>
                </pt>
                <pt idx="221">
                  <formatCode>0.00%</formatCode>
                  <v>0.08503647700976842</v>
                </pt>
                <pt idx="222">
                  <formatCode>0.00%</formatCode>
                  <v>0.08538823855371615</v>
                </pt>
                <pt idx="223">
                  <formatCode>0.00%</formatCode>
                  <v>0.00452917463019771</v>
                </pt>
                <pt idx="224">
                  <formatCode>0.00%</formatCode>
                  <v>0.1816789330145328</v>
                </pt>
                <pt idx="225">
                  <formatCode>0.00%</formatCode>
                  <v>0.149586498786945</v>
                </pt>
                <pt idx="226">
                  <formatCode>0.00%</formatCode>
                  <v>0.1399180542236945</v>
                </pt>
                <pt idx="227">
                  <formatCode>0.00%</formatCode>
                  <v>0.1439583734823665</v>
                </pt>
                <pt idx="228">
                  <formatCode>0.00%</formatCode>
                  <v>0.1658509102433184</v>
                </pt>
                <pt idx="229">
                  <formatCode>0.00%</formatCode>
                  <v>0.2052219414726807</v>
                </pt>
                <pt idx="230">
                  <formatCode>0.00%</formatCode>
                  <v>0.1097591014335682</v>
                </pt>
                <pt idx="231">
                  <formatCode>0.00%</formatCode>
                  <v>0.07823949015738479</v>
                </pt>
                <pt idx="232">
                  <formatCode>0.00%</formatCode>
                  <v>0.06957821052118693</v>
                </pt>
                <pt idx="233">
                  <formatCode>0.00%</formatCode>
                  <v>0.08791208791208792</v>
                </pt>
                <pt idx="234">
                  <formatCode>0.00%</formatCode>
                  <v>0.06153576157883821</v>
                </pt>
                <pt idx="235">
                  <formatCode>0.00%</formatCode>
                  <v>0.05212247182028939</v>
                </pt>
                <pt idx="236">
                  <formatCode>0.00%</formatCode>
                  <v>0.08782801138159975</v>
                </pt>
                <pt idx="237">
                  <formatCode>0.00%</formatCode>
                  <v>0.07646805101977941</v>
                </pt>
                <pt idx="238">
                  <formatCode>0.00%</formatCode>
                  <v>0.07407464056286327</v>
                </pt>
                <pt idx="239">
                  <formatCode>0.00%</formatCode>
                  <v>0.0937882871845136</v>
                </pt>
                <pt idx="240">
                  <formatCode>0.00%</formatCode>
                  <v>0.08308919025038509</v>
                </pt>
                <pt idx="241">
                  <formatCode>0.00%</formatCode>
                  <v>0.08032116571258642</v>
                </pt>
                <pt idx="242">
                  <formatCode>0.00%</formatCode>
                  <v>0.07414805936579807</v>
                </pt>
                <pt idx="243">
                  <formatCode>0.00%</formatCode>
                  <v>0.09513951395139514</v>
                </pt>
                <pt idx="244">
                  <formatCode>0.00%</formatCode>
                  <v>0.1183053678536178</v>
                </pt>
                <pt idx="245">
                  <formatCode>0.00%</formatCode>
                  <v>0.08228956228956229</v>
                </pt>
                <pt idx="246">
                  <formatCode>0.00%</formatCode>
                  <v>0.100111217987255</v>
                </pt>
                <pt idx="247">
                  <formatCode>0.00%</formatCode>
                  <v>0.1241698959045665</v>
                </pt>
                <pt idx="248">
                  <formatCode>0.00%</formatCode>
                  <v>0.0916501976284585</v>
                </pt>
                <pt idx="249">
                  <formatCode>0.00%</formatCode>
                  <v>0.07069261591299371</v>
                </pt>
                <pt idx="250">
                  <formatCode>0.00%</formatCode>
                  <v>0.08094214146362302</v>
                </pt>
                <pt idx="251">
                  <formatCode>0.00%</formatCode>
                  <v>0.07525903108373004</v>
                </pt>
                <pt idx="252">
                  <formatCode>0.00%</formatCode>
                  <v>0.08347741215839376</v>
                </pt>
                <pt idx="253">
                  <formatCode>0.00%</formatCode>
                  <v>0.08585545783613416</v>
                </pt>
                <pt idx="254">
                  <formatCode>0.00%</formatCode>
                  <v>0.07400264491955036</v>
                </pt>
                <pt idx="255">
                  <formatCode>0.00%</formatCode>
                  <v>0.07277882797731569</v>
                </pt>
                <pt idx="256">
                  <formatCode>0.00%</formatCode>
                  <v>0.08316812861526764</v>
                </pt>
                <pt idx="257">
                  <formatCode>0.00%</formatCode>
                  <v>0.1242326198772192</v>
                </pt>
                <pt idx="258">
                  <formatCode>0.00%</formatCode>
                  <v>0.1162206101342951</v>
                </pt>
                <pt idx="259">
                  <formatCode>0.00%</formatCode>
                  <v>0.09892397534335461</v>
                </pt>
                <pt idx="260">
                  <formatCode>0.00%</formatCode>
                  <v>0.06730295648469843</v>
                </pt>
                <pt idx="261">
                  <formatCode>0.00%</formatCode>
                  <v>0.08904036353916066</v>
                </pt>
                <pt idx="262">
                  <formatCode>0.00%</formatCode>
                  <v>0.07767399581066305</v>
                </pt>
                <pt idx="263">
                  <formatCode>0.00%</formatCode>
                  <v>0.06057686047268702</v>
                </pt>
                <pt idx="264">
                  <formatCode>0.00%</formatCode>
                  <v>0.01881426383723474</v>
                </pt>
                <pt idx="265">
                  <formatCode>0.00%</formatCode>
                  <v>0.03366499778186197</v>
                </pt>
                <pt idx="266">
                  <formatCode>0.00%</formatCode>
                  <v>0.08265353239956903</v>
                </pt>
                <pt idx="267">
                  <formatCode>0.00%</formatCode>
                  <v>0.09551171550788483</v>
                </pt>
                <pt idx="268">
                  <formatCode>0.00%</formatCode>
                  <v>0.0766945381153552</v>
                </pt>
                <pt idx="269">
                  <formatCode>0.00%</formatCode>
                  <v>0.06113714348965059</v>
                </pt>
                <pt idx="270">
                  <formatCode>0.00%</formatCode>
                  <v>0.05869969646528934</v>
                </pt>
                <pt idx="271">
                  <formatCode>0.00%</formatCode>
                  <v>0.07352326124929269</v>
                </pt>
                <pt idx="272">
                  <formatCode>0.00%</formatCode>
                  <v>0.07766372740992031</v>
                </pt>
                <pt idx="273">
                  <formatCode>0.00%</formatCode>
                  <v>0.06638275938244029</v>
                </pt>
                <pt idx="274">
                  <formatCode>0.00%</formatCode>
                  <v>0.07217339217388115</v>
                </pt>
                <pt idx="275">
                  <formatCode>0.00%</formatCode>
                  <v>0.07359387086080518</v>
                </pt>
                <pt idx="276">
                  <formatCode>0.00%</formatCode>
                  <v>0.1165607750508406</v>
                </pt>
                <pt idx="277">
                  <formatCode>0.00%</formatCode>
                  <v>0.07101077853122587</v>
                </pt>
                <pt idx="278">
                  <formatCode>0.00%</formatCode>
                  <v>0.07932897355700881</v>
                </pt>
                <pt idx="279">
                  <formatCode>0.00%</formatCode>
                  <v>0.06930473803834722</v>
                </pt>
                <pt idx="280">
                  <formatCode>0.00%</formatCode>
                  <v>0.07438670842599168</v>
                </pt>
                <pt idx="281">
                  <formatCode>0.00%</formatCode>
                  <v>0.06959898006490496</v>
                </pt>
                <pt idx="282">
                  <formatCode>0.00%</formatCode>
                  <v>0.06973410404624278</v>
                </pt>
                <pt idx="283">
                  <formatCode>0.00%</formatCode>
                  <v>0.06658569284183749</v>
                </pt>
                <pt idx="284">
                  <formatCode>0.00%</formatCode>
                  <v>0.08285304261278152</v>
                </pt>
                <pt idx="285">
                  <formatCode>0.00%</formatCode>
                  <v>0.06765948141924941</v>
                </pt>
                <pt idx="286">
                  <formatCode>0.00%</formatCode>
                  <v>0.07160203860581253</v>
                </pt>
                <pt idx="287">
                  <formatCode>0.00%</formatCode>
                  <v>0.0686062602211777</v>
                </pt>
                <pt idx="288">
                  <formatCode>0.00%</formatCode>
                  <v>0.05277328416122719</v>
                </pt>
                <pt idx="289">
                  <formatCode>0.00%</formatCode>
                  <v>0.09387236381122484</v>
                </pt>
                <pt idx="290">
                  <formatCode>0.00%</formatCode>
                  <v>0.0266837899543379</v>
                </pt>
                <pt idx="291">
                  <formatCode>0.00%</formatCode>
                  <v>0.0214952965413501</v>
                </pt>
                <pt idx="292">
                  <formatCode>0.00%</formatCode>
                  <v>0.01972301090184009</v>
                </pt>
                <pt idx="293">
                  <formatCode>0.00%</formatCode>
                  <v>0.02650484910873923</v>
                </pt>
                <pt idx="294">
                  <formatCode>0.00%</formatCode>
                  <v>0.03666839579821035</v>
                </pt>
                <pt idx="295">
                  <formatCode>0.00%</formatCode>
                  <v>0.03490470767710191</v>
                </pt>
                <pt idx="296">
                  <formatCode>0.00%</formatCode>
                  <v>0.03950195051568428</v>
                </pt>
                <pt idx="297">
                  <formatCode>0.00%</formatCode>
                  <v>0.0448959793036542</v>
                </pt>
                <pt idx="298">
                  <formatCode>0.00%</formatCode>
                  <v>0.02803579218402545</v>
                </pt>
                <pt idx="299">
                  <formatCode>0.00%</formatCode>
                  <v>0.06327054794520548</v>
                </pt>
                <pt idx="300">
                  <formatCode>0.00%</formatCode>
                  <v>0.06842749994627238</v>
                </pt>
                <pt idx="301">
                  <formatCode>0.00%</formatCode>
                  <v>0.03553448257816016</v>
                </pt>
                <pt idx="302">
                  <formatCode>0.00%</formatCode>
                  <v>0.03575132303415834</v>
                </pt>
                <pt idx="303">
                  <formatCode>0.00%</formatCode>
                  <v>0.03905541387000736</v>
                </pt>
                <pt idx="304">
                  <formatCode>0.00%</formatCode>
                  <v>0.03939509872685923</v>
                </pt>
                <pt idx="305">
                  <formatCode>0.00%</formatCode>
                  <v>0.04210870781475969</v>
                </pt>
                <pt idx="306">
                  <formatCode>0.00%</formatCode>
                  <v>0.02970028668230388</v>
                </pt>
                <pt idx="307">
                  <formatCode>0.00%</formatCode>
                  <v>0.003477592882872596</v>
                </pt>
                <pt idx="308">
                  <formatCode>0.00%</formatCode>
                  <v>0.03704465304695613</v>
                </pt>
                <pt idx="309">
                  <formatCode>0.00%</formatCode>
                  <v>0.0469386702429463</v>
                </pt>
                <pt idx="310">
                  <formatCode>0.00%</formatCode>
                  <v>0.0419366189894641</v>
                </pt>
                <pt idx="311">
                  <formatCode>0.00%</formatCode>
                  <v>0.01061880988807472</v>
                </pt>
                <pt idx="312">
                  <formatCode>0.00%</formatCode>
                  <v>0.007522880418384793</v>
                </pt>
                <pt idx="313">
                  <formatCode>0.00%</formatCode>
                  <v>0.01007722163823078</v>
                </pt>
                <pt idx="314">
                  <formatCode>0.00%</formatCode>
                  <v>0.03151353750554816</v>
                </pt>
                <pt idx="315">
                  <formatCode>0.00%</formatCode>
                  <v>0.03064504534111099</v>
                </pt>
                <pt idx="316">
                  <formatCode>0.00%</formatCode>
                  <v>0.02912939011297991</v>
                </pt>
                <pt idx="317">
                  <formatCode>0.00%</formatCode>
                  <v>0.01688614262560778</v>
                </pt>
                <pt idx="318">
                  <formatCode>0.00%</formatCode>
                  <v>0.02151375868143439</v>
                </pt>
                <pt idx="319">
                  <formatCode>0.00%</formatCode>
                  <v>0.03540024413961475</v>
                </pt>
                <pt idx="320">
                  <formatCode>0.00%</formatCode>
                  <v>-0.01442536484771574</v>
                </pt>
                <pt idx="321">
                  <formatCode>0.00%</formatCode>
                  <v>-0.01395280090653791</v>
                </pt>
                <pt idx="322">
                  <formatCode>0.00%</formatCode>
                  <v>0.00413214931362616</v>
                </pt>
                <pt idx="323">
                  <formatCode>0.00%</formatCode>
                  <v>0.01601481968388658</v>
                </pt>
                <pt idx="324">
                  <formatCode>0.00%</formatCode>
                  <v>-0.005310547225937831</v>
                </pt>
                <pt idx="325">
                  <formatCode>0.00%</formatCode>
                  <v>0.01019683187735783</v>
                </pt>
                <pt idx="326">
                  <formatCode>0.00%</formatCode>
                  <v>0.03642476884281311</v>
                </pt>
                <pt idx="327">
                  <formatCode>0.00%</formatCode>
                  <v>0.01882280259473679</v>
                </pt>
                <pt idx="328">
                  <formatCode>0.00%</formatCode>
                  <v>0.02208556043475669</v>
                </pt>
                <pt idx="329">
                  <formatCode>0.00%</formatCode>
                  <v>0.02481396993634634</v>
                </pt>
                <pt idx="330">
                  <formatCode>0.00%</formatCode>
                  <v>0.02424206384602424</v>
                </pt>
                <pt idx="331">
                  <formatCode>0.00%</formatCode>
                  <v>0.05639037646870754</v>
                </pt>
                <pt idx="332">
                  <formatCode>0.00%</formatCode>
                  <v>0.04100232373326359</v>
                </pt>
                <pt idx="333">
                  <formatCode>0.00%</formatCode>
                  <v>0.03268744566249288</v>
                </pt>
                <pt idx="334">
                  <formatCode>0.00%</formatCode>
                  <v>0.04579087941438322</v>
                </pt>
                <pt idx="335">
                  <formatCode>0.00%</formatCode>
                  <v>0.01700730284762045</v>
                </pt>
                <pt idx="336">
                  <formatCode>0.00%</formatCode>
                  <v>0.03295666659976316</v>
                </pt>
                <pt idx="337">
                  <formatCode>0.00%</formatCode>
                  <v>0.02519018939694112</v>
                </pt>
                <pt idx="338">
                  <formatCode>0.00%</formatCode>
                  <v>-0.2646950913374271</v>
                </pt>
                <pt idx="339">
                  <formatCode>0.00%</formatCode>
                  <v>-0.3521409150480214</v>
                </pt>
                <pt idx="340">
                  <formatCode>0.00%</formatCode>
                  <v>-0.04776577855108528</v>
                </pt>
                <pt idx="341">
                  <formatCode>0.00%</formatCode>
                  <v>0.03968778553237816</v>
                </pt>
                <pt idx="342">
                  <formatCode>0.00%</formatCode>
                  <v>0.02406502491654168</v>
                </pt>
                <pt idx="343">
                  <formatCode>0.00%</formatCode>
                  <v>0.01421518556350017</v>
                </pt>
                <pt idx="344">
                  <formatCode>0.00%</formatCode>
                  <v>0.07288979079093588</v>
                </pt>
                <pt idx="345">
                  <formatCode>0.00%</formatCode>
                  <v>0.06891813431391523</v>
                </pt>
                <pt idx="346">
                  <formatCode>0.00%</formatCode>
                  <v>0.03034459274113452</v>
                </pt>
                <pt idx="347">
                  <formatCode>0.00%</formatCode>
                  <v>0.07070843373493976</v>
                </pt>
                <pt idx="348">
                  <formatCode>0.00%</formatCode>
                  <v>0.1175750510055378</v>
                </pt>
                <pt idx="349">
                  <formatCode>0.00%</formatCode>
                  <v>0.08001352722353737</v>
                </pt>
                <pt idx="350">
                  <formatCode>0.00%</formatCode>
                  <v>0.7215095132423809</v>
                </pt>
                <pt idx="351">
                  <formatCode>0.00%</formatCode>
                  <v>1.014718980691717</v>
                </pt>
                <pt idx="352">
                  <formatCode>0.00%</formatCode>
                  <v>0.3386993048395823</v>
                </pt>
                <pt idx="353">
                  <formatCode>0.00%</formatCode>
                  <v>0.1880685483493984</v>
                </pt>
                <pt idx="354">
                  <formatCode>0.00%</formatCode>
                  <v>0.1558696802479401</v>
                </pt>
                <pt idx="355">
                  <formatCode>0.00%</formatCode>
                  <v>0.1154567072317807</v>
                </pt>
                <pt idx="356">
                  <formatCode>0.00%</formatCode>
                  <v>0.09064380156356955</v>
                </pt>
                <pt idx="357">
                  <formatCode>0.00%</formatCode>
                  <v>0.1107620720247687</v>
                </pt>
                <pt idx="358">
                  <formatCode>0.00%</formatCode>
                  <v>0.1468690040118611</v>
                </pt>
                <pt idx="359">
                  <formatCode>0.00%</formatCode>
                  <v>0.0875087769835983</v>
                </pt>
                <pt idx="360">
                  <formatCode>0.00%</formatCode>
                  <v>0.1272167744627582</v>
                </pt>
                <pt idx="361">
                  <formatCode>0.00%</formatCode>
                  <v>0.1758159175493845</v>
                </pt>
                <pt idx="362">
                  <formatCode>0.00%</formatCode>
                  <v>-0.01970176576026849</v>
                </pt>
                <pt idx="363">
                  <formatCode>0.00%</formatCode>
                  <v>-0.01982661081846587</v>
                </pt>
                <pt idx="364">
                  <formatCode>0.00%</formatCode>
                  <v>-0.03624287990971688</v>
                </pt>
                <pt idx="365">
                  <formatCode>0.00%</formatCode>
                  <v>0.0002124696050426119</v>
                </pt>
                <pt idx="366">
                  <formatCode>0.00%</formatCode>
                  <v>0.01818880387155843</v>
                </pt>
                <pt idx="367">
                  <formatCode>0.00%</formatCode>
                  <v>0.07133661048689138</v>
                </pt>
                <pt idx="368">
                  <formatCode>0.00%</formatCode>
                  <v>0.05251379116704654</v>
                </pt>
                <pt idx="369">
                  <formatCode>0.00%</formatCode>
                  <v>0.05529882556215718</v>
                </pt>
                <pt idx="370">
                  <formatCode>0.00%</formatCode>
                  <v>0.01270362217330398</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a:prstDash val="solid"/>
            </a:ln>
          </spPr>
          <marker>
            <symbol val="none"/>
            <spPr>
              <a:ln xmlns:a="http://schemas.openxmlformats.org/drawingml/2006/main">
                <a:prstDash val="solid"/>
              </a:ln>
            </spPr>
          </marker>
          <cat>
            <numRef>
              <f>Housing!$A$7:$A$385</f>
              <numCache>
                <formatCode>[$-409]mmm\-yy;@</formatCode>
                <ptCount val="37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Housing!$B$7:$B$385</f>
              <numCache>
                <formatCode>#,##0</formatCode>
                <ptCount val="379"/>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20557</v>
                </pt>
                <pt idx="217">
                  <v>20452</v>
                </pt>
                <pt idx="218">
                  <v>21875</v>
                </pt>
                <pt idx="219">
                  <v>23556</v>
                </pt>
                <pt idx="220">
                  <v>21747</v>
                </pt>
                <pt idx="221">
                  <v>21528</v>
                </pt>
                <pt idx="222">
                  <v>21499</v>
                </pt>
                <pt idx="223">
                  <v>21278</v>
                </pt>
                <pt idx="224">
                  <v>21351</v>
                </pt>
                <pt idx="225">
                  <v>22033</v>
                </pt>
                <pt idx="226">
                  <v>21944</v>
                </pt>
                <pt idx="227">
                  <v>22138</v>
                </pt>
                <pt idx="228">
                  <v>21493</v>
                </pt>
                <pt idx="229">
                  <v>21197</v>
                </pt>
                <pt idx="230">
                  <v>21865</v>
                </pt>
                <pt idx="231">
                  <v>22037</v>
                </pt>
                <pt idx="232">
                  <v>22320</v>
                </pt>
                <pt idx="233">
                  <v>22740</v>
                </pt>
                <pt idx="234">
                  <v>22758</v>
                </pt>
                <pt idx="235">
                  <v>22763</v>
                </pt>
                <pt idx="236">
                  <v>22640</v>
                </pt>
                <pt idx="237">
                  <v>23253</v>
                </pt>
                <pt idx="238">
                  <v>22893</v>
                </pt>
                <pt idx="239">
                  <v>23447</v>
                </pt>
                <pt idx="240">
                  <v>23609</v>
                </pt>
                <pt idx="241">
                  <v>23568</v>
                </pt>
                <pt idx="242">
                  <v>24580</v>
                </pt>
                <pt idx="243">
                  <v>23423</v>
                </pt>
                <pt idx="244">
                  <v>22732</v>
                </pt>
                <pt idx="245">
                  <v>22531</v>
                </pt>
                <pt idx="246">
                  <v>22717</v>
                </pt>
                <pt idx="247">
                  <v>23115</v>
                </pt>
                <pt idx="248">
                  <v>23641</v>
                </pt>
                <pt idx="249">
                  <v>23801</v>
                </pt>
                <pt idx="250">
                  <v>24127</v>
                </pt>
                <pt idx="251">
                  <v>24141</v>
                </pt>
                <pt idx="252">
                  <v>24373</v>
                </pt>
                <pt idx="253">
                  <v>24751</v>
                </pt>
                <pt idx="254">
                  <v>24694</v>
                </pt>
                <pt idx="255">
                  <v>24798</v>
                </pt>
                <pt idx="256">
                  <v>25336</v>
                </pt>
                <pt idx="257">
                  <v>24793</v>
                </pt>
                <pt idx="258">
                  <v>25353</v>
                </pt>
                <pt idx="259">
                  <v>25291</v>
                </pt>
                <pt idx="260">
                  <v>25287</v>
                </pt>
                <pt idx="261">
                  <v>24915</v>
                </pt>
                <pt idx="262">
                  <v>24849</v>
                </pt>
                <pt idx="263">
                  <v>24955</v>
                </pt>
                <pt idx="264">
                  <v>24920</v>
                </pt>
                <pt idx="265">
                  <v>24821</v>
                </pt>
                <pt idx="266">
                  <v>25286</v>
                </pt>
                <pt idx="267">
                  <v>26095</v>
                </pt>
                <pt idx="268">
                  <v>26428</v>
                </pt>
                <pt idx="269">
                  <v>26617</v>
                </pt>
                <pt idx="270">
                  <v>26107</v>
                </pt>
                <pt idx="271">
                  <v>26595</v>
                </pt>
                <pt idx="272">
                  <v>26499</v>
                </pt>
                <pt idx="273">
                  <v>26507</v>
                </pt>
                <pt idx="274">
                  <v>26619</v>
                </pt>
                <pt idx="275">
                  <v>26253</v>
                </pt>
                <pt idx="276">
                  <v>26516</v>
                </pt>
                <pt idx="277">
                  <v>25575</v>
                </pt>
                <pt idx="278">
                  <v>26521</v>
                </pt>
                <pt idx="279">
                  <v>26734</v>
                </pt>
                <pt idx="280">
                  <v>26781</v>
                </pt>
                <pt idx="281">
                  <v>26516</v>
                </pt>
                <pt idx="282">
                  <v>27350</v>
                </pt>
                <pt idx="283">
                  <v>27408</v>
                </pt>
                <pt idx="284">
                  <v>27191</v>
                </pt>
                <pt idx="285">
                  <v>27368</v>
                </pt>
                <pt idx="286">
                  <v>27656</v>
                </pt>
                <pt idx="287">
                  <v>28189</v>
                </pt>
                <pt idx="288">
                  <v>28172</v>
                </pt>
                <pt idx="289">
                  <v>28236</v>
                </pt>
                <pt idx="290">
                  <v>28934</v>
                </pt>
                <pt idx="291">
                  <v>27926</v>
                </pt>
                <pt idx="292">
                  <v>27533</v>
                </pt>
                <pt idx="293">
                  <v>28297</v>
                </pt>
                <pt idx="294">
                  <v>27980</v>
                </pt>
                <pt idx="295">
                  <v>27856</v>
                </pt>
                <pt idx="296">
                  <v>27984</v>
                </pt>
                <pt idx="297">
                  <v>28049</v>
                </pt>
                <pt idx="298">
                  <v>28204</v>
                </pt>
                <pt idx="299">
                  <v>28176</v>
                </pt>
                <pt idx="300">
                  <v>28504</v>
                </pt>
                <pt idx="301">
                  <v>28868</v>
                </pt>
                <pt idx="302">
                  <v>28678</v>
                </pt>
                <pt idx="303">
                  <v>29027</v>
                </pt>
                <pt idx="304">
                  <v>28706</v>
                </pt>
                <pt idx="305">
                  <v>28754</v>
                </pt>
                <pt idx="306">
                  <v>28915</v>
                </pt>
                <pt idx="307">
                  <v>28941</v>
                </pt>
                <pt idx="308">
                  <v>29910</v>
                </pt>
                <pt idx="309">
                  <v>29568</v>
                </pt>
                <pt idx="310">
                  <v>30027</v>
                </pt>
                <pt idx="311">
                  <v>30078</v>
                </pt>
                <pt idx="312">
                  <v>29012</v>
                </pt>
                <pt idx="313">
                  <v>30037</v>
                </pt>
                <pt idx="314">
                  <v>29685</v>
                </pt>
                <pt idx="315">
                  <v>29858</v>
                </pt>
                <pt idx="316">
                  <v>30663</v>
                </pt>
                <pt idx="317">
                  <v>31111</v>
                </pt>
                <pt idx="318">
                  <v>31331</v>
                </pt>
                <pt idx="319">
                  <v>30997</v>
                </pt>
                <pt idx="320">
                  <v>31132</v>
                </pt>
                <pt idx="321">
                  <v>31655</v>
                </pt>
                <pt idx="322">
                  <v>31003</v>
                </pt>
                <pt idx="323">
                  <v>31068</v>
                </pt>
                <pt idx="324">
                  <v>32154</v>
                </pt>
                <pt idx="325">
                  <v>30626</v>
                </pt>
                <pt idx="326">
                  <v>30931</v>
                </pt>
                <pt idx="327">
                  <v>30931</v>
                </pt>
                <pt idx="328">
                  <v>30522</v>
                </pt>
                <pt idx="329">
                  <v>30499</v>
                </pt>
                <pt idx="330">
                  <v>31160</v>
                </pt>
                <pt idx="331">
                  <v>31675</v>
                </pt>
                <pt idx="332">
                  <v>31213</v>
                </pt>
                <pt idx="333">
                  <v>31212</v>
                </pt>
                <pt idx="334">
                  <v>31251</v>
                </pt>
                <pt idx="335">
                  <v>31690</v>
                </pt>
                <pt idx="336">
                  <v>32196</v>
                </pt>
                <pt idx="337">
                  <v>32331</v>
                </pt>
                <pt idx="338">
                  <v>32213</v>
                </pt>
                <pt idx="339">
                  <v>31885</v>
                </pt>
                <pt idx="340">
                  <v>36135</v>
                </pt>
                <pt idx="341">
                  <v>36238</v>
                </pt>
                <pt idx="342">
                  <v>36034</v>
                </pt>
                <pt idx="343">
                  <v>36741</v>
                </pt>
                <pt idx="344">
                  <v>36910</v>
                </pt>
                <pt idx="345">
                  <v>36498</v>
                </pt>
                <pt idx="346">
                  <v>36557</v>
                </pt>
                <pt idx="347">
                  <v>36528</v>
                </pt>
                <pt idx="348">
                  <v>38682</v>
                </pt>
                <pt idx="349">
                  <v>36997</v>
                </pt>
                <pt idx="350">
                  <v>41753</v>
                </pt>
                <pt idx="351">
                  <v>41661</v>
                </pt>
                <pt idx="352">
                  <v>39836</v>
                </pt>
                <pt idx="353">
                  <v>39249</v>
                </pt>
                <pt idx="354">
                  <v>38848</v>
                </pt>
                <pt idx="355">
                  <v>38913</v>
                </pt>
                <pt idx="356">
                  <v>39261</v>
                </pt>
                <pt idx="357">
                  <v>39895</v>
                </pt>
                <pt idx="358">
                  <v>41016</v>
                </pt>
                <pt idx="359">
                  <v>41207</v>
                </pt>
                <pt idx="360">
                  <v>42170</v>
                </pt>
                <pt idx="361">
                  <v>42307</v>
                </pt>
                <pt idx="362">
                  <v>42572</v>
                </pt>
                <pt idx="363">
                  <v>42168</v>
                </pt>
                <pt idx="364">
                  <v>42257</v>
                </pt>
                <pt idx="365">
                  <v>42131</v>
                </pt>
                <pt idx="366">
                  <v>42597</v>
                </pt>
                <pt idx="367">
                  <v>43314</v>
                </pt>
                <pt idx="368">
                  <v>43000</v>
                </pt>
                <pt idx="369">
                  <v>43578</v>
                </pt>
                <pt idx="370">
                  <v>42485</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a:prstDash val="solid"/>
            </a:ln>
          </spPr>
          <marker>
            <symbol val="none"/>
            <spPr>
              <a:ln xmlns:a="http://schemas.openxmlformats.org/drawingml/2006/main">
                <a:prstDash val="solid"/>
              </a:ln>
            </spPr>
          </marker>
          <cat>
            <numRef>
              <f>Housing!$A$7:$A$384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Housing!$D$7:$D$384</f>
              <numCache>
                <formatCode>General</formatCode>
                <ptCount val="378"/>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-0.096713243694525</v>
                </pt>
                <pt idx="217">
                  <formatCode>0.00%</formatCode>
                  <v>-0.09094141701484576</v>
                </pt>
                <pt idx="218">
                  <formatCode>0.00%</formatCode>
                  <v>-0.01237076165966861</v>
                </pt>
                <pt idx="219">
                  <formatCode>0.00%</formatCode>
                  <v>0.06626833242802825</v>
                </pt>
                <pt idx="220">
                  <formatCode>0.00%</formatCode>
                  <v>-0.02523532048408785</v>
                </pt>
                <pt idx="221">
                  <formatCode>0.00%</formatCode>
                  <v>-0.03600214938205266</v>
                </pt>
                <pt idx="222">
                  <formatCode>0.00%</formatCode>
                  <v>-0.01754786820819814</v>
                </pt>
                <pt idx="223">
                  <formatCode>0.00%</formatCode>
                  <v>-0.009127316755145758</v>
                </pt>
                <pt idx="224">
                  <formatCode>0.00%</formatCode>
                  <v>-0.0005617188597107148</v>
                </pt>
                <pt idx="225">
                  <formatCode>0.00%</formatCode>
                  <v>0.06640530468031557</v>
                </pt>
                <pt idx="226">
                  <formatCode>0.00%</formatCode>
                  <v>0.04839711432803019</v>
                </pt>
                <pt idx="227">
                  <formatCode>0.00%</formatCode>
                  <v>0.06182550721857163</v>
                </pt>
                <pt idx="228">
                  <formatCode>0.00%</formatCode>
                  <v>0.04553193559371504</v>
                </pt>
                <pt idx="229">
                  <formatCode>0.00%</formatCode>
                  <v>0.03642675532955212</v>
                </pt>
                <pt idx="230">
                  <formatCode>0.00%</formatCode>
                  <v>-0.0004571428571428571</v>
                </pt>
                <pt idx="231">
                  <formatCode>0.00%</formatCode>
                  <v>-0.06448463236542706</v>
                </pt>
                <pt idx="232">
                  <formatCode>0.00%</formatCode>
                  <v>0.02634846185680784</v>
                </pt>
                <pt idx="233">
                  <formatCode>0.00%</formatCode>
                  <v>0.05629877369007804</v>
                </pt>
                <pt idx="234">
                  <formatCode>0.00%</formatCode>
                  <v>0.05856086329596726</v>
                </pt>
                <pt idx="235">
                  <formatCode>0.00%</formatCode>
                  <v>0.06979039383400695</v>
                </pt>
                <pt idx="236">
                  <formatCode>0.00%</formatCode>
                  <v>0.06037187953725821</v>
                </pt>
                <pt idx="237">
                  <formatCode>0.00%</formatCode>
                  <v>0.05537148822221213</v>
                </pt>
                <pt idx="238">
                  <formatCode>0.00%</formatCode>
                  <v>0.04324644549763033</v>
                </pt>
                <pt idx="239">
                  <formatCode>0.00%</formatCode>
                  <v>0.05912909928629506</v>
                </pt>
                <pt idx="240">
                  <formatCode>0.00%</formatCode>
                  <v>0.09845065835388266</v>
                </pt>
                <pt idx="241">
                  <formatCode>0.00%</formatCode>
                  <v>0.1118554512431004</v>
                </pt>
                <pt idx="242">
                  <formatCode>0.00%</formatCode>
                  <v>0.1241710496226847</v>
                </pt>
                <pt idx="243">
                  <formatCode>0.00%</formatCode>
                  <v>0.06289422335163589</v>
                </pt>
                <pt idx="244">
                  <formatCode>0.00%</formatCode>
                  <v>0.01845878136200717</v>
                </pt>
                <pt idx="245">
                  <formatCode>0.00%</formatCode>
                  <v>-0.009190853122251539</v>
                </pt>
                <pt idx="246">
                  <formatCode>0.00%</formatCode>
                  <v>-0.001801564285086563</v>
                </pt>
                <pt idx="247">
                  <formatCode>0.00%</formatCode>
                  <v>0.01546369107762597</v>
                </pt>
                <pt idx="248">
                  <formatCode>0.00%</formatCode>
                  <v>0.04421378091872791</v>
                </pt>
                <pt idx="249">
                  <formatCode>0.00%</formatCode>
                  <v>0.02356685158904227</v>
                </pt>
                <pt idx="250">
                  <formatCode>0.00%</formatCode>
                  <v>0.05390293976324641</v>
                </pt>
                <pt idx="251">
                  <formatCode>0.00%</formatCode>
                  <v>0.02959866933936111</v>
                </pt>
                <pt idx="252">
                  <formatCode>0.00%</formatCode>
                  <v>0.03236054047185395</v>
                </pt>
                <pt idx="253">
                  <formatCode>0.00%</formatCode>
                  <v>0.05019517990495587</v>
                </pt>
                <pt idx="254">
                  <formatCode>0.00%</formatCode>
                  <v>0.004637917005695688</v>
                </pt>
                <pt idx="255">
                  <formatCode>0.00%</formatCode>
                  <v>0.05870298424625368</v>
                </pt>
                <pt idx="256">
                  <formatCode>0.00%</formatCode>
                  <v>0.1145521731479852</v>
                </pt>
                <pt idx="257">
                  <formatCode>0.00%</formatCode>
                  <v>0.10039501131774</v>
                </pt>
                <pt idx="258">
                  <formatCode>0.00%</formatCode>
                  <v>0.1160364484747106</v>
                </pt>
                <pt idx="259">
                  <formatCode>0.00%</formatCode>
                  <v>0.09413800562405364</v>
                </pt>
                <pt idx="260">
                  <formatCode>0.00%</formatCode>
                  <v>0.06962480436529758</v>
                </pt>
                <pt idx="261">
                  <formatCode>0.00%</formatCode>
                  <v>0.04680475610268476</v>
                </pt>
                <pt idx="262">
                  <formatCode>0.00%</formatCode>
                  <v>0.02992498031251295</v>
                </pt>
                <pt idx="263">
                  <formatCode>0.00%</formatCode>
                  <v>0.03371857006751999</v>
                </pt>
                <pt idx="264">
                  <formatCode>0.00%</formatCode>
                  <v>0.02244286710704468</v>
                </pt>
                <pt idx="265">
                  <formatCode>0.00%</formatCode>
                  <v>0.002828168558846107</v>
                </pt>
                <pt idx="266">
                  <formatCode>0.00%</formatCode>
                  <v>0.02397343484247185</v>
                </pt>
                <pt idx="267">
                  <formatCode>0.00%</formatCode>
                  <v>0.05230260504879426</v>
                </pt>
                <pt idx="268">
                  <formatCode>0.00%</formatCode>
                  <v>0.04310072623934322</v>
                </pt>
                <pt idx="269">
                  <formatCode>0.00%</formatCode>
                  <v>0.07356915258339047</v>
                </pt>
                <pt idx="270">
                  <formatCode>0.00%</formatCode>
                  <v>0.02974007020865381</v>
                </pt>
                <pt idx="271">
                  <formatCode>0.00%</formatCode>
                  <v>0.05155984342256138</v>
                </pt>
                <pt idx="272">
                  <formatCode>0.00%</formatCode>
                  <v>0.04792976628307035</v>
                </pt>
                <pt idx="273">
                  <formatCode>0.00%</formatCode>
                  <v>0.06389725065221755</v>
                </pt>
                <pt idx="274">
                  <formatCode>0.00%</formatCode>
                  <v>0.0712302305927804</v>
                </pt>
                <pt idx="275">
                  <formatCode>0.00%</formatCode>
                  <v>0.05201362452414346</v>
                </pt>
                <pt idx="276">
                  <formatCode>0.00%</formatCode>
                  <v>0.06404494382022471</v>
                </pt>
                <pt idx="277">
                  <formatCode>0.00%</formatCode>
                  <v>0.03037750292091374</v>
                </pt>
                <pt idx="278">
                  <formatCode>0.00%</formatCode>
                  <v>0.0488412560310053</v>
                </pt>
                <pt idx="279">
                  <formatCode>0.00%</formatCode>
                  <v>0.02448744970300824</v>
                </pt>
                <pt idx="280">
                  <formatCode>0.00%</formatCode>
                  <v>0.01335704555774179</v>
                </pt>
                <pt idx="281">
                  <formatCode>0.00%</formatCode>
                  <v>-0.003794567381748506</v>
                </pt>
                <pt idx="282">
                  <formatCode>0.00%</formatCode>
                  <v>0.04761175163749186</v>
                </pt>
                <pt idx="283">
                  <formatCode>0.00%</formatCode>
                  <v>0.03056965595036661</v>
                </pt>
                <pt idx="284">
                  <formatCode>0.00%</formatCode>
                  <v>0.02611419298841466</v>
                </pt>
                <pt idx="285">
                  <formatCode>0.00%</formatCode>
                  <v>0.03248198589051948</v>
                </pt>
                <pt idx="286">
                  <formatCode>0.00%</formatCode>
                  <v>0.03895713588038619</v>
                </pt>
                <pt idx="287">
                  <formatCode>0.00%</formatCode>
                  <v>0.07374395307202987</v>
                </pt>
                <pt idx="288">
                  <formatCode>0.00%</formatCode>
                  <v>0.0624528586513803</v>
                </pt>
                <pt idx="289">
                  <formatCode>0.00%</formatCode>
                  <v>0.1040469208211144</v>
                </pt>
                <pt idx="290">
                  <formatCode>0.00%</formatCode>
                  <v>0.09098450284680065</v>
                </pt>
                <pt idx="291">
                  <formatCode>0.00%</formatCode>
                  <v>0.04458741677264906</v>
                </pt>
                <pt idx="292">
                  <formatCode>0.00%</formatCode>
                  <v>0.02807960867779396</v>
                </pt>
                <pt idx="293">
                  <formatCode>0.00%</formatCode>
                  <v>0.06716699351335043</v>
                </pt>
                <pt idx="294">
                  <formatCode>0.00%</formatCode>
                  <v>0.02303473491773309</v>
                </pt>
                <pt idx="295">
                  <formatCode>0.00%</formatCode>
                  <v>0.01634559252772913</v>
                </pt>
                <pt idx="296">
                  <formatCode>0.00%</formatCode>
                  <v>0.029164061638042</v>
                </pt>
                <pt idx="297">
                  <formatCode>0.00%</formatCode>
                  <v>0.02488307512423268</v>
                </pt>
                <pt idx="298">
                  <formatCode>0.00%</formatCode>
                  <v>0.01981486838299103</v>
                </pt>
                <pt idx="299">
                  <formatCode>0.00%</formatCode>
                  <v>-0.00046117279789989</v>
                </pt>
                <pt idx="300">
                  <formatCode>0.00%</formatCode>
                  <v>0.01178475081641346</v>
                </pt>
                <pt idx="301">
                  <formatCode>0.00%</formatCode>
                  <v>0.02238277376398923</v>
                </pt>
                <pt idx="302">
                  <formatCode>0.00%</formatCode>
                  <v>-0.008847722402709614</v>
                </pt>
                <pt idx="303">
                  <formatCode>0.00%</formatCode>
                  <v>0.03942562486571654</v>
                </pt>
                <pt idx="304">
                  <formatCode>0.00%</formatCode>
                  <v>0.04260342134892674</v>
                </pt>
                <pt idx="305">
                  <formatCode>0.00%</formatCode>
                  <v>0.0161501219210517</v>
                </pt>
                <pt idx="306">
                  <formatCode>0.00%</formatCode>
                  <v>0.03341672623302359</v>
                </pt>
                <pt idx="307">
                  <formatCode>0.00%</formatCode>
                  <v>0.03895031591039633</v>
                </pt>
                <pt idx="308">
                  <formatCode>0.00%</formatCode>
                  <v>0.06882504288164666</v>
                </pt>
                <pt idx="309">
                  <formatCode>0.00%</formatCode>
                  <v>0.05415522835038682</v>
                </pt>
                <pt idx="310">
                  <formatCode>0.00%</formatCode>
                  <v>0.06463622181250886</v>
                </pt>
                <pt idx="311">
                  <formatCode>0.00%</formatCode>
                  <v>0.06750425894378194</v>
                </pt>
                <pt idx="312">
                  <formatCode>0.00%</formatCode>
                  <v>0.01782206006174572</v>
                </pt>
                <pt idx="313">
                  <formatCode>0.00%</formatCode>
                  <v>0.04049466537342386</v>
                </pt>
                <pt idx="314">
                  <formatCode>0.00%</formatCode>
                  <v>0.03511402468791408</v>
                </pt>
                <pt idx="315">
                  <formatCode>0.00%</formatCode>
                  <v>0.02862851827608778</v>
                </pt>
                <pt idx="316">
                  <formatCode>0.00%</formatCode>
                  <v>0.06817390092663554</v>
                </pt>
                <pt idx="317">
                  <formatCode>0.00%</formatCode>
                  <v>0.08197120400639911</v>
                </pt>
                <pt idx="318">
                  <formatCode>0.00%</formatCode>
                  <v>0.08355524814110324</v>
                </pt>
                <pt idx="319">
                  <formatCode>0.00%</formatCode>
                  <v>0.07104108358384299</v>
                </pt>
                <pt idx="320">
                  <formatCode>0.00%</formatCode>
                  <v>0.04085590103644266</v>
                </pt>
                <pt idx="321">
                  <formatCode>0.00%</formatCode>
                  <v>0.07058306277056277</v>
                </pt>
                <pt idx="322">
                  <formatCode>0.00%</formatCode>
                  <v>0.03250407966163786</v>
                </pt>
                <pt idx="323">
                  <formatCode>0.00%</formatCode>
                  <v>0.03291442250149611</v>
                </pt>
                <pt idx="324">
                  <formatCode>0.00%</formatCode>
                  <v>0.1083000137873983</v>
                </pt>
                <pt idx="325">
                  <formatCode>0.00%</formatCode>
                  <v>0.01960914871658288</v>
                </pt>
                <pt idx="326">
                  <formatCode>0.00%</formatCode>
                  <v>0.04197406097355567</v>
                </pt>
                <pt idx="327">
                  <formatCode>0.00%</formatCode>
                  <v>0.03593676736553018</v>
                </pt>
                <pt idx="328">
                  <formatCode>0.00%</formatCode>
                  <v>-0.004598375892769788</v>
                </pt>
                <pt idx="329">
                  <formatCode>0.00%</formatCode>
                  <v>-0.01967149882678152</v>
                </pt>
                <pt idx="330">
                  <formatCode>0.00%</formatCode>
                  <v>-0.005457853244390539</v>
                </pt>
                <pt idx="331">
                  <formatCode>0.00%</formatCode>
                  <v>0.02187308449204762</v>
                </pt>
                <pt idx="332">
                  <formatCode>0.00%</formatCode>
                  <v>0.002601824489271489</v>
                </pt>
                <pt idx="333">
                  <formatCode>0.00%</formatCode>
                  <v>-0.01399462960037909</v>
                </pt>
                <pt idx="334">
                  <formatCode>0.00%</formatCode>
                  <v>0.007999225881366319</v>
                </pt>
                <pt idx="335">
                  <formatCode>0.00%</formatCode>
                  <v>0.02002059997425003</v>
                </pt>
                <pt idx="336">
                  <formatCode>0.00%</formatCode>
                  <v>0.001306213845866766</v>
                </pt>
                <pt idx="337">
                  <formatCode>0.00%</formatCode>
                  <v>0.05567165153790896</v>
                </pt>
                <pt idx="338">
                  <formatCode>0.00%</formatCode>
                  <v>0.04144709191426078</v>
                </pt>
                <pt idx="339">
                  <formatCode>0.00%</formatCode>
                  <v>0.03084284374898969</v>
                </pt>
                <pt idx="340">
                  <formatCode>0.00%</formatCode>
                  <v>0.1839001376056615</v>
                </pt>
                <pt idx="341">
                  <formatCode>0.00%</formatCode>
                  <v>0.188170103937834</v>
                </pt>
                <pt idx="342">
                  <formatCode>0.00%</formatCode>
                  <v>0.1564184852374839</v>
                </pt>
                <pt idx="343">
                  <formatCode>0.00%</formatCode>
                  <v>0.1599368587213891</v>
                </pt>
                <pt idx="344">
                  <formatCode>0.00%</formatCode>
                  <v>0.1825201038029027</v>
                </pt>
                <pt idx="345">
                  <formatCode>0.00%</formatCode>
                  <v>0.169357939254133</v>
                </pt>
                <pt idx="346">
                  <formatCode>0.00%</formatCode>
                  <v>0.1697865668298615</v>
                </pt>
                <pt idx="347">
                  <formatCode>0.00%</formatCode>
                  <v>0.1526664562953613</v>
                </pt>
                <pt idx="348">
                  <formatCode>0.00%</formatCode>
                  <v>0.2014535967200894</v>
                </pt>
                <pt idx="349">
                  <formatCode>0.00%</formatCode>
                  <v>0.1443196931737342</v>
                </pt>
                <pt idx="350">
                  <formatCode>0.00%</formatCode>
                  <v>0.2961537267562785</v>
                </pt>
                <pt idx="351">
                  <formatCode>0.00%</formatCode>
                  <v>0.3066018503998745</v>
                </pt>
                <pt idx="352">
                  <formatCode>0.00%</formatCode>
                  <v>0.1024214750242148</v>
                </pt>
                <pt idx="353">
                  <formatCode>0.00%</formatCode>
                  <v>0.0830895744798278</v>
                </pt>
                <pt idx="354">
                  <formatCode>0.00%</formatCode>
                  <v>0.0780929122495421</v>
                </pt>
                <pt idx="355">
                  <formatCode>0.00%</formatCode>
                  <v>0.05911651833101984</v>
                </pt>
                <pt idx="356">
                  <formatCode>0.00%</formatCode>
                  <v>0.06369547548089949</v>
                </pt>
                <pt idx="357">
                  <formatCode>0.00%</formatCode>
                  <v>0.09307359307359307</v>
                </pt>
                <pt idx="358">
                  <formatCode>0.00%</formatCode>
                  <v>0.1219739037667205</v>
                </pt>
                <pt idx="359">
                  <formatCode>0.00%</formatCode>
                  <v>0.1280935173017959</v>
                </pt>
                <pt idx="360">
                  <formatCode>0.00%</formatCode>
                  <v>0.09017113903107389</v>
                </pt>
                <pt idx="361">
                  <formatCode>0.00%</formatCode>
                  <v>0.1435251506878936</v>
                </pt>
                <pt idx="362">
                  <formatCode>0.00%</formatCode>
                  <v>0.01961535698033674</v>
                </pt>
                <pt idx="363">
                  <formatCode>0.00%</formatCode>
                  <v>0.01216965507308994</v>
                </pt>
                <pt idx="364">
                  <formatCode>0.00%</formatCode>
                  <v>0.06077417411386685</v>
                </pt>
                <pt idx="365">
                  <formatCode>0.00%</formatCode>
                  <v>0.07342862238528371</v>
                </pt>
                <pt idx="366">
                  <formatCode>0.00%</formatCode>
                  <v>0.09650432454695222</v>
                </pt>
                <pt idx="367">
                  <formatCode>0.00%</formatCode>
                  <v>0.11309845038933</v>
                </pt>
                <pt idx="368">
                  <formatCode>0.00%</formatCode>
                  <v>0.09523445658541556</v>
                </pt>
                <pt idx="369">
                  <formatCode>0.00%</formatCode>
                  <v>0.0923173329991227</v>
                </pt>
                <pt idx="370">
                  <formatCode>0.00%</formatCode>
                  <v>0.03581529159352448</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a:prstDash val="solid"/>
            </a:ln>
          </spPr>
          <marker>
            <symbol val="none"/>
            <spPr>
              <a:ln xmlns:a="http://schemas.openxmlformats.org/drawingml/2006/main">
                <a:prstDash val="solid"/>
              </a:ln>
            </spPr>
          </marker>
          <cat>
            <numRef>
              <f>'Furniture Home'!$A$7:$A$383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'Furniture Home'!$B$7:$B$383</f>
              <numCache>
                <formatCode>#,##0</formatCode>
                <ptCount val="377"/>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15226</v>
                </pt>
                <pt idx="217">
                  <v>15613</v>
                </pt>
                <pt idx="218">
                  <v>15383</v>
                </pt>
                <pt idx="219">
                  <v>15401</v>
                </pt>
                <pt idx="220">
                  <v>15483</v>
                </pt>
                <pt idx="221">
                  <v>15580</v>
                </pt>
                <pt idx="222">
                  <v>15454</v>
                </pt>
                <pt idx="223">
                  <v>15452</v>
                </pt>
                <pt idx="224">
                  <v>15491</v>
                </pt>
                <pt idx="225">
                  <v>15297</v>
                </pt>
                <pt idx="226">
                  <v>15211</v>
                </pt>
                <pt idx="227">
                  <v>15336</v>
                </pt>
                <pt idx="228">
                  <v>15193</v>
                </pt>
                <pt idx="229">
                  <v>15492</v>
                </pt>
                <pt idx="230">
                  <v>15888</v>
                </pt>
                <pt idx="231">
                  <v>15850</v>
                </pt>
                <pt idx="232">
                  <v>15661</v>
                </pt>
                <pt idx="233">
                  <v>15666</v>
                </pt>
                <pt idx="234">
                  <v>15811</v>
                </pt>
                <pt idx="235">
                  <v>15948</v>
                </pt>
                <pt idx="236">
                  <v>15868</v>
                </pt>
                <pt idx="237">
                  <v>16098</v>
                </pt>
                <pt idx="238">
                  <v>16030</v>
                </pt>
                <pt idx="239">
                  <v>15993</v>
                </pt>
                <pt idx="240">
                  <v>16159</v>
                </pt>
                <pt idx="241">
                  <v>16165</v>
                </pt>
                <pt idx="242">
                  <v>16301</v>
                </pt>
                <pt idx="243">
                  <v>16061</v>
                </pt>
                <pt idx="244">
                  <v>16383</v>
                </pt>
                <pt idx="245">
                  <v>16210</v>
                </pt>
                <pt idx="246">
                  <v>16400</v>
                </pt>
                <pt idx="247">
                  <v>16231</v>
                </pt>
                <pt idx="248">
                  <v>16242</v>
                </pt>
                <pt idx="249">
                  <v>15757</v>
                </pt>
                <pt idx="250">
                  <v>16266</v>
                </pt>
                <pt idx="251">
                  <v>16753</v>
                </pt>
                <pt idx="252">
                  <v>16733</v>
                </pt>
                <pt idx="253">
                  <v>16729</v>
                </pt>
                <pt idx="254">
                  <v>16484</v>
                </pt>
                <pt idx="255">
                  <v>16502</v>
                </pt>
                <pt idx="256">
                  <v>16413</v>
                </pt>
                <pt idx="257">
                  <v>16643</v>
                </pt>
                <pt idx="258">
                  <v>16570</v>
                </pt>
                <pt idx="259">
                  <v>16622</v>
                </pt>
                <pt idx="260">
                  <v>16604</v>
                </pt>
                <pt idx="261">
                  <v>16834</v>
                </pt>
                <pt idx="262">
                  <v>16765</v>
                </pt>
                <pt idx="263">
                  <v>16443</v>
                </pt>
                <pt idx="264">
                  <v>16310</v>
                </pt>
                <pt idx="265">
                  <v>16637</v>
                </pt>
                <pt idx="266">
                  <v>16806</v>
                </pt>
                <pt idx="267">
                  <v>16919</v>
                </pt>
                <pt idx="268">
                  <v>16757</v>
                </pt>
                <pt idx="269">
                  <v>16684</v>
                </pt>
                <pt idx="270">
                  <v>16807</v>
                </pt>
                <pt idx="271">
                  <v>16995</v>
                </pt>
                <pt idx="272">
                  <v>17117</v>
                </pt>
                <pt idx="273">
                  <v>17085</v>
                </pt>
                <pt idx="274">
                  <v>17422</v>
                </pt>
                <pt idx="275">
                  <v>17510</v>
                </pt>
                <pt idx="276">
                  <v>17325</v>
                </pt>
                <pt idx="277">
                  <v>17000</v>
                </pt>
                <pt idx="278">
                  <v>17059</v>
                </pt>
                <pt idx="279">
                  <v>17262</v>
                </pt>
                <pt idx="280">
                  <v>17496</v>
                </pt>
                <pt idx="281">
                  <v>17436</v>
                </pt>
                <pt idx="282">
                  <v>17422</v>
                </pt>
                <pt idx="283">
                  <v>17442</v>
                </pt>
                <pt idx="284">
                  <v>17451</v>
                </pt>
                <pt idx="285">
                  <v>17455</v>
                </pt>
                <pt idx="286">
                  <v>17319</v>
                </pt>
                <pt idx="287">
                  <v>17507</v>
                </pt>
                <pt idx="288">
                  <v>17209</v>
                </pt>
                <pt idx="289">
                  <v>17338</v>
                </pt>
                <pt idx="290">
                  <v>17145</v>
                </pt>
                <pt idx="291">
                  <v>17088</v>
                </pt>
                <pt idx="292">
                  <v>17198</v>
                </pt>
                <pt idx="293">
                  <v>17307</v>
                </pt>
                <pt idx="294">
                  <v>17291</v>
                </pt>
                <pt idx="295">
                  <v>17370</v>
                </pt>
                <pt idx="296">
                  <v>17243</v>
                </pt>
                <pt idx="297">
                  <v>16999</v>
                </pt>
                <pt idx="298">
                  <v>16879</v>
                </pt>
                <pt idx="299">
                  <v>16904</v>
                </pt>
                <pt idx="300">
                  <v>17193</v>
                </pt>
                <pt idx="301">
                  <v>17110</v>
                </pt>
                <pt idx="302">
                  <v>17359</v>
                </pt>
                <pt idx="303">
                  <v>17258</v>
                </pt>
                <pt idx="304">
                  <v>17239</v>
                </pt>
                <pt idx="305">
                  <v>17237</v>
                </pt>
                <pt idx="306">
                  <v>17110</v>
                </pt>
                <pt idx="307">
                  <v>17206</v>
                </pt>
                <pt idx="308">
                  <v>17196</v>
                </pt>
                <pt idx="309">
                  <v>17512</v>
                </pt>
                <pt idx="310">
                  <v>17806</v>
                </pt>
                <pt idx="311">
                  <v>17768</v>
                </pt>
                <pt idx="312">
                  <v>17726</v>
                </pt>
                <pt idx="313">
                  <v>17818</v>
                </pt>
                <pt idx="314">
                  <v>17755</v>
                </pt>
                <pt idx="315">
                  <v>18000</v>
                </pt>
                <pt idx="316">
                  <v>17886</v>
                </pt>
                <pt idx="317">
                  <v>17958</v>
                </pt>
                <pt idx="318">
                  <v>17930</v>
                </pt>
                <pt idx="319">
                  <v>17823</v>
                </pt>
                <pt idx="320">
                  <v>17675</v>
                </pt>
                <pt idx="321">
                  <v>17710</v>
                </pt>
                <pt idx="322">
                  <v>17678</v>
                </pt>
                <pt idx="323">
                  <v>17581</v>
                </pt>
                <pt idx="324">
                  <v>17540</v>
                </pt>
                <pt idx="325">
                  <v>17430</v>
                </pt>
                <pt idx="326">
                  <v>17528</v>
                </pt>
                <pt idx="327">
                  <v>17567</v>
                </pt>
                <pt idx="328">
                  <v>17696</v>
                </pt>
                <pt idx="329">
                  <v>17706</v>
                </pt>
                <pt idx="330">
                  <v>17821</v>
                </pt>
                <pt idx="331">
                  <v>17720</v>
                </pt>
                <pt idx="332">
                  <v>17886</v>
                </pt>
                <pt idx="333">
                  <v>17580</v>
                </pt>
                <pt idx="334">
                  <v>17708</v>
                </pt>
                <pt idx="335">
                  <v>17598</v>
                </pt>
                <pt idx="336">
                  <v>17920</v>
                </pt>
                <pt idx="337">
                  <v>17656</v>
                </pt>
                <pt idx="338">
                  <v>14044</v>
                </pt>
                <pt idx="339">
                  <v>7446</v>
                </pt>
                <pt idx="340">
                  <v>11317</v>
                </pt>
                <pt idx="341">
                  <v>15831</v>
                </pt>
                <pt idx="342">
                  <v>17003</v>
                </pt>
                <pt idx="343">
                  <v>17516</v>
                </pt>
                <pt idx="344">
                  <v>17530</v>
                </pt>
                <pt idx="345">
                  <v>17648</v>
                </pt>
                <pt idx="346">
                  <v>17177</v>
                </pt>
                <pt idx="347">
                  <v>16924</v>
                </pt>
                <pt idx="348">
                  <v>19237</v>
                </pt>
                <pt idx="349">
                  <v>18311</v>
                </pt>
                <pt idx="350">
                  <v>20071</v>
                </pt>
                <pt idx="351">
                  <v>20200</v>
                </pt>
                <pt idx="352">
                  <v>20059</v>
                </pt>
                <pt idx="353">
                  <v>20449</v>
                </pt>
                <pt idx="354">
                  <v>20304</v>
                </pt>
                <pt idx="355">
                  <v>19888</v>
                </pt>
                <pt idx="356">
                  <v>20043</v>
                </pt>
                <pt idx="357">
                  <v>20328</v>
                </pt>
                <pt idx="358">
                  <v>19570</v>
                </pt>
                <pt idx="359">
                  <v>18443</v>
                </pt>
                <pt idx="360">
                  <v>19257</v>
                </pt>
                <pt idx="361">
                  <v>19617</v>
                </pt>
                <pt idx="362">
                  <v>19770</v>
                </pt>
                <pt idx="363">
                  <v>20080</v>
                </pt>
                <pt idx="364">
                  <v>19740</v>
                </pt>
                <pt idx="365">
                  <v>19554</v>
                </pt>
                <pt idx="366">
                  <v>19544</v>
                </pt>
                <pt idx="367">
                  <v>19474</v>
                </pt>
                <pt idx="368">
                  <v>19116</v>
                </pt>
                <pt idx="369">
                  <v>19279</v>
                </pt>
                <pt idx="370">
                  <v>18857</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'Furniture Home'!$A$7:$A$384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'Furniture Home'!$D$7:$D$384</f>
              <numCache>
                <formatCode>General</formatCode>
                <ptCount val="378"/>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-0.06284237089924294</v>
                </pt>
                <pt idx="217">
                  <formatCode>0.00%</formatCode>
                  <v>-0.03199206398412797</v>
                </pt>
                <pt idx="218">
                  <formatCode>0.00%</formatCode>
                  <v>0.01605019815059445</v>
                </pt>
                <pt idx="219">
                  <formatCode>0.00%</formatCode>
                  <v>0.01885419423127812</v>
                </pt>
                <pt idx="220">
                  <formatCode>0.00%</formatCode>
                  <v>0.02448223383841726</v>
                </pt>
                <pt idx="221">
                  <formatCode>0.00%</formatCode>
                  <v>0.02967417883814685</v>
                </pt>
                <pt idx="222">
                  <formatCode>0.00%</formatCode>
                  <v>0.02999200213276459</v>
                </pt>
                <pt idx="223">
                  <formatCode>0.00%</formatCode>
                  <v>0.03075178440397572</v>
                </pt>
                <pt idx="224">
                  <formatCode>0.00%</formatCode>
                  <v>0.03646460591462599</v>
                </pt>
                <pt idx="225">
                  <formatCode>0.00%</formatCode>
                  <v>0.03114256825075834</v>
                </pt>
                <pt idx="226">
                  <formatCode>0.00%</formatCode>
                  <v>0.0007895256266859662</v>
                </pt>
                <pt idx="227">
                  <formatCode>0.00%</formatCode>
                  <v>0.01616750596342433</v>
                </pt>
                <pt idx="228">
                  <formatCode>0.00%</formatCode>
                  <v>-0.00216734533035597</v>
                </pt>
                <pt idx="229">
                  <formatCode>0.00%</formatCode>
                  <v>-0.007749951963107667</v>
                </pt>
                <pt idx="230">
                  <formatCode>0.00%</formatCode>
                  <v>0.03282844698693363</v>
                </pt>
                <pt idx="231">
                  <formatCode>0.00%</formatCode>
                  <v>0.02915395104214012</v>
                </pt>
                <pt idx="232">
                  <formatCode>0.00%</formatCode>
                  <v>0.01149648001033391</v>
                </pt>
                <pt idx="233">
                  <formatCode>0.00%</formatCode>
                  <v>0.005519897304236201</v>
                </pt>
                <pt idx="234">
                  <formatCode>0.00%</formatCode>
                  <v>0.02310081532289375</v>
                </pt>
                <pt idx="235">
                  <formatCode>0.00%</formatCode>
                  <v>0.03209940460781776</v>
                </pt>
                <pt idx="236">
                  <formatCode>0.00%</formatCode>
                  <v>0.0243367116390162</v>
                </pt>
                <pt idx="237">
                  <formatCode>0.00%</formatCode>
                  <v>0.05236320847224946</v>
                </pt>
                <pt idx="238">
                  <formatCode>0.00%</formatCode>
                  <v>0.05384261389783709</v>
                </pt>
                <pt idx="239">
                  <formatCode>0.00%</formatCode>
                  <v>0.04284037558685446</v>
                </pt>
                <pt idx="240">
                  <formatCode>0.00%</formatCode>
                  <v>0.06358191272296453</v>
                </pt>
                <pt idx="241">
                  <formatCode>0.00%</formatCode>
                  <v>0.04344177640072296</v>
                </pt>
                <pt idx="242">
                  <formatCode>0.00%</formatCode>
                  <v>0.0259944612286002</v>
                </pt>
                <pt idx="243">
                  <formatCode>0.00%</formatCode>
                  <v>0.01331230283911672</v>
                </pt>
                <pt idx="244">
                  <formatCode>0.00%</formatCode>
                  <v>0.04610178149543452</v>
                </pt>
                <pt idx="245">
                  <formatCode>0.00%</formatCode>
                  <v>0.03472488190986851</v>
                </pt>
                <pt idx="246">
                  <formatCode>0.00%</formatCode>
                  <v>0.03725254569603441</v>
                </pt>
                <pt idx="247">
                  <formatCode>0.00%</formatCode>
                  <v>0.01774517180837723</v>
                </pt>
                <pt idx="248">
                  <formatCode>0.00%</formatCode>
                  <v>0.02356944794555079</v>
                </pt>
                <pt idx="249">
                  <formatCode>0.00%</formatCode>
                  <v>-0.02118275562181637</v>
                </pt>
                <pt idx="250">
                  <formatCode>0.00%</formatCode>
                  <v>0.01472239550842171</v>
                </pt>
                <pt idx="251">
                  <formatCode>0.00%</formatCode>
                  <v>0.04752079034577628</v>
                </pt>
                <pt idx="252">
                  <formatCode>0.00%</formatCode>
                  <v>0.03552200012377003</v>
                </pt>
                <pt idx="253">
                  <formatCode>0.00%</formatCode>
                  <v>0.03489019486545004</v>
                </pt>
                <pt idx="254">
                  <formatCode>0.00%</formatCode>
                  <v>0.01122630513465432</v>
                </pt>
                <pt idx="255">
                  <formatCode>0.00%</formatCode>
                  <v>0.02745781707241143</v>
                </pt>
                <pt idx="256">
                  <formatCode>0.00%</formatCode>
                  <v>0.00183116645303058</v>
                </pt>
                <pt idx="257">
                  <formatCode>0.00%</formatCode>
                  <v>0.02671190623072178</v>
                </pt>
                <pt idx="258">
                  <formatCode>0.00%</formatCode>
                  <v>0.01036585365853659</v>
                </pt>
                <pt idx="259">
                  <formatCode>0.00%</formatCode>
                  <v>0.02408970488571252</v>
                </pt>
                <pt idx="260">
                  <formatCode>0.00%</formatCode>
                  <v>0.02228789557936215</v>
                </pt>
                <pt idx="261">
                  <formatCode>0.00%</formatCode>
                  <v>0.06835057434790887</v>
                </pt>
                <pt idx="262">
                  <formatCode>0.00%</formatCode>
                  <v>0.03067748678224518</v>
                </pt>
                <pt idx="263">
                  <formatCode>0.00%</formatCode>
                  <v>-0.0185041485107145</v>
                </pt>
                <pt idx="264">
                  <formatCode>0.00%</formatCode>
                  <v>-0.02527938803561824</v>
                </pt>
                <pt idx="265">
                  <formatCode>0.00%</formatCode>
                  <v>-0.005499432123856776</v>
                </pt>
                <pt idx="266">
                  <formatCode>0.00%</formatCode>
                  <v>0.01953409366658578</v>
                </pt>
                <pt idx="267">
                  <formatCode>0.00%</formatCode>
                  <v>0.0252696642831172</v>
                </pt>
                <pt idx="268">
                  <formatCode>0.00%</formatCode>
                  <v>0.02095899591786998</v>
                </pt>
                <pt idx="269">
                  <formatCode>0.00%</formatCode>
                  <v>0.002463498167397705</v>
                </pt>
                <pt idx="270">
                  <formatCode>0.00%</formatCode>
                  <v>0.01430295715147858</v>
                </pt>
                <pt idx="271">
                  <formatCode>0.00%</formatCode>
                  <v>0.02244013957405848</v>
                </pt>
                <pt idx="272">
                  <formatCode>0.00%</formatCode>
                  <v>0.0308961695976873</v>
                </pt>
                <pt idx="273">
                  <formatCode>0.00%</formatCode>
                  <v>0.01491030058215516</v>
                </pt>
                <pt idx="274">
                  <formatCode>0.00%</formatCode>
                  <v>0.03918878616164629</v>
                </pt>
                <pt idx="275">
                  <formatCode>0.00%</formatCode>
                  <v>0.06489083500577754</v>
                </pt>
                <pt idx="276">
                  <formatCode>0.00%</formatCode>
                  <v>0.06223175965665236</v>
                </pt>
                <pt idx="277">
                  <formatCode>0.00%</formatCode>
                  <v>0.02181883753080483</v>
                </pt>
                <pt idx="278">
                  <formatCode>0.00%</formatCode>
                  <v>0.01505414732833512</v>
                </pt>
                <pt idx="279">
                  <formatCode>0.00%</formatCode>
                  <v>0.02027306578402979</v>
                </pt>
                <pt idx="280">
                  <formatCode>0.00%</formatCode>
                  <v>0.04410097272781524</v>
                </pt>
                <pt idx="281">
                  <formatCode>0.00%</formatCode>
                  <v>0.04507312395109087</v>
                </pt>
                <pt idx="282">
                  <formatCode>0.00%</formatCode>
                  <v>0.03659189623371215</v>
                </pt>
                <pt idx="283">
                  <formatCode>0.00%</formatCode>
                  <v>0.02630185348631951</v>
                </pt>
                <pt idx="284">
                  <formatCode>0.00%</formatCode>
                  <v>0.01951276508734007</v>
                </pt>
                <pt idx="285">
                  <formatCode>0.00%</formatCode>
                  <v>0.02165642376353526</v>
                </pt>
                <pt idx="286">
                  <formatCode>0.00%</formatCode>
                  <v>-0.005912065204913328</v>
                </pt>
                <pt idx="287">
                  <formatCode>0.00%</formatCode>
                  <v>-0.0001713306681896059</v>
                </pt>
                <pt idx="288">
                  <formatCode>0.00%</formatCode>
                  <v>-0.006695526695526696</v>
                </pt>
                <pt idx="289">
                  <formatCode>0.00%</formatCode>
                  <v>0.01988235294117647</v>
                </pt>
                <pt idx="290">
                  <formatCode>0.00%</formatCode>
                  <v>0.005041327158684565</v>
                </pt>
                <pt idx="291">
                  <formatCode>0.00%</formatCode>
                  <v>-0.01007994438651373</v>
                </pt>
                <pt idx="292">
                  <formatCode>0.00%</formatCode>
                  <v>-0.01703246456332876</v>
                </pt>
                <pt idx="293">
                  <formatCode>0.00%</formatCode>
                  <v>-0.007398485891259464</v>
                </pt>
                <pt idx="294">
                  <formatCode>0.00%</formatCode>
                  <v>-0.007519228561588796</v>
                </pt>
                <pt idx="295">
                  <formatCode>0.00%</formatCode>
                  <v>-0.00412796697626419</v>
                </pt>
                <pt idx="296">
                  <formatCode>0.00%</formatCode>
                  <v>-0.0119190877313621</v>
                </pt>
                <pt idx="297">
                  <formatCode>0.00%</formatCode>
                  <v>-0.02612431967917502</v>
                </pt>
                <pt idx="298">
                  <formatCode>0.00%</formatCode>
                  <v>-0.02540562388128645</v>
                </pt>
                <pt idx="299">
                  <formatCode>0.00%</formatCode>
                  <v>-0.03444336551093848</v>
                </pt>
                <pt idx="300">
                  <formatCode>0.00%</formatCode>
                  <v>-0.000929746063106514</v>
                </pt>
                <pt idx="301">
                  <formatCode>0.00%</formatCode>
                  <v>-0.01315030568693044</v>
                </pt>
                <pt idx="302">
                  <formatCode>0.00%</formatCode>
                  <v>0.01248177311169437</v>
                </pt>
                <pt idx="303">
                  <formatCode>0.00%</formatCode>
                  <v>0.009948501872659176</v>
                </pt>
                <pt idx="304">
                  <formatCode>0.00%</formatCode>
                  <v>0.002383998139318525</v>
                </pt>
                <pt idx="305">
                  <formatCode>0.00%</formatCode>
                  <v>-0.004044606228693592</v>
                </pt>
                <pt idx="306">
                  <formatCode>0.00%</formatCode>
                  <v>-0.0104678734601816</v>
                </pt>
                <pt idx="307">
                  <formatCode>0.00%</formatCode>
                  <v>-0.009441565918249855</v>
                </pt>
                <pt idx="308">
                  <formatCode>0.00%</formatCode>
                  <v>-0.002725743780084672</v>
                </pt>
                <pt idx="309">
                  <formatCode>0.00%</formatCode>
                  <v>0.03017824577916348</v>
                </pt>
                <pt idx="310">
                  <formatCode>0.00%</formatCode>
                  <v>0.05492031518454885</v>
                </pt>
                <pt idx="311">
                  <formatCode>0.00%</formatCode>
                  <v>0.05111216280170374</v>
                </pt>
                <pt idx="312">
                  <formatCode>0.00%</formatCode>
                  <v>0.03100098877450125</v>
                </pt>
                <pt idx="313">
                  <formatCode>0.00%</formatCode>
                  <v>0.04137931034482759</v>
                </pt>
                <pt idx="314">
                  <formatCode>0.00%</formatCode>
                  <v>0.02281237398467654</v>
                </pt>
                <pt idx="315">
                  <formatCode>0.00%</formatCode>
                  <v>0.04299455325066636</v>
                </pt>
                <pt idx="316">
                  <formatCode>0.00%</formatCode>
                  <v>0.03753117930274378</v>
                </pt>
                <pt idx="317">
                  <formatCode>0.00%</formatCode>
                  <v>0.04182862447061553</v>
                </pt>
                <pt idx="318">
                  <formatCode>0.00%</formatCode>
                  <v>0.04792518994739918</v>
                </pt>
                <pt idx="319">
                  <formatCode>0.00%</formatCode>
                  <v>0.03585958386609323</v>
                </pt>
                <pt idx="320">
                  <formatCode>0.00%</formatCode>
                  <v>0.02785531518957897</v>
                </pt>
                <pt idx="321">
                  <formatCode>0.00%</formatCode>
                  <v>0.01130653266331658</v>
                </pt>
                <pt idx="322">
                  <formatCode>0.00%</formatCode>
                  <v>-0.00718858811636527</v>
                </pt>
                <pt idx="323">
                  <formatCode>0.00%</formatCode>
                  <v>-0.01052453849617289</v>
                </pt>
                <pt idx="324">
                  <formatCode>0.00%</formatCode>
                  <v>-0.01049306104027982</v>
                </pt>
                <pt idx="325">
                  <formatCode>0.00%</formatCode>
                  <v>-0.02177573240543271</v>
                </pt>
                <pt idx="326">
                  <formatCode>0.00%</formatCode>
                  <v>-0.01278513094902844</v>
                </pt>
                <pt idx="327">
                  <formatCode>0.00%</formatCode>
                  <v>-0.02405555555555556</v>
                </pt>
                <pt idx="328">
                  <formatCode>0.00%</formatCode>
                  <v>-0.01062283350106228</v>
                </pt>
                <pt idx="329">
                  <formatCode>0.00%</formatCode>
                  <v>-0.0140327430671567</v>
                </pt>
                <pt idx="330">
                  <formatCode>0.00%</formatCode>
                  <v>-0.006079196876742889</v>
                </pt>
                <pt idx="331">
                  <formatCode>0.00%</formatCode>
                  <v>-0.005779049542725691</v>
                </pt>
                <pt idx="332">
                  <formatCode>0.00%</formatCode>
                  <v>0.01193776520509194</v>
                </pt>
                <pt idx="333">
                  <formatCode>0.00%</formatCode>
                  <v>-0.007340485601355167</v>
                </pt>
                <pt idx="334">
                  <formatCode>0.00%</formatCode>
                  <v>0.001697024550288494</v>
                </pt>
                <pt idx="335">
                  <formatCode>0.00%</formatCode>
                  <v>0.000966952960582447</v>
                </pt>
                <pt idx="336">
                  <formatCode>0.00%</formatCode>
                  <v>0.02166476624857469</v>
                </pt>
                <pt idx="337">
                  <formatCode>0.00%</formatCode>
                  <v>0.01296615031554791</v>
                </pt>
                <pt idx="338">
                  <formatCode>0.00%</formatCode>
                  <v>-0.1987676859881333</v>
                </pt>
                <pt idx="339">
                  <formatCode>0.00%</formatCode>
                  <v>-0.5761370751978141</v>
                </pt>
                <pt idx="340">
                  <formatCode>0.00%</formatCode>
                  <v>-0.3604769439421338</v>
                </pt>
                <pt idx="341">
                  <formatCode>0.00%</formatCode>
                  <v>-0.105896306336835</v>
                </pt>
                <pt idx="342">
                  <formatCode>0.00%</formatCode>
                  <v>-0.04590090342853936</v>
                </pt>
                <pt idx="343">
                  <formatCode>0.00%</formatCode>
                  <v>-0.01151241534988713</v>
                </pt>
                <pt idx="344">
                  <formatCode>0.00%</formatCode>
                  <v>-0.01990383540199038</v>
                </pt>
                <pt idx="345">
                  <formatCode>0.00%</formatCode>
                  <v>0.003868031854379977</v>
                </pt>
                <pt idx="346">
                  <formatCode>0.00%</formatCode>
                  <v>-0.02998644680370454</v>
                </pt>
                <pt idx="347">
                  <formatCode>0.00%</formatCode>
                  <v>-0.03829980679622685</v>
                </pt>
                <pt idx="348">
                  <formatCode>0.00%</formatCode>
                  <v>0.07349330357142857</v>
                </pt>
                <pt idx="349">
                  <formatCode>0.00%</formatCode>
                  <v>0.03709787041232442</v>
                </pt>
                <pt idx="350">
                  <formatCode>0.00%</formatCode>
                  <v>0.4291512389632584</v>
                </pt>
                <pt idx="351">
                  <formatCode>0.00%</formatCode>
                  <v>1.71286596830513</v>
                </pt>
                <pt idx="352">
                  <formatCode>0.00%</formatCode>
                  <v>0.7724662012900946</v>
                </pt>
                <pt idx="353">
                  <formatCode>0.00%</formatCode>
                  <v>0.2917061461689091</v>
                </pt>
                <pt idx="354">
                  <formatCode>0.00%</formatCode>
                  <v>0.1941422101982003</v>
                </pt>
                <pt idx="355">
                  <formatCode>0.00%</formatCode>
                  <v>0.1354190454441653</v>
                </pt>
                <pt idx="356">
                  <formatCode>0.00%</formatCode>
                  <v>0.1433542498573873</v>
                </pt>
                <pt idx="357">
                  <formatCode>0.00%</formatCode>
                  <v>0.1518585675430644</v>
                </pt>
                <pt idx="358">
                  <formatCode>0.00%</formatCode>
                  <v>0.1393141992198871</v>
                </pt>
                <pt idx="359">
                  <formatCode>0.00%</formatCode>
                  <v>0.08975419522571496</v>
                </pt>
                <pt idx="360">
                  <formatCode>0.00%</formatCode>
                  <v>0.001039663149139679</v>
                </pt>
                <pt idx="361">
                  <formatCode>0.00%</formatCode>
                  <v>0.07132324832068156</v>
                </pt>
                <pt idx="362">
                  <formatCode>0.00%</formatCode>
                  <v>-0.01499676149668676</v>
                </pt>
                <pt idx="363">
                  <formatCode>0.00%</formatCode>
                  <v>-0.005940594059405941</v>
                </pt>
                <pt idx="364">
                  <formatCode>0.00%</formatCode>
                  <v>-0.01590308589660502</v>
                </pt>
                <pt idx="365">
                  <formatCode>0.00%</formatCode>
                  <v>-0.04376742138979901</v>
                </pt>
                <pt idx="366">
                  <formatCode>0.00%</formatCode>
                  <v>-0.03743104806934594</v>
                </pt>
                <pt idx="367">
                  <formatCode>0.00%</formatCode>
                  <v>-0.02081657280772325</v>
                </pt>
                <pt idx="368">
                  <formatCode>0.00%</formatCode>
                  <v>-0.04625056129321958</v>
                </pt>
                <pt idx="369">
                  <formatCode>0.00%</formatCode>
                  <v>-0.05160369933097206</v>
                </pt>
                <pt idx="370">
                  <formatCode>0.00%</formatCode>
                  <v>-0.03643331630045989</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a:prstDash val="solid"/>
            </a:ln>
          </spPr>
          <marker>
            <symbol val="none"/>
            <spPr>
              <a:ln xmlns:a="http://schemas.openxmlformats.org/drawingml/2006/main">
                <a:prstDash val="solid"/>
              </a:ln>
            </spPr>
          </marker>
          <cat>
            <numRef>
              <f>'Miscellaneous stores retailers'!$A$7:$A$382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'Miscellaneous stores retailers'!$B$7:$B$382</f>
              <numCache>
                <formatCode>#,##0</formatCode>
                <ptCount val="376"/>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8363</v>
                </pt>
                <pt idx="217">
                  <v>8251</v>
                </pt>
                <pt idx="218">
                  <v>8705</v>
                </pt>
                <pt idx="219">
                  <v>8567</v>
                </pt>
                <pt idx="220">
                  <v>8632</v>
                </pt>
                <pt idx="221">
                  <v>8797</v>
                </pt>
                <pt idx="222">
                  <v>8613</v>
                </pt>
                <pt idx="223">
                  <v>8649</v>
                </pt>
                <pt idx="224">
                  <v>8766</v>
                </pt>
                <pt idx="225">
                  <v>8924</v>
                </pt>
                <pt idx="226">
                  <v>8902</v>
                </pt>
                <pt idx="227">
                  <v>8878</v>
                </pt>
                <pt idx="228">
                  <v>8828</v>
                </pt>
                <pt idx="229">
                  <v>9116</v>
                </pt>
                <pt idx="230">
                  <v>8842</v>
                </pt>
                <pt idx="231">
                  <v>9053</v>
                </pt>
                <pt idx="232">
                  <v>8975</v>
                </pt>
                <pt idx="233">
                  <v>9062</v>
                </pt>
                <pt idx="234">
                  <v>9168</v>
                </pt>
                <pt idx="235">
                  <v>9228</v>
                </pt>
                <pt idx="236">
                  <v>9151</v>
                </pt>
                <pt idx="237">
                  <v>9076</v>
                </pt>
                <pt idx="238">
                  <v>9043</v>
                </pt>
                <pt idx="239">
                  <v>8868</v>
                </pt>
                <pt idx="240">
                  <v>9309</v>
                </pt>
                <pt idx="241">
                  <v>9416</v>
                </pt>
                <pt idx="242">
                  <v>9186</v>
                </pt>
                <pt idx="243">
                  <v>9201</v>
                </pt>
                <pt idx="244">
                  <v>8897</v>
                </pt>
                <pt idx="245">
                  <v>9079</v>
                </pt>
                <pt idx="246">
                  <v>9181</v>
                </pt>
                <pt idx="247">
                  <v>9083</v>
                </pt>
                <pt idx="248">
                  <v>9103</v>
                </pt>
                <pt idx="249">
                  <v>9157</v>
                </pt>
                <pt idx="250">
                  <v>9089</v>
                </pt>
                <pt idx="251">
                  <v>9324</v>
                </pt>
                <pt idx="252">
                  <v>9229</v>
                </pt>
                <pt idx="253">
                  <v>9281</v>
                </pt>
                <pt idx="254">
                  <v>9367</v>
                </pt>
                <pt idx="255">
                  <v>9329</v>
                </pt>
                <pt idx="256">
                  <v>9328</v>
                </pt>
                <pt idx="257">
                  <v>9170</v>
                </pt>
                <pt idx="258">
                  <v>9215</v>
                </pt>
                <pt idx="259">
                  <v>9301</v>
                </pt>
                <pt idx="260">
                  <v>9507</v>
                </pt>
                <pt idx="261">
                  <v>9478</v>
                </pt>
                <pt idx="262">
                  <v>9545</v>
                </pt>
                <pt idx="263">
                  <v>9389</v>
                </pt>
                <pt idx="264">
                  <v>9248</v>
                </pt>
                <pt idx="265">
                  <v>9386</v>
                </pt>
                <pt idx="266">
                  <v>9471</v>
                </pt>
                <pt idx="267">
                  <v>9348</v>
                </pt>
                <pt idx="268">
                  <v>9534</v>
                </pt>
                <pt idx="269">
                  <v>9596</v>
                </pt>
                <pt idx="270">
                  <v>9628</v>
                </pt>
                <pt idx="271">
                  <v>9740</v>
                </pt>
                <pt idx="272">
                  <v>9734</v>
                </pt>
                <pt idx="273">
                  <v>9895</v>
                </pt>
                <pt idx="274">
                  <v>9834</v>
                </pt>
                <pt idx="275">
                  <v>9815</v>
                </pt>
                <pt idx="276">
                  <v>9847</v>
                </pt>
                <pt idx="277">
                  <v>9766</v>
                </pt>
                <pt idx="278">
                  <v>9794</v>
                </pt>
                <pt idx="279">
                  <v>9738</v>
                </pt>
                <pt idx="280">
                  <v>10001</v>
                </pt>
                <pt idx="281">
                  <v>10042</v>
                </pt>
                <pt idx="282">
                  <v>10062</v>
                </pt>
                <pt idx="283">
                  <v>10162</v>
                </pt>
                <pt idx="284">
                  <v>9721</v>
                </pt>
                <pt idx="285">
                  <v>9713</v>
                </pt>
                <pt idx="286">
                  <v>9861</v>
                </pt>
                <pt idx="287">
                  <v>9777</v>
                </pt>
                <pt idx="288">
                  <v>9799</v>
                </pt>
                <pt idx="289">
                  <v>9784</v>
                </pt>
                <pt idx="290">
                  <v>10022</v>
                </pt>
                <pt idx="291">
                  <v>10144</v>
                </pt>
                <pt idx="292">
                  <v>10007</v>
                </pt>
                <pt idx="293">
                  <v>10067</v>
                </pt>
                <pt idx="294">
                  <v>10001</v>
                </pt>
                <pt idx="295">
                  <v>9934</v>
                </pt>
                <pt idx="296">
                  <v>10196</v>
                </pt>
                <pt idx="297">
                  <v>10358</v>
                </pt>
                <pt idx="298">
                  <v>9967</v>
                </pt>
                <pt idx="299">
                  <v>10156</v>
                </pt>
                <pt idx="300">
                  <v>10119</v>
                </pt>
                <pt idx="301">
                  <v>10276</v>
                </pt>
                <pt idx="302">
                  <v>10193</v>
                </pt>
                <pt idx="303">
                  <v>10251</v>
                </pt>
                <pt idx="304">
                  <v>10057</v>
                </pt>
                <pt idx="305">
                  <v>10039</v>
                </pt>
                <pt idx="306">
                  <v>10270</v>
                </pt>
                <pt idx="307">
                  <v>10219</v>
                </pt>
                <pt idx="308">
                  <v>10331</v>
                </pt>
                <pt idx="309">
                  <v>10358</v>
                </pt>
                <pt idx="310">
                  <v>10594</v>
                </pt>
                <pt idx="311">
                  <v>10696</v>
                </pt>
                <pt idx="312">
                  <v>10899</v>
                </pt>
                <pt idx="313">
                  <v>10819</v>
                </pt>
                <pt idx="314">
                  <v>10743</v>
                </pt>
                <pt idx="315">
                  <v>10684</v>
                </pt>
                <pt idx="316">
                  <v>10851</v>
                </pt>
                <pt idx="317">
                  <v>10783</v>
                </pt>
                <pt idx="318">
                  <v>10422</v>
                </pt>
                <pt idx="319">
                  <v>10596</v>
                </pt>
                <pt idx="320">
                  <v>10602</v>
                </pt>
                <pt idx="321">
                  <v>10844</v>
                </pt>
                <pt idx="322">
                  <v>10789</v>
                </pt>
                <pt idx="323">
                  <v>10614</v>
                </pt>
                <pt idx="324">
                  <v>10368</v>
                </pt>
                <pt idx="325">
                  <v>10415</v>
                </pt>
                <pt idx="326">
                  <v>10600</v>
                </pt>
                <pt idx="327">
                  <v>10837</v>
                </pt>
                <pt idx="328">
                  <v>10930</v>
                </pt>
                <pt idx="329">
                  <v>10986</v>
                </pt>
                <pt idx="330">
                  <v>10845</v>
                </pt>
                <pt idx="331">
                  <v>11045</v>
                </pt>
                <pt idx="332">
                  <v>10997</v>
                </pt>
                <pt idx="333">
                  <v>11156</v>
                </pt>
                <pt idx="334">
                  <v>11255</v>
                </pt>
                <pt idx="335">
                  <v>11096</v>
                </pt>
                <pt idx="336">
                  <v>11463</v>
                </pt>
                <pt idx="337">
                  <v>11324</v>
                </pt>
                <pt idx="338">
                  <v>9784</v>
                </pt>
                <pt idx="339">
                  <v>7179</v>
                </pt>
                <pt idx="340">
                  <v>8550</v>
                </pt>
                <pt idx="341">
                  <v>10512</v>
                </pt>
                <pt idx="342">
                  <v>10997</v>
                </pt>
                <pt idx="343">
                  <v>11174</v>
                </pt>
                <pt idx="344">
                  <v>11198</v>
                </pt>
                <pt idx="345">
                  <v>11212</v>
                </pt>
                <pt idx="346">
                  <v>11229</v>
                </pt>
                <pt idx="347">
                  <v>11802</v>
                </pt>
                <pt idx="348">
                  <v>11835</v>
                </pt>
                <pt idx="349">
                  <v>11602</v>
                </pt>
                <pt idx="350">
                  <v>13170</v>
                </pt>
                <pt idx="351">
                  <v>13291</v>
                </pt>
                <pt idx="352">
                  <v>12482</v>
                </pt>
                <pt idx="353">
                  <v>13588</v>
                </pt>
                <pt idx="354">
                  <v>13833</v>
                </pt>
                <pt idx="355">
                  <v>14073</v>
                </pt>
                <pt idx="356">
                  <v>14403</v>
                </pt>
                <pt idx="357">
                  <v>14616</v>
                </pt>
                <pt idx="358">
                  <v>14493</v>
                </pt>
                <pt idx="359">
                  <v>14285</v>
                </pt>
                <pt idx="360">
                  <v>14527</v>
                </pt>
                <pt idx="361">
                  <v>14986</v>
                </pt>
                <pt idx="362">
                  <v>15490</v>
                </pt>
                <pt idx="363">
                  <v>15864</v>
                </pt>
                <pt idx="364">
                  <v>15515</v>
                </pt>
                <pt idx="365">
                  <v>16110</v>
                </pt>
                <pt idx="366">
                  <v>15898</v>
                </pt>
                <pt idx="367">
                  <v>15934</v>
                </pt>
                <pt idx="368">
                  <v>15992</v>
                </pt>
                <pt idx="369">
                  <v>16176</v>
                </pt>
                <pt idx="370">
                  <v>16249</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'Miscellaneous stores retailers'!$A$7:$A$382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'Miscellaneous stores retailers'!$D$7:$D$382</f>
              <numCache>
                <formatCode>General</formatCode>
                <ptCount val="376"/>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-0.01738926095640935</v>
                </pt>
                <pt idx="217">
                  <formatCode>0.00%</formatCode>
                  <v>-0.05659730162359936</v>
                </pt>
                <pt idx="218">
                  <formatCode>0.00%</formatCode>
                  <v>0.01044689495066744</v>
                </pt>
                <pt idx="219">
                  <formatCode>0.00%</formatCode>
                  <v>-0.01267719257807998</v>
                </pt>
                <pt idx="220">
                  <formatCode>0.00%</formatCode>
                  <v>0.02444813671967719</v>
                </pt>
                <pt idx="221">
                  <formatCode>0.00%</formatCode>
                  <v>0.03922031896042528</v>
                </pt>
                <pt idx="222">
                  <formatCode>0.00%</formatCode>
                  <v>0.03125</v>
                </pt>
                <pt idx="223">
                  <formatCode>0.00%</formatCode>
                  <v>0.04041862143630458</v>
                </pt>
                <pt idx="224">
                  <formatCode>0.00%</formatCode>
                  <v>0.04543828264758498</v>
                </pt>
                <pt idx="225">
                  <formatCode>0.00%</formatCode>
                  <v>0.06746411483253588</v>
                </pt>
                <pt idx="226">
                  <formatCode>0.00%</formatCode>
                  <v>0.05900547228170355</v>
                </pt>
                <pt idx="227">
                  <formatCode>0.00%</formatCode>
                  <v>0.03340705389360959</v>
                </pt>
                <pt idx="228">
                  <formatCode>0.00%</formatCode>
                  <v>0.05560205667822551</v>
                </pt>
                <pt idx="229">
                  <formatCode>0.00%</formatCode>
                  <v>0.1048357774815174</v>
                </pt>
                <pt idx="230">
                  <formatCode>0.00%</formatCode>
                  <v>0.01573808156232051</v>
                </pt>
                <pt idx="231">
                  <formatCode>0.00%</formatCode>
                  <v>0.05672931014357418</v>
                </pt>
                <pt idx="232">
                  <formatCode>0.00%</formatCode>
                  <v>0.03973586654309546</v>
                </pt>
                <pt idx="233">
                  <formatCode>0.00%</formatCode>
                  <v>0.03012390587700352</v>
                </pt>
                <pt idx="234">
                  <formatCode>0.00%</formatCode>
                  <v>0.06443747823058169</v>
                </pt>
                <pt idx="235">
                  <formatCode>0.00%</formatCode>
                  <v>0.06694415539368713</v>
                </pt>
                <pt idx="236">
                  <formatCode>0.00%</formatCode>
                  <v>0.04391968971024413</v>
                </pt>
                <pt idx="237">
                  <formatCode>0.00%</formatCode>
                  <v>0.01703272075302555</v>
                </pt>
                <pt idx="238">
                  <formatCode>0.00%</formatCode>
                  <v>0.01583913727252303</v>
                </pt>
                <pt idx="239">
                  <formatCode>0.00%</formatCode>
                  <v>-0.00112637981527371</v>
                </pt>
                <pt idx="240">
                  <formatCode>0.00%</formatCode>
                  <v>0.05448572723153602</v>
                </pt>
                <pt idx="241">
                  <formatCode>0.00%</formatCode>
                  <v>0.03290917068889864</v>
                </pt>
                <pt idx="242">
                  <formatCode>0.00%</formatCode>
                  <v>0.03890522506220312</v>
                </pt>
                <pt idx="243">
                  <formatCode>0.00%</formatCode>
                  <v>0.01634817187672595</v>
                </pt>
                <pt idx="244">
                  <formatCode>0.00%</formatCode>
                  <v>-0.008690807799442897</v>
                </pt>
                <pt idx="245">
                  <formatCode>0.00%</formatCode>
                  <v>0.001875965570514235</v>
                </pt>
                <pt idx="246">
                  <formatCode>0.00%</formatCode>
                  <v>0.001417975567190227</v>
                </pt>
                <pt idx="247">
                  <formatCode>0.00%</formatCode>
                  <v>-0.01571304724750758</v>
                </pt>
                <pt idx="248">
                  <formatCode>0.00%</formatCode>
                  <v>-0.005245328379412086</v>
                </pt>
                <pt idx="249">
                  <formatCode>0.00%</formatCode>
                  <v>0.008924636403702071</v>
                </pt>
                <pt idx="250">
                  <formatCode>0.00%</formatCode>
                  <v>0.005086807475395334</v>
                </pt>
                <pt idx="251">
                  <formatCode>0.00%</formatCode>
                  <v>0.05142083897158322</v>
                </pt>
                <pt idx="252">
                  <formatCode>0.00%</formatCode>
                  <v>-0.008593833924159416</v>
                </pt>
                <pt idx="253">
                  <formatCode>0.00%</formatCode>
                  <v>-0.01433729821580289</v>
                </pt>
                <pt idx="254">
                  <formatCode>0.00%</formatCode>
                  <v>0.01970389723492271</v>
                </pt>
                <pt idx="255">
                  <formatCode>0.00%</formatCode>
                  <v>0.01391153135528747</v>
                </pt>
                <pt idx="256">
                  <formatCode>0.00%</formatCode>
                  <v>0.04844329549286276</v>
                </pt>
                <pt idx="257">
                  <formatCode>0.00%</formatCode>
                  <v>0.01002313030069391</v>
                </pt>
                <pt idx="258">
                  <formatCode>0.00%</formatCode>
                  <v>0.003703300294085611</v>
                </pt>
                <pt idx="259">
                  <formatCode>0.00%</formatCode>
                  <v>0.02400088076626665</v>
                </pt>
                <pt idx="260">
                  <formatCode>0.00%</formatCode>
                  <v>0.04438097330550368</v>
                </pt>
                <pt idx="261">
                  <formatCode>0.00%</formatCode>
                  <v>0.03505514906628809</v>
                </pt>
                <pt idx="262">
                  <formatCode>0.00%</formatCode>
                  <v>0.05017053581252063</v>
                </pt>
                <pt idx="263">
                  <formatCode>0.00%</formatCode>
                  <v>0.006971256971256971</v>
                </pt>
                <pt idx="264">
                  <formatCode>0.00%</formatCode>
                  <v>0.00205872792285188</v>
                </pt>
                <pt idx="265">
                  <formatCode>0.00%</formatCode>
                  <v>0.01131343605214955</v>
                </pt>
                <pt idx="266">
                  <formatCode>0.00%</formatCode>
                  <v>0.0111028077292623</v>
                </pt>
                <pt idx="267">
                  <formatCode>0.00%</formatCode>
                  <v>0.002036659877800407</v>
                </pt>
                <pt idx="268">
                  <formatCode>0.00%</formatCode>
                  <v>0.02208404802744425</v>
                </pt>
                <pt idx="269">
                  <formatCode>0.00%</formatCode>
                  <v>0.04645583424209378</v>
                </pt>
                <pt idx="270">
                  <formatCode>0.00%</formatCode>
                  <v>0.04481823114487249</v>
                </pt>
                <pt idx="271">
                  <formatCode>0.00%</formatCode>
                  <v>0.04719922588968928</v>
                </pt>
                <pt idx="272">
                  <formatCode>0.00%</formatCode>
                  <v>0.02387714315767329</v>
                </pt>
                <pt idx="273">
                  <formatCode>0.00%</formatCode>
                  <v>0.04399662376028698</v>
                </pt>
                <pt idx="274">
                  <formatCode>0.00%</formatCode>
                  <v>0.03027763226820325</v>
                </pt>
                <pt idx="275">
                  <formatCode>0.00%</formatCode>
                  <v>0.04537224411545426</v>
                </pt>
                <pt idx="276">
                  <formatCode>0.00%</formatCode>
                  <v>0.06477076124567474</v>
                </pt>
                <pt idx="277">
                  <formatCode>0.00%</formatCode>
                  <v>0.04048582995951417</v>
                </pt>
                <pt idx="278">
                  <formatCode>0.00%</formatCode>
                  <v>0.03410410727483898</v>
                </pt>
                <pt idx="279">
                  <formatCode>0.00%</formatCode>
                  <v>0.0417201540436457</v>
                </pt>
                <pt idx="280">
                  <formatCode>0.00%</formatCode>
                  <v>0.04898258863016573</v>
                </pt>
                <pt idx="281">
                  <formatCode>0.00%</formatCode>
                  <v>0.0464776990412672</v>
                </pt>
                <pt idx="282">
                  <formatCode>0.00%</formatCode>
                  <v>0.04507685916078105</v>
                </pt>
                <pt idx="283">
                  <formatCode>0.00%</formatCode>
                  <v>0.0433264887063655</v>
                </pt>
                <pt idx="284">
                  <formatCode>0.00%</formatCode>
                  <v>-0.001335524964043559</v>
                </pt>
                <pt idx="285">
                  <formatCode>0.00%</formatCode>
                  <v>-0.01839312784234462</v>
                </pt>
                <pt idx="286">
                  <formatCode>0.00%</formatCode>
                  <v>0.002745576571079927</v>
                </pt>
                <pt idx="287">
                  <formatCode>0.00%</formatCode>
                  <v>-0.003871625063678044</v>
                </pt>
                <pt idx="288">
                  <formatCode>0.00%</formatCode>
                  <v>-0.004874581090687519</v>
                </pt>
                <pt idx="289">
                  <formatCode>0.00%</formatCode>
                  <v>0.001843129223837805</v>
                </pt>
                <pt idx="290">
                  <formatCode>0.00%</formatCode>
                  <v>0.02327955891362058</v>
                </pt>
                <pt idx="291">
                  <formatCode>0.00%</formatCode>
                  <v>0.04169233928938181</v>
                </pt>
                <pt idx="292">
                  <formatCode>0.00%</formatCode>
                  <v>0.0005999400059994001</v>
                </pt>
                <pt idx="293">
                  <formatCode>0.00%</formatCode>
                  <v>0.002489543915554671</v>
                </pt>
                <pt idx="294">
                  <formatCode>0.00%</formatCode>
                  <v>-0.006062413039157225</v>
                </pt>
                <pt idx="295">
                  <formatCode>0.00%</formatCode>
                  <v>-0.02243652824247195</v>
                </pt>
                <pt idx="296">
                  <formatCode>0.00%</formatCode>
                  <v>0.04886328567019854</v>
                </pt>
                <pt idx="297">
                  <formatCode>0.00%</formatCode>
                  <v>0.0664058478328014</v>
                </pt>
                <pt idx="298">
                  <formatCode>0.00%</formatCode>
                  <v>0.01074941689483825</v>
                </pt>
                <pt idx="299">
                  <formatCode>0.00%</formatCode>
                  <v>0.03876444717193413</v>
                </pt>
                <pt idx="300">
                  <formatCode>0.00%</formatCode>
                  <v>0.03265639350954179</v>
                </pt>
                <pt idx="301">
                  <formatCode>0.00%</formatCode>
                  <v>0.05028618152085037</v>
                </pt>
                <pt idx="302">
                  <formatCode>0.00%</formatCode>
                  <v>0.0170624625823189</v>
                </pt>
                <pt idx="303">
                  <formatCode>0.00%</formatCode>
                  <v>0.01054810725552051</v>
                </pt>
                <pt idx="304">
                  <formatCode>0.00%</formatCode>
                  <v>0.0049965024482862</v>
                </pt>
                <pt idx="305">
                  <formatCode>0.00%</formatCode>
                  <v>-0.002781364855468362</v>
                </pt>
                <pt idx="306">
                  <formatCode>0.00%</formatCode>
                  <v>0.0268973102689731</v>
                </pt>
                <pt idx="307">
                  <formatCode>0.00%</formatCode>
                  <v>0.02868934970807328</v>
                </pt>
                <pt idx="308">
                  <formatCode>0.00%</formatCode>
                  <v>0.0132404864652805</v>
                </pt>
                <pt idx="309">
                  <formatCode>0.00%</formatCode>
                  <v>0</v>
                </pt>
                <pt idx="310">
                  <formatCode>0.00%</formatCode>
                  <v>0.06290759506371024</v>
                </pt>
                <pt idx="311">
                  <formatCode>0.00%</formatCode>
                  <v>0.0531705395825128</v>
                </pt>
                <pt idx="312">
                  <formatCode>0.00%</formatCode>
                  <v>0.07708271568336793</v>
                </pt>
                <pt idx="313">
                  <formatCode>0.00%</formatCode>
                  <v>0.05284157259634099</v>
                </pt>
                <pt idx="314">
                  <formatCode>0.00%</formatCode>
                  <v>0.05395859903855587</v>
                </pt>
                <pt idx="315">
                  <formatCode>0.00%</formatCode>
                  <v>0.0422397814847332</v>
                </pt>
                <pt idx="316">
                  <formatCode>0.00%</formatCode>
                  <v>0.07894998508501541</v>
                </pt>
                <pt idx="317">
                  <formatCode>0.00%</formatCode>
                  <v>0.07411096722781153</v>
                </pt>
                <pt idx="318">
                  <formatCode>0.00%</formatCode>
                  <v>0.01480038948393379</v>
                </pt>
                <pt idx="319">
                  <formatCode>0.00%</formatCode>
                  <v>0.03689206380272042</v>
                </pt>
                <pt idx="320">
                  <formatCode>0.00%</formatCode>
                  <v>0.02623172974542639</v>
                </pt>
                <pt idx="321">
                  <formatCode>0.00%</formatCode>
                  <v>0.04692025487545858</v>
                </pt>
                <pt idx="322">
                  <formatCode>0.00%</formatCode>
                  <v>0.01840664527090806</v>
                </pt>
                <pt idx="323">
                  <formatCode>0.00%</formatCode>
                  <v>-0.007666417352281227</v>
                </pt>
                <pt idx="324">
                  <formatCode>0.00%</formatCode>
                  <v>-0.04872006606110652</v>
                </pt>
                <pt idx="325">
                  <formatCode>0.00%</formatCode>
                  <v>-0.03734171365190868</v>
                </pt>
                <pt idx="326">
                  <formatCode>0.00%</formatCode>
                  <v>-0.01331099320487759</v>
                </pt>
                <pt idx="327">
                  <formatCode>0.00%</formatCode>
                  <v>0.01432047922126544</v>
                </pt>
                <pt idx="328">
                  <formatCode>0.00%</formatCode>
                  <v>0.00728043498295088</v>
                </pt>
                <pt idx="329">
                  <formatCode>0.00%</formatCode>
                  <v>0.01882592970416396</v>
                </pt>
                <pt idx="330">
                  <formatCode>0.00%</formatCode>
                  <v>0.04058721934369603</v>
                </pt>
                <pt idx="331">
                  <formatCode>0.00%</formatCode>
                  <v>0.04237448093620234</v>
                </pt>
                <pt idx="332">
                  <formatCode>0.00%</formatCode>
                  <v>0.03725712129786832</v>
                </pt>
                <pt idx="333">
                  <formatCode>0.00%</formatCode>
                  <v>0.02877167097012173</v>
                </pt>
                <pt idx="334">
                  <formatCode>0.00%</formatCode>
                  <v>0.04319214014273797</v>
                </pt>
                <pt idx="335">
                  <formatCode>0.00%</formatCode>
                  <v>0.04541172036932353</v>
                </pt>
                <pt idx="336">
                  <formatCode>0.00%</formatCode>
                  <v>0.1056134259259259</v>
                </pt>
                <pt idx="337">
                  <formatCode>0.00%</formatCode>
                  <v>0.08727796447431589</v>
                </pt>
                <pt idx="338">
                  <formatCode>0.00%</formatCode>
                  <v>-0.07698113207547169</v>
                </pt>
                <pt idx="339">
                  <formatCode>0.00%</formatCode>
                  <v>-0.3375472916858909</v>
                </pt>
                <pt idx="340">
                  <formatCode>0.00%</formatCode>
                  <v>-0.2177493138151876</v>
                </pt>
                <pt idx="341">
                  <formatCode>0.00%</formatCode>
                  <v>-0.04314582195521573</v>
                </pt>
                <pt idx="342">
                  <formatCode>0.00%</formatCode>
                  <v>0.01401567542646381</v>
                </pt>
                <pt idx="343">
                  <formatCode>0.00%</formatCode>
                  <v>0.01167949298325034</v>
                </pt>
                <pt idx="344">
                  <formatCode>0.00%</formatCode>
                  <v>0.0182777121033009</v>
                </pt>
                <pt idx="345">
                  <formatCode>0.00%</formatCode>
                  <v>0.005019720329867336</v>
                </pt>
                <pt idx="346">
                  <formatCode>0.00%</formatCode>
                  <v>-0.002310084406930253</v>
                </pt>
                <pt idx="347">
                  <formatCode>0.00%</formatCode>
                  <v>0.06362653208363374</v>
                </pt>
                <pt idx="348">
                  <formatCode>0.00%</formatCode>
                  <v>0.03245223763412719</v>
                </pt>
                <pt idx="349">
                  <formatCode>0.00%</formatCode>
                  <v>0.02454962910632285</v>
                </pt>
                <pt idx="350">
                  <formatCode>0.00%</formatCode>
                  <v>0.3460752248569092</v>
                </pt>
                <pt idx="351">
                  <formatCode>0.00%</formatCode>
                  <v>0.8513720573896085</v>
                </pt>
                <pt idx="352">
                  <formatCode>0.00%</formatCode>
                  <v>0.4598830409356725</v>
                </pt>
                <pt idx="353">
                  <formatCode>0.00%</formatCode>
                  <v>0.2926179604261796</v>
                </pt>
                <pt idx="354">
                  <formatCode>0.00%</formatCode>
                  <v>0.257888515049559</v>
                </pt>
                <pt idx="355">
                  <formatCode>0.00%</formatCode>
                  <v>0.2594415607660641</v>
                </pt>
                <pt idx="356">
                  <formatCode>0.00%</formatCode>
                  <v>0.2862118235399179</v>
                </pt>
                <pt idx="357">
                  <formatCode>0.00%</formatCode>
                  <v>0.3036032821976454</v>
                </pt>
                <pt idx="358">
                  <formatCode>0.00%</formatCode>
                  <v>0.2906759283996794</v>
                </pt>
                <pt idx="359">
                  <formatCode>0.00%</formatCode>
                  <v>0.2103880698186748</v>
                </pt>
                <pt idx="360">
                  <formatCode>0.00%</formatCode>
                  <v>0.2274609209970427</v>
                </pt>
                <pt idx="361">
                  <formatCode>0.00%</formatCode>
                  <v>0.2916738493363213</v>
                </pt>
                <pt idx="362">
                  <formatCode>0.00%</formatCode>
                  <v>0.1761579347000759</v>
                </pt>
                <pt idx="363">
                  <formatCode>0.00%</formatCode>
                  <v>0.1935896471296366</v>
                </pt>
                <pt idx="364">
                  <formatCode>0.00%</formatCode>
                  <v>0.242989905463868</v>
                </pt>
                <pt idx="365">
                  <formatCode>0.00%</formatCode>
                  <v>0.1856049455401825</v>
                </pt>
                <pt idx="366">
                  <formatCode>0.00%</formatCode>
                  <v>0.1492807055591701</v>
                </pt>
                <pt idx="367">
                  <formatCode>0.00%</formatCode>
                  <v>0.1322390392951041</v>
                </pt>
                <pt idx="368">
                  <formatCode>0.00%</formatCode>
                  <v>0.110324238005971</v>
                </pt>
                <pt idx="369">
                  <formatCode>0.00%</formatCode>
                  <v>0.1067323481116585</v>
                </pt>
                <pt idx="370">
                  <formatCode>0.00%</formatCode>
                  <v>0.1211619402470158</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a:prstDash val="solid"/>
            </a:ln>
          </spPr>
          <marker>
            <symbol val="none"/>
            <spPr>
              <a:ln xmlns:a="http://schemas.openxmlformats.org/drawingml/2006/main">
                <a:prstDash val="solid"/>
              </a:ln>
            </spPr>
          </marker>
          <cat>
            <numRef>
              <f>'Clothing and clothing access'!$A$7:$A$383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pt idx="370">
                  <v>44866</v>
                </pt>
              </numCache>
            </numRef>
          </cat>
          <val>
            <numRef>
              <f>'Clothing and clothing access'!$B$7:$B$383</f>
              <numCache>
                <formatCode>#,##0</formatCode>
                <ptCount val="377"/>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17351</v>
                </pt>
                <pt idx="217">
                  <v>17402</v>
                </pt>
                <pt idx="218">
                  <v>17908</v>
                </pt>
                <pt idx="219">
                  <v>17724</v>
                </pt>
                <pt idx="220">
                  <v>17656</v>
                </pt>
                <pt idx="221">
                  <v>17495</v>
                </pt>
                <pt idx="222">
                  <v>17573</v>
                </pt>
                <pt idx="223">
                  <v>17643</v>
                </pt>
                <pt idx="224">
                  <v>17705</v>
                </pt>
                <pt idx="225">
                  <v>18002</v>
                </pt>
                <pt idx="226">
                  <v>18420</v>
                </pt>
                <pt idx="227">
                  <v>18206</v>
                </pt>
                <pt idx="228">
                  <v>18351</v>
                </pt>
                <pt idx="229">
                  <v>18594</v>
                </pt>
                <pt idx="230">
                  <v>18706</v>
                </pt>
                <pt idx="231">
                  <v>18946</v>
                </pt>
                <pt idx="232">
                  <v>18831</v>
                </pt>
                <pt idx="233">
                  <v>19187</v>
                </pt>
                <pt idx="234">
                  <v>18998</v>
                </pt>
                <pt idx="235">
                  <v>18902</v>
                </pt>
                <pt idx="236">
                  <v>19514</v>
                </pt>
                <pt idx="237">
                  <v>19128</v>
                </pt>
                <pt idx="238">
                  <v>19292</v>
                </pt>
                <pt idx="239">
                  <v>19512</v>
                </pt>
                <pt idx="240">
                  <v>19564</v>
                </pt>
                <pt idx="241">
                  <v>20275</v>
                </pt>
                <pt idx="242">
                  <v>20063</v>
                </pt>
                <pt idx="243">
                  <v>19540</v>
                </pt>
                <pt idx="244">
                  <v>19633</v>
                </pt>
                <pt idx="245">
                  <v>19860</v>
                </pt>
                <pt idx="246">
                  <v>19701</v>
                </pt>
                <pt idx="247">
                  <v>19947</v>
                </pt>
                <pt idx="248">
                  <v>20118</v>
                </pt>
                <pt idx="249">
                  <v>19911</v>
                </pt>
                <pt idx="250">
                  <v>19989</v>
                </pt>
                <pt idx="251">
                  <v>20196</v>
                </pt>
                <pt idx="252">
                  <v>20427</v>
                </pt>
                <pt idx="253">
                  <v>20324</v>
                </pt>
                <pt idx="254">
                  <v>20345</v>
                </pt>
                <pt idx="255">
                  <v>20490</v>
                </pt>
                <pt idx="256">
                  <v>20403</v>
                </pt>
                <pt idx="257">
                  <v>20369</v>
                </pt>
                <pt idx="258">
                  <v>20579</v>
                </pt>
                <pt idx="259">
                  <v>20336</v>
                </pt>
                <pt idx="260">
                  <v>20327</v>
                </pt>
                <pt idx="261">
                  <v>20770</v>
                </pt>
                <pt idx="262">
                  <v>20271</v>
                </pt>
                <pt idx="263">
                  <v>20584</v>
                </pt>
                <pt idx="264">
                  <v>20538</v>
                </pt>
                <pt idx="265">
                  <v>20554</v>
                </pt>
                <pt idx="266">
                  <v>20686</v>
                </pt>
                <pt idx="267">
                  <v>21166</v>
                </pt>
                <pt idx="268">
                  <v>20775</v>
                </pt>
                <pt idx="269">
                  <v>20827</v>
                </pt>
                <pt idx="270">
                  <v>20929</v>
                </pt>
                <pt idx="271">
                  <v>21076</v>
                </pt>
                <pt idx="272">
                  <v>20820</v>
                </pt>
                <pt idx="273">
                  <v>21157</v>
                </pt>
                <pt idx="274">
                  <v>21379</v>
                </pt>
                <pt idx="275">
                  <v>21319</v>
                </pt>
                <pt idx="276">
                  <v>21055</v>
                </pt>
                <pt idx="277">
                  <v>21333</v>
                </pt>
                <pt idx="278">
                  <v>21394</v>
                </pt>
                <pt idx="279">
                  <v>21474</v>
                </pt>
                <pt idx="280">
                  <v>21635</v>
                </pt>
                <pt idx="281">
                  <v>21385</v>
                </pt>
                <pt idx="282">
                  <v>21601</v>
                </pt>
                <pt idx="283">
                  <v>21653</v>
                </pt>
                <pt idx="284">
                  <v>21462</v>
                </pt>
                <pt idx="285">
                  <v>21303</v>
                </pt>
                <pt idx="286">
                  <v>21341</v>
                </pt>
                <pt idx="287">
                  <v>21547</v>
                </pt>
                <pt idx="288">
                  <v>21325</v>
                </pt>
                <pt idx="289">
                  <v>22000</v>
                </pt>
                <pt idx="290">
                  <v>21513</v>
                </pt>
                <pt idx="291">
                  <v>21439</v>
                </pt>
                <pt idx="292">
                  <v>21572</v>
                </pt>
                <pt idx="293">
                  <v>21706</v>
                </pt>
                <pt idx="294">
                  <v>21471</v>
                </pt>
                <pt idx="295">
                  <v>21837</v>
                </pt>
                <pt idx="296">
                  <v>21946</v>
                </pt>
                <pt idx="297">
                  <v>21739</v>
                </pt>
                <pt idx="298">
                  <v>21536</v>
                </pt>
                <pt idx="299">
                  <v>21999</v>
                </pt>
                <pt idx="300">
                  <v>22061</v>
                </pt>
                <pt idx="301">
                  <v>21694</v>
                </pt>
                <pt idx="302">
                  <v>21821</v>
                </pt>
                <pt idx="303">
                  <v>21797</v>
                </pt>
                <pt idx="304">
                  <v>21601</v>
                </pt>
                <pt idx="305">
                  <v>21768</v>
                </pt>
                <pt idx="306">
                  <v>21626</v>
                </pt>
                <pt idx="307">
                  <v>21810</v>
                </pt>
                <pt idx="308">
                  <v>21864</v>
                </pt>
                <pt idx="309">
                  <v>21792</v>
                </pt>
                <pt idx="310">
                  <v>21987</v>
                </pt>
                <pt idx="311">
                  <v>21793</v>
                </pt>
                <pt idx="312">
                  <v>21874</v>
                </pt>
                <pt idx="313">
                  <v>22449</v>
                </pt>
                <pt idx="314">
                  <v>21778</v>
                </pt>
                <pt idx="315">
                  <v>22169</v>
                </pt>
                <pt idx="316">
                  <v>22820</v>
                </pt>
                <pt idx="317">
                  <v>22256</v>
                </pt>
                <pt idx="318">
                  <v>22704</v>
                </pt>
                <pt idx="319">
                  <v>22229</v>
                </pt>
                <pt idx="320">
                  <v>22104</v>
                </pt>
                <pt idx="321">
                  <v>22560</v>
                </pt>
                <pt idx="322">
                  <v>22531</v>
                </pt>
                <pt idx="323">
                  <v>22200</v>
                </pt>
                <pt idx="324">
                  <v>22176</v>
                </pt>
                <pt idx="325">
                  <v>22194</v>
                </pt>
                <pt idx="326">
                  <v>22566</v>
                </pt>
                <pt idx="327">
                  <v>22515</v>
                </pt>
                <pt idx="328">
                  <v>22215</v>
                </pt>
                <pt idx="329">
                  <v>22167</v>
                </pt>
                <pt idx="330">
                  <v>22569</v>
                </pt>
                <pt idx="331">
                  <v>22615</v>
                </pt>
                <pt idx="332">
                  <v>22376</v>
                </pt>
                <pt idx="333">
                  <v>22417</v>
                </pt>
                <pt idx="334">
                  <v>22184</v>
                </pt>
                <pt idx="335">
                  <v>23230</v>
                </pt>
                <pt idx="336">
                  <v>23009</v>
                </pt>
                <pt idx="337">
                  <v>22735</v>
                </pt>
                <pt idx="338">
                  <v>11477</v>
                </pt>
                <pt idx="339">
                  <v>2866</v>
                </pt>
                <pt idx="340">
                  <v>8288</v>
                </pt>
                <pt idx="341">
                  <v>17139</v>
                </pt>
                <pt idx="342">
                  <v>17912</v>
                </pt>
                <pt idx="343">
                  <v>18400</v>
                </pt>
                <pt idx="344">
                  <v>20827</v>
                </pt>
                <pt idx="345">
                  <v>20303</v>
                </pt>
                <pt idx="346">
                  <v>19017</v>
                </pt>
                <pt idx="347">
                  <v>20007</v>
                </pt>
                <pt idx="348">
                  <v>21093</v>
                </pt>
                <pt idx="349">
                  <v>19904</v>
                </pt>
                <pt idx="350">
                  <v>24019</v>
                </pt>
                <pt idx="351">
                  <v>24070</v>
                </pt>
                <pt idx="352">
                  <v>24789</v>
                </pt>
                <pt idx="353">
                  <v>25799</v>
                </pt>
                <pt idx="354">
                  <v>25397</v>
                </pt>
                <pt idx="355">
                  <v>24874</v>
                </pt>
                <pt idx="356">
                  <v>25264</v>
                </pt>
                <pt idx="357">
                  <v>25420</v>
                </pt>
                <pt idx="358">
                  <v>26165</v>
                </pt>
                <pt idx="359">
                  <v>25051</v>
                </pt>
                <pt idx="360">
                  <v>25160</v>
                </pt>
                <pt idx="361">
                  <v>25481</v>
                </pt>
                <pt idx="362">
                  <v>26157</v>
                </pt>
                <pt idx="363">
                  <v>26166</v>
                </pt>
                <pt idx="364">
                  <v>25812</v>
                </pt>
                <pt idx="365">
                  <v>26004</v>
                </pt>
                <pt idx="366">
                  <v>25889</v>
                </pt>
                <pt idx="367">
                  <v>26145</v>
                </pt>
                <pt idx="368">
                  <v>26403</v>
                </pt>
                <pt idx="369">
                  <v>26409</v>
                </pt>
                <pt idx="370">
                  <v>26353</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YoY</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'Clothing and clothing access'!$A$19:$A$384</f>
              <numCache>
                <formatCode>[$-409]mmm\-yy;@</formatCode>
                <ptCount val="366"/>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pt idx="358">
                  <v>44866</v>
                </pt>
              </numCache>
            </numRef>
          </cat>
          <val>
            <numRef>
              <f>'Clothing and clothing access'!$D$19:$D$384</f>
              <numCache>
                <formatCode>0.00%</formatCode>
                <ptCount val="366"/>
                <pt idx="0">
                  <v>0.08902840675174969</v>
                </pt>
                <pt idx="1">
                  <v>0.04509884678747941</v>
                </pt>
                <pt idx="2">
                  <v>0.02554555796876616</v>
                </pt>
                <pt idx="3">
                  <v>0.04005272764145204</v>
                </pt>
                <pt idx="4">
                  <v>0.06468477703741671</v>
                </pt>
                <pt idx="5">
                  <v>0.05002521432173475</v>
                </pt>
                <pt idx="6">
                  <v>0.06387466104248267</v>
                </pt>
                <pt idx="7">
                  <v>0.0261315452125037</v>
                </pt>
                <pt idx="8">
                  <v>0.03890092574354934</v>
                </pt>
                <pt idx="9">
                  <v>0.02702968350697857</v>
                </pt>
                <pt idx="10">
                  <v>0.03959904724096864</v>
                </pt>
                <pt idx="11">
                  <v>0.0120178329133553</v>
                </pt>
                <pt idx="12">
                  <v>-0.01238068235516492</v>
                </pt>
                <pt idx="13">
                  <v>0.04305418719211822</v>
                </pt>
                <pt idx="14">
                  <v>0.08975393303751512</v>
                </pt>
                <pt idx="15">
                  <v>0.02895583503948523</v>
                </pt>
                <pt idx="16">
                  <v>0.00625842480261891</v>
                </pt>
                <pt idx="17">
                  <v>0.01930650273748919</v>
                </pt>
                <pt idx="18">
                  <v>0.007457755121306523</v>
                </pt>
                <pt idx="19">
                  <v>0.04161060926388622</v>
                </pt>
                <pt idx="20">
                  <v>0.01184946440420893</v>
                </pt>
                <pt idx="21">
                  <v>0.05273231888218968</v>
                </pt>
                <pt idx="22">
                  <v>0.0484964200477327</v>
                </pt>
                <pt idx="23">
                  <v>0.0488412181574411</v>
                </pt>
                <pt idx="24">
                  <v>0.04679425837320574</v>
                </pt>
                <pt idx="25">
                  <v>-0.0004722773212430339</v>
                </pt>
                <pt idx="26">
                  <v>0.004071811956320563</v>
                </pt>
                <pt idx="27">
                  <v>0.02292969490240667</v>
                </pt>
                <pt idx="28">
                  <v>0.05023442732752847</v>
                </pt>
                <pt idx="29">
                  <v>0.0316622691292876</v>
                </pt>
                <pt idx="30">
                  <v>0.01424287856071964</v>
                </pt>
                <pt idx="31">
                  <v>-0.002398745271704032</v>
                </pt>
                <pt idx="32">
                  <v>0.04909124976578602</v>
                </pt>
                <pt idx="33">
                  <v>-0.01072727272727273</v>
                </pt>
                <pt idx="34">
                  <v>0.02604024401347537</v>
                </pt>
                <pt idx="35">
                  <v>0.01570489408327246</v>
                </pt>
                <pt idx="36">
                  <v>0.0151750617058232</v>
                </pt>
                <pt idx="37">
                  <v>0.07172557172557173</v>
                </pt>
                <pt idx="38">
                  <v>0.04847926267281106</v>
                </pt>
                <pt idx="39">
                  <v>0.05798443868099296</v>
                </pt>
                <pt idx="40">
                  <v>0.04810495626822157</v>
                </pt>
                <pt idx="41">
                  <v>0.03808914870295944</v>
                </pt>
                <pt idx="42">
                  <v>0.04545454545454546</v>
                </pt>
                <pt idx="43">
                  <v>0.05058725608064367</v>
                </pt>
                <pt idx="44">
                  <v>0.03000535809966065</v>
                </pt>
                <pt idx="45">
                  <v>0.06386693622495865</v>
                </pt>
                <pt idx="46">
                  <v>0.004348211908776289</v>
                </pt>
                <pt idx="47">
                  <v>0.02795756921970514</v>
                </pt>
                <pt idx="48">
                  <v>0.03674020711391265</v>
                </pt>
                <pt idx="49">
                  <v>0.01119830702759898</v>
                </pt>
                <pt idx="50">
                  <v>0.02171237693389592</v>
                </pt>
                <pt idx="51">
                  <v>-0.01987392750831728</v>
                </pt>
                <pt idx="52">
                  <v>-0.00791029207232267</v>
                </pt>
                <pt idx="53">
                  <v>0.02446106467223933</v>
                </pt>
                <pt idx="54">
                  <v>0.03702721809826794</v>
                </pt>
                <pt idx="55">
                  <v>0.04119718309859155</v>
                </pt>
                <pt idx="56">
                  <v>0.0269637593202705</v>
                </pt>
                <pt idx="57">
                  <v>0.02625896173447352</v>
                </pt>
                <pt idx="58">
                  <v>0.05460328679978795</v>
                </pt>
                <pt idx="59">
                  <v>0.05902929602098819</v>
                </pt>
                <pt idx="60">
                  <v>0.05567619213063493</v>
                </pt>
                <pt idx="61">
                  <v>0.06374258807115452</v>
                </pt>
                <pt idx="62">
                  <v>0.04654564226103416</v>
                </pt>
                <pt idx="63">
                  <v>0.1129075480125056</v>
                </pt>
                <pt idx="64">
                  <v>0.07806886883378604</v>
                </pt>
                <pt idx="65">
                  <v>0.06905436743107446</v>
                </pt>
                <pt idx="66">
                  <v>0.07021729867916489</v>
                </pt>
                <pt idx="67">
                  <v>0.05343253297260737</v>
                </pt>
                <pt idx="68">
                  <v>0.02828197551709582</v>
                </pt>
                <pt idx="69">
                  <v>0.05546671155626631</v>
                </pt>
                <pt idx="70">
                  <v>0.06702412868632708</v>
                </pt>
                <pt idx="71">
                  <v>0.05251857968620974</v>
                </pt>
                <pt idx="72">
                  <v>0.06113213756787889</v>
                </pt>
                <pt idx="73">
                  <v>0.05910320518075252</v>
                </pt>
                <pt idx="74">
                  <v>0.07489312726076948</v>
                </pt>
                <pt idx="75">
                  <v>0.05457901918291998</v>
                </pt>
                <pt idx="76">
                  <v>0.08688231469440832</v>
                </pt>
                <pt idx="77">
                  <v>0.07439543665140194</v>
                </pt>
                <pt idx="78">
                  <v>0.05661278764232821</v>
                </pt>
                <pt idx="79">
                  <v>0.07576243980738363</v>
                </pt>
                <pt idx="80">
                  <v>0.09860426929392446</v>
                </pt>
                <pt idx="81">
                  <v>0.0685805422647528</v>
                </pt>
                <pt idx="82">
                  <v>0.05339195979899498</v>
                </pt>
                <pt idx="83">
                  <v>0.0648831005805743</v>
                </pt>
                <pt idx="84">
                  <v>0.03132511436768241</v>
                </pt>
                <pt idx="85">
                  <v>0.04736842105263158</v>
                </pt>
                <pt idx="86">
                  <v>0.05682600382409178</v>
                </pt>
                <pt idx="87">
                  <v>0.05038435192937057</v>
                </pt>
                <pt idx="88">
                  <v>0.04890450908547073</v>
                </pt>
                <pt idx="89">
                  <v>0.03671577058251701</v>
                </pt>
                <pt idx="90">
                  <v>0.03406179351921627</v>
                </pt>
                <pt idx="91">
                  <v>0.0498358698895852</v>
                </pt>
                <pt idx="92">
                  <v>0.07361183768029295</v>
                </pt>
                <pt idx="93">
                  <v>0.06201492537313433</v>
                </pt>
                <pt idx="94">
                  <v>0.06544424567680382</v>
                </pt>
                <pt idx="95">
                  <v>0.03764827230531202</v>
                </pt>
                <pt idx="96">
                  <v>0.06270205247725735</v>
                </pt>
                <pt idx="97">
                  <v>0.04685190659178244</v>
                </pt>
                <pt idx="98">
                  <v>-0.001230279345780865</v>
                </pt>
                <pt idx="99">
                  <v>0.0301427432794725</v>
                </pt>
                <pt idx="100">
                  <v>-0.005489413274399372</v>
                </pt>
                <pt idx="101">
                  <v>-0.004327755337564916</v>
                </pt>
                <pt idx="102">
                  <v>0.01982218335519604</v>
                </pt>
                <pt idx="103">
                  <v>0.007035247299602047</v>
                </pt>
                <pt idx="104">
                  <v>-0.07517750243630796</v>
                </pt>
                <pt idx="105">
                  <v>-0.01812943573887991</v>
                </pt>
                <pt idx="106">
                  <v>-0.02266685322512943</v>
                </pt>
                <pt idx="107">
                  <v>0.002982107355864811</v>
                </pt>
                <pt idx="108">
                  <v>0.006013441811107181</v>
                </pt>
                <pt idx="109">
                  <v>0.01348298743470281</v>
                </pt>
                <pt idx="110">
                  <v>0.0460111586116948</v>
                </pt>
                <pt idx="111">
                  <v>0.01357529717943307</v>
                </pt>
                <pt idx="112">
                  <v>0.01935483870967742</v>
                </pt>
                <pt idx="113">
                  <v>0.04071283685888148</v>
                </pt>
                <pt idx="114">
                  <v>0.01472059454051737</v>
                </pt>
                <pt idx="115">
                  <v>0.0117846305835862</v>
                </pt>
                <pt idx="116">
                  <v>0.05118169501731146</v>
                </pt>
                <pt idx="117">
                  <v>0.0466614184498676</v>
                </pt>
                <pt idx="118">
                  <v>0.03478883321403006</v>
                </pt>
                <pt idx="119">
                  <v>0.04162537165510406</v>
                </pt>
                <pt idx="120">
                  <v>0.02426160337552742</v>
                </pt>
                <pt idx="121">
                  <v>-0.01497527338580483</v>
                </pt>
                <pt idx="122">
                  <v>0.00200886672208368</v>
                </pt>
                <pt idx="123">
                  <v>0.001665510062456627</v>
                </pt>
                <pt idx="124">
                  <v>0.03030942334739803</v>
                </pt>
                <pt idx="125">
                  <v>0.03675344563552833</v>
                </pt>
                <pt idx="126">
                  <v>0.06626760563380282</v>
                </pt>
                <pt idx="127">
                  <v>0.05237829543869438</v>
                </pt>
                <pt idx="128">
                  <v>0.08656737791780038</v>
                </pt>
                <pt idx="129">
                  <v>0.03022222222222222</v>
                </pt>
                <pt idx="130">
                  <v>0.06101272827891533</v>
                </pt>
                <pt idx="131">
                  <v>0.05042816365366318</v>
                </pt>
                <pt idx="132">
                  <v>0.0650875386199794</v>
                </pt>
                <pt idx="133">
                  <v>0.1092490453966907</v>
                </pt>
                <pt idx="134">
                  <v>0.1050120981679917</v>
                </pt>
                <pt idx="135">
                  <v>0.07849521962034087</v>
                </pt>
                <pt idx="136">
                  <v>0.0740563784042045</v>
                </pt>
                <pt idx="137">
                  <v>0.04438028736403921</v>
                </pt>
                <pt idx="138">
                  <v>0.0332871012482663</v>
                </pt>
                <pt idx="139">
                  <v>0.037842136655842</v>
                </pt>
                <pt idx="140">
                  <v>0.03881383855024712</v>
                </pt>
                <pt idx="141">
                  <v>0.06557377049180328</v>
                </pt>
                <pt idx="142">
                  <v>0.04602946929195462</v>
                </pt>
                <pt idx="143">
                  <v>0.04703674948240166</v>
                </pt>
                <pt idx="144">
                  <v>0.03945078321407852</v>
                </pt>
                <pt idx="145">
                  <v>0.06291834002677377</v>
                </pt>
                <pt idx="146">
                  <v>0.01933183183183183</v>
                </pt>
                <pt idx="147">
                  <v>0.06867090640457378</v>
                </pt>
                <pt idx="148">
                  <v>0.04944077275038129</v>
                </pt>
                <pt idx="149">
                  <v>0.08158148505303761</v>
                </pt>
                <pt idx="150">
                  <v>0.05145413870246085</v>
                </pt>
                <pt idx="151">
                  <v>0.07017879948914432</v>
                </pt>
                <pt idx="152">
                  <v>0.04351687388987566</v>
                </pt>
                <pt idx="153">
                  <v>0.06633447524135783</v>
                </pt>
                <pt idx="154">
                  <v>0.06843679880329095</v>
                </pt>
                <pt idx="155">
                  <v>0.06327627757523327</v>
                </pt>
                <pt idx="156">
                  <v>0.07479069767441861</v>
                </pt>
                <pt idx="157">
                  <v>0.04258126424373276</v>
                </pt>
                <pt idx="158">
                  <v>0.06702264776284293</v>
                </pt>
                <pt idx="159">
                  <v>0.05446020678047608</v>
                </pt>
                <pt idx="160">
                  <v>0.05922247789754148</v>
                </pt>
                <pt idx="161">
                  <v>0.05212791250594389</v>
                </pt>
                <pt idx="162">
                  <v>0.07544072948328268</v>
                </pt>
                <pt idx="163">
                  <v>0.05227042186287965</v>
                </pt>
                <pt idx="164">
                  <v>0.1097872340425532</v>
                </pt>
                <pt idx="165">
                  <v>0.05876168224299065</v>
                </pt>
                <pt idx="166">
                  <v>0.0448022401120056</v>
                </pt>
                <pt idx="167">
                  <v>0.07496948916138781</v>
                </pt>
                <pt idx="168">
                  <v>0.06704748716173331</v>
                </pt>
                <pt idx="169">
                  <v>0.04371836171191901</v>
                </pt>
                <pt idx="170">
                  <v>0.07236123094621801</v>
                </pt>
                <pt idx="171">
                  <v>0.03688290958841637</v>
                </pt>
                <pt idx="172">
                  <v>0.06019894809055568</v>
                </pt>
                <pt idx="173">
                  <v>0.03881136658945823</v>
                </pt>
                <pt idx="174">
                  <v>0.04697303713752755</v>
                </pt>
                <pt idx="175">
                  <v>0.04853983555429543</v>
                </pt>
                <pt idx="176">
                  <v>0.008545135845749343</v>
                </pt>
                <pt idx="177">
                  <v>0.01682665783956747</v>
                </pt>
                <pt idx="178">
                  <v>0.0474036850921273</v>
                </pt>
                <pt idx="179">
                  <v>0.003946585932853976</v>
                </pt>
                <pt idx="180">
                  <v>0.002649651219380306</v>
                </pt>
                <pt idx="181">
                  <v>0.007495590828924162</v>
                </pt>
                <pt idx="182">
                  <v>-0.01636002789250657</v>
                </pt>
                <pt idx="183">
                  <v>0.01072076529770741</v>
                </pt>
                <pt idx="184">
                  <v>0.005230520355891076</v>
                </pt>
                <pt idx="185">
                  <v>0.01740265390472047</v>
                </pt>
                <pt idx="186">
                  <v>0.006100853039628549</v>
                </pt>
                <pt idx="187">
                  <v>0.001784651992861392</v>
                </pt>
                <pt idx="188">
                  <v>-0.04627416902020422</v>
                </pt>
                <pt idx="189">
                  <v>-0.06044164722478433</v>
                </pt>
                <pt idx="190">
                  <v>-0.08454608454608455</v>
                </pt>
                <pt idx="191">
                  <v>-0.09165320409262251</v>
                </pt>
                <pt idx="192">
                  <v>-0.07458742314744904</v>
                </pt>
                <pt idx="193">
                  <v>-0.04808533916849015</v>
                </pt>
                <pt idx="194">
                  <v>-0.09968371687206892</v>
                </pt>
                <pt idx="195">
                  <v>-0.08072236727589208</v>
                </pt>
                <pt idx="196">
                  <v>-0.08604227014268856</v>
                </pt>
                <pt idx="197">
                  <v>-0.1010797519777635</v>
                </pt>
                <pt idx="198">
                  <v>-0.08693319023343171</v>
                </pt>
                <pt idx="199">
                  <v>-0.06969337076225438</v>
                </pt>
                <pt idx="200">
                  <v>-0.02209567198177676</v>
                </pt>
                <pt idx="201">
                  <v>-0.001212681180343015</v>
                </pt>
                <pt idx="202">
                  <v>-0.003959704186804868</v>
                </pt>
                <pt idx="203">
                  <v>0.01535451742945222</v>
                </pt>
                <pt idx="204">
                  <v>0.01118946325543447</v>
                </pt>
                <pt idx="205">
                  <v>5.746796161140164e-05</v>
                </pt>
                <pt idx="206">
                  <v>0.08467595396729255</v>
                </pt>
                <pt idx="207">
                  <v>0.04875739644970414</v>
                </pt>
                <pt idx="208">
                  <v>0.03627186289470595</v>
                </pt>
                <pt idx="209">
                  <v>0.04031634655408218</v>
                </pt>
                <pt idx="210">
                  <v>0.03279459300617103</v>
                </pt>
                <pt idx="211">
                  <v>0.02379156269947194</v>
                </pt>
                <pt idx="212">
                  <v>0.03103890053575588</v>
                </pt>
                <pt idx="213">
                  <v>0.04081868640148011</v>
                </pt>
                <pt idx="214">
                  <v>0.07687810581701257</v>
                </pt>
                <pt idx="215">
                  <v>0.06299994161265837</v>
                </pt>
                <pt idx="216">
                  <v>0.05763356578871535</v>
                </pt>
                <pt idx="217">
                  <v>0.06849787380760831</v>
                </pt>
                <pt idx="218">
                  <v>0.04456109001563547</v>
                </pt>
                <pt idx="219">
                  <v>0.06894606183705709</v>
                </pt>
                <pt idx="220">
                  <v>0.06654961486180336</v>
                </pt>
                <pt idx="221">
                  <v>0.09671334667047728</v>
                </pt>
                <pt idx="222">
                  <v>0.08109030899675639</v>
                </pt>
                <pt idx="223">
                  <v>0.07135974607493056</v>
                </pt>
                <pt idx="224">
                  <v>0.1021745269697825</v>
                </pt>
                <pt idx="225">
                  <v>0.06254860571047662</v>
                </pt>
                <pt idx="226">
                  <v>0.04733984799131379</v>
                </pt>
                <pt idx="227">
                  <v>0.07173459299132154</v>
                </pt>
                <pt idx="228">
                  <v>0.06609994005776251</v>
                </pt>
                <pt idx="229">
                  <v>0.09040550715284501</v>
                </pt>
                <pt idx="230">
                  <v>0.07254356890837164</v>
                </pt>
                <pt idx="231">
                  <v>0.03135226433020163</v>
                </pt>
                <pt idx="232">
                  <v>0.04258934735276937</v>
                </pt>
                <pt idx="233">
                  <v>0.03507583259498619</v>
                </pt>
                <pt idx="234">
                  <v>0.03700389514685756</v>
                </pt>
                <pt idx="235">
                  <v>0.05528515501005184</v>
                </pt>
                <pt idx="236">
                  <v>0.03095213692733422</v>
                </pt>
                <pt idx="237">
                  <v>0.04093475533249687</v>
                </pt>
                <pt idx="238">
                  <v>0.0361289653742484</v>
                </pt>
                <pt idx="239">
                  <v>0.03505535055350553</v>
                </pt>
                <pt idx="240">
                  <v>0.04411163361275813</v>
                </pt>
                <pt idx="241">
                  <v>0.002416769420468557</v>
                </pt>
                <pt idx="242">
                  <v>0.01405572446792603</v>
                </pt>
                <pt idx="243">
                  <v>0.04861821903787104</v>
                </pt>
                <pt idx="244">
                  <v>0.03921968114908572</v>
                </pt>
                <pt idx="245">
                  <v>0.0256294058408862</v>
                </pt>
                <pt idx="246">
                  <v>0.04456626567179331</v>
                </pt>
                <pt idx="247">
                  <v>0.01950167945054394</v>
                </pt>
                <pt idx="248">
                  <v>0.01038870663087782</v>
                </pt>
                <pt idx="249">
                  <v>0.04314198181909498</v>
                </pt>
                <pt idx="250">
                  <v>0.01410775926759718</v>
                </pt>
                <pt idx="251">
                  <v>0.01921172509407804</v>
                </pt>
                <pt idx="252">
                  <v>0.005433984432368924</v>
                </pt>
                <pt idx="253">
                  <v>0.01131666994686085</v>
                </pt>
                <pt idx="254">
                  <v>0.01676087490783976</v>
                </pt>
                <pt idx="255">
                  <v>0.03299170326988775</v>
                </pt>
                <pt idx="256">
                  <v>0.01823261285105131</v>
                </pt>
                <pt idx="257">
                  <v>0.02248514900093279</v>
                </pt>
                <pt idx="258">
                  <v>0.01700762913649837</v>
                </pt>
                <pt idx="259">
                  <v>0.03638867033831629</v>
                </pt>
                <pt idx="260">
                  <v>0.02425345599449009</v>
                </pt>
                <pt idx="261">
                  <v>0.01863264323543572</v>
                </pt>
                <pt idx="262">
                  <v>0.05465936559617187</v>
                </pt>
                <pt idx="263">
                  <v>0.03570734551107656</v>
                </pt>
                <pt idx="264">
                  <v>0.02517285032622456</v>
                </pt>
                <pt idx="265">
                  <v>0.03790016541792352</v>
                </pt>
                <pt idx="266">
                  <v>0.03422604660156628</v>
                </pt>
                <pt idx="267">
                  <v>0.01455163942171407</v>
                </pt>
                <pt idx="268">
                  <v>0.04139590854392299</v>
                </pt>
                <pt idx="269">
                  <v>0.02679214481202286</v>
                </pt>
                <pt idx="270">
                  <v>0.0321085575039419</v>
                </pt>
                <pt idx="271">
                  <v>0.02737711140633897</v>
                </pt>
                <pt idx="272">
                  <v>0.030835734870317</v>
                </pt>
                <pt idx="273">
                  <v>0.006900789336862504</v>
                </pt>
                <pt idx="274">
                  <v>-0.001777445156461949</v>
                </pt>
                <pt idx="275">
                  <v>0.01069468549181481</v>
                </pt>
                <pt idx="276">
                  <v>0.01282355734979815</v>
                </pt>
                <pt idx="277">
                  <v>0.03126611353302396</v>
                </pt>
                <pt idx="278">
                  <v>0.005562307188931476</v>
                </pt>
                <pt idx="279">
                  <v>-0.001629877991990314</v>
                </pt>
                <pt idx="280">
                  <v>-0.002911948232031431</v>
                </pt>
                <pt idx="281">
                  <v>0.01501052139350012</v>
                </pt>
                <pt idx="282">
                  <v>-0.006018239896301097</v>
                </pt>
                <pt idx="283">
                  <v>0.008497667759663787</v>
                </pt>
                <pt idx="284">
                  <v>0.02255148634796384</v>
                </pt>
                <pt idx="285">
                  <v>0.02046660094822325</v>
                </pt>
                <pt idx="286">
                  <v>0.009137341267981819</v>
                </pt>
                <pt idx="287">
                  <v>0.02097739824569545</v>
                </pt>
                <pt idx="288">
                  <v>0.03451348182883939</v>
                </pt>
                <pt idx="289">
                  <v>-0.01390909090909091</v>
                </pt>
                <pt idx="290">
                  <v>0.0143169246502115</v>
                </pt>
                <pt idx="291">
                  <v>0.01669854004384533</v>
                </pt>
                <pt idx="292">
                  <v>0.001344335249397367</v>
                </pt>
                <pt idx="293">
                  <v>0.002856353082097116</v>
                </pt>
                <pt idx="294">
                  <v>0.007219039634856318</v>
                </pt>
                <pt idx="295">
                  <v>-0.001236433576040665</v>
                </pt>
                <pt idx="296">
                  <v>-0.003736443998906407</v>
                </pt>
                <pt idx="297">
                  <v>0.002438014628087768</v>
                </pt>
                <pt idx="298">
                  <v>0.02094167904903417</v>
                </pt>
                <pt idx="299">
                  <v>-0.009364062002818309</v>
                </pt>
                <pt idx="300">
                  <v>-0.008476496985630751</v>
                </pt>
                <pt idx="301">
                  <v>0.03480224946989951</v>
                </pt>
                <pt idx="302">
                  <v>-0.001970578800238302</v>
                </pt>
                <pt idx="303">
                  <v>0.01706656879387072</v>
                </pt>
                <pt idx="304">
                  <v>0.0564325725660849</v>
                </pt>
                <pt idx="305">
                  <v>0.02241822859242925</v>
                </pt>
                <pt idx="306">
                  <v>0.04984740590030519</v>
                </pt>
                <pt idx="307">
                  <v>0.0192113709307657</v>
                </pt>
                <pt idx="308">
                  <v>0.01097694840834248</v>
                </pt>
                <pt idx="309">
                  <v>0.03524229074889868</v>
                </pt>
                <pt idx="310">
                  <v>0.02474189293673534</v>
                </pt>
                <pt idx="311">
                  <v>0.01867572156196944</v>
                </pt>
                <pt idx="312">
                  <v>0.01380634543293408</v>
                </pt>
                <pt idx="313">
                  <v>-0.01135908058265402</v>
                </pt>
                <pt idx="314">
                  <v>0.03618330425199743</v>
                </pt>
                <pt idx="315">
                  <v>0.01560737967432</v>
                </pt>
                <pt idx="316">
                  <v>-0.02651183172655565</v>
                </pt>
                <pt idx="317">
                  <v>-0.003998921639108555</v>
                </pt>
                <pt idx="318">
                  <v>-0.005946088794926004</v>
                </pt>
                <pt idx="319">
                  <v>0.01736470376535157</v>
                </pt>
                <pt idx="320">
                  <v>0.01230546507419472</v>
                </pt>
                <pt idx="321">
                  <v>-0.006338652482269503</v>
                </pt>
                <pt idx="322">
                  <v>-0.0154010030624473</v>
                </pt>
                <pt idx="323">
                  <v>0.04639639639639639</v>
                </pt>
                <pt idx="324">
                  <v>0.03756313131313131</v>
                </pt>
                <pt idx="325">
                  <v>0.0243759574659818</v>
                </pt>
                <pt idx="326">
                  <v>-0.4914029956571834</v>
                </pt>
                <pt idx="327">
                  <v>-0.8727070841661115</v>
                </pt>
                <pt idx="328">
                  <v>-0.6269187485932928</v>
                </pt>
                <pt idx="329">
                  <v>-0.226823656787116</v>
                </pt>
                <pt idx="330">
                  <v>-0.2063449864858877</v>
                </pt>
                <pt idx="331">
                  <v>-0.1863807207605571</v>
                </pt>
                <pt idx="332">
                  <v>-0.06922595638183768</v>
                </pt>
                <pt idx="333">
                  <v>-0.09430343043226123</v>
                </pt>
                <pt idx="334">
                  <v>-0.1427605481428056</v>
                </pt>
                <pt idx="335">
                  <v>-0.1387430047352561</v>
                </pt>
                <pt idx="336">
                  <v>-0.08327176322308662</v>
                </pt>
                <pt idx="337">
                  <v>-0.1245216626347042</v>
                </pt>
                <pt idx="338">
                  <v>1.092794284220615</v>
                </pt>
                <pt idx="339">
                  <v>7.398464759246337</v>
                </pt>
                <pt idx="340">
                  <v>1.990950772200772</v>
                </pt>
                <pt idx="341">
                  <v>0.5052803547464846</v>
                </pt>
                <pt idx="342">
                  <v>0.4178762840553819</v>
                </pt>
                <pt idx="343">
                  <v>0.3518478260869565</v>
                </pt>
                <pt idx="344">
                  <v>0.2130407643923753</v>
                </pt>
                <pt idx="345">
                  <v>0.2520317194503275</v>
                </pt>
                <pt idx="346">
                  <v>0.3758742178051218</v>
                </pt>
                <pt idx="347">
                  <v>0.2521117608836907</v>
                </pt>
                <pt idx="348">
                  <v>0.1928127814914901</v>
                </pt>
                <pt idx="349">
                  <v>0.2801949356913183</v>
                </pt>
                <pt idx="350">
                  <v>0.08901286481535452</v>
                </pt>
                <pt idx="351">
                  <v>0.0870793518903199</v>
                </pt>
                <pt idx="352">
                  <v>0.04126830448989471</v>
                </pt>
                <pt idx="353">
                  <v>0.007946044420326369</v>
                </pt>
                <pt idx="354">
                  <v>0.01937236681497815</v>
                </pt>
                <pt idx="355">
                  <v>0.05109753155905765</v>
                </pt>
                <pt idx="356">
                  <v>0.04508391386953768</v>
                </pt>
                <pt idx="357">
                  <v>0.03890637293469709</v>
                </pt>
                <pt idx="358">
                  <v>0.007185171030001911</v>
                </pt>
              </numCache>
            </numRef>
          </val>
          <smooth val="0"/>
        </ser>
        <dLbls>
          <showLegendKey val="0"/>
          <showVal val="0"/>
          <showCatName val="0"/>
          <showSerName val="0"/>
          <showPercent val="0"/>
          <showBubbleSize val="0"/>
        </dLbls>
        <smooth val="0"/>
        <axId val="1096245423"/>
        <axId val="1096247071"/>
      </lineChart>
      <dateAx>
        <axId val="109624542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6247071"/>
        <crosses val="autoZero"/>
        <lblOffset val="100"/>
        <baseTimeUnit val="months"/>
      </dateAx>
      <valAx>
        <axId val="1096247071"/>
        <scaling>
          <orientation val="minMax"/>
          <max val="8"/>
          <min val="-0.9"/>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6245423"/>
        <crosses val="autoZero"/>
        <crossBetween val="between"/>
        <majorUnit val="0.4"/>
        <minorUnit val="0.2"/>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264706</colOff>
      <row>346</row>
      <rowOff>48993</rowOff>
    </from>
    <to>
      <col>11</col>
      <colOff>521883</colOff>
      <row>363</row>
      <rowOff>29943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259943</colOff>
      <row>363</row>
      <rowOff>48993</rowOff>
    </from>
    <to>
      <col>11</col>
      <colOff>531407</colOff>
      <row>379</row>
      <rowOff>138453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26582</colOff>
      <row>363</row>
      <rowOff>11453</rowOff>
    </from>
    <to>
      <col>20</col>
      <colOff>148166</colOff>
      <row>379</row>
      <rowOff>190498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330200</colOff>
      <row>358</row>
      <rowOff>177800</rowOff>
    </from>
    <to>
      <col>16</col>
      <colOff>571499</colOff>
      <row>380</row>
      <rowOff>144461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346074</colOff>
      <row>335</row>
      <rowOff>63500</rowOff>
    </from>
    <to>
      <col>16</col>
      <colOff>558800</colOff>
      <row>358</row>
      <rowOff>23811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13</col>
      <colOff>365125</colOff>
      <row>338</row>
      <rowOff>46037</rowOff>
    </from>
    <to>
      <col>23</col>
      <colOff>666750</colOff>
      <row>359</row>
      <rowOff>55563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246062</colOff>
      <row>338</row>
      <rowOff>55563</rowOff>
    </from>
    <to>
      <col>13</col>
      <colOff>269875</colOff>
      <row>359</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239711</colOff>
      <row>359</row>
      <rowOff>114299</rowOff>
    </from>
    <to>
      <col>13</col>
      <colOff>293686</colOff>
      <row>379</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197907</colOff>
      <row>361</row>
      <rowOff>18520</rowOff>
    </from>
    <to>
      <col>14</col>
      <colOff>542396</colOff>
      <row>384</row>
      <rowOff>153458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223570</colOff>
      <row>360</row>
      <rowOff>181503</rowOff>
    </from>
    <to>
      <col>26</col>
      <colOff>71437</colOff>
      <row>384</row>
      <rowOff>174625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16</col>
      <colOff>614362</colOff>
      <row>354</row>
      <rowOff>34925</rowOff>
    </from>
    <to>
      <col>29</col>
      <colOff>301625</colOff>
      <row>380</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190499</colOff>
      <row>354</row>
      <rowOff>44449</rowOff>
    </from>
    <to>
      <col>16</col>
      <colOff>365124</colOff>
      <row>379</row>
      <rowOff>174625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16</col>
      <colOff>398462</colOff>
      <row>356</row>
      <rowOff>158750</rowOff>
    </from>
    <to>
      <col>28</col>
      <colOff>7938</colOff>
      <row>379</row>
      <rowOff>84138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196850</colOff>
      <row>356</row>
      <rowOff>123825</rowOff>
    </from>
    <to>
      <col>16</col>
      <colOff>31750</colOff>
      <row>379</row>
      <rowOff>79374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18</col>
      <colOff>96307</colOff>
      <row>351</row>
      <rowOff>42334</rowOff>
    </from>
    <to>
      <col>30</col>
      <colOff>554729</colOff>
      <row>379</row>
      <rowOff>118535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176211</colOff>
      <row>351</row>
      <rowOff>3172</rowOff>
    </from>
    <to>
      <col>17</col>
      <colOff>550333</colOff>
      <row>379</row>
      <rowOff>84667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14</col>
      <colOff>113769</colOff>
      <row>357</row>
      <rowOff>142725</rowOff>
    </from>
    <to>
      <col>24</col>
      <colOff>344714</colOff>
      <row>379</row>
      <rowOff>9072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150737</colOff>
      <row>357</row>
      <rowOff>145748</rowOff>
    </from>
    <to>
      <col>13</col>
      <colOff>625928</colOff>
      <row>379</row>
      <rowOff>9071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13</col>
      <colOff>462883</colOff>
      <row>359</row>
      <rowOff>131596</rowOff>
    </from>
    <to>
      <col>23</col>
      <colOff>78846</colOff>
      <row>380</row>
      <rowOff>24343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143990</colOff>
      <row>359</row>
      <rowOff>176490</rowOff>
    </from>
    <to>
      <col>13</col>
      <colOff>291042</colOff>
      <row>380</row>
      <rowOff>17464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16</col>
      <colOff>28572</colOff>
      <row>349</row>
      <rowOff>29482</rowOff>
    </from>
    <to>
      <col>27</col>
      <colOff>523875</colOff>
      <row>374</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88229</colOff>
      <row>349</row>
      <rowOff>55143</rowOff>
    </from>
    <to>
      <col>15</col>
      <colOff>390070</colOff>
      <row>374</row>
      <rowOff>154213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16</col>
      <colOff>212724</colOff>
      <row>354</row>
      <rowOff>186872</rowOff>
    </from>
    <to>
      <col>28</col>
      <colOff>266700</colOff>
      <row>379</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120648</colOff>
      <row>355</row>
      <rowOff>34924</rowOff>
    </from>
    <to>
      <col>15</col>
      <colOff>556986</colOff>
      <row>379</row>
      <rowOff>157843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14</col>
      <colOff>450850</colOff>
      <row>355</row>
      <rowOff>69852</rowOff>
    </from>
    <to>
      <col>25</col>
      <colOff>74083</colOff>
      <row>377</row>
      <rowOff>105833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230715</colOff>
      <row>355</row>
      <rowOff>88900</rowOff>
    </from>
    <to>
      <col>14</col>
      <colOff>306917</colOff>
      <row>377</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15</col>
      <colOff>209474</colOff>
      <row>353</row>
      <rowOff>149678</rowOff>
    </from>
    <to>
      <col>26</col>
      <colOff>95250</colOff>
      <row>376</row>
      <rowOff>148166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181579</colOff>
      <row>353</row>
      <rowOff>159052</rowOff>
    </from>
    <to>
      <col>15</col>
      <colOff>74084</colOff>
      <row>376</row>
      <rowOff>158751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12</col>
      <colOff>345035</colOff>
      <row>360</row>
      <rowOff>1014</rowOff>
    </from>
    <to>
      <col>20</col>
      <colOff>371928</colOff>
      <row>377</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191195</colOff>
      <row>360</row>
      <rowOff>9071</rowOff>
    </from>
    <to>
      <col>12</col>
      <colOff>254000</colOff>
      <row>377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15</col>
      <colOff>414458</colOff>
      <row>366</row>
      <rowOff>105036</rowOff>
    </from>
    <to>
      <col>25</col>
      <colOff>625928</colOff>
      <row>388</row>
      <rowOff>27214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150393</colOff>
      <row>366</row>
      <rowOff>90714</rowOff>
    </from>
    <to>
      <col>15</col>
      <colOff>290284</colOff>
      <row>388</row>
      <rowOff>54428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77" headerRowCount="1" totalsRowShown="0" headerRowDxfId="64" dataDxfId="62" headerRowBorderDxfId="63" tableBorderDxfId="61">
  <autoFilter ref="A6:D377"/>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77" headerRowCount="1" totalsRowShown="0" headerRowDxfId="56" dataDxfId="54" headerRowBorderDxfId="55" tableBorderDxfId="53">
  <autoFilter ref="A6:D377"/>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77" headerRowCount="1" totalsRowShown="0" headerRowDxfId="48" dataDxfId="46" headerRowBorderDxfId="47" tableBorderDxfId="45">
  <autoFilter ref="A6:D377"/>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77" headerRowCount="1" totalsRowShown="0" headerRowDxfId="40" headerRowBorderDxfId="39" tableBorderDxfId="38">
  <autoFilter ref="A6:D377"/>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77" headerRowCount="1" totalsRowShown="0" headerRowDxfId="33" tableBorderDxfId="32">
  <autoFilter ref="A6:D377"/>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77" headerRowCount="1" totalsRowShown="0" headerRowDxfId="27" headerRowBorderDxfId="26" tableBorderDxfId="25">
  <autoFilter ref="A6:D377"/>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77" headerRowCount="1" totalsRowShown="0" headerRowDxfId="20" headerRowBorderDxfId="19" tableBorderDxfId="18">
  <autoFilter ref="A6:D377"/>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zoomScale="120" zoomScaleNormal="120" workbookViewId="0">
      <selection activeCell="T23" sqref="T23"/>
    </sheetView>
  </sheetViews>
  <sheetFormatPr baseColWidth="8" defaultColWidth="9.1796875" defaultRowHeight="14.5"/>
  <cols>
    <col width="9.1796875" customWidth="1" style="121" min="1" max="1"/>
    <col width="12.81640625" customWidth="1" style="121" min="2" max="10"/>
    <col width="3.36328125" customWidth="1" style="121" min="11" max="13"/>
    <col width="18.6328125" customWidth="1" style="121" min="14" max="14"/>
    <col width="30.36328125" customWidth="1" style="121" min="15" max="15"/>
    <col width="12.36328125" customWidth="1" style="121" min="16" max="19"/>
    <col width="9.1796875" customWidth="1" style="121" min="20" max="36"/>
    <col width="9.1796875" customWidth="1" style="121" min="37" max="16384"/>
  </cols>
  <sheetData>
    <row r="1">
      <c r="B1" s="120" t="n"/>
    </row>
    <row r="2" ht="16" customHeight="1" thickBot="1">
      <c r="B2" s="122" t="n"/>
      <c r="C2" s="122" t="n"/>
      <c r="D2" s="122" t="n"/>
      <c r="E2" s="122" t="n"/>
      <c r="F2" s="122" t="n"/>
      <c r="G2" s="122" t="n"/>
      <c r="H2" s="122" t="n"/>
      <c r="I2" s="122" t="n"/>
      <c r="J2" s="122" t="n"/>
    </row>
    <row r="3" ht="16" customHeight="1" thickBot="1">
      <c r="B3" s="123" t="inlineStr">
        <is>
          <t>Retail Sales</t>
        </is>
      </c>
      <c r="C3" s="124" t="n"/>
      <c r="D3" s="124" t="n"/>
      <c r="E3" s="124" t="n"/>
      <c r="F3" s="124" t="n"/>
      <c r="G3" s="124" t="n"/>
      <c r="H3" s="124" t="n"/>
      <c r="I3" s="124" t="n"/>
      <c r="J3" s="125" t="n"/>
    </row>
    <row r="5">
      <c r="B5" s="116" t="inlineStr">
        <is>
          <t>Definition</t>
        </is>
      </c>
      <c r="C5" s="117" t="n"/>
      <c r="D5" s="117" t="n"/>
      <c r="E5" s="117" t="n"/>
      <c r="F5" s="117" t="n"/>
      <c r="G5" s="117" t="n"/>
      <c r="H5" s="117" t="n"/>
      <c r="I5" s="117" t="n"/>
      <c r="J5" s="113" t="n"/>
    </row>
    <row r="7" ht="147.75" customHeight="1">
      <c r="B7" s="126"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c r="B8" s="127" t="inlineStr">
        <is>
          <t>https://www.census.gov/retail/index.html</t>
        </is>
      </c>
    </row>
    <row r="9">
      <c r="B9" s="65" t="n"/>
      <c r="C9" s="65" t="n"/>
      <c r="D9" s="65" t="n"/>
      <c r="E9" s="65" t="n"/>
    </row>
    <row r="10">
      <c r="B10" s="116" t="inlineStr">
        <is>
          <t>Process / TO DO LIST</t>
        </is>
      </c>
      <c r="C10" s="117" t="n"/>
      <c r="D10" s="117" t="n"/>
      <c r="E10" s="117" t="n"/>
      <c r="F10" s="117" t="n"/>
      <c r="G10" s="117" t="n"/>
      <c r="H10" s="117" t="n"/>
      <c r="I10" s="117" t="n"/>
      <c r="J10" s="113" t="n"/>
      <c r="N10" s="116" t="inlineStr">
        <is>
          <t>Summary</t>
        </is>
      </c>
      <c r="O10" s="117" t="n"/>
      <c r="P10" s="117" t="n"/>
      <c r="Q10" s="113" t="n"/>
    </row>
    <row r="12">
      <c r="B12" s="116" t="inlineStr">
        <is>
          <t>TO DO LIST</t>
        </is>
      </c>
      <c r="C12" s="117" t="n"/>
      <c r="D12" s="117" t="n"/>
      <c r="E12" s="117" t="n"/>
      <c r="F12" s="113" t="n"/>
      <c r="G12" s="116" t="inlineStr">
        <is>
          <t>Comments</t>
        </is>
      </c>
      <c r="H12" s="117" t="n"/>
      <c r="I12" s="117" t="n"/>
      <c r="J12" s="113" t="n"/>
      <c r="N12" s="8" t="inlineStr">
        <is>
          <t>* To modify</t>
        </is>
      </c>
    </row>
    <row r="13" ht="16" customHeight="1" thickBot="1"/>
    <row r="14">
      <c r="B14" s="121" t="inlineStr">
        <is>
          <t>Database</t>
        </is>
      </c>
      <c r="G14" s="121" t="n"/>
      <c r="P14" s="68" t="n">
        <v>44866</v>
      </c>
      <c r="Q14" s="69" t="n"/>
    </row>
    <row r="15" ht="16" customHeight="1" thickBot="1">
      <c r="B15" s="121" t="inlineStr">
        <is>
          <t>Create data on Fred</t>
        </is>
      </c>
      <c r="G15" s="121" t="n"/>
      <c r="N15" s="127" t="inlineStr">
        <is>
          <t>www.duponttrading.com</t>
        </is>
      </c>
      <c r="P15" s="70" t="inlineStr">
        <is>
          <t>mom</t>
        </is>
      </c>
      <c r="Q15" s="70" t="inlineStr">
        <is>
          <t>yoy</t>
        </is>
      </c>
    </row>
    <row r="16" ht="15.75" customHeight="1">
      <c r="B16" s="121" t="inlineStr">
        <is>
          <t>https://research.stlouisfed.org/useraccount/datalists</t>
        </is>
      </c>
      <c r="G16" s="130" t="n"/>
      <c r="N16" s="118" t="inlineStr">
        <is>
          <t>Retail Sales</t>
        </is>
      </c>
      <c r="O16" s="119" t="n"/>
      <c r="P16" s="95">
        <f>Recap!F7</f>
        <v/>
      </c>
      <c r="Q16" s="96">
        <f>Recap!G7</f>
        <v/>
      </c>
      <c r="S16" s="71" t="n"/>
    </row>
    <row r="17" ht="15.75" customHeight="1">
      <c r="G17" s="130" t="n"/>
      <c r="N17" s="112" t="inlineStr">
        <is>
          <t>Retail Sales ex Auto</t>
        </is>
      </c>
      <c r="O17" s="113" t="n"/>
      <c r="P17" s="97">
        <f>Recap!F8</f>
        <v/>
      </c>
      <c r="Q17" s="98">
        <f>Recap!G8</f>
        <v/>
      </c>
      <c r="S17" s="71" t="n"/>
    </row>
    <row r="18" ht="15.75" customHeight="1">
      <c r="B18" s="121" t="inlineStr">
        <is>
          <t>https://fred.stlouisfed.org/series/RSAFs</t>
        </is>
      </c>
      <c r="G18" s="99" t="inlineStr">
        <is>
          <t>Retail Sales</t>
        </is>
      </c>
      <c r="H18" s="67" t="n"/>
      <c r="I18" s="67" t="n"/>
      <c r="J18" s="67" t="n"/>
      <c r="N18" s="112" t="inlineStr">
        <is>
          <t>Retail Sales ex Auto and Gas</t>
        </is>
      </c>
      <c r="O18" s="113" t="n"/>
      <c r="P18" s="97">
        <f>Recap!F9</f>
        <v/>
      </c>
      <c r="Q18" s="98">
        <f>Recap!G9</f>
        <v/>
      </c>
      <c r="S18" s="71" t="n"/>
    </row>
    <row r="19" ht="15.75" customHeight="1">
      <c r="B19" s="121" t="inlineStr">
        <is>
          <t>https://fred.stlouisfed.org/series/RSFSXMV</t>
        </is>
      </c>
      <c r="G19" s="99" t="inlineStr">
        <is>
          <t>Retail Sales ex Auto</t>
        </is>
      </c>
      <c r="H19" s="67" t="n"/>
      <c r="I19" s="67" t="n"/>
      <c r="J19" s="67" t="n"/>
      <c r="N19" s="112" t="inlineStr">
        <is>
          <t>Motor Vechicle</t>
        </is>
      </c>
      <c r="O19" s="113" t="n"/>
      <c r="P19" s="97">
        <f>Recap!F10</f>
        <v/>
      </c>
      <c r="Q19" s="98">
        <f>Recap!G10</f>
        <v/>
      </c>
      <c r="S19" s="71" t="n"/>
    </row>
    <row r="20" ht="15.75" customHeight="1">
      <c r="B20" s="121" t="inlineStr">
        <is>
          <t>https://fred.stlouisfed.org/series/MARTSSM44W72USS</t>
        </is>
      </c>
      <c r="G20" s="99" t="inlineStr">
        <is>
          <t>Retail Sales ex Auto and Gas</t>
        </is>
      </c>
      <c r="H20" s="67" t="n"/>
      <c r="I20" s="67" t="n"/>
      <c r="J20" s="67" t="n"/>
      <c r="N20" s="112" t="inlineStr">
        <is>
          <t>Non Store</t>
        </is>
      </c>
      <c r="O20" s="113" t="n"/>
      <c r="P20" s="97">
        <f>Recap!F11</f>
        <v/>
      </c>
      <c r="Q20" s="98">
        <f>Recap!G11</f>
        <v/>
      </c>
    </row>
    <row r="21" ht="15.75" customHeight="1">
      <c r="B21" s="121" t="inlineStr">
        <is>
          <t>https://fred.stlouisfed.org/series/RSDBs</t>
        </is>
      </c>
      <c r="G21" s="99" t="inlineStr">
        <is>
          <t>Food&amp;Beverage</t>
        </is>
      </c>
      <c r="H21" s="67" t="n"/>
      <c r="I21" s="67" t="n"/>
      <c r="J21" s="67" t="n"/>
      <c r="N21" s="112" t="inlineStr">
        <is>
          <t>Food &amp; Beverage</t>
        </is>
      </c>
      <c r="O21" s="113" t="n"/>
      <c r="P21" s="97">
        <f>Recap!F12</f>
        <v/>
      </c>
      <c r="Q21" s="98">
        <f>Recap!G12</f>
        <v/>
      </c>
    </row>
    <row r="22" ht="15.75" customHeight="1">
      <c r="B22" s="121" t="inlineStr">
        <is>
          <t>https://fred.stlouisfed.org/series/RSNSr</t>
        </is>
      </c>
      <c r="G22" s="99" t="inlineStr">
        <is>
          <t>NonStore</t>
        </is>
      </c>
      <c r="H22" s="67" t="n"/>
      <c r="I22" s="67" t="n"/>
      <c r="J22" s="67" t="n"/>
      <c r="N22" s="112" t="inlineStr">
        <is>
          <t>Food Services</t>
        </is>
      </c>
      <c r="O22" s="113" t="n"/>
      <c r="P22" s="97">
        <f>Recap!F13</f>
        <v/>
      </c>
      <c r="Q22" s="98">
        <f>Recap!G13</f>
        <v/>
      </c>
    </row>
    <row r="23" ht="15.75" customHeight="1">
      <c r="B23" s="121" t="inlineStr">
        <is>
          <t>https://fred.stlouisfed.org/series/RSHPCs</t>
        </is>
      </c>
      <c r="G23" s="99" t="inlineStr">
        <is>
          <t>HealthCare</t>
        </is>
      </c>
      <c r="H23" s="67" t="n"/>
      <c r="I23" s="67" t="n"/>
      <c r="J23" s="67" t="n"/>
      <c r="N23" s="112" t="inlineStr">
        <is>
          <t>General Merchandising</t>
        </is>
      </c>
      <c r="O23" s="113" t="n"/>
      <c r="P23" s="97">
        <f>Recap!F14</f>
        <v/>
      </c>
      <c r="Q23" s="98">
        <f>Recap!G14</f>
        <v/>
      </c>
    </row>
    <row r="24" ht="15.75" customHeight="1">
      <c r="B24" s="121" t="inlineStr">
        <is>
          <t>https://fred.stlouisfed.org/series/RSSGHBMs</t>
        </is>
      </c>
      <c r="G24" s="99" t="inlineStr">
        <is>
          <t>Clothing, Sport</t>
        </is>
      </c>
      <c r="H24" s="67" t="n"/>
      <c r="I24" s="67" t="n"/>
      <c r="J24" s="67" t="n"/>
      <c r="N24" s="112" t="inlineStr">
        <is>
          <t>Gasoline Stations</t>
        </is>
      </c>
      <c r="O24" s="113" t="n"/>
      <c r="P24" s="97">
        <f>Recap!F15</f>
        <v/>
      </c>
      <c r="Q24" s="98">
        <f>Recap!G15</f>
        <v/>
      </c>
    </row>
    <row r="25" ht="15.75" customHeight="1">
      <c r="B25" s="121" t="inlineStr">
        <is>
          <t>https://fred.stlouisfed.org/series/RSGMs</t>
        </is>
      </c>
      <c r="G25" s="99" t="inlineStr">
        <is>
          <t>General Merch</t>
        </is>
      </c>
      <c r="H25" s="67" t="n"/>
      <c r="I25" s="67" t="n"/>
      <c r="J25" s="67" t="n"/>
      <c r="N25" s="112" t="inlineStr">
        <is>
          <t>Housing Supplies</t>
        </is>
      </c>
      <c r="O25" s="113" t="n"/>
      <c r="P25" s="97">
        <f>Recap!F16</f>
        <v/>
      </c>
      <c r="Q25" s="98">
        <f>Recap!G16</f>
        <v/>
      </c>
    </row>
    <row r="26" ht="15.75" customHeight="1">
      <c r="B26" s="121" t="inlineStr">
        <is>
          <t>https://fred.stlouisfed.org/series/RSFSDp</t>
        </is>
      </c>
      <c r="G26" s="100" t="inlineStr">
        <is>
          <t>FoodServices</t>
        </is>
      </c>
      <c r="H26" s="67" t="n"/>
      <c r="I26" s="67" t="n"/>
      <c r="J26" s="67" t="n"/>
      <c r="N26" s="112" t="inlineStr">
        <is>
          <t>HealthCare</t>
        </is>
      </c>
      <c r="O26" s="113" t="n"/>
      <c r="P26" s="97">
        <f>Recap!F17</f>
        <v/>
      </c>
      <c r="Q26" s="98">
        <f>Recap!G17</f>
        <v/>
      </c>
    </row>
    <row r="27" ht="15.75" customHeight="1">
      <c r="B27" s="121" t="inlineStr">
        <is>
          <t>https://fred.stlouisfed.org/series/RSGASs</t>
        </is>
      </c>
      <c r="G27" s="99" t="inlineStr">
        <is>
          <t>Gasoline St</t>
        </is>
      </c>
      <c r="H27" s="67" t="n"/>
      <c r="I27" s="67" t="n"/>
      <c r="J27" s="67" t="n"/>
      <c r="N27" s="112" t="inlineStr">
        <is>
          <t>Clothing and clothing access. stores</t>
        </is>
      </c>
      <c r="O27" s="113" t="n"/>
      <c r="P27" s="97">
        <f>Recap!F18</f>
        <v/>
      </c>
      <c r="Q27" s="98">
        <f>Recap!G18</f>
        <v/>
      </c>
    </row>
    <row r="28" ht="15.75" customHeight="1">
      <c r="B28" s="121" t="inlineStr">
        <is>
          <t>https://fred.stlouisfed.org/series/RSMVPd</t>
        </is>
      </c>
      <c r="G28" s="99" t="inlineStr">
        <is>
          <t>Motor Vechicle</t>
        </is>
      </c>
      <c r="H28" s="67" t="n"/>
      <c r="I28" s="67" t="n"/>
      <c r="J28" s="67" t="n"/>
      <c r="N28" s="112" t="inlineStr">
        <is>
          <t>Furniture, home furn, electronics, and appliance stores</t>
        </is>
      </c>
      <c r="O28" s="113" t="n"/>
      <c r="P28" s="97">
        <f>Recap!F19</f>
        <v/>
      </c>
      <c r="Q28" s="98">
        <f>Recap!G19</f>
        <v/>
      </c>
    </row>
    <row r="29" ht="15.75" customHeight="1">
      <c r="B29" s="121" t="inlineStr">
        <is>
          <t>https://fred.stlouisfed.org/series/RSBMGESD</t>
        </is>
      </c>
      <c r="G29" s="99" t="inlineStr">
        <is>
          <t>Housing Supplies</t>
        </is>
      </c>
      <c r="H29" s="67" t="n"/>
      <c r="I29" s="67" t="n"/>
      <c r="J29" s="67" t="n"/>
      <c r="N29" s="112" t="inlineStr">
        <is>
          <t>Miscellaneous stores retailers</t>
        </is>
      </c>
      <c r="O29" s="113" t="n"/>
      <c r="P29" s="97">
        <f>Recap!F20</f>
        <v/>
      </c>
      <c r="Q29" s="98">
        <f>Recap!G20</f>
        <v/>
      </c>
    </row>
    <row r="30" ht="15.75" customHeight="1" thickBot="1">
      <c r="B30" s="121" t="inlineStr">
        <is>
          <t>https://fred.stlouisfed.org/series/RSFHFS</t>
        </is>
      </c>
      <c r="G30" s="99" t="inlineStr">
        <is>
          <t>Furniture, home furn, electronics, and appliance stores</t>
        </is>
      </c>
      <c r="H30" s="67" t="n"/>
      <c r="I30" s="67" t="n"/>
      <c r="J30" s="67" t="n"/>
      <c r="N30" s="114" t="inlineStr">
        <is>
          <t>Clothing, Sport</t>
        </is>
      </c>
      <c r="O30" s="115" t="n"/>
      <c r="P30" s="101">
        <f>Recap!F21</f>
        <v/>
      </c>
      <c r="Q30" s="102">
        <f>Recap!G21</f>
        <v/>
      </c>
    </row>
    <row r="31" ht="15.75" customHeight="1">
      <c r="B31" s="121" t="inlineStr">
        <is>
          <t>https://fred.stlouisfed.org/series/RSCCAS</t>
        </is>
      </c>
      <c r="G31" s="99" t="inlineStr">
        <is>
          <t>Clothing and clothing access. stores</t>
        </is>
      </c>
      <c r="H31" s="67" t="n"/>
      <c r="I31" s="67" t="n"/>
      <c r="J31" s="67" t="n"/>
    </row>
    <row r="32" ht="15.75" customHeight="1">
      <c r="B32" s="121" t="inlineStr">
        <is>
          <t>https://fred.stlouisfed.org/series/RSMSR</t>
        </is>
      </c>
      <c r="G32" s="99" t="inlineStr">
        <is>
          <t>Miscellaneous stores retailers</t>
        </is>
      </c>
      <c r="H32" s="67" t="n"/>
      <c r="I32" s="67" t="n"/>
      <c r="J32" s="67" t="n"/>
    </row>
    <row r="33" ht="14.25" customHeight="1" thickBot="1">
      <c r="B33" s="129" t="n"/>
      <c r="G33" s="130" t="n"/>
    </row>
    <row r="34" ht="16" customHeight="1" thickBot="1">
      <c r="B34" s="27" t="n"/>
      <c r="N34" s="69">
        <f>DATE(YEAR($P$14),MONTH($P$14)-1,DAY($P$14))</f>
        <v/>
      </c>
    </row>
    <row r="35" ht="33.75" customHeight="1" thickBot="1">
      <c r="B35" s="128" t="n"/>
      <c r="N35" s="72">
        <f>DATE(YEAR($P$14)-1,MONTH($P$14),DAY($P$14))</f>
        <v/>
      </c>
    </row>
    <row r="36">
      <c r="B36" s="66" t="n"/>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72"/>
  <sheetViews>
    <sheetView tabSelected="1" topLeftCell="A329" zoomScale="110" zoomScaleNormal="110" workbookViewId="0">
      <selection activeCell="W366" sqref="W366"/>
    </sheetView>
  </sheetViews>
  <sheetFormatPr baseColWidth="8" defaultColWidth="8.81640625" defaultRowHeight="14.5"/>
  <cols>
    <col width="12.6328125" customWidth="1" min="1" max="1"/>
    <col width="15.6328125" customWidth="1" min="2" max="2"/>
    <col width="9.6328125" customWidth="1" min="3" max="3"/>
    <col width="8.6328125" customWidth="1" min="4" max="6"/>
    <col width="7.6328125" customWidth="1" min="7" max="7"/>
    <col width="8.6328125" customWidth="1" min="8" max="9"/>
    <col width="9.6328125" customWidth="1" min="10" max="10"/>
    <col width="8.6328125" customWidth="1" min="11" max="14"/>
    <col width="9.6328125" customWidth="1" min="15" max="15"/>
    <col width="8.6328125" customWidth="1" min="16" max="17"/>
    <col width="9.1796875" customWidth="1" min="18" max="256"/>
    <col width="12.6328125" customWidth="1" min="257" max="257"/>
    <col width="15.6328125" customWidth="1" min="258" max="258"/>
    <col width="9.6328125" customWidth="1" min="259" max="259"/>
    <col width="8.6328125" customWidth="1" min="260" max="262"/>
    <col width="7.6328125" customWidth="1" min="263" max="263"/>
    <col width="8.6328125" customWidth="1" min="264" max="265"/>
    <col width="9.6328125" customWidth="1" min="266" max="266"/>
    <col width="8.6328125" customWidth="1" min="267" max="270"/>
    <col width="9.6328125" customWidth="1" min="271" max="271"/>
    <col width="8.6328125" customWidth="1" min="272" max="273"/>
    <col width="9.1796875" customWidth="1" min="274" max="512"/>
    <col width="12.6328125" customWidth="1" min="513" max="513"/>
    <col width="15.6328125" customWidth="1" min="514" max="514"/>
    <col width="9.6328125" customWidth="1" min="515" max="515"/>
    <col width="8.6328125" customWidth="1" min="516" max="518"/>
    <col width="7.6328125" customWidth="1" min="519" max="519"/>
    <col width="8.6328125" customWidth="1" min="520" max="521"/>
    <col width="9.6328125" customWidth="1" min="522" max="522"/>
    <col width="8.6328125" customWidth="1" min="523" max="526"/>
    <col width="9.6328125" customWidth="1" min="527" max="527"/>
    <col width="8.6328125" customWidth="1" min="528" max="529"/>
    <col width="9.1796875" customWidth="1" min="530" max="768"/>
    <col width="12.6328125" customWidth="1" min="769" max="769"/>
    <col width="15.6328125" customWidth="1" min="770" max="770"/>
    <col width="9.6328125" customWidth="1" min="771" max="771"/>
    <col width="8.6328125" customWidth="1" min="772" max="774"/>
    <col width="7.6328125" customWidth="1" min="775" max="775"/>
    <col width="8.6328125" customWidth="1" min="776" max="777"/>
    <col width="9.6328125" customWidth="1" min="778" max="778"/>
    <col width="8.6328125" customWidth="1" min="779" max="782"/>
    <col width="9.6328125" customWidth="1" min="783" max="783"/>
    <col width="8.6328125" customWidth="1" min="784" max="785"/>
    <col width="9.1796875" customWidth="1" min="786" max="1024"/>
    <col width="12.6328125" customWidth="1" min="1025" max="1025"/>
    <col width="15.6328125" customWidth="1" min="1026" max="1026"/>
    <col width="9.6328125" customWidth="1" min="1027" max="1027"/>
    <col width="8.6328125" customWidth="1" min="1028" max="1030"/>
    <col width="7.6328125" customWidth="1" min="1031" max="1031"/>
    <col width="8.6328125" customWidth="1" min="1032" max="1033"/>
    <col width="9.6328125" customWidth="1" min="1034" max="1034"/>
    <col width="8.6328125" customWidth="1" min="1035" max="1038"/>
    <col width="9.6328125" customWidth="1" min="1039" max="1039"/>
    <col width="8.6328125" customWidth="1" min="1040" max="1041"/>
    <col width="9.1796875" customWidth="1" min="1042" max="1280"/>
    <col width="12.6328125" customWidth="1" min="1281" max="1281"/>
    <col width="15.6328125" customWidth="1" min="1282" max="1282"/>
    <col width="9.6328125" customWidth="1" min="1283" max="1283"/>
    <col width="8.6328125" customWidth="1" min="1284" max="1286"/>
    <col width="7.6328125" customWidth="1" min="1287" max="1287"/>
    <col width="8.6328125" customWidth="1" min="1288" max="1289"/>
    <col width="9.6328125" customWidth="1" min="1290" max="1290"/>
    <col width="8.6328125" customWidth="1" min="1291" max="1294"/>
    <col width="9.6328125" customWidth="1" min="1295" max="1295"/>
    <col width="8.6328125" customWidth="1" min="1296" max="1297"/>
    <col width="9.1796875" customWidth="1" min="1298" max="1536"/>
    <col width="12.6328125" customWidth="1" min="1537" max="1537"/>
    <col width="15.6328125" customWidth="1" min="1538" max="1538"/>
    <col width="9.6328125" customWidth="1" min="1539" max="1539"/>
    <col width="8.6328125" customWidth="1" min="1540" max="1542"/>
    <col width="7.6328125" customWidth="1" min="1543" max="1543"/>
    <col width="8.6328125" customWidth="1" min="1544" max="1545"/>
    <col width="9.6328125" customWidth="1" min="1546" max="1546"/>
    <col width="8.6328125" customWidth="1" min="1547" max="1550"/>
    <col width="9.6328125" customWidth="1" min="1551" max="1551"/>
    <col width="8.6328125" customWidth="1" min="1552" max="1553"/>
    <col width="9.1796875" customWidth="1" min="1554" max="1792"/>
    <col width="12.6328125" customWidth="1" min="1793" max="1793"/>
    <col width="15.6328125" customWidth="1" min="1794" max="1794"/>
    <col width="9.6328125" customWidth="1" min="1795" max="1795"/>
    <col width="8.6328125" customWidth="1" min="1796" max="1798"/>
    <col width="7.6328125" customWidth="1" min="1799" max="1799"/>
    <col width="8.6328125" customWidth="1" min="1800" max="1801"/>
    <col width="9.6328125" customWidth="1" min="1802" max="1802"/>
    <col width="8.6328125" customWidth="1" min="1803" max="1806"/>
    <col width="9.6328125" customWidth="1" min="1807" max="1807"/>
    <col width="8.6328125" customWidth="1" min="1808" max="1809"/>
    <col width="9.1796875" customWidth="1" min="1810" max="2048"/>
    <col width="12.6328125" customWidth="1" min="2049" max="2049"/>
    <col width="15.6328125" customWidth="1" min="2050" max="2050"/>
    <col width="9.6328125" customWidth="1" min="2051" max="2051"/>
    <col width="8.6328125" customWidth="1" min="2052" max="2054"/>
    <col width="7.6328125" customWidth="1" min="2055" max="2055"/>
    <col width="8.6328125" customWidth="1" min="2056" max="2057"/>
    <col width="9.6328125" customWidth="1" min="2058" max="2058"/>
    <col width="8.6328125" customWidth="1" min="2059" max="2062"/>
    <col width="9.6328125" customWidth="1" min="2063" max="2063"/>
    <col width="8.6328125" customWidth="1" min="2064" max="2065"/>
    <col width="9.1796875" customWidth="1" min="2066" max="2304"/>
    <col width="12.6328125" customWidth="1" min="2305" max="2305"/>
    <col width="15.6328125" customWidth="1" min="2306" max="2306"/>
    <col width="9.6328125" customWidth="1" min="2307" max="2307"/>
    <col width="8.6328125" customWidth="1" min="2308" max="2310"/>
    <col width="7.6328125" customWidth="1" min="2311" max="2311"/>
    <col width="8.6328125" customWidth="1" min="2312" max="2313"/>
    <col width="9.6328125" customWidth="1" min="2314" max="2314"/>
    <col width="8.6328125" customWidth="1" min="2315" max="2318"/>
    <col width="9.6328125" customWidth="1" min="2319" max="2319"/>
    <col width="8.6328125" customWidth="1" min="2320" max="2321"/>
    <col width="9.1796875" customWidth="1" min="2322" max="2560"/>
    <col width="12.6328125" customWidth="1" min="2561" max="2561"/>
    <col width="15.6328125" customWidth="1" min="2562" max="2562"/>
    <col width="9.6328125" customWidth="1" min="2563" max="2563"/>
    <col width="8.6328125" customWidth="1" min="2564" max="2566"/>
    <col width="7.6328125" customWidth="1" min="2567" max="2567"/>
    <col width="8.6328125" customWidth="1" min="2568" max="2569"/>
    <col width="9.6328125" customWidth="1" min="2570" max="2570"/>
    <col width="8.6328125" customWidth="1" min="2571" max="2574"/>
    <col width="9.6328125" customWidth="1" min="2575" max="2575"/>
    <col width="8.6328125" customWidth="1" min="2576" max="2577"/>
    <col width="9.1796875" customWidth="1" min="2578" max="2816"/>
    <col width="12.6328125" customWidth="1" min="2817" max="2817"/>
    <col width="15.6328125" customWidth="1" min="2818" max="2818"/>
    <col width="9.6328125" customWidth="1" min="2819" max="2819"/>
    <col width="8.6328125" customWidth="1" min="2820" max="2822"/>
    <col width="7.6328125" customWidth="1" min="2823" max="2823"/>
    <col width="8.6328125" customWidth="1" min="2824" max="2825"/>
    <col width="9.6328125" customWidth="1" min="2826" max="2826"/>
    <col width="8.6328125" customWidth="1" min="2827" max="2830"/>
    <col width="9.6328125" customWidth="1" min="2831" max="2831"/>
    <col width="8.6328125" customWidth="1" min="2832" max="2833"/>
    <col width="9.1796875" customWidth="1" min="2834" max="3072"/>
    <col width="12.6328125" customWidth="1" min="3073" max="3073"/>
    <col width="15.6328125" customWidth="1" min="3074" max="3074"/>
    <col width="9.6328125" customWidth="1" min="3075" max="3075"/>
    <col width="8.6328125" customWidth="1" min="3076" max="3078"/>
    <col width="7.6328125" customWidth="1" min="3079" max="3079"/>
    <col width="8.6328125" customWidth="1" min="3080" max="3081"/>
    <col width="9.6328125" customWidth="1" min="3082" max="3082"/>
    <col width="8.6328125" customWidth="1" min="3083" max="3086"/>
    <col width="9.6328125" customWidth="1" min="3087" max="3087"/>
    <col width="8.6328125" customWidth="1" min="3088" max="3089"/>
    <col width="9.1796875" customWidth="1" min="3090" max="3328"/>
    <col width="12.6328125" customWidth="1" min="3329" max="3329"/>
    <col width="15.6328125" customWidth="1" min="3330" max="3330"/>
    <col width="9.6328125" customWidth="1" min="3331" max="3331"/>
    <col width="8.6328125" customWidth="1" min="3332" max="3334"/>
    <col width="7.6328125" customWidth="1" min="3335" max="3335"/>
    <col width="8.6328125" customWidth="1" min="3336" max="3337"/>
    <col width="9.6328125" customWidth="1" min="3338" max="3338"/>
    <col width="8.6328125" customWidth="1" min="3339" max="3342"/>
    <col width="9.6328125" customWidth="1" min="3343" max="3343"/>
    <col width="8.6328125" customWidth="1" min="3344" max="3345"/>
    <col width="9.1796875" customWidth="1" min="3346" max="3584"/>
    <col width="12.6328125" customWidth="1" min="3585" max="3585"/>
    <col width="15.6328125" customWidth="1" min="3586" max="3586"/>
    <col width="9.6328125" customWidth="1" min="3587" max="3587"/>
    <col width="8.6328125" customWidth="1" min="3588" max="3590"/>
    <col width="7.6328125" customWidth="1" min="3591" max="3591"/>
    <col width="8.6328125" customWidth="1" min="3592" max="3593"/>
    <col width="9.6328125" customWidth="1" min="3594" max="3594"/>
    <col width="8.6328125" customWidth="1" min="3595" max="3598"/>
    <col width="9.6328125" customWidth="1" min="3599" max="3599"/>
    <col width="8.6328125" customWidth="1" min="3600" max="3601"/>
    <col width="9.1796875" customWidth="1" min="3602" max="3840"/>
    <col width="12.6328125" customWidth="1" min="3841" max="3841"/>
    <col width="15.6328125" customWidth="1" min="3842" max="3842"/>
    <col width="9.6328125" customWidth="1" min="3843" max="3843"/>
    <col width="8.6328125" customWidth="1" min="3844" max="3846"/>
    <col width="7.6328125" customWidth="1" min="3847" max="3847"/>
    <col width="8.6328125" customWidth="1" min="3848" max="3849"/>
    <col width="9.6328125" customWidth="1" min="3850" max="3850"/>
    <col width="8.6328125" customWidth="1" min="3851" max="3854"/>
    <col width="9.6328125" customWidth="1" min="3855" max="3855"/>
    <col width="8.6328125" customWidth="1" min="3856" max="3857"/>
    <col width="9.1796875" customWidth="1" min="3858" max="4096"/>
    <col width="12.6328125" customWidth="1" min="4097" max="4097"/>
    <col width="15.6328125" customWidth="1" min="4098" max="4098"/>
    <col width="9.6328125" customWidth="1" min="4099" max="4099"/>
    <col width="8.6328125" customWidth="1" min="4100" max="4102"/>
    <col width="7.6328125" customWidth="1" min="4103" max="4103"/>
    <col width="8.6328125" customWidth="1" min="4104" max="4105"/>
    <col width="9.6328125" customWidth="1" min="4106" max="4106"/>
    <col width="8.6328125" customWidth="1" min="4107" max="4110"/>
    <col width="9.6328125" customWidth="1" min="4111" max="4111"/>
    <col width="8.6328125" customWidth="1" min="4112" max="4113"/>
    <col width="9.1796875" customWidth="1" min="4114" max="4352"/>
    <col width="12.6328125" customWidth="1" min="4353" max="4353"/>
    <col width="15.6328125" customWidth="1" min="4354" max="4354"/>
    <col width="9.6328125" customWidth="1" min="4355" max="4355"/>
    <col width="8.6328125" customWidth="1" min="4356" max="4358"/>
    <col width="7.6328125" customWidth="1" min="4359" max="4359"/>
    <col width="8.6328125" customWidth="1" min="4360" max="4361"/>
    <col width="9.6328125" customWidth="1" min="4362" max="4362"/>
    <col width="8.6328125" customWidth="1" min="4363" max="4366"/>
    <col width="9.6328125" customWidth="1" min="4367" max="4367"/>
    <col width="8.6328125" customWidth="1" min="4368" max="4369"/>
    <col width="9.1796875" customWidth="1" min="4370" max="4608"/>
    <col width="12.6328125" customWidth="1" min="4609" max="4609"/>
    <col width="15.6328125" customWidth="1" min="4610" max="4610"/>
    <col width="9.6328125" customWidth="1" min="4611" max="4611"/>
    <col width="8.6328125" customWidth="1" min="4612" max="4614"/>
    <col width="7.6328125" customWidth="1" min="4615" max="4615"/>
    <col width="8.6328125" customWidth="1" min="4616" max="4617"/>
    <col width="9.6328125" customWidth="1" min="4618" max="4618"/>
    <col width="8.6328125" customWidth="1" min="4619" max="4622"/>
    <col width="9.6328125" customWidth="1" min="4623" max="4623"/>
    <col width="8.6328125" customWidth="1" min="4624" max="4625"/>
    <col width="9.1796875" customWidth="1" min="4626" max="4864"/>
    <col width="12.6328125" customWidth="1" min="4865" max="4865"/>
    <col width="15.6328125" customWidth="1" min="4866" max="4866"/>
    <col width="9.6328125" customWidth="1" min="4867" max="4867"/>
    <col width="8.6328125" customWidth="1" min="4868" max="4870"/>
    <col width="7.6328125" customWidth="1" min="4871" max="4871"/>
    <col width="8.6328125" customWidth="1" min="4872" max="4873"/>
    <col width="9.6328125" customWidth="1" min="4874" max="4874"/>
    <col width="8.6328125" customWidth="1" min="4875" max="4878"/>
    <col width="9.6328125" customWidth="1" min="4879" max="4879"/>
    <col width="8.6328125" customWidth="1" min="4880" max="4881"/>
    <col width="9.1796875" customWidth="1" min="4882" max="5120"/>
    <col width="12.6328125" customWidth="1" min="5121" max="5121"/>
    <col width="15.6328125" customWidth="1" min="5122" max="5122"/>
    <col width="9.6328125" customWidth="1" min="5123" max="5123"/>
    <col width="8.6328125" customWidth="1" min="5124" max="5126"/>
    <col width="7.6328125" customWidth="1" min="5127" max="5127"/>
    <col width="8.6328125" customWidth="1" min="5128" max="5129"/>
    <col width="9.6328125" customWidth="1" min="5130" max="5130"/>
    <col width="8.6328125" customWidth="1" min="5131" max="5134"/>
    <col width="9.6328125" customWidth="1" min="5135" max="5135"/>
    <col width="8.6328125" customWidth="1" min="5136" max="5137"/>
    <col width="9.1796875" customWidth="1" min="5138" max="5376"/>
    <col width="12.6328125" customWidth="1" min="5377" max="5377"/>
    <col width="15.6328125" customWidth="1" min="5378" max="5378"/>
    <col width="9.6328125" customWidth="1" min="5379" max="5379"/>
    <col width="8.6328125" customWidth="1" min="5380" max="5382"/>
    <col width="7.6328125" customWidth="1" min="5383" max="5383"/>
    <col width="8.6328125" customWidth="1" min="5384" max="5385"/>
    <col width="9.6328125" customWidth="1" min="5386" max="5386"/>
    <col width="8.6328125" customWidth="1" min="5387" max="5390"/>
    <col width="9.6328125" customWidth="1" min="5391" max="5391"/>
    <col width="8.6328125" customWidth="1" min="5392" max="5393"/>
    <col width="9.1796875" customWidth="1" min="5394" max="5632"/>
    <col width="12.6328125" customWidth="1" min="5633" max="5633"/>
    <col width="15.6328125" customWidth="1" min="5634" max="5634"/>
    <col width="9.6328125" customWidth="1" min="5635" max="5635"/>
    <col width="8.6328125" customWidth="1" min="5636" max="5638"/>
    <col width="7.6328125" customWidth="1" min="5639" max="5639"/>
    <col width="8.6328125" customWidth="1" min="5640" max="5641"/>
    <col width="9.6328125" customWidth="1" min="5642" max="5642"/>
    <col width="8.6328125" customWidth="1" min="5643" max="5646"/>
    <col width="9.6328125" customWidth="1" min="5647" max="5647"/>
    <col width="8.6328125" customWidth="1" min="5648" max="5649"/>
    <col width="9.1796875" customWidth="1" min="5650" max="5888"/>
    <col width="12.6328125" customWidth="1" min="5889" max="5889"/>
    <col width="15.6328125" customWidth="1" min="5890" max="5890"/>
    <col width="9.6328125" customWidth="1" min="5891" max="5891"/>
    <col width="8.6328125" customWidth="1" min="5892" max="5894"/>
    <col width="7.6328125" customWidth="1" min="5895" max="5895"/>
    <col width="8.6328125" customWidth="1" min="5896" max="5897"/>
    <col width="9.6328125" customWidth="1" min="5898" max="5898"/>
    <col width="8.6328125" customWidth="1" min="5899" max="5902"/>
    <col width="9.6328125" customWidth="1" min="5903" max="5903"/>
    <col width="8.6328125" customWidth="1" min="5904" max="5905"/>
    <col width="9.1796875" customWidth="1" min="5906" max="6144"/>
    <col width="12.6328125" customWidth="1" min="6145" max="6145"/>
    <col width="15.6328125" customWidth="1" min="6146" max="6146"/>
    <col width="9.6328125" customWidth="1" min="6147" max="6147"/>
    <col width="8.6328125" customWidth="1" min="6148" max="6150"/>
    <col width="7.6328125" customWidth="1" min="6151" max="6151"/>
    <col width="8.6328125" customWidth="1" min="6152" max="6153"/>
    <col width="9.6328125" customWidth="1" min="6154" max="6154"/>
    <col width="8.6328125" customWidth="1" min="6155" max="6158"/>
    <col width="9.6328125" customWidth="1" min="6159" max="6159"/>
    <col width="8.6328125" customWidth="1" min="6160" max="6161"/>
    <col width="9.1796875" customWidth="1" min="6162" max="6400"/>
    <col width="12.6328125" customWidth="1" min="6401" max="6401"/>
    <col width="15.6328125" customWidth="1" min="6402" max="6402"/>
    <col width="9.6328125" customWidth="1" min="6403" max="6403"/>
    <col width="8.6328125" customWidth="1" min="6404" max="6406"/>
    <col width="7.6328125" customWidth="1" min="6407" max="6407"/>
    <col width="8.6328125" customWidth="1" min="6408" max="6409"/>
    <col width="9.6328125" customWidth="1" min="6410" max="6410"/>
    <col width="8.6328125" customWidth="1" min="6411" max="6414"/>
    <col width="9.6328125" customWidth="1" min="6415" max="6415"/>
    <col width="8.6328125" customWidth="1" min="6416" max="6417"/>
    <col width="9.1796875" customWidth="1" min="6418" max="6656"/>
    <col width="12.6328125" customWidth="1" min="6657" max="6657"/>
    <col width="15.6328125" customWidth="1" min="6658" max="6658"/>
    <col width="9.6328125" customWidth="1" min="6659" max="6659"/>
    <col width="8.6328125" customWidth="1" min="6660" max="6662"/>
    <col width="7.6328125" customWidth="1" min="6663" max="6663"/>
    <col width="8.6328125" customWidth="1" min="6664" max="6665"/>
    <col width="9.6328125" customWidth="1" min="6666" max="6666"/>
    <col width="8.6328125" customWidth="1" min="6667" max="6670"/>
    <col width="9.6328125" customWidth="1" min="6671" max="6671"/>
    <col width="8.6328125" customWidth="1" min="6672" max="6673"/>
    <col width="9.1796875" customWidth="1" min="6674" max="6912"/>
    <col width="12.6328125" customWidth="1" min="6913" max="6913"/>
    <col width="15.6328125" customWidth="1" min="6914" max="6914"/>
    <col width="9.6328125" customWidth="1" min="6915" max="6915"/>
    <col width="8.6328125" customWidth="1" min="6916" max="6918"/>
    <col width="7.6328125" customWidth="1" min="6919" max="6919"/>
    <col width="8.6328125" customWidth="1" min="6920" max="6921"/>
    <col width="9.6328125" customWidth="1" min="6922" max="6922"/>
    <col width="8.6328125" customWidth="1" min="6923" max="6926"/>
    <col width="9.6328125" customWidth="1" min="6927" max="6927"/>
    <col width="8.6328125" customWidth="1" min="6928" max="6929"/>
    <col width="9.1796875" customWidth="1" min="6930" max="7168"/>
    <col width="12.6328125" customWidth="1" min="7169" max="7169"/>
    <col width="15.6328125" customWidth="1" min="7170" max="7170"/>
    <col width="9.6328125" customWidth="1" min="7171" max="7171"/>
    <col width="8.6328125" customWidth="1" min="7172" max="7174"/>
    <col width="7.6328125" customWidth="1" min="7175" max="7175"/>
    <col width="8.6328125" customWidth="1" min="7176" max="7177"/>
    <col width="9.6328125" customWidth="1" min="7178" max="7178"/>
    <col width="8.6328125" customWidth="1" min="7179" max="7182"/>
    <col width="9.6328125" customWidth="1" min="7183" max="7183"/>
    <col width="8.6328125" customWidth="1" min="7184" max="7185"/>
    <col width="9.1796875" customWidth="1" min="7186" max="7424"/>
    <col width="12.6328125" customWidth="1" min="7425" max="7425"/>
    <col width="15.6328125" customWidth="1" min="7426" max="7426"/>
    <col width="9.6328125" customWidth="1" min="7427" max="7427"/>
    <col width="8.6328125" customWidth="1" min="7428" max="7430"/>
    <col width="7.6328125" customWidth="1" min="7431" max="7431"/>
    <col width="8.6328125" customWidth="1" min="7432" max="7433"/>
    <col width="9.6328125" customWidth="1" min="7434" max="7434"/>
    <col width="8.6328125" customWidth="1" min="7435" max="7438"/>
    <col width="9.6328125" customWidth="1" min="7439" max="7439"/>
    <col width="8.6328125" customWidth="1" min="7440" max="7441"/>
    <col width="9.1796875" customWidth="1" min="7442" max="7680"/>
    <col width="12.6328125" customWidth="1" min="7681" max="7681"/>
    <col width="15.6328125" customWidth="1" min="7682" max="7682"/>
    <col width="9.6328125" customWidth="1" min="7683" max="7683"/>
    <col width="8.6328125" customWidth="1" min="7684" max="7686"/>
    <col width="7.6328125" customWidth="1" min="7687" max="7687"/>
    <col width="8.6328125" customWidth="1" min="7688" max="7689"/>
    <col width="9.6328125" customWidth="1" min="7690" max="7690"/>
    <col width="8.6328125" customWidth="1" min="7691" max="7694"/>
    <col width="9.6328125" customWidth="1" min="7695" max="7695"/>
    <col width="8.6328125" customWidth="1" min="7696" max="7697"/>
    <col width="9.1796875" customWidth="1" min="7698" max="7936"/>
    <col width="12.6328125" customWidth="1" min="7937" max="7937"/>
    <col width="15.6328125" customWidth="1" min="7938" max="7938"/>
    <col width="9.6328125" customWidth="1" min="7939" max="7939"/>
    <col width="8.6328125" customWidth="1" min="7940" max="7942"/>
    <col width="7.6328125" customWidth="1" min="7943" max="7943"/>
    <col width="8.6328125" customWidth="1" min="7944" max="7945"/>
    <col width="9.6328125" customWidth="1" min="7946" max="7946"/>
    <col width="8.6328125" customWidth="1" min="7947" max="7950"/>
    <col width="9.6328125" customWidth="1" min="7951" max="7951"/>
    <col width="8.6328125" customWidth="1" min="7952" max="7953"/>
    <col width="9.1796875" customWidth="1" min="7954" max="8192"/>
    <col width="12.6328125" customWidth="1" min="8193" max="8193"/>
    <col width="15.6328125" customWidth="1" min="8194" max="8194"/>
    <col width="9.6328125" customWidth="1" min="8195" max="8195"/>
    <col width="8.6328125" customWidth="1" min="8196" max="8198"/>
    <col width="7.6328125" customWidth="1" min="8199" max="8199"/>
    <col width="8.6328125" customWidth="1" min="8200" max="8201"/>
    <col width="9.6328125" customWidth="1" min="8202" max="8202"/>
    <col width="8.6328125" customWidth="1" min="8203" max="8206"/>
    <col width="9.6328125" customWidth="1" min="8207" max="8207"/>
    <col width="8.6328125" customWidth="1" min="8208" max="8209"/>
    <col width="9.1796875" customWidth="1" min="8210" max="8448"/>
    <col width="12.6328125" customWidth="1" min="8449" max="8449"/>
    <col width="15.6328125" customWidth="1" min="8450" max="8450"/>
    <col width="9.6328125" customWidth="1" min="8451" max="8451"/>
    <col width="8.6328125" customWidth="1" min="8452" max="8454"/>
    <col width="7.6328125" customWidth="1" min="8455" max="8455"/>
    <col width="8.6328125" customWidth="1" min="8456" max="8457"/>
    <col width="9.6328125" customWidth="1" min="8458" max="8458"/>
    <col width="8.6328125" customWidth="1" min="8459" max="8462"/>
    <col width="9.6328125" customWidth="1" min="8463" max="8463"/>
    <col width="8.6328125" customWidth="1" min="8464" max="8465"/>
    <col width="9.1796875" customWidth="1" min="8466" max="8704"/>
    <col width="12.6328125" customWidth="1" min="8705" max="8705"/>
    <col width="15.6328125" customWidth="1" min="8706" max="8706"/>
    <col width="9.6328125" customWidth="1" min="8707" max="8707"/>
    <col width="8.6328125" customWidth="1" min="8708" max="8710"/>
    <col width="7.6328125" customWidth="1" min="8711" max="8711"/>
    <col width="8.6328125" customWidth="1" min="8712" max="8713"/>
    <col width="9.6328125" customWidth="1" min="8714" max="8714"/>
    <col width="8.6328125" customWidth="1" min="8715" max="8718"/>
    <col width="9.6328125" customWidth="1" min="8719" max="8719"/>
    <col width="8.6328125" customWidth="1" min="8720" max="8721"/>
    <col width="9.1796875" customWidth="1" min="8722" max="8960"/>
    <col width="12.6328125" customWidth="1" min="8961" max="8961"/>
    <col width="15.6328125" customWidth="1" min="8962" max="8962"/>
    <col width="9.6328125" customWidth="1" min="8963" max="8963"/>
    <col width="8.6328125" customWidth="1" min="8964" max="8966"/>
    <col width="7.6328125" customWidth="1" min="8967" max="8967"/>
    <col width="8.6328125" customWidth="1" min="8968" max="8969"/>
    <col width="9.6328125" customWidth="1" min="8970" max="8970"/>
    <col width="8.6328125" customWidth="1" min="8971" max="8974"/>
    <col width="9.6328125" customWidth="1" min="8975" max="8975"/>
    <col width="8.6328125" customWidth="1" min="8976" max="8977"/>
    <col width="9.1796875" customWidth="1" min="8978" max="9216"/>
    <col width="12.6328125" customWidth="1" min="9217" max="9217"/>
    <col width="15.6328125" customWidth="1" min="9218" max="9218"/>
    <col width="9.6328125" customWidth="1" min="9219" max="9219"/>
    <col width="8.6328125" customWidth="1" min="9220" max="9222"/>
    <col width="7.6328125" customWidth="1" min="9223" max="9223"/>
    <col width="8.6328125" customWidth="1" min="9224" max="9225"/>
    <col width="9.6328125" customWidth="1" min="9226" max="9226"/>
    <col width="8.6328125" customWidth="1" min="9227" max="9230"/>
    <col width="9.6328125" customWidth="1" min="9231" max="9231"/>
    <col width="8.6328125" customWidth="1" min="9232" max="9233"/>
    <col width="9.1796875" customWidth="1" min="9234" max="9472"/>
    <col width="12.6328125" customWidth="1" min="9473" max="9473"/>
    <col width="15.6328125" customWidth="1" min="9474" max="9474"/>
    <col width="9.6328125" customWidth="1" min="9475" max="9475"/>
    <col width="8.6328125" customWidth="1" min="9476" max="9478"/>
    <col width="7.6328125" customWidth="1" min="9479" max="9479"/>
    <col width="8.6328125" customWidth="1" min="9480" max="9481"/>
    <col width="9.6328125" customWidth="1" min="9482" max="9482"/>
    <col width="8.6328125" customWidth="1" min="9483" max="9486"/>
    <col width="9.6328125" customWidth="1" min="9487" max="9487"/>
    <col width="8.6328125" customWidth="1" min="9488" max="9489"/>
    <col width="9.1796875" customWidth="1" min="9490" max="9728"/>
    <col width="12.6328125" customWidth="1" min="9729" max="9729"/>
    <col width="15.6328125" customWidth="1" min="9730" max="9730"/>
    <col width="9.6328125" customWidth="1" min="9731" max="9731"/>
    <col width="8.6328125" customWidth="1" min="9732" max="9734"/>
    <col width="7.6328125" customWidth="1" min="9735" max="9735"/>
    <col width="8.6328125" customWidth="1" min="9736" max="9737"/>
    <col width="9.6328125" customWidth="1" min="9738" max="9738"/>
    <col width="8.6328125" customWidth="1" min="9739" max="9742"/>
    <col width="9.6328125" customWidth="1" min="9743" max="9743"/>
    <col width="8.6328125" customWidth="1" min="9744" max="9745"/>
    <col width="9.1796875" customWidth="1" min="9746" max="9984"/>
    <col width="12.6328125" customWidth="1" min="9985" max="9985"/>
    <col width="15.6328125" customWidth="1" min="9986" max="9986"/>
    <col width="9.6328125" customWidth="1" min="9987" max="9987"/>
    <col width="8.6328125" customWidth="1" min="9988" max="9990"/>
    <col width="7.6328125" customWidth="1" min="9991" max="9991"/>
    <col width="8.6328125" customWidth="1" min="9992" max="9993"/>
    <col width="9.6328125" customWidth="1" min="9994" max="9994"/>
    <col width="8.6328125" customWidth="1" min="9995" max="9998"/>
    <col width="9.6328125" customWidth="1" min="9999" max="9999"/>
    <col width="8.6328125" customWidth="1" min="10000" max="10001"/>
    <col width="9.1796875" customWidth="1" min="10002" max="10240"/>
    <col width="12.6328125" customWidth="1" min="10241" max="10241"/>
    <col width="15.6328125" customWidth="1" min="10242" max="10242"/>
    <col width="9.6328125" customWidth="1" min="10243" max="10243"/>
    <col width="8.6328125" customWidth="1" min="10244" max="10246"/>
    <col width="7.6328125" customWidth="1" min="10247" max="10247"/>
    <col width="8.6328125" customWidth="1" min="10248" max="10249"/>
    <col width="9.6328125" customWidth="1" min="10250" max="10250"/>
    <col width="8.6328125" customWidth="1" min="10251" max="10254"/>
    <col width="9.6328125" customWidth="1" min="10255" max="10255"/>
    <col width="8.6328125" customWidth="1" min="10256" max="10257"/>
    <col width="9.1796875" customWidth="1" min="10258" max="10496"/>
    <col width="12.6328125" customWidth="1" min="10497" max="10497"/>
    <col width="15.6328125" customWidth="1" min="10498" max="10498"/>
    <col width="9.6328125" customWidth="1" min="10499" max="10499"/>
    <col width="8.6328125" customWidth="1" min="10500" max="10502"/>
    <col width="7.6328125" customWidth="1" min="10503" max="10503"/>
    <col width="8.6328125" customWidth="1" min="10504" max="10505"/>
    <col width="9.6328125" customWidth="1" min="10506" max="10506"/>
    <col width="8.6328125" customWidth="1" min="10507" max="10510"/>
    <col width="9.6328125" customWidth="1" min="10511" max="10511"/>
    <col width="8.6328125" customWidth="1" min="10512" max="10513"/>
    <col width="9.1796875" customWidth="1" min="10514" max="10752"/>
    <col width="12.6328125" customWidth="1" min="10753" max="10753"/>
    <col width="15.6328125" customWidth="1" min="10754" max="10754"/>
    <col width="9.6328125" customWidth="1" min="10755" max="10755"/>
    <col width="8.6328125" customWidth="1" min="10756" max="10758"/>
    <col width="7.6328125" customWidth="1" min="10759" max="10759"/>
    <col width="8.6328125" customWidth="1" min="10760" max="10761"/>
    <col width="9.6328125" customWidth="1" min="10762" max="10762"/>
    <col width="8.6328125" customWidth="1" min="10763" max="10766"/>
    <col width="9.6328125" customWidth="1" min="10767" max="10767"/>
    <col width="8.6328125" customWidth="1" min="10768" max="10769"/>
    <col width="9.1796875" customWidth="1" min="10770" max="11008"/>
    <col width="12.6328125" customWidth="1" min="11009" max="11009"/>
    <col width="15.6328125" customWidth="1" min="11010" max="11010"/>
    <col width="9.6328125" customWidth="1" min="11011" max="11011"/>
    <col width="8.6328125" customWidth="1" min="11012" max="11014"/>
    <col width="7.6328125" customWidth="1" min="11015" max="11015"/>
    <col width="8.6328125" customWidth="1" min="11016" max="11017"/>
    <col width="9.6328125" customWidth="1" min="11018" max="11018"/>
    <col width="8.6328125" customWidth="1" min="11019" max="11022"/>
    <col width="9.6328125" customWidth="1" min="11023" max="11023"/>
    <col width="8.6328125" customWidth="1" min="11024" max="11025"/>
    <col width="9.1796875" customWidth="1" min="11026" max="11264"/>
    <col width="12.6328125" customWidth="1" min="11265" max="11265"/>
    <col width="15.6328125" customWidth="1" min="11266" max="11266"/>
    <col width="9.6328125" customWidth="1" min="11267" max="11267"/>
    <col width="8.6328125" customWidth="1" min="11268" max="11270"/>
    <col width="7.6328125" customWidth="1" min="11271" max="11271"/>
    <col width="8.6328125" customWidth="1" min="11272" max="11273"/>
    <col width="9.6328125" customWidth="1" min="11274" max="11274"/>
    <col width="8.6328125" customWidth="1" min="11275" max="11278"/>
    <col width="9.6328125" customWidth="1" min="11279" max="11279"/>
    <col width="8.6328125" customWidth="1" min="11280" max="11281"/>
    <col width="9.1796875" customWidth="1" min="11282" max="11520"/>
    <col width="12.6328125" customWidth="1" min="11521" max="11521"/>
    <col width="15.6328125" customWidth="1" min="11522" max="11522"/>
    <col width="9.6328125" customWidth="1" min="11523" max="11523"/>
    <col width="8.6328125" customWidth="1" min="11524" max="11526"/>
    <col width="7.6328125" customWidth="1" min="11527" max="11527"/>
    <col width="8.6328125" customWidth="1" min="11528" max="11529"/>
    <col width="9.6328125" customWidth="1" min="11530" max="11530"/>
    <col width="8.6328125" customWidth="1" min="11531" max="11534"/>
    <col width="9.6328125" customWidth="1" min="11535" max="11535"/>
    <col width="8.6328125" customWidth="1" min="11536" max="11537"/>
    <col width="9.1796875" customWidth="1" min="11538" max="11776"/>
    <col width="12.6328125" customWidth="1" min="11777" max="11777"/>
    <col width="15.6328125" customWidth="1" min="11778" max="11778"/>
    <col width="9.6328125" customWidth="1" min="11779" max="11779"/>
    <col width="8.6328125" customWidth="1" min="11780" max="11782"/>
    <col width="7.6328125" customWidth="1" min="11783" max="11783"/>
    <col width="8.6328125" customWidth="1" min="11784" max="11785"/>
    <col width="9.6328125" customWidth="1" min="11786" max="11786"/>
    <col width="8.6328125" customWidth="1" min="11787" max="11790"/>
    <col width="9.6328125" customWidth="1" min="11791" max="11791"/>
    <col width="8.6328125" customWidth="1" min="11792" max="11793"/>
    <col width="9.1796875" customWidth="1" min="11794" max="12032"/>
    <col width="12.6328125" customWidth="1" min="12033" max="12033"/>
    <col width="15.6328125" customWidth="1" min="12034" max="12034"/>
    <col width="9.6328125" customWidth="1" min="12035" max="12035"/>
    <col width="8.6328125" customWidth="1" min="12036" max="12038"/>
    <col width="7.6328125" customWidth="1" min="12039" max="12039"/>
    <col width="8.6328125" customWidth="1" min="12040" max="12041"/>
    <col width="9.6328125" customWidth="1" min="12042" max="12042"/>
    <col width="8.6328125" customWidth="1" min="12043" max="12046"/>
    <col width="9.6328125" customWidth="1" min="12047" max="12047"/>
    <col width="8.6328125" customWidth="1" min="12048" max="12049"/>
    <col width="9.1796875" customWidth="1" min="12050" max="12288"/>
    <col width="12.6328125" customWidth="1" min="12289" max="12289"/>
    <col width="15.6328125" customWidth="1" min="12290" max="12290"/>
    <col width="9.6328125" customWidth="1" min="12291" max="12291"/>
    <col width="8.6328125" customWidth="1" min="12292" max="12294"/>
    <col width="7.6328125" customWidth="1" min="12295" max="12295"/>
    <col width="8.6328125" customWidth="1" min="12296" max="12297"/>
    <col width="9.6328125" customWidth="1" min="12298" max="12298"/>
    <col width="8.6328125" customWidth="1" min="12299" max="12302"/>
    <col width="9.6328125" customWidth="1" min="12303" max="12303"/>
    <col width="8.6328125" customWidth="1" min="12304" max="12305"/>
    <col width="9.1796875" customWidth="1" min="12306" max="12544"/>
    <col width="12.6328125" customWidth="1" min="12545" max="12545"/>
    <col width="15.6328125" customWidth="1" min="12546" max="12546"/>
    <col width="9.6328125" customWidth="1" min="12547" max="12547"/>
    <col width="8.6328125" customWidth="1" min="12548" max="12550"/>
    <col width="7.6328125" customWidth="1" min="12551" max="12551"/>
    <col width="8.6328125" customWidth="1" min="12552" max="12553"/>
    <col width="9.6328125" customWidth="1" min="12554" max="12554"/>
    <col width="8.6328125" customWidth="1" min="12555" max="12558"/>
    <col width="9.6328125" customWidth="1" min="12559" max="12559"/>
    <col width="8.6328125" customWidth="1" min="12560" max="12561"/>
    <col width="9.1796875" customWidth="1" min="12562" max="12800"/>
    <col width="12.6328125" customWidth="1" min="12801" max="12801"/>
    <col width="15.6328125" customWidth="1" min="12802" max="12802"/>
    <col width="9.6328125" customWidth="1" min="12803" max="12803"/>
    <col width="8.6328125" customWidth="1" min="12804" max="12806"/>
    <col width="7.6328125" customWidth="1" min="12807" max="12807"/>
    <col width="8.6328125" customWidth="1" min="12808" max="12809"/>
    <col width="9.6328125" customWidth="1" min="12810" max="12810"/>
    <col width="8.6328125" customWidth="1" min="12811" max="12814"/>
    <col width="9.6328125" customWidth="1" min="12815" max="12815"/>
    <col width="8.6328125" customWidth="1" min="12816" max="12817"/>
    <col width="9.1796875" customWidth="1" min="12818" max="13056"/>
    <col width="12.6328125" customWidth="1" min="13057" max="13057"/>
    <col width="15.6328125" customWidth="1" min="13058" max="13058"/>
    <col width="9.6328125" customWidth="1" min="13059" max="13059"/>
    <col width="8.6328125" customWidth="1" min="13060" max="13062"/>
    <col width="7.6328125" customWidth="1" min="13063" max="13063"/>
    <col width="8.6328125" customWidth="1" min="13064" max="13065"/>
    <col width="9.6328125" customWidth="1" min="13066" max="13066"/>
    <col width="8.6328125" customWidth="1" min="13067" max="13070"/>
    <col width="9.6328125" customWidth="1" min="13071" max="13071"/>
    <col width="8.6328125" customWidth="1" min="13072" max="13073"/>
    <col width="9.1796875" customWidth="1" min="13074" max="13312"/>
    <col width="12.6328125" customWidth="1" min="13313" max="13313"/>
    <col width="15.6328125" customWidth="1" min="13314" max="13314"/>
    <col width="9.6328125" customWidth="1" min="13315" max="13315"/>
    <col width="8.6328125" customWidth="1" min="13316" max="13318"/>
    <col width="7.6328125" customWidth="1" min="13319" max="13319"/>
    <col width="8.6328125" customWidth="1" min="13320" max="13321"/>
    <col width="9.6328125" customWidth="1" min="13322" max="13322"/>
    <col width="8.6328125" customWidth="1" min="13323" max="13326"/>
    <col width="9.6328125" customWidth="1" min="13327" max="13327"/>
    <col width="8.6328125" customWidth="1" min="13328" max="13329"/>
    <col width="9.1796875" customWidth="1" min="13330" max="13568"/>
    <col width="12.6328125" customWidth="1" min="13569" max="13569"/>
    <col width="15.6328125" customWidth="1" min="13570" max="13570"/>
    <col width="9.6328125" customWidth="1" min="13571" max="13571"/>
    <col width="8.6328125" customWidth="1" min="13572" max="13574"/>
    <col width="7.6328125" customWidth="1" min="13575" max="13575"/>
    <col width="8.6328125" customWidth="1" min="13576" max="13577"/>
    <col width="9.6328125" customWidth="1" min="13578" max="13578"/>
    <col width="8.6328125" customWidth="1" min="13579" max="13582"/>
    <col width="9.6328125" customWidth="1" min="13583" max="13583"/>
    <col width="8.6328125" customWidth="1" min="13584" max="13585"/>
    <col width="9.1796875" customWidth="1" min="13586" max="13824"/>
    <col width="12.6328125" customWidth="1" min="13825" max="13825"/>
    <col width="15.6328125" customWidth="1" min="13826" max="13826"/>
    <col width="9.6328125" customWidth="1" min="13827" max="13827"/>
    <col width="8.6328125" customWidth="1" min="13828" max="13830"/>
    <col width="7.6328125" customWidth="1" min="13831" max="13831"/>
    <col width="8.6328125" customWidth="1" min="13832" max="13833"/>
    <col width="9.6328125" customWidth="1" min="13834" max="13834"/>
    <col width="8.6328125" customWidth="1" min="13835" max="13838"/>
    <col width="9.6328125" customWidth="1" min="13839" max="13839"/>
    <col width="8.6328125" customWidth="1" min="13840" max="13841"/>
    <col width="9.1796875" customWidth="1" min="13842" max="14080"/>
    <col width="12.6328125" customWidth="1" min="14081" max="14081"/>
    <col width="15.6328125" customWidth="1" min="14082" max="14082"/>
    <col width="9.6328125" customWidth="1" min="14083" max="14083"/>
    <col width="8.6328125" customWidth="1" min="14084" max="14086"/>
    <col width="7.6328125" customWidth="1" min="14087" max="14087"/>
    <col width="8.6328125" customWidth="1" min="14088" max="14089"/>
    <col width="9.6328125" customWidth="1" min="14090" max="14090"/>
    <col width="8.6328125" customWidth="1" min="14091" max="14094"/>
    <col width="9.6328125" customWidth="1" min="14095" max="14095"/>
    <col width="8.6328125" customWidth="1" min="14096" max="14097"/>
    <col width="9.1796875" customWidth="1" min="14098" max="14336"/>
    <col width="12.6328125" customWidth="1" min="14337" max="14337"/>
    <col width="15.6328125" customWidth="1" min="14338" max="14338"/>
    <col width="9.6328125" customWidth="1" min="14339" max="14339"/>
    <col width="8.6328125" customWidth="1" min="14340" max="14342"/>
    <col width="7.6328125" customWidth="1" min="14343" max="14343"/>
    <col width="8.6328125" customWidth="1" min="14344" max="14345"/>
    <col width="9.6328125" customWidth="1" min="14346" max="14346"/>
    <col width="8.6328125" customWidth="1" min="14347" max="14350"/>
    <col width="9.6328125" customWidth="1" min="14351" max="14351"/>
    <col width="8.6328125" customWidth="1" min="14352" max="14353"/>
    <col width="9.1796875" customWidth="1" min="14354" max="14592"/>
    <col width="12.6328125" customWidth="1" min="14593" max="14593"/>
    <col width="15.6328125" customWidth="1" min="14594" max="14594"/>
    <col width="9.6328125" customWidth="1" min="14595" max="14595"/>
    <col width="8.6328125" customWidth="1" min="14596" max="14598"/>
    <col width="7.6328125" customWidth="1" min="14599" max="14599"/>
    <col width="8.6328125" customWidth="1" min="14600" max="14601"/>
    <col width="9.6328125" customWidth="1" min="14602" max="14602"/>
    <col width="8.6328125" customWidth="1" min="14603" max="14606"/>
    <col width="9.6328125" customWidth="1" min="14607" max="14607"/>
    <col width="8.6328125" customWidth="1" min="14608" max="14609"/>
    <col width="9.1796875" customWidth="1" min="14610" max="14848"/>
    <col width="12.6328125" customWidth="1" min="14849" max="14849"/>
    <col width="15.6328125" customWidth="1" min="14850" max="14850"/>
    <col width="9.6328125" customWidth="1" min="14851" max="14851"/>
    <col width="8.6328125" customWidth="1" min="14852" max="14854"/>
    <col width="7.6328125" customWidth="1" min="14855" max="14855"/>
    <col width="8.6328125" customWidth="1" min="14856" max="14857"/>
    <col width="9.6328125" customWidth="1" min="14858" max="14858"/>
    <col width="8.6328125" customWidth="1" min="14859" max="14862"/>
    <col width="9.6328125" customWidth="1" min="14863" max="14863"/>
    <col width="8.6328125" customWidth="1" min="14864" max="14865"/>
    <col width="9.1796875" customWidth="1" min="14866" max="15104"/>
    <col width="12.6328125" customWidth="1" min="15105" max="15105"/>
    <col width="15.6328125" customWidth="1" min="15106" max="15106"/>
    <col width="9.6328125" customWidth="1" min="15107" max="15107"/>
    <col width="8.6328125" customWidth="1" min="15108" max="15110"/>
    <col width="7.6328125" customWidth="1" min="15111" max="15111"/>
    <col width="8.6328125" customWidth="1" min="15112" max="15113"/>
    <col width="9.6328125" customWidth="1" min="15114" max="15114"/>
    <col width="8.6328125" customWidth="1" min="15115" max="15118"/>
    <col width="9.6328125" customWidth="1" min="15119" max="15119"/>
    <col width="8.6328125" customWidth="1" min="15120" max="15121"/>
    <col width="9.1796875" customWidth="1" min="15122" max="15360"/>
    <col width="12.6328125" customWidth="1" min="15361" max="15361"/>
    <col width="15.6328125" customWidth="1" min="15362" max="15362"/>
    <col width="9.6328125" customWidth="1" min="15363" max="15363"/>
    <col width="8.6328125" customWidth="1" min="15364" max="15366"/>
    <col width="7.6328125" customWidth="1" min="15367" max="15367"/>
    <col width="8.6328125" customWidth="1" min="15368" max="15369"/>
    <col width="9.6328125" customWidth="1" min="15370" max="15370"/>
    <col width="8.6328125" customWidth="1" min="15371" max="15374"/>
    <col width="9.6328125" customWidth="1" min="15375" max="15375"/>
    <col width="8.6328125" customWidth="1" min="15376" max="15377"/>
    <col width="9.1796875" customWidth="1" min="15378" max="15616"/>
    <col width="12.6328125" customWidth="1" min="15617" max="15617"/>
    <col width="15.6328125" customWidth="1" min="15618" max="15618"/>
    <col width="9.6328125" customWidth="1" min="15619" max="15619"/>
    <col width="8.6328125" customWidth="1" min="15620" max="15622"/>
    <col width="7.6328125" customWidth="1" min="15623" max="15623"/>
    <col width="8.6328125" customWidth="1" min="15624" max="15625"/>
    <col width="9.6328125" customWidth="1" min="15626" max="15626"/>
    <col width="8.6328125" customWidth="1" min="15627" max="15630"/>
    <col width="9.6328125" customWidth="1" min="15631" max="15631"/>
    <col width="8.6328125" customWidth="1" min="15632" max="15633"/>
    <col width="9.1796875" customWidth="1" min="15634" max="15872"/>
    <col width="12.6328125" customWidth="1" min="15873" max="15873"/>
    <col width="15.6328125" customWidth="1" min="15874" max="15874"/>
    <col width="9.6328125" customWidth="1" min="15875" max="15875"/>
    <col width="8.6328125" customWidth="1" min="15876" max="15878"/>
    <col width="7.6328125" customWidth="1" min="15879" max="15879"/>
    <col width="8.6328125" customWidth="1" min="15880" max="15881"/>
    <col width="9.6328125" customWidth="1" min="15882" max="15882"/>
    <col width="8.6328125" customWidth="1" min="15883" max="15886"/>
    <col width="9.6328125" customWidth="1" min="15887" max="15887"/>
    <col width="8.6328125" customWidth="1" min="15888" max="15889"/>
    <col width="9.1796875" customWidth="1" min="15890" max="16128"/>
    <col width="12.6328125" customWidth="1" min="16129" max="16129"/>
    <col width="15.6328125" customWidth="1" min="16130" max="16130"/>
    <col width="9.6328125" customWidth="1" min="16131" max="16131"/>
    <col width="8.6328125" customWidth="1" min="16132" max="16134"/>
    <col width="7.6328125" customWidth="1" min="16135" max="16135"/>
    <col width="8.6328125" customWidth="1" min="16136" max="16137"/>
    <col width="9.6328125" customWidth="1" min="16138" max="16138"/>
    <col width="8.6328125" customWidth="1" min="16139" max="16142"/>
    <col width="9.6328125" customWidth="1" min="16143" max="16143"/>
    <col width="8.6328125" customWidth="1" min="16144" max="16145"/>
    <col width="9.1796875" customWidth="1"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3"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3"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3"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3"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3"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3"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3"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3"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3"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3"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3"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3"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3"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3"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3"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3"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3"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3"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3"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3"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3"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3"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3"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3"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3"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3"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3"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3"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3"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3"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3"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3"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3"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3"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3"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3"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3"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3"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3"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3"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3"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3"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3"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3"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3"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3"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3"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3"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3"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3"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3"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3"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3"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3"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3"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3"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3"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3"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3"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3"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3"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3"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3"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3"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3"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3"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3"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3"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3"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3"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3"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3"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3"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3"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3"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3"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3"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3"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3"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3"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3"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3"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3"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3"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3"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3"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3"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3"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3"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3"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3"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3"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3"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3"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3"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3"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3"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3"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3"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3"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3"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3"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3"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3"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3"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3"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3"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3"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3"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3"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3"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3"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3"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3"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3"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3"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3"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3"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3"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3"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3"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3"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3"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3"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3"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3"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3"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3"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3"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3"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3"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3"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3"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3"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3"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3"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3"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3"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3"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3"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3"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3"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3"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3"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3"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3"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3"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3"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3"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3"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3"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3"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3"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3"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3"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3"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3"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3"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3"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3"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3"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3"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3"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3"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3"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3"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3"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3"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3"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3"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3"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3"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3"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3"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3"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3"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3"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3"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3"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3"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3"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3"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3"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3"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3"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3"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3"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3"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3"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3"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3"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3"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3"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3"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3"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3"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3"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3"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3"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3"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3"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3"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3"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3"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3"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3"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3"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3"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3"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3"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3"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3"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3"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3"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3"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3"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3" t="n">
        <v>40179</v>
      </c>
      <c r="B218" t="n">
        <v>251846</v>
      </c>
      <c r="C218" t="n">
        <v>346043</v>
      </c>
      <c r="D218" t="n">
        <v>20557</v>
      </c>
      <c r="E218" t="n">
        <v>17351</v>
      </c>
      <c r="F218" t="n">
        <v>47875</v>
      </c>
      <c r="G218" t="n">
        <v>8223</v>
      </c>
      <c r="H218" t="n">
        <v>7003</v>
      </c>
      <c r="I218" t="n">
        <v>37700</v>
      </c>
      <c r="J218" t="n">
        <v>289245</v>
      </c>
      <c r="K218" t="n">
        <v>37399</v>
      </c>
      <c r="L218" t="n">
        <v>49844</v>
      </c>
      <c r="M218" t="n">
        <v>21187</v>
      </c>
      <c r="N218" t="n">
        <v>8363</v>
      </c>
      <c r="O218" t="n">
        <v>56798</v>
      </c>
      <c r="P218" t="n">
        <v>27236</v>
      </c>
      <c r="Q218" t="n">
        <v>6507</v>
      </c>
    </row>
    <row r="219">
      <c r="A219" s="133" t="n">
        <v>40210</v>
      </c>
      <c r="B219" t="n">
        <v>254082</v>
      </c>
      <c r="C219" t="n">
        <v>346835</v>
      </c>
      <c r="D219" t="n">
        <v>20452</v>
      </c>
      <c r="E219" t="n">
        <v>17402</v>
      </c>
      <c r="F219" t="n">
        <v>48699</v>
      </c>
      <c r="G219" t="n">
        <v>8482</v>
      </c>
      <c r="H219" t="n">
        <v>7131</v>
      </c>
      <c r="I219" t="n">
        <v>38267</v>
      </c>
      <c r="J219" t="n">
        <v>291032</v>
      </c>
      <c r="K219" t="n">
        <v>36950</v>
      </c>
      <c r="L219" t="n">
        <v>50538</v>
      </c>
      <c r="M219" t="n">
        <v>21199</v>
      </c>
      <c r="N219" t="n">
        <v>8251</v>
      </c>
      <c r="O219" t="n">
        <v>55803</v>
      </c>
      <c r="P219" t="n">
        <v>27249</v>
      </c>
      <c r="Q219" t="n">
        <v>6412</v>
      </c>
    </row>
    <row r="220">
      <c r="A220" s="133" t="n">
        <v>40238</v>
      </c>
      <c r="B220" t="n">
        <v>256340</v>
      </c>
      <c r="C220" t="n">
        <v>354360</v>
      </c>
      <c r="D220" t="n">
        <v>21875</v>
      </c>
      <c r="E220" t="n">
        <v>17908</v>
      </c>
      <c r="F220" t="n">
        <v>48268</v>
      </c>
      <c r="G220" t="n">
        <v>8148</v>
      </c>
      <c r="H220" t="n">
        <v>7235</v>
      </c>
      <c r="I220" t="n">
        <v>38376</v>
      </c>
      <c r="J220" t="n">
        <v>293463</v>
      </c>
      <c r="K220" t="n">
        <v>37123</v>
      </c>
      <c r="L220" t="n">
        <v>50095</v>
      </c>
      <c r="M220" t="n">
        <v>21363</v>
      </c>
      <c r="N220" t="n">
        <v>8705</v>
      </c>
      <c r="O220" t="n">
        <v>60897</v>
      </c>
      <c r="P220" t="n">
        <v>27852</v>
      </c>
      <c r="Q220" t="n">
        <v>6515</v>
      </c>
    </row>
    <row r="221">
      <c r="A221" s="133" t="n">
        <v>40269</v>
      </c>
      <c r="B221" t="n">
        <v>258420</v>
      </c>
      <c r="C221" t="n">
        <v>357461</v>
      </c>
      <c r="D221" t="n">
        <v>23556</v>
      </c>
      <c r="E221" t="n">
        <v>17724</v>
      </c>
      <c r="F221" t="n">
        <v>48217</v>
      </c>
      <c r="G221" t="n">
        <v>8280</v>
      </c>
      <c r="H221" t="n">
        <v>7121</v>
      </c>
      <c r="I221" t="n">
        <v>38658</v>
      </c>
      <c r="J221" t="n">
        <v>295638</v>
      </c>
      <c r="K221" t="n">
        <v>37218</v>
      </c>
      <c r="L221" t="n">
        <v>50650</v>
      </c>
      <c r="M221" t="n">
        <v>21471</v>
      </c>
      <c r="N221" t="n">
        <v>8567</v>
      </c>
      <c r="O221" t="n">
        <v>61823</v>
      </c>
      <c r="P221" t="n">
        <v>27767</v>
      </c>
      <c r="Q221" t="n">
        <v>6409</v>
      </c>
    </row>
    <row r="222">
      <c r="A222" s="133" t="n">
        <v>40299</v>
      </c>
      <c r="B222" t="n">
        <v>256078</v>
      </c>
      <c r="C222" t="n">
        <v>354255</v>
      </c>
      <c r="D222" t="n">
        <v>21747</v>
      </c>
      <c r="E222" t="n">
        <v>17656</v>
      </c>
      <c r="F222" t="n">
        <v>48195</v>
      </c>
      <c r="G222" t="n">
        <v>8366</v>
      </c>
      <c r="H222" t="n">
        <v>7117</v>
      </c>
      <c r="I222" t="n">
        <v>38695</v>
      </c>
      <c r="J222" t="n">
        <v>292684</v>
      </c>
      <c r="K222" t="n">
        <v>36606</v>
      </c>
      <c r="L222" t="n">
        <v>50023</v>
      </c>
      <c r="M222" t="n">
        <v>21399</v>
      </c>
      <c r="N222" t="n">
        <v>8632</v>
      </c>
      <c r="O222" t="n">
        <v>61571</v>
      </c>
      <c r="P222" t="n">
        <v>27752</v>
      </c>
      <c r="Q222" t="n">
        <v>6496</v>
      </c>
    </row>
    <row r="223">
      <c r="A223" s="133" t="n">
        <v>40330</v>
      </c>
      <c r="B223" t="n">
        <v>256732</v>
      </c>
      <c r="C223" t="n">
        <v>353766</v>
      </c>
      <c r="D223" t="n">
        <v>21528</v>
      </c>
      <c r="E223" t="n">
        <v>17495</v>
      </c>
      <c r="F223" t="n">
        <v>47866</v>
      </c>
      <c r="G223" t="n">
        <v>8501</v>
      </c>
      <c r="H223" t="n">
        <v>7079</v>
      </c>
      <c r="I223" t="n">
        <v>38877</v>
      </c>
      <c r="J223" t="n">
        <v>292341</v>
      </c>
      <c r="K223" t="n">
        <v>35609</v>
      </c>
      <c r="L223" t="n">
        <v>49966</v>
      </c>
      <c r="M223" t="n">
        <v>21661</v>
      </c>
      <c r="N223" t="n">
        <v>8797</v>
      </c>
      <c r="O223" t="n">
        <v>61425</v>
      </c>
      <c r="P223" t="n">
        <v>28465</v>
      </c>
      <c r="Q223" t="n">
        <v>6497</v>
      </c>
    </row>
    <row r="224">
      <c r="A224" s="133" t="n">
        <v>40360</v>
      </c>
      <c r="B224" t="n">
        <v>256401</v>
      </c>
      <c r="C224" t="n">
        <v>354844</v>
      </c>
      <c r="D224" t="n">
        <v>21499</v>
      </c>
      <c r="E224" t="n">
        <v>17573</v>
      </c>
      <c r="F224" t="n">
        <v>47954</v>
      </c>
      <c r="G224" t="n">
        <v>8353</v>
      </c>
      <c r="H224" t="n">
        <v>7101</v>
      </c>
      <c r="I224" t="n">
        <v>39033</v>
      </c>
      <c r="J224" t="n">
        <v>292165</v>
      </c>
      <c r="K224" t="n">
        <v>35764</v>
      </c>
      <c r="L224" t="n">
        <v>49913</v>
      </c>
      <c r="M224" t="n">
        <v>21733</v>
      </c>
      <c r="N224" t="n">
        <v>8613</v>
      </c>
      <c r="O224" t="n">
        <v>62679</v>
      </c>
      <c r="P224" t="n">
        <v>28113</v>
      </c>
      <c r="Q224" t="n">
        <v>6516</v>
      </c>
    </row>
    <row r="225">
      <c r="A225" s="133" t="n">
        <v>40391</v>
      </c>
      <c r="B225" t="n">
        <v>257842</v>
      </c>
      <c r="C225" t="n">
        <v>356610</v>
      </c>
      <c r="D225" t="n">
        <v>21278</v>
      </c>
      <c r="E225" t="n">
        <v>17643</v>
      </c>
      <c r="F225" t="n">
        <v>48217</v>
      </c>
      <c r="G225" t="n">
        <v>8329</v>
      </c>
      <c r="H225" t="n">
        <v>7123</v>
      </c>
      <c r="I225" t="n">
        <v>39402</v>
      </c>
      <c r="J225" t="n">
        <v>294065</v>
      </c>
      <c r="K225" t="n">
        <v>36223</v>
      </c>
      <c r="L225" t="n">
        <v>50133</v>
      </c>
      <c r="M225" t="n">
        <v>21863</v>
      </c>
      <c r="N225" t="n">
        <v>8649</v>
      </c>
      <c r="O225" t="n">
        <v>62545</v>
      </c>
      <c r="P225" t="n">
        <v>28764</v>
      </c>
      <c r="Q225" t="n">
        <v>6441</v>
      </c>
    </row>
    <row r="226">
      <c r="A226" s="133" t="n">
        <v>40422</v>
      </c>
      <c r="B226" t="n">
        <v>259029</v>
      </c>
      <c r="C226" t="n">
        <v>359646</v>
      </c>
      <c r="D226" t="n">
        <v>21351</v>
      </c>
      <c r="E226" t="n">
        <v>17705</v>
      </c>
      <c r="F226" t="n">
        <v>48679</v>
      </c>
      <c r="G226" t="n">
        <v>8383</v>
      </c>
      <c r="H226" t="n">
        <v>7108</v>
      </c>
      <c r="I226" t="n">
        <v>39385</v>
      </c>
      <c r="J226" t="n">
        <v>296386</v>
      </c>
      <c r="K226" t="n">
        <v>37357</v>
      </c>
      <c r="L226" t="n">
        <v>50297</v>
      </c>
      <c r="M226" t="n">
        <v>21888</v>
      </c>
      <c r="N226" t="n">
        <v>8766</v>
      </c>
      <c r="O226" t="n">
        <v>63260</v>
      </c>
      <c r="P226" t="n">
        <v>28998</v>
      </c>
      <c r="Q226" t="n">
        <v>6469</v>
      </c>
    </row>
    <row r="227">
      <c r="A227" s="133" t="n">
        <v>40452</v>
      </c>
      <c r="B227" t="n">
        <v>260142</v>
      </c>
      <c r="C227" t="n">
        <v>363577</v>
      </c>
      <c r="D227" t="n">
        <v>22033</v>
      </c>
      <c r="E227" t="n">
        <v>18002</v>
      </c>
      <c r="F227" t="n">
        <v>48569</v>
      </c>
      <c r="G227" t="n">
        <v>8265</v>
      </c>
      <c r="H227" t="n">
        <v>7032</v>
      </c>
      <c r="I227" t="n">
        <v>39479</v>
      </c>
      <c r="J227" t="n">
        <v>298661</v>
      </c>
      <c r="K227" t="n">
        <v>38519</v>
      </c>
      <c r="L227" t="n">
        <v>50255</v>
      </c>
      <c r="M227" t="n">
        <v>22105</v>
      </c>
      <c r="N227" t="n">
        <v>8924</v>
      </c>
      <c r="O227" t="n">
        <v>64916</v>
      </c>
      <c r="P227" t="n">
        <v>28899</v>
      </c>
      <c r="Q227" t="n">
        <v>6579</v>
      </c>
    </row>
    <row r="228">
      <c r="A228" s="133" t="n">
        <v>40483</v>
      </c>
      <c r="B228" t="n">
        <v>262546</v>
      </c>
      <c r="C228" t="n">
        <v>367198</v>
      </c>
      <c r="D228" t="n">
        <v>21944</v>
      </c>
      <c r="E228" t="n">
        <v>18420</v>
      </c>
      <c r="F228" t="n">
        <v>49131</v>
      </c>
      <c r="G228" t="n">
        <v>8107</v>
      </c>
      <c r="H228" t="n">
        <v>7104</v>
      </c>
      <c r="I228" t="n">
        <v>39710</v>
      </c>
      <c r="J228" t="n">
        <v>301818</v>
      </c>
      <c r="K228" t="n">
        <v>39272</v>
      </c>
      <c r="L228" t="n">
        <v>51382</v>
      </c>
      <c r="M228" t="n">
        <v>22180</v>
      </c>
      <c r="N228" t="n">
        <v>8902</v>
      </c>
      <c r="O228" t="n">
        <v>65380</v>
      </c>
      <c r="P228" t="n">
        <v>28943</v>
      </c>
      <c r="Q228" t="n">
        <v>6723</v>
      </c>
    </row>
    <row r="229">
      <c r="A229" s="133" t="n">
        <v>40513</v>
      </c>
      <c r="B229" t="n">
        <v>262654</v>
      </c>
      <c r="C229" t="n">
        <v>369229</v>
      </c>
      <c r="D229" t="n">
        <v>22138</v>
      </c>
      <c r="E229" t="n">
        <v>18206</v>
      </c>
      <c r="F229" t="n">
        <v>49186</v>
      </c>
      <c r="G229" t="n">
        <v>8274</v>
      </c>
      <c r="H229" t="n">
        <v>7062</v>
      </c>
      <c r="I229" t="n">
        <v>39469</v>
      </c>
      <c r="J229" t="n">
        <v>303933</v>
      </c>
      <c r="K229" t="n">
        <v>41279</v>
      </c>
      <c r="L229" t="n">
        <v>50935</v>
      </c>
      <c r="M229" t="n">
        <v>22272</v>
      </c>
      <c r="N229" t="n">
        <v>8878</v>
      </c>
      <c r="O229" t="n">
        <v>65296</v>
      </c>
      <c r="P229" t="n">
        <v>29646</v>
      </c>
      <c r="Q229" t="n">
        <v>6588</v>
      </c>
    </row>
    <row r="230">
      <c r="A230" s="133" t="n">
        <v>40544</v>
      </c>
      <c r="B230" t="n">
        <v>264029</v>
      </c>
      <c r="C230" t="n">
        <v>372025</v>
      </c>
      <c r="D230" t="n">
        <v>21493</v>
      </c>
      <c r="E230" t="n">
        <v>18351</v>
      </c>
      <c r="F230" t="n">
        <v>49676</v>
      </c>
      <c r="G230" t="n">
        <v>8209</v>
      </c>
      <c r="H230" t="n">
        <v>6984</v>
      </c>
      <c r="I230" t="n">
        <v>39743</v>
      </c>
      <c r="J230" t="n">
        <v>305807</v>
      </c>
      <c r="K230" t="n">
        <v>41778</v>
      </c>
      <c r="L230" t="n">
        <v>50889</v>
      </c>
      <c r="M230" t="n">
        <v>22695</v>
      </c>
      <c r="N230" t="n">
        <v>8828</v>
      </c>
      <c r="O230" t="n">
        <v>66218</v>
      </c>
      <c r="P230" t="n">
        <v>30596</v>
      </c>
      <c r="Q230" t="n">
        <v>6565</v>
      </c>
    </row>
    <row r="231">
      <c r="A231" s="133" t="n">
        <v>40575</v>
      </c>
      <c r="B231" t="n">
        <v>265515</v>
      </c>
      <c r="C231" t="n">
        <v>375064</v>
      </c>
      <c r="D231" t="n">
        <v>21197</v>
      </c>
      <c r="E231" t="n">
        <v>18594</v>
      </c>
      <c r="F231" t="n">
        <v>50066</v>
      </c>
      <c r="G231" t="n">
        <v>8347</v>
      </c>
      <c r="H231" t="n">
        <v>7145</v>
      </c>
      <c r="I231" t="n">
        <v>40382</v>
      </c>
      <c r="J231" t="n">
        <v>307809</v>
      </c>
      <c r="K231" t="n">
        <v>42294</v>
      </c>
      <c r="L231" t="n">
        <v>51513</v>
      </c>
      <c r="M231" t="n">
        <v>22428</v>
      </c>
      <c r="N231" t="n">
        <v>9116</v>
      </c>
      <c r="O231" t="n">
        <v>67255</v>
      </c>
      <c r="P231" t="n">
        <v>30116</v>
      </c>
      <c r="Q231" t="n">
        <v>6611</v>
      </c>
    </row>
    <row r="232">
      <c r="A232" s="133" t="n">
        <v>40603</v>
      </c>
      <c r="B232" t="n">
        <v>267215</v>
      </c>
      <c r="C232" t="n">
        <v>378576</v>
      </c>
      <c r="D232" t="n">
        <v>21865</v>
      </c>
      <c r="E232" t="n">
        <v>18706</v>
      </c>
      <c r="F232" t="n">
        <v>50078</v>
      </c>
      <c r="G232" t="n">
        <v>8477</v>
      </c>
      <c r="H232" t="n">
        <v>7411</v>
      </c>
      <c r="I232" t="n">
        <v>40575</v>
      </c>
      <c r="J232" t="n">
        <v>310995</v>
      </c>
      <c r="K232" t="n">
        <v>43780</v>
      </c>
      <c r="L232" t="n">
        <v>51635</v>
      </c>
      <c r="M232" t="n">
        <v>22563</v>
      </c>
      <c r="N232" t="n">
        <v>8842</v>
      </c>
      <c r="O232" t="n">
        <v>67581</v>
      </c>
      <c r="P232" t="n">
        <v>30497</v>
      </c>
      <c r="Q232" t="n">
        <v>6566</v>
      </c>
    </row>
    <row r="233">
      <c r="A233" s="133" t="n">
        <v>40634</v>
      </c>
      <c r="B233" t="n">
        <v>269116</v>
      </c>
      <c r="C233" t="n">
        <v>380337</v>
      </c>
      <c r="D233" t="n">
        <v>22037</v>
      </c>
      <c r="E233" t="n">
        <v>18946</v>
      </c>
      <c r="F233" t="n">
        <v>50836</v>
      </c>
      <c r="G233" t="n">
        <v>8529</v>
      </c>
      <c r="H233" t="n">
        <v>7321</v>
      </c>
      <c r="I233" t="n">
        <v>40624</v>
      </c>
      <c r="J233" t="n">
        <v>313677</v>
      </c>
      <c r="K233" t="n">
        <v>44561</v>
      </c>
      <c r="L233" t="n">
        <v>52018</v>
      </c>
      <c r="M233" t="n">
        <v>22448</v>
      </c>
      <c r="N233" t="n">
        <v>9053</v>
      </c>
      <c r="O233" t="n">
        <v>66660</v>
      </c>
      <c r="P233" t="n">
        <v>30696</v>
      </c>
      <c r="Q233" t="n">
        <v>6608</v>
      </c>
    </row>
    <row r="234">
      <c r="A234" s="133" t="n">
        <v>40664</v>
      </c>
      <c r="B234" t="n">
        <v>269064</v>
      </c>
      <c r="C234" t="n">
        <v>380219</v>
      </c>
      <c r="D234" t="n">
        <v>22320</v>
      </c>
      <c r="E234" t="n">
        <v>18831</v>
      </c>
      <c r="F234" t="n">
        <v>50382</v>
      </c>
      <c r="G234" t="n">
        <v>8416</v>
      </c>
      <c r="H234" t="n">
        <v>7245</v>
      </c>
      <c r="I234" t="n">
        <v>41050</v>
      </c>
      <c r="J234" t="n">
        <v>314364</v>
      </c>
      <c r="K234" t="n">
        <v>45300</v>
      </c>
      <c r="L234" t="n">
        <v>51752</v>
      </c>
      <c r="M234" t="n">
        <v>22608</v>
      </c>
      <c r="N234" t="n">
        <v>8975</v>
      </c>
      <c r="O234" t="n">
        <v>65855</v>
      </c>
      <c r="P234" t="n">
        <v>30943</v>
      </c>
      <c r="Q234" t="n">
        <v>6542</v>
      </c>
    </row>
    <row r="235">
      <c r="A235" s="133" t="n">
        <v>40695</v>
      </c>
      <c r="B235" t="n">
        <v>271930</v>
      </c>
      <c r="C235" t="n">
        <v>383327</v>
      </c>
      <c r="D235" t="n">
        <v>22740</v>
      </c>
      <c r="E235" t="n">
        <v>19187</v>
      </c>
      <c r="F235" t="n">
        <v>50943</v>
      </c>
      <c r="G235" t="n">
        <v>8439</v>
      </c>
      <c r="H235" t="n">
        <v>7227</v>
      </c>
      <c r="I235" t="n">
        <v>41540</v>
      </c>
      <c r="J235" t="n">
        <v>316502</v>
      </c>
      <c r="K235" t="n">
        <v>44572</v>
      </c>
      <c r="L235" t="n">
        <v>52419</v>
      </c>
      <c r="M235" t="n">
        <v>22607</v>
      </c>
      <c r="N235" t="n">
        <v>9062</v>
      </c>
      <c r="O235" t="n">
        <v>66825</v>
      </c>
      <c r="P235" t="n">
        <v>31181</v>
      </c>
      <c r="Q235" t="n">
        <v>6585</v>
      </c>
    </row>
    <row r="236">
      <c r="A236" s="133" t="n">
        <v>40725</v>
      </c>
      <c r="B236" t="n">
        <v>271622</v>
      </c>
      <c r="C236" t="n">
        <v>382954</v>
      </c>
      <c r="D236" t="n">
        <v>22758</v>
      </c>
      <c r="E236" t="n">
        <v>18998</v>
      </c>
      <c r="F236" t="n">
        <v>50941</v>
      </c>
      <c r="G236" t="n">
        <v>8548</v>
      </c>
      <c r="H236" t="n">
        <v>7263</v>
      </c>
      <c r="I236" t="n">
        <v>41516</v>
      </c>
      <c r="J236" t="n">
        <v>316418</v>
      </c>
      <c r="K236" t="n">
        <v>44796</v>
      </c>
      <c r="L236" t="n">
        <v>52110</v>
      </c>
      <c r="M236" t="n">
        <v>22728</v>
      </c>
      <c r="N236" t="n">
        <v>9168</v>
      </c>
      <c r="O236" t="n">
        <v>66536</v>
      </c>
      <c r="P236" t="n">
        <v>31130</v>
      </c>
      <c r="Q236" t="n">
        <v>6462</v>
      </c>
    </row>
    <row r="237">
      <c r="A237" s="133" t="n">
        <v>40756</v>
      </c>
      <c r="B237" t="n">
        <v>273001</v>
      </c>
      <c r="C237" t="n">
        <v>383839</v>
      </c>
      <c r="D237" t="n">
        <v>22763</v>
      </c>
      <c r="E237" t="n">
        <v>18902</v>
      </c>
      <c r="F237" t="n">
        <v>51179</v>
      </c>
      <c r="G237" t="n">
        <v>8615</v>
      </c>
      <c r="H237" t="n">
        <v>7333</v>
      </c>
      <c r="I237" t="n">
        <v>41718</v>
      </c>
      <c r="J237" t="n">
        <v>318034</v>
      </c>
      <c r="K237" t="n">
        <v>45033</v>
      </c>
      <c r="L237" t="n">
        <v>52132</v>
      </c>
      <c r="M237" t="n">
        <v>22822</v>
      </c>
      <c r="N237" t="n">
        <v>9228</v>
      </c>
      <c r="O237" t="n">
        <v>65805</v>
      </c>
      <c r="P237" t="n">
        <v>31648</v>
      </c>
      <c r="Q237" t="n">
        <v>6661</v>
      </c>
    </row>
    <row r="238">
      <c r="A238" s="133" t="n">
        <v>40787</v>
      </c>
      <c r="B238" t="n">
        <v>273860</v>
      </c>
      <c r="C238" t="n">
        <v>387758</v>
      </c>
      <c r="D238" t="n">
        <v>22640</v>
      </c>
      <c r="E238" t="n">
        <v>19514</v>
      </c>
      <c r="F238" t="n">
        <v>51096</v>
      </c>
      <c r="G238" t="n">
        <v>8484</v>
      </c>
      <c r="H238" t="n">
        <v>7384</v>
      </c>
      <c r="I238" t="n">
        <v>42013</v>
      </c>
      <c r="J238" t="n">
        <v>318942</v>
      </c>
      <c r="K238" t="n">
        <v>45082</v>
      </c>
      <c r="L238" t="n">
        <v>52570</v>
      </c>
      <c r="M238" t="n">
        <v>22718</v>
      </c>
      <c r="N238" t="n">
        <v>9151</v>
      </c>
      <c r="O238" t="n">
        <v>68816</v>
      </c>
      <c r="P238" t="n">
        <v>31604</v>
      </c>
      <c r="Q238" t="n">
        <v>6686</v>
      </c>
    </row>
    <row r="239">
      <c r="A239" s="133" t="n">
        <v>40817</v>
      </c>
      <c r="B239" t="n">
        <v>275378</v>
      </c>
      <c r="C239" t="n">
        <v>390104</v>
      </c>
      <c r="D239" t="n">
        <v>23253</v>
      </c>
      <c r="E239" t="n">
        <v>19128</v>
      </c>
      <c r="F239" t="n">
        <v>51322</v>
      </c>
      <c r="G239" t="n">
        <v>8795</v>
      </c>
      <c r="H239" t="n">
        <v>7303</v>
      </c>
      <c r="I239" t="n">
        <v>42162</v>
      </c>
      <c r="J239" t="n">
        <v>320224</v>
      </c>
      <c r="K239" t="n">
        <v>44846</v>
      </c>
      <c r="L239" t="n">
        <v>52463</v>
      </c>
      <c r="M239" t="n">
        <v>22830</v>
      </c>
      <c r="N239" t="n">
        <v>9076</v>
      </c>
      <c r="O239" t="n">
        <v>69880</v>
      </c>
      <c r="P239" t="n">
        <v>32441</v>
      </c>
      <c r="Q239" t="n">
        <v>6605</v>
      </c>
    </row>
    <row r="240">
      <c r="A240" s="133" t="n">
        <v>40848</v>
      </c>
      <c r="B240" t="n">
        <v>275548</v>
      </c>
      <c r="C240" t="n">
        <v>391393</v>
      </c>
      <c r="D240" t="n">
        <v>22893</v>
      </c>
      <c r="E240" t="n">
        <v>19292</v>
      </c>
      <c r="F240" t="n">
        <v>51413</v>
      </c>
      <c r="G240" t="n">
        <v>8645</v>
      </c>
      <c r="H240" t="n">
        <v>7385</v>
      </c>
      <c r="I240" t="n">
        <v>42237</v>
      </c>
      <c r="J240" t="n">
        <v>321170</v>
      </c>
      <c r="K240" t="n">
        <v>45622</v>
      </c>
      <c r="L240" t="n">
        <v>52639</v>
      </c>
      <c r="M240" t="n">
        <v>22735</v>
      </c>
      <c r="N240" t="n">
        <v>9043</v>
      </c>
      <c r="O240" t="n">
        <v>70223</v>
      </c>
      <c r="P240" t="n">
        <v>32722</v>
      </c>
      <c r="Q240" t="n">
        <v>6544</v>
      </c>
    </row>
    <row r="241">
      <c r="A241" s="133" t="n">
        <v>40878</v>
      </c>
      <c r="B241" t="n">
        <v>274874</v>
      </c>
      <c r="C241" t="n">
        <v>391585</v>
      </c>
      <c r="D241" t="n">
        <v>23447</v>
      </c>
      <c r="E241" t="n">
        <v>19512</v>
      </c>
      <c r="F241" t="n">
        <v>51262</v>
      </c>
      <c r="G241" t="n">
        <v>8456</v>
      </c>
      <c r="H241" t="n">
        <v>7537</v>
      </c>
      <c r="I241" t="n">
        <v>41864</v>
      </c>
      <c r="J241" t="n">
        <v>320165</v>
      </c>
      <c r="K241" t="n">
        <v>45291</v>
      </c>
      <c r="L241" t="n">
        <v>52459</v>
      </c>
      <c r="M241" t="n">
        <v>22656</v>
      </c>
      <c r="N241" t="n">
        <v>8868</v>
      </c>
      <c r="O241" t="n">
        <v>71420</v>
      </c>
      <c r="P241" t="n">
        <v>32460</v>
      </c>
      <c r="Q241" t="n">
        <v>6353</v>
      </c>
    </row>
    <row r="242">
      <c r="A242" s="133" t="n">
        <v>40909</v>
      </c>
      <c r="B242" t="n">
        <v>278169</v>
      </c>
      <c r="C242" t="n">
        <v>395641</v>
      </c>
      <c r="D242" t="n">
        <v>23609</v>
      </c>
      <c r="E242" t="n">
        <v>19564</v>
      </c>
      <c r="F242" t="n">
        <v>51495</v>
      </c>
      <c r="G242" t="n">
        <v>8513</v>
      </c>
      <c r="H242" t="n">
        <v>7646</v>
      </c>
      <c r="I242" t="n">
        <v>42905</v>
      </c>
      <c r="J242" t="n">
        <v>323921</v>
      </c>
      <c r="K242" t="n">
        <v>45752</v>
      </c>
      <c r="L242" t="n">
        <v>53097</v>
      </c>
      <c r="M242" t="n">
        <v>22973</v>
      </c>
      <c r="N242" t="n">
        <v>9309</v>
      </c>
      <c r="O242" t="n">
        <v>71720</v>
      </c>
      <c r="P242" t="n">
        <v>32483</v>
      </c>
      <c r="Q242" t="n">
        <v>6575</v>
      </c>
    </row>
    <row r="243">
      <c r="A243" s="133" t="n">
        <v>40940</v>
      </c>
      <c r="B243" t="n">
        <v>280557</v>
      </c>
      <c r="C243" t="n">
        <v>400385</v>
      </c>
      <c r="D243" t="n">
        <v>23568</v>
      </c>
      <c r="E243" t="n">
        <v>20275</v>
      </c>
      <c r="F243" t="n">
        <v>51654</v>
      </c>
      <c r="G243" t="n">
        <v>8538</v>
      </c>
      <c r="H243" t="n">
        <v>7627</v>
      </c>
      <c r="I243" t="n">
        <v>42950</v>
      </c>
      <c r="J243" t="n">
        <v>327728</v>
      </c>
      <c r="K243" t="n">
        <v>47171</v>
      </c>
      <c r="L243" t="n">
        <v>53944</v>
      </c>
      <c r="M243" t="n">
        <v>22999</v>
      </c>
      <c r="N243" t="n">
        <v>9416</v>
      </c>
      <c r="O243" t="n">
        <v>72657</v>
      </c>
      <c r="P243" t="n">
        <v>32903</v>
      </c>
      <c r="Q243" t="n">
        <v>6683</v>
      </c>
    </row>
    <row r="244">
      <c r="A244" s="133" t="n">
        <v>40969</v>
      </c>
      <c r="B244" t="n">
        <v>281567</v>
      </c>
      <c r="C244" t="n">
        <v>401654</v>
      </c>
      <c r="D244" t="n">
        <v>24580</v>
      </c>
      <c r="E244" t="n">
        <v>20063</v>
      </c>
      <c r="F244" t="n">
        <v>52155</v>
      </c>
      <c r="G244" t="n">
        <v>8707</v>
      </c>
      <c r="H244" t="n">
        <v>7594</v>
      </c>
      <c r="I244" t="n">
        <v>42942</v>
      </c>
      <c r="J244" t="n">
        <v>329062</v>
      </c>
      <c r="K244" t="n">
        <v>47495</v>
      </c>
      <c r="L244" t="n">
        <v>53681</v>
      </c>
      <c r="M244" t="n">
        <v>22945</v>
      </c>
      <c r="N244" t="n">
        <v>9186</v>
      </c>
      <c r="O244" t="n">
        <v>72592</v>
      </c>
      <c r="P244" t="n">
        <v>32899</v>
      </c>
      <c r="Q244" t="n">
        <v>6815</v>
      </c>
    </row>
    <row r="245">
      <c r="A245" s="133" t="n">
        <v>41000</v>
      </c>
      <c r="B245" t="n">
        <v>280229</v>
      </c>
      <c r="C245" t="n">
        <v>400237</v>
      </c>
      <c r="D245" t="n">
        <v>23423</v>
      </c>
      <c r="E245" t="n">
        <v>19540</v>
      </c>
      <c r="F245" t="n">
        <v>52249</v>
      </c>
      <c r="G245" t="n">
        <v>8559</v>
      </c>
      <c r="H245" t="n">
        <v>7502</v>
      </c>
      <c r="I245" t="n">
        <v>43365</v>
      </c>
      <c r="J245" t="n">
        <v>327235</v>
      </c>
      <c r="K245" t="n">
        <v>47006</v>
      </c>
      <c r="L245" t="n">
        <v>53301</v>
      </c>
      <c r="M245" t="n">
        <v>23045</v>
      </c>
      <c r="N245" t="n">
        <v>9201</v>
      </c>
      <c r="O245" t="n">
        <v>73002</v>
      </c>
      <c r="P245" t="n">
        <v>33185</v>
      </c>
      <c r="Q245" t="n">
        <v>6859</v>
      </c>
    </row>
    <row r="246">
      <c r="A246" s="133" t="n">
        <v>41030</v>
      </c>
      <c r="B246" t="n">
        <v>279955</v>
      </c>
      <c r="C246" t="n">
        <v>399367</v>
      </c>
      <c r="D246" t="n">
        <v>22732</v>
      </c>
      <c r="E246" t="n">
        <v>19633</v>
      </c>
      <c r="F246" t="n">
        <v>52283</v>
      </c>
      <c r="G246" t="n">
        <v>8723</v>
      </c>
      <c r="H246" t="n">
        <v>7660</v>
      </c>
      <c r="I246" t="n">
        <v>43313</v>
      </c>
      <c r="J246" t="n">
        <v>325721</v>
      </c>
      <c r="K246" t="n">
        <v>45766</v>
      </c>
      <c r="L246" t="n">
        <v>53117</v>
      </c>
      <c r="M246" t="n">
        <v>22883</v>
      </c>
      <c r="N246" t="n">
        <v>8897</v>
      </c>
      <c r="O246" t="n">
        <v>73646</v>
      </c>
      <c r="P246" t="n">
        <v>33845</v>
      </c>
      <c r="Q246" t="n">
        <v>6869</v>
      </c>
    </row>
    <row r="247">
      <c r="A247" s="133" t="n">
        <v>41061</v>
      </c>
      <c r="B247" t="n">
        <v>279583</v>
      </c>
      <c r="C247" t="n">
        <v>395553</v>
      </c>
      <c r="D247" t="n">
        <v>22531</v>
      </c>
      <c r="E247" t="n">
        <v>19860</v>
      </c>
      <c r="F247" t="n">
        <v>52249</v>
      </c>
      <c r="G247" t="n">
        <v>8658</v>
      </c>
      <c r="H247" t="n">
        <v>7552</v>
      </c>
      <c r="I247" t="n">
        <v>43542</v>
      </c>
      <c r="J247" t="n">
        <v>323229</v>
      </c>
      <c r="K247" t="n">
        <v>43646</v>
      </c>
      <c r="L247" t="n">
        <v>53158</v>
      </c>
      <c r="M247" t="n">
        <v>22471</v>
      </c>
      <c r="N247" t="n">
        <v>9079</v>
      </c>
      <c r="O247" t="n">
        <v>72324</v>
      </c>
      <c r="P247" t="n">
        <v>33686</v>
      </c>
      <c r="Q247" t="n">
        <v>6797</v>
      </c>
    </row>
    <row r="248">
      <c r="A248" s="133" t="n">
        <v>41091</v>
      </c>
      <c r="B248" t="n">
        <v>280969</v>
      </c>
      <c r="C248" t="n">
        <v>397650</v>
      </c>
      <c r="D248" t="n">
        <v>22717</v>
      </c>
      <c r="E248" t="n">
        <v>19701</v>
      </c>
      <c r="F248" t="n">
        <v>52231</v>
      </c>
      <c r="G248" t="n">
        <v>8750</v>
      </c>
      <c r="H248" t="n">
        <v>7650</v>
      </c>
      <c r="I248" t="n">
        <v>43676</v>
      </c>
      <c r="J248" t="n">
        <v>324453</v>
      </c>
      <c r="K248" t="n">
        <v>43484</v>
      </c>
      <c r="L248" t="n">
        <v>53303</v>
      </c>
      <c r="M248" t="n">
        <v>22793</v>
      </c>
      <c r="N248" t="n">
        <v>9181</v>
      </c>
      <c r="O248" t="n">
        <v>73197</v>
      </c>
      <c r="P248" t="n">
        <v>34154</v>
      </c>
      <c r="Q248" t="n">
        <v>6813</v>
      </c>
    </row>
    <row r="249">
      <c r="A249" s="133" t="n">
        <v>41122</v>
      </c>
      <c r="B249" t="n">
        <v>281920</v>
      </c>
      <c r="C249" t="n">
        <v>402287</v>
      </c>
      <c r="D249" t="n">
        <v>23115</v>
      </c>
      <c r="E249" t="n">
        <v>19947</v>
      </c>
      <c r="F249" t="n">
        <v>52361</v>
      </c>
      <c r="G249" t="n">
        <v>8638</v>
      </c>
      <c r="H249" t="n">
        <v>7593</v>
      </c>
      <c r="I249" t="n">
        <v>43712</v>
      </c>
      <c r="J249" t="n">
        <v>328311</v>
      </c>
      <c r="K249" t="n">
        <v>46391</v>
      </c>
      <c r="L249" t="n">
        <v>53564</v>
      </c>
      <c r="M249" t="n">
        <v>22741</v>
      </c>
      <c r="N249" t="n">
        <v>9083</v>
      </c>
      <c r="O249" t="n">
        <v>73976</v>
      </c>
      <c r="P249" t="n">
        <v>34451</v>
      </c>
      <c r="Q249" t="n">
        <v>6715</v>
      </c>
    </row>
    <row r="250">
      <c r="A250" s="133" t="n">
        <v>41153</v>
      </c>
      <c r="B250" t="n">
        <v>283225</v>
      </c>
      <c r="C250" t="n">
        <v>405455</v>
      </c>
      <c r="D250" t="n">
        <v>23641</v>
      </c>
      <c r="E250" t="n">
        <v>20118</v>
      </c>
      <c r="F250" t="n">
        <v>52492</v>
      </c>
      <c r="G250" t="n">
        <v>8628</v>
      </c>
      <c r="H250" t="n">
        <v>7614</v>
      </c>
      <c r="I250" t="n">
        <v>44085</v>
      </c>
      <c r="J250" t="n">
        <v>330332</v>
      </c>
      <c r="K250" t="n">
        <v>47107</v>
      </c>
      <c r="L250" t="n">
        <v>53450</v>
      </c>
      <c r="M250" t="n">
        <v>22608</v>
      </c>
      <c r="N250" t="n">
        <v>9103</v>
      </c>
      <c r="O250" t="n">
        <v>75123</v>
      </c>
      <c r="P250" t="n">
        <v>34766</v>
      </c>
      <c r="Q250" t="n">
        <v>6720</v>
      </c>
    </row>
    <row r="251">
      <c r="A251" s="133" t="n">
        <v>41183</v>
      </c>
      <c r="B251" t="n">
        <v>282776</v>
      </c>
      <c r="C251" t="n">
        <v>405572</v>
      </c>
      <c r="D251" t="n">
        <v>23801</v>
      </c>
      <c r="E251" t="n">
        <v>19911</v>
      </c>
      <c r="F251" t="n">
        <v>52805</v>
      </c>
      <c r="G251" t="n">
        <v>8341</v>
      </c>
      <c r="H251" t="n">
        <v>7416</v>
      </c>
      <c r="I251" t="n">
        <v>43708</v>
      </c>
      <c r="J251" t="n">
        <v>330752</v>
      </c>
      <c r="K251" t="n">
        <v>47976</v>
      </c>
      <c r="L251" t="n">
        <v>53646</v>
      </c>
      <c r="M251" t="n">
        <v>22504</v>
      </c>
      <c r="N251" t="n">
        <v>9157</v>
      </c>
      <c r="O251" t="n">
        <v>74820</v>
      </c>
      <c r="P251" t="n">
        <v>34738</v>
      </c>
      <c r="Q251" t="n">
        <v>6749</v>
      </c>
    </row>
    <row r="252">
      <c r="A252" s="133" t="n">
        <v>41214</v>
      </c>
      <c r="B252" t="n">
        <v>284657</v>
      </c>
      <c r="C252" t="n">
        <v>407386</v>
      </c>
      <c r="D252" t="n">
        <v>24127</v>
      </c>
      <c r="E252" t="n">
        <v>19989</v>
      </c>
      <c r="F252" t="n">
        <v>52717</v>
      </c>
      <c r="G252" t="n">
        <v>8646</v>
      </c>
      <c r="H252" t="n">
        <v>7620</v>
      </c>
      <c r="I252" t="n">
        <v>44520</v>
      </c>
      <c r="J252" t="n">
        <v>331479</v>
      </c>
      <c r="K252" t="n">
        <v>46822</v>
      </c>
      <c r="L252" t="n">
        <v>53436</v>
      </c>
      <c r="M252" t="n">
        <v>22661</v>
      </c>
      <c r="N252" t="n">
        <v>9089</v>
      </c>
      <c r="O252" t="n">
        <v>75907</v>
      </c>
      <c r="P252" t="n">
        <v>35177</v>
      </c>
      <c r="Q252" t="n">
        <v>6675</v>
      </c>
    </row>
    <row r="253">
      <c r="A253" s="133" t="n">
        <v>41244</v>
      </c>
      <c r="B253" t="n">
        <v>286300</v>
      </c>
      <c r="C253" t="n">
        <v>408981</v>
      </c>
      <c r="D253" t="n">
        <v>24141</v>
      </c>
      <c r="E253" t="n">
        <v>20196</v>
      </c>
      <c r="F253" t="n">
        <v>52692</v>
      </c>
      <c r="G253" t="n">
        <v>8794</v>
      </c>
      <c r="H253" t="n">
        <v>7959</v>
      </c>
      <c r="I253" t="n">
        <v>44538</v>
      </c>
      <c r="J253" t="n">
        <v>332186</v>
      </c>
      <c r="K253" t="n">
        <v>45886</v>
      </c>
      <c r="L253" t="n">
        <v>53698</v>
      </c>
      <c r="M253" t="n">
        <v>22898</v>
      </c>
      <c r="N253" t="n">
        <v>9324</v>
      </c>
      <c r="O253" t="n">
        <v>76795</v>
      </c>
      <c r="P253" t="n">
        <v>35232</v>
      </c>
      <c r="Q253" t="n">
        <v>6828</v>
      </c>
    </row>
    <row r="254">
      <c r="A254" s="133" t="n">
        <v>41275</v>
      </c>
      <c r="B254" t="n">
        <v>288670</v>
      </c>
      <c r="C254" t="n">
        <v>412420</v>
      </c>
      <c r="D254" t="n">
        <v>24373</v>
      </c>
      <c r="E254" t="n">
        <v>20427</v>
      </c>
      <c r="F254" t="n">
        <v>52702</v>
      </c>
      <c r="G254" t="n">
        <v>8811</v>
      </c>
      <c r="H254" t="n">
        <v>7922</v>
      </c>
      <c r="I254" t="n">
        <v>45143</v>
      </c>
      <c r="J254" t="n">
        <v>334713</v>
      </c>
      <c r="K254" t="n">
        <v>46043</v>
      </c>
      <c r="L254" t="n">
        <v>54062</v>
      </c>
      <c r="M254" t="n">
        <v>23167</v>
      </c>
      <c r="N254" t="n">
        <v>9229</v>
      </c>
      <c r="O254" t="n">
        <v>77707</v>
      </c>
      <c r="P254" t="n">
        <v>35822</v>
      </c>
      <c r="Q254" t="n">
        <v>7012</v>
      </c>
    </row>
    <row r="255">
      <c r="A255" s="133" t="n">
        <v>41306</v>
      </c>
      <c r="B255" t="n">
        <v>289387</v>
      </c>
      <c r="C255" t="n">
        <v>417383</v>
      </c>
      <c r="D255" t="n">
        <v>24751</v>
      </c>
      <c r="E255" t="n">
        <v>20324</v>
      </c>
      <c r="F255" t="n">
        <v>53282</v>
      </c>
      <c r="G255" t="n">
        <v>8864</v>
      </c>
      <c r="H255" t="n">
        <v>7865</v>
      </c>
      <c r="I255" t="n">
        <v>44868</v>
      </c>
      <c r="J255" t="n">
        <v>338488</v>
      </c>
      <c r="K255" t="n">
        <v>49101</v>
      </c>
      <c r="L255" t="n">
        <v>54584</v>
      </c>
      <c r="M255" t="n">
        <v>22992</v>
      </c>
      <c r="N255" t="n">
        <v>9281</v>
      </c>
      <c r="O255" t="n">
        <v>78895</v>
      </c>
      <c r="P255" t="n">
        <v>35555</v>
      </c>
      <c r="Q255" t="n">
        <v>7021</v>
      </c>
    </row>
    <row r="256">
      <c r="A256" s="133" t="n">
        <v>41334</v>
      </c>
      <c r="B256" t="n">
        <v>288566</v>
      </c>
      <c r="C256" t="n">
        <v>414116</v>
      </c>
      <c r="D256" t="n">
        <v>24694</v>
      </c>
      <c r="E256" t="n">
        <v>20345</v>
      </c>
      <c r="F256" t="n">
        <v>53099</v>
      </c>
      <c r="G256" t="n">
        <v>8622</v>
      </c>
      <c r="H256" t="n">
        <v>7862</v>
      </c>
      <c r="I256" t="n">
        <v>45054</v>
      </c>
      <c r="J256" t="n">
        <v>336152</v>
      </c>
      <c r="K256" t="n">
        <v>47586</v>
      </c>
      <c r="L256" t="n">
        <v>54227</v>
      </c>
      <c r="M256" t="n">
        <v>23025</v>
      </c>
      <c r="N256" t="n">
        <v>9367</v>
      </c>
      <c r="O256" t="n">
        <v>77964</v>
      </c>
      <c r="P256" t="n">
        <v>35372</v>
      </c>
      <c r="Q256" t="n">
        <v>6899</v>
      </c>
    </row>
    <row r="257">
      <c r="A257" s="133" t="n">
        <v>41365</v>
      </c>
      <c r="B257" t="n">
        <v>287580</v>
      </c>
      <c r="C257" t="n">
        <v>412015</v>
      </c>
      <c r="D257" t="n">
        <v>24798</v>
      </c>
      <c r="E257" t="n">
        <v>20490</v>
      </c>
      <c r="F257" t="n">
        <v>52730</v>
      </c>
      <c r="G257" t="n">
        <v>8667</v>
      </c>
      <c r="H257" t="n">
        <v>7835</v>
      </c>
      <c r="I257" t="n">
        <v>44725</v>
      </c>
      <c r="J257" t="n">
        <v>333700</v>
      </c>
      <c r="K257" t="n">
        <v>46120</v>
      </c>
      <c r="L257" t="n">
        <v>54152</v>
      </c>
      <c r="M257" t="n">
        <v>22925</v>
      </c>
      <c r="N257" t="n">
        <v>9329</v>
      </c>
      <c r="O257" t="n">
        <v>78315</v>
      </c>
      <c r="P257" t="n">
        <v>35134</v>
      </c>
      <c r="Q257" t="n">
        <v>6795</v>
      </c>
    </row>
    <row r="258">
      <c r="A258" s="133" t="n">
        <v>41395</v>
      </c>
      <c r="B258" t="n">
        <v>289106</v>
      </c>
      <c r="C258" t="n">
        <v>414466</v>
      </c>
      <c r="D258" t="n">
        <v>25336</v>
      </c>
      <c r="E258" t="n">
        <v>20403</v>
      </c>
      <c r="F258" t="n">
        <v>53253</v>
      </c>
      <c r="G258" t="n">
        <v>8652</v>
      </c>
      <c r="H258" t="n">
        <v>7761</v>
      </c>
      <c r="I258" t="n">
        <v>44818</v>
      </c>
      <c r="J258" t="n">
        <v>334695</v>
      </c>
      <c r="K258" t="n">
        <v>45589</v>
      </c>
      <c r="L258" t="n">
        <v>54488</v>
      </c>
      <c r="M258" t="n">
        <v>23021</v>
      </c>
      <c r="N258" t="n">
        <v>9328</v>
      </c>
      <c r="O258" t="n">
        <v>79771</v>
      </c>
      <c r="P258" t="n">
        <v>35184</v>
      </c>
      <c r="Q258" t="n">
        <v>6862</v>
      </c>
    </row>
    <row r="259">
      <c r="A259" s="133" t="n">
        <v>41426</v>
      </c>
      <c r="B259" t="n">
        <v>288417</v>
      </c>
      <c r="C259" t="n">
        <v>415550</v>
      </c>
      <c r="D259" t="n">
        <v>24793</v>
      </c>
      <c r="E259" t="n">
        <v>20369</v>
      </c>
      <c r="F259" t="n">
        <v>53213</v>
      </c>
      <c r="G259" t="n">
        <v>8655</v>
      </c>
      <c r="H259" t="n">
        <v>7988</v>
      </c>
      <c r="I259" t="n">
        <v>44703</v>
      </c>
      <c r="J259" t="n">
        <v>334241</v>
      </c>
      <c r="K259" t="n">
        <v>45824</v>
      </c>
      <c r="L259" t="n">
        <v>54418</v>
      </c>
      <c r="M259" t="n">
        <v>23001</v>
      </c>
      <c r="N259" t="n">
        <v>9170</v>
      </c>
      <c r="O259" t="n">
        <v>81309</v>
      </c>
      <c r="P259" t="n">
        <v>35194</v>
      </c>
      <c r="Q259" t="n">
        <v>6913</v>
      </c>
    </row>
    <row r="260">
      <c r="A260" s="133" t="n">
        <v>41456</v>
      </c>
      <c r="B260" t="n">
        <v>290835</v>
      </c>
      <c r="C260" t="n">
        <v>418500</v>
      </c>
      <c r="D260" t="n">
        <v>25353</v>
      </c>
      <c r="E260" t="n">
        <v>20579</v>
      </c>
      <c r="F260" t="n">
        <v>53613</v>
      </c>
      <c r="G260" t="n">
        <v>8596</v>
      </c>
      <c r="H260" t="n">
        <v>7974</v>
      </c>
      <c r="I260" t="n">
        <v>45053</v>
      </c>
      <c r="J260" t="n">
        <v>336796</v>
      </c>
      <c r="K260" t="n">
        <v>45961</v>
      </c>
      <c r="L260" t="n">
        <v>54644</v>
      </c>
      <c r="M260" t="n">
        <v>23262</v>
      </c>
      <c r="N260" t="n">
        <v>9215</v>
      </c>
      <c r="O260" t="n">
        <v>81704</v>
      </c>
      <c r="P260" t="n">
        <v>35608</v>
      </c>
      <c r="Q260" t="n">
        <v>6938</v>
      </c>
    </row>
    <row r="261">
      <c r="A261" s="133" t="n">
        <v>41487</v>
      </c>
      <c r="B261" t="n">
        <v>290649</v>
      </c>
      <c r="C261" t="n">
        <v>417575</v>
      </c>
      <c r="D261" t="n">
        <v>25291</v>
      </c>
      <c r="E261" t="n">
        <v>20336</v>
      </c>
      <c r="F261" t="n">
        <v>53743</v>
      </c>
      <c r="G261" t="n">
        <v>8590</v>
      </c>
      <c r="H261" t="n">
        <v>8032</v>
      </c>
      <c r="I261" t="n">
        <v>45156</v>
      </c>
      <c r="J261" t="n">
        <v>336281</v>
      </c>
      <c r="K261" t="n">
        <v>45632</v>
      </c>
      <c r="L261" t="n">
        <v>54470</v>
      </c>
      <c r="M261" t="n">
        <v>23254</v>
      </c>
      <c r="N261" t="n">
        <v>9301</v>
      </c>
      <c r="O261" t="n">
        <v>81294</v>
      </c>
      <c r="P261" t="n">
        <v>35763</v>
      </c>
      <c r="Q261" t="n">
        <v>6713</v>
      </c>
    </row>
    <row r="262">
      <c r="A262" s="133" t="n">
        <v>41518</v>
      </c>
      <c r="B262" t="n">
        <v>291937</v>
      </c>
      <c r="C262" t="n">
        <v>417861</v>
      </c>
      <c r="D262" t="n">
        <v>25287</v>
      </c>
      <c r="E262" t="n">
        <v>20327</v>
      </c>
      <c r="F262" t="n">
        <v>53812</v>
      </c>
      <c r="G262" t="n">
        <v>8524</v>
      </c>
      <c r="H262" t="n">
        <v>8080</v>
      </c>
      <c r="I262" t="n">
        <v>45346</v>
      </c>
      <c r="J262" t="n">
        <v>337682</v>
      </c>
      <c r="K262" t="n">
        <v>45745</v>
      </c>
      <c r="L262" t="n">
        <v>54841</v>
      </c>
      <c r="M262" t="n">
        <v>23674</v>
      </c>
      <c r="N262" t="n">
        <v>9507</v>
      </c>
      <c r="O262" t="n">
        <v>80179</v>
      </c>
      <c r="P262" t="n">
        <v>35662</v>
      </c>
      <c r="Q262" t="n">
        <v>6877</v>
      </c>
    </row>
    <row r="263">
      <c r="A263" s="133" t="n">
        <v>41548</v>
      </c>
      <c r="B263" t="n">
        <v>292928</v>
      </c>
      <c r="C263" t="n">
        <v>419434</v>
      </c>
      <c r="D263" t="n">
        <v>24915</v>
      </c>
      <c r="E263" t="n">
        <v>20770</v>
      </c>
      <c r="F263" t="n">
        <v>53939</v>
      </c>
      <c r="G263" t="n">
        <v>8642</v>
      </c>
      <c r="H263" t="n">
        <v>8192</v>
      </c>
      <c r="I263" t="n">
        <v>45942</v>
      </c>
      <c r="J263" t="n">
        <v>337952</v>
      </c>
      <c r="K263" t="n">
        <v>45024</v>
      </c>
      <c r="L263" t="n">
        <v>54845</v>
      </c>
      <c r="M263" t="n">
        <v>23690</v>
      </c>
      <c r="N263" t="n">
        <v>9478</v>
      </c>
      <c r="O263" t="n">
        <v>81482</v>
      </c>
      <c r="P263" t="n">
        <v>35655</v>
      </c>
      <c r="Q263" t="n">
        <v>6860</v>
      </c>
    </row>
    <row r="264">
      <c r="A264" s="133" t="n">
        <v>41579</v>
      </c>
      <c r="B264" t="n">
        <v>294169</v>
      </c>
      <c r="C264" t="n">
        <v>420688</v>
      </c>
      <c r="D264" t="n">
        <v>24849</v>
      </c>
      <c r="E264" t="n">
        <v>20271</v>
      </c>
      <c r="F264" t="n">
        <v>54064</v>
      </c>
      <c r="G264" t="n">
        <v>8521</v>
      </c>
      <c r="H264" t="n">
        <v>8244</v>
      </c>
      <c r="I264" t="n">
        <v>46748</v>
      </c>
      <c r="J264" t="n">
        <v>338885</v>
      </c>
      <c r="K264" t="n">
        <v>44716</v>
      </c>
      <c r="L264" t="n">
        <v>54799</v>
      </c>
      <c r="M264" t="n">
        <v>23711</v>
      </c>
      <c r="N264" t="n">
        <v>9545</v>
      </c>
      <c r="O264" t="n">
        <v>81803</v>
      </c>
      <c r="P264" t="n">
        <v>36542</v>
      </c>
      <c r="Q264" t="n">
        <v>6875</v>
      </c>
    </row>
    <row r="265">
      <c r="A265" s="133" t="n">
        <v>41609</v>
      </c>
      <c r="B265" t="n">
        <v>294842</v>
      </c>
      <c r="C265" t="n">
        <v>422955</v>
      </c>
      <c r="D265" t="n">
        <v>24955</v>
      </c>
      <c r="E265" t="n">
        <v>20584</v>
      </c>
      <c r="F265" t="n">
        <v>54560</v>
      </c>
      <c r="G265" t="n">
        <v>8469</v>
      </c>
      <c r="H265" t="n">
        <v>7974</v>
      </c>
      <c r="I265" t="n">
        <v>46334</v>
      </c>
      <c r="J265" t="n">
        <v>341508</v>
      </c>
      <c r="K265" t="n">
        <v>46666</v>
      </c>
      <c r="L265" t="n">
        <v>54632</v>
      </c>
      <c r="M265" t="n">
        <v>23755</v>
      </c>
      <c r="N265" t="n">
        <v>9389</v>
      </c>
      <c r="O265" t="n">
        <v>81447</v>
      </c>
      <c r="P265" t="n">
        <v>37329</v>
      </c>
      <c r="Q265" t="n">
        <v>6861</v>
      </c>
    </row>
    <row r="266">
      <c r="A266" s="133" t="n">
        <v>41640</v>
      </c>
      <c r="B266" t="n">
        <v>293000</v>
      </c>
      <c r="C266" t="n">
        <v>419245</v>
      </c>
      <c r="D266" t="n">
        <v>24920</v>
      </c>
      <c r="E266" t="n">
        <v>20538</v>
      </c>
      <c r="F266" t="n">
        <v>54796</v>
      </c>
      <c r="G266" t="n">
        <v>8498</v>
      </c>
      <c r="H266" t="n">
        <v>7812</v>
      </c>
      <c r="I266" t="n">
        <v>45918</v>
      </c>
      <c r="J266" t="n">
        <v>340076</v>
      </c>
      <c r="K266" t="n">
        <v>47076</v>
      </c>
      <c r="L266" t="n">
        <v>54553</v>
      </c>
      <c r="M266" t="n">
        <v>23735</v>
      </c>
      <c r="N266" t="n">
        <v>9248</v>
      </c>
      <c r="O266" t="n">
        <v>79169</v>
      </c>
      <c r="P266" t="n">
        <v>36494</v>
      </c>
      <c r="Q266" t="n">
        <v>6488</v>
      </c>
    </row>
    <row r="267">
      <c r="A267" s="133" t="n">
        <v>41671</v>
      </c>
      <c r="B267" t="n">
        <v>295884</v>
      </c>
      <c r="C267" t="n">
        <v>425006</v>
      </c>
      <c r="D267" t="n">
        <v>24821</v>
      </c>
      <c r="E267" t="n">
        <v>20554</v>
      </c>
      <c r="F267" t="n">
        <v>54807</v>
      </c>
      <c r="G267" t="n">
        <v>8523</v>
      </c>
      <c r="H267" t="n">
        <v>8114</v>
      </c>
      <c r="I267" t="n">
        <v>46426</v>
      </c>
      <c r="J267" t="n">
        <v>343455</v>
      </c>
      <c r="K267" t="n">
        <v>47571</v>
      </c>
      <c r="L267" t="n">
        <v>55394</v>
      </c>
      <c r="M267" t="n">
        <v>23842</v>
      </c>
      <c r="N267" t="n">
        <v>9386</v>
      </c>
      <c r="O267" t="n">
        <v>81551</v>
      </c>
      <c r="P267" t="n">
        <v>37222</v>
      </c>
      <c r="Q267" t="n">
        <v>6795</v>
      </c>
    </row>
    <row r="268">
      <c r="A268" s="133" t="n">
        <v>41699</v>
      </c>
      <c r="B268" t="n">
        <v>298199</v>
      </c>
      <c r="C268" t="n">
        <v>429468</v>
      </c>
      <c r="D268" t="n">
        <v>25286</v>
      </c>
      <c r="E268" t="n">
        <v>20686</v>
      </c>
      <c r="F268" t="n">
        <v>54886</v>
      </c>
      <c r="G268" t="n">
        <v>8549</v>
      </c>
      <c r="H268" t="n">
        <v>8257</v>
      </c>
      <c r="I268" t="n">
        <v>47064</v>
      </c>
      <c r="J268" t="n">
        <v>345060</v>
      </c>
      <c r="K268" t="n">
        <v>46861</v>
      </c>
      <c r="L268" t="n">
        <v>55526</v>
      </c>
      <c r="M268" t="n">
        <v>23989</v>
      </c>
      <c r="N268" t="n">
        <v>9471</v>
      </c>
      <c r="O268" t="n">
        <v>84408</v>
      </c>
      <c r="P268" t="n">
        <v>37682</v>
      </c>
      <c r="Q268" t="n">
        <v>6803</v>
      </c>
    </row>
    <row r="269">
      <c r="A269" s="133" t="n">
        <v>41730</v>
      </c>
      <c r="B269" t="n">
        <v>300773</v>
      </c>
      <c r="C269" t="n">
        <v>433648</v>
      </c>
      <c r="D269" t="n">
        <v>26095</v>
      </c>
      <c r="E269" t="n">
        <v>21166</v>
      </c>
      <c r="F269" t="n">
        <v>55219</v>
      </c>
      <c r="G269" t="n">
        <v>8544</v>
      </c>
      <c r="H269" t="n">
        <v>8375</v>
      </c>
      <c r="I269" t="n">
        <v>47141</v>
      </c>
      <c r="J269" t="n">
        <v>347853</v>
      </c>
      <c r="K269" t="n">
        <v>47080</v>
      </c>
      <c r="L269" t="n">
        <v>55954</v>
      </c>
      <c r="M269" t="n">
        <v>24191</v>
      </c>
      <c r="N269" t="n">
        <v>9348</v>
      </c>
      <c r="O269" t="n">
        <v>85795</v>
      </c>
      <c r="P269" t="n">
        <v>37846</v>
      </c>
      <c r="Q269" t="n">
        <v>6894</v>
      </c>
    </row>
    <row r="270">
      <c r="A270" s="133" t="n">
        <v>41760</v>
      </c>
      <c r="B270" t="n">
        <v>301802</v>
      </c>
      <c r="C270" t="n">
        <v>434471</v>
      </c>
      <c r="D270" t="n">
        <v>26428</v>
      </c>
      <c r="E270" t="n">
        <v>20775</v>
      </c>
      <c r="F270" t="n">
        <v>55451</v>
      </c>
      <c r="G270" t="n">
        <v>8407</v>
      </c>
      <c r="H270" t="n">
        <v>8350</v>
      </c>
      <c r="I270" t="n">
        <v>47542</v>
      </c>
      <c r="J270" t="n">
        <v>348582</v>
      </c>
      <c r="K270" t="n">
        <v>46780</v>
      </c>
      <c r="L270" t="n">
        <v>55977</v>
      </c>
      <c r="M270" t="n">
        <v>24523</v>
      </c>
      <c r="N270" t="n">
        <v>9534</v>
      </c>
      <c r="O270" t="n">
        <v>85889</v>
      </c>
      <c r="P270" t="n">
        <v>37955</v>
      </c>
      <c r="Q270" t="n">
        <v>6860</v>
      </c>
    </row>
    <row r="271">
      <c r="A271" s="133" t="n">
        <v>41791</v>
      </c>
      <c r="B271" t="n">
        <v>303565</v>
      </c>
      <c r="C271" t="n">
        <v>435577</v>
      </c>
      <c r="D271" t="n">
        <v>26617</v>
      </c>
      <c r="E271" t="n">
        <v>20827</v>
      </c>
      <c r="F271" t="n">
        <v>55956</v>
      </c>
      <c r="G271" t="n">
        <v>8322</v>
      </c>
      <c r="H271" t="n">
        <v>8362</v>
      </c>
      <c r="I271" t="n">
        <v>47714</v>
      </c>
      <c r="J271" t="n">
        <v>349297</v>
      </c>
      <c r="K271" t="n">
        <v>45732</v>
      </c>
      <c r="L271" t="n">
        <v>55945</v>
      </c>
      <c r="M271" t="n">
        <v>24717</v>
      </c>
      <c r="N271" t="n">
        <v>9596</v>
      </c>
      <c r="O271" t="n">
        <v>86280</v>
      </c>
      <c r="P271" t="n">
        <v>38559</v>
      </c>
      <c r="Q271" t="n">
        <v>6950</v>
      </c>
    </row>
    <row r="272">
      <c r="A272" s="133" t="n">
        <v>41821</v>
      </c>
      <c r="B272" t="n">
        <v>304082</v>
      </c>
      <c r="C272" t="n">
        <v>436347</v>
      </c>
      <c r="D272" t="n">
        <v>26107</v>
      </c>
      <c r="E272" t="n">
        <v>20929</v>
      </c>
      <c r="F272" t="n">
        <v>56142</v>
      </c>
      <c r="G272" t="n">
        <v>8414</v>
      </c>
      <c r="H272" t="n">
        <v>8393</v>
      </c>
      <c r="I272" t="n">
        <v>48086</v>
      </c>
      <c r="J272" t="n">
        <v>349847</v>
      </c>
      <c r="K272" t="n">
        <v>45765</v>
      </c>
      <c r="L272" t="n">
        <v>56080</v>
      </c>
      <c r="M272" t="n">
        <v>24730</v>
      </c>
      <c r="N272" t="n">
        <v>9628</v>
      </c>
      <c r="O272" t="n">
        <v>86500</v>
      </c>
      <c r="P272" t="n">
        <v>38651</v>
      </c>
      <c r="Q272" t="n">
        <v>6922</v>
      </c>
    </row>
    <row r="273">
      <c r="A273" s="133" t="n">
        <v>41852</v>
      </c>
      <c r="B273" t="n">
        <v>306418</v>
      </c>
      <c r="C273" t="n">
        <v>439596</v>
      </c>
      <c r="D273" t="n">
        <v>26595</v>
      </c>
      <c r="E273" t="n">
        <v>21076</v>
      </c>
      <c r="F273" t="n">
        <v>56296</v>
      </c>
      <c r="G273" t="n">
        <v>8481</v>
      </c>
      <c r="H273" t="n">
        <v>8514</v>
      </c>
      <c r="I273" t="n">
        <v>48379</v>
      </c>
      <c r="J273" t="n">
        <v>352325</v>
      </c>
      <c r="K273" t="n">
        <v>45907</v>
      </c>
      <c r="L273" t="n">
        <v>56404</v>
      </c>
      <c r="M273" t="n">
        <v>24836</v>
      </c>
      <c r="N273" t="n">
        <v>9740</v>
      </c>
      <c r="O273" t="n">
        <v>87271</v>
      </c>
      <c r="P273" t="n">
        <v>38975</v>
      </c>
      <c r="Q273" t="n">
        <v>7122</v>
      </c>
    </row>
    <row r="274">
      <c r="A274" s="133" t="n">
        <v>41883</v>
      </c>
      <c r="B274" t="n">
        <v>306872</v>
      </c>
      <c r="C274" t="n">
        <v>438665</v>
      </c>
      <c r="D274" t="n">
        <v>26499</v>
      </c>
      <c r="E274" t="n">
        <v>20820</v>
      </c>
      <c r="F274" t="n">
        <v>56466</v>
      </c>
      <c r="G274" t="n">
        <v>8654</v>
      </c>
      <c r="H274" t="n">
        <v>8463</v>
      </c>
      <c r="I274" t="n">
        <v>48985</v>
      </c>
      <c r="J274" t="n">
        <v>352259</v>
      </c>
      <c r="K274" t="n">
        <v>45387</v>
      </c>
      <c r="L274" t="n">
        <v>56074</v>
      </c>
      <c r="M274" t="n">
        <v>24949</v>
      </c>
      <c r="N274" t="n">
        <v>9734</v>
      </c>
      <c r="O274" t="n">
        <v>86406</v>
      </c>
      <c r="P274" t="n">
        <v>39185</v>
      </c>
      <c r="Q274" t="n">
        <v>7043</v>
      </c>
    </row>
    <row r="275">
      <c r="A275" s="133" t="n">
        <v>41913</v>
      </c>
      <c r="B275" t="n">
        <v>308869</v>
      </c>
      <c r="C275" t="n">
        <v>440261</v>
      </c>
      <c r="D275" t="n">
        <v>26507</v>
      </c>
      <c r="E275" t="n">
        <v>21157</v>
      </c>
      <c r="F275" t="n">
        <v>56767</v>
      </c>
      <c r="G275" t="n">
        <v>8605</v>
      </c>
      <c r="H275" t="n">
        <v>8480</v>
      </c>
      <c r="I275" t="n">
        <v>49664</v>
      </c>
      <c r="J275" t="n">
        <v>353370</v>
      </c>
      <c r="K275" t="n">
        <v>44501</v>
      </c>
      <c r="L275" t="n">
        <v>56232</v>
      </c>
      <c r="M275" t="n">
        <v>24859</v>
      </c>
      <c r="N275" t="n">
        <v>9895</v>
      </c>
      <c r="O275" t="n">
        <v>86891</v>
      </c>
      <c r="P275" t="n">
        <v>39547</v>
      </c>
      <c r="Q275" t="n">
        <v>7156</v>
      </c>
    </row>
    <row r="276">
      <c r="A276" s="133" t="n">
        <v>41944</v>
      </c>
      <c r="B276" t="n">
        <v>309991</v>
      </c>
      <c r="C276" t="n">
        <v>441328</v>
      </c>
      <c r="D276" t="n">
        <v>26619</v>
      </c>
      <c r="E276" t="n">
        <v>21379</v>
      </c>
      <c r="F276" t="n">
        <v>56756</v>
      </c>
      <c r="G276" t="n">
        <v>8840</v>
      </c>
      <c r="H276" t="n">
        <v>8582</v>
      </c>
      <c r="I276" t="n">
        <v>49736</v>
      </c>
      <c r="J276" t="n">
        <v>353621</v>
      </c>
      <c r="K276" t="n">
        <v>43630</v>
      </c>
      <c r="L276" t="n">
        <v>56337</v>
      </c>
      <c r="M276" t="n">
        <v>24950</v>
      </c>
      <c r="N276" t="n">
        <v>9834</v>
      </c>
      <c r="O276" t="n">
        <v>87707</v>
      </c>
      <c r="P276" t="n">
        <v>39811</v>
      </c>
      <c r="Q276" t="n">
        <v>7147</v>
      </c>
    </row>
    <row r="277">
      <c r="A277" s="133" t="n">
        <v>41974</v>
      </c>
      <c r="B277" t="n">
        <v>310800</v>
      </c>
      <c r="C277" t="n">
        <v>438686</v>
      </c>
      <c r="D277" t="n">
        <v>26253</v>
      </c>
      <c r="E277" t="n">
        <v>21319</v>
      </c>
      <c r="F277" t="n">
        <v>57059</v>
      </c>
      <c r="G277" t="n">
        <v>8775</v>
      </c>
      <c r="H277" t="n">
        <v>8735</v>
      </c>
      <c r="I277" t="n">
        <v>50463</v>
      </c>
      <c r="J277" t="n">
        <v>351245</v>
      </c>
      <c r="K277" t="n">
        <v>40445</v>
      </c>
      <c r="L277" t="n">
        <v>56353</v>
      </c>
      <c r="M277" t="n">
        <v>25117</v>
      </c>
      <c r="N277" t="n">
        <v>9815</v>
      </c>
      <c r="O277" t="n">
        <v>87441</v>
      </c>
      <c r="P277" t="n">
        <v>39845</v>
      </c>
      <c r="Q277" t="n">
        <v>7066</v>
      </c>
    </row>
    <row r="278">
      <c r="A278" s="133" t="n">
        <v>42005</v>
      </c>
      <c r="B278" t="n">
        <v>311426</v>
      </c>
      <c r="C278" t="n">
        <v>436395</v>
      </c>
      <c r="D278" t="n">
        <v>26516</v>
      </c>
      <c r="E278" t="n">
        <v>21055</v>
      </c>
      <c r="F278" t="n">
        <v>57164</v>
      </c>
      <c r="G278" t="n">
        <v>8631</v>
      </c>
      <c r="H278" t="n">
        <v>8694</v>
      </c>
      <c r="I278" t="n">
        <v>50837</v>
      </c>
      <c r="J278" t="n">
        <v>347998</v>
      </c>
      <c r="K278" t="n">
        <v>36572</v>
      </c>
      <c r="L278" t="n">
        <v>56507</v>
      </c>
      <c r="M278" t="n">
        <v>25313</v>
      </c>
      <c r="N278" t="n">
        <v>9847</v>
      </c>
      <c r="O278" t="n">
        <v>88397</v>
      </c>
      <c r="P278" t="n">
        <v>39923</v>
      </c>
      <c r="Q278" t="n">
        <v>6939</v>
      </c>
    </row>
    <row r="279">
      <c r="A279" s="133" t="n">
        <v>42036</v>
      </c>
      <c r="B279" t="n">
        <v>310560</v>
      </c>
      <c r="C279" t="n">
        <v>435744</v>
      </c>
      <c r="D279" t="n">
        <v>25575</v>
      </c>
      <c r="E279" t="n">
        <v>21333</v>
      </c>
      <c r="F279" t="n">
        <v>57190</v>
      </c>
      <c r="G279" t="n">
        <v>8491</v>
      </c>
      <c r="H279" t="n">
        <v>8509</v>
      </c>
      <c r="I279" t="n">
        <v>50640</v>
      </c>
      <c r="J279" t="n">
        <v>348402</v>
      </c>
      <c r="K279" t="n">
        <v>37842</v>
      </c>
      <c r="L279" t="n">
        <v>56147</v>
      </c>
      <c r="M279" t="n">
        <v>25111</v>
      </c>
      <c r="N279" t="n">
        <v>9766</v>
      </c>
      <c r="O279" t="n">
        <v>87342</v>
      </c>
      <c r="P279" t="n">
        <v>40821</v>
      </c>
      <c r="Q279" t="n">
        <v>6977</v>
      </c>
    </row>
    <row r="280">
      <c r="A280" s="133" t="n">
        <v>42064</v>
      </c>
      <c r="B280" t="n">
        <v>312662</v>
      </c>
      <c r="C280" t="n">
        <v>442131</v>
      </c>
      <c r="D280" t="n">
        <v>26521</v>
      </c>
      <c r="E280" t="n">
        <v>21394</v>
      </c>
      <c r="F280" t="n">
        <v>57178</v>
      </c>
      <c r="G280" t="n">
        <v>8294</v>
      </c>
      <c r="H280" t="n">
        <v>8765</v>
      </c>
      <c r="I280" t="n">
        <v>51075</v>
      </c>
      <c r="J280" t="n">
        <v>351027</v>
      </c>
      <c r="K280" t="n">
        <v>38365</v>
      </c>
      <c r="L280" t="n">
        <v>56316</v>
      </c>
      <c r="M280" t="n">
        <v>25650</v>
      </c>
      <c r="N280" t="n">
        <v>9794</v>
      </c>
      <c r="O280" t="n">
        <v>91104</v>
      </c>
      <c r="P280" t="n">
        <v>40614</v>
      </c>
      <c r="Q280" t="n">
        <v>7061</v>
      </c>
    </row>
    <row r="281">
      <c r="A281" s="133" t="n">
        <v>42095</v>
      </c>
      <c r="B281" t="n">
        <v>313559</v>
      </c>
      <c r="C281" t="n">
        <v>443119</v>
      </c>
      <c r="D281" t="n">
        <v>26734</v>
      </c>
      <c r="E281" t="n">
        <v>21474</v>
      </c>
      <c r="F281" t="n">
        <v>57091</v>
      </c>
      <c r="G281" t="n">
        <v>8384</v>
      </c>
      <c r="H281" t="n">
        <v>8878</v>
      </c>
      <c r="I281" t="n">
        <v>51744</v>
      </c>
      <c r="J281" t="n">
        <v>351378</v>
      </c>
      <c r="K281" t="n">
        <v>37819</v>
      </c>
      <c r="L281" t="n">
        <v>56230</v>
      </c>
      <c r="M281" t="n">
        <v>25225</v>
      </c>
      <c r="N281" t="n">
        <v>9738</v>
      </c>
      <c r="O281" t="n">
        <v>91741</v>
      </c>
      <c r="P281" t="n">
        <v>40977</v>
      </c>
      <c r="Q281" t="n">
        <v>7084</v>
      </c>
    </row>
    <row r="282">
      <c r="A282" s="133" t="n">
        <v>42125</v>
      </c>
      <c r="B282" t="n">
        <v>314627</v>
      </c>
      <c r="C282" t="n">
        <v>446198</v>
      </c>
      <c r="D282" t="n">
        <v>26781</v>
      </c>
      <c r="E282" t="n">
        <v>21635</v>
      </c>
      <c r="F282" t="n">
        <v>57103</v>
      </c>
      <c r="G282" t="n">
        <v>8434</v>
      </c>
      <c r="H282" t="n">
        <v>9062</v>
      </c>
      <c r="I282" t="n">
        <v>51866</v>
      </c>
      <c r="J282" t="n">
        <v>353920</v>
      </c>
      <c r="K282" t="n">
        <v>39293</v>
      </c>
      <c r="L282" t="n">
        <v>56735</v>
      </c>
      <c r="M282" t="n">
        <v>25202</v>
      </c>
      <c r="N282" t="n">
        <v>10001</v>
      </c>
      <c r="O282" t="n">
        <v>92278</v>
      </c>
      <c r="P282" t="n">
        <v>40687</v>
      </c>
      <c r="Q282" t="n">
        <v>7121</v>
      </c>
    </row>
    <row r="283">
      <c r="A283" s="133" t="n">
        <v>42156</v>
      </c>
      <c r="B283" t="n">
        <v>314660</v>
      </c>
      <c r="C283" t="n">
        <v>446744</v>
      </c>
      <c r="D283" t="n">
        <v>26516</v>
      </c>
      <c r="E283" t="n">
        <v>21385</v>
      </c>
      <c r="F283" t="n">
        <v>57401</v>
      </c>
      <c r="G283" t="n">
        <v>8527</v>
      </c>
      <c r="H283" t="n">
        <v>8909</v>
      </c>
      <c r="I283" t="n">
        <v>51885</v>
      </c>
      <c r="J283" t="n">
        <v>354459</v>
      </c>
      <c r="K283" t="n">
        <v>39799</v>
      </c>
      <c r="L283" t="n">
        <v>56607</v>
      </c>
      <c r="M283" t="n">
        <v>25362</v>
      </c>
      <c r="N283" t="n">
        <v>10042</v>
      </c>
      <c r="O283" t="n">
        <v>92285</v>
      </c>
      <c r="P283" t="n">
        <v>40957</v>
      </c>
      <c r="Q283" t="n">
        <v>7069</v>
      </c>
    </row>
    <row r="284">
      <c r="A284" s="133" t="n">
        <v>42186</v>
      </c>
      <c r="B284" t="n">
        <v>317432</v>
      </c>
      <c r="C284" t="n">
        <v>450243</v>
      </c>
      <c r="D284" t="n">
        <v>27350</v>
      </c>
      <c r="E284" t="n">
        <v>21601</v>
      </c>
      <c r="F284" t="n">
        <v>57565</v>
      </c>
      <c r="G284" t="n">
        <v>8363</v>
      </c>
      <c r="H284" t="n">
        <v>9059</v>
      </c>
      <c r="I284" t="n">
        <v>52115</v>
      </c>
      <c r="J284" t="n">
        <v>357711</v>
      </c>
      <c r="K284" t="n">
        <v>40279</v>
      </c>
      <c r="L284" t="n">
        <v>56915</v>
      </c>
      <c r="M284" t="n">
        <v>25642</v>
      </c>
      <c r="N284" t="n">
        <v>10062</v>
      </c>
      <c r="O284" t="n">
        <v>92532</v>
      </c>
      <c r="P284" t="n">
        <v>41636</v>
      </c>
      <c r="Q284" t="n">
        <v>7124</v>
      </c>
    </row>
    <row r="285">
      <c r="A285" s="133" t="n">
        <v>42217</v>
      </c>
      <c r="B285" t="n">
        <v>317922</v>
      </c>
      <c r="C285" t="n">
        <v>450183</v>
      </c>
      <c r="D285" t="n">
        <v>27408</v>
      </c>
      <c r="E285" t="n">
        <v>21653</v>
      </c>
      <c r="F285" t="n">
        <v>57531</v>
      </c>
      <c r="G285" t="n">
        <v>8349</v>
      </c>
      <c r="H285" t="n">
        <v>9093</v>
      </c>
      <c r="I285" t="n">
        <v>52473</v>
      </c>
      <c r="J285" t="n">
        <v>357101</v>
      </c>
      <c r="K285" t="n">
        <v>39179</v>
      </c>
      <c r="L285" t="n">
        <v>56752</v>
      </c>
      <c r="M285" t="n">
        <v>25816</v>
      </c>
      <c r="N285" t="n">
        <v>10162</v>
      </c>
      <c r="O285" t="n">
        <v>93082</v>
      </c>
      <c r="P285" t="n">
        <v>41527</v>
      </c>
      <c r="Q285" t="n">
        <v>7158</v>
      </c>
    </row>
    <row r="286">
      <c r="A286" s="133" t="n">
        <v>42248</v>
      </c>
      <c r="B286" t="n">
        <v>318035</v>
      </c>
      <c r="C286" t="n">
        <v>448506</v>
      </c>
      <c r="D286" t="n">
        <v>27191</v>
      </c>
      <c r="E286" t="n">
        <v>21462</v>
      </c>
      <c r="F286" t="n">
        <v>57389</v>
      </c>
      <c r="G286" t="n">
        <v>8381</v>
      </c>
      <c r="H286" t="n">
        <v>9070</v>
      </c>
      <c r="I286" t="n">
        <v>52394</v>
      </c>
      <c r="J286" t="n">
        <v>354941</v>
      </c>
      <c r="K286" t="n">
        <v>36906</v>
      </c>
      <c r="L286" t="n">
        <v>57139</v>
      </c>
      <c r="M286" t="n">
        <v>26062</v>
      </c>
      <c r="N286" t="n">
        <v>9721</v>
      </c>
      <c r="O286" t="n">
        <v>93565</v>
      </c>
      <c r="P286" t="n">
        <v>42038</v>
      </c>
      <c r="Q286" t="n">
        <v>7188</v>
      </c>
    </row>
    <row r="287">
      <c r="A287" s="133" t="n">
        <v>42278</v>
      </c>
      <c r="B287" t="n">
        <v>317870</v>
      </c>
      <c r="C287" t="n">
        <v>447191</v>
      </c>
      <c r="D287" t="n">
        <v>27368</v>
      </c>
      <c r="E287" t="n">
        <v>21303</v>
      </c>
      <c r="F287" t="n">
        <v>57183</v>
      </c>
      <c r="G287" t="n">
        <v>8278</v>
      </c>
      <c r="H287" t="n">
        <v>9177</v>
      </c>
      <c r="I287" t="n">
        <v>52766</v>
      </c>
      <c r="J287" t="n">
        <v>354421</v>
      </c>
      <c r="K287" t="n">
        <v>36551</v>
      </c>
      <c r="L287" t="n">
        <v>56789</v>
      </c>
      <c r="M287" t="n">
        <v>25924</v>
      </c>
      <c r="N287" t="n">
        <v>9713</v>
      </c>
      <c r="O287" t="n">
        <v>92770</v>
      </c>
      <c r="P287" t="n">
        <v>42287</v>
      </c>
      <c r="Q287" t="n">
        <v>7082</v>
      </c>
    </row>
    <row r="288">
      <c r="A288" s="133" t="n">
        <v>42309</v>
      </c>
      <c r="B288" t="n">
        <v>318918</v>
      </c>
      <c r="C288" t="n">
        <v>449027</v>
      </c>
      <c r="D288" t="n">
        <v>27656</v>
      </c>
      <c r="E288" t="n">
        <v>21341</v>
      </c>
      <c r="F288" t="n">
        <v>57480</v>
      </c>
      <c r="G288" t="n">
        <v>8169</v>
      </c>
      <c r="H288" t="n">
        <v>9150</v>
      </c>
      <c r="I288" t="n">
        <v>52886</v>
      </c>
      <c r="J288" t="n">
        <v>355040</v>
      </c>
      <c r="K288" t="n">
        <v>36122</v>
      </c>
      <c r="L288" t="n">
        <v>56970</v>
      </c>
      <c r="M288" t="n">
        <v>26098</v>
      </c>
      <c r="N288" t="n">
        <v>9861</v>
      </c>
      <c r="O288" t="n">
        <v>93987</v>
      </c>
      <c r="P288" t="n">
        <v>42112</v>
      </c>
      <c r="Q288" t="n">
        <v>7195</v>
      </c>
    </row>
    <row r="289">
      <c r="A289" s="133" t="n">
        <v>42339</v>
      </c>
      <c r="B289" t="n">
        <v>321533</v>
      </c>
      <c r="C289" t="n">
        <v>450939</v>
      </c>
      <c r="D289" t="n">
        <v>28189</v>
      </c>
      <c r="E289" t="n">
        <v>21547</v>
      </c>
      <c r="F289" t="n">
        <v>57366</v>
      </c>
      <c r="G289" t="n">
        <v>8137</v>
      </c>
      <c r="H289" t="n">
        <v>9370</v>
      </c>
      <c r="I289" t="n">
        <v>53695</v>
      </c>
      <c r="J289" t="n">
        <v>357499</v>
      </c>
      <c r="K289" t="n">
        <v>35966</v>
      </c>
      <c r="L289" t="n">
        <v>57204</v>
      </c>
      <c r="M289" t="n">
        <v>26298</v>
      </c>
      <c r="N289" t="n">
        <v>9777</v>
      </c>
      <c r="O289" t="n">
        <v>93440</v>
      </c>
      <c r="P289" t="n">
        <v>42614</v>
      </c>
      <c r="Q289" t="n">
        <v>7336</v>
      </c>
    </row>
    <row r="290">
      <c r="A290" s="133" t="n">
        <v>42370</v>
      </c>
      <c r="B290" t="n">
        <v>320002</v>
      </c>
      <c r="C290" t="n">
        <v>447626</v>
      </c>
      <c r="D290" t="n">
        <v>28172</v>
      </c>
      <c r="E290" t="n">
        <v>21325</v>
      </c>
      <c r="F290" t="n">
        <v>57550</v>
      </c>
      <c r="G290" t="n">
        <v>7964</v>
      </c>
      <c r="H290" t="n">
        <v>9245</v>
      </c>
      <c r="I290" t="n">
        <v>53050</v>
      </c>
      <c r="J290" t="n">
        <v>354564</v>
      </c>
      <c r="K290" t="n">
        <v>34562</v>
      </c>
      <c r="L290" t="n">
        <v>56301</v>
      </c>
      <c r="M290" t="n">
        <v>26178</v>
      </c>
      <c r="N290" t="n">
        <v>9799</v>
      </c>
      <c r="O290" t="n">
        <v>93062</v>
      </c>
      <c r="P290" t="n">
        <v>43126</v>
      </c>
      <c r="Q290" t="n">
        <v>7292</v>
      </c>
    </row>
    <row r="291">
      <c r="A291" s="133" t="n">
        <v>42401</v>
      </c>
      <c r="B291" t="n">
        <v>323925</v>
      </c>
      <c r="C291" t="n">
        <v>452393</v>
      </c>
      <c r="D291" t="n">
        <v>28236</v>
      </c>
      <c r="E291" t="n">
        <v>22000</v>
      </c>
      <c r="F291" t="n">
        <v>57661</v>
      </c>
      <c r="G291" t="n">
        <v>8057</v>
      </c>
      <c r="H291" t="n">
        <v>9281</v>
      </c>
      <c r="I291" t="n">
        <v>54244</v>
      </c>
      <c r="J291" t="n">
        <v>356852</v>
      </c>
      <c r="K291" t="n">
        <v>32927</v>
      </c>
      <c r="L291" t="n">
        <v>57209</v>
      </c>
      <c r="M291" t="n">
        <v>26752</v>
      </c>
      <c r="N291" t="n">
        <v>9784</v>
      </c>
      <c r="O291" t="n">
        <v>95541</v>
      </c>
      <c r="P291" t="n">
        <v>43429</v>
      </c>
      <c r="Q291" t="n">
        <v>7272</v>
      </c>
    </row>
    <row r="292">
      <c r="A292" s="133" t="n">
        <v>42430</v>
      </c>
      <c r="B292" t="n">
        <v>323162</v>
      </c>
      <c r="C292" t="n">
        <v>450886</v>
      </c>
      <c r="D292" t="n">
        <v>28934</v>
      </c>
      <c r="E292" t="n">
        <v>21513</v>
      </c>
      <c r="F292" t="n">
        <v>57226</v>
      </c>
      <c r="G292" t="n">
        <v>7903</v>
      </c>
      <c r="H292" t="n">
        <v>9242</v>
      </c>
      <c r="I292" t="n">
        <v>53927</v>
      </c>
      <c r="J292" t="n">
        <v>357351</v>
      </c>
      <c r="K292" t="n">
        <v>34189</v>
      </c>
      <c r="L292" t="n">
        <v>56986</v>
      </c>
      <c r="M292" t="n">
        <v>26567</v>
      </c>
      <c r="N292" t="n">
        <v>10022</v>
      </c>
      <c r="O292" t="n">
        <v>93535</v>
      </c>
      <c r="P292" t="n">
        <v>43585</v>
      </c>
      <c r="Q292" t="n">
        <v>7257</v>
      </c>
    </row>
    <row r="293">
      <c r="A293" s="133" t="n">
        <v>42461</v>
      </c>
      <c r="B293" t="n">
        <v>323507</v>
      </c>
      <c r="C293" t="n">
        <v>452345</v>
      </c>
      <c r="D293" t="n">
        <v>27926</v>
      </c>
      <c r="E293" t="n">
        <v>21439</v>
      </c>
      <c r="F293" t="n">
        <v>57844</v>
      </c>
      <c r="G293" t="n">
        <v>7879</v>
      </c>
      <c r="H293" t="n">
        <v>9209</v>
      </c>
      <c r="I293" t="n">
        <v>54246</v>
      </c>
      <c r="J293" t="n">
        <v>358632</v>
      </c>
      <c r="K293" t="n">
        <v>35125</v>
      </c>
      <c r="L293" t="n">
        <v>56870</v>
      </c>
      <c r="M293" t="n">
        <v>26781</v>
      </c>
      <c r="N293" t="n">
        <v>10144</v>
      </c>
      <c r="O293" t="n">
        <v>93713</v>
      </c>
      <c r="P293" t="n">
        <v>43979</v>
      </c>
      <c r="Q293" t="n">
        <v>7190</v>
      </c>
    </row>
    <row r="294">
      <c r="A294" s="133" t="n">
        <v>42491</v>
      </c>
      <c r="B294" t="n">
        <v>324094</v>
      </c>
      <c r="C294" t="n">
        <v>454211</v>
      </c>
      <c r="D294" t="n">
        <v>27533</v>
      </c>
      <c r="E294" t="n">
        <v>21572</v>
      </c>
      <c r="F294" t="n">
        <v>58102</v>
      </c>
      <c r="G294" t="n">
        <v>7924</v>
      </c>
      <c r="H294" t="n">
        <v>9274</v>
      </c>
      <c r="I294" t="n">
        <v>54302</v>
      </c>
      <c r="J294" t="n">
        <v>360113</v>
      </c>
      <c r="K294" t="n">
        <v>36019</v>
      </c>
      <c r="L294" t="n">
        <v>56608</v>
      </c>
      <c r="M294" t="n">
        <v>26700</v>
      </c>
      <c r="N294" t="n">
        <v>10007</v>
      </c>
      <c r="O294" t="n">
        <v>94098</v>
      </c>
      <c r="P294" t="n">
        <v>44826</v>
      </c>
      <c r="Q294" t="n">
        <v>7246</v>
      </c>
    </row>
    <row r="295">
      <c r="A295" s="133" t="n">
        <v>42522</v>
      </c>
      <c r="B295" t="n">
        <v>327149</v>
      </c>
      <c r="C295" t="n">
        <v>459028</v>
      </c>
      <c r="D295" t="n">
        <v>28297</v>
      </c>
      <c r="E295" t="n">
        <v>21706</v>
      </c>
      <c r="F295" t="n">
        <v>58508</v>
      </c>
      <c r="G295" t="n">
        <v>7887</v>
      </c>
      <c r="H295" t="n">
        <v>9420</v>
      </c>
      <c r="I295" t="n">
        <v>54351</v>
      </c>
      <c r="J295" t="n">
        <v>364297</v>
      </c>
      <c r="K295" t="n">
        <v>37148</v>
      </c>
      <c r="L295" t="n">
        <v>57111</v>
      </c>
      <c r="M295" t="n">
        <v>26877</v>
      </c>
      <c r="N295" t="n">
        <v>10067</v>
      </c>
      <c r="O295" t="n">
        <v>94731</v>
      </c>
      <c r="P295" t="n">
        <v>45352</v>
      </c>
      <c r="Q295" t="n">
        <v>7573</v>
      </c>
    </row>
    <row r="296">
      <c r="A296" s="133" t="n">
        <v>42552</v>
      </c>
      <c r="B296" t="n">
        <v>325258</v>
      </c>
      <c r="C296" t="n">
        <v>457977</v>
      </c>
      <c r="D296" t="n">
        <v>27980</v>
      </c>
      <c r="E296" t="n">
        <v>21471</v>
      </c>
      <c r="F296" t="n">
        <v>58155</v>
      </c>
      <c r="G296" t="n">
        <v>7936</v>
      </c>
      <c r="H296" t="n">
        <v>9355</v>
      </c>
      <c r="I296" t="n">
        <v>54329</v>
      </c>
      <c r="J296" t="n">
        <v>362052</v>
      </c>
      <c r="K296" t="n">
        <v>36794</v>
      </c>
      <c r="L296" t="n">
        <v>56779</v>
      </c>
      <c r="M296" t="n">
        <v>26845</v>
      </c>
      <c r="N296" t="n">
        <v>10001</v>
      </c>
      <c r="O296" t="n">
        <v>95925</v>
      </c>
      <c r="P296" t="n">
        <v>45204</v>
      </c>
      <c r="Q296" t="n">
        <v>7203</v>
      </c>
    </row>
    <row r="297">
      <c r="A297" s="133" t="n">
        <v>42583</v>
      </c>
      <c r="B297" t="n">
        <v>326388</v>
      </c>
      <c r="C297" t="n">
        <v>458655</v>
      </c>
      <c r="D297" t="n">
        <v>27856</v>
      </c>
      <c r="E297" t="n">
        <v>21837</v>
      </c>
      <c r="F297" t="n">
        <v>58377</v>
      </c>
      <c r="G297" t="n">
        <v>8032</v>
      </c>
      <c r="H297" t="n">
        <v>9338</v>
      </c>
      <c r="I297" t="n">
        <v>54794</v>
      </c>
      <c r="J297" t="n">
        <v>362324</v>
      </c>
      <c r="K297" t="n">
        <v>35936</v>
      </c>
      <c r="L297" t="n">
        <v>56867</v>
      </c>
      <c r="M297" t="n">
        <v>26744</v>
      </c>
      <c r="N297" t="n">
        <v>9934</v>
      </c>
      <c r="O297" t="n">
        <v>96331</v>
      </c>
      <c r="P297" t="n">
        <v>45596</v>
      </c>
      <c r="Q297" t="n">
        <v>7013</v>
      </c>
    </row>
    <row r="298">
      <c r="A298" s="133" t="n">
        <v>42614</v>
      </c>
      <c r="B298" t="n">
        <v>327568</v>
      </c>
      <c r="C298" t="n">
        <v>461741</v>
      </c>
      <c r="D298" t="n">
        <v>27984</v>
      </c>
      <c r="E298" t="n">
        <v>21946</v>
      </c>
      <c r="F298" t="n">
        <v>58767</v>
      </c>
      <c r="G298" t="n">
        <v>7724</v>
      </c>
      <c r="H298" t="n">
        <v>9519</v>
      </c>
      <c r="I298" t="n">
        <v>55357</v>
      </c>
      <c r="J298" t="n">
        <v>364480</v>
      </c>
      <c r="K298" t="n">
        <v>36912</v>
      </c>
      <c r="L298" t="n">
        <v>56370</v>
      </c>
      <c r="M298" t="n">
        <v>26682</v>
      </c>
      <c r="N298" t="n">
        <v>10196</v>
      </c>
      <c r="O298" t="n">
        <v>97261</v>
      </c>
      <c r="P298" t="n">
        <v>45978</v>
      </c>
      <c r="Q298" t="n">
        <v>7045</v>
      </c>
    </row>
    <row r="299">
      <c r="A299" s="133" t="n">
        <v>42644</v>
      </c>
      <c r="B299" t="n">
        <v>327777</v>
      </c>
      <c r="C299" t="n">
        <v>462611</v>
      </c>
      <c r="D299" t="n">
        <v>28049</v>
      </c>
      <c r="E299" t="n">
        <v>21739</v>
      </c>
      <c r="F299" t="n">
        <v>59053</v>
      </c>
      <c r="G299" t="n">
        <v>7605</v>
      </c>
      <c r="H299" t="n">
        <v>9394</v>
      </c>
      <c r="I299" t="n">
        <v>55358</v>
      </c>
      <c r="J299" t="n">
        <v>365676</v>
      </c>
      <c r="K299" t="n">
        <v>37899</v>
      </c>
      <c r="L299" t="n">
        <v>56836</v>
      </c>
      <c r="M299" t="n">
        <v>25894</v>
      </c>
      <c r="N299" t="n">
        <v>10358</v>
      </c>
      <c r="O299" t="n">
        <v>96935</v>
      </c>
      <c r="P299" t="n">
        <v>46397</v>
      </c>
      <c r="Q299" t="n">
        <v>7094</v>
      </c>
    </row>
    <row r="300">
      <c r="A300" s="133" t="n">
        <v>42675</v>
      </c>
      <c r="B300" t="n">
        <v>328051</v>
      </c>
      <c r="C300" t="n">
        <v>462194</v>
      </c>
      <c r="D300" t="n">
        <v>28204</v>
      </c>
      <c r="E300" t="n">
        <v>21536</v>
      </c>
      <c r="F300" t="n">
        <v>59102</v>
      </c>
      <c r="G300" t="n">
        <v>7517</v>
      </c>
      <c r="H300" t="n">
        <v>9362</v>
      </c>
      <c r="I300" t="n">
        <v>56322</v>
      </c>
      <c r="J300" t="n">
        <v>365572</v>
      </c>
      <c r="K300" t="n">
        <v>37521</v>
      </c>
      <c r="L300" t="n">
        <v>56518</v>
      </c>
      <c r="M300" t="n">
        <v>26119</v>
      </c>
      <c r="N300" t="n">
        <v>9967</v>
      </c>
      <c r="O300" t="n">
        <v>96622</v>
      </c>
      <c r="P300" t="n">
        <v>46452</v>
      </c>
      <c r="Q300" t="n">
        <v>6952</v>
      </c>
    </row>
    <row r="301">
      <c r="A301" s="133" t="n">
        <v>42705</v>
      </c>
      <c r="B301" t="n">
        <v>329807</v>
      </c>
      <c r="C301" t="n">
        <v>468582</v>
      </c>
      <c r="D301" t="n">
        <v>28176</v>
      </c>
      <c r="E301" t="n">
        <v>21999</v>
      </c>
      <c r="F301" t="n">
        <v>59341</v>
      </c>
      <c r="G301" t="n">
        <v>7595</v>
      </c>
      <c r="H301" t="n">
        <v>9309</v>
      </c>
      <c r="I301" t="n">
        <v>55371</v>
      </c>
      <c r="J301" t="n">
        <v>369230</v>
      </c>
      <c r="K301" t="n">
        <v>39423</v>
      </c>
      <c r="L301" t="n">
        <v>56445</v>
      </c>
      <c r="M301" t="n">
        <v>26179</v>
      </c>
      <c r="N301" t="n">
        <v>10156</v>
      </c>
      <c r="O301" t="n">
        <v>99352</v>
      </c>
      <c r="P301" t="n">
        <v>48167</v>
      </c>
      <c r="Q301" t="n">
        <v>7069</v>
      </c>
    </row>
    <row r="302">
      <c r="A302" s="133" t="n">
        <v>42736</v>
      </c>
      <c r="B302" t="n">
        <v>334024</v>
      </c>
      <c r="C302" t="n">
        <v>473392</v>
      </c>
      <c r="D302" t="n">
        <v>28504</v>
      </c>
      <c r="E302" t="n">
        <v>22061</v>
      </c>
      <c r="F302" t="n">
        <v>59521</v>
      </c>
      <c r="G302" t="n">
        <v>7687</v>
      </c>
      <c r="H302" t="n">
        <v>9506</v>
      </c>
      <c r="I302" t="n">
        <v>57368</v>
      </c>
      <c r="J302" t="n">
        <v>373962</v>
      </c>
      <c r="K302" t="n">
        <v>39938</v>
      </c>
      <c r="L302" t="n">
        <v>57804</v>
      </c>
      <c r="M302" t="n">
        <v>26149</v>
      </c>
      <c r="N302" t="n">
        <v>10119</v>
      </c>
      <c r="O302" t="n">
        <v>99430</v>
      </c>
      <c r="P302" t="n">
        <v>48082</v>
      </c>
      <c r="Q302" t="n">
        <v>7223</v>
      </c>
    </row>
    <row r="303">
      <c r="A303" s="133" t="n">
        <v>42767</v>
      </c>
      <c r="B303" t="n">
        <v>334252</v>
      </c>
      <c r="C303" t="n">
        <v>473460</v>
      </c>
      <c r="D303" t="n">
        <v>28868</v>
      </c>
      <c r="E303" t="n">
        <v>21694</v>
      </c>
      <c r="F303" t="n">
        <v>59910</v>
      </c>
      <c r="G303" t="n">
        <v>7608</v>
      </c>
      <c r="H303" t="n">
        <v>9502</v>
      </c>
      <c r="I303" t="n">
        <v>57449</v>
      </c>
      <c r="J303" t="n">
        <v>374524</v>
      </c>
      <c r="K303" t="n">
        <v>40272</v>
      </c>
      <c r="L303" t="n">
        <v>57170</v>
      </c>
      <c r="M303" t="n">
        <v>26447</v>
      </c>
      <c r="N303" t="n">
        <v>10276</v>
      </c>
      <c r="O303" t="n">
        <v>98936</v>
      </c>
      <c r="P303" t="n">
        <v>48270</v>
      </c>
      <c r="Q303" t="n">
        <v>7058</v>
      </c>
    </row>
    <row r="304">
      <c r="A304" s="133" t="n">
        <v>42795</v>
      </c>
      <c r="B304" t="n">
        <v>335564</v>
      </c>
      <c r="C304" t="n">
        <v>472283</v>
      </c>
      <c r="D304" t="n">
        <v>28678</v>
      </c>
      <c r="E304" t="n">
        <v>21821</v>
      </c>
      <c r="F304" t="n">
        <v>60338</v>
      </c>
      <c r="G304" t="n">
        <v>7799</v>
      </c>
      <c r="H304" t="n">
        <v>9560</v>
      </c>
      <c r="I304" t="n">
        <v>57341</v>
      </c>
      <c r="J304" t="n">
        <v>375404</v>
      </c>
      <c r="K304" t="n">
        <v>39840</v>
      </c>
      <c r="L304" t="n">
        <v>57361</v>
      </c>
      <c r="M304" t="n">
        <v>26580</v>
      </c>
      <c r="N304" t="n">
        <v>10193</v>
      </c>
      <c r="O304" t="n">
        <v>96879</v>
      </c>
      <c r="P304" t="n">
        <v>48919</v>
      </c>
      <c r="Q304" t="n">
        <v>6974</v>
      </c>
    </row>
    <row r="305">
      <c r="A305" s="133" t="n">
        <v>42826</v>
      </c>
      <c r="B305" t="n">
        <v>337124</v>
      </c>
      <c r="C305" t="n">
        <v>474137</v>
      </c>
      <c r="D305" t="n">
        <v>29027</v>
      </c>
      <c r="E305" t="n">
        <v>21797</v>
      </c>
      <c r="F305" t="n">
        <v>60468</v>
      </c>
      <c r="G305" t="n">
        <v>7851</v>
      </c>
      <c r="H305" t="n">
        <v>9407</v>
      </c>
      <c r="I305" t="n">
        <v>57435</v>
      </c>
      <c r="J305" t="n">
        <v>376764</v>
      </c>
      <c r="K305" t="n">
        <v>39640</v>
      </c>
      <c r="L305" t="n">
        <v>57644</v>
      </c>
      <c r="M305" t="n">
        <v>26763</v>
      </c>
      <c r="N305" t="n">
        <v>10251</v>
      </c>
      <c r="O305" t="n">
        <v>97373</v>
      </c>
      <c r="P305" t="n">
        <v>49435</v>
      </c>
      <c r="Q305" t="n">
        <v>7046</v>
      </c>
    </row>
    <row r="306">
      <c r="A306" s="133" t="n">
        <v>42856</v>
      </c>
      <c r="B306" t="n">
        <v>335922</v>
      </c>
      <c r="C306" t="n">
        <v>471768</v>
      </c>
      <c r="D306" t="n">
        <v>28706</v>
      </c>
      <c r="E306" t="n">
        <v>21601</v>
      </c>
      <c r="F306" t="n">
        <v>60611</v>
      </c>
      <c r="G306" t="n">
        <v>7736</v>
      </c>
      <c r="H306" t="n">
        <v>9503</v>
      </c>
      <c r="I306" t="n">
        <v>57494</v>
      </c>
      <c r="J306" t="n">
        <v>373963</v>
      </c>
      <c r="K306" t="n">
        <v>38041</v>
      </c>
      <c r="L306" t="n">
        <v>56574</v>
      </c>
      <c r="M306" t="n">
        <v>26765</v>
      </c>
      <c r="N306" t="n">
        <v>10057</v>
      </c>
      <c r="O306" t="n">
        <v>97805</v>
      </c>
      <c r="P306" t="n">
        <v>49924</v>
      </c>
      <c r="Q306" t="n">
        <v>6951</v>
      </c>
    </row>
    <row r="307">
      <c r="A307" s="133" t="n">
        <v>42887</v>
      </c>
      <c r="B307" t="n">
        <v>337523</v>
      </c>
      <c r="C307" t="n">
        <v>473656</v>
      </c>
      <c r="D307" t="n">
        <v>28754</v>
      </c>
      <c r="E307" t="n">
        <v>21768</v>
      </c>
      <c r="F307" t="n">
        <v>60410</v>
      </c>
      <c r="G307" t="n">
        <v>7664</v>
      </c>
      <c r="H307" t="n">
        <v>9573</v>
      </c>
      <c r="I307" t="n">
        <v>57296</v>
      </c>
      <c r="J307" t="n">
        <v>374936</v>
      </c>
      <c r="K307" t="n">
        <v>37413</v>
      </c>
      <c r="L307" t="n">
        <v>57790</v>
      </c>
      <c r="M307" t="n">
        <v>27011</v>
      </c>
      <c r="N307" t="n">
        <v>10039</v>
      </c>
      <c r="O307" t="n">
        <v>98720</v>
      </c>
      <c r="P307" t="n">
        <v>50255</v>
      </c>
      <c r="Q307" t="n">
        <v>6963</v>
      </c>
    </row>
    <row r="308">
      <c r="A308" s="133" t="n">
        <v>42917</v>
      </c>
      <c r="B308" t="n">
        <v>337497</v>
      </c>
      <c r="C308" t="n">
        <v>473637</v>
      </c>
      <c r="D308" t="n">
        <v>28915</v>
      </c>
      <c r="E308" t="n">
        <v>21626</v>
      </c>
      <c r="F308" t="n">
        <v>60444</v>
      </c>
      <c r="G308" t="n">
        <v>7581</v>
      </c>
      <c r="H308" t="n">
        <v>9529</v>
      </c>
      <c r="I308" t="n">
        <v>57150</v>
      </c>
      <c r="J308" t="n">
        <v>374863</v>
      </c>
      <c r="K308" t="n">
        <v>37366</v>
      </c>
      <c r="L308" t="n">
        <v>57475</v>
      </c>
      <c r="M308" t="n">
        <v>27047</v>
      </c>
      <c r="N308" t="n">
        <v>10270</v>
      </c>
      <c r="O308" t="n">
        <v>98774</v>
      </c>
      <c r="P308" t="n">
        <v>50606</v>
      </c>
      <c r="Q308" t="n">
        <v>6854</v>
      </c>
    </row>
    <row r="309">
      <c r="A309" s="133" t="n">
        <v>42948</v>
      </c>
      <c r="B309" t="n">
        <v>339220</v>
      </c>
      <c r="C309" t="n">
        <v>474544</v>
      </c>
      <c r="D309" t="n">
        <v>28941</v>
      </c>
      <c r="E309" t="n">
        <v>21810</v>
      </c>
      <c r="F309" t="n">
        <v>60701</v>
      </c>
      <c r="G309" t="n">
        <v>7598</v>
      </c>
      <c r="H309" t="n">
        <v>9608</v>
      </c>
      <c r="I309" t="n">
        <v>57530</v>
      </c>
      <c r="J309" t="n">
        <v>377878</v>
      </c>
      <c r="K309" t="n">
        <v>38658</v>
      </c>
      <c r="L309" t="n">
        <v>57612</v>
      </c>
      <c r="M309" t="n">
        <v>27333</v>
      </c>
      <c r="N309" t="n">
        <v>10219</v>
      </c>
      <c r="O309" t="n">
        <v>96666</v>
      </c>
      <c r="P309" t="n">
        <v>50947</v>
      </c>
      <c r="Q309" t="n">
        <v>6921</v>
      </c>
    </row>
    <row r="310">
      <c r="A310" s="133" t="n">
        <v>42979</v>
      </c>
      <c r="B310" t="n">
        <v>342630</v>
      </c>
      <c r="C310" t="n">
        <v>484243</v>
      </c>
      <c r="D310" t="n">
        <v>29910</v>
      </c>
      <c r="E310" t="n">
        <v>21864</v>
      </c>
      <c r="F310" t="n">
        <v>61377</v>
      </c>
      <c r="G310" t="n">
        <v>7654</v>
      </c>
      <c r="H310" t="n">
        <v>9542</v>
      </c>
      <c r="I310" t="n">
        <v>57788</v>
      </c>
      <c r="J310" t="n">
        <v>383379</v>
      </c>
      <c r="K310" t="n">
        <v>40749</v>
      </c>
      <c r="L310" t="n">
        <v>58351</v>
      </c>
      <c r="M310" t="n">
        <v>27395</v>
      </c>
      <c r="N310" t="n">
        <v>10331</v>
      </c>
      <c r="O310" t="n">
        <v>100864</v>
      </c>
      <c r="P310" t="n">
        <v>51433</v>
      </c>
      <c r="Q310" t="n">
        <v>6985</v>
      </c>
    </row>
    <row r="311">
      <c r="A311" s="133" t="n">
        <v>43009</v>
      </c>
      <c r="B311" t="n">
        <v>342475</v>
      </c>
      <c r="C311" t="n">
        <v>484880</v>
      </c>
      <c r="D311" t="n">
        <v>29568</v>
      </c>
      <c r="E311" t="n">
        <v>21792</v>
      </c>
      <c r="F311" t="n">
        <v>61566</v>
      </c>
      <c r="G311" t="n">
        <v>7691</v>
      </c>
      <c r="H311" t="n">
        <v>9821</v>
      </c>
      <c r="I311" t="n">
        <v>58224</v>
      </c>
      <c r="J311" t="n">
        <v>383395</v>
      </c>
      <c r="K311" t="n">
        <v>40920</v>
      </c>
      <c r="L311" t="n">
        <v>57945</v>
      </c>
      <c r="M311" t="n">
        <v>27559</v>
      </c>
      <c r="N311" t="n">
        <v>10358</v>
      </c>
      <c r="O311" t="n">
        <v>101485</v>
      </c>
      <c r="P311" t="n">
        <v>50938</v>
      </c>
      <c r="Q311" t="n">
        <v>7013</v>
      </c>
    </row>
    <row r="312">
      <c r="A312" s="133" t="n">
        <v>43040</v>
      </c>
      <c r="B312" t="n">
        <v>347166</v>
      </c>
      <c r="C312" t="n">
        <v>489882</v>
      </c>
      <c r="D312" t="n">
        <v>30027</v>
      </c>
      <c r="E312" t="n">
        <v>21987</v>
      </c>
      <c r="F312" t="n">
        <v>61691</v>
      </c>
      <c r="G312" t="n">
        <v>7877</v>
      </c>
      <c r="H312" t="n">
        <v>9929</v>
      </c>
      <c r="I312" t="n">
        <v>58915</v>
      </c>
      <c r="J312" t="n">
        <v>389208</v>
      </c>
      <c r="K312" t="n">
        <v>42042</v>
      </c>
      <c r="L312" t="n">
        <v>57965</v>
      </c>
      <c r="M312" t="n">
        <v>27721</v>
      </c>
      <c r="N312" t="n">
        <v>10594</v>
      </c>
      <c r="O312" t="n">
        <v>100674</v>
      </c>
      <c r="P312" t="n">
        <v>53336</v>
      </c>
      <c r="Q312" t="n">
        <v>7124</v>
      </c>
    </row>
    <row r="313">
      <c r="A313" s="133" t="n">
        <v>43070</v>
      </c>
      <c r="B313" t="n">
        <v>350018</v>
      </c>
      <c r="C313" t="n">
        <v>493332</v>
      </c>
      <c r="D313" t="n">
        <v>30078</v>
      </c>
      <c r="E313" t="n">
        <v>21793</v>
      </c>
      <c r="F313" t="n">
        <v>62218</v>
      </c>
      <c r="G313" t="n">
        <v>7801</v>
      </c>
      <c r="H313" t="n">
        <v>9967</v>
      </c>
      <c r="I313" t="n">
        <v>59203</v>
      </c>
      <c r="J313" t="n">
        <v>392925</v>
      </c>
      <c r="K313" t="n">
        <v>42907</v>
      </c>
      <c r="L313" t="n">
        <v>58394</v>
      </c>
      <c r="M313" t="n">
        <v>27603</v>
      </c>
      <c r="N313" t="n">
        <v>10696</v>
      </c>
      <c r="O313" t="n">
        <v>100407</v>
      </c>
      <c r="P313" t="n">
        <v>55188</v>
      </c>
      <c r="Q313" t="n">
        <v>7077</v>
      </c>
    </row>
    <row r="314">
      <c r="A314" s="133" t="n">
        <v>43101</v>
      </c>
      <c r="B314" t="n">
        <v>348057</v>
      </c>
      <c r="C314" t="n">
        <v>491248</v>
      </c>
      <c r="D314" t="n">
        <v>29012</v>
      </c>
      <c r="E314" t="n">
        <v>21874</v>
      </c>
      <c r="F314" t="n">
        <v>61818</v>
      </c>
      <c r="G314" t="n">
        <v>7844</v>
      </c>
      <c r="H314" t="n">
        <v>9882</v>
      </c>
      <c r="I314" t="n">
        <v>59463</v>
      </c>
      <c r="J314" t="n">
        <v>391070</v>
      </c>
      <c r="K314" t="n">
        <v>43013</v>
      </c>
      <c r="L314" t="n">
        <v>58569</v>
      </c>
      <c r="M314" t="n">
        <v>27603</v>
      </c>
      <c r="N314" t="n">
        <v>10899</v>
      </c>
      <c r="O314" t="n">
        <v>100178</v>
      </c>
      <c r="P314" t="n">
        <v>54273</v>
      </c>
      <c r="Q314" t="n">
        <v>6820</v>
      </c>
    </row>
    <row r="315">
      <c r="A315" s="133" t="n">
        <v>43132</v>
      </c>
      <c r="B315" t="n">
        <v>350974</v>
      </c>
      <c r="C315" t="n">
        <v>494424</v>
      </c>
      <c r="D315" t="n">
        <v>30037</v>
      </c>
      <c r="E315" t="n">
        <v>22449</v>
      </c>
      <c r="F315" t="n">
        <v>62077</v>
      </c>
      <c r="G315" t="n">
        <v>7948</v>
      </c>
      <c r="H315" t="n">
        <v>9870</v>
      </c>
      <c r="I315" t="n">
        <v>59793</v>
      </c>
      <c r="J315" t="n">
        <v>394491</v>
      </c>
      <c r="K315" t="n">
        <v>43517</v>
      </c>
      <c r="L315" t="n">
        <v>58800</v>
      </c>
      <c r="M315" t="n">
        <v>27494</v>
      </c>
      <c r="N315" t="n">
        <v>10819</v>
      </c>
      <c r="O315" t="n">
        <v>99933</v>
      </c>
      <c r="P315" t="n">
        <v>54595</v>
      </c>
      <c r="Q315" t="n">
        <v>7092</v>
      </c>
    </row>
    <row r="316">
      <c r="A316" s="133" t="n">
        <v>43160</v>
      </c>
      <c r="B316" t="n">
        <v>350675</v>
      </c>
      <c r="C316" t="n">
        <v>493527</v>
      </c>
      <c r="D316" t="n">
        <v>29685</v>
      </c>
      <c r="E316" t="n">
        <v>21778</v>
      </c>
      <c r="F316" t="n">
        <v>62234</v>
      </c>
      <c r="G316" t="n">
        <v>7876</v>
      </c>
      <c r="H316" t="n">
        <v>9879</v>
      </c>
      <c r="I316" t="n">
        <v>60288</v>
      </c>
      <c r="J316" t="n">
        <v>393595</v>
      </c>
      <c r="K316" t="n">
        <v>42920</v>
      </c>
      <c r="L316" t="n">
        <v>57897</v>
      </c>
      <c r="M316" t="n">
        <v>27656</v>
      </c>
      <c r="N316" t="n">
        <v>10743</v>
      </c>
      <c r="O316" t="n">
        <v>99932</v>
      </c>
      <c r="P316" t="n">
        <v>55486</v>
      </c>
      <c r="Q316" t="n">
        <v>7153</v>
      </c>
    </row>
    <row r="317">
      <c r="A317" s="133" t="n">
        <v>43191</v>
      </c>
      <c r="B317" t="n">
        <v>351691</v>
      </c>
      <c r="C317" t="n">
        <v>494686</v>
      </c>
      <c r="D317" t="n">
        <v>29858</v>
      </c>
      <c r="E317" t="n">
        <v>22169</v>
      </c>
      <c r="F317" t="n">
        <v>62369</v>
      </c>
      <c r="G317" t="n">
        <v>7982</v>
      </c>
      <c r="H317" t="n">
        <v>10018</v>
      </c>
      <c r="I317" t="n">
        <v>59625</v>
      </c>
      <c r="J317" t="n">
        <v>394329</v>
      </c>
      <c r="K317" t="n">
        <v>42638</v>
      </c>
      <c r="L317" t="n">
        <v>58154</v>
      </c>
      <c r="M317" t="n">
        <v>27950</v>
      </c>
      <c r="N317" t="n">
        <v>10684</v>
      </c>
      <c r="O317" t="n">
        <v>100357</v>
      </c>
      <c r="P317" t="n">
        <v>55831</v>
      </c>
      <c r="Q317" t="n">
        <v>7051</v>
      </c>
    </row>
    <row r="318">
      <c r="A318" s="133" t="n">
        <v>43221</v>
      </c>
      <c r="B318" t="n">
        <v>356250</v>
      </c>
      <c r="C318" t="n">
        <v>500671</v>
      </c>
      <c r="D318" t="n">
        <v>30663</v>
      </c>
      <c r="E318" t="n">
        <v>22820</v>
      </c>
      <c r="F318" t="n">
        <v>62431</v>
      </c>
      <c r="G318" t="n">
        <v>7947</v>
      </c>
      <c r="H318" t="n">
        <v>9939</v>
      </c>
      <c r="I318" t="n">
        <v>60912</v>
      </c>
      <c r="J318" t="n">
        <v>400017</v>
      </c>
      <c r="K318" t="n">
        <v>43767</v>
      </c>
      <c r="L318" t="n">
        <v>59558</v>
      </c>
      <c r="M318" t="n">
        <v>28294</v>
      </c>
      <c r="N318" t="n">
        <v>10851</v>
      </c>
      <c r="O318" t="n">
        <v>100654</v>
      </c>
      <c r="P318" t="n">
        <v>55791</v>
      </c>
      <c r="Q318" t="n">
        <v>7044</v>
      </c>
    </row>
    <row r="319">
      <c r="A319" s="133" t="n">
        <v>43252</v>
      </c>
      <c r="B319" t="n">
        <v>355188</v>
      </c>
      <c r="C319" t="n">
        <v>499116</v>
      </c>
      <c r="D319" t="n">
        <v>31111</v>
      </c>
      <c r="E319" t="n">
        <v>22256</v>
      </c>
      <c r="F319" t="n">
        <v>62272</v>
      </c>
      <c r="G319" t="n">
        <v>7993</v>
      </c>
      <c r="H319" t="n">
        <v>9965</v>
      </c>
      <c r="I319" t="n">
        <v>61589</v>
      </c>
      <c r="J319" t="n">
        <v>398729</v>
      </c>
      <c r="K319" t="n">
        <v>43541</v>
      </c>
      <c r="L319" t="n">
        <v>58534</v>
      </c>
      <c r="M319" t="n">
        <v>28127</v>
      </c>
      <c r="N319" t="n">
        <v>10783</v>
      </c>
      <c r="O319" t="n">
        <v>100387</v>
      </c>
      <c r="P319" t="n">
        <v>55728</v>
      </c>
      <c r="Q319" t="n">
        <v>6830</v>
      </c>
    </row>
    <row r="320">
      <c r="A320" s="133" t="n">
        <v>43282</v>
      </c>
      <c r="B320" t="n">
        <v>357794</v>
      </c>
      <c r="C320" t="n">
        <v>502596</v>
      </c>
      <c r="D320" t="n">
        <v>31331</v>
      </c>
      <c r="E320" t="n">
        <v>22704</v>
      </c>
      <c r="F320" t="n">
        <v>62676</v>
      </c>
      <c r="G320" t="n">
        <v>7916</v>
      </c>
      <c r="H320" t="n">
        <v>10014</v>
      </c>
      <c r="I320" t="n">
        <v>62174</v>
      </c>
      <c r="J320" t="n">
        <v>401697</v>
      </c>
      <c r="K320" t="n">
        <v>43903</v>
      </c>
      <c r="L320" t="n">
        <v>58872</v>
      </c>
      <c r="M320" t="n">
        <v>28308</v>
      </c>
      <c r="N320" t="n">
        <v>10422</v>
      </c>
      <c r="O320" t="n">
        <v>100899</v>
      </c>
      <c r="P320" t="n">
        <v>56803</v>
      </c>
      <c r="Q320" t="n">
        <v>6574</v>
      </c>
    </row>
    <row r="321">
      <c r="A321" s="133" t="n">
        <v>43313</v>
      </c>
      <c r="B321" t="n">
        <v>357814</v>
      </c>
      <c r="C321" t="n">
        <v>502503</v>
      </c>
      <c r="D321" t="n">
        <v>30997</v>
      </c>
      <c r="E321" t="n">
        <v>22229</v>
      </c>
      <c r="F321" t="n">
        <v>62358</v>
      </c>
      <c r="G321" t="n">
        <v>7934</v>
      </c>
      <c r="H321" t="n">
        <v>9889</v>
      </c>
      <c r="I321" t="n">
        <v>62627</v>
      </c>
      <c r="J321" t="n">
        <v>402415</v>
      </c>
      <c r="K321" t="n">
        <v>44601</v>
      </c>
      <c r="L321" t="n">
        <v>59007</v>
      </c>
      <c r="M321" t="n">
        <v>28535</v>
      </c>
      <c r="N321" t="n">
        <v>10596</v>
      </c>
      <c r="O321" t="n">
        <v>100088</v>
      </c>
      <c r="P321" t="n">
        <v>57127</v>
      </c>
      <c r="Q321" t="n">
        <v>6515</v>
      </c>
    </row>
    <row r="322">
      <c r="A322" s="133" t="n">
        <v>43344</v>
      </c>
      <c r="B322" t="n">
        <v>356908</v>
      </c>
      <c r="C322" t="n">
        <v>500518</v>
      </c>
      <c r="D322" t="n">
        <v>31132</v>
      </c>
      <c r="E322" t="n">
        <v>22104</v>
      </c>
      <c r="F322" t="n">
        <v>62759</v>
      </c>
      <c r="G322" t="n">
        <v>7791</v>
      </c>
      <c r="H322" t="n">
        <v>9884</v>
      </c>
      <c r="I322" t="n">
        <v>61172</v>
      </c>
      <c r="J322" t="n">
        <v>401109</v>
      </c>
      <c r="K322" t="n">
        <v>44201</v>
      </c>
      <c r="L322" t="n">
        <v>58841</v>
      </c>
      <c r="M322" t="n">
        <v>28358</v>
      </c>
      <c r="N322" t="n">
        <v>10602</v>
      </c>
      <c r="O322" t="n">
        <v>99409</v>
      </c>
      <c r="P322" t="n">
        <v>57839</v>
      </c>
      <c r="Q322" t="n">
        <v>6426</v>
      </c>
    </row>
    <row r="323">
      <c r="A323" s="133" t="n">
        <v>43374</v>
      </c>
      <c r="B323" t="n">
        <v>359990</v>
      </c>
      <c r="C323" t="n">
        <v>505965</v>
      </c>
      <c r="D323" t="n">
        <v>31655</v>
      </c>
      <c r="E323" t="n">
        <v>22560</v>
      </c>
      <c r="F323" t="n">
        <v>63130</v>
      </c>
      <c r="G323" t="n">
        <v>7775</v>
      </c>
      <c r="H323" t="n">
        <v>9935</v>
      </c>
      <c r="I323" t="n">
        <v>61817</v>
      </c>
      <c r="J323" t="n">
        <v>405896</v>
      </c>
      <c r="K323" t="n">
        <v>45906</v>
      </c>
      <c r="L323" t="n">
        <v>59247</v>
      </c>
      <c r="M323" t="n">
        <v>28542</v>
      </c>
      <c r="N323" t="n">
        <v>10844</v>
      </c>
      <c r="O323" t="n">
        <v>100069</v>
      </c>
      <c r="P323" t="n">
        <v>58059</v>
      </c>
      <c r="Q323" t="n">
        <v>6426</v>
      </c>
    </row>
    <row r="324">
      <c r="A324" s="133" t="n">
        <v>43405</v>
      </c>
      <c r="B324" t="n">
        <v>362393</v>
      </c>
      <c r="C324" t="n">
        <v>507282</v>
      </c>
      <c r="D324" t="n">
        <v>31003</v>
      </c>
      <c r="E324" t="n">
        <v>22531</v>
      </c>
      <c r="F324" t="n">
        <v>63225</v>
      </c>
      <c r="G324" t="n">
        <v>7743</v>
      </c>
      <c r="H324" t="n">
        <v>9935</v>
      </c>
      <c r="I324" t="n">
        <v>61475</v>
      </c>
      <c r="J324" t="n">
        <v>406192</v>
      </c>
      <c r="K324" t="n">
        <v>43799</v>
      </c>
      <c r="L324" t="n">
        <v>60634</v>
      </c>
      <c r="M324" t="n">
        <v>29088</v>
      </c>
      <c r="N324" t="n">
        <v>10789</v>
      </c>
      <c r="O324" t="n">
        <v>101090</v>
      </c>
      <c r="P324" t="n">
        <v>59497</v>
      </c>
      <c r="Q324" t="n">
        <v>6473</v>
      </c>
    </row>
    <row r="325">
      <c r="A325" s="133" t="n">
        <v>43435</v>
      </c>
      <c r="B325" t="n">
        <v>355060</v>
      </c>
      <c r="C325" t="n">
        <v>498336</v>
      </c>
      <c r="D325" t="n">
        <v>31068</v>
      </c>
      <c r="E325" t="n">
        <v>22200</v>
      </c>
      <c r="F325" t="n">
        <v>63120</v>
      </c>
      <c r="G325" t="n">
        <v>7622</v>
      </c>
      <c r="H325" t="n">
        <v>9959</v>
      </c>
      <c r="I325" t="n">
        <v>61452</v>
      </c>
      <c r="J325" t="n">
        <v>396321</v>
      </c>
      <c r="K325" t="n">
        <v>41261</v>
      </c>
      <c r="L325" t="n">
        <v>59479</v>
      </c>
      <c r="M325" t="n">
        <v>27847</v>
      </c>
      <c r="N325" t="n">
        <v>10614</v>
      </c>
      <c r="O325" t="n">
        <v>102015</v>
      </c>
      <c r="P325" t="n">
        <v>55333</v>
      </c>
      <c r="Q325" t="n">
        <v>6366</v>
      </c>
    </row>
    <row r="326">
      <c r="A326" s="133" t="n">
        <v>43466</v>
      </c>
      <c r="B326" t="n">
        <v>361550</v>
      </c>
      <c r="C326" t="n">
        <v>501305</v>
      </c>
      <c r="D326" t="n">
        <v>32154</v>
      </c>
      <c r="E326" t="n">
        <v>22176</v>
      </c>
      <c r="F326" t="n">
        <v>64169</v>
      </c>
      <c r="G326" t="n">
        <v>7689</v>
      </c>
      <c r="H326" t="n">
        <v>9851</v>
      </c>
      <c r="I326" t="n">
        <v>61512</v>
      </c>
      <c r="J326" t="n">
        <v>401659</v>
      </c>
      <c r="K326" t="n">
        <v>40109</v>
      </c>
      <c r="L326" t="n">
        <v>59441</v>
      </c>
      <c r="M326" t="n">
        <v>28629</v>
      </c>
      <c r="N326" t="n">
        <v>10368</v>
      </c>
      <c r="O326" t="n">
        <v>99646</v>
      </c>
      <c r="P326" t="n">
        <v>59084</v>
      </c>
      <c r="Q326" t="n">
        <v>6477</v>
      </c>
    </row>
    <row r="327">
      <c r="A327" s="133" t="n">
        <v>43497</v>
      </c>
      <c r="B327" t="n">
        <v>360089</v>
      </c>
      <c r="C327" t="n">
        <v>503037</v>
      </c>
      <c r="D327" t="n">
        <v>30626</v>
      </c>
      <c r="E327" t="n">
        <v>22194</v>
      </c>
      <c r="F327" t="n">
        <v>62926</v>
      </c>
      <c r="G327" t="n">
        <v>7568</v>
      </c>
      <c r="H327" t="n">
        <v>9862</v>
      </c>
      <c r="I327" t="n">
        <v>62162</v>
      </c>
      <c r="J327" t="n">
        <v>402085</v>
      </c>
      <c r="K327" t="n">
        <v>41996</v>
      </c>
      <c r="L327" t="n">
        <v>59106</v>
      </c>
      <c r="M327" t="n">
        <v>28875</v>
      </c>
      <c r="N327" t="n">
        <v>10415</v>
      </c>
      <c r="O327" t="n">
        <v>100952</v>
      </c>
      <c r="P327" t="n">
        <v>59819</v>
      </c>
      <c r="Q327" t="n">
        <v>6536</v>
      </c>
    </row>
    <row r="328">
      <c r="A328" s="133" t="n">
        <v>43525</v>
      </c>
      <c r="B328" t="n">
        <v>362979</v>
      </c>
      <c r="C328" t="n">
        <v>509552</v>
      </c>
      <c r="D328" t="n">
        <v>30931</v>
      </c>
      <c r="E328" t="n">
        <v>22566</v>
      </c>
      <c r="F328" t="n">
        <v>64026</v>
      </c>
      <c r="G328" t="n">
        <v>7593</v>
      </c>
      <c r="H328" t="n">
        <v>9935</v>
      </c>
      <c r="I328" t="n">
        <v>62598</v>
      </c>
      <c r="J328" t="n">
        <v>405980</v>
      </c>
      <c r="K328" t="n">
        <v>43001</v>
      </c>
      <c r="L328" t="n">
        <v>59339</v>
      </c>
      <c r="M328" t="n">
        <v>28827</v>
      </c>
      <c r="N328" t="n">
        <v>10600</v>
      </c>
      <c r="O328" t="n">
        <v>103572</v>
      </c>
      <c r="P328" t="n">
        <v>60006</v>
      </c>
      <c r="Q328" t="n">
        <v>6558</v>
      </c>
    </row>
    <row r="329">
      <c r="A329" s="133" t="n">
        <v>43556</v>
      </c>
      <c r="B329" t="n">
        <v>364387</v>
      </c>
      <c r="C329" t="n">
        <v>510367</v>
      </c>
      <c r="D329" t="n">
        <v>30931</v>
      </c>
      <c r="E329" t="n">
        <v>22515</v>
      </c>
      <c r="F329" t="n">
        <v>64241</v>
      </c>
      <c r="G329" t="n">
        <v>7560</v>
      </c>
      <c r="H329" t="n">
        <v>10007</v>
      </c>
      <c r="I329" t="n">
        <v>63137</v>
      </c>
      <c r="J329" t="n">
        <v>408121</v>
      </c>
      <c r="K329" t="n">
        <v>43734</v>
      </c>
      <c r="L329" t="n">
        <v>59893</v>
      </c>
      <c r="M329" t="n">
        <v>28719</v>
      </c>
      <c r="N329" t="n">
        <v>10837</v>
      </c>
      <c r="O329" t="n">
        <v>102246</v>
      </c>
      <c r="P329" t="n">
        <v>59864</v>
      </c>
      <c r="Q329" t="n">
        <v>6683</v>
      </c>
    </row>
    <row r="330">
      <c r="A330" s="133" t="n">
        <v>43586</v>
      </c>
      <c r="B330" t="n">
        <v>366381</v>
      </c>
      <c r="C330" t="n">
        <v>512883</v>
      </c>
      <c r="D330" t="n">
        <v>30522</v>
      </c>
      <c r="E330" t="n">
        <v>22215</v>
      </c>
      <c r="F330" t="n">
        <v>64325</v>
      </c>
      <c r="G330" t="n">
        <v>7634</v>
      </c>
      <c r="H330" t="n">
        <v>10062</v>
      </c>
      <c r="I330" t="n">
        <v>63898</v>
      </c>
      <c r="J330" t="n">
        <v>410006</v>
      </c>
      <c r="K330" t="n">
        <v>43625</v>
      </c>
      <c r="L330" t="n">
        <v>59540</v>
      </c>
      <c r="M330" t="n">
        <v>28862</v>
      </c>
      <c r="N330" t="n">
        <v>10930</v>
      </c>
      <c r="O330" t="n">
        <v>102877</v>
      </c>
      <c r="P330" t="n">
        <v>61676</v>
      </c>
      <c r="Q330" t="n">
        <v>6717</v>
      </c>
    </row>
    <row r="331">
      <c r="A331" s="133" t="n">
        <v>43617</v>
      </c>
      <c r="B331" t="n">
        <v>368578</v>
      </c>
      <c r="C331" t="n">
        <v>513694</v>
      </c>
      <c r="D331" t="n">
        <v>30499</v>
      </c>
      <c r="E331" t="n">
        <v>22167</v>
      </c>
      <c r="F331" t="n">
        <v>64707</v>
      </c>
      <c r="G331" t="n">
        <v>7587</v>
      </c>
      <c r="H331" t="n">
        <v>10119</v>
      </c>
      <c r="I331" t="n">
        <v>64702</v>
      </c>
      <c r="J331" t="n">
        <v>410816</v>
      </c>
      <c r="K331" t="n">
        <v>42238</v>
      </c>
      <c r="L331" t="n">
        <v>59459</v>
      </c>
      <c r="M331" t="n">
        <v>28805</v>
      </c>
      <c r="N331" t="n">
        <v>10986</v>
      </c>
      <c r="O331" t="n">
        <v>102878</v>
      </c>
      <c r="P331" t="n">
        <v>62748</v>
      </c>
      <c r="Q331" t="n">
        <v>6799</v>
      </c>
    </row>
    <row r="332">
      <c r="A332" s="133" t="n">
        <v>43647</v>
      </c>
      <c r="B332" t="n">
        <v>372475</v>
      </c>
      <c r="C332" t="n">
        <v>518670</v>
      </c>
      <c r="D332" t="n">
        <v>31160</v>
      </c>
      <c r="E332" t="n">
        <v>22569</v>
      </c>
      <c r="F332" t="n">
        <v>65549</v>
      </c>
      <c r="G332" t="n">
        <v>7682</v>
      </c>
      <c r="H332" t="n">
        <v>10139</v>
      </c>
      <c r="I332" t="n">
        <v>65003</v>
      </c>
      <c r="J332" t="n">
        <v>415325</v>
      </c>
      <c r="K332" t="n">
        <v>42850</v>
      </c>
      <c r="L332" t="n">
        <v>60437</v>
      </c>
      <c r="M332" t="n">
        <v>28665</v>
      </c>
      <c r="N332" t="n">
        <v>10845</v>
      </c>
      <c r="O332" t="n">
        <v>103345</v>
      </c>
      <c r="P332" t="n">
        <v>63746</v>
      </c>
      <c r="Q332" t="n">
        <v>6680</v>
      </c>
    </row>
    <row r="333">
      <c r="A333" s="133" t="n">
        <v>43678</v>
      </c>
      <c r="B333" t="n">
        <v>372691</v>
      </c>
      <c r="C333" t="n">
        <v>521158</v>
      </c>
      <c r="D333" t="n">
        <v>31675</v>
      </c>
      <c r="E333" t="n">
        <v>22615</v>
      </c>
      <c r="F333" t="n">
        <v>65324</v>
      </c>
      <c r="G333" t="n">
        <v>7586</v>
      </c>
      <c r="H333" t="n">
        <v>10134</v>
      </c>
      <c r="I333" t="n">
        <v>65191</v>
      </c>
      <c r="J333" t="n">
        <v>415426</v>
      </c>
      <c r="K333" t="n">
        <v>42735</v>
      </c>
      <c r="L333" t="n">
        <v>60074</v>
      </c>
      <c r="M333" t="n">
        <v>28580</v>
      </c>
      <c r="N333" t="n">
        <v>11045</v>
      </c>
      <c r="O333" t="n">
        <v>105732</v>
      </c>
      <c r="P333" t="n">
        <v>63727</v>
      </c>
      <c r="Q333" t="n">
        <v>6740</v>
      </c>
    </row>
    <row r="334">
      <c r="A334" s="133" t="n">
        <v>43709</v>
      </c>
      <c r="B334" t="n">
        <v>371681</v>
      </c>
      <c r="C334" t="n">
        <v>517755</v>
      </c>
      <c r="D334" t="n">
        <v>31213</v>
      </c>
      <c r="E334" t="n">
        <v>22376</v>
      </c>
      <c r="F334" t="n">
        <v>64832</v>
      </c>
      <c r="G334" t="n">
        <v>7633</v>
      </c>
      <c r="H334" t="n">
        <v>10253</v>
      </c>
      <c r="I334" t="n">
        <v>65707</v>
      </c>
      <c r="J334" t="n">
        <v>414270</v>
      </c>
      <c r="K334" t="n">
        <v>42589</v>
      </c>
      <c r="L334" t="n">
        <v>59377</v>
      </c>
      <c r="M334" t="n">
        <v>28600</v>
      </c>
      <c r="N334" t="n">
        <v>10997</v>
      </c>
      <c r="O334" t="n">
        <v>103485</v>
      </c>
      <c r="P334" t="n">
        <v>63995</v>
      </c>
      <c r="Q334" t="n">
        <v>6698</v>
      </c>
    </row>
    <row r="335">
      <c r="A335" s="133" t="n">
        <v>43739</v>
      </c>
      <c r="B335" t="n">
        <v>372925</v>
      </c>
      <c r="C335" t="n">
        <v>519519</v>
      </c>
      <c r="D335" t="n">
        <v>31212</v>
      </c>
      <c r="E335" t="n">
        <v>22417</v>
      </c>
      <c r="F335" t="n">
        <v>64933</v>
      </c>
      <c r="G335" t="n">
        <v>7444</v>
      </c>
      <c r="H335" t="n">
        <v>10136</v>
      </c>
      <c r="I335" t="n">
        <v>66068</v>
      </c>
      <c r="J335" t="n">
        <v>416179</v>
      </c>
      <c r="K335" t="n">
        <v>43254</v>
      </c>
      <c r="L335" t="n">
        <v>59662</v>
      </c>
      <c r="M335" t="n">
        <v>28809</v>
      </c>
      <c r="N335" t="n">
        <v>11156</v>
      </c>
      <c r="O335" t="n">
        <v>103340</v>
      </c>
      <c r="P335" t="n">
        <v>64346</v>
      </c>
      <c r="Q335" t="n">
        <v>6742</v>
      </c>
    </row>
    <row r="336">
      <c r="A336" s="133" t="n">
        <v>43770</v>
      </c>
      <c r="B336" t="n">
        <v>372809</v>
      </c>
      <c r="C336" t="n">
        <v>521774</v>
      </c>
      <c r="D336" t="n">
        <v>31251</v>
      </c>
      <c r="E336" t="n">
        <v>22184</v>
      </c>
      <c r="F336" t="n">
        <v>64963</v>
      </c>
      <c r="G336" t="n">
        <v>7505</v>
      </c>
      <c r="H336" t="n">
        <v>10203</v>
      </c>
      <c r="I336" t="n">
        <v>65841</v>
      </c>
      <c r="J336" t="n">
        <v>416055</v>
      </c>
      <c r="K336" t="n">
        <v>43246</v>
      </c>
      <c r="L336" t="n">
        <v>60033</v>
      </c>
      <c r="M336" t="n">
        <v>28576</v>
      </c>
      <c r="N336" t="n">
        <v>11255</v>
      </c>
      <c r="O336" t="n">
        <v>105719</v>
      </c>
      <c r="P336" t="n">
        <v>64466</v>
      </c>
      <c r="Q336" t="n">
        <v>6532</v>
      </c>
    </row>
    <row r="337">
      <c r="A337" s="133" t="n">
        <v>43800</v>
      </c>
      <c r="B337" t="n">
        <v>377694</v>
      </c>
      <c r="C337" t="n">
        <v>525903</v>
      </c>
      <c r="D337" t="n">
        <v>31690</v>
      </c>
      <c r="E337" t="n">
        <v>23230</v>
      </c>
      <c r="F337" t="n">
        <v>65455</v>
      </c>
      <c r="G337" t="n">
        <v>7564</v>
      </c>
      <c r="H337" t="n">
        <v>10034</v>
      </c>
      <c r="I337" t="n">
        <v>66980</v>
      </c>
      <c r="J337" t="n">
        <v>422153</v>
      </c>
      <c r="K337" t="n">
        <v>44459</v>
      </c>
      <c r="L337" t="n">
        <v>60632</v>
      </c>
      <c r="M337" t="n">
        <v>28267</v>
      </c>
      <c r="N337" t="n">
        <v>11096</v>
      </c>
      <c r="O337" t="n">
        <v>103750</v>
      </c>
      <c r="P337" t="n">
        <v>66026</v>
      </c>
      <c r="Q337" t="n">
        <v>6720</v>
      </c>
    </row>
    <row r="338">
      <c r="A338" s="133" t="n">
        <v>43831</v>
      </c>
      <c r="B338" t="n">
        <v>377782</v>
      </c>
      <c r="C338" t="n">
        <v>524063</v>
      </c>
      <c r="D338" t="n">
        <v>32196</v>
      </c>
      <c r="E338" t="n">
        <v>23009</v>
      </c>
      <c r="F338" t="n">
        <v>64768</v>
      </c>
      <c r="G338" t="n">
        <v>7514</v>
      </c>
      <c r="H338" t="n">
        <v>10406</v>
      </c>
      <c r="I338" t="n">
        <v>67950</v>
      </c>
      <c r="J338" t="n">
        <v>421133</v>
      </c>
      <c r="K338" t="n">
        <v>43351</v>
      </c>
      <c r="L338" t="n">
        <v>60118</v>
      </c>
      <c r="M338" t="n">
        <v>28983</v>
      </c>
      <c r="N338" t="n">
        <v>11463</v>
      </c>
      <c r="O338" t="n">
        <v>102930</v>
      </c>
      <c r="P338" t="n">
        <v>64673</v>
      </c>
      <c r="Q338" t="n">
        <v>6702</v>
      </c>
    </row>
    <row r="339">
      <c r="A339" s="133" t="n">
        <v>43862</v>
      </c>
      <c r="B339" t="n">
        <v>380669</v>
      </c>
      <c r="C339" t="n">
        <v>526174</v>
      </c>
      <c r="D339" t="n">
        <v>32331</v>
      </c>
      <c r="E339" t="n">
        <v>22735</v>
      </c>
      <c r="F339" t="n">
        <v>64872</v>
      </c>
      <c r="G339" t="n">
        <v>7399</v>
      </c>
      <c r="H339" t="n">
        <v>10257</v>
      </c>
      <c r="I339" t="n">
        <v>68276</v>
      </c>
      <c r="J339" t="n">
        <v>422679</v>
      </c>
      <c r="K339" t="n">
        <v>42010</v>
      </c>
      <c r="L339" t="n">
        <v>60618</v>
      </c>
      <c r="M339" t="n">
        <v>29290</v>
      </c>
      <c r="N339" t="n">
        <v>11324</v>
      </c>
      <c r="O339" t="n">
        <v>103495</v>
      </c>
      <c r="P339" t="n">
        <v>66932</v>
      </c>
      <c r="Q339" t="n">
        <v>6635</v>
      </c>
    </row>
    <row r="340">
      <c r="A340" s="133" t="n">
        <v>43891</v>
      </c>
      <c r="B340" t="n">
        <v>369456</v>
      </c>
      <c r="C340" t="n">
        <v>480150</v>
      </c>
      <c r="D340" t="n">
        <v>32213</v>
      </c>
      <c r="E340" t="n">
        <v>11477</v>
      </c>
      <c r="F340" t="n">
        <v>81800</v>
      </c>
      <c r="G340" t="n">
        <v>6063</v>
      </c>
      <c r="H340" t="n">
        <v>7981</v>
      </c>
      <c r="I340" t="n">
        <v>47758</v>
      </c>
      <c r="J340" t="n">
        <v>403993</v>
      </c>
      <c r="K340" t="n">
        <v>34537</v>
      </c>
      <c r="L340" t="n">
        <v>64302</v>
      </c>
      <c r="M340" t="n">
        <v>30733</v>
      </c>
      <c r="N340" t="n">
        <v>9784</v>
      </c>
      <c r="O340" t="n">
        <v>76157</v>
      </c>
      <c r="P340" t="n">
        <v>71863</v>
      </c>
      <c r="Q340" t="n">
        <v>5482</v>
      </c>
    </row>
    <row r="341">
      <c r="A341" s="133" t="n">
        <v>43922</v>
      </c>
      <c r="B341" t="n">
        <v>314716</v>
      </c>
      <c r="C341" t="n">
        <v>407025</v>
      </c>
      <c r="D341" t="n">
        <v>31885</v>
      </c>
      <c r="E341" t="n">
        <v>2866</v>
      </c>
      <c r="F341" t="n">
        <v>71138</v>
      </c>
      <c r="G341" t="n">
        <v>3487</v>
      </c>
      <c r="H341" t="n">
        <v>3959</v>
      </c>
      <c r="I341" t="n">
        <v>31107</v>
      </c>
      <c r="J341" t="n">
        <v>340784</v>
      </c>
      <c r="K341" t="n">
        <v>26068</v>
      </c>
      <c r="L341" t="n">
        <v>56625</v>
      </c>
      <c r="M341" t="n">
        <v>26103</v>
      </c>
      <c r="N341" t="n">
        <v>7179</v>
      </c>
      <c r="O341" t="n">
        <v>66241</v>
      </c>
      <c r="P341" t="n">
        <v>76674</v>
      </c>
      <c r="Q341" t="n">
        <v>3693</v>
      </c>
    </row>
    <row r="342">
      <c r="A342" s="133" t="n">
        <v>43952</v>
      </c>
      <c r="B342" t="n">
        <v>355568</v>
      </c>
      <c r="C342" t="n">
        <v>483066</v>
      </c>
      <c r="D342" t="n">
        <v>36135</v>
      </c>
      <c r="E342" t="n">
        <v>8288</v>
      </c>
      <c r="F342" t="n">
        <v>72476</v>
      </c>
      <c r="G342" t="n">
        <v>4222</v>
      </c>
      <c r="H342" t="n">
        <v>7095</v>
      </c>
      <c r="I342" t="n">
        <v>41021</v>
      </c>
      <c r="J342" t="n">
        <v>385103</v>
      </c>
      <c r="K342" t="n">
        <v>29535</v>
      </c>
      <c r="L342" t="n">
        <v>60494</v>
      </c>
      <c r="M342" t="n">
        <v>26413</v>
      </c>
      <c r="N342" t="n">
        <v>8550</v>
      </c>
      <c r="O342" t="n">
        <v>97963</v>
      </c>
      <c r="P342" t="n">
        <v>84419</v>
      </c>
      <c r="Q342" t="n">
        <v>6455</v>
      </c>
    </row>
    <row r="343">
      <c r="A343" s="133" t="n">
        <v>43983</v>
      </c>
      <c r="B343" t="n">
        <v>384455</v>
      </c>
      <c r="C343" t="n">
        <v>525093</v>
      </c>
      <c r="D343" t="n">
        <v>36238</v>
      </c>
      <c r="E343" t="n">
        <v>17139</v>
      </c>
      <c r="F343" t="n">
        <v>71208</v>
      </c>
      <c r="G343" t="n">
        <v>5971</v>
      </c>
      <c r="H343" t="n">
        <v>9860</v>
      </c>
      <c r="I343" t="n">
        <v>52844</v>
      </c>
      <c r="J343" t="n">
        <v>418132</v>
      </c>
      <c r="K343" t="n">
        <v>33677</v>
      </c>
      <c r="L343" t="n">
        <v>61107</v>
      </c>
      <c r="M343" t="n">
        <v>28579</v>
      </c>
      <c r="N343" t="n">
        <v>10512</v>
      </c>
      <c r="O343" t="n">
        <v>106961</v>
      </c>
      <c r="P343" t="n">
        <v>82753</v>
      </c>
      <c r="Q343" t="n">
        <v>8244</v>
      </c>
    </row>
    <row r="344">
      <c r="A344" s="133" t="n">
        <v>44013</v>
      </c>
      <c r="B344" t="n">
        <v>394807</v>
      </c>
      <c r="C344" t="n">
        <v>536087</v>
      </c>
      <c r="D344" t="n">
        <v>36034</v>
      </c>
      <c r="E344" t="n">
        <v>17912</v>
      </c>
      <c r="F344" t="n">
        <v>71444</v>
      </c>
      <c r="G344" t="n">
        <v>6877</v>
      </c>
      <c r="H344" t="n">
        <v>10126</v>
      </c>
      <c r="I344" t="n">
        <v>54918</v>
      </c>
      <c r="J344" t="n">
        <v>430255</v>
      </c>
      <c r="K344" t="n">
        <v>35448</v>
      </c>
      <c r="L344" t="n">
        <v>61181</v>
      </c>
      <c r="M344" t="n">
        <v>30173</v>
      </c>
      <c r="N344" t="n">
        <v>10997</v>
      </c>
      <c r="O344" t="n">
        <v>105832</v>
      </c>
      <c r="P344" t="n">
        <v>87256</v>
      </c>
      <c r="Q344" t="n">
        <v>7889</v>
      </c>
    </row>
    <row r="345">
      <c r="A345" s="133" t="n">
        <v>44044</v>
      </c>
      <c r="B345" t="n">
        <v>396649</v>
      </c>
      <c r="C345" t="n">
        <v>540078</v>
      </c>
      <c r="D345" t="n">
        <v>36741</v>
      </c>
      <c r="E345" t="n">
        <v>18400</v>
      </c>
      <c r="F345" t="n">
        <v>70080</v>
      </c>
      <c r="G345" t="n">
        <v>6875</v>
      </c>
      <c r="H345" t="n">
        <v>10641</v>
      </c>
      <c r="I345" t="n">
        <v>57687</v>
      </c>
      <c r="J345" t="n">
        <v>432843</v>
      </c>
      <c r="K345" t="n">
        <v>36194</v>
      </c>
      <c r="L345" t="n">
        <v>59992</v>
      </c>
      <c r="M345" t="n">
        <v>29802</v>
      </c>
      <c r="N345" t="n">
        <v>11174</v>
      </c>
      <c r="O345" t="n">
        <v>107235</v>
      </c>
      <c r="P345" t="n">
        <v>87790</v>
      </c>
      <c r="Q345" t="n">
        <v>7467</v>
      </c>
    </row>
    <row r="346">
      <c r="A346" s="133" t="n">
        <v>44075</v>
      </c>
      <c r="B346" t="n">
        <v>404129</v>
      </c>
      <c r="C346" t="n">
        <v>551871</v>
      </c>
      <c r="D346" t="n">
        <v>36910</v>
      </c>
      <c r="E346" t="n">
        <v>20827</v>
      </c>
      <c r="F346" t="n">
        <v>70053</v>
      </c>
      <c r="G346" t="n">
        <v>6783</v>
      </c>
      <c r="H346" t="n">
        <v>10747</v>
      </c>
      <c r="I346" t="n">
        <v>59171</v>
      </c>
      <c r="J346" t="n">
        <v>440843</v>
      </c>
      <c r="K346" t="n">
        <v>36714</v>
      </c>
      <c r="L346" t="n">
        <v>62289</v>
      </c>
      <c r="M346" t="n">
        <v>30274</v>
      </c>
      <c r="N346" t="n">
        <v>11198</v>
      </c>
      <c r="O346" t="n">
        <v>111028</v>
      </c>
      <c r="P346" t="n">
        <v>88022</v>
      </c>
      <c r="Q346" t="n">
        <v>7855</v>
      </c>
    </row>
    <row r="347">
      <c r="A347" s="133" t="n">
        <v>44105</v>
      </c>
      <c r="B347" t="n">
        <v>402661</v>
      </c>
      <c r="C347" t="n">
        <v>550049</v>
      </c>
      <c r="D347" t="n">
        <v>36498</v>
      </c>
      <c r="E347" t="n">
        <v>20303</v>
      </c>
      <c r="F347" t="n">
        <v>69685</v>
      </c>
      <c r="G347" t="n">
        <v>6991</v>
      </c>
      <c r="H347" t="n">
        <v>10657</v>
      </c>
      <c r="I347" t="n">
        <v>59223</v>
      </c>
      <c r="J347" t="n">
        <v>439587</v>
      </c>
      <c r="K347" t="n">
        <v>36926</v>
      </c>
      <c r="L347" t="n">
        <v>61465</v>
      </c>
      <c r="M347" t="n">
        <v>30170</v>
      </c>
      <c r="N347" t="n">
        <v>11212</v>
      </c>
      <c r="O347" t="n">
        <v>110462</v>
      </c>
      <c r="P347" t="n">
        <v>88693</v>
      </c>
      <c r="Q347" t="n">
        <v>7764</v>
      </c>
    </row>
    <row r="348">
      <c r="A348" s="133" t="n">
        <v>44136</v>
      </c>
      <c r="B348" t="n">
        <v>398714</v>
      </c>
      <c r="C348" t="n">
        <v>543834</v>
      </c>
      <c r="D348" t="n">
        <v>36557</v>
      </c>
      <c r="E348" t="n">
        <v>19017</v>
      </c>
      <c r="F348" t="n">
        <v>70464</v>
      </c>
      <c r="G348" t="n">
        <v>6705</v>
      </c>
      <c r="H348" t="n">
        <v>10472</v>
      </c>
      <c r="I348" t="n">
        <v>57001</v>
      </c>
      <c r="J348" t="n">
        <v>434907</v>
      </c>
      <c r="K348" t="n">
        <v>36193</v>
      </c>
      <c r="L348" t="n">
        <v>61442</v>
      </c>
      <c r="M348" t="n">
        <v>29698</v>
      </c>
      <c r="N348" t="n">
        <v>11229</v>
      </c>
      <c r="O348" t="n">
        <v>108927</v>
      </c>
      <c r="P348" t="n">
        <v>88465</v>
      </c>
      <c r="Q348" t="n">
        <v>7664</v>
      </c>
    </row>
    <row r="349">
      <c r="A349" s="133" t="n">
        <v>44166</v>
      </c>
      <c r="B349" t="n">
        <v>392563</v>
      </c>
      <c r="C349" t="n">
        <v>542942</v>
      </c>
      <c r="D349" t="n">
        <v>36528</v>
      </c>
      <c r="E349" t="n">
        <v>20007</v>
      </c>
      <c r="F349" t="n">
        <v>69983</v>
      </c>
      <c r="G349" t="n">
        <v>6478</v>
      </c>
      <c r="H349" t="n">
        <v>10446</v>
      </c>
      <c r="I349" t="n">
        <v>54066</v>
      </c>
      <c r="J349" t="n">
        <v>431856</v>
      </c>
      <c r="K349" t="n">
        <v>39293</v>
      </c>
      <c r="L349" t="n">
        <v>60493</v>
      </c>
      <c r="M349" t="n">
        <v>29948</v>
      </c>
      <c r="N349" t="n">
        <v>11802</v>
      </c>
      <c r="O349" t="n">
        <v>111086</v>
      </c>
      <c r="P349" t="n">
        <v>85101</v>
      </c>
      <c r="Q349" t="n">
        <v>7711</v>
      </c>
    </row>
    <row r="350">
      <c r="A350" s="133" t="n">
        <v>44197</v>
      </c>
      <c r="B350" t="n">
        <v>416686</v>
      </c>
      <c r="C350" t="n">
        <v>572822</v>
      </c>
      <c r="D350" t="n">
        <v>38682</v>
      </c>
      <c r="E350" t="n">
        <v>21093</v>
      </c>
      <c r="F350" t="n">
        <v>70921</v>
      </c>
      <c r="G350" t="n">
        <v>7382</v>
      </c>
      <c r="H350" t="n">
        <v>11855</v>
      </c>
      <c r="I350" t="n">
        <v>59553</v>
      </c>
      <c r="J350" t="n">
        <v>457790</v>
      </c>
      <c r="K350" t="n">
        <v>41104</v>
      </c>
      <c r="L350" t="n">
        <v>65762</v>
      </c>
      <c r="M350" t="n">
        <v>29977</v>
      </c>
      <c r="N350" t="n">
        <v>11835</v>
      </c>
      <c r="O350" t="n">
        <v>115032</v>
      </c>
      <c r="P350" t="n">
        <v>91081</v>
      </c>
      <c r="Q350" t="n">
        <v>8545</v>
      </c>
    </row>
    <row r="351">
      <c r="A351" s="133" t="n">
        <v>44228</v>
      </c>
      <c r="B351" t="n">
        <v>408169</v>
      </c>
      <c r="C351" t="n">
        <v>562686</v>
      </c>
      <c r="D351" t="n">
        <v>36997</v>
      </c>
      <c r="E351" t="n">
        <v>19904</v>
      </c>
      <c r="F351" t="n">
        <v>70969</v>
      </c>
      <c r="G351" t="n">
        <v>7068</v>
      </c>
      <c r="H351" t="n">
        <v>11243</v>
      </c>
      <c r="I351" t="n">
        <v>59036</v>
      </c>
      <c r="J351" t="n">
        <v>450910</v>
      </c>
      <c r="K351" t="n">
        <v>42741</v>
      </c>
      <c r="L351" t="n">
        <v>62783</v>
      </c>
      <c r="M351" t="n">
        <v>29740</v>
      </c>
      <c r="N351" t="n">
        <v>11602</v>
      </c>
      <c r="O351" t="n">
        <v>111776</v>
      </c>
      <c r="P351" t="n">
        <v>90997</v>
      </c>
      <c r="Q351" t="n">
        <v>7830</v>
      </c>
    </row>
    <row r="352">
      <c r="A352" s="133" t="n">
        <v>44256</v>
      </c>
      <c r="B352" t="n">
        <v>448480</v>
      </c>
      <c r="C352" t="n">
        <v>625731</v>
      </c>
      <c r="D352" t="n">
        <v>41753</v>
      </c>
      <c r="E352" t="n">
        <v>24019</v>
      </c>
      <c r="F352" t="n">
        <v>71309</v>
      </c>
      <c r="G352" t="n">
        <v>8019</v>
      </c>
      <c r="H352" t="n">
        <v>12052</v>
      </c>
      <c r="I352" t="n">
        <v>67362</v>
      </c>
      <c r="J352" t="n">
        <v>494626</v>
      </c>
      <c r="K352" t="n">
        <v>46146</v>
      </c>
      <c r="L352" t="n">
        <v>69549</v>
      </c>
      <c r="M352" t="n">
        <v>32383</v>
      </c>
      <c r="N352" t="n">
        <v>13170</v>
      </c>
      <c r="O352" t="n">
        <v>131105</v>
      </c>
      <c r="P352" t="n">
        <v>99351</v>
      </c>
      <c r="Q352" t="n">
        <v>9513</v>
      </c>
    </row>
    <row r="353">
      <c r="A353" s="133" t="n">
        <v>44287</v>
      </c>
      <c r="B353" t="n">
        <v>446407</v>
      </c>
      <c r="C353" t="n">
        <v>625764</v>
      </c>
      <c r="D353" t="n">
        <v>41661</v>
      </c>
      <c r="E353" t="n">
        <v>24070</v>
      </c>
      <c r="F353" t="n">
        <v>71984</v>
      </c>
      <c r="G353" t="n">
        <v>8153</v>
      </c>
      <c r="H353" t="n">
        <v>12047</v>
      </c>
      <c r="I353" t="n">
        <v>69899</v>
      </c>
      <c r="J353" t="n">
        <v>492307</v>
      </c>
      <c r="K353" t="n">
        <v>45900</v>
      </c>
      <c r="L353" t="n">
        <v>68499</v>
      </c>
      <c r="M353" t="n">
        <v>32315</v>
      </c>
      <c r="N353" t="n">
        <v>13291</v>
      </c>
      <c r="O353" t="n">
        <v>133457</v>
      </c>
      <c r="P353" t="n">
        <v>95121</v>
      </c>
      <c r="Q353" t="n">
        <v>9367</v>
      </c>
    </row>
    <row r="354">
      <c r="A354" s="133" t="n">
        <v>44317</v>
      </c>
      <c r="B354" t="n">
        <v>445569</v>
      </c>
      <c r="C354" t="n">
        <v>622921</v>
      </c>
      <c r="D354" t="n">
        <v>39836</v>
      </c>
      <c r="E354" t="n">
        <v>24789</v>
      </c>
      <c r="F354" t="n">
        <v>72530</v>
      </c>
      <c r="G354" t="n">
        <v>8074</v>
      </c>
      <c r="H354" t="n">
        <v>11985</v>
      </c>
      <c r="I354" t="n">
        <v>72480</v>
      </c>
      <c r="J354" t="n">
        <v>491778</v>
      </c>
      <c r="K354" t="n">
        <v>46209</v>
      </c>
      <c r="L354" t="n">
        <v>66475</v>
      </c>
      <c r="M354" t="n">
        <v>31531</v>
      </c>
      <c r="N354" t="n">
        <v>12482</v>
      </c>
      <c r="O354" t="n">
        <v>131143</v>
      </c>
      <c r="P354" t="n">
        <v>96292</v>
      </c>
      <c r="Q354" t="n">
        <v>9095</v>
      </c>
    </row>
    <row r="355">
      <c r="A355" s="133" t="n">
        <v>44348</v>
      </c>
      <c r="B355" t="n">
        <v>455114</v>
      </c>
      <c r="C355" t="n">
        <v>628881</v>
      </c>
      <c r="D355" t="n">
        <v>39249</v>
      </c>
      <c r="E355" t="n">
        <v>25799</v>
      </c>
      <c r="F355" t="n">
        <v>73116</v>
      </c>
      <c r="G355" t="n">
        <v>8540</v>
      </c>
      <c r="H355" t="n">
        <v>11909</v>
      </c>
      <c r="I355" t="n">
        <v>75837</v>
      </c>
      <c r="J355" t="n">
        <v>501804</v>
      </c>
      <c r="K355" t="n">
        <v>46690</v>
      </c>
      <c r="L355" t="n">
        <v>66887</v>
      </c>
      <c r="M355" t="n">
        <v>32715</v>
      </c>
      <c r="N355" t="n">
        <v>13588</v>
      </c>
      <c r="O355" t="n">
        <v>127077</v>
      </c>
      <c r="P355" t="n">
        <v>98517</v>
      </c>
      <c r="Q355" t="n">
        <v>8957</v>
      </c>
    </row>
    <row r="356">
      <c r="A356" s="133" t="n">
        <v>44378</v>
      </c>
      <c r="B356" t="n">
        <v>448825</v>
      </c>
      <c r="C356" t="n">
        <v>619014</v>
      </c>
      <c r="D356" t="n">
        <v>38848</v>
      </c>
      <c r="E356" t="n">
        <v>25397</v>
      </c>
      <c r="F356" t="n">
        <v>72910</v>
      </c>
      <c r="G356" t="n">
        <v>8443</v>
      </c>
      <c r="H356" t="n">
        <v>11861</v>
      </c>
      <c r="I356" t="n">
        <v>77293</v>
      </c>
      <c r="J356" t="n">
        <v>496686</v>
      </c>
      <c r="K356" t="n">
        <v>47861</v>
      </c>
      <c r="L356" t="n">
        <v>66654</v>
      </c>
      <c r="M356" t="n">
        <v>32512</v>
      </c>
      <c r="N356" t="n">
        <v>13833</v>
      </c>
      <c r="O356" t="n">
        <v>122328</v>
      </c>
      <c r="P356" t="n">
        <v>92162</v>
      </c>
      <c r="Q356" t="n">
        <v>8912</v>
      </c>
    </row>
    <row r="357">
      <c r="A357" s="133" t="n">
        <v>44409</v>
      </c>
      <c r="B357" t="n">
        <v>455497</v>
      </c>
      <c r="C357" t="n">
        <v>624963</v>
      </c>
      <c r="D357" t="n">
        <v>38913</v>
      </c>
      <c r="E357" t="n">
        <v>24874</v>
      </c>
      <c r="F357" t="n">
        <v>74085</v>
      </c>
      <c r="G357" t="n">
        <v>8022</v>
      </c>
      <c r="H357" t="n">
        <v>11866</v>
      </c>
      <c r="I357" t="n">
        <v>77564</v>
      </c>
      <c r="J357" t="n">
        <v>505347</v>
      </c>
      <c r="K357" t="n">
        <v>49850</v>
      </c>
      <c r="L357" t="n">
        <v>67314</v>
      </c>
      <c r="M357" t="n">
        <v>32799</v>
      </c>
      <c r="N357" t="n">
        <v>14073</v>
      </c>
      <c r="O357" t="n">
        <v>119616</v>
      </c>
      <c r="P357" t="n">
        <v>97186</v>
      </c>
      <c r="Q357" t="n">
        <v>8801</v>
      </c>
    </row>
    <row r="358">
      <c r="A358" s="133" t="n">
        <v>44440</v>
      </c>
      <c r="B358" t="n">
        <v>458684</v>
      </c>
      <c r="C358" t="n">
        <v>631563</v>
      </c>
      <c r="D358" t="n">
        <v>39261</v>
      </c>
      <c r="E358" t="n">
        <v>25264</v>
      </c>
      <c r="F358" t="n">
        <v>74695</v>
      </c>
      <c r="G358" t="n">
        <v>8081</v>
      </c>
      <c r="H358" t="n">
        <v>11962</v>
      </c>
      <c r="I358" t="n">
        <v>78288</v>
      </c>
      <c r="J358" t="n">
        <v>510471</v>
      </c>
      <c r="K358" t="n">
        <v>51787</v>
      </c>
      <c r="L358" t="n">
        <v>67541</v>
      </c>
      <c r="M358" t="n">
        <v>32611</v>
      </c>
      <c r="N358" t="n">
        <v>14403</v>
      </c>
      <c r="O358" t="n">
        <v>121092</v>
      </c>
      <c r="P358" t="n">
        <v>97674</v>
      </c>
      <c r="Q358" t="n">
        <v>8904</v>
      </c>
    </row>
    <row r="359">
      <c r="A359" s="133" t="n">
        <v>44470</v>
      </c>
      <c r="B359" t="n">
        <v>463635</v>
      </c>
      <c r="C359" t="n">
        <v>640524</v>
      </c>
      <c r="D359" t="n">
        <v>39895</v>
      </c>
      <c r="E359" t="n">
        <v>25420</v>
      </c>
      <c r="F359" t="n">
        <v>75331</v>
      </c>
      <c r="G359" t="n">
        <v>8312</v>
      </c>
      <c r="H359" t="n">
        <v>12016</v>
      </c>
      <c r="I359" t="n">
        <v>78449</v>
      </c>
      <c r="J359" t="n">
        <v>517827</v>
      </c>
      <c r="K359" t="n">
        <v>54192</v>
      </c>
      <c r="L359" t="n">
        <v>68323</v>
      </c>
      <c r="M359" t="n">
        <v>32444</v>
      </c>
      <c r="N359" t="n">
        <v>14616</v>
      </c>
      <c r="O359" t="n">
        <v>122697</v>
      </c>
      <c r="P359" t="n">
        <v>99875</v>
      </c>
      <c r="Q359" t="n">
        <v>8954</v>
      </c>
    </row>
    <row r="360">
      <c r="A360" s="133" t="n">
        <v>44501</v>
      </c>
      <c r="B360" t="n">
        <v>467206</v>
      </c>
      <c r="C360" t="n">
        <v>647516</v>
      </c>
      <c r="D360" t="n">
        <v>41016</v>
      </c>
      <c r="E360" t="n">
        <v>26165</v>
      </c>
      <c r="F360" t="n">
        <v>75540</v>
      </c>
      <c r="G360" t="n">
        <v>7431</v>
      </c>
      <c r="H360" t="n">
        <v>12139</v>
      </c>
      <c r="I360" t="n">
        <v>79218</v>
      </c>
      <c r="J360" t="n">
        <v>522591</v>
      </c>
      <c r="K360" t="n">
        <v>55385</v>
      </c>
      <c r="L360" t="n">
        <v>68109</v>
      </c>
      <c r="M360" t="n">
        <v>32694</v>
      </c>
      <c r="N360" t="n">
        <v>14493</v>
      </c>
      <c r="O360" t="n">
        <v>124925</v>
      </c>
      <c r="P360" t="n">
        <v>101265</v>
      </c>
      <c r="Q360" t="n">
        <v>9136</v>
      </c>
    </row>
    <row r="361">
      <c r="A361" s="133" t="n">
        <v>44531</v>
      </c>
      <c r="B361" t="n">
        <v>457676</v>
      </c>
      <c r="C361" t="n">
        <v>634393</v>
      </c>
      <c r="D361" t="n">
        <v>41207</v>
      </c>
      <c r="E361" t="n">
        <v>25051</v>
      </c>
      <c r="F361" t="n">
        <v>76187</v>
      </c>
      <c r="G361" t="n">
        <v>7224</v>
      </c>
      <c r="H361" t="n">
        <v>11219</v>
      </c>
      <c r="I361" t="n">
        <v>77583</v>
      </c>
      <c r="J361" t="n">
        <v>513586</v>
      </c>
      <c r="K361" t="n">
        <v>55910</v>
      </c>
      <c r="L361" t="n">
        <v>67197</v>
      </c>
      <c r="M361" t="n">
        <v>32797</v>
      </c>
      <c r="N361" t="n">
        <v>14285</v>
      </c>
      <c r="O361" t="n">
        <v>120807</v>
      </c>
      <c r="P361" t="n">
        <v>95958</v>
      </c>
      <c r="Q361" t="n">
        <v>8968</v>
      </c>
    </row>
    <row r="362">
      <c r="A362" s="133" t="n">
        <v>44562</v>
      </c>
      <c r="B362" t="n">
        <v>466972</v>
      </c>
      <c r="C362" t="n">
        <v>651557</v>
      </c>
      <c r="D362" t="n">
        <v>42170</v>
      </c>
      <c r="E362" t="n">
        <v>25160</v>
      </c>
      <c r="F362" t="n">
        <v>76603</v>
      </c>
      <c r="G362" t="n">
        <v>7263</v>
      </c>
      <c r="H362" t="n">
        <v>11994</v>
      </c>
      <c r="I362" t="n">
        <v>75557</v>
      </c>
      <c r="J362" t="n">
        <v>521891</v>
      </c>
      <c r="K362" t="n">
        <v>54919</v>
      </c>
      <c r="L362" t="n">
        <v>69233</v>
      </c>
      <c r="M362" t="n">
        <v>32815</v>
      </c>
      <c r="N362" t="n">
        <v>14527</v>
      </c>
      <c r="O362" t="n">
        <v>129666</v>
      </c>
      <c r="P362" t="n">
        <v>102773</v>
      </c>
      <c r="Q362" t="n">
        <v>8877</v>
      </c>
    </row>
    <row r="363">
      <c r="A363" s="133" t="n">
        <v>44593</v>
      </c>
      <c r="B363" t="n">
        <v>472501</v>
      </c>
      <c r="C363" t="n">
        <v>662321</v>
      </c>
      <c r="D363" t="n">
        <v>42307</v>
      </c>
      <c r="E363" t="n">
        <v>25481</v>
      </c>
      <c r="F363" t="n">
        <v>76533</v>
      </c>
      <c r="G363" t="n">
        <v>7516</v>
      </c>
      <c r="H363" t="n">
        <v>12101</v>
      </c>
      <c r="I363" t="n">
        <v>80553</v>
      </c>
      <c r="J363" t="n">
        <v>530893</v>
      </c>
      <c r="K363" t="n">
        <v>58392</v>
      </c>
      <c r="L363" t="n">
        <v>67568</v>
      </c>
      <c r="M363" t="n">
        <v>32445</v>
      </c>
      <c r="N363" t="n">
        <v>14986</v>
      </c>
      <c r="O363" t="n">
        <v>131428</v>
      </c>
      <c r="P363" t="n">
        <v>104095</v>
      </c>
      <c r="Q363" t="n">
        <v>8916</v>
      </c>
    </row>
    <row r="364">
      <c r="A364" s="133" t="n">
        <v>44621</v>
      </c>
      <c r="B364" t="n">
        <v>476780</v>
      </c>
      <c r="C364" t="n">
        <v>669958</v>
      </c>
      <c r="D364" t="n">
        <v>42572</v>
      </c>
      <c r="E364" t="n">
        <v>26157</v>
      </c>
      <c r="F364" t="n">
        <v>77268</v>
      </c>
      <c r="G364" t="n">
        <v>7673</v>
      </c>
      <c r="H364" t="n">
        <v>12097</v>
      </c>
      <c r="I364" t="n">
        <v>82388</v>
      </c>
      <c r="J364" t="n">
        <v>541436</v>
      </c>
      <c r="K364" t="n">
        <v>64656</v>
      </c>
      <c r="L364" t="n">
        <v>68468</v>
      </c>
      <c r="M364" t="n">
        <v>32763</v>
      </c>
      <c r="N364" t="n">
        <v>15490</v>
      </c>
      <c r="O364" t="n">
        <v>128522</v>
      </c>
      <c r="P364" t="n">
        <v>102895</v>
      </c>
      <c r="Q364" t="n">
        <v>9009</v>
      </c>
    </row>
    <row r="365">
      <c r="A365" s="133" t="n">
        <v>44652</v>
      </c>
      <c r="B365" t="n">
        <v>480089</v>
      </c>
      <c r="C365" t="n">
        <v>674719</v>
      </c>
      <c r="D365" t="n">
        <v>42168</v>
      </c>
      <c r="E365" t="n">
        <v>26166</v>
      </c>
      <c r="F365" t="n">
        <v>77270</v>
      </c>
      <c r="G365" t="n">
        <v>7797</v>
      </c>
      <c r="H365" t="n">
        <v>12283</v>
      </c>
      <c r="I365" t="n">
        <v>84481</v>
      </c>
      <c r="J365" t="n">
        <v>543908</v>
      </c>
      <c r="K365" t="n">
        <v>63819</v>
      </c>
      <c r="L365" t="n">
        <v>68026</v>
      </c>
      <c r="M365" t="n">
        <v>32962</v>
      </c>
      <c r="N365" t="n">
        <v>15864</v>
      </c>
      <c r="O365" t="n">
        <v>130811</v>
      </c>
      <c r="P365" t="n">
        <v>104003</v>
      </c>
      <c r="Q365" t="n">
        <v>9069</v>
      </c>
    </row>
    <row r="366">
      <c r="A366" s="133" t="n">
        <v>44682</v>
      </c>
      <c r="B366" t="n">
        <v>483737</v>
      </c>
      <c r="C366" t="n">
        <v>677115</v>
      </c>
      <c r="D366" t="n">
        <v>42257</v>
      </c>
      <c r="E366" t="n">
        <v>25812</v>
      </c>
      <c r="F366" t="n">
        <v>78111</v>
      </c>
      <c r="G366" t="n">
        <v>7596</v>
      </c>
      <c r="H366" t="n">
        <v>12144</v>
      </c>
      <c r="I366" t="n">
        <v>85322</v>
      </c>
      <c r="J366" t="n">
        <v>550725</v>
      </c>
      <c r="K366" t="n">
        <v>66988</v>
      </c>
      <c r="L366" t="n">
        <v>68053</v>
      </c>
      <c r="M366" t="n">
        <v>32985</v>
      </c>
      <c r="N366" t="n">
        <v>15515</v>
      </c>
      <c r="O366" t="n">
        <v>126390</v>
      </c>
      <c r="P366" t="n">
        <v>106789</v>
      </c>
      <c r="Q366" t="n">
        <v>9153</v>
      </c>
    </row>
    <row r="367">
      <c r="A367" s="133" t="n">
        <v>44713</v>
      </c>
      <c r="B367" t="n">
        <v>488175</v>
      </c>
      <c r="C367" t="n">
        <v>684084</v>
      </c>
      <c r="D367" t="n">
        <v>42131</v>
      </c>
      <c r="E367" t="n">
        <v>26004</v>
      </c>
      <c r="F367" t="n">
        <v>79000</v>
      </c>
      <c r="G367" t="n">
        <v>7559</v>
      </c>
      <c r="H367" t="n">
        <v>11995</v>
      </c>
      <c r="I367" t="n">
        <v>85939</v>
      </c>
      <c r="J367" t="n">
        <v>556980</v>
      </c>
      <c r="K367" t="n">
        <v>68805</v>
      </c>
      <c r="L367" t="n">
        <v>69621</v>
      </c>
      <c r="M367" t="n">
        <v>33426</v>
      </c>
      <c r="N367" t="n">
        <v>16110</v>
      </c>
      <c r="O367" t="n">
        <v>127104</v>
      </c>
      <c r="P367" t="n">
        <v>107157</v>
      </c>
      <c r="Q367" t="n">
        <v>9233</v>
      </c>
    </row>
    <row r="368">
      <c r="A368" s="133" t="n">
        <v>44743</v>
      </c>
      <c r="B368" t="n">
        <v>489272</v>
      </c>
      <c r="C368" t="n">
        <v>681108</v>
      </c>
      <c r="D368" t="n">
        <v>42597</v>
      </c>
      <c r="E368" t="n">
        <v>25889</v>
      </c>
      <c r="F368" t="n">
        <v>78968</v>
      </c>
      <c r="G368" t="n">
        <v>7535</v>
      </c>
      <c r="H368" t="n">
        <v>12009</v>
      </c>
      <c r="I368" t="n">
        <v>85214</v>
      </c>
      <c r="J368" t="n">
        <v>556555</v>
      </c>
      <c r="K368" t="n">
        <v>67283</v>
      </c>
      <c r="L368" t="n">
        <v>69346</v>
      </c>
      <c r="M368" t="n">
        <v>33641</v>
      </c>
      <c r="N368" t="n">
        <v>15898</v>
      </c>
      <c r="O368" t="n">
        <v>124553</v>
      </c>
      <c r="P368" t="n">
        <v>108939</v>
      </c>
      <c r="Q368" t="n">
        <v>9236</v>
      </c>
    </row>
    <row r="369">
      <c r="A369" s="133" t="n">
        <v>44774</v>
      </c>
      <c r="B369" t="n">
        <v>493588</v>
      </c>
      <c r="C369" t="n">
        <v>685685</v>
      </c>
      <c r="D369" t="n">
        <v>43314</v>
      </c>
      <c r="E369" t="n">
        <v>26145</v>
      </c>
      <c r="F369" t="n">
        <v>79317</v>
      </c>
      <c r="G369" t="n">
        <v>7387</v>
      </c>
      <c r="H369" t="n">
        <v>12087</v>
      </c>
      <c r="I369" t="n">
        <v>87305</v>
      </c>
      <c r="J369" t="n">
        <v>557536</v>
      </c>
      <c r="K369" t="n">
        <v>63948</v>
      </c>
      <c r="L369" t="n">
        <v>69558</v>
      </c>
      <c r="M369" t="n">
        <v>33649</v>
      </c>
      <c r="N369" t="n">
        <v>15934</v>
      </c>
      <c r="O369" t="n">
        <v>128149</v>
      </c>
      <c r="P369" t="n">
        <v>109557</v>
      </c>
      <c r="Q369" t="n">
        <v>9335</v>
      </c>
    </row>
    <row r="370">
      <c r="A370" s="133" t="n">
        <v>44805</v>
      </c>
      <c r="B370" t="n">
        <v>495671</v>
      </c>
      <c r="C370" t="n">
        <v>684538</v>
      </c>
      <c r="D370" t="n">
        <v>43000</v>
      </c>
      <c r="E370" t="n">
        <v>26403</v>
      </c>
      <c r="F370" t="n">
        <v>79984</v>
      </c>
      <c r="G370" t="n">
        <v>7285</v>
      </c>
      <c r="H370" t="n">
        <v>11831</v>
      </c>
      <c r="I370" t="n">
        <v>88196</v>
      </c>
      <c r="J370" t="n">
        <v>557087</v>
      </c>
      <c r="K370" t="n">
        <v>61416</v>
      </c>
      <c r="L370" t="n">
        <v>70343</v>
      </c>
      <c r="M370" t="n">
        <v>33932</v>
      </c>
      <c r="N370" t="n">
        <v>15992</v>
      </c>
      <c r="O370" t="n">
        <v>127451</v>
      </c>
      <c r="P370" t="n">
        <v>109410</v>
      </c>
      <c r="Q370" t="n">
        <v>9295</v>
      </c>
    </row>
    <row r="371">
      <c r="A371" s="133" t="n">
        <v>44835</v>
      </c>
      <c r="B371" t="n">
        <v>499618</v>
      </c>
      <c r="C371" t="n">
        <v>693482</v>
      </c>
      <c r="D371" t="n">
        <v>43578</v>
      </c>
      <c r="E371" t="n">
        <v>26409</v>
      </c>
      <c r="F371" t="n">
        <v>81009</v>
      </c>
      <c r="G371" t="n">
        <v>7217</v>
      </c>
      <c r="H371" t="n">
        <v>12062</v>
      </c>
      <c r="I371" t="n">
        <v>89613</v>
      </c>
      <c r="J371" t="n">
        <v>564000</v>
      </c>
      <c r="K371" t="n">
        <v>64382</v>
      </c>
      <c r="L371" t="n">
        <v>70145</v>
      </c>
      <c r="M371" t="n">
        <v>33928</v>
      </c>
      <c r="N371" t="n">
        <v>16176</v>
      </c>
      <c r="O371" t="n">
        <v>129482</v>
      </c>
      <c r="P371" t="n">
        <v>110124</v>
      </c>
      <c r="Q371" t="n">
        <v>9357</v>
      </c>
    </row>
    <row r="372">
      <c r="A372" s="133" t="n">
        <v>44866</v>
      </c>
      <c r="B372" t="n">
        <v>498588</v>
      </c>
      <c r="C372" t="n">
        <v>689443</v>
      </c>
      <c r="D372" t="n">
        <v>42485</v>
      </c>
      <c r="E372" t="n">
        <v>26353</v>
      </c>
      <c r="F372" t="n">
        <v>81628</v>
      </c>
      <c r="G372" t="n">
        <v>7106</v>
      </c>
      <c r="H372" t="n">
        <v>11751</v>
      </c>
      <c r="I372" t="n">
        <v>90391</v>
      </c>
      <c r="J372" t="n">
        <v>562931</v>
      </c>
      <c r="K372" t="n">
        <v>64343</v>
      </c>
      <c r="L372" t="n">
        <v>70070</v>
      </c>
      <c r="M372" t="n">
        <v>34168</v>
      </c>
      <c r="N372" t="n">
        <v>16249</v>
      </c>
      <c r="O372" t="n">
        <v>126512</v>
      </c>
      <c r="P372" t="n">
        <v>109084</v>
      </c>
      <c r="Q372" t="n">
        <v>9303</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10" zoomScaleNormal="110" workbookViewId="0">
      <selection activeCell="Q13" sqref="Q13"/>
    </sheetView>
  </sheetViews>
  <sheetFormatPr baseColWidth="8" defaultColWidth="9.1796875" defaultRowHeight="14.5"/>
  <cols>
    <col width="5.81640625" customWidth="1" style="121" min="1" max="1"/>
    <col width="14.6328125" customWidth="1" style="121" min="2" max="2"/>
    <col width="63.1796875" customWidth="1" style="121" min="3" max="3"/>
    <col width="16.36328125" bestFit="1" customWidth="1" style="121" min="4" max="4"/>
    <col width="16.36328125" customWidth="1" style="121" min="5" max="8"/>
    <col width="21.81640625" customWidth="1" style="121" min="9" max="9"/>
    <col width="52.36328125" customWidth="1" style="121" min="10" max="10"/>
    <col width="9.1796875" customWidth="1" style="121" min="11" max="12"/>
    <col width="9.81640625" customWidth="1" style="121" min="13" max="13"/>
    <col width="9.1796875" customWidth="1" style="121" min="14" max="30"/>
    <col width="9.1796875" customWidth="1" style="121" min="31" max="16384"/>
  </cols>
  <sheetData>
    <row r="1" ht="16" customHeight="1" thickBot="1"/>
    <row r="2">
      <c r="D2" s="4" t="inlineStr">
        <is>
          <t>Previous</t>
        </is>
      </c>
      <c r="E2" s="6">
        <f>DATE(YEAR(E3),MONTH(E3)-1,DAY(E3))</f>
        <v/>
      </c>
    </row>
    <row r="3" ht="16" customHeight="1" thickBot="1">
      <c r="D3" s="5" t="inlineStr">
        <is>
          <t>Latest</t>
        </is>
      </c>
      <c r="E3" s="7" t="n">
        <v>44866</v>
      </c>
      <c r="F3" s="8" t="inlineStr">
        <is>
          <t>* to modify</t>
        </is>
      </c>
    </row>
    <row r="5" ht="16" customHeight="1" thickBot="1"/>
    <row r="6" ht="21" customHeight="1"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c r="B7" s="59" t="n"/>
      <c r="C7" s="60" t="inlineStr">
        <is>
          <t>Retail Sales</t>
        </is>
      </c>
      <c r="D7" s="61">
        <f>VLOOKUP($E$2,'Retail Sales'!A:B,2,)</f>
        <v/>
      </c>
      <c r="E7" s="61">
        <f>VLOOKUP($E$3,'Retail Sales'!A:B,2,)</f>
        <v/>
      </c>
      <c r="F7" s="103">
        <f>(E7-D7)/D7</f>
        <v/>
      </c>
      <c r="G7" s="103">
        <f>VLOOKUP($E$3,'Retail Sales'!A:D,4,)</f>
        <v/>
      </c>
      <c r="H7" s="62" t="n"/>
      <c r="I7" s="63" t="inlineStr">
        <is>
          <t>RSAFS</t>
        </is>
      </c>
      <c r="J7" s="64" t="inlineStr">
        <is>
          <t>https://fred.stlouisfed.org/series/RSAFs</t>
        </is>
      </c>
    </row>
    <row r="8" ht="25.5" customHeight="1">
      <c r="B8" s="38" t="n"/>
      <c r="C8" s="34" t="inlineStr">
        <is>
          <t>Retail Sales ex Auto</t>
        </is>
      </c>
      <c r="D8" s="35">
        <f>VLOOKUP($E$2,'Retail Sales ex Auto'!A:B,2,)</f>
        <v/>
      </c>
      <c r="E8" s="35">
        <f>VLOOKUP($E$3,'Retail Sales ex Auto'!A:B,2,)</f>
        <v/>
      </c>
      <c r="F8" s="104">
        <f>(E8-D8)/D8</f>
        <v/>
      </c>
      <c r="G8" s="104">
        <f>VLOOKUP($E$3,'Retail Sales ex Auto'!A:D,4,)</f>
        <v/>
      </c>
      <c r="H8" s="3" t="n"/>
      <c r="I8" s="36" t="inlineStr">
        <is>
          <t>RSFSXMV</t>
        </is>
      </c>
      <c r="J8" s="39" t="inlineStr">
        <is>
          <t>https://fred.stlouisfed.org/series/RSFSXMV</t>
        </is>
      </c>
    </row>
    <row r="9" ht="25.5" customHeight="1">
      <c r="B9" s="38" t="n"/>
      <c r="C9" s="34" t="inlineStr">
        <is>
          <t>Retail Sales ex Auto and Gas</t>
        </is>
      </c>
      <c r="D9" s="35">
        <f>VLOOKUP($E$2,'Retail Sales ex Auto and Gas'!A:B,2,)</f>
        <v/>
      </c>
      <c r="E9" s="35">
        <f>VLOOKUP($E$3,'Retail Sales ex Auto and Gas'!A:B,2,)</f>
        <v/>
      </c>
      <c r="F9" s="104">
        <f>(E9-D9)/D9</f>
        <v/>
      </c>
      <c r="G9" s="104">
        <f>VLOOKUP($E$3,'Retail Sales ex Auto and Gas'!A:D,4,)</f>
        <v/>
      </c>
      <c r="H9" s="3" t="n"/>
      <c r="I9" s="36" t="inlineStr">
        <is>
          <t>MARTSSM44W72USS</t>
        </is>
      </c>
      <c r="J9" s="39" t="inlineStr">
        <is>
          <t>https://fred.stlouisfed.org/series/MARTSSM44W72USS</t>
        </is>
      </c>
    </row>
    <row r="10" ht="25.5" customHeight="1">
      <c r="B10" s="40" t="n">
        <v>441</v>
      </c>
      <c r="C10" s="34" t="inlineStr">
        <is>
          <t>Motor Vehicle</t>
        </is>
      </c>
      <c r="D10" s="35">
        <f>VLOOKUP($E$2,Motor!A:B,2,)</f>
        <v/>
      </c>
      <c r="E10" s="35">
        <f>VLOOKUP($E$3,Motor!A:B,2,)</f>
        <v/>
      </c>
      <c r="F10" s="104">
        <f>(E10-D10)/D10</f>
        <v/>
      </c>
      <c r="G10" s="104">
        <f>VLOOKUP($E$3,Motor!A:D,4,)</f>
        <v/>
      </c>
      <c r="H10" s="105">
        <f>D10/$D$7</f>
        <v/>
      </c>
      <c r="I10" s="36" t="inlineStr">
        <is>
          <t>RSMVPD</t>
        </is>
      </c>
      <c r="J10" s="39" t="inlineStr">
        <is>
          <t>https://fred.stlouisfed.org/series/RSMVPd</t>
        </is>
      </c>
    </row>
    <row r="11" ht="25.5" customHeight="1">
      <c r="B11" s="40" t="n">
        <v>454</v>
      </c>
      <c r="C11" s="34" t="inlineStr">
        <is>
          <t>Non Store</t>
        </is>
      </c>
      <c r="D11" s="35">
        <f>VLOOKUP($E$2,'Non Store Retail'!A:B,2,)</f>
        <v/>
      </c>
      <c r="E11" s="35">
        <f>VLOOKUP($E$3,'Non Store Retail'!A:B,2,)</f>
        <v/>
      </c>
      <c r="F11" s="104">
        <f>(E11-D11)/D11</f>
        <v/>
      </c>
      <c r="G11" s="104">
        <f>VLOOKUP($E$3,'Non Store Retail'!A:D,4,)</f>
        <v/>
      </c>
      <c r="H11" s="105">
        <f>D11/$D$7</f>
        <v/>
      </c>
      <c r="I11" s="36" t="inlineStr">
        <is>
          <t>RSNSR</t>
        </is>
      </c>
      <c r="J11" s="39" t="inlineStr">
        <is>
          <t>https://fred.stlouisfed.org/series/RSNSr</t>
        </is>
      </c>
    </row>
    <row r="12" ht="25.5" customHeight="1">
      <c r="B12" s="40" t="n">
        <v>445</v>
      </c>
      <c r="C12" s="34" t="inlineStr">
        <is>
          <t>Food &amp; Beverage</t>
        </is>
      </c>
      <c r="D12" s="35">
        <f>VLOOKUP($E$2,'Food and Beverage'!A:B,2,)</f>
        <v/>
      </c>
      <c r="E12" s="35">
        <f>VLOOKUP($E$3,'Food and Beverage'!A:B,2,)</f>
        <v/>
      </c>
      <c r="F12" s="104">
        <f>(E12-D12)/D12</f>
        <v/>
      </c>
      <c r="G12" s="104">
        <f>VLOOKUP($E$3,'Food and Beverage'!A:D,4,)</f>
        <v/>
      </c>
      <c r="H12" s="105">
        <f>D12/$D$7</f>
        <v/>
      </c>
      <c r="I12" s="36" t="inlineStr">
        <is>
          <t>RSDBS</t>
        </is>
      </c>
      <c r="J12" s="39" t="inlineStr">
        <is>
          <t>https://fred.stlouisfed.org/series/RSDBs</t>
        </is>
      </c>
    </row>
    <row r="13" ht="25.5" customHeight="1">
      <c r="B13" s="40" t="n">
        <v>722</v>
      </c>
      <c r="C13" s="34" t="inlineStr">
        <is>
          <t>Food Services</t>
        </is>
      </c>
      <c r="D13" s="35">
        <f>VLOOKUP($E$2,'Food Services'!A:B,2,)</f>
        <v/>
      </c>
      <c r="E13" s="35">
        <f>VLOOKUP($E$3,'Food Services'!A:B,2,)</f>
        <v/>
      </c>
      <c r="F13" s="104">
        <f>(E13-D13)/D13</f>
        <v/>
      </c>
      <c r="G13" s="104">
        <f>VLOOKUP($E$3,'Food Services'!A:D,4,)</f>
        <v/>
      </c>
      <c r="H13" s="105">
        <f>D13/$D$7</f>
        <v/>
      </c>
      <c r="I13" s="36" t="inlineStr">
        <is>
          <t>RSFSDP</t>
        </is>
      </c>
      <c r="J13" s="39" t="inlineStr">
        <is>
          <t>https://fred.stlouisfed.org/series/RSFSDp</t>
        </is>
      </c>
    </row>
    <row r="14" ht="25.5" customHeight="1">
      <c r="B14" s="40" t="n">
        <v>452</v>
      </c>
      <c r="C14" s="34" t="inlineStr">
        <is>
          <t>General Merchandising</t>
        </is>
      </c>
      <c r="D14" s="35">
        <f>VLOOKUP($E$2,'General Merchandising'!A:B,2,)</f>
        <v/>
      </c>
      <c r="E14" s="35">
        <f>VLOOKUP($E$3,'General Merchandising'!A:B,2,)</f>
        <v/>
      </c>
      <c r="F14" s="104">
        <f>(E14-D14)/D14</f>
        <v/>
      </c>
      <c r="G14" s="104">
        <f>VLOOKUP($E$3,'General Merchandising'!A:D,4,)</f>
        <v/>
      </c>
      <c r="H14" s="105">
        <f>D14/$D$7</f>
        <v/>
      </c>
      <c r="I14" s="36" t="inlineStr">
        <is>
          <t>RSGMS</t>
        </is>
      </c>
      <c r="J14" s="39" t="inlineStr">
        <is>
          <t>https://fred.stlouisfed.org/series/RSGMs</t>
        </is>
      </c>
    </row>
    <row r="15" ht="25.5" customHeight="1">
      <c r="B15" s="40" t="n">
        <v>447</v>
      </c>
      <c r="C15" s="34" t="inlineStr">
        <is>
          <t>Gasoline Stations</t>
        </is>
      </c>
      <c r="D15" s="35">
        <f>VLOOKUP($E$2,'Gas Station'!A:B,2,)</f>
        <v/>
      </c>
      <c r="E15" s="35">
        <f>VLOOKUP($E$3,'Gas Station'!A:B,2,)</f>
        <v/>
      </c>
      <c r="F15" s="104">
        <f>(E15-D15)/D15</f>
        <v/>
      </c>
      <c r="G15" s="104">
        <f>VLOOKUP($E$3,'Gas Station'!A:D,4,)</f>
        <v/>
      </c>
      <c r="H15" s="105">
        <f>D15/$D$7</f>
        <v/>
      </c>
      <c r="I15" s="36" t="inlineStr">
        <is>
          <t>RSGASS</t>
        </is>
      </c>
      <c r="J15" s="39" t="inlineStr">
        <is>
          <t>https://fred.stlouisfed.org/series/RSGASs</t>
        </is>
      </c>
    </row>
    <row r="16" ht="25.5" customHeight="1">
      <c r="B16" s="40" t="n">
        <v>444</v>
      </c>
      <c r="C16" s="34" t="inlineStr">
        <is>
          <t>Housing Supplies</t>
        </is>
      </c>
      <c r="D16" s="35">
        <f>VLOOKUP($E$2,Housing!A:B,2,)</f>
        <v/>
      </c>
      <c r="E16" s="35">
        <f>VLOOKUP($E$3,Housing!A:B,2,)</f>
        <v/>
      </c>
      <c r="F16" s="104">
        <f>(E16-D16)/D16</f>
        <v/>
      </c>
      <c r="G16" s="104">
        <f>VLOOKUP($E$3,Housing!A:D,4,)</f>
        <v/>
      </c>
      <c r="H16" s="105">
        <f>D16/$D$7</f>
        <v/>
      </c>
      <c r="I16" s="36" t="inlineStr">
        <is>
          <t>RSBMGESD</t>
        </is>
      </c>
      <c r="J16" s="39" t="inlineStr">
        <is>
          <t>https://fred.stlouisfed.org/series/RSBMGESD</t>
        </is>
      </c>
    </row>
    <row r="17" ht="25.5" customHeight="1">
      <c r="B17" s="40" t="n">
        <v>446</v>
      </c>
      <c r="C17" s="34" t="inlineStr">
        <is>
          <t>HealthCare</t>
        </is>
      </c>
      <c r="D17" s="35">
        <f>VLOOKUP($E$2,Health!A:B,2,)</f>
        <v/>
      </c>
      <c r="E17" s="35">
        <f>VLOOKUP($E$3,Health!A:B,2,)</f>
        <v/>
      </c>
      <c r="F17" s="104">
        <f>(E17-D17)/D17</f>
        <v/>
      </c>
      <c r="G17" s="104">
        <f>VLOOKUP($E$3,Health!A:D,4,)</f>
        <v/>
      </c>
      <c r="H17" s="105">
        <f>D17/$D$7</f>
        <v/>
      </c>
      <c r="I17" s="36" t="inlineStr">
        <is>
          <t>RSHPCS</t>
        </is>
      </c>
      <c r="J17" s="39" t="inlineStr">
        <is>
          <t>https://fred.stlouisfed.org/series/RSHPCs</t>
        </is>
      </c>
    </row>
    <row r="18" ht="25.5" customHeight="1">
      <c r="B18" s="40" t="n">
        <v>448</v>
      </c>
      <c r="C18" s="34" t="inlineStr">
        <is>
          <t>Clothing and clothing access. stores</t>
        </is>
      </c>
      <c r="D18" s="35">
        <f>VLOOKUP($E$2,'Clothing and clothing access'!A:B,2,0)</f>
        <v/>
      </c>
      <c r="E18" s="35">
        <f>VLOOKUP($E$3,'Clothing and clothing access'!A:B,2,)</f>
        <v/>
      </c>
      <c r="F18" s="104">
        <f>(E18-D18)/D18</f>
        <v/>
      </c>
      <c r="G18" s="104">
        <f>VLOOKUP($E$3,'Clothing and clothing access'!A:D,4,)</f>
        <v/>
      </c>
      <c r="H18" s="105">
        <f>D18/$D$7</f>
        <v/>
      </c>
      <c r="I18" s="37" t="inlineStr">
        <is>
          <t>RSCCAS</t>
        </is>
      </c>
      <c r="J18" s="41" t="inlineStr">
        <is>
          <t>https://fred.stlouisfed.org/series/RSCCAS</t>
        </is>
      </c>
    </row>
    <row r="19" ht="25.5" customHeight="1">
      <c r="B19" s="40" t="inlineStr">
        <is>
          <t>442,443</t>
        </is>
      </c>
      <c r="C19" s="34" t="inlineStr">
        <is>
          <t>Furniture, home furn, electronics, and appliance stores</t>
        </is>
      </c>
      <c r="D19" s="35">
        <f>VLOOKUP($E$2,'Furniture Home'!A:B,2,)</f>
        <v/>
      </c>
      <c r="E19" s="35">
        <f>VLOOKUP($E$3,'Furniture Home'!A:B,2,)</f>
        <v/>
      </c>
      <c r="F19" s="104">
        <f>(E19-D19)/D19</f>
        <v/>
      </c>
      <c r="G19" s="104">
        <f>VLOOKUP($E$3,'Furniture Home'!A:D,4,)</f>
        <v/>
      </c>
      <c r="H19" s="105">
        <f>D19/$D$7</f>
        <v/>
      </c>
      <c r="I19" s="37" t="inlineStr">
        <is>
          <t>RSFHFS + RSEAS</t>
        </is>
      </c>
      <c r="J19" s="41" t="inlineStr">
        <is>
          <t>https://fred.stlouisfed.org/series/RSFHFS</t>
        </is>
      </c>
    </row>
    <row r="20" ht="25.5" customHeight="1">
      <c r="B20" s="40" t="n">
        <v>453</v>
      </c>
      <c r="C20" s="34" t="inlineStr">
        <is>
          <t>Miscellaneous stores retailers</t>
        </is>
      </c>
      <c r="D20" s="35">
        <f>VLOOKUP($E$2,'Miscellaneous stores retailers'!A:B,2,)</f>
        <v/>
      </c>
      <c r="E20" s="35">
        <f>VLOOKUP($E$3,'Miscellaneous stores retailers'!A:B,2,)</f>
        <v/>
      </c>
      <c r="F20" s="104">
        <f>(E20-D20)/D20</f>
        <v/>
      </c>
      <c r="G20" s="104">
        <f>VLOOKUP($E$3,'Miscellaneous stores retailers'!A:D,4,)</f>
        <v/>
      </c>
      <c r="H20" s="105">
        <f>D20/$D$7</f>
        <v/>
      </c>
      <c r="I20" s="37" t="inlineStr">
        <is>
          <t>RSMSR</t>
        </is>
      </c>
      <c r="J20" s="41" t="inlineStr">
        <is>
          <t>https://fred.stlouisfed.org/series/RSMSR</t>
        </is>
      </c>
    </row>
    <row r="21" ht="25.5" customHeight="1" thickBot="1">
      <c r="B21" s="42" t="n">
        <v>451</v>
      </c>
      <c r="C21" s="43" t="inlineStr">
        <is>
          <t>Clothing, Sport</t>
        </is>
      </c>
      <c r="D21" s="44">
        <f>VLOOKUP($E$2,'Sporting Goods'!A:B,2,)</f>
        <v/>
      </c>
      <c r="E21" s="44">
        <f>VLOOKUP($E$3,'Sporting Goods'!A:B,2,)</f>
        <v/>
      </c>
      <c r="F21" s="106">
        <f>(E21-D21)/D21</f>
        <v/>
      </c>
      <c r="G21" s="106">
        <f>VLOOKUP($E$3,'Sporting Goods'!A:D,4,)</f>
        <v/>
      </c>
      <c r="H21" s="107">
        <f>D21/$D$7</f>
        <v/>
      </c>
      <c r="I21" s="47" t="inlineStr">
        <is>
          <t>RSSGHBMS</t>
        </is>
      </c>
      <c r="J21" s="48" t="inlineStr">
        <is>
          <t>https://fred.stlouisfed.org/series/RSSGHBMs</t>
        </is>
      </c>
    </row>
    <row r="22" ht="25.5" customHeight="1" thickBot="1">
      <c r="D22" s="45">
        <f>SUM(D10:D21)</f>
        <v/>
      </c>
      <c r="E22" s="46">
        <f>SUM(E10:E21)</f>
        <v/>
      </c>
      <c r="H22" s="108">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67"/>
  <sheetViews>
    <sheetView topLeftCell="B1" zoomScale="130" zoomScaleNormal="130" workbookViewId="0">
      <pane ySplit="3" topLeftCell="A37" activePane="bottomLeft" state="frozen"/>
      <selection activeCell="P14" sqref="P14"/>
      <selection pane="bottomLeft" activeCell="AJ62" sqref="AJ62"/>
    </sheetView>
  </sheetViews>
  <sheetFormatPr baseColWidth="8" defaultColWidth="9.1796875" defaultRowHeight="14.5"/>
  <cols>
    <col width="3" customWidth="1" style="121" min="1" max="1"/>
    <col width="8.81640625" bestFit="1" customWidth="1" style="121" min="2" max="2"/>
    <col width="7.6328125" customWidth="1" style="121" min="3" max="32"/>
    <col width="9.1796875" customWidth="1" style="121" min="33" max="49"/>
    <col width="9.1796875" customWidth="1" style="121" min="50" max="16384"/>
  </cols>
  <sheetData>
    <row r="1" ht="16" customHeight="1" thickBot="1"/>
    <row r="2" ht="87" customHeight="1" thickBot="1">
      <c r="B2" s="54" t="n"/>
      <c r="C2" s="131" t="inlineStr">
        <is>
          <t>Retail Sales</t>
        </is>
      </c>
      <c r="D2" s="125" t="n"/>
      <c r="E2" s="132" t="inlineStr">
        <is>
          <t>Retail Sales ex Auto</t>
        </is>
      </c>
      <c r="F2" s="125" t="n"/>
      <c r="G2" s="131" t="inlineStr">
        <is>
          <t>Retail Sales ex Auto and Gas</t>
        </is>
      </c>
      <c r="H2" s="125" t="n"/>
      <c r="I2" s="131" t="inlineStr">
        <is>
          <t>Motor Vechicle</t>
        </is>
      </c>
      <c r="J2" s="125" t="n"/>
      <c r="K2" s="131" t="inlineStr">
        <is>
          <t>Non Store</t>
        </is>
      </c>
      <c r="L2" s="125" t="n"/>
      <c r="M2" s="131" t="inlineStr">
        <is>
          <t>Food &amp; Beverage</t>
        </is>
      </c>
      <c r="N2" s="125" t="n"/>
      <c r="O2" s="131" t="inlineStr">
        <is>
          <t>Food Services</t>
        </is>
      </c>
      <c r="P2" s="125" t="n"/>
      <c r="Q2" s="131" t="inlineStr">
        <is>
          <t>General Merchandis</t>
        </is>
      </c>
      <c r="R2" s="125" t="n"/>
      <c r="S2" s="131" t="inlineStr">
        <is>
          <t>Gasoline Stations</t>
        </is>
      </c>
      <c r="T2" s="125" t="n"/>
      <c r="U2" s="131" t="inlineStr">
        <is>
          <t>Housing Supplies</t>
        </is>
      </c>
      <c r="V2" s="125" t="n"/>
      <c r="W2" s="131" t="inlineStr">
        <is>
          <t>HealthCare</t>
        </is>
      </c>
      <c r="X2" s="125" t="n"/>
      <c r="Y2" s="131" t="inlineStr">
        <is>
          <t xml:space="preserve">Clothing </t>
        </is>
      </c>
      <c r="Z2" s="125" t="n"/>
      <c r="AA2" s="131" t="inlineStr">
        <is>
          <t>Furniture</t>
        </is>
      </c>
      <c r="AB2" s="125" t="n"/>
      <c r="AC2" s="131" t="inlineStr">
        <is>
          <t>Miscellan. stores</t>
        </is>
      </c>
      <c r="AD2" s="125" t="n"/>
      <c r="AE2" s="131" t="inlineStr">
        <is>
          <t>Clothing, Sport</t>
        </is>
      </c>
      <c r="AF2" s="125"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row r="58">
      <c r="B58" s="56" t="n">
        <v>44593</v>
      </c>
      <c r="C58" s="52">
        <f>VLOOKUP(B58,'Retail Sales'!A:D,3,)</f>
        <v/>
      </c>
      <c r="D58" s="53">
        <f>VLOOKUP(B58,'Retail Sales'!A:D,4,)</f>
        <v/>
      </c>
      <c r="E58" s="52">
        <f>VLOOKUP(B58,'Retail Sales ex Auto'!$A:$D,3,)</f>
        <v/>
      </c>
      <c r="F58" s="53">
        <f>VLOOKUP(B58,'Retail Sales ex Auto'!$A:$D,4,)</f>
        <v/>
      </c>
      <c r="G58" s="52">
        <f>VLOOKUP(B58,'Retail Sales ex Auto and Gas'!$A:$D,3,)</f>
        <v/>
      </c>
      <c r="H58" s="53">
        <f>VLOOKUP(B58,'Retail Sales ex Auto and Gas'!$A:$D,4,)</f>
        <v/>
      </c>
      <c r="I58" s="52">
        <f>VLOOKUP(B58,Motor!$A:$D,3,)</f>
        <v/>
      </c>
      <c r="J58" s="53">
        <f>VLOOKUP(B58,Motor!$A:$D,4,)</f>
        <v/>
      </c>
      <c r="K58" s="52">
        <f>VLOOKUP(B58,'Non Store Retail'!$A:$D,3,)</f>
        <v/>
      </c>
      <c r="L58" s="53">
        <f>VLOOKUP(B58,'Non Store Retail'!$A:$D,4,)</f>
        <v/>
      </c>
      <c r="M58" s="52">
        <f>VLOOKUP(B58,'Food and Beverage'!$A:$D,3,)</f>
        <v/>
      </c>
      <c r="N58" s="52">
        <f>VLOOKUP(B58,'Food and Beverage'!$A:$D,4,)</f>
        <v/>
      </c>
      <c r="O58" s="52">
        <f>VLOOKUP(B58,'Food Services'!$A:$D,3,)</f>
        <v/>
      </c>
      <c r="P58" s="53">
        <f>VLOOKUP(B58,'Food Services'!$A:$D,4,)</f>
        <v/>
      </c>
      <c r="Q58" s="52">
        <f>VLOOKUP(B58,'General Merchandising'!$A:$D,3,)</f>
        <v/>
      </c>
      <c r="R58" s="53">
        <f>VLOOKUP(B58,'General Merchandising'!$A:$D,4,)</f>
        <v/>
      </c>
      <c r="S58" s="52">
        <f>VLOOKUP(B58,'Gas Station'!$A:$D,3,)</f>
        <v/>
      </c>
      <c r="T58" s="53">
        <f>VLOOKUP(B58,'Gas Station'!$A:$D,4,)</f>
        <v/>
      </c>
      <c r="U58" s="52">
        <f>VLOOKUP(B58,Housing!$A:$D,3,)</f>
        <v/>
      </c>
      <c r="V58" s="53">
        <f>VLOOKUP(B58,Housing!$A:$D,4,)</f>
        <v/>
      </c>
      <c r="W58" s="52">
        <f>VLOOKUP(B58,Health!$A:$D,3,)</f>
        <v/>
      </c>
      <c r="X58" s="53">
        <f>VLOOKUP(B58,Health!$A:$D,4,)</f>
        <v/>
      </c>
      <c r="Y58" s="52">
        <f>VLOOKUP(B58,'Clothing and clothing access'!$A:$D,3,)</f>
        <v/>
      </c>
      <c r="Z58" s="53">
        <f>VLOOKUP(B58,'Clothing and clothing access'!$A:$D,4,)</f>
        <v/>
      </c>
      <c r="AA58" s="52">
        <f>VLOOKUP(B58,'Furniture Home'!$A:$D,3,)</f>
        <v/>
      </c>
      <c r="AB58" s="53">
        <f>VLOOKUP(B58,'Furniture Home'!$A:$D,4,)</f>
        <v/>
      </c>
      <c r="AC58" s="52">
        <f>VLOOKUP(B58,'Miscellaneous stores retailers'!$A:$D,3,)</f>
        <v/>
      </c>
      <c r="AD58" s="53">
        <f>VLOOKUP(B58,'Miscellaneous stores retailers'!$A:$D,4,)</f>
        <v/>
      </c>
      <c r="AE58" s="52">
        <f>VLOOKUP(B58,'Sporting Goods'!$A:$D,3,)</f>
        <v/>
      </c>
      <c r="AF58" s="53">
        <f>VLOOKUP(B58,'Sporting Goods'!$A:$D,4,)</f>
        <v/>
      </c>
    </row>
    <row r="59">
      <c r="B59" s="56" t="n">
        <v>44621</v>
      </c>
      <c r="C59" s="52">
        <f>VLOOKUP(B59,'Retail Sales'!A:D,3,)</f>
        <v/>
      </c>
      <c r="D59" s="53">
        <f>VLOOKUP(B59,'Retail Sales'!A:D,4,)</f>
        <v/>
      </c>
      <c r="E59" s="52">
        <f>VLOOKUP(B59,'Retail Sales ex Auto'!$A:$D,3,)</f>
        <v/>
      </c>
      <c r="F59" s="53">
        <f>VLOOKUP(B59,'Retail Sales ex Auto'!$A:$D,4,)</f>
        <v/>
      </c>
      <c r="G59" s="52">
        <f>VLOOKUP(B59,'Retail Sales ex Auto and Gas'!$A:$D,3,)</f>
        <v/>
      </c>
      <c r="H59" s="53">
        <f>VLOOKUP(B59,'Retail Sales ex Auto and Gas'!$A:$D,4,)</f>
        <v/>
      </c>
      <c r="I59" s="52">
        <f>VLOOKUP(B59,Motor!$A:$D,3,)</f>
        <v/>
      </c>
      <c r="J59" s="53">
        <f>VLOOKUP(B59,Motor!$A:$D,4,)</f>
        <v/>
      </c>
      <c r="K59" s="52">
        <f>VLOOKUP(B59,'Non Store Retail'!$A:$D,3,)</f>
        <v/>
      </c>
      <c r="L59" s="53">
        <f>VLOOKUP(B59,'Non Store Retail'!$A:$D,4,)</f>
        <v/>
      </c>
      <c r="M59" s="52">
        <f>VLOOKUP(B59,'Food and Beverage'!$A:$D,3,)</f>
        <v/>
      </c>
      <c r="N59" s="52">
        <f>VLOOKUP(B59,'Food and Beverage'!$A:$D,4,)</f>
        <v/>
      </c>
      <c r="O59" s="52">
        <f>VLOOKUP(B59,'Food Services'!$A:$D,3,)</f>
        <v/>
      </c>
      <c r="P59" s="53">
        <f>VLOOKUP(B59,'Food Services'!$A:$D,4,)</f>
        <v/>
      </c>
      <c r="Q59" s="52">
        <f>VLOOKUP(B59,'General Merchandising'!$A:$D,3,)</f>
        <v/>
      </c>
      <c r="R59" s="53">
        <f>VLOOKUP(B59,'General Merchandising'!$A:$D,4,)</f>
        <v/>
      </c>
      <c r="S59" s="52">
        <f>VLOOKUP(B59,'Gas Station'!$A:$D,3,)</f>
        <v/>
      </c>
      <c r="T59" s="53">
        <f>VLOOKUP(B59,'Gas Station'!$A:$D,4,)</f>
        <v/>
      </c>
      <c r="U59" s="52">
        <f>VLOOKUP(B59,Housing!$A:$D,3,)</f>
        <v/>
      </c>
      <c r="V59" s="53">
        <f>VLOOKUP(B59,Housing!$A:$D,4,)</f>
        <v/>
      </c>
      <c r="W59" s="52">
        <f>VLOOKUP(B59,Health!$A:$D,3,)</f>
        <v/>
      </c>
      <c r="X59" s="53">
        <f>VLOOKUP(B59,Health!$A:$D,4,)</f>
        <v/>
      </c>
      <c r="Y59" s="52">
        <f>VLOOKUP(B59,'Clothing and clothing access'!$A:$D,3,)</f>
        <v/>
      </c>
      <c r="Z59" s="53">
        <f>VLOOKUP(B59,'Clothing and clothing access'!$A:$D,4,)</f>
        <v/>
      </c>
      <c r="AA59" s="52">
        <f>VLOOKUP(B59,'Furniture Home'!$A:$D,3,)</f>
        <v/>
      </c>
      <c r="AB59" s="53">
        <f>VLOOKUP(B59,'Furniture Home'!$A:$D,4,)</f>
        <v/>
      </c>
      <c r="AC59" s="52">
        <f>VLOOKUP(B59,'Miscellaneous stores retailers'!$A:$D,3,)</f>
        <v/>
      </c>
      <c r="AD59" s="53">
        <f>VLOOKUP(B59,'Miscellaneous stores retailers'!$A:$D,4,)</f>
        <v/>
      </c>
      <c r="AE59" s="52">
        <f>VLOOKUP(B59,'Sporting Goods'!$A:$D,3,)</f>
        <v/>
      </c>
      <c r="AF59" s="53">
        <f>VLOOKUP(B59,'Sporting Goods'!$A:$D,4,)</f>
        <v/>
      </c>
    </row>
    <row r="60">
      <c r="B60" s="56" t="n">
        <v>44652</v>
      </c>
      <c r="C60" s="52">
        <f>VLOOKUP(B60,'Retail Sales'!A:D,3,)</f>
        <v/>
      </c>
      <c r="D60" s="53">
        <f>VLOOKUP(B60,'Retail Sales'!A:D,4,)</f>
        <v/>
      </c>
      <c r="E60" s="52">
        <f>VLOOKUP(B60,'Retail Sales ex Auto'!$A:$D,3,)</f>
        <v/>
      </c>
      <c r="F60" s="53">
        <f>VLOOKUP(B60,'Retail Sales ex Auto'!$A:$D,4,)</f>
        <v/>
      </c>
      <c r="G60" s="52">
        <f>VLOOKUP(B60,'Retail Sales ex Auto and Gas'!$A:$D,3,)</f>
        <v/>
      </c>
      <c r="H60" s="53">
        <f>VLOOKUP(B60,'Retail Sales ex Auto and Gas'!$A:$D,4,)</f>
        <v/>
      </c>
      <c r="I60" s="52">
        <f>VLOOKUP(B60,Motor!$A:$D,3,)</f>
        <v/>
      </c>
      <c r="J60" s="53">
        <f>VLOOKUP(B60,Motor!$A:$D,4,)</f>
        <v/>
      </c>
      <c r="K60" s="52">
        <f>VLOOKUP(B60,'Non Store Retail'!$A:$D,3,)</f>
        <v/>
      </c>
      <c r="L60" s="53">
        <f>VLOOKUP(B60,'Non Store Retail'!$A:$D,4,)</f>
        <v/>
      </c>
      <c r="M60" s="52">
        <f>VLOOKUP(B60,'Food and Beverage'!$A:$D,3,)</f>
        <v/>
      </c>
      <c r="N60" s="52">
        <f>VLOOKUP(B60,'Food and Beverage'!$A:$D,4,)</f>
        <v/>
      </c>
      <c r="O60" s="52">
        <f>VLOOKUP(B60,'Food Services'!$A:$D,3,)</f>
        <v/>
      </c>
      <c r="P60" s="53">
        <f>VLOOKUP(B60,'Food Services'!$A:$D,4,)</f>
        <v/>
      </c>
      <c r="Q60" s="52">
        <f>VLOOKUP(B60,'General Merchandising'!$A:$D,3,)</f>
        <v/>
      </c>
      <c r="R60" s="53">
        <f>VLOOKUP(B60,'General Merchandising'!$A:$D,4,)</f>
        <v/>
      </c>
      <c r="S60" s="52">
        <f>VLOOKUP(B60,'Gas Station'!$A:$D,3,)</f>
        <v/>
      </c>
      <c r="T60" s="53">
        <f>VLOOKUP(B60,'Gas Station'!$A:$D,4,)</f>
        <v/>
      </c>
      <c r="U60" s="52">
        <f>VLOOKUP(B60,Housing!$A:$D,3,)</f>
        <v/>
      </c>
      <c r="V60" s="53">
        <f>VLOOKUP(B60,Housing!$A:$D,4,)</f>
        <v/>
      </c>
      <c r="W60" s="52">
        <f>VLOOKUP(B60,Health!$A:$D,3,)</f>
        <v/>
      </c>
      <c r="X60" s="53">
        <f>VLOOKUP(B60,Health!$A:$D,4,)</f>
        <v/>
      </c>
      <c r="Y60" s="52">
        <f>VLOOKUP(B60,'Clothing and clothing access'!$A:$D,3,)</f>
        <v/>
      </c>
      <c r="Z60" s="53">
        <f>VLOOKUP(B60,'Clothing and clothing access'!$A:$D,4,)</f>
        <v/>
      </c>
      <c r="AA60" s="52">
        <f>VLOOKUP(B60,'Furniture Home'!$A:$D,3,)</f>
        <v/>
      </c>
      <c r="AB60" s="53">
        <f>VLOOKUP(B60,'Furniture Home'!$A:$D,4,)</f>
        <v/>
      </c>
      <c r="AC60" s="52">
        <f>VLOOKUP(B60,'Miscellaneous stores retailers'!$A:$D,3,)</f>
        <v/>
      </c>
      <c r="AD60" s="53">
        <f>VLOOKUP(B60,'Miscellaneous stores retailers'!$A:$D,4,)</f>
        <v/>
      </c>
      <c r="AE60" s="52">
        <f>VLOOKUP(B60,'Sporting Goods'!$A:$D,3,)</f>
        <v/>
      </c>
      <c r="AF60" s="53">
        <f>VLOOKUP(B60,'Sporting Goods'!$A:$D,4,)</f>
        <v/>
      </c>
    </row>
    <row r="61">
      <c r="B61" s="56" t="n">
        <v>44682</v>
      </c>
      <c r="C61" s="52">
        <f>VLOOKUP(B61,'Retail Sales'!A:D,3,)</f>
        <v/>
      </c>
      <c r="D61" s="53">
        <f>VLOOKUP(B61,'Retail Sales'!A:D,4,)</f>
        <v/>
      </c>
      <c r="E61" s="52">
        <f>VLOOKUP(B61,'Retail Sales ex Auto'!$A:$D,3,)</f>
        <v/>
      </c>
      <c r="F61" s="53">
        <f>VLOOKUP(B61,'Retail Sales ex Auto'!$A:$D,4,)</f>
        <v/>
      </c>
      <c r="G61" s="52">
        <f>VLOOKUP(B61,'Retail Sales ex Auto and Gas'!$A:$D,3,)</f>
        <v/>
      </c>
      <c r="H61" s="53">
        <f>VLOOKUP(B61,'Retail Sales ex Auto and Gas'!$A:$D,4,)</f>
        <v/>
      </c>
      <c r="I61" s="52">
        <f>VLOOKUP(B61,Motor!$A:$D,3,)</f>
        <v/>
      </c>
      <c r="J61" s="53">
        <f>VLOOKUP(B61,Motor!$A:$D,4,)</f>
        <v/>
      </c>
      <c r="K61" s="52">
        <f>VLOOKUP(B61,'Non Store Retail'!$A:$D,3,)</f>
        <v/>
      </c>
      <c r="L61" s="53">
        <f>VLOOKUP(B61,'Non Store Retail'!$A:$D,4,)</f>
        <v/>
      </c>
      <c r="M61" s="52">
        <f>VLOOKUP(B61,'Food and Beverage'!$A:$D,3,)</f>
        <v/>
      </c>
      <c r="N61" s="52">
        <f>VLOOKUP(B61,'Food and Beverage'!$A:$D,4,)</f>
        <v/>
      </c>
      <c r="O61" s="52">
        <f>VLOOKUP(B61,'Food Services'!$A:$D,3,)</f>
        <v/>
      </c>
      <c r="P61" s="53">
        <f>VLOOKUP(B61,'Food Services'!$A:$D,4,)</f>
        <v/>
      </c>
      <c r="Q61" s="52">
        <f>VLOOKUP(B61,'General Merchandising'!$A:$D,3,)</f>
        <v/>
      </c>
      <c r="R61" s="53">
        <f>VLOOKUP(B61,'General Merchandising'!$A:$D,4,)</f>
        <v/>
      </c>
      <c r="S61" s="52">
        <f>VLOOKUP(B61,'Gas Station'!$A:$D,3,)</f>
        <v/>
      </c>
      <c r="T61" s="53">
        <f>VLOOKUP(B61,'Gas Station'!$A:$D,4,)</f>
        <v/>
      </c>
      <c r="U61" s="52">
        <f>VLOOKUP(B61,Housing!$A:$D,3,)</f>
        <v/>
      </c>
      <c r="V61" s="53">
        <f>VLOOKUP(B61,Housing!$A:$D,4,)</f>
        <v/>
      </c>
      <c r="W61" s="52">
        <f>VLOOKUP(B61,Health!$A:$D,3,)</f>
        <v/>
      </c>
      <c r="X61" s="53">
        <f>VLOOKUP(B61,Health!$A:$D,4,)</f>
        <v/>
      </c>
      <c r="Y61" s="52">
        <f>VLOOKUP(B61,'Clothing and clothing access'!$A:$D,3,)</f>
        <v/>
      </c>
      <c r="Z61" s="53">
        <f>VLOOKUP(B61,'Clothing and clothing access'!$A:$D,4,)</f>
        <v/>
      </c>
      <c r="AA61" s="52">
        <f>VLOOKUP(B61,'Furniture Home'!$A:$D,3,)</f>
        <v/>
      </c>
      <c r="AB61" s="53">
        <f>VLOOKUP(B61,'Furniture Home'!$A:$D,4,)</f>
        <v/>
      </c>
      <c r="AC61" s="52">
        <f>VLOOKUP(B61,'Miscellaneous stores retailers'!$A:$D,3,)</f>
        <v/>
      </c>
      <c r="AD61" s="53">
        <f>VLOOKUP(B61,'Miscellaneous stores retailers'!$A:$D,4,)</f>
        <v/>
      </c>
      <c r="AE61" s="52">
        <f>VLOOKUP(B61,'Sporting Goods'!$A:$D,3,)</f>
        <v/>
      </c>
      <c r="AF61" s="53">
        <f>VLOOKUP(B61,'Sporting Goods'!$A:$D,4,)</f>
        <v/>
      </c>
    </row>
    <row r="62">
      <c r="B62" s="56" t="n">
        <v>44713</v>
      </c>
      <c r="C62" s="52">
        <f>VLOOKUP(B62,'Retail Sales'!A:D,3,)</f>
        <v/>
      </c>
      <c r="D62" s="53">
        <f>VLOOKUP(B62,'Retail Sales'!A:D,4,)</f>
        <v/>
      </c>
      <c r="E62" s="52">
        <f>VLOOKUP(B62,'Retail Sales ex Auto'!$A:$D,3,)</f>
        <v/>
      </c>
      <c r="F62" s="53">
        <f>VLOOKUP(B62,'Retail Sales ex Auto'!$A:$D,4,)</f>
        <v/>
      </c>
      <c r="G62" s="52">
        <f>VLOOKUP(B62,'Retail Sales ex Auto and Gas'!$A:$D,3,)</f>
        <v/>
      </c>
      <c r="H62" s="53">
        <f>VLOOKUP(B62,'Retail Sales ex Auto and Gas'!$A:$D,4,)</f>
        <v/>
      </c>
      <c r="I62" s="52">
        <f>VLOOKUP(B62,Motor!$A:$D,3,)</f>
        <v/>
      </c>
      <c r="J62" s="53">
        <f>VLOOKUP(B62,Motor!$A:$D,4,)</f>
        <v/>
      </c>
      <c r="K62" s="52">
        <f>VLOOKUP(B62,'Non Store Retail'!$A:$D,3,)</f>
        <v/>
      </c>
      <c r="L62" s="53">
        <f>VLOOKUP(B62,'Non Store Retail'!$A:$D,4,)</f>
        <v/>
      </c>
      <c r="M62" s="52">
        <f>VLOOKUP(B62,'Food and Beverage'!$A:$D,3,)</f>
        <v/>
      </c>
      <c r="N62" s="52">
        <f>VLOOKUP(B62,'Food and Beverage'!$A:$D,4,)</f>
        <v/>
      </c>
      <c r="O62" s="52">
        <f>VLOOKUP(B62,'Food Services'!$A:$D,3,)</f>
        <v/>
      </c>
      <c r="P62" s="53">
        <f>VLOOKUP(B62,'Food Services'!$A:$D,4,)</f>
        <v/>
      </c>
      <c r="Q62" s="52">
        <f>VLOOKUP(B62,'General Merchandising'!$A:$D,3,)</f>
        <v/>
      </c>
      <c r="R62" s="53">
        <f>VLOOKUP(B62,'General Merchandising'!$A:$D,4,)</f>
        <v/>
      </c>
      <c r="S62" s="52">
        <f>VLOOKUP(B62,'Gas Station'!$A:$D,3,)</f>
        <v/>
      </c>
      <c r="T62" s="53">
        <f>VLOOKUP(B62,'Gas Station'!$A:$D,4,)</f>
        <v/>
      </c>
      <c r="U62" s="52">
        <f>VLOOKUP(B62,Housing!$A:$D,3,)</f>
        <v/>
      </c>
      <c r="V62" s="53">
        <f>VLOOKUP(B62,Housing!$A:$D,4,)</f>
        <v/>
      </c>
      <c r="W62" s="52">
        <f>VLOOKUP(B62,Health!$A:$D,3,)</f>
        <v/>
      </c>
      <c r="X62" s="53">
        <f>VLOOKUP(B62,Health!$A:$D,4,)</f>
        <v/>
      </c>
      <c r="Y62" s="52">
        <f>VLOOKUP(B62,'Clothing and clothing access'!$A:$D,3,)</f>
        <v/>
      </c>
      <c r="Z62" s="53">
        <f>VLOOKUP(B62,'Clothing and clothing access'!$A:$D,4,)</f>
        <v/>
      </c>
      <c r="AA62" s="52">
        <f>VLOOKUP(B62,'Furniture Home'!$A:$D,3,)</f>
        <v/>
      </c>
      <c r="AB62" s="53">
        <f>VLOOKUP(B62,'Furniture Home'!$A:$D,4,)</f>
        <v/>
      </c>
      <c r="AC62" s="52">
        <f>VLOOKUP(B62,'Miscellaneous stores retailers'!$A:$D,3,)</f>
        <v/>
      </c>
      <c r="AD62" s="53">
        <f>VLOOKUP(B62,'Miscellaneous stores retailers'!$A:$D,4,)</f>
        <v/>
      </c>
      <c r="AE62" s="52">
        <f>VLOOKUP(B62,'Sporting Goods'!$A:$D,3,)</f>
        <v/>
      </c>
      <c r="AF62" s="53">
        <f>VLOOKUP(B62,'Sporting Goods'!$A:$D,4,)</f>
        <v/>
      </c>
    </row>
    <row r="63">
      <c r="B63" s="56" t="n">
        <v>44743</v>
      </c>
      <c r="C63" s="52">
        <f>VLOOKUP(B63,'Retail Sales'!A:D,3,)</f>
        <v/>
      </c>
      <c r="D63" s="53">
        <f>VLOOKUP(B63,'Retail Sales'!A:D,4,)</f>
        <v/>
      </c>
      <c r="E63" s="52">
        <f>VLOOKUP(B63,'Retail Sales ex Auto'!$A:$D,3,)</f>
        <v/>
      </c>
      <c r="F63" s="53">
        <f>VLOOKUP(B63,'Retail Sales ex Auto'!$A:$D,4,)</f>
        <v/>
      </c>
      <c r="G63" s="52">
        <f>VLOOKUP(B63,'Retail Sales ex Auto and Gas'!$A:$D,3,)</f>
        <v/>
      </c>
      <c r="H63" s="53">
        <f>VLOOKUP(B63,'Retail Sales ex Auto and Gas'!$A:$D,4,)</f>
        <v/>
      </c>
      <c r="I63" s="52">
        <f>VLOOKUP(B63,Motor!$A:$D,3,)</f>
        <v/>
      </c>
      <c r="J63" s="53">
        <f>VLOOKUP(B63,Motor!$A:$D,4,)</f>
        <v/>
      </c>
      <c r="K63" s="52">
        <f>VLOOKUP(B63,'Non Store Retail'!$A:$D,3,)</f>
        <v/>
      </c>
      <c r="L63" s="53">
        <f>VLOOKUP(B63,'Non Store Retail'!$A:$D,4,)</f>
        <v/>
      </c>
      <c r="M63" s="52">
        <f>VLOOKUP(B63,'Food and Beverage'!$A:$D,3,)</f>
        <v/>
      </c>
      <c r="N63" s="52">
        <f>VLOOKUP(B63,'Food and Beverage'!$A:$D,4,)</f>
        <v/>
      </c>
      <c r="O63" s="52">
        <f>VLOOKUP(B63,'Food Services'!$A:$D,3,)</f>
        <v/>
      </c>
      <c r="P63" s="53">
        <f>VLOOKUP(B63,'Food Services'!$A:$D,4,)</f>
        <v/>
      </c>
      <c r="Q63" s="52">
        <f>VLOOKUP(B63,'General Merchandising'!$A:$D,3,)</f>
        <v/>
      </c>
      <c r="R63" s="53">
        <f>VLOOKUP(B63,'General Merchandising'!$A:$D,4,)</f>
        <v/>
      </c>
      <c r="S63" s="52">
        <f>VLOOKUP(B63,'Gas Station'!$A:$D,3,)</f>
        <v/>
      </c>
      <c r="T63" s="53">
        <f>VLOOKUP(B63,'Gas Station'!$A:$D,4,)</f>
        <v/>
      </c>
      <c r="U63" s="52">
        <f>VLOOKUP(B63,Housing!$A:$D,3,)</f>
        <v/>
      </c>
      <c r="V63" s="53">
        <f>VLOOKUP(B63,Housing!$A:$D,4,)</f>
        <v/>
      </c>
      <c r="W63" s="52">
        <f>VLOOKUP(B63,Health!$A:$D,3,)</f>
        <v/>
      </c>
      <c r="X63" s="53">
        <f>VLOOKUP(B63,Health!$A:$D,4,)</f>
        <v/>
      </c>
      <c r="Y63" s="52">
        <f>VLOOKUP(B63,'Clothing and clothing access'!$A:$D,3,)</f>
        <v/>
      </c>
      <c r="Z63" s="53">
        <f>VLOOKUP(B63,'Clothing and clothing access'!$A:$D,4,)</f>
        <v/>
      </c>
      <c r="AA63" s="52">
        <f>VLOOKUP(B63,'Furniture Home'!$A:$D,3,)</f>
        <v/>
      </c>
      <c r="AB63" s="53">
        <f>VLOOKUP(B63,'Furniture Home'!$A:$D,4,)</f>
        <v/>
      </c>
      <c r="AC63" s="52">
        <f>VLOOKUP(B63,'Miscellaneous stores retailers'!$A:$D,3,)</f>
        <v/>
      </c>
      <c r="AD63" s="53">
        <f>VLOOKUP(B63,'Miscellaneous stores retailers'!$A:$D,4,)</f>
        <v/>
      </c>
      <c r="AE63" s="52">
        <f>VLOOKUP(B63,'Sporting Goods'!$A:$D,3,)</f>
        <v/>
      </c>
      <c r="AF63" s="53">
        <f>VLOOKUP(B63,'Sporting Goods'!$A:$D,4,)</f>
        <v/>
      </c>
    </row>
    <row r="64">
      <c r="B64" s="56" t="n">
        <v>44774</v>
      </c>
      <c r="C64" s="52">
        <f>VLOOKUP(B64,'Retail Sales'!A:D,3,)</f>
        <v/>
      </c>
      <c r="D64" s="53">
        <f>VLOOKUP(B64,'Retail Sales'!A:D,4,)</f>
        <v/>
      </c>
      <c r="E64" s="52">
        <f>VLOOKUP(B64,'Retail Sales ex Auto'!$A:$D,3,)</f>
        <v/>
      </c>
      <c r="F64" s="53">
        <f>VLOOKUP(B64,'Retail Sales ex Auto'!$A:$D,4,)</f>
        <v/>
      </c>
      <c r="G64" s="52">
        <f>VLOOKUP(B64,'Retail Sales ex Auto and Gas'!$A:$D,3,)</f>
        <v/>
      </c>
      <c r="H64" s="53">
        <f>VLOOKUP(B64,'Retail Sales ex Auto and Gas'!$A:$D,4,)</f>
        <v/>
      </c>
      <c r="I64" s="52">
        <f>VLOOKUP(B64,Motor!$A:$D,3,)</f>
        <v/>
      </c>
      <c r="J64" s="53">
        <f>VLOOKUP(B64,Motor!$A:$D,4,)</f>
        <v/>
      </c>
      <c r="K64" s="52">
        <f>VLOOKUP(B64,'Non Store Retail'!$A:$D,3,)</f>
        <v/>
      </c>
      <c r="L64" s="53">
        <f>VLOOKUP(B64,'Non Store Retail'!$A:$D,4,)</f>
        <v/>
      </c>
      <c r="M64" s="52">
        <f>VLOOKUP(B64,'Food and Beverage'!$A:$D,3,)</f>
        <v/>
      </c>
      <c r="N64" s="52">
        <f>VLOOKUP(B64,'Food and Beverage'!$A:$D,4,)</f>
        <v/>
      </c>
      <c r="O64" s="52">
        <f>VLOOKUP(B64,'Food Services'!$A:$D,3,)</f>
        <v/>
      </c>
      <c r="P64" s="53">
        <f>VLOOKUP(B64,'Food Services'!$A:$D,4,)</f>
        <v/>
      </c>
      <c r="Q64" s="52">
        <f>VLOOKUP(B64,'General Merchandising'!$A:$D,3,)</f>
        <v/>
      </c>
      <c r="R64" s="53">
        <f>VLOOKUP(B64,'General Merchandising'!$A:$D,4,)</f>
        <v/>
      </c>
      <c r="S64" s="52">
        <f>VLOOKUP(B64,'Gas Station'!$A:$D,3,)</f>
        <v/>
      </c>
      <c r="T64" s="53">
        <f>VLOOKUP(B64,'Gas Station'!$A:$D,4,)</f>
        <v/>
      </c>
      <c r="U64" s="52">
        <f>VLOOKUP(B64,Housing!$A:$D,3,)</f>
        <v/>
      </c>
      <c r="V64" s="53">
        <f>VLOOKUP(B64,Housing!$A:$D,4,)</f>
        <v/>
      </c>
      <c r="W64" s="52">
        <f>VLOOKUP(B64,Health!$A:$D,3,)</f>
        <v/>
      </c>
      <c r="X64" s="53">
        <f>VLOOKUP(B64,Health!$A:$D,4,)</f>
        <v/>
      </c>
      <c r="Y64" s="52">
        <f>VLOOKUP(B64,'Clothing and clothing access'!$A:$D,3,)</f>
        <v/>
      </c>
      <c r="Z64" s="53">
        <f>VLOOKUP(B64,'Clothing and clothing access'!$A:$D,4,)</f>
        <v/>
      </c>
      <c r="AA64" s="52">
        <f>VLOOKUP(B64,'Furniture Home'!$A:$D,3,)</f>
        <v/>
      </c>
      <c r="AB64" s="53">
        <f>VLOOKUP(B64,'Furniture Home'!$A:$D,4,)</f>
        <v/>
      </c>
      <c r="AC64" s="52">
        <f>VLOOKUP(B64,'Miscellaneous stores retailers'!$A:$D,3,)</f>
        <v/>
      </c>
      <c r="AD64" s="53">
        <f>VLOOKUP(B64,'Miscellaneous stores retailers'!$A:$D,4,)</f>
        <v/>
      </c>
      <c r="AE64" s="52">
        <f>VLOOKUP(B64,'Sporting Goods'!$A:$D,3,)</f>
        <v/>
      </c>
      <c r="AF64" s="53">
        <f>VLOOKUP(B64,'Sporting Goods'!$A:$D,4,)</f>
        <v/>
      </c>
    </row>
    <row r="65">
      <c r="B65" s="56" t="n">
        <v>44805</v>
      </c>
      <c r="C65" s="52">
        <f>VLOOKUP(B65,'Retail Sales'!A:D,3,)</f>
        <v/>
      </c>
      <c r="D65" s="53">
        <f>VLOOKUP(B65,'Retail Sales'!A:D,4,)</f>
        <v/>
      </c>
      <c r="E65" s="52">
        <f>VLOOKUP(B65,'Retail Sales ex Auto'!$A:$D,3,)</f>
        <v/>
      </c>
      <c r="F65" s="53">
        <f>VLOOKUP(B65,'Retail Sales ex Auto'!$A:$D,4,)</f>
        <v/>
      </c>
      <c r="G65" s="52">
        <f>VLOOKUP(B65,'Retail Sales ex Auto and Gas'!$A:$D,3,)</f>
        <v/>
      </c>
      <c r="H65" s="53">
        <f>VLOOKUP(B65,'Retail Sales ex Auto and Gas'!$A:$D,4,)</f>
        <v/>
      </c>
      <c r="I65" s="52">
        <f>VLOOKUP(B65,Motor!$A:$D,3,)</f>
        <v/>
      </c>
      <c r="J65" s="53">
        <f>VLOOKUP(B65,Motor!$A:$D,4,)</f>
        <v/>
      </c>
      <c r="K65" s="52">
        <f>VLOOKUP(B65,'Non Store Retail'!$A:$D,3,)</f>
        <v/>
      </c>
      <c r="L65" s="53">
        <f>VLOOKUP(B65,'Non Store Retail'!$A:$D,4,)</f>
        <v/>
      </c>
      <c r="M65" s="52">
        <f>VLOOKUP(B65,'Food and Beverage'!$A:$D,3,)</f>
        <v/>
      </c>
      <c r="N65" s="52">
        <f>VLOOKUP(B65,'Food and Beverage'!$A:$D,4,)</f>
        <v/>
      </c>
      <c r="O65" s="52">
        <f>VLOOKUP(B65,'Food Services'!$A:$D,3,)</f>
        <v/>
      </c>
      <c r="P65" s="53">
        <f>VLOOKUP(B65,'Food Services'!$A:$D,4,)</f>
        <v/>
      </c>
      <c r="Q65" s="52">
        <f>VLOOKUP(B65,'General Merchandising'!$A:$D,3,)</f>
        <v/>
      </c>
      <c r="R65" s="53">
        <f>VLOOKUP(B65,'General Merchandising'!$A:$D,4,)</f>
        <v/>
      </c>
      <c r="S65" s="52">
        <f>VLOOKUP(B65,'Gas Station'!$A:$D,3,)</f>
        <v/>
      </c>
      <c r="T65" s="53">
        <f>VLOOKUP(B65,'Gas Station'!$A:$D,4,)</f>
        <v/>
      </c>
      <c r="U65" s="52">
        <f>VLOOKUP(B65,Housing!$A:$D,3,)</f>
        <v/>
      </c>
      <c r="V65" s="53">
        <f>VLOOKUP(B65,Housing!$A:$D,4,)</f>
        <v/>
      </c>
      <c r="W65" s="52">
        <f>VLOOKUP(B65,Health!$A:$D,3,)</f>
        <v/>
      </c>
      <c r="X65" s="53">
        <f>VLOOKUP(B65,Health!$A:$D,4,)</f>
        <v/>
      </c>
      <c r="Y65" s="52">
        <f>VLOOKUP(B65,'Clothing and clothing access'!$A:$D,3,)</f>
        <v/>
      </c>
      <c r="Z65" s="53">
        <f>VLOOKUP(B65,'Clothing and clothing access'!$A:$D,4,)</f>
        <v/>
      </c>
      <c r="AA65" s="52">
        <f>VLOOKUP(B65,'Furniture Home'!$A:$D,3,)</f>
        <v/>
      </c>
      <c r="AB65" s="53">
        <f>VLOOKUP(B65,'Furniture Home'!$A:$D,4,)</f>
        <v/>
      </c>
      <c r="AC65" s="52">
        <f>VLOOKUP(B65,'Miscellaneous stores retailers'!$A:$D,3,)</f>
        <v/>
      </c>
      <c r="AD65" s="53">
        <f>VLOOKUP(B65,'Miscellaneous stores retailers'!$A:$D,4,)</f>
        <v/>
      </c>
      <c r="AE65" s="52">
        <f>VLOOKUP(B65,'Sporting Goods'!$A:$D,3,)</f>
        <v/>
      </c>
      <c r="AF65" s="53">
        <f>VLOOKUP(B65,'Sporting Goods'!$A:$D,4,)</f>
        <v/>
      </c>
    </row>
    <row r="66">
      <c r="B66" s="56" t="n">
        <v>44835</v>
      </c>
      <c r="C66" s="52">
        <f>VLOOKUP(B66,'Retail Sales'!A:D,3,)</f>
        <v/>
      </c>
      <c r="D66" s="53">
        <f>VLOOKUP(B66,'Retail Sales'!A:D,4,)</f>
        <v/>
      </c>
      <c r="E66" s="52">
        <f>VLOOKUP(B66,'Retail Sales ex Auto'!$A:$D,3,)</f>
        <v/>
      </c>
      <c r="F66" s="53">
        <f>VLOOKUP(B66,'Retail Sales ex Auto'!$A:$D,4,)</f>
        <v/>
      </c>
      <c r="G66" s="52">
        <f>VLOOKUP(B66,'Retail Sales ex Auto and Gas'!$A:$D,3,)</f>
        <v/>
      </c>
      <c r="H66" s="53">
        <f>VLOOKUP(B66,'Retail Sales ex Auto and Gas'!$A:$D,4,)</f>
        <v/>
      </c>
      <c r="I66" s="52">
        <f>VLOOKUP(B66,Motor!$A:$D,3,)</f>
        <v/>
      </c>
      <c r="J66" s="53">
        <f>VLOOKUP(B66,Motor!$A:$D,4,)</f>
        <v/>
      </c>
      <c r="K66" s="52">
        <f>VLOOKUP(B66,'Non Store Retail'!$A:$D,3,)</f>
        <v/>
      </c>
      <c r="L66" s="53">
        <f>VLOOKUP(B66,'Non Store Retail'!$A:$D,4,)</f>
        <v/>
      </c>
      <c r="M66" s="52">
        <f>VLOOKUP(B66,'Food and Beverage'!$A:$D,3,)</f>
        <v/>
      </c>
      <c r="N66" s="52">
        <f>VLOOKUP(B66,'Food and Beverage'!$A:$D,4,)</f>
        <v/>
      </c>
      <c r="O66" s="52">
        <f>VLOOKUP(B66,'Food Services'!$A:$D,3,)</f>
        <v/>
      </c>
      <c r="P66" s="53">
        <f>VLOOKUP(B66,'Food Services'!$A:$D,4,)</f>
        <v/>
      </c>
      <c r="Q66" s="52">
        <f>VLOOKUP(B66,'General Merchandising'!$A:$D,3,)</f>
        <v/>
      </c>
      <c r="R66" s="53">
        <f>VLOOKUP(B66,'General Merchandising'!$A:$D,4,)</f>
        <v/>
      </c>
      <c r="S66" s="52">
        <f>VLOOKUP(B66,'Gas Station'!$A:$D,3,)</f>
        <v/>
      </c>
      <c r="T66" s="53">
        <f>VLOOKUP(B66,'Gas Station'!$A:$D,4,)</f>
        <v/>
      </c>
      <c r="U66" s="52">
        <f>VLOOKUP(B66,Housing!$A:$D,3,)</f>
        <v/>
      </c>
      <c r="V66" s="53">
        <f>VLOOKUP(B66,Housing!$A:$D,4,)</f>
        <v/>
      </c>
      <c r="W66" s="52">
        <f>VLOOKUP(B66,Health!$A:$D,3,)</f>
        <v/>
      </c>
      <c r="X66" s="53">
        <f>VLOOKUP(B66,Health!$A:$D,4,)</f>
        <v/>
      </c>
      <c r="Y66" s="52">
        <f>VLOOKUP(B66,'Clothing and clothing access'!$A:$D,3,)</f>
        <v/>
      </c>
      <c r="Z66" s="53">
        <f>VLOOKUP(B66,'Clothing and clothing access'!$A:$D,4,)</f>
        <v/>
      </c>
      <c r="AA66" s="52">
        <f>VLOOKUP(B66,'Furniture Home'!$A:$D,3,)</f>
        <v/>
      </c>
      <c r="AB66" s="53">
        <f>VLOOKUP(B66,'Furniture Home'!$A:$D,4,)</f>
        <v/>
      </c>
      <c r="AC66" s="52">
        <f>VLOOKUP(B66,'Miscellaneous stores retailers'!$A:$D,3,)</f>
        <v/>
      </c>
      <c r="AD66" s="53">
        <f>VLOOKUP(B66,'Miscellaneous stores retailers'!$A:$D,4,)</f>
        <v/>
      </c>
      <c r="AE66" s="52">
        <f>VLOOKUP(B66,'Sporting Goods'!$A:$D,3,)</f>
        <v/>
      </c>
      <c r="AF66" s="53">
        <f>VLOOKUP(B66,'Sporting Goods'!$A:$D,4,)</f>
        <v/>
      </c>
    </row>
    <row r="67">
      <c r="B67" s="56" t="n">
        <v>44866</v>
      </c>
      <c r="C67" s="52">
        <f>VLOOKUP(B67,'Retail Sales'!A:D,3,)</f>
        <v/>
      </c>
      <c r="D67" s="53">
        <f>VLOOKUP(B67,'Retail Sales'!A:D,4,)</f>
        <v/>
      </c>
      <c r="E67" s="52">
        <f>VLOOKUP(B67,'Retail Sales ex Auto'!$A:$D,3,)</f>
        <v/>
      </c>
      <c r="F67" s="53">
        <f>VLOOKUP(B67,'Retail Sales ex Auto'!$A:$D,4,)</f>
        <v/>
      </c>
      <c r="G67" s="52">
        <f>VLOOKUP(B67,'Retail Sales ex Auto and Gas'!$A:$D,3,)</f>
        <v/>
      </c>
      <c r="H67" s="53">
        <f>VLOOKUP(B67,'Retail Sales ex Auto and Gas'!$A:$D,4,)</f>
        <v/>
      </c>
      <c r="I67" s="52">
        <f>VLOOKUP(B67,Motor!$A:$D,3,)</f>
        <v/>
      </c>
      <c r="J67" s="53">
        <f>VLOOKUP(B67,Motor!$A:$D,4,)</f>
        <v/>
      </c>
      <c r="K67" s="52">
        <f>VLOOKUP(B67,'Non Store Retail'!$A:$D,3,)</f>
        <v/>
      </c>
      <c r="L67" s="53">
        <f>VLOOKUP(B67,'Non Store Retail'!$A:$D,4,)</f>
        <v/>
      </c>
      <c r="M67" s="52">
        <f>VLOOKUP(B67,'Food and Beverage'!$A:$D,3,)</f>
        <v/>
      </c>
      <c r="N67" s="52">
        <f>VLOOKUP(B67,'Food and Beverage'!$A:$D,4,)</f>
        <v/>
      </c>
      <c r="O67" s="52">
        <f>VLOOKUP(B67,'Food Services'!$A:$D,3,)</f>
        <v/>
      </c>
      <c r="P67" s="53">
        <f>VLOOKUP(B67,'Food Services'!$A:$D,4,)</f>
        <v/>
      </c>
      <c r="Q67" s="52">
        <f>VLOOKUP(B67,'General Merchandising'!$A:$D,3,)</f>
        <v/>
      </c>
      <c r="R67" s="53">
        <f>VLOOKUP(B67,'General Merchandising'!$A:$D,4,)</f>
        <v/>
      </c>
      <c r="S67" s="52">
        <f>VLOOKUP(B67,'Gas Station'!$A:$D,3,)</f>
        <v/>
      </c>
      <c r="T67" s="53">
        <f>VLOOKUP(B67,'Gas Station'!$A:$D,4,)</f>
        <v/>
      </c>
      <c r="U67" s="52">
        <f>VLOOKUP(B67,Housing!$A:$D,3,)</f>
        <v/>
      </c>
      <c r="V67" s="53">
        <f>VLOOKUP(B67,Housing!$A:$D,4,)</f>
        <v/>
      </c>
      <c r="W67" s="52">
        <f>VLOOKUP(B67,Health!$A:$D,3,)</f>
        <v/>
      </c>
      <c r="X67" s="53">
        <f>VLOOKUP(B67,Health!$A:$D,4,)</f>
        <v/>
      </c>
      <c r="Y67" s="52">
        <f>VLOOKUP(B67,'Clothing and clothing access'!$A:$D,3,)</f>
        <v/>
      </c>
      <c r="Z67" s="53">
        <f>VLOOKUP(B67,'Clothing and clothing access'!$A:$D,4,)</f>
        <v/>
      </c>
      <c r="AA67" s="52">
        <f>VLOOKUP(B67,'Furniture Home'!$A:$D,3,)</f>
        <v/>
      </c>
      <c r="AB67" s="53">
        <f>VLOOKUP(B67,'Furniture Home'!$A:$D,4,)</f>
        <v/>
      </c>
      <c r="AC67" s="52">
        <f>VLOOKUP(B67,'Miscellaneous stores retailers'!$A:$D,3,)</f>
        <v/>
      </c>
      <c r="AD67" s="53">
        <f>VLOOKUP(B67,'Miscellaneous stores retailers'!$A:$D,4,)</f>
        <v/>
      </c>
      <c r="AE67" s="52">
        <f>VLOOKUP(B67,'Sporting Goods'!$A:$D,3,)</f>
        <v/>
      </c>
      <c r="AF67" s="53">
        <f>VLOOKUP(B67,'Sporting Goods'!$A:$D,4,)</f>
        <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7">
    <cfRule type="colorScale" priority="243">
      <colorScale>
        <cfvo type="min"/>
        <cfvo type="percentile" val="50"/>
        <cfvo type="max"/>
        <color rgb="FFF8696B"/>
        <color rgb="FFFFEB84"/>
        <color rgb="FF63BE7B"/>
      </colorScale>
    </cfRule>
  </conditionalFormatting>
  <conditionalFormatting sqref="D4:D67">
    <cfRule type="colorScale" priority="244">
      <colorScale>
        <cfvo type="min"/>
        <cfvo type="percentile" val="50"/>
        <cfvo type="max"/>
        <color rgb="FFF8696B"/>
        <color rgb="FFFFEB84"/>
        <color rgb="FF63BE7B"/>
      </colorScale>
    </cfRule>
  </conditionalFormatting>
  <conditionalFormatting sqref="E4:E67">
    <cfRule type="colorScale" priority="245">
      <colorScale>
        <cfvo type="min"/>
        <cfvo type="percentile" val="50"/>
        <cfvo type="max"/>
        <color rgb="FFF8696B"/>
        <color rgb="FFFFEB84"/>
        <color rgb="FF63BE7B"/>
      </colorScale>
    </cfRule>
  </conditionalFormatting>
  <conditionalFormatting sqref="F4:F67">
    <cfRule type="colorScale" priority="246">
      <colorScale>
        <cfvo type="min"/>
        <cfvo type="percentile" val="50"/>
        <cfvo type="max"/>
        <color rgb="FFF8696B"/>
        <color rgb="FFFFEB84"/>
        <color rgb="FF63BE7B"/>
      </colorScale>
    </cfRule>
  </conditionalFormatting>
  <conditionalFormatting sqref="G4:G67">
    <cfRule type="colorScale" priority="247">
      <colorScale>
        <cfvo type="min"/>
        <cfvo type="percentile" val="50"/>
        <cfvo type="max"/>
        <color rgb="FFF8696B"/>
        <color rgb="FFFFEB84"/>
        <color rgb="FF63BE7B"/>
      </colorScale>
    </cfRule>
  </conditionalFormatting>
  <conditionalFormatting sqref="H4:H67">
    <cfRule type="colorScale" priority="248">
      <colorScale>
        <cfvo type="min"/>
        <cfvo type="percentile" val="50"/>
        <cfvo type="max"/>
        <color rgb="FFF8696B"/>
        <color rgb="FFFFEB84"/>
        <color rgb="FF63BE7B"/>
      </colorScale>
    </cfRule>
  </conditionalFormatting>
  <conditionalFormatting sqref="I4:I67">
    <cfRule type="colorScale" priority="249">
      <colorScale>
        <cfvo type="min"/>
        <cfvo type="percentile" val="50"/>
        <cfvo type="max"/>
        <color rgb="FFF8696B"/>
        <color rgb="FFFFEB84"/>
        <color rgb="FF63BE7B"/>
      </colorScale>
    </cfRule>
  </conditionalFormatting>
  <conditionalFormatting sqref="J4:J67">
    <cfRule type="colorScale" priority="250">
      <colorScale>
        <cfvo type="min"/>
        <cfvo type="percentile" val="50"/>
        <cfvo type="max"/>
        <color rgb="FFF8696B"/>
        <color rgb="FFFFEB84"/>
        <color rgb="FF63BE7B"/>
      </colorScale>
    </cfRule>
  </conditionalFormatting>
  <conditionalFormatting sqref="K4:K67">
    <cfRule type="colorScale" priority="251">
      <colorScale>
        <cfvo type="min"/>
        <cfvo type="percentile" val="50"/>
        <cfvo type="max"/>
        <color rgb="FFF8696B"/>
        <color rgb="FFFFEB84"/>
        <color rgb="FF63BE7B"/>
      </colorScale>
    </cfRule>
  </conditionalFormatting>
  <conditionalFormatting sqref="L4:L67">
    <cfRule type="colorScale" priority="252">
      <colorScale>
        <cfvo type="min"/>
        <cfvo type="percentile" val="50"/>
        <cfvo type="max"/>
        <color rgb="FFF8696B"/>
        <color rgb="FFFFEB84"/>
        <color rgb="FF63BE7B"/>
      </colorScale>
    </cfRule>
  </conditionalFormatting>
  <conditionalFormatting sqref="M4:M67">
    <cfRule type="colorScale" priority="253">
      <colorScale>
        <cfvo type="min"/>
        <cfvo type="percentile" val="50"/>
        <cfvo type="max"/>
        <color rgb="FFF8696B"/>
        <color rgb="FFFFEB84"/>
        <color rgb="FF63BE7B"/>
      </colorScale>
    </cfRule>
  </conditionalFormatting>
  <conditionalFormatting sqref="O4:O67">
    <cfRule type="colorScale" priority="254">
      <colorScale>
        <cfvo type="min"/>
        <cfvo type="percentile" val="50"/>
        <cfvo type="max"/>
        <color rgb="FFF8696B"/>
        <color rgb="FFFFEB84"/>
        <color rgb="FF63BE7B"/>
      </colorScale>
    </cfRule>
  </conditionalFormatting>
  <conditionalFormatting sqref="P4:P67">
    <cfRule type="colorScale" priority="255">
      <colorScale>
        <cfvo type="min"/>
        <cfvo type="percentile" val="50"/>
        <cfvo type="max"/>
        <color rgb="FFF8696B"/>
        <color rgb="FFFFEB84"/>
        <color rgb="FF63BE7B"/>
      </colorScale>
    </cfRule>
  </conditionalFormatting>
  <conditionalFormatting sqref="Q4:Q67">
    <cfRule type="colorScale" priority="256">
      <colorScale>
        <cfvo type="min"/>
        <cfvo type="percentile" val="50"/>
        <cfvo type="max"/>
        <color rgb="FFF8696B"/>
        <color rgb="FFFFEB84"/>
        <color rgb="FF63BE7B"/>
      </colorScale>
    </cfRule>
  </conditionalFormatting>
  <conditionalFormatting sqref="R4:R67">
    <cfRule type="colorScale" priority="257">
      <colorScale>
        <cfvo type="min"/>
        <cfvo type="percentile" val="50"/>
        <cfvo type="max"/>
        <color rgb="FFF8696B"/>
        <color rgb="FFFFEB84"/>
        <color rgb="FF63BE7B"/>
      </colorScale>
    </cfRule>
  </conditionalFormatting>
  <conditionalFormatting sqref="S4:S67">
    <cfRule type="colorScale" priority="258">
      <colorScale>
        <cfvo type="min"/>
        <cfvo type="percentile" val="50"/>
        <cfvo type="max"/>
        <color rgb="FFF8696B"/>
        <color rgb="FFFFEB84"/>
        <color rgb="FF63BE7B"/>
      </colorScale>
    </cfRule>
  </conditionalFormatting>
  <conditionalFormatting sqref="T4:T67">
    <cfRule type="colorScale" priority="259">
      <colorScale>
        <cfvo type="min"/>
        <cfvo type="percentile" val="50"/>
        <cfvo type="max"/>
        <color rgb="FFF8696B"/>
        <color rgb="FFFFEB84"/>
        <color rgb="FF63BE7B"/>
      </colorScale>
    </cfRule>
  </conditionalFormatting>
  <conditionalFormatting sqref="U4:U67">
    <cfRule type="colorScale" priority="260">
      <colorScale>
        <cfvo type="min"/>
        <cfvo type="percentile" val="50"/>
        <cfvo type="max"/>
        <color rgb="FFF8696B"/>
        <color rgb="FFFFEB84"/>
        <color rgb="FF63BE7B"/>
      </colorScale>
    </cfRule>
  </conditionalFormatting>
  <conditionalFormatting sqref="V4:V67">
    <cfRule type="colorScale" priority="261">
      <colorScale>
        <cfvo type="min"/>
        <cfvo type="percentile" val="50"/>
        <cfvo type="max"/>
        <color rgb="FFF8696B"/>
        <color rgb="FFFFEB84"/>
        <color rgb="FF63BE7B"/>
      </colorScale>
    </cfRule>
  </conditionalFormatting>
  <conditionalFormatting sqref="W4:W67">
    <cfRule type="colorScale" priority="262">
      <colorScale>
        <cfvo type="min"/>
        <cfvo type="percentile" val="50"/>
        <cfvo type="max"/>
        <color rgb="FFF8696B"/>
        <color rgb="FFFFEB84"/>
        <color rgb="FF63BE7B"/>
      </colorScale>
    </cfRule>
  </conditionalFormatting>
  <conditionalFormatting sqref="X4:X67">
    <cfRule type="colorScale" priority="265">
      <colorScale>
        <cfvo type="min"/>
        <cfvo type="percentile" val="50"/>
        <cfvo type="max"/>
        <color rgb="FFF8696B"/>
        <color rgb="FFFFEB84"/>
        <color rgb="FF63BE7B"/>
      </colorScale>
    </cfRule>
  </conditionalFormatting>
  <conditionalFormatting sqref="Y4:Y67">
    <cfRule type="colorScale" priority="268">
      <colorScale>
        <cfvo type="min"/>
        <cfvo type="percentile" val="50"/>
        <cfvo type="max"/>
        <color rgb="FFF8696B"/>
        <color rgb="FFFFEB84"/>
        <color rgb="FF63BE7B"/>
      </colorScale>
    </cfRule>
  </conditionalFormatting>
  <conditionalFormatting sqref="Z4:Z67">
    <cfRule type="colorScale" priority="269">
      <colorScale>
        <cfvo type="min"/>
        <cfvo type="percentile" val="50"/>
        <cfvo type="max"/>
        <color rgb="FFF8696B"/>
        <color rgb="FFFFEB84"/>
        <color rgb="FF63BE7B"/>
      </colorScale>
    </cfRule>
  </conditionalFormatting>
  <conditionalFormatting sqref="AA4:AA67">
    <cfRule type="colorScale" priority="270">
      <colorScale>
        <cfvo type="min"/>
        <cfvo type="percentile" val="50"/>
        <cfvo type="max"/>
        <color rgb="FFF8696B"/>
        <color rgb="FFFFEB84"/>
        <color rgb="FF63BE7B"/>
      </colorScale>
    </cfRule>
  </conditionalFormatting>
  <conditionalFormatting sqref="AB4:AB67">
    <cfRule type="colorScale" priority="271">
      <colorScale>
        <cfvo type="min"/>
        <cfvo type="percentile" val="50"/>
        <cfvo type="max"/>
        <color rgb="FFF8696B"/>
        <color rgb="FFFFEB84"/>
        <color rgb="FF63BE7B"/>
      </colorScale>
    </cfRule>
  </conditionalFormatting>
  <conditionalFormatting sqref="AC4:AC67">
    <cfRule type="colorScale" priority="272">
      <colorScale>
        <cfvo type="min"/>
        <cfvo type="percentile" val="50"/>
        <cfvo type="max"/>
        <color rgb="FFF8696B"/>
        <color rgb="FFFFEB84"/>
        <color rgb="FF63BE7B"/>
      </colorScale>
    </cfRule>
  </conditionalFormatting>
  <conditionalFormatting sqref="AD4:AD67">
    <cfRule type="colorScale" priority="273">
      <colorScale>
        <cfvo type="min"/>
        <cfvo type="percentile" val="50"/>
        <cfvo type="max"/>
        <color rgb="FFF8696B"/>
        <color rgb="FFFFEB84"/>
        <color rgb="FF63BE7B"/>
      </colorScale>
    </cfRule>
  </conditionalFormatting>
  <conditionalFormatting sqref="AE4:AE67">
    <cfRule type="colorScale" priority="274">
      <colorScale>
        <cfvo type="min"/>
        <cfvo type="percentile" val="50"/>
        <cfvo type="max"/>
        <color rgb="FFF8696B"/>
        <color rgb="FFFFEB84"/>
        <color rgb="FF63BE7B"/>
      </colorScale>
    </cfRule>
  </conditionalFormatting>
  <conditionalFormatting sqref="AF4:AF67">
    <cfRule type="colorScale" priority="275">
      <colorScale>
        <cfvo type="min"/>
        <cfvo type="percentile" val="50"/>
        <cfvo type="max"/>
        <color rgb="FFF8696B"/>
        <color rgb="FFFFEB84"/>
        <color rgb="FF63BE7B"/>
      </colorScale>
    </cfRule>
  </conditionalFormatting>
  <conditionalFormatting sqref="N4:N67">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74"/>
  <sheetViews>
    <sheetView zoomScale="140" zoomScaleNormal="140" workbookViewId="0">
      <pane ySplit="6" topLeftCell="A352" activePane="bottomLeft" state="frozen"/>
      <selection pane="bottomLeft" activeCell="X369" sqref="X369"/>
    </sheetView>
  </sheetViews>
  <sheetFormatPr baseColWidth="8" defaultColWidth="8.81640625" defaultRowHeight="14.5"/>
  <cols>
    <col width="14" customWidth="1" min="1" max="1"/>
    <col width="17.6328125" customWidth="1" min="2" max="2"/>
    <col width="14.36328125" customWidth="1" min="3" max="3"/>
    <col width="14.1796875" customWidth="1" min="4" max="4"/>
    <col width="9.1796875" customWidth="1" style="121" min="5" max="53"/>
  </cols>
  <sheetData>
    <row r="1" customFormat="1" s="121">
      <c r="A1" s="26" t="inlineStr">
        <is>
          <t>MARTSSM44W72USS</t>
        </is>
      </c>
      <c r="B1" s="27" t="inlineStr">
        <is>
          <t>Advance Retail Sales: Retail Trade and Food Services, Excluding Motor Vehicle and Parts Dealers and Gasoline Stations (MARTSMPCSM44W72USS)</t>
        </is>
      </c>
      <c r="I1" s="21" t="n"/>
      <c r="J1" s="21" t="n"/>
      <c r="L1" s="121" t="inlineStr">
        <is>
          <t>mom</t>
        </is>
      </c>
      <c r="M1" s="121" t="inlineStr">
        <is>
          <t>yoy</t>
        </is>
      </c>
    </row>
    <row r="2" customFormat="1" s="121">
      <c r="A2" s="127" t="inlineStr">
        <is>
          <t>https://fred.stlouisfed.org/series/MARTSMPCSM44W72USS</t>
        </is>
      </c>
      <c r="I2" s="21" t="n"/>
      <c r="J2" s="21" t="n"/>
      <c r="L2" s="28">
        <f>MAX(C8:C335)</f>
        <v/>
      </c>
      <c r="M2" s="28">
        <f>MAX(D8:D335)</f>
        <v/>
      </c>
    </row>
    <row r="3" customFormat="1" s="121">
      <c r="A3" s="127" t="n"/>
      <c r="I3" s="21" t="n"/>
      <c r="J3" s="21" t="n"/>
      <c r="L3" s="28">
        <f>MIN(C8:C335)</f>
        <v/>
      </c>
      <c r="M3" s="28">
        <f>MIN(D8:D335)</f>
        <v/>
      </c>
    </row>
    <row r="4" customFormat="1" s="121">
      <c r="A4" s="127" t="n"/>
      <c r="I4" s="21" t="n"/>
      <c r="J4" s="21" t="n"/>
      <c r="L4" s="28" t="n"/>
      <c r="M4" s="28" t="n"/>
    </row>
    <row r="5" customFormat="1" s="121">
      <c r="C5" s="121" t="inlineStr">
        <is>
          <t>https://tradingeconomics.com/united-states/retail-sales</t>
        </is>
      </c>
      <c r="D5" s="121"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1">
      <c r="A336" s="11" t="n">
        <v>43617</v>
      </c>
      <c r="B336" s="15">
        <f>VLOOKUP(A336,Database!A:M,MATCH($A$1,Database!$A$1:$M$1,),)</f>
        <v/>
      </c>
      <c r="C336" s="12">
        <f>(B336-B335)/B335</f>
        <v/>
      </c>
      <c r="D336" s="13">
        <f>(B336-B324)/B324</f>
        <v/>
      </c>
    </row>
    <row r="337" customFormat="1" s="121">
      <c r="A337" s="10" t="n">
        <v>43647</v>
      </c>
      <c r="B337" s="15">
        <f>VLOOKUP(A337,Database!A:M,MATCH($A$1,Database!$A$1:$M$1,),)</f>
        <v/>
      </c>
      <c r="C337" s="12">
        <f>(B337-B336)/B336</f>
        <v/>
      </c>
      <c r="D337" s="13">
        <f>(B337-B325)/B325</f>
        <v/>
      </c>
    </row>
    <row r="338" customFormat="1" s="121">
      <c r="A338" s="11" t="n">
        <v>43678</v>
      </c>
      <c r="B338" s="15">
        <f>VLOOKUP(A338,Database!A:M,MATCH($A$1,Database!$A$1:$M$1,),)</f>
        <v/>
      </c>
      <c r="C338" s="12">
        <f>(B338-B337)/B337</f>
        <v/>
      </c>
      <c r="D338" s="13">
        <f>(B338-B326)/B326</f>
        <v/>
      </c>
    </row>
    <row r="339" customFormat="1" s="121">
      <c r="A339" s="10" t="n">
        <v>43709</v>
      </c>
      <c r="B339" s="15">
        <f>VLOOKUP(A339,Database!A:M,MATCH($A$1,Database!$A$1:$M$1,),)</f>
        <v/>
      </c>
      <c r="C339" s="12">
        <f>(B339-B338)/B338</f>
        <v/>
      </c>
      <c r="D339" s="13">
        <f>(B339-B327)/B327</f>
        <v/>
      </c>
    </row>
    <row r="340" customFormat="1" s="121">
      <c r="A340" s="11" t="n">
        <v>43739</v>
      </c>
      <c r="B340" s="15">
        <f>VLOOKUP(A340,Database!A:M,MATCH($A$1,Database!$A$1:$M$1,),)</f>
        <v/>
      </c>
      <c r="C340" s="12">
        <f>(B340-B339)/B339</f>
        <v/>
      </c>
      <c r="D340" s="13">
        <f>(B340-B328)/B328</f>
        <v/>
      </c>
    </row>
    <row r="341" customFormat="1" s="121">
      <c r="A341" s="10" t="n">
        <v>43770</v>
      </c>
      <c r="B341" s="15">
        <f>VLOOKUP(A341,Database!A:M,MATCH($A$1,Database!$A$1:$M$1,),)</f>
        <v/>
      </c>
      <c r="C341" s="12">
        <f>(B341-B340)/B340</f>
        <v/>
      </c>
      <c r="D341" s="13">
        <f>(B341-B329)/B329</f>
        <v/>
      </c>
    </row>
    <row r="342" customFormat="1" s="121">
      <c r="A342" s="11" t="n">
        <v>43800</v>
      </c>
      <c r="B342" s="15">
        <f>VLOOKUP(A342,Database!A:M,MATCH($A$1,Database!$A$1:$M$1,),)</f>
        <v/>
      </c>
      <c r="C342" s="12">
        <f>(B342-B341)/B341</f>
        <v/>
      </c>
      <c r="D342" s="13">
        <f>(B342-B330)/B330</f>
        <v/>
      </c>
    </row>
    <row r="343" customFormat="1" s="121">
      <c r="A343" s="10" t="n">
        <v>43831</v>
      </c>
      <c r="B343" s="15">
        <f>VLOOKUP(A343,Database!A:M,MATCH($A$1,Database!$A$1:$M$1,),)</f>
        <v/>
      </c>
      <c r="C343" s="12">
        <f>(B343-B342)/B342</f>
        <v/>
      </c>
      <c r="D343" s="13">
        <f>(B343-B331)/B331</f>
        <v/>
      </c>
    </row>
    <row r="344" customFormat="1" s="121">
      <c r="A344" s="11" t="n">
        <v>43862</v>
      </c>
      <c r="B344" s="15">
        <f>VLOOKUP(A344,Database!A:M,MATCH($A$1,Database!$A$1:$M$1,),)</f>
        <v/>
      </c>
      <c r="C344" s="12">
        <f>(B344-B343)/B343</f>
        <v/>
      </c>
      <c r="D344" s="13">
        <f>(B344-B332)/B332</f>
        <v/>
      </c>
    </row>
    <row r="345" customFormat="1" s="121">
      <c r="A345" s="10" t="n">
        <v>43891</v>
      </c>
      <c r="B345" s="15">
        <f>VLOOKUP(A345,Database!A:M,MATCH($A$1,Database!$A$1:$M$1,),)</f>
        <v/>
      </c>
      <c r="C345" s="12">
        <f>(B345-B344)/B344</f>
        <v/>
      </c>
      <c r="D345" s="13">
        <f>(B345-B333)/B333</f>
        <v/>
      </c>
    </row>
    <row r="346" customFormat="1" s="121">
      <c r="A346" s="11" t="n">
        <v>43922</v>
      </c>
      <c r="B346" s="15">
        <f>VLOOKUP(A346,Database!A:M,MATCH($A$1,Database!$A$1:$M$1,),)</f>
        <v/>
      </c>
      <c r="C346" s="12">
        <f>(B346-B345)/B345</f>
        <v/>
      </c>
      <c r="D346" s="13">
        <f>(B346-B334)/B334</f>
        <v/>
      </c>
    </row>
    <row r="347" customFormat="1" s="121">
      <c r="A347" s="10" t="n">
        <v>43952</v>
      </c>
      <c r="B347" s="15">
        <f>VLOOKUP(A347,Database!A:M,MATCH($A$1,Database!$A$1:$M$1,),)</f>
        <v/>
      </c>
      <c r="C347" s="12">
        <f>(B347-B346)/B346</f>
        <v/>
      </c>
      <c r="D347" s="13">
        <f>(B347-B335)/B335</f>
        <v/>
      </c>
    </row>
    <row r="348" customFormat="1" s="121">
      <c r="A348" s="11" t="n">
        <v>43983</v>
      </c>
      <c r="B348" s="15">
        <f>VLOOKUP(A348,Database!A:M,MATCH($A$1,Database!$A$1:$M$1,),)</f>
        <v/>
      </c>
      <c r="C348" s="12">
        <f>(B348-B347)/B347</f>
        <v/>
      </c>
      <c r="D348" s="13">
        <f>(B348-B336)/B336</f>
        <v/>
      </c>
    </row>
    <row r="349" customFormat="1" s="121">
      <c r="A349" s="10" t="n">
        <v>44013</v>
      </c>
      <c r="B349" s="15">
        <f>VLOOKUP(A349,Database!A:M,MATCH($A$1,Database!$A$1:$M$1,),)</f>
        <v/>
      </c>
      <c r="C349" s="12">
        <f>(B349-B348)/B348</f>
        <v/>
      </c>
      <c r="D349" s="13">
        <f>(B349-B337)/B337</f>
        <v/>
      </c>
    </row>
    <row r="350" customFormat="1" s="121">
      <c r="A350" s="11" t="n">
        <v>44044</v>
      </c>
      <c r="B350" s="15">
        <f>VLOOKUP(A350,Database!A:M,MATCH($A$1,Database!$A$1:$M$1,),)</f>
        <v/>
      </c>
      <c r="C350" s="12">
        <f>(B350-B349)/B349</f>
        <v/>
      </c>
      <c r="D350" s="13">
        <f>(B350-B338)/B338</f>
        <v/>
      </c>
    </row>
    <row r="351" customFormat="1" s="121">
      <c r="A351" s="10" t="n">
        <v>44075</v>
      </c>
      <c r="B351" s="15">
        <f>VLOOKUP(A351,Database!A:M,MATCH($A$1,Database!$A$1:$M$1,),)</f>
        <v/>
      </c>
      <c r="C351" s="12">
        <f>(B351-B350)/B350</f>
        <v/>
      </c>
      <c r="D351" s="13">
        <f>(B351-B339)/B339</f>
        <v/>
      </c>
    </row>
    <row r="352" customFormat="1" s="121">
      <c r="A352" s="11" t="n">
        <v>44105</v>
      </c>
      <c r="B352" s="15">
        <f>VLOOKUP(A352,Database!A:M,MATCH($A$1,Database!$A$1:$M$1,),)</f>
        <v/>
      </c>
      <c r="C352" s="12">
        <f>(B352-B351)/B351</f>
        <v/>
      </c>
      <c r="D352" s="13">
        <f>(B352-B340)/B340</f>
        <v/>
      </c>
    </row>
    <row r="353" customFormat="1" s="121">
      <c r="A353" s="10" t="n">
        <v>44136</v>
      </c>
      <c r="B353" s="15">
        <f>VLOOKUP(A353,Database!A:M,MATCH($A$1,Database!$A$1:$M$1,),)</f>
        <v/>
      </c>
      <c r="C353" s="12">
        <f>(B353-B352)/B352</f>
        <v/>
      </c>
      <c r="D353" s="13">
        <f>(B353-B341)/B341</f>
        <v/>
      </c>
    </row>
    <row r="354" customFormat="1" s="121">
      <c r="A354" s="11" t="n">
        <v>44166</v>
      </c>
      <c r="B354" s="15">
        <f>VLOOKUP(A354,Database!A:M,MATCH($A$1,Database!$A$1:$M$1,),)</f>
        <v/>
      </c>
      <c r="C354" s="12">
        <f>(B354-B353)/B353</f>
        <v/>
      </c>
      <c r="D354" s="13">
        <f>(B354-B342)/B342</f>
        <v/>
      </c>
    </row>
    <row r="355" customFormat="1" s="121">
      <c r="A355" s="10" t="n">
        <v>44197</v>
      </c>
      <c r="B355" s="15">
        <f>VLOOKUP(A355,Database!A:M,MATCH($A$1,Database!$A$1:$M$1,),)</f>
        <v/>
      </c>
      <c r="C355" s="12">
        <f>(B355-B354)/B354</f>
        <v/>
      </c>
      <c r="D355" s="13">
        <f>(B355-B343)/B343</f>
        <v/>
      </c>
    </row>
    <row r="356" customFormat="1" s="121">
      <c r="A356" s="11" t="n">
        <v>44228</v>
      </c>
      <c r="B356" s="15">
        <f>VLOOKUP(A356,Database!A:M,MATCH($A$1,Database!$A$1:$M$1,),)</f>
        <v/>
      </c>
      <c r="C356" s="12">
        <f>(B356-B355)/B355</f>
        <v/>
      </c>
      <c r="D356" s="13">
        <f>(B356-B344)/B344</f>
        <v/>
      </c>
    </row>
    <row r="357" customFormat="1" s="121">
      <c r="A357" s="10" t="n">
        <v>44256</v>
      </c>
      <c r="B357" s="15">
        <f>VLOOKUP(A357,Database!A:M,MATCH($A$1,Database!$A$1:$M$1,),)</f>
        <v/>
      </c>
      <c r="C357" s="12">
        <f>(B357-B356)/B356</f>
        <v/>
      </c>
      <c r="D357" s="13">
        <f>(B357-B345)/B345</f>
        <v/>
      </c>
    </row>
    <row r="358" customFormat="1" s="121">
      <c r="A358" s="11" t="n">
        <v>44287</v>
      </c>
      <c r="B358" s="15">
        <f>VLOOKUP(A358,Database!A:M,MATCH($A$1,Database!$A$1:$M$1,),)</f>
        <v/>
      </c>
      <c r="C358" s="12">
        <f>(B358-B357)/B357</f>
        <v/>
      </c>
      <c r="D358" s="13">
        <f>(B358-B346)/B346</f>
        <v/>
      </c>
    </row>
    <row r="359" customFormat="1" s="121">
      <c r="A359" s="10" t="n">
        <v>44317</v>
      </c>
      <c r="B359" s="15">
        <f>VLOOKUP(A359,Database!A:M,MATCH($A$1,Database!$A$1:$M$1,),)</f>
        <v/>
      </c>
      <c r="C359" s="12">
        <f>(B359-B358)/B358</f>
        <v/>
      </c>
      <c r="D359" s="13">
        <f>(B359-B347)/B347</f>
        <v/>
      </c>
    </row>
    <row r="360" customFormat="1" s="121">
      <c r="A360" s="11" t="n">
        <v>44348</v>
      </c>
      <c r="B360" s="15">
        <f>VLOOKUP(A360,Database!A:M,MATCH($A$1,Database!$A$1:$M$1,),)</f>
        <v/>
      </c>
      <c r="C360" s="12">
        <f>(B360-B359)/B359</f>
        <v/>
      </c>
      <c r="D360" s="13">
        <f>(B360-B348)/B348</f>
        <v/>
      </c>
    </row>
    <row r="361" customFormat="1" s="121">
      <c r="A361" s="10" t="n">
        <v>44378</v>
      </c>
      <c r="B361" s="15">
        <f>VLOOKUP(A361,Database!A:M,MATCH($A$1,Database!$A$1:$M$1,),)</f>
        <v/>
      </c>
      <c r="C361" s="12">
        <f>(B361-B360)/B360</f>
        <v/>
      </c>
      <c r="D361" s="13">
        <f>(B361-B349)/B349</f>
        <v/>
      </c>
    </row>
    <row r="362" customFormat="1" s="121">
      <c r="A362" s="11" t="n">
        <v>44409</v>
      </c>
      <c r="B362" s="15">
        <f>VLOOKUP(A362,Database!A:M,MATCH($A$1,Database!$A$1:$M$1,),)</f>
        <v/>
      </c>
      <c r="C362" s="12">
        <f>(B362-B361)/B361</f>
        <v/>
      </c>
      <c r="D362" s="13">
        <f>(B362-B350)/B350</f>
        <v/>
      </c>
    </row>
    <row r="363" customFormat="1" s="121">
      <c r="A363" s="11" t="n">
        <v>44440</v>
      </c>
      <c r="B363" s="15">
        <f>VLOOKUP(A363,Database!A:M,MATCH($A$1,Database!$A$1:$M$1,),)</f>
        <v/>
      </c>
      <c r="C363" s="12">
        <f>(B363-B362)/B362</f>
        <v/>
      </c>
      <c r="D363" s="13">
        <f>(B363-B351)/B351</f>
        <v/>
      </c>
    </row>
    <row r="364" customFormat="1" s="121">
      <c r="A364" s="10" t="n">
        <v>44470</v>
      </c>
      <c r="B364" s="15">
        <f>VLOOKUP(A364,Database!A:M,MATCH($A$1,Database!$A$1:$M$1,),)</f>
        <v/>
      </c>
      <c r="C364" s="12">
        <f>(B364-B363)/B363</f>
        <v/>
      </c>
      <c r="D364" s="13">
        <f>(B364-B352)/B352</f>
        <v/>
      </c>
    </row>
    <row r="365" customFormat="1" s="121">
      <c r="A365" s="11" t="n">
        <v>44501</v>
      </c>
      <c r="B365" s="15">
        <f>VLOOKUP(A365,Database!A:M,MATCH($A$1,Database!$A$1:$M$1,),)</f>
        <v/>
      </c>
      <c r="C365" s="12">
        <f>(B365-B364)/B364</f>
        <v/>
      </c>
      <c r="D365" s="13">
        <f>(B365-B353)/B353</f>
        <v/>
      </c>
    </row>
    <row r="366" customFormat="1" s="121">
      <c r="A366" s="11" t="n">
        <v>44531</v>
      </c>
      <c r="B366" s="15">
        <f>VLOOKUP(A366,Database!A:M,MATCH($A$1,Database!$A$1:$M$1,),)</f>
        <v/>
      </c>
      <c r="C366" s="12">
        <f>(B366-B365)/B365</f>
        <v/>
      </c>
      <c r="D366" s="13">
        <f>(B366-B354)/B354</f>
        <v/>
      </c>
    </row>
    <row r="367" customFormat="1" s="121">
      <c r="A367" s="11" t="n">
        <v>44562</v>
      </c>
      <c r="B367" s="15">
        <f>VLOOKUP(A367,Database!A:M,MATCH($A$1,Database!$A$1:$M$1,),)</f>
        <v/>
      </c>
      <c r="C367" s="12">
        <f>(B367-B366)/B366</f>
        <v/>
      </c>
      <c r="D367" s="13">
        <f>(B367-B355)/B355</f>
        <v/>
      </c>
    </row>
    <row r="368" customFormat="1" s="121">
      <c r="A368" s="11" t="n">
        <v>44593</v>
      </c>
      <c r="B368" s="15">
        <f>VLOOKUP(A368,Database!A:M,MATCH($A$1,Database!$A$1:$M$1,),)</f>
        <v/>
      </c>
      <c r="C368" s="12">
        <f>(B368-B367)/B367</f>
        <v/>
      </c>
      <c r="D368" s="13">
        <f>(B368-B356)/B356</f>
        <v/>
      </c>
    </row>
    <row r="369" customFormat="1" s="121">
      <c r="A369" s="11" t="n">
        <v>44621</v>
      </c>
      <c r="B369" s="15">
        <f>VLOOKUP(A369,Database!A:M,MATCH($A$1,Database!$A$1:$M$1,),)</f>
        <v/>
      </c>
      <c r="C369" s="12">
        <f>(B369-B368)/B368</f>
        <v/>
      </c>
      <c r="D369" s="13">
        <f>(B369-B357)/B357</f>
        <v/>
      </c>
    </row>
    <row r="370" customFormat="1" s="121">
      <c r="A370" s="10" t="n">
        <v>44652</v>
      </c>
      <c r="B370" s="15">
        <f>VLOOKUP(A370,Database!A:M,MATCH($A$1,Database!$A$1:$M$1,),)</f>
        <v/>
      </c>
      <c r="C370" s="12">
        <f>(B370-B369)/B369</f>
        <v/>
      </c>
      <c r="D370" s="13">
        <f>(B370-B358)/B358</f>
        <v/>
      </c>
    </row>
    <row r="371" customFormat="1" s="121">
      <c r="A371" s="11" t="n">
        <v>44682</v>
      </c>
      <c r="B371" s="15">
        <f>VLOOKUP(A371,Database!A:M,MATCH($A$1,Database!$A$1:$M$1,),)</f>
        <v/>
      </c>
      <c r="C371" s="12">
        <f>(B371-B370)/B370</f>
        <v/>
      </c>
      <c r="D371" s="13">
        <f>(B371-B359)/B359</f>
        <v/>
      </c>
    </row>
    <row r="372" customFormat="1" s="121">
      <c r="A372" s="11" t="n">
        <v>44713</v>
      </c>
      <c r="B372" s="15">
        <f>VLOOKUP(A372,Database!A:M,MATCH($A$1,Database!$A$1:$M$1,),)</f>
        <v/>
      </c>
      <c r="C372" s="12">
        <f>(B372-B371)/B371</f>
        <v/>
      </c>
      <c r="D372" s="13">
        <f>(B372-B360)/B360</f>
        <v/>
      </c>
    </row>
    <row r="373" customFormat="1" s="121">
      <c r="A373" s="11" t="n">
        <v>44743</v>
      </c>
      <c r="B373" s="15">
        <f>VLOOKUP(A373,Database!A:M,MATCH($A$1,Database!$A$1:$M$1,),)</f>
        <v/>
      </c>
      <c r="C373" s="12">
        <f>(B373-B372)/B372</f>
        <v/>
      </c>
      <c r="D373" s="13">
        <f>(B373-B361)/B361</f>
        <v/>
      </c>
    </row>
    <row r="374" customFormat="1" s="121">
      <c r="A374" s="11" t="n">
        <v>44774</v>
      </c>
      <c r="B374" s="15">
        <f>VLOOKUP(A374,Database!A:M,MATCH($A$1,Database!$A$1:$M$1,),)</f>
        <v/>
      </c>
      <c r="C374" s="12">
        <f>(B374-B373)/B373</f>
        <v/>
      </c>
      <c r="D374" s="13">
        <f>(B374-B362)/B362</f>
        <v/>
      </c>
    </row>
    <row r="375" customFormat="1" s="121">
      <c r="A375" s="11" t="n">
        <v>44805</v>
      </c>
      <c r="B375" s="15">
        <f>VLOOKUP(A375,Database!A:M,MATCH($A$1,Database!$A$1:$M$1,),)</f>
        <v/>
      </c>
      <c r="C375" s="12">
        <f>(B375-B374)/B374</f>
        <v/>
      </c>
      <c r="D375" s="13">
        <f>(B375-B363)/B363</f>
        <v/>
      </c>
    </row>
    <row r="376" customFormat="1" s="121">
      <c r="A376" s="11" t="n">
        <v>44835</v>
      </c>
      <c r="B376" s="15">
        <f>VLOOKUP(A376,Database!A:M,MATCH($A$1,Database!$A$1:$M$1,),)</f>
        <v/>
      </c>
      <c r="C376" s="12">
        <f>(B376-B375)/B375</f>
        <v/>
      </c>
      <c r="D376" s="13">
        <f>(B376-B364)/B364</f>
        <v/>
      </c>
    </row>
    <row r="377" customFormat="1" s="121">
      <c r="A377" s="11" t="n">
        <v>44866</v>
      </c>
      <c r="B377" s="15">
        <f>VLOOKUP(A377,Database!A:M,MATCH($A$1,Database!$A$1:$M$1,),)</f>
        <v/>
      </c>
      <c r="C377" s="12">
        <f>(B377-B376)/B376</f>
        <v/>
      </c>
      <c r="D377" s="13">
        <f>(B377-B365)/B365</f>
        <v/>
      </c>
    </row>
    <row r="378" customFormat="1" s="121"/>
    <row r="379" customFormat="1" s="121"/>
    <row r="380" customFormat="1" s="121"/>
    <row r="381" customFormat="1" s="121"/>
    <row r="382" customFormat="1" s="121"/>
    <row r="383" customFormat="1" s="121"/>
    <row r="384" customFormat="1" s="121"/>
    <row r="385" customFormat="1" s="121"/>
    <row r="386" customFormat="1" s="121"/>
    <row r="387" customFormat="1" s="121"/>
    <row r="388" customFormat="1" s="121"/>
    <row r="389" customFormat="1" s="121"/>
    <row r="390" customFormat="1" s="121"/>
    <row r="391" customFormat="1" s="121"/>
    <row r="392" customFormat="1" s="121"/>
    <row r="393" customFormat="1" s="121"/>
    <row r="394" customFormat="1" s="121"/>
    <row r="395" customFormat="1" s="121"/>
    <row r="396" customFormat="1" s="121"/>
    <row r="397" customFormat="1" s="121"/>
    <row r="398" customFormat="1" s="121"/>
    <row r="399" customFormat="1" s="121"/>
    <row r="400" customFormat="1" s="121"/>
    <row r="401" customFormat="1" s="121"/>
    <row r="402" customFormat="1" s="121"/>
    <row r="403" customFormat="1" s="121"/>
    <row r="404" customFormat="1" s="121"/>
    <row r="405" customFormat="1" s="121"/>
    <row r="406" customFormat="1" s="121"/>
    <row r="407" customFormat="1" s="121"/>
    <row r="408" customFormat="1" s="121"/>
    <row r="409" customFormat="1" s="121"/>
    <row r="410" customFormat="1" s="121"/>
    <row r="411" customFormat="1" s="121"/>
    <row r="412" customFormat="1" s="121"/>
    <row r="413" customFormat="1" s="121"/>
    <row r="414" customFormat="1" s="121"/>
    <row r="415" customFormat="1" s="121"/>
    <row r="416" customFormat="1" s="121"/>
    <row r="417" customFormat="1" s="121"/>
    <row r="418" customFormat="1" s="121"/>
    <row r="419" customFormat="1" s="121"/>
    <row r="420" customFormat="1" s="121"/>
    <row r="421" customFormat="1" s="121"/>
    <row r="422" customFormat="1" s="121"/>
    <row r="423" customFormat="1" s="121"/>
    <row r="424" customFormat="1" s="121"/>
    <row r="425" customFormat="1" s="121"/>
    <row r="426" customFormat="1" s="121"/>
    <row r="427" customFormat="1" s="121"/>
    <row r="428" customFormat="1" s="121"/>
    <row r="429" customFormat="1" s="121"/>
    <row r="430" customFormat="1" s="121"/>
    <row r="431" customFormat="1" s="121"/>
    <row r="432" customFormat="1" s="121"/>
    <row r="433" customFormat="1" s="121"/>
    <row r="434" customFormat="1" s="121"/>
    <row r="435" customFormat="1" s="121"/>
    <row r="436" customFormat="1" s="121"/>
    <row r="437" customFormat="1" s="121"/>
    <row r="438" customFormat="1" s="121"/>
    <row r="439" customFormat="1" s="121"/>
    <row r="440" customFormat="1" s="121"/>
    <row r="441" customFormat="1" s="121"/>
    <row r="442" customFormat="1" s="121"/>
    <row r="443" customFormat="1" s="121"/>
    <row r="444" customFormat="1" s="121"/>
    <row r="445" customFormat="1" s="121"/>
    <row r="446" customFormat="1" s="121"/>
    <row r="447" customFormat="1" s="121"/>
    <row r="448" customFormat="1" s="121"/>
    <row r="449" customFormat="1" s="121"/>
    <row r="450" customFormat="1" s="121"/>
    <row r="451" customFormat="1" s="121"/>
    <row r="452" customFormat="1" s="121"/>
    <row r="453" customFormat="1" s="121"/>
    <row r="454" customFormat="1" s="121"/>
    <row r="455" customFormat="1" s="121"/>
    <row r="456" customFormat="1" s="121"/>
    <row r="457" customFormat="1" s="121"/>
    <row r="458" customFormat="1" s="121"/>
    <row r="459" customFormat="1" s="121"/>
    <row r="460" customFormat="1" s="121"/>
    <row r="461" customFormat="1" s="121"/>
    <row r="462" customFormat="1" s="121"/>
    <row r="463" customFormat="1" s="121"/>
    <row r="464" customFormat="1" s="121"/>
    <row r="465" customFormat="1" s="121"/>
    <row r="466" customFormat="1" s="121"/>
    <row r="467" customFormat="1" s="121"/>
    <row r="468" customFormat="1" s="121"/>
    <row r="469" customFormat="1" s="121"/>
    <row r="470" customFormat="1" s="121"/>
    <row r="471" customFormat="1" s="121"/>
    <row r="472" customFormat="1" s="121"/>
    <row r="473" customFormat="1" s="121"/>
    <row r="474" customFormat="1" s="121"/>
    <row r="475" customFormat="1" s="121"/>
    <row r="476" customFormat="1" s="121"/>
    <row r="477" customFormat="1" s="121"/>
    <row r="478" customFormat="1" s="121"/>
    <row r="479" customFormat="1" s="121"/>
    <row r="480" customFormat="1" s="121"/>
    <row r="481" customFormat="1" s="121"/>
    <row r="482" customFormat="1" s="121"/>
    <row r="483" customFormat="1" s="121"/>
    <row r="484" customFormat="1" s="121"/>
    <row r="485" customFormat="1" s="121"/>
    <row r="486" customFormat="1" s="121"/>
    <row r="487" customFormat="1" s="121"/>
    <row r="488" customFormat="1" s="121"/>
    <row r="489" customFormat="1" s="121"/>
    <row r="490" customFormat="1" s="121"/>
    <row r="491" customFormat="1" s="121"/>
    <row r="492" customFormat="1" s="121"/>
    <row r="493" customFormat="1" s="121"/>
    <row r="494" customFormat="1" s="121"/>
    <row r="495" customFormat="1" s="121"/>
    <row r="496" customFormat="1" s="121"/>
    <row r="497" customFormat="1" s="121"/>
    <row r="498" customFormat="1" s="121"/>
    <row r="499" customFormat="1" s="121"/>
    <row r="500" customFormat="1" s="121"/>
    <row r="501" customFormat="1" s="121"/>
    <row r="502" customFormat="1" s="121"/>
    <row r="503" customFormat="1" s="121"/>
    <row r="504" customFormat="1" s="121"/>
    <row r="505" customFormat="1" s="121"/>
    <row r="506" customFormat="1" s="121"/>
    <row r="507" customFormat="1" s="121"/>
    <row r="508" customFormat="1" s="121"/>
    <row r="509" customFormat="1" s="121"/>
    <row r="510" customFormat="1" s="121"/>
    <row r="511" customFormat="1" s="121"/>
    <row r="512" customFormat="1" s="121"/>
    <row r="513" customFormat="1" s="121"/>
    <row r="514" customFormat="1" s="121"/>
    <row r="515" customFormat="1" s="121"/>
    <row r="516" customFormat="1" s="121"/>
    <row r="517" customFormat="1" s="121"/>
    <row r="518" customFormat="1" s="121"/>
    <row r="519" customFormat="1" s="121"/>
    <row r="520" customFormat="1" s="121"/>
    <row r="521" customFormat="1" s="121"/>
    <row r="522" customFormat="1" s="121"/>
    <row r="523" customFormat="1" s="121"/>
    <row r="524" customFormat="1" s="121"/>
    <row r="525" customFormat="1" s="121"/>
    <row r="526" customFormat="1" s="121"/>
    <row r="527" customFormat="1" s="121"/>
    <row r="528" customFormat="1" s="121"/>
    <row r="529" customFormat="1" s="121"/>
    <row r="530" customFormat="1" s="121"/>
    <row r="531" customFormat="1" s="121"/>
    <row r="532" customFormat="1" s="121"/>
    <row r="533" customFormat="1" s="121"/>
    <row r="534" customFormat="1" s="121"/>
    <row r="535" customFormat="1" s="121"/>
    <row r="536" customFormat="1" s="121"/>
    <row r="537" customFormat="1" s="121"/>
    <row r="538" customFormat="1" s="121"/>
    <row r="539" customFormat="1" s="121"/>
    <row r="540" customFormat="1" s="121"/>
    <row r="541" customFormat="1" s="121"/>
    <row r="542" customFormat="1" s="121"/>
    <row r="543" customFormat="1" s="121"/>
    <row r="544" customFormat="1" s="121"/>
    <row r="545" customFormat="1" s="121"/>
    <row r="546" customFormat="1" s="121"/>
    <row r="547" customFormat="1" s="121"/>
    <row r="548" customFormat="1" s="121"/>
    <row r="549" customFormat="1" s="121"/>
    <row r="550" customFormat="1" s="121"/>
    <row r="551" customFormat="1" s="121"/>
    <row r="552" customFormat="1" s="121"/>
    <row r="553" customFormat="1" s="121"/>
    <row r="554" customFormat="1" s="121"/>
    <row r="555" customFormat="1" s="121"/>
    <row r="556" customFormat="1" s="121"/>
    <row r="557" customFormat="1" s="121"/>
    <row r="558" customFormat="1" s="121"/>
    <row r="559" customFormat="1" s="121"/>
    <row r="560" customFormat="1" s="121"/>
    <row r="561" customFormat="1" s="121"/>
    <row r="562" customFormat="1" s="121"/>
    <row r="563" customFormat="1" s="121"/>
    <row r="564" customFormat="1" s="121"/>
    <row r="565" customFormat="1" s="121"/>
    <row r="566" customFormat="1" s="121"/>
    <row r="567" customFormat="1" s="121"/>
    <row r="568" customFormat="1" s="121"/>
    <row r="569" customFormat="1" s="121"/>
    <row r="570" customFormat="1" s="121"/>
    <row r="571" customFormat="1" s="121"/>
    <row r="572" customFormat="1" s="121"/>
    <row r="573" customFormat="1" s="121"/>
    <row r="574" customFormat="1" s="121"/>
    <row r="575" customFormat="1" s="121"/>
    <row r="576" customFormat="1" s="121"/>
    <row r="577" customFormat="1" s="121"/>
    <row r="578" customFormat="1" s="121"/>
    <row r="579" customFormat="1" s="121"/>
    <row r="580" customFormat="1" s="121"/>
    <row r="581" customFormat="1" s="121"/>
    <row r="582" customFormat="1" s="121"/>
    <row r="583" customFormat="1" s="121"/>
    <row r="584" customFormat="1" s="121"/>
    <row r="585" customFormat="1" s="121"/>
    <row r="586" customFormat="1" s="121"/>
    <row r="587" customFormat="1" s="121"/>
    <row r="588" customFormat="1" s="121"/>
    <row r="589" customFormat="1" s="121"/>
    <row r="590" customFormat="1" s="121"/>
    <row r="591" customFormat="1" s="121"/>
    <row r="592" customFormat="1" s="121"/>
    <row r="593" customFormat="1" s="121"/>
    <row r="594" customFormat="1" s="121"/>
    <row r="595" customFormat="1" s="121"/>
    <row r="596" customFormat="1" s="121"/>
    <row r="597" customFormat="1" s="121"/>
    <row r="598" customFormat="1" s="121"/>
    <row r="599" customFormat="1" s="121"/>
    <row r="600" customFormat="1" s="121"/>
    <row r="601" customFormat="1" s="121"/>
    <row r="602" customFormat="1" s="121"/>
    <row r="603" customFormat="1" s="121"/>
    <row r="604" customFormat="1" s="121"/>
    <row r="605" customFormat="1" s="121"/>
    <row r="606" customFormat="1" s="121"/>
    <row r="607" customFormat="1" s="121"/>
    <row r="608" customFormat="1" s="121"/>
    <row r="609" customFormat="1" s="121"/>
    <row r="610" customFormat="1" s="121"/>
    <row r="611" customFormat="1" s="121"/>
    <row r="612" customFormat="1" s="121"/>
    <row r="613" customFormat="1" s="121"/>
    <row r="614" customFormat="1" s="121"/>
    <row r="615" customFormat="1" s="121"/>
    <row r="616" customFormat="1" s="121"/>
    <row r="617" customFormat="1" s="121"/>
    <row r="618" customFormat="1" s="121"/>
    <row r="619" customFormat="1" s="121"/>
    <row r="620" customFormat="1" s="121"/>
    <row r="621" customFormat="1" s="121"/>
    <row r="622" customFormat="1" s="121"/>
    <row r="623" customFormat="1" s="121"/>
    <row r="624" customFormat="1" s="121"/>
    <row r="625" customFormat="1" s="121"/>
    <row r="626" customFormat="1" s="121"/>
    <row r="627" customFormat="1" s="121"/>
    <row r="628" customFormat="1" s="121"/>
    <row r="629" customFormat="1" s="121"/>
    <row r="630" customFormat="1" s="121"/>
    <row r="631" customFormat="1" s="121"/>
    <row r="632" customFormat="1" s="121"/>
    <row r="633">
      <c r="A633" s="121" t="n"/>
      <c r="B633" s="121" t="n"/>
      <c r="C633" s="121" t="n"/>
      <c r="D633" s="121" t="n"/>
    </row>
    <row r="634">
      <c r="A634" s="121" t="n"/>
      <c r="B634" s="121" t="n"/>
      <c r="C634" s="121" t="n"/>
      <c r="D634" s="121" t="n"/>
    </row>
    <row r="635">
      <c r="A635" s="121" t="n"/>
      <c r="B635" s="121" t="n"/>
      <c r="C635" s="121" t="n"/>
      <c r="D635" s="121" t="n"/>
    </row>
    <row r="636">
      <c r="A636" s="121" t="n"/>
      <c r="B636" s="121" t="n"/>
      <c r="C636" s="121" t="n"/>
      <c r="D636" s="121" t="n"/>
    </row>
    <row r="637">
      <c r="A637" s="121" t="n"/>
      <c r="B637" s="121" t="n"/>
      <c r="C637" s="121" t="n"/>
      <c r="D637" s="121" t="n"/>
    </row>
    <row r="638">
      <c r="A638" s="121" t="n"/>
      <c r="B638" s="121" t="n"/>
      <c r="C638" s="121" t="n"/>
      <c r="D638" s="121" t="n"/>
    </row>
    <row r="639">
      <c r="A639" s="121" t="n"/>
      <c r="B639" s="121" t="n"/>
      <c r="C639" s="121" t="n"/>
      <c r="D639" s="121" t="n"/>
    </row>
    <row r="640">
      <c r="A640" s="121" t="n"/>
      <c r="B640" s="121" t="n"/>
      <c r="C640" s="121" t="n"/>
      <c r="D640" s="121" t="n"/>
    </row>
    <row r="641">
      <c r="A641" s="121" t="n"/>
      <c r="B641" s="121" t="n"/>
      <c r="C641" s="121" t="n"/>
      <c r="D641" s="121" t="n"/>
    </row>
    <row r="642">
      <c r="A642" s="121" t="n"/>
      <c r="B642" s="121" t="n"/>
      <c r="C642" s="121" t="n"/>
      <c r="D642" s="121" t="n"/>
    </row>
    <row r="643">
      <c r="A643" s="121" t="n"/>
      <c r="B643" s="121" t="n"/>
      <c r="C643" s="121" t="n"/>
      <c r="D643" s="121" t="n"/>
    </row>
    <row r="644">
      <c r="A644" s="121" t="n"/>
      <c r="B644" s="121" t="n"/>
      <c r="C644" s="121" t="n"/>
      <c r="D644" s="121" t="n"/>
    </row>
    <row r="645">
      <c r="A645" s="121" t="n"/>
      <c r="B645" s="121" t="n"/>
      <c r="C645" s="121" t="n"/>
      <c r="D645" s="121" t="n"/>
    </row>
    <row r="646">
      <c r="A646" s="121" t="n"/>
      <c r="B646" s="121" t="n"/>
      <c r="C646" s="121" t="n"/>
      <c r="D646" s="121" t="n"/>
    </row>
    <row r="647">
      <c r="A647" s="121" t="n"/>
      <c r="B647" s="121" t="n"/>
      <c r="C647" s="121" t="n"/>
      <c r="D647" s="121" t="n"/>
    </row>
    <row r="648">
      <c r="A648" s="121" t="n"/>
      <c r="B648" s="121" t="n"/>
      <c r="C648" s="121" t="n"/>
      <c r="D648" s="121" t="n"/>
    </row>
    <row r="649">
      <c r="A649" s="121" t="n"/>
      <c r="B649" s="121" t="n"/>
      <c r="C649" s="121" t="n"/>
      <c r="D649" s="121" t="n"/>
    </row>
    <row r="650">
      <c r="A650" s="121" t="n"/>
      <c r="B650" s="121" t="n"/>
      <c r="C650" s="121" t="n"/>
      <c r="D650" s="121" t="n"/>
    </row>
    <row r="651">
      <c r="A651" s="121" t="n"/>
      <c r="B651" s="121" t="n"/>
      <c r="C651" s="121" t="n"/>
      <c r="D651" s="121" t="n"/>
    </row>
    <row r="652">
      <c r="A652" s="121" t="n"/>
      <c r="B652" s="121" t="n"/>
      <c r="C652" s="121" t="n"/>
      <c r="D652" s="121" t="n"/>
    </row>
    <row r="653">
      <c r="A653" s="121" t="n"/>
      <c r="B653" s="121" t="n"/>
      <c r="C653" s="121" t="n"/>
      <c r="D653" s="121" t="n"/>
    </row>
    <row r="654">
      <c r="A654" s="121" t="n"/>
      <c r="B654" s="121" t="n"/>
      <c r="C654" s="121" t="n"/>
      <c r="D654" s="121" t="n"/>
    </row>
    <row r="655">
      <c r="A655" s="121" t="n"/>
      <c r="B655" s="121" t="n"/>
      <c r="C655" s="121" t="n"/>
      <c r="D655" s="121" t="n"/>
    </row>
    <row r="656">
      <c r="A656" s="121" t="n"/>
      <c r="B656" s="121" t="n"/>
      <c r="C656" s="121" t="n"/>
      <c r="D656" s="121" t="n"/>
    </row>
    <row r="657">
      <c r="A657" s="121" t="n"/>
      <c r="B657" s="121" t="n"/>
      <c r="C657" s="121" t="n"/>
      <c r="D657" s="121" t="n"/>
    </row>
    <row r="658">
      <c r="A658" s="121" t="n"/>
      <c r="B658" s="121" t="n"/>
      <c r="C658" s="121" t="n"/>
      <c r="D658" s="121" t="n"/>
    </row>
    <row r="659">
      <c r="A659" s="121" t="n"/>
      <c r="B659" s="121" t="n"/>
      <c r="C659" s="121" t="n"/>
      <c r="D659" s="121" t="n"/>
    </row>
    <row r="660">
      <c r="A660" s="121" t="n"/>
      <c r="B660" s="121" t="n"/>
      <c r="C660" s="121" t="n"/>
      <c r="D660" s="121" t="n"/>
    </row>
    <row r="661">
      <c r="A661" s="121" t="n"/>
      <c r="B661" s="121" t="n"/>
      <c r="C661" s="121" t="n"/>
      <c r="D661" s="121" t="n"/>
    </row>
    <row r="662">
      <c r="A662" s="121" t="n"/>
      <c r="B662" s="121" t="n"/>
      <c r="C662" s="121" t="n"/>
      <c r="D662" s="121" t="n"/>
    </row>
    <row r="663">
      <c r="A663" s="121" t="n"/>
      <c r="B663" s="121" t="n"/>
      <c r="C663" s="121" t="n"/>
      <c r="D663" s="121" t="n"/>
    </row>
    <row r="664">
      <c r="A664" s="121" t="n"/>
      <c r="B664" s="121" t="n"/>
      <c r="C664" s="121" t="n"/>
      <c r="D664" s="121" t="n"/>
    </row>
    <row r="665">
      <c r="A665" s="121" t="n"/>
      <c r="B665" s="121" t="n"/>
      <c r="C665" s="121" t="n"/>
      <c r="D665" s="121" t="n"/>
    </row>
    <row r="666">
      <c r="A666" s="121" t="n"/>
      <c r="B666" s="121" t="n"/>
      <c r="C666" s="121" t="n"/>
      <c r="D666" s="121" t="n"/>
    </row>
    <row r="667">
      <c r="A667" s="121" t="n"/>
      <c r="B667" s="121" t="n"/>
      <c r="C667" s="121" t="n"/>
      <c r="D667" s="121" t="n"/>
    </row>
    <row r="668">
      <c r="A668" s="121" t="n"/>
      <c r="B668" s="121" t="n"/>
      <c r="C668" s="121" t="n"/>
      <c r="D668" s="121" t="n"/>
    </row>
    <row r="669">
      <c r="A669" s="121" t="n"/>
      <c r="B669" s="121" t="n"/>
      <c r="C669" s="121" t="n"/>
      <c r="D669" s="121" t="n"/>
    </row>
    <row r="670">
      <c r="A670" s="121" t="n"/>
      <c r="B670" s="121" t="n"/>
      <c r="C670" s="121" t="n"/>
      <c r="D670" s="121" t="n"/>
    </row>
    <row r="671">
      <c r="A671" s="121" t="n"/>
      <c r="B671" s="121" t="n"/>
      <c r="C671" s="121" t="n"/>
      <c r="D671" s="121" t="n"/>
    </row>
    <row r="672">
      <c r="A672" s="121" t="n"/>
      <c r="B672" s="121" t="n"/>
      <c r="C672" s="121" t="n"/>
      <c r="D672" s="121" t="n"/>
    </row>
    <row r="673">
      <c r="A673" s="121" t="n"/>
      <c r="B673" s="121" t="n"/>
      <c r="C673" s="121" t="n"/>
      <c r="D673" s="121" t="n"/>
    </row>
    <row r="674">
      <c r="A674" s="121" t="n"/>
      <c r="B674" s="121" t="n"/>
      <c r="C674" s="121" t="n"/>
      <c r="D674" s="121" t="n"/>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49"/>
  <sheetViews>
    <sheetView zoomScale="150" zoomScaleNormal="150" workbookViewId="0">
      <pane ySplit="6" topLeftCell="A362" activePane="bottomLeft" state="frozen"/>
      <selection pane="bottomLeft" activeCell="D384" sqref="D384"/>
    </sheetView>
  </sheetViews>
  <sheetFormatPr baseColWidth="8" defaultColWidth="8.81640625" defaultRowHeight="14.5"/>
  <cols>
    <col width="14" customWidth="1" style="2" min="1" max="1"/>
    <col width="21.36328125" customWidth="1" style="16" min="2" max="2"/>
    <col width="21.36328125" customWidth="1" style="2" min="3" max="4"/>
    <col width="9.1796875" customWidth="1" style="121" min="5" max="140"/>
  </cols>
  <sheetData>
    <row r="1" customFormat="1" s="121">
      <c r="A1" s="27" t="inlineStr">
        <is>
          <t>RSAFS</t>
        </is>
      </c>
      <c r="B1" s="25" t="inlineStr">
        <is>
          <t>Retail and Food Services Sales (RSAFS), Millions of Dollars, Monthly, Seasonally Adjusted</t>
        </is>
      </c>
      <c r="C1" s="54" t="n"/>
      <c r="D1" s="54" t="n"/>
    </row>
    <row r="2" customFormat="1" s="121">
      <c r="A2" s="9" t="inlineStr">
        <is>
          <t>https://fred.stlouisfed.org/series/RSAFS</t>
        </is>
      </c>
      <c r="B2" s="14" t="n"/>
      <c r="C2" s="54" t="n"/>
      <c r="D2" s="54" t="n"/>
    </row>
    <row r="3" customFormat="1" s="121">
      <c r="A3" s="9" t="n"/>
      <c r="B3" s="14" t="n"/>
      <c r="C3" s="54" t="n"/>
      <c r="D3" s="54" t="n"/>
    </row>
    <row r="4" customFormat="1" s="121">
      <c r="A4" s="9" t="n"/>
      <c r="B4" s="14" t="n"/>
      <c r="C4" s="54" t="n"/>
      <c r="D4" s="54" t="n"/>
    </row>
    <row r="5" ht="16" customFormat="1" customHeight="1" s="121" thickBot="1">
      <c r="A5" s="54" t="n"/>
      <c r="B5" s="14" t="n"/>
      <c r="C5" s="54" t="n"/>
      <c r="D5" s="54" t="n"/>
    </row>
    <row r="6" ht="33" customHeight="1"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21">
      <c r="A338" s="11" t="n">
        <v>43678</v>
      </c>
      <c r="B338" s="15">
        <f>VLOOKUP(A338,Database!A:K,MATCH('Retail Sales'!$A$1,Database!$A$1:$K$1,),)</f>
        <v/>
      </c>
      <c r="C338" s="12">
        <f>(B338-B337)/B337</f>
        <v/>
      </c>
      <c r="D338" s="13">
        <f>(B338-B326)/B326</f>
        <v/>
      </c>
    </row>
    <row r="339" customFormat="1" s="121">
      <c r="A339" s="10" t="n">
        <v>43709</v>
      </c>
      <c r="B339" s="15">
        <f>VLOOKUP(A339,Database!A:K,MATCH('Retail Sales'!$A$1,Database!$A$1:$K$1,),)</f>
        <v/>
      </c>
      <c r="C339" s="12">
        <f>(B339-B338)/B338</f>
        <v/>
      </c>
      <c r="D339" s="13">
        <f>(B339-B327)/B327</f>
        <v/>
      </c>
    </row>
    <row r="340" customFormat="1" s="121">
      <c r="A340" s="11" t="n">
        <v>43739</v>
      </c>
      <c r="B340" s="15">
        <f>VLOOKUP(A340,Database!A:K,MATCH('Retail Sales'!$A$1,Database!$A$1:$K$1,),)</f>
        <v/>
      </c>
      <c r="C340" s="12">
        <f>(B340-B339)/B339</f>
        <v/>
      </c>
      <c r="D340" s="13">
        <f>(B340-B328)/B328</f>
        <v/>
      </c>
    </row>
    <row r="341" customFormat="1" s="121">
      <c r="A341" s="10" t="n">
        <v>43770</v>
      </c>
      <c r="B341" s="15">
        <f>VLOOKUP(A341,Database!A:K,MATCH('Retail Sales'!$A$1,Database!$A$1:$K$1,),)</f>
        <v/>
      </c>
      <c r="C341" s="12">
        <f>(B341-B340)/B340</f>
        <v/>
      </c>
      <c r="D341" s="13">
        <f>(B341-B329)/B329</f>
        <v/>
      </c>
    </row>
    <row r="342" customFormat="1" s="121">
      <c r="A342" s="11" t="n">
        <v>43800</v>
      </c>
      <c r="B342" s="15">
        <f>VLOOKUP(A342,Database!A:K,MATCH('Retail Sales'!$A$1,Database!$A$1:$K$1,),)</f>
        <v/>
      </c>
      <c r="C342" s="12">
        <f>(B342-B341)/B341</f>
        <v/>
      </c>
      <c r="D342" s="13">
        <f>(B342-B330)/B330</f>
        <v/>
      </c>
    </row>
    <row r="343" customFormat="1" s="121">
      <c r="A343" s="10" t="n">
        <v>43831</v>
      </c>
      <c r="B343" s="15">
        <f>VLOOKUP(A343,Database!A:K,MATCH('Retail Sales'!$A$1,Database!$A$1:$K$1,),)</f>
        <v/>
      </c>
      <c r="C343" s="12">
        <f>(B343-B342)/B342</f>
        <v/>
      </c>
      <c r="D343" s="13">
        <f>(B343-B331)/B331</f>
        <v/>
      </c>
    </row>
    <row r="344" customFormat="1" s="121">
      <c r="A344" s="11" t="n">
        <v>43862</v>
      </c>
      <c r="B344" s="15">
        <f>VLOOKUP(A344,Database!A:K,MATCH('Retail Sales'!$A$1,Database!$A$1:$K$1,),)</f>
        <v/>
      </c>
      <c r="C344" s="12">
        <f>(B344-B343)/B343</f>
        <v/>
      </c>
      <c r="D344" s="13">
        <f>(B344-B332)/B332</f>
        <v/>
      </c>
    </row>
    <row r="345" customFormat="1" s="121">
      <c r="A345" s="10" t="n">
        <v>43891</v>
      </c>
      <c r="B345" s="15">
        <f>VLOOKUP(A345,Database!A:K,MATCH('Retail Sales'!$A$1,Database!$A$1:$K$1,),)</f>
        <v/>
      </c>
      <c r="C345" s="12">
        <f>(B345-B344)/B344</f>
        <v/>
      </c>
      <c r="D345" s="13">
        <f>(B345-B333)/B333</f>
        <v/>
      </c>
    </row>
    <row r="346" customFormat="1" s="121">
      <c r="A346" s="11" t="n">
        <v>43922</v>
      </c>
      <c r="B346" s="15">
        <f>VLOOKUP(A346,Database!A:K,MATCH('Retail Sales'!$A$1,Database!$A$1:$K$1,),)</f>
        <v/>
      </c>
      <c r="C346" s="12">
        <f>(B346-B345)/B345</f>
        <v/>
      </c>
      <c r="D346" s="13">
        <f>(B346-B334)/B334</f>
        <v/>
      </c>
    </row>
    <row r="347" customFormat="1" s="121">
      <c r="A347" s="10" t="n">
        <v>43952</v>
      </c>
      <c r="B347" s="15">
        <f>VLOOKUP(A347,Database!A:K,MATCH('Retail Sales'!$A$1,Database!$A$1:$K$1,),)</f>
        <v/>
      </c>
      <c r="C347" s="12">
        <f>(B347-B346)/B346</f>
        <v/>
      </c>
      <c r="D347" s="13">
        <f>(B347-B335)/B335</f>
        <v/>
      </c>
    </row>
    <row r="348" customFormat="1" s="121">
      <c r="A348" s="11" t="n">
        <v>43983</v>
      </c>
      <c r="B348" s="15">
        <f>VLOOKUP(A348,Database!A:K,MATCH('Retail Sales'!$A$1,Database!$A$1:$K$1,),)</f>
        <v/>
      </c>
      <c r="C348" s="12">
        <f>(B348-B347)/B347</f>
        <v/>
      </c>
      <c r="D348" s="13">
        <f>(B348-B336)/B336</f>
        <v/>
      </c>
    </row>
    <row r="349" customFormat="1" s="121">
      <c r="A349" s="10" t="n">
        <v>44013</v>
      </c>
      <c r="B349" s="15">
        <f>VLOOKUP(A349,Database!A:K,MATCH('Retail Sales'!$A$1,Database!$A$1:$K$1,),)</f>
        <v/>
      </c>
      <c r="C349" s="12">
        <f>(B349-B348)/B348</f>
        <v/>
      </c>
      <c r="D349" s="13">
        <f>(B349-B337)/B337</f>
        <v/>
      </c>
    </row>
    <row r="350" customFormat="1" s="121">
      <c r="A350" s="11" t="n">
        <v>44044</v>
      </c>
      <c r="B350" s="15">
        <f>VLOOKUP(A350,Database!A:K,MATCH('Retail Sales'!$A$1,Database!$A$1:$K$1,),)</f>
        <v/>
      </c>
      <c r="C350" s="12">
        <f>(B350-B349)/B349</f>
        <v/>
      </c>
      <c r="D350" s="13">
        <f>(B350-B338)/B338</f>
        <v/>
      </c>
    </row>
    <row r="351" customFormat="1" s="121">
      <c r="A351" s="10" t="n">
        <v>44075</v>
      </c>
      <c r="B351" s="15">
        <f>VLOOKUP(A351,Database!A:K,MATCH('Retail Sales'!$A$1,Database!$A$1:$K$1,),)</f>
        <v/>
      </c>
      <c r="C351" s="12">
        <f>(B351-B350)/B350</f>
        <v/>
      </c>
      <c r="D351" s="13">
        <f>(B351-B339)/B339</f>
        <v/>
      </c>
    </row>
    <row r="352" customFormat="1" s="121">
      <c r="A352" s="11" t="n">
        <v>44105</v>
      </c>
      <c r="B352" s="15">
        <f>VLOOKUP(A352,Database!A:K,MATCH('Retail Sales'!$A$1,Database!$A$1:$K$1,),)</f>
        <v/>
      </c>
      <c r="C352" s="12">
        <f>(B352-B351)/B351</f>
        <v/>
      </c>
      <c r="D352" s="13">
        <f>(B352-B340)/B340</f>
        <v/>
      </c>
    </row>
    <row r="353" customFormat="1" s="121">
      <c r="A353" s="10" t="n">
        <v>44136</v>
      </c>
      <c r="B353" s="15">
        <f>VLOOKUP(A353,Database!A:K,MATCH('Retail Sales'!$A$1,Database!$A$1:$K$1,),)</f>
        <v/>
      </c>
      <c r="C353" s="12">
        <f>(B353-B352)/B352</f>
        <v/>
      </c>
      <c r="D353" s="13">
        <f>(B353-B341)/B341</f>
        <v/>
      </c>
    </row>
    <row r="354" customFormat="1" s="121">
      <c r="A354" s="11" t="n">
        <v>44166</v>
      </c>
      <c r="B354" s="15">
        <f>VLOOKUP(A354,Database!A:K,MATCH('Retail Sales'!$A$1,Database!$A$1:$K$1,),)</f>
        <v/>
      </c>
      <c r="C354" s="12">
        <f>(B354-B353)/B353</f>
        <v/>
      </c>
      <c r="D354" s="13">
        <f>(B354-B342)/B342</f>
        <v/>
      </c>
    </row>
    <row r="355" customFormat="1" s="121">
      <c r="A355" s="10" t="n">
        <v>44197</v>
      </c>
      <c r="B355" s="15">
        <f>VLOOKUP(A355,Database!A:K,MATCH('Retail Sales'!$A$1,Database!$A$1:$K$1,),)</f>
        <v/>
      </c>
      <c r="C355" s="12">
        <f>(B355-B354)/B354</f>
        <v/>
      </c>
      <c r="D355" s="13">
        <f>(B355-B343)/B343</f>
        <v/>
      </c>
    </row>
    <row r="356" customFormat="1" s="121">
      <c r="A356" s="11" t="n">
        <v>44228</v>
      </c>
      <c r="B356" s="15">
        <f>VLOOKUP(A356,Database!A:K,MATCH('Retail Sales'!$A$1,Database!$A$1:$K$1,),)</f>
        <v/>
      </c>
      <c r="C356" s="12">
        <f>(B356-B355)/B355</f>
        <v/>
      </c>
      <c r="D356" s="13">
        <f>(B356-B344)/B344</f>
        <v/>
      </c>
    </row>
    <row r="357" customFormat="1" s="121">
      <c r="A357" s="10" t="n">
        <v>44256</v>
      </c>
      <c r="B357" s="15">
        <f>VLOOKUP(A357,Database!A:K,MATCH('Retail Sales'!$A$1,Database!$A$1:$K$1,),)</f>
        <v/>
      </c>
      <c r="C357" s="12">
        <f>(B357-B356)/B356</f>
        <v/>
      </c>
      <c r="D357" s="13">
        <f>(B357-B345)/B345</f>
        <v/>
      </c>
    </row>
    <row r="358" customFormat="1" s="121">
      <c r="A358" s="11" t="n">
        <v>44287</v>
      </c>
      <c r="B358" s="15">
        <f>VLOOKUP(A358,Database!A:K,MATCH('Retail Sales'!$A$1,Database!$A$1:$K$1,),)</f>
        <v/>
      </c>
      <c r="C358" s="12">
        <f>(B358-B357)/B357</f>
        <v/>
      </c>
      <c r="D358" s="13">
        <f>(B358-B346)/B346</f>
        <v/>
      </c>
    </row>
    <row r="359" customFormat="1" s="121">
      <c r="A359" s="10" t="n">
        <v>44317</v>
      </c>
      <c r="B359" s="15">
        <f>VLOOKUP(A359,Database!A:K,MATCH('Retail Sales'!$A$1,Database!$A$1:$K$1,),)</f>
        <v/>
      </c>
      <c r="C359" s="12">
        <f>(B359-B358)/B358</f>
        <v/>
      </c>
      <c r="D359" s="13">
        <f>(B359-B347)/B347</f>
        <v/>
      </c>
    </row>
    <row r="360" customFormat="1" s="121">
      <c r="A360" s="11" t="n">
        <v>44348</v>
      </c>
      <c r="B360" s="15">
        <f>VLOOKUP(A360,Database!A:K,MATCH('Retail Sales'!$A$1,Database!$A$1:$K$1,),)</f>
        <v/>
      </c>
      <c r="C360" s="12">
        <f>(B360-B359)/B359</f>
        <v/>
      </c>
      <c r="D360" s="13">
        <f>(B360-B348)/B348</f>
        <v/>
      </c>
    </row>
    <row r="361" customFormat="1" s="121">
      <c r="A361" s="10" t="n">
        <v>44378</v>
      </c>
      <c r="B361" s="15">
        <f>VLOOKUP(A361,Database!A:K,MATCH('Retail Sales'!$A$1,Database!$A$1:$K$1,),)</f>
        <v/>
      </c>
      <c r="C361" s="12">
        <f>(B361-B360)/B360</f>
        <v/>
      </c>
      <c r="D361" s="13">
        <f>(B361-B349)/B349</f>
        <v/>
      </c>
    </row>
    <row r="362" customFormat="1" s="121">
      <c r="A362" s="11" t="n">
        <v>44409</v>
      </c>
      <c r="B362" s="15">
        <f>VLOOKUP(A362,Database!A:K,MATCH('Retail Sales'!$A$1,Database!$A$1:$K$1,),)</f>
        <v/>
      </c>
      <c r="C362" s="12">
        <f>(B362-B361)/B361</f>
        <v/>
      </c>
      <c r="D362" s="13">
        <f>(B362-B350)/B350</f>
        <v/>
      </c>
    </row>
    <row r="363" customFormat="1" s="121">
      <c r="A363" s="11" t="n">
        <v>44440</v>
      </c>
      <c r="B363" s="15">
        <f>VLOOKUP(A363,Database!A:K,MATCH('Retail Sales'!$A$1,Database!$A$1:$K$1,),)</f>
        <v/>
      </c>
      <c r="C363" s="12">
        <f>(B363-B362)/B362</f>
        <v/>
      </c>
      <c r="D363" s="13">
        <f>(B363-B351)/B351</f>
        <v/>
      </c>
    </row>
    <row r="364" customFormat="1" s="121">
      <c r="A364" s="10" t="n">
        <v>44470</v>
      </c>
      <c r="B364" s="15">
        <f>VLOOKUP(A364,Database!A:K,MATCH('Retail Sales'!$A$1,Database!$A$1:$K$1,),)</f>
        <v/>
      </c>
      <c r="C364" s="12">
        <f>(B364-B363)/B363</f>
        <v/>
      </c>
      <c r="D364" s="13">
        <f>(B364-B352)/B352</f>
        <v/>
      </c>
    </row>
    <row r="365" customFormat="1" s="121">
      <c r="A365" s="11" t="n">
        <v>44501</v>
      </c>
      <c r="B365" s="15">
        <f>VLOOKUP(A365,Database!A:K,MATCH('Retail Sales'!$A$1,Database!$A$1:$K$1,),)</f>
        <v/>
      </c>
      <c r="C365" s="12">
        <f>(B365-B364)/B364</f>
        <v/>
      </c>
      <c r="D365" s="13">
        <f>(B365-B353)/B353</f>
        <v/>
      </c>
    </row>
    <row r="366" customFormat="1" s="121">
      <c r="A366" s="11" t="n">
        <v>44531</v>
      </c>
      <c r="B366" s="15">
        <f>VLOOKUP(A366,Database!A:K,MATCH('Retail Sales'!$A$1,Database!$A$1:$K$1,),)</f>
        <v/>
      </c>
      <c r="C366" s="12">
        <f>(B366-B365)/B365</f>
        <v/>
      </c>
      <c r="D366" s="13">
        <f>(B366-B354)/B354</f>
        <v/>
      </c>
    </row>
    <row r="367" customFormat="1" s="121">
      <c r="A367" s="11" t="n">
        <v>44562</v>
      </c>
      <c r="B367" s="15">
        <f>VLOOKUP(A367,Database!A:K,MATCH('Retail Sales'!$A$1,Database!$A$1:$K$1,),)</f>
        <v/>
      </c>
      <c r="C367" s="12">
        <f>(B367-B366)/B366</f>
        <v/>
      </c>
      <c r="D367" s="13">
        <f>(B367-B355)/B355</f>
        <v/>
      </c>
    </row>
    <row r="368" customFormat="1" s="121">
      <c r="A368" s="10" t="n">
        <v>44593</v>
      </c>
      <c r="B368" s="15">
        <f>VLOOKUP(A368,Database!A:K,MATCH('Retail Sales'!$A$1,Database!$A$1:$K$1,),)</f>
        <v/>
      </c>
      <c r="C368" s="12">
        <f>(B368-B367)/B367</f>
        <v/>
      </c>
      <c r="D368" s="13">
        <f>(B368-B356)/B356</f>
        <v/>
      </c>
    </row>
    <row r="369" customFormat="1" s="121">
      <c r="A369" s="11" t="n">
        <v>44621</v>
      </c>
      <c r="B369" s="15">
        <f>VLOOKUP(A369,Database!A:K,MATCH('Retail Sales'!$A$1,Database!$A$1:$K$1,),)</f>
        <v/>
      </c>
      <c r="C369" s="12">
        <f>(B369-B368)/B368</f>
        <v/>
      </c>
      <c r="D369" s="13">
        <f>(B369-B357)/B357</f>
        <v/>
      </c>
    </row>
    <row r="370" customFormat="1" s="121">
      <c r="A370" s="11" t="n">
        <v>44652</v>
      </c>
      <c r="B370" s="15">
        <f>VLOOKUP(A370,Database!A:K,MATCH('Retail Sales'!$A$1,Database!$A$1:$K$1,),)</f>
        <v/>
      </c>
      <c r="C370" s="12">
        <f>(B370-B369)/B369</f>
        <v/>
      </c>
      <c r="D370" s="13">
        <f>(B370-B358)/B358</f>
        <v/>
      </c>
    </row>
    <row r="371" customFormat="1" s="121">
      <c r="A371" s="10" t="n">
        <v>44682</v>
      </c>
      <c r="B371" s="15">
        <f>VLOOKUP(A371,Database!A:K,MATCH('Retail Sales'!$A$1,Database!$A$1:$K$1,),)</f>
        <v/>
      </c>
      <c r="C371" s="12">
        <f>(B371-B370)/B370</f>
        <v/>
      </c>
      <c r="D371" s="13">
        <f>(B371-B359)/B359</f>
        <v/>
      </c>
    </row>
    <row r="372" customFormat="1" s="121">
      <c r="A372" s="11" t="n">
        <v>44713</v>
      </c>
      <c r="B372" s="15">
        <f>VLOOKUP(A372,Database!A:K,MATCH('Retail Sales'!$A$1,Database!$A$1:$K$1,),)</f>
        <v/>
      </c>
      <c r="C372" s="12">
        <f>(B372-B371)/B371</f>
        <v/>
      </c>
      <c r="D372" s="13">
        <f>(B372-B360)/B360</f>
        <v/>
      </c>
    </row>
    <row r="373" customFormat="1" s="121">
      <c r="A373" s="11" t="n">
        <v>44743</v>
      </c>
      <c r="B373" s="15">
        <f>VLOOKUP(A373,Database!A:K,MATCH('Retail Sales'!$A$1,Database!$A$1:$K$1,),)</f>
        <v/>
      </c>
      <c r="C373" s="12">
        <f>(B373-B372)/B372</f>
        <v/>
      </c>
      <c r="D373" s="13">
        <f>(B373-B361)/B361</f>
        <v/>
      </c>
    </row>
    <row r="374" customFormat="1" s="121">
      <c r="A374" s="10" t="n">
        <v>44774</v>
      </c>
      <c r="B374" s="15">
        <f>VLOOKUP(A374,Database!A:K,MATCH('Retail Sales'!$A$1,Database!$A$1:$K$1,),)</f>
        <v/>
      </c>
      <c r="C374" s="12">
        <f>(B374-B373)/B373</f>
        <v/>
      </c>
      <c r="D374" s="13">
        <f>(B374-B362)/B362</f>
        <v/>
      </c>
    </row>
    <row r="375" customFormat="1" s="121">
      <c r="A375" s="10" t="n">
        <v>44805</v>
      </c>
      <c r="B375" s="15">
        <f>VLOOKUP(A375,Database!A:K,MATCH('Retail Sales'!$A$1,Database!$A$1:$K$1,),)</f>
        <v/>
      </c>
      <c r="C375" s="12">
        <f>(B375-B374)/B374</f>
        <v/>
      </c>
      <c r="D375" s="13">
        <f>(B375-B363)/B363</f>
        <v/>
      </c>
    </row>
    <row r="376" customFormat="1" s="121">
      <c r="A376" s="10" t="n">
        <v>44835</v>
      </c>
      <c r="B376" s="15">
        <f>VLOOKUP(A376,Database!A:K,MATCH('Retail Sales'!$A$1,Database!$A$1:$K$1,),)</f>
        <v/>
      </c>
      <c r="C376" s="12">
        <f>(B376-B375)/B375</f>
        <v/>
      </c>
      <c r="D376" s="13">
        <f>(B376-B364)/B364</f>
        <v/>
      </c>
    </row>
    <row r="377" customFormat="1" s="121">
      <c r="A377" s="10" t="n">
        <v>44866</v>
      </c>
      <c r="B377" s="15">
        <f>VLOOKUP(A377,Database!A:K,MATCH('Retail Sales'!$A$1,Database!$A$1:$K$1,),)</f>
        <v/>
      </c>
      <c r="C377" s="12">
        <f>(B377-B376)/B376</f>
        <v/>
      </c>
      <c r="D377" s="13">
        <f>(B377-B365)/B365</f>
        <v/>
      </c>
    </row>
    <row r="378" customFormat="1" s="121">
      <c r="A378" s="54" t="n"/>
      <c r="B378" s="14" t="n"/>
      <c r="C378" s="54" t="n"/>
      <c r="D378" s="54" t="n"/>
    </row>
    <row r="379" customFormat="1" s="121">
      <c r="A379" s="54" t="n"/>
      <c r="B379" s="14" t="n"/>
      <c r="C379" s="54" t="n"/>
      <c r="D379" s="54" t="n"/>
    </row>
    <row r="380" customFormat="1" s="121">
      <c r="A380" s="54" t="n"/>
      <c r="B380" s="14" t="n"/>
      <c r="C380" s="54" t="n"/>
      <c r="D380" s="54" t="n"/>
    </row>
    <row r="381" customFormat="1" s="121">
      <c r="A381" s="54" t="n"/>
      <c r="B381" s="14" t="n"/>
      <c r="C381" s="54" t="n"/>
      <c r="D381" s="54" t="n"/>
    </row>
    <row r="382" customFormat="1" s="121">
      <c r="A382" s="54" t="n"/>
      <c r="B382" s="14" t="n"/>
      <c r="C382" s="54" t="n"/>
      <c r="D382" s="54" t="n"/>
    </row>
    <row r="383" customFormat="1" s="121">
      <c r="A383" s="54" t="n"/>
      <c r="B383" s="14" t="n"/>
      <c r="C383" s="54" t="n"/>
      <c r="D383" s="54" t="n"/>
    </row>
    <row r="384" customFormat="1" s="121">
      <c r="A384" s="54" t="n"/>
      <c r="B384" s="14" t="n"/>
      <c r="C384" s="54" t="n"/>
      <c r="D384" s="54" t="n"/>
    </row>
    <row r="385" customFormat="1" s="121">
      <c r="A385" s="54" t="n"/>
      <c r="B385" s="14" t="n"/>
      <c r="C385" s="54" t="n"/>
      <c r="D385" s="54" t="n"/>
    </row>
    <row r="386" customFormat="1" s="121">
      <c r="A386" s="54" t="n"/>
      <c r="B386" s="14" t="n"/>
      <c r="C386" s="54" t="n"/>
      <c r="D386" s="54" t="n"/>
    </row>
    <row r="387" customFormat="1" s="121">
      <c r="A387" s="54" t="n"/>
      <c r="B387" s="14" t="n"/>
      <c r="C387" s="54" t="n"/>
      <c r="D387" s="54" t="n"/>
    </row>
    <row r="388" customFormat="1" s="121">
      <c r="A388" s="54" t="n"/>
      <c r="B388" s="14" t="n"/>
      <c r="C388" s="54" t="n"/>
      <c r="D388" s="54" t="n"/>
    </row>
    <row r="389" customFormat="1" s="121">
      <c r="A389" s="54" t="n"/>
      <c r="B389" s="14" t="n"/>
      <c r="C389" s="54" t="n"/>
      <c r="D389" s="54" t="n"/>
    </row>
    <row r="390" customFormat="1" s="121">
      <c r="A390" s="54" t="n"/>
      <c r="B390" s="14" t="n"/>
      <c r="C390" s="54" t="n"/>
      <c r="D390" s="54" t="n"/>
    </row>
    <row r="391" customFormat="1" s="121">
      <c r="A391" s="54" t="n"/>
      <c r="B391" s="14" t="n"/>
      <c r="C391" s="54" t="n"/>
      <c r="D391" s="54" t="n"/>
    </row>
    <row r="392" customFormat="1" s="121">
      <c r="A392" s="54" t="n"/>
      <c r="B392" s="14" t="n"/>
      <c r="C392" s="54" t="n"/>
      <c r="D392" s="54" t="n"/>
    </row>
    <row r="393" customFormat="1" s="121">
      <c r="A393" s="54" t="n"/>
      <c r="B393" s="14" t="n"/>
      <c r="C393" s="54" t="n"/>
      <c r="D393" s="54" t="n"/>
    </row>
    <row r="394" customFormat="1" s="121">
      <c r="A394" s="54" t="n"/>
      <c r="B394" s="14" t="n"/>
      <c r="C394" s="54" t="n"/>
      <c r="D394" s="54" t="n"/>
    </row>
    <row r="395" customFormat="1" s="121">
      <c r="A395" s="54" t="n"/>
      <c r="B395" s="14" t="n"/>
      <c r="C395" s="54" t="n"/>
      <c r="D395" s="54" t="n"/>
    </row>
    <row r="396" customFormat="1" s="121">
      <c r="A396" s="54" t="n"/>
      <c r="B396" s="14" t="n"/>
      <c r="C396" s="54" t="n"/>
      <c r="D396" s="54" t="n"/>
    </row>
    <row r="397" customFormat="1" s="121">
      <c r="A397" s="54" t="n"/>
      <c r="B397" s="14" t="n"/>
      <c r="C397" s="54" t="n"/>
      <c r="D397" s="54" t="n"/>
    </row>
    <row r="398" customFormat="1" s="121">
      <c r="A398" s="54" t="n"/>
      <c r="B398" s="14" t="n"/>
      <c r="C398" s="54" t="n"/>
      <c r="D398" s="54" t="n"/>
    </row>
    <row r="399" customFormat="1" s="121">
      <c r="A399" s="54" t="n"/>
      <c r="B399" s="14" t="n"/>
      <c r="C399" s="54" t="n"/>
      <c r="D399" s="54" t="n"/>
    </row>
    <row r="400" customFormat="1" s="121">
      <c r="A400" s="54" t="n"/>
      <c r="B400" s="14" t="n"/>
      <c r="C400" s="54" t="n"/>
      <c r="D400" s="54" t="n"/>
    </row>
    <row r="401" customFormat="1" s="121">
      <c r="A401" s="54" t="n"/>
      <c r="B401" s="14" t="n"/>
      <c r="C401" s="54" t="n"/>
      <c r="D401" s="54" t="n"/>
    </row>
    <row r="402" customFormat="1" s="121">
      <c r="A402" s="54" t="n"/>
      <c r="B402" s="14" t="n"/>
      <c r="C402" s="54" t="n"/>
      <c r="D402" s="54" t="n"/>
    </row>
    <row r="403" customFormat="1" s="121">
      <c r="A403" s="54" t="n"/>
      <c r="B403" s="14" t="n"/>
      <c r="C403" s="54" t="n"/>
      <c r="D403" s="54" t="n"/>
    </row>
    <row r="404" customFormat="1" s="121">
      <c r="A404" s="54" t="n"/>
      <c r="B404" s="14" t="n"/>
      <c r="C404" s="54" t="n"/>
      <c r="D404" s="54" t="n"/>
    </row>
    <row r="405" customFormat="1" s="121">
      <c r="A405" s="54" t="n"/>
      <c r="B405" s="14" t="n"/>
      <c r="C405" s="54" t="n"/>
      <c r="D405" s="54" t="n"/>
    </row>
    <row r="406" customFormat="1" s="121">
      <c r="A406" s="54" t="n"/>
      <c r="B406" s="14" t="n"/>
      <c r="C406" s="54" t="n"/>
      <c r="D406" s="54" t="n"/>
    </row>
    <row r="407" customFormat="1" s="121">
      <c r="A407" s="54" t="n"/>
      <c r="B407" s="14" t="n"/>
      <c r="C407" s="54" t="n"/>
      <c r="D407" s="54" t="n"/>
    </row>
    <row r="408" customFormat="1" s="121">
      <c r="A408" s="54" t="n"/>
      <c r="B408" s="14" t="n"/>
      <c r="C408" s="54" t="n"/>
      <c r="D408" s="54" t="n"/>
    </row>
    <row r="409" customFormat="1" s="121">
      <c r="A409" s="54" t="n"/>
      <c r="B409" s="14" t="n"/>
      <c r="C409" s="54" t="n"/>
      <c r="D409" s="54" t="n"/>
    </row>
    <row r="410" customFormat="1" s="121">
      <c r="A410" s="54" t="n"/>
      <c r="B410" s="14" t="n"/>
      <c r="C410" s="54" t="n"/>
      <c r="D410" s="54" t="n"/>
    </row>
    <row r="411" customFormat="1" s="121">
      <c r="A411" s="54" t="n"/>
      <c r="B411" s="14" t="n"/>
      <c r="C411" s="54" t="n"/>
      <c r="D411" s="54" t="n"/>
    </row>
    <row r="412" customFormat="1" s="121">
      <c r="A412" s="54" t="n"/>
      <c r="B412" s="14" t="n"/>
      <c r="C412" s="54" t="n"/>
      <c r="D412" s="54" t="n"/>
    </row>
    <row r="413" customFormat="1" s="121">
      <c r="A413" s="54" t="n"/>
      <c r="B413" s="14" t="n"/>
      <c r="C413" s="54" t="n"/>
      <c r="D413" s="54" t="n"/>
    </row>
    <row r="414" customFormat="1" s="121">
      <c r="A414" s="54" t="n"/>
      <c r="B414" s="14" t="n"/>
      <c r="C414" s="54" t="n"/>
      <c r="D414" s="54" t="n"/>
    </row>
    <row r="415" customFormat="1" s="121">
      <c r="A415" s="54" t="n"/>
      <c r="B415" s="14" t="n"/>
      <c r="C415" s="54" t="n"/>
      <c r="D415" s="54" t="n"/>
    </row>
    <row r="416" customFormat="1" s="121">
      <c r="A416" s="54" t="n"/>
      <c r="B416" s="14" t="n"/>
      <c r="C416" s="54" t="n"/>
      <c r="D416" s="54" t="n"/>
    </row>
    <row r="417" customFormat="1" s="121">
      <c r="A417" s="54" t="n"/>
      <c r="B417" s="14" t="n"/>
      <c r="C417" s="54" t="n"/>
      <c r="D417" s="54" t="n"/>
    </row>
    <row r="418" customFormat="1" s="121">
      <c r="A418" s="54" t="n"/>
      <c r="B418" s="14" t="n"/>
      <c r="C418" s="54" t="n"/>
      <c r="D418" s="54" t="n"/>
    </row>
    <row r="419" customFormat="1" s="121">
      <c r="A419" s="54" t="n"/>
      <c r="B419" s="14" t="n"/>
      <c r="C419" s="54" t="n"/>
      <c r="D419" s="54" t="n"/>
    </row>
    <row r="420" customFormat="1" s="121">
      <c r="A420" s="54" t="n"/>
      <c r="B420" s="14" t="n"/>
      <c r="C420" s="54" t="n"/>
      <c r="D420" s="54" t="n"/>
    </row>
    <row r="421" customFormat="1" s="121">
      <c r="A421" s="54" t="n"/>
      <c r="B421" s="14" t="n"/>
      <c r="C421" s="54" t="n"/>
      <c r="D421" s="54" t="n"/>
    </row>
    <row r="422" customFormat="1" s="121">
      <c r="A422" s="54" t="n"/>
      <c r="B422" s="14" t="n"/>
      <c r="C422" s="54" t="n"/>
      <c r="D422" s="54" t="n"/>
    </row>
    <row r="423" customFormat="1" s="121">
      <c r="A423" s="54" t="n"/>
      <c r="B423" s="14" t="n"/>
      <c r="C423" s="54" t="n"/>
      <c r="D423" s="54" t="n"/>
    </row>
    <row r="424" customFormat="1" s="121">
      <c r="A424" s="54" t="n"/>
      <c r="B424" s="14" t="n"/>
      <c r="C424" s="54" t="n"/>
      <c r="D424" s="54" t="n"/>
    </row>
    <row r="425" customFormat="1" s="121">
      <c r="A425" s="54" t="n"/>
      <c r="B425" s="14" t="n"/>
      <c r="C425" s="54" t="n"/>
      <c r="D425" s="54" t="n"/>
    </row>
    <row r="426" customFormat="1" s="121">
      <c r="A426" s="54" t="n"/>
      <c r="B426" s="14" t="n"/>
      <c r="C426" s="54" t="n"/>
      <c r="D426" s="54" t="n"/>
    </row>
    <row r="427" customFormat="1" s="121">
      <c r="A427" s="54" t="n"/>
      <c r="B427" s="14" t="n"/>
      <c r="C427" s="54" t="n"/>
      <c r="D427" s="54" t="n"/>
    </row>
    <row r="428" customFormat="1" s="121">
      <c r="A428" s="54" t="n"/>
      <c r="B428" s="14" t="n"/>
      <c r="C428" s="54" t="n"/>
      <c r="D428" s="54" t="n"/>
    </row>
    <row r="429" customFormat="1" s="121">
      <c r="A429" s="54" t="n"/>
      <c r="B429" s="14" t="n"/>
      <c r="C429" s="54" t="n"/>
      <c r="D429" s="54" t="n"/>
    </row>
    <row r="430" customFormat="1" s="121">
      <c r="A430" s="54" t="n"/>
      <c r="B430" s="14" t="n"/>
      <c r="C430" s="54" t="n"/>
      <c r="D430" s="54" t="n"/>
    </row>
    <row r="431" customFormat="1" s="121">
      <c r="A431" s="54" t="n"/>
      <c r="B431" s="14" t="n"/>
      <c r="C431" s="54" t="n"/>
      <c r="D431" s="54" t="n"/>
    </row>
    <row r="432" customFormat="1" s="121">
      <c r="A432" s="54" t="n"/>
      <c r="B432" s="14" t="n"/>
      <c r="C432" s="54" t="n"/>
      <c r="D432" s="54" t="n"/>
    </row>
    <row r="433" customFormat="1" s="121">
      <c r="A433" s="54" t="n"/>
      <c r="B433" s="14" t="n"/>
      <c r="C433" s="54" t="n"/>
      <c r="D433" s="54" t="n"/>
    </row>
    <row r="434" customFormat="1" s="121">
      <c r="A434" s="54" t="n"/>
      <c r="B434" s="14" t="n"/>
      <c r="C434" s="54" t="n"/>
      <c r="D434" s="54" t="n"/>
    </row>
    <row r="435" customFormat="1" s="121">
      <c r="A435" s="54" t="n"/>
      <c r="B435" s="14" t="n"/>
      <c r="C435" s="54" t="n"/>
      <c r="D435" s="54" t="n"/>
    </row>
    <row r="436" customFormat="1" s="121">
      <c r="A436" s="54" t="n"/>
      <c r="B436" s="14" t="n"/>
      <c r="C436" s="54" t="n"/>
      <c r="D436" s="54" t="n"/>
    </row>
    <row r="437" customFormat="1" s="121">
      <c r="A437" s="54" t="n"/>
      <c r="B437" s="14" t="n"/>
      <c r="C437" s="54" t="n"/>
      <c r="D437" s="54" t="n"/>
    </row>
    <row r="438" customFormat="1" s="121">
      <c r="A438" s="54" t="n"/>
      <c r="B438" s="14" t="n"/>
      <c r="C438" s="54" t="n"/>
      <c r="D438" s="54" t="n"/>
    </row>
    <row r="439" customFormat="1" s="121">
      <c r="A439" s="54" t="n"/>
      <c r="B439" s="14" t="n"/>
      <c r="C439" s="54" t="n"/>
      <c r="D439" s="54" t="n"/>
    </row>
    <row r="440" customFormat="1" s="121">
      <c r="A440" s="54" t="n"/>
      <c r="B440" s="14" t="n"/>
      <c r="C440" s="54" t="n"/>
      <c r="D440" s="54" t="n"/>
    </row>
    <row r="441" customFormat="1" s="121">
      <c r="A441" s="54" t="n"/>
      <c r="B441" s="14" t="n"/>
      <c r="C441" s="54" t="n"/>
      <c r="D441" s="54" t="n"/>
    </row>
    <row r="442" customFormat="1" s="121">
      <c r="A442" s="54" t="n"/>
      <c r="B442" s="14" t="n"/>
      <c r="C442" s="54" t="n"/>
      <c r="D442" s="54" t="n"/>
    </row>
    <row r="443" customFormat="1" s="121">
      <c r="A443" s="54" t="n"/>
      <c r="B443" s="14" t="n"/>
      <c r="C443" s="54" t="n"/>
      <c r="D443" s="54" t="n"/>
    </row>
    <row r="444" customFormat="1" s="121">
      <c r="A444" s="54" t="n"/>
      <c r="B444" s="14" t="n"/>
      <c r="C444" s="54" t="n"/>
      <c r="D444" s="54" t="n"/>
    </row>
    <row r="445" customFormat="1" s="121">
      <c r="A445" s="54" t="n"/>
      <c r="B445" s="14" t="n"/>
      <c r="C445" s="54" t="n"/>
      <c r="D445" s="54" t="n"/>
    </row>
    <row r="446" customFormat="1" s="121">
      <c r="A446" s="54" t="n"/>
      <c r="B446" s="14" t="n"/>
      <c r="C446" s="54" t="n"/>
      <c r="D446" s="54" t="n"/>
    </row>
    <row r="447" customFormat="1" s="121">
      <c r="A447" s="54" t="n"/>
      <c r="B447" s="14" t="n"/>
      <c r="C447" s="54" t="n"/>
      <c r="D447" s="54" t="n"/>
    </row>
    <row r="448" customFormat="1" s="121">
      <c r="A448" s="54" t="n"/>
      <c r="B448" s="14" t="n"/>
      <c r="C448" s="54" t="n"/>
      <c r="D448" s="54" t="n"/>
    </row>
    <row r="449" customFormat="1" s="121">
      <c r="A449" s="54" t="n"/>
      <c r="B449" s="14" t="n"/>
      <c r="C449" s="54" t="n"/>
      <c r="D449" s="54" t="n"/>
    </row>
    <row r="450" customFormat="1" s="121">
      <c r="A450" s="54" t="n"/>
      <c r="B450" s="14" t="n"/>
      <c r="C450" s="54" t="n"/>
      <c r="D450" s="54" t="n"/>
    </row>
    <row r="451" customFormat="1" s="121">
      <c r="A451" s="54" t="n"/>
      <c r="B451" s="14" t="n"/>
      <c r="C451" s="54" t="n"/>
      <c r="D451" s="54" t="n"/>
    </row>
    <row r="452" customFormat="1" s="121">
      <c r="A452" s="54" t="n"/>
      <c r="B452" s="14" t="n"/>
      <c r="C452" s="54" t="n"/>
      <c r="D452" s="54" t="n"/>
    </row>
    <row r="453" customFormat="1" s="121">
      <c r="A453" s="54" t="n"/>
      <c r="B453" s="14" t="n"/>
      <c r="C453" s="54" t="n"/>
      <c r="D453" s="54" t="n"/>
    </row>
    <row r="454" customFormat="1" s="121">
      <c r="A454" s="54" t="n"/>
      <c r="B454" s="14" t="n"/>
      <c r="C454" s="54" t="n"/>
      <c r="D454" s="54" t="n"/>
    </row>
    <row r="455" customFormat="1" s="121">
      <c r="A455" s="54" t="n"/>
      <c r="B455" s="14" t="n"/>
      <c r="C455" s="54" t="n"/>
      <c r="D455" s="54" t="n"/>
    </row>
    <row r="456" customFormat="1" s="121">
      <c r="A456" s="54" t="n"/>
      <c r="B456" s="14" t="n"/>
      <c r="C456" s="54" t="n"/>
      <c r="D456" s="54" t="n"/>
    </row>
    <row r="457" customFormat="1" s="121">
      <c r="A457" s="54" t="n"/>
      <c r="B457" s="14" t="n"/>
      <c r="C457" s="54" t="n"/>
      <c r="D457" s="54" t="n"/>
    </row>
    <row r="458" customFormat="1" s="121">
      <c r="A458" s="54" t="n"/>
      <c r="B458" s="14" t="n"/>
      <c r="C458" s="54" t="n"/>
      <c r="D458" s="54" t="n"/>
    </row>
    <row r="459" customFormat="1" s="121">
      <c r="A459" s="54" t="n"/>
      <c r="B459" s="14" t="n"/>
      <c r="C459" s="54" t="n"/>
      <c r="D459" s="54" t="n"/>
    </row>
    <row r="460" customFormat="1" s="121">
      <c r="A460" s="54" t="n"/>
      <c r="B460" s="14" t="n"/>
      <c r="C460" s="54" t="n"/>
      <c r="D460" s="54" t="n"/>
    </row>
    <row r="461" customFormat="1" s="121">
      <c r="A461" s="54" t="n"/>
      <c r="B461" s="14" t="n"/>
      <c r="C461" s="54" t="n"/>
      <c r="D461" s="54" t="n"/>
    </row>
    <row r="462" customFormat="1" s="121">
      <c r="A462" s="54" t="n"/>
      <c r="B462" s="14" t="n"/>
      <c r="C462" s="54" t="n"/>
      <c r="D462" s="54" t="n"/>
    </row>
    <row r="463" customFormat="1" s="121">
      <c r="A463" s="54" t="n"/>
      <c r="B463" s="14" t="n"/>
      <c r="C463" s="54" t="n"/>
      <c r="D463" s="54" t="n"/>
    </row>
    <row r="464" customFormat="1" s="121">
      <c r="A464" s="54" t="n"/>
      <c r="B464" s="14" t="n"/>
      <c r="C464" s="54" t="n"/>
      <c r="D464" s="54" t="n"/>
    </row>
    <row r="465" customFormat="1" s="121">
      <c r="A465" s="54" t="n"/>
      <c r="B465" s="14" t="n"/>
      <c r="C465" s="54" t="n"/>
      <c r="D465" s="54" t="n"/>
    </row>
    <row r="466" customFormat="1" s="121">
      <c r="A466" s="54" t="n"/>
      <c r="B466" s="14" t="n"/>
      <c r="C466" s="54" t="n"/>
      <c r="D466" s="54" t="n"/>
    </row>
    <row r="467" customFormat="1" s="121">
      <c r="A467" s="54" t="n"/>
      <c r="B467" s="14" t="n"/>
      <c r="C467" s="54" t="n"/>
      <c r="D467" s="54" t="n"/>
    </row>
    <row r="468" customFormat="1" s="121">
      <c r="A468" s="54" t="n"/>
      <c r="B468" s="14" t="n"/>
      <c r="C468" s="54" t="n"/>
      <c r="D468" s="54" t="n"/>
    </row>
    <row r="469" customFormat="1" s="121">
      <c r="A469" s="54" t="n"/>
      <c r="B469" s="14" t="n"/>
      <c r="C469" s="54" t="n"/>
      <c r="D469" s="54" t="n"/>
    </row>
    <row r="470" customFormat="1" s="121">
      <c r="A470" s="54" t="n"/>
      <c r="B470" s="14" t="n"/>
      <c r="C470" s="54" t="n"/>
      <c r="D470" s="54" t="n"/>
    </row>
    <row r="471" customFormat="1" s="121">
      <c r="A471" s="54" t="n"/>
      <c r="B471" s="14" t="n"/>
      <c r="C471" s="54" t="n"/>
      <c r="D471" s="54" t="n"/>
    </row>
    <row r="472" customFormat="1" s="121">
      <c r="A472" s="54" t="n"/>
      <c r="B472" s="14" t="n"/>
      <c r="C472" s="54" t="n"/>
      <c r="D472" s="54" t="n"/>
    </row>
    <row r="473" customFormat="1" s="121">
      <c r="A473" s="54" t="n"/>
      <c r="B473" s="14" t="n"/>
      <c r="C473" s="54" t="n"/>
      <c r="D473" s="54" t="n"/>
    </row>
    <row r="474" customFormat="1" s="121">
      <c r="A474" s="54" t="n"/>
      <c r="B474" s="14" t="n"/>
      <c r="C474" s="54" t="n"/>
      <c r="D474" s="54" t="n"/>
    </row>
    <row r="475" customFormat="1" s="121">
      <c r="A475" s="54" t="n"/>
      <c r="B475" s="14" t="n"/>
      <c r="C475" s="54" t="n"/>
      <c r="D475" s="54" t="n"/>
    </row>
    <row r="476" customFormat="1" s="121">
      <c r="A476" s="54" t="n"/>
      <c r="B476" s="14" t="n"/>
      <c r="C476" s="54" t="n"/>
      <c r="D476" s="54" t="n"/>
    </row>
    <row r="477" customFormat="1" s="121">
      <c r="A477" s="54" t="n"/>
      <c r="B477" s="14" t="n"/>
      <c r="C477" s="54" t="n"/>
      <c r="D477" s="54" t="n"/>
    </row>
    <row r="478" customFormat="1" s="121">
      <c r="A478" s="54" t="n"/>
      <c r="B478" s="14" t="n"/>
      <c r="C478" s="54" t="n"/>
      <c r="D478" s="54" t="n"/>
    </row>
    <row r="479" customFormat="1" s="121">
      <c r="A479" s="54" t="n"/>
      <c r="B479" s="14" t="n"/>
      <c r="C479" s="54" t="n"/>
      <c r="D479" s="54" t="n"/>
    </row>
    <row r="480" customFormat="1" s="121">
      <c r="A480" s="54" t="n"/>
      <c r="B480" s="14" t="n"/>
      <c r="C480" s="54" t="n"/>
      <c r="D480" s="54" t="n"/>
    </row>
    <row r="481" customFormat="1" s="121">
      <c r="A481" s="54" t="n"/>
      <c r="B481" s="14" t="n"/>
      <c r="C481" s="54" t="n"/>
      <c r="D481" s="54" t="n"/>
    </row>
    <row r="482" customFormat="1" s="121">
      <c r="A482" s="54" t="n"/>
      <c r="B482" s="14" t="n"/>
      <c r="C482" s="54" t="n"/>
      <c r="D482" s="54" t="n"/>
    </row>
    <row r="483" customFormat="1" s="121">
      <c r="A483" s="54" t="n"/>
      <c r="B483" s="14" t="n"/>
      <c r="C483" s="54" t="n"/>
      <c r="D483" s="54" t="n"/>
    </row>
    <row r="484" customFormat="1" s="121">
      <c r="A484" s="54" t="n"/>
      <c r="B484" s="14" t="n"/>
      <c r="C484" s="54" t="n"/>
      <c r="D484" s="54" t="n"/>
    </row>
    <row r="485" customFormat="1" s="121">
      <c r="A485" s="54" t="n"/>
      <c r="B485" s="14" t="n"/>
      <c r="C485" s="54" t="n"/>
      <c r="D485" s="54" t="n"/>
    </row>
    <row r="486" customFormat="1" s="121">
      <c r="A486" s="54" t="n"/>
      <c r="B486" s="14" t="n"/>
      <c r="C486" s="54" t="n"/>
      <c r="D486" s="54" t="n"/>
    </row>
    <row r="487" customFormat="1" s="121">
      <c r="A487" s="54" t="n"/>
      <c r="B487" s="14" t="n"/>
      <c r="C487" s="54" t="n"/>
      <c r="D487" s="54" t="n"/>
    </row>
    <row r="488" customFormat="1" s="121">
      <c r="A488" s="54" t="n"/>
      <c r="B488" s="14" t="n"/>
      <c r="C488" s="54" t="n"/>
      <c r="D488" s="54" t="n"/>
    </row>
    <row r="489" customFormat="1" s="121">
      <c r="A489" s="54" t="n"/>
      <c r="B489" s="14" t="n"/>
      <c r="C489" s="54" t="n"/>
      <c r="D489" s="54" t="n"/>
    </row>
    <row r="490" customFormat="1" s="121">
      <c r="A490" s="54" t="n"/>
      <c r="B490" s="14" t="n"/>
      <c r="C490" s="54" t="n"/>
      <c r="D490" s="54" t="n"/>
    </row>
    <row r="491" customFormat="1" s="121">
      <c r="A491" s="54" t="n"/>
      <c r="B491" s="14" t="n"/>
      <c r="C491" s="54" t="n"/>
      <c r="D491" s="54" t="n"/>
    </row>
    <row r="492" customFormat="1" s="121">
      <c r="A492" s="54" t="n"/>
      <c r="B492" s="14" t="n"/>
      <c r="C492" s="54" t="n"/>
      <c r="D492" s="54" t="n"/>
    </row>
    <row r="493" customFormat="1" s="121">
      <c r="A493" s="54" t="n"/>
      <c r="B493" s="14" t="n"/>
      <c r="C493" s="54" t="n"/>
      <c r="D493" s="54" t="n"/>
    </row>
    <row r="494" customFormat="1" s="121">
      <c r="A494" s="54" t="n"/>
      <c r="B494" s="14" t="n"/>
      <c r="C494" s="54" t="n"/>
      <c r="D494" s="54" t="n"/>
    </row>
    <row r="495" customFormat="1" s="121">
      <c r="A495" s="54" t="n"/>
      <c r="B495" s="14" t="n"/>
      <c r="C495" s="54" t="n"/>
      <c r="D495" s="54" t="n"/>
    </row>
    <row r="496" customFormat="1" s="121">
      <c r="A496" s="54" t="n"/>
      <c r="B496" s="14" t="n"/>
      <c r="C496" s="54" t="n"/>
      <c r="D496" s="54" t="n"/>
    </row>
    <row r="497" customFormat="1" s="121">
      <c r="A497" s="54" t="n"/>
      <c r="B497" s="14" t="n"/>
      <c r="C497" s="54" t="n"/>
      <c r="D497" s="54" t="n"/>
    </row>
    <row r="498" customFormat="1" s="121">
      <c r="A498" s="54" t="n"/>
      <c r="B498" s="14" t="n"/>
      <c r="C498" s="54" t="n"/>
      <c r="D498" s="54" t="n"/>
    </row>
    <row r="499" customFormat="1" s="121">
      <c r="A499" s="54" t="n"/>
      <c r="B499" s="14" t="n"/>
      <c r="C499" s="54" t="n"/>
      <c r="D499" s="54" t="n"/>
    </row>
    <row r="500" customFormat="1" s="121">
      <c r="A500" s="54" t="n"/>
      <c r="B500" s="14" t="n"/>
      <c r="C500" s="54" t="n"/>
      <c r="D500" s="54" t="n"/>
    </row>
    <row r="501" customFormat="1" s="121">
      <c r="A501" s="54" t="n"/>
      <c r="B501" s="14" t="n"/>
      <c r="C501" s="54" t="n"/>
      <c r="D501" s="54" t="n"/>
    </row>
    <row r="502" customFormat="1" s="121">
      <c r="A502" s="54" t="n"/>
      <c r="B502" s="14" t="n"/>
      <c r="C502" s="54" t="n"/>
      <c r="D502" s="54" t="n"/>
    </row>
    <row r="503" customFormat="1" s="121">
      <c r="A503" s="54" t="n"/>
      <c r="B503" s="14" t="n"/>
      <c r="C503" s="54" t="n"/>
      <c r="D503" s="54" t="n"/>
    </row>
    <row r="504" customFormat="1" s="121">
      <c r="A504" s="54" t="n"/>
      <c r="B504" s="14" t="n"/>
      <c r="C504" s="54" t="n"/>
      <c r="D504" s="54" t="n"/>
    </row>
    <row r="505" customFormat="1" s="121">
      <c r="A505" s="54" t="n"/>
      <c r="B505" s="14" t="n"/>
      <c r="C505" s="54" t="n"/>
      <c r="D505" s="54" t="n"/>
    </row>
    <row r="506" customFormat="1" s="121">
      <c r="A506" s="54" t="n"/>
      <c r="B506" s="14" t="n"/>
      <c r="C506" s="54" t="n"/>
      <c r="D506" s="54" t="n"/>
    </row>
    <row r="507" customFormat="1" s="121">
      <c r="A507" s="54" t="n"/>
      <c r="B507" s="14" t="n"/>
      <c r="C507" s="54" t="n"/>
      <c r="D507" s="54" t="n"/>
    </row>
    <row r="508" customFormat="1" s="121">
      <c r="A508" s="54" t="n"/>
      <c r="B508" s="14" t="n"/>
      <c r="C508" s="54" t="n"/>
      <c r="D508" s="54" t="n"/>
    </row>
    <row r="509" customFormat="1" s="121">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row r="541">
      <c r="A541" s="54" t="n"/>
      <c r="B541" s="14" t="n"/>
      <c r="C541" s="54" t="n"/>
      <c r="D541" s="54" t="n"/>
    </row>
    <row r="542">
      <c r="A542" s="54" t="n"/>
      <c r="B542" s="14" t="n"/>
      <c r="C542" s="54" t="n"/>
      <c r="D542" s="54" t="n"/>
    </row>
    <row r="543">
      <c r="A543" s="54" t="n"/>
      <c r="B543" s="14" t="n"/>
      <c r="C543" s="54" t="n"/>
      <c r="D543" s="54" t="n"/>
    </row>
    <row r="544">
      <c r="A544" s="54" t="n"/>
      <c r="B544" s="14" t="n"/>
      <c r="C544" s="54" t="n"/>
      <c r="D544" s="54" t="n"/>
    </row>
    <row r="545">
      <c r="A545" s="54" t="n"/>
      <c r="B545" s="14" t="n"/>
      <c r="C545" s="54" t="n"/>
      <c r="D545" s="54" t="n"/>
    </row>
    <row r="546">
      <c r="A546" s="54" t="n"/>
      <c r="B546" s="14" t="n"/>
      <c r="C546" s="54" t="n"/>
      <c r="D546" s="54" t="n"/>
    </row>
    <row r="547">
      <c r="A547" s="54" t="n"/>
      <c r="B547" s="14" t="n"/>
      <c r="C547" s="54" t="n"/>
      <c r="D547" s="54" t="n"/>
    </row>
    <row r="548">
      <c r="A548" s="54" t="n"/>
      <c r="B548" s="14" t="n"/>
      <c r="C548" s="54" t="n"/>
      <c r="D548" s="54" t="n"/>
    </row>
    <row r="549">
      <c r="A549" s="54" t="n"/>
      <c r="B549" s="14" t="n"/>
      <c r="C549" s="54" t="n"/>
      <c r="D549" s="54" t="n"/>
    </row>
  </sheetData>
  <conditionalFormatting sqref="C8:C377">
    <cfRule type="colorScale" priority="42">
      <colorScale>
        <cfvo type="min"/>
        <cfvo type="percentile" val="50"/>
        <cfvo type="max"/>
        <color rgb="FFF8696B"/>
        <color rgb="FFFFEB84"/>
        <color rgb="FF63BE7B"/>
      </colorScale>
    </cfRule>
  </conditionalFormatting>
  <conditionalFormatting sqref="D19:D377">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15"/>
  <sheetViews>
    <sheetView zoomScale="150" zoomScaleNormal="150" workbookViewId="0">
      <pane ySplit="6" topLeftCell="A356" activePane="bottomLeft" state="frozen"/>
      <selection pane="bottomLeft" activeCell="S376" sqref="S376"/>
    </sheetView>
  </sheetViews>
  <sheetFormatPr baseColWidth="8" defaultColWidth="8.81640625" defaultRowHeight="14.5"/>
  <cols>
    <col width="14" customWidth="1" min="1" max="1"/>
    <col width="23.6328125" customWidth="1" style="23" min="2" max="2"/>
    <col width="14.36328125" customWidth="1" min="3" max="3"/>
    <col width="14.1796875" customWidth="1" min="4" max="4"/>
    <col width="14.1796875" customWidth="1" style="121" min="5" max="5"/>
    <col width="9.1796875" customWidth="1" style="121" min="6" max="53"/>
  </cols>
  <sheetData>
    <row r="1" customFormat="1" s="121">
      <c r="A1" s="20" t="inlineStr">
        <is>
          <t>RSFSXMV</t>
        </is>
      </c>
      <c r="B1" s="24" t="inlineStr">
        <is>
          <t>Advance Retail Sales: Retail and Food Services Excluding Motor Vehicles and Parts Dealers</t>
        </is>
      </c>
      <c r="I1" s="21" t="n"/>
      <c r="J1" s="21" t="n"/>
    </row>
    <row r="2" customFormat="1" s="121">
      <c r="A2" s="127" t="inlineStr">
        <is>
          <t>https://fred.stlouisfed.org/series/RSFSXMV</t>
        </is>
      </c>
      <c r="B2" s="22" t="n"/>
    </row>
    <row r="3" customFormat="1" s="121">
      <c r="A3" s="127" t="n"/>
      <c r="B3" s="22" t="n"/>
    </row>
    <row r="4" customFormat="1" s="121">
      <c r="A4" s="127" t="n"/>
      <c r="B4" s="22" t="n"/>
    </row>
    <row r="5" ht="16" customFormat="1" customHeight="1" s="121" thickBot="1">
      <c r="B5" s="22" t="n"/>
      <c r="I5" s="21" t="n"/>
      <c r="J5" s="21" t="n"/>
    </row>
    <row r="6" ht="45.75" customHeight="1"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1">
      <c r="A336" s="11" t="n">
        <v>43617</v>
      </c>
      <c r="B336" s="15">
        <f>VLOOKUP(A336,Database!A:M,MATCH($A$1,Database!$A$1:$M$1,),)</f>
        <v/>
      </c>
      <c r="C336" s="12">
        <f>(B336-B335)/B335</f>
        <v/>
      </c>
      <c r="D336" s="13">
        <f>(B336-B324)/B324</f>
        <v/>
      </c>
    </row>
    <row r="337" customFormat="1" s="121">
      <c r="A337" s="10" t="n">
        <v>43647</v>
      </c>
      <c r="B337" s="15">
        <f>VLOOKUP(A337,Database!A:M,MATCH($A$1,Database!$A$1:$M$1,),)</f>
        <v/>
      </c>
      <c r="C337" s="12">
        <f>(B337-B336)/B336</f>
        <v/>
      </c>
      <c r="D337" s="13">
        <f>(B337-B325)/B325</f>
        <v/>
      </c>
    </row>
    <row r="338" customFormat="1" s="121">
      <c r="A338" s="11" t="n">
        <v>43678</v>
      </c>
      <c r="B338" s="15">
        <f>VLOOKUP(A338,Database!A:M,MATCH($A$1,Database!$A$1:$M$1,),)</f>
        <v/>
      </c>
      <c r="C338" s="12">
        <f>(B338-B337)/B337</f>
        <v/>
      </c>
      <c r="D338" s="13">
        <f>(B338-B326)/B326</f>
        <v/>
      </c>
    </row>
    <row r="339" customFormat="1" s="121">
      <c r="A339" s="10" t="n">
        <v>43709</v>
      </c>
      <c r="B339" s="15">
        <f>VLOOKUP(A339,Database!A:M,MATCH($A$1,Database!$A$1:$M$1,),)</f>
        <v/>
      </c>
      <c r="C339" s="12">
        <f>(B339-B338)/B338</f>
        <v/>
      </c>
      <c r="D339" s="13">
        <f>(B339-B327)/B327</f>
        <v/>
      </c>
    </row>
    <row r="340" customFormat="1" s="121">
      <c r="A340" s="11" t="n">
        <v>43739</v>
      </c>
      <c r="B340" s="15">
        <f>VLOOKUP(A340,Database!A:M,MATCH($A$1,Database!$A$1:$M$1,),)</f>
        <v/>
      </c>
      <c r="C340" s="12">
        <f>(B340-B339)/B339</f>
        <v/>
      </c>
      <c r="D340" s="13">
        <f>(B340-B328)/B328</f>
        <v/>
      </c>
    </row>
    <row r="341" customFormat="1" s="121">
      <c r="A341" s="10" t="n">
        <v>43770</v>
      </c>
      <c r="B341" s="15">
        <f>VLOOKUP(A341,Database!A:M,MATCH($A$1,Database!$A$1:$M$1,),)</f>
        <v/>
      </c>
      <c r="C341" s="12">
        <f>(B341-B340)/B340</f>
        <v/>
      </c>
      <c r="D341" s="13">
        <f>(B341-B329)/B329</f>
        <v/>
      </c>
    </row>
    <row r="342" customFormat="1" s="121">
      <c r="A342" s="11" t="n">
        <v>43800</v>
      </c>
      <c r="B342" s="15">
        <f>VLOOKUP(A342,Database!A:M,MATCH($A$1,Database!$A$1:$M$1,),)</f>
        <v/>
      </c>
      <c r="C342" s="12">
        <f>(B342-B341)/B341</f>
        <v/>
      </c>
      <c r="D342" s="13">
        <f>(B342-B330)/B330</f>
        <v/>
      </c>
    </row>
    <row r="343" customFormat="1" s="121">
      <c r="A343" s="10" t="n">
        <v>43831</v>
      </c>
      <c r="B343" s="15">
        <f>VLOOKUP(A343,Database!A:M,MATCH($A$1,Database!$A$1:$M$1,),)</f>
        <v/>
      </c>
      <c r="C343" s="12">
        <f>(B343-B342)/B342</f>
        <v/>
      </c>
      <c r="D343" s="13">
        <f>(B343-B331)/B331</f>
        <v/>
      </c>
    </row>
    <row r="344" customFormat="1" s="121">
      <c r="A344" s="11" t="n">
        <v>43862</v>
      </c>
      <c r="B344" s="15">
        <f>VLOOKUP(A344,Database!A:M,MATCH($A$1,Database!$A$1:$M$1,),)</f>
        <v/>
      </c>
      <c r="C344" s="12">
        <f>(B344-B343)/B343</f>
        <v/>
      </c>
      <c r="D344" s="13">
        <f>(B344-B332)/B332</f>
        <v/>
      </c>
    </row>
    <row r="345" customFormat="1" s="121">
      <c r="A345" s="10" t="n">
        <v>43891</v>
      </c>
      <c r="B345" s="15">
        <f>VLOOKUP(A345,Database!A:M,MATCH($A$1,Database!$A$1:$M$1,),)</f>
        <v/>
      </c>
      <c r="C345" s="12">
        <f>(B345-B344)/B344</f>
        <v/>
      </c>
      <c r="D345" s="13">
        <f>(B345-B333)/B333</f>
        <v/>
      </c>
    </row>
    <row r="346" customFormat="1" s="121">
      <c r="A346" s="11" t="n">
        <v>43922</v>
      </c>
      <c r="B346" s="15">
        <f>VLOOKUP(A346,Database!A:M,MATCH($A$1,Database!$A$1:$M$1,),)</f>
        <v/>
      </c>
      <c r="C346" s="12">
        <f>(B346-B345)/B345</f>
        <v/>
      </c>
      <c r="D346" s="13">
        <f>(B346-B334)/B334</f>
        <v/>
      </c>
    </row>
    <row r="347" customFormat="1" s="121">
      <c r="A347" s="10" t="n">
        <v>43952</v>
      </c>
      <c r="B347" s="15">
        <f>VLOOKUP(A347,Database!A:M,MATCH($A$1,Database!$A$1:$M$1,),)</f>
        <v/>
      </c>
      <c r="C347" s="12">
        <f>(B347-B346)/B346</f>
        <v/>
      </c>
      <c r="D347" s="13">
        <f>(B347-B335)/B335</f>
        <v/>
      </c>
    </row>
    <row r="348" customFormat="1" s="121">
      <c r="A348" s="11" t="n">
        <v>43983</v>
      </c>
      <c r="B348" s="15">
        <f>VLOOKUP(A348,Database!A:M,MATCH($A$1,Database!$A$1:$M$1,),)</f>
        <v/>
      </c>
      <c r="C348" s="12">
        <f>(B348-B347)/B347</f>
        <v/>
      </c>
      <c r="D348" s="13">
        <f>(B348-B336)/B336</f>
        <v/>
      </c>
    </row>
    <row r="349" customFormat="1" s="121">
      <c r="A349" s="10" t="n">
        <v>44013</v>
      </c>
      <c r="B349" s="15">
        <f>VLOOKUP(A349,Database!A:M,MATCH($A$1,Database!$A$1:$M$1,),)</f>
        <v/>
      </c>
      <c r="C349" s="12">
        <f>(B349-B348)/B348</f>
        <v/>
      </c>
      <c r="D349" s="13">
        <f>(B349-B337)/B337</f>
        <v/>
      </c>
    </row>
    <row r="350" customFormat="1" s="121">
      <c r="A350" s="11" t="n">
        <v>44044</v>
      </c>
      <c r="B350" s="15">
        <f>VLOOKUP(A350,Database!A:M,MATCH($A$1,Database!$A$1:$M$1,),)</f>
        <v/>
      </c>
      <c r="C350" s="12">
        <f>(B350-B349)/B349</f>
        <v/>
      </c>
      <c r="D350" s="13">
        <f>(B350-B338)/B338</f>
        <v/>
      </c>
    </row>
    <row r="351" customFormat="1" s="121">
      <c r="A351" s="10" t="n">
        <v>44075</v>
      </c>
      <c r="B351" s="15">
        <f>VLOOKUP(A351,Database!A:M,MATCH($A$1,Database!$A$1:$M$1,),)</f>
        <v/>
      </c>
      <c r="C351" s="12">
        <f>(B351-B350)/B350</f>
        <v/>
      </c>
      <c r="D351" s="13">
        <f>(B351-B339)/B339</f>
        <v/>
      </c>
    </row>
    <row r="352" customFormat="1" s="121">
      <c r="A352" s="11" t="n">
        <v>44105</v>
      </c>
      <c r="B352" s="15">
        <f>VLOOKUP(A352,Database!A:M,MATCH($A$1,Database!$A$1:$M$1,),)</f>
        <v/>
      </c>
      <c r="C352" s="12">
        <f>(B352-B351)/B351</f>
        <v/>
      </c>
      <c r="D352" s="13">
        <f>(B352-B340)/B340</f>
        <v/>
      </c>
    </row>
    <row r="353" customFormat="1" s="121">
      <c r="A353" s="10" t="n">
        <v>44136</v>
      </c>
      <c r="B353" s="15">
        <f>VLOOKUP(A353,Database!A:M,MATCH($A$1,Database!$A$1:$M$1,),)</f>
        <v/>
      </c>
      <c r="C353" s="12">
        <f>(B353-B352)/B352</f>
        <v/>
      </c>
      <c r="D353" s="13">
        <f>(B353-B341)/B341</f>
        <v/>
      </c>
    </row>
    <row r="354" customFormat="1" s="121">
      <c r="A354" s="11" t="n">
        <v>44166</v>
      </c>
      <c r="B354" s="15">
        <f>VLOOKUP(A354,Database!A:M,MATCH($A$1,Database!$A$1:$M$1,),)</f>
        <v/>
      </c>
      <c r="C354" s="12">
        <f>(B354-B353)/B353</f>
        <v/>
      </c>
      <c r="D354" s="13">
        <f>(B354-B342)/B342</f>
        <v/>
      </c>
    </row>
    <row r="355" customFormat="1" s="121">
      <c r="A355" s="10" t="n">
        <v>44197</v>
      </c>
      <c r="B355" s="15">
        <f>VLOOKUP(A355,Database!A:M,MATCH($A$1,Database!$A$1:$M$1,),)</f>
        <v/>
      </c>
      <c r="C355" s="12">
        <f>(B355-B354)/B354</f>
        <v/>
      </c>
      <c r="D355" s="13">
        <f>(B355-B343)/B343</f>
        <v/>
      </c>
    </row>
    <row r="356" customFormat="1" s="121">
      <c r="A356" s="11" t="n">
        <v>44228</v>
      </c>
      <c r="B356" s="15">
        <f>VLOOKUP(A356,Database!A:M,MATCH($A$1,Database!$A$1:$M$1,),)</f>
        <v/>
      </c>
      <c r="C356" s="12">
        <f>(B356-B355)/B355</f>
        <v/>
      </c>
      <c r="D356" s="13">
        <f>(B356-B344)/B344</f>
        <v/>
      </c>
    </row>
    <row r="357" customFormat="1" s="121">
      <c r="A357" s="10" t="n">
        <v>44256</v>
      </c>
      <c r="B357" s="15">
        <f>VLOOKUP(A357,Database!A:M,MATCH($A$1,Database!$A$1:$M$1,),)</f>
        <v/>
      </c>
      <c r="C357" s="12">
        <f>(B357-B356)/B356</f>
        <v/>
      </c>
      <c r="D357" s="13">
        <f>(B357-B345)/B345</f>
        <v/>
      </c>
    </row>
    <row r="358" customFormat="1" s="121">
      <c r="A358" s="11" t="n">
        <v>44287</v>
      </c>
      <c r="B358" s="15">
        <f>VLOOKUP(A358,Database!A:M,MATCH($A$1,Database!$A$1:$M$1,),)</f>
        <v/>
      </c>
      <c r="C358" s="12">
        <f>(B358-B357)/B357</f>
        <v/>
      </c>
      <c r="D358" s="13">
        <f>(B358-B346)/B346</f>
        <v/>
      </c>
    </row>
    <row r="359" customFormat="1" s="121">
      <c r="A359" s="10" t="n">
        <v>44317</v>
      </c>
      <c r="B359" s="15">
        <f>VLOOKUP(A359,Database!A:M,MATCH($A$1,Database!$A$1:$M$1,),)</f>
        <v/>
      </c>
      <c r="C359" s="12">
        <f>(B359-B358)/B358</f>
        <v/>
      </c>
      <c r="D359" s="13">
        <f>(B359-B347)/B347</f>
        <v/>
      </c>
    </row>
    <row r="360" customFormat="1" s="121">
      <c r="A360" s="11" t="n">
        <v>44348</v>
      </c>
      <c r="B360" s="15">
        <f>VLOOKUP(A360,Database!A:M,MATCH($A$1,Database!$A$1:$M$1,),)</f>
        <v/>
      </c>
      <c r="C360" s="12">
        <f>(B360-B359)/B359</f>
        <v/>
      </c>
      <c r="D360" s="13">
        <f>(B360-B348)/B348</f>
        <v/>
      </c>
    </row>
    <row r="361" customFormat="1" s="121">
      <c r="A361" s="10" t="n">
        <v>44378</v>
      </c>
      <c r="B361" s="15">
        <f>VLOOKUP(A361,Database!A:M,MATCH($A$1,Database!$A$1:$M$1,),)</f>
        <v/>
      </c>
      <c r="C361" s="12">
        <f>(B361-B360)/B360</f>
        <v/>
      </c>
      <c r="D361" s="13">
        <f>(B361-B349)/B349</f>
        <v/>
      </c>
    </row>
    <row r="362" customFormat="1" s="121">
      <c r="A362" s="11" t="n">
        <v>44409</v>
      </c>
      <c r="B362" s="15">
        <f>VLOOKUP(A362,Database!A:M,MATCH($A$1,Database!$A$1:$M$1,),)</f>
        <v/>
      </c>
      <c r="C362" s="12">
        <f>(B362-B361)/B361</f>
        <v/>
      </c>
      <c r="D362" s="13">
        <f>(B362-B350)/B350</f>
        <v/>
      </c>
    </row>
    <row r="363" customFormat="1" s="121">
      <c r="A363" s="11" t="n">
        <v>44440</v>
      </c>
      <c r="B363" s="15">
        <f>VLOOKUP(A363,Database!A:M,MATCH($A$1,Database!$A$1:$M$1,),)</f>
        <v/>
      </c>
      <c r="C363" s="12">
        <f>(B363-B362)/B362</f>
        <v/>
      </c>
      <c r="D363" s="13">
        <f>(B363-B351)/B351</f>
        <v/>
      </c>
    </row>
    <row r="364" customFormat="1" s="121">
      <c r="A364" s="10" t="n">
        <v>44470</v>
      </c>
      <c r="B364" s="15">
        <f>VLOOKUP(A364,Database!A:M,MATCH($A$1,Database!$A$1:$M$1,),)</f>
        <v/>
      </c>
      <c r="C364" s="12">
        <f>(B364-B363)/B363</f>
        <v/>
      </c>
      <c r="D364" s="13">
        <f>(B364-B352)/B352</f>
        <v/>
      </c>
    </row>
    <row r="365" customFormat="1" s="121">
      <c r="A365" s="11" t="n">
        <v>44501</v>
      </c>
      <c r="B365" s="15">
        <f>VLOOKUP(A365,Database!A:M,MATCH($A$1,Database!$A$1:$M$1,),)</f>
        <v/>
      </c>
      <c r="C365" s="12">
        <f>(B365-B364)/B364</f>
        <v/>
      </c>
      <c r="D365" s="13">
        <f>(B365-B353)/B353</f>
        <v/>
      </c>
    </row>
    <row r="366" customFormat="1" s="121">
      <c r="A366" s="10" t="n">
        <v>44531</v>
      </c>
      <c r="B366" s="15">
        <f>VLOOKUP(A366,Database!A:M,MATCH($A$1,Database!$A$1:$M$1,),)</f>
        <v/>
      </c>
      <c r="C366" s="12">
        <f>(B366-B365)/B365</f>
        <v/>
      </c>
      <c r="D366" s="13">
        <f>(B366-B354)/B354</f>
        <v/>
      </c>
    </row>
    <row r="367" customFormat="1" s="121">
      <c r="A367" s="11" t="n">
        <v>44562</v>
      </c>
      <c r="B367" s="15">
        <f>VLOOKUP(A367,Database!A:M,MATCH($A$1,Database!$A$1:$M$1,),)</f>
        <v/>
      </c>
      <c r="C367" s="12">
        <f>(B367-B366)/B366</f>
        <v/>
      </c>
      <c r="D367" s="13">
        <f>(B367-B355)/B355</f>
        <v/>
      </c>
    </row>
    <row r="368" customFormat="1" s="121">
      <c r="A368" s="11" t="n">
        <v>44593</v>
      </c>
      <c r="B368" s="15">
        <f>VLOOKUP(A368,Database!A:M,MATCH($A$1,Database!$A$1:$M$1,),)</f>
        <v/>
      </c>
      <c r="C368" s="12">
        <f>(B368-B367)/B367</f>
        <v/>
      </c>
      <c r="D368" s="13">
        <f>(B368-B356)/B356</f>
        <v/>
      </c>
    </row>
    <row r="369" customFormat="1" s="121">
      <c r="A369" s="11" t="n">
        <v>44621</v>
      </c>
      <c r="B369" s="15">
        <f>VLOOKUP(A369,Database!A:M,MATCH($A$1,Database!$A$1:$M$1,),)</f>
        <v/>
      </c>
      <c r="C369" s="12">
        <f>(B369-B368)/B368</f>
        <v/>
      </c>
      <c r="D369" s="13">
        <f>(B369-B357)/B357</f>
        <v/>
      </c>
    </row>
    <row r="370" customFormat="1" s="121">
      <c r="A370" s="11" t="n">
        <v>44652</v>
      </c>
      <c r="B370" s="15">
        <f>VLOOKUP(A370,Database!A:M,MATCH($A$1,Database!$A$1:$M$1,),)</f>
        <v/>
      </c>
      <c r="C370" s="12">
        <f>(B370-B369)/B369</f>
        <v/>
      </c>
      <c r="D370" s="13">
        <f>(B370-B358)/B358</f>
        <v/>
      </c>
    </row>
    <row r="371" customFormat="1" s="121">
      <c r="A371" s="11" t="n">
        <v>44682</v>
      </c>
      <c r="B371" s="15">
        <f>VLOOKUP(A371,Database!A:M,MATCH($A$1,Database!$A$1:$M$1,),)</f>
        <v/>
      </c>
      <c r="C371" s="12">
        <f>(B371-B370)/B370</f>
        <v/>
      </c>
      <c r="D371" s="13">
        <f>(B371-B359)/B359</f>
        <v/>
      </c>
    </row>
    <row r="372" customFormat="1" s="121">
      <c r="A372" s="11" t="n">
        <v>44713</v>
      </c>
      <c r="B372" s="15">
        <f>VLOOKUP(A372,Database!A:M,MATCH($A$1,Database!$A$1:$M$1,),)</f>
        <v/>
      </c>
      <c r="C372" s="12">
        <f>(B372-B371)/B371</f>
        <v/>
      </c>
      <c r="D372" s="13">
        <f>(B372-B360)/B360</f>
        <v/>
      </c>
    </row>
    <row r="373" customFormat="1" s="121">
      <c r="A373" s="11" t="n">
        <v>44743</v>
      </c>
      <c r="B373" s="15">
        <f>VLOOKUP(A373,Database!A:M,MATCH($A$1,Database!$A$1:$M$1,),)</f>
        <v/>
      </c>
      <c r="C373" s="12">
        <f>(B373-B372)/B372</f>
        <v/>
      </c>
      <c r="D373" s="13">
        <f>(B373-B361)/B361</f>
        <v/>
      </c>
    </row>
    <row r="374" customFormat="1" s="121">
      <c r="A374" s="11" t="n">
        <v>44774</v>
      </c>
      <c r="B374" s="15">
        <f>VLOOKUP(A374,Database!A:M,MATCH($A$1,Database!$A$1:$M$1,),)</f>
        <v/>
      </c>
      <c r="C374" s="12">
        <f>(B374-B373)/B373</f>
        <v/>
      </c>
      <c r="D374" s="13">
        <f>(B374-B362)/B362</f>
        <v/>
      </c>
    </row>
    <row r="375" customFormat="1" s="121">
      <c r="A375" s="11" t="n">
        <v>44805</v>
      </c>
      <c r="B375" s="15">
        <f>VLOOKUP(A375,Database!A:M,MATCH($A$1,Database!$A$1:$M$1,),)</f>
        <v/>
      </c>
      <c r="C375" s="12">
        <f>(B375-B374)/B374</f>
        <v/>
      </c>
      <c r="D375" s="13">
        <f>(B375-B363)/B363</f>
        <v/>
      </c>
    </row>
    <row r="376" customFormat="1" s="121">
      <c r="A376" s="11" t="n">
        <v>44835</v>
      </c>
      <c r="B376" s="15">
        <f>VLOOKUP(A376,Database!A:M,MATCH($A$1,Database!$A$1:$M$1,),)</f>
        <v/>
      </c>
      <c r="C376" s="12">
        <f>(B376-B375)/B375</f>
        <v/>
      </c>
      <c r="D376" s="13">
        <f>(B376-B364)/B364</f>
        <v/>
      </c>
    </row>
    <row r="377" customFormat="1" s="121">
      <c r="A377" s="11" t="n">
        <v>44866</v>
      </c>
      <c r="B377" s="15">
        <f>VLOOKUP(A377,Database!A:M,MATCH($A$1,Database!$A$1:$M$1,),)</f>
        <v/>
      </c>
      <c r="C377" s="12">
        <f>(B377-B376)/B376</f>
        <v/>
      </c>
      <c r="D377" s="13">
        <f>(B377-B365)/B365</f>
        <v/>
      </c>
    </row>
    <row r="378" customFormat="1" s="121">
      <c r="B378" s="22" t="n"/>
    </row>
    <row r="379" customFormat="1" s="121">
      <c r="B379" s="22" t="n"/>
    </row>
    <row r="380" customFormat="1" s="121">
      <c r="B380" s="22" t="n"/>
    </row>
    <row r="381" customFormat="1" s="121">
      <c r="B381" s="22" t="n"/>
    </row>
    <row r="382" customFormat="1" s="121">
      <c r="B382" s="22" t="n"/>
    </row>
    <row r="383" customFormat="1" s="121">
      <c r="B383" s="22" t="n"/>
    </row>
    <row r="384" customFormat="1" s="121">
      <c r="B384" s="22" t="n"/>
    </row>
    <row r="385" customFormat="1" s="121">
      <c r="B385" s="22" t="n"/>
    </row>
    <row r="386" customFormat="1" s="121">
      <c r="B386" s="22" t="n"/>
    </row>
    <row r="387" customFormat="1" s="121">
      <c r="B387" s="22" t="n"/>
    </row>
    <row r="388" customFormat="1" s="121">
      <c r="B388" s="22" t="n"/>
    </row>
    <row r="389" customFormat="1" s="121">
      <c r="B389" s="22" t="n"/>
    </row>
    <row r="390" customFormat="1" s="121">
      <c r="B390" s="22" t="n"/>
    </row>
    <row r="391" customFormat="1" s="121">
      <c r="B391" s="22" t="n"/>
    </row>
    <row r="392" customFormat="1" s="121">
      <c r="B392" s="22" t="n"/>
    </row>
    <row r="393" customFormat="1" s="121">
      <c r="B393" s="22" t="n"/>
    </row>
    <row r="394" customFormat="1" s="121">
      <c r="B394" s="22" t="n"/>
    </row>
    <row r="395" customFormat="1" s="121">
      <c r="B395" s="22" t="n"/>
    </row>
    <row r="396" customFormat="1" s="121">
      <c r="B396" s="22" t="n"/>
    </row>
    <row r="397" customFormat="1" s="121">
      <c r="B397" s="22" t="n"/>
    </row>
    <row r="398" customFormat="1" s="121">
      <c r="B398" s="22" t="n"/>
    </row>
    <row r="399" customFormat="1" s="121">
      <c r="B399" s="22" t="n"/>
    </row>
    <row r="400" customFormat="1" s="121">
      <c r="B400" s="22" t="n"/>
    </row>
    <row r="401" customFormat="1" s="121">
      <c r="B401" s="22" t="n"/>
    </row>
    <row r="402" customFormat="1" s="121">
      <c r="B402" s="22" t="n"/>
    </row>
    <row r="403" customFormat="1" s="121">
      <c r="B403" s="22" t="n"/>
    </row>
    <row r="404" customFormat="1" s="121">
      <c r="B404" s="22" t="n"/>
    </row>
    <row r="405" customFormat="1" s="121">
      <c r="B405" s="22" t="n"/>
    </row>
    <row r="406" customFormat="1" s="121">
      <c r="B406" s="22" t="n"/>
    </row>
    <row r="407" customFormat="1" s="121">
      <c r="B407" s="22" t="n"/>
    </row>
    <row r="408" customFormat="1" s="121">
      <c r="B408" s="22" t="n"/>
    </row>
    <row r="409" customFormat="1" s="121">
      <c r="B409" s="22" t="n"/>
    </row>
    <row r="410" customFormat="1" s="121">
      <c r="B410" s="22" t="n"/>
    </row>
    <row r="411" customFormat="1" s="121">
      <c r="B411" s="22" t="n"/>
    </row>
    <row r="412" customFormat="1" s="121">
      <c r="B412" s="22" t="n"/>
    </row>
    <row r="413" customFormat="1" s="121">
      <c r="B413" s="22" t="n"/>
    </row>
    <row r="414" customFormat="1" s="121">
      <c r="B414" s="22" t="n"/>
    </row>
    <row r="415" customFormat="1" s="121">
      <c r="B415" s="22" t="n"/>
    </row>
    <row r="416" customFormat="1" s="121">
      <c r="B416" s="22" t="n"/>
    </row>
    <row r="417" customFormat="1" s="121">
      <c r="B417" s="22" t="n"/>
    </row>
    <row r="418" customFormat="1" s="121">
      <c r="B418" s="22" t="n"/>
    </row>
    <row r="419" customFormat="1" s="121">
      <c r="B419" s="22" t="n"/>
    </row>
    <row r="420" customFormat="1" s="121">
      <c r="B420" s="22" t="n"/>
    </row>
    <row r="421" customFormat="1" s="121">
      <c r="B421" s="22" t="n"/>
    </row>
    <row r="422" customFormat="1" s="121">
      <c r="B422" s="22" t="n"/>
    </row>
    <row r="423" customFormat="1" s="121">
      <c r="B423" s="22" t="n"/>
    </row>
    <row r="424" customFormat="1" s="121">
      <c r="B424" s="22" t="n"/>
    </row>
    <row r="425" customFormat="1" s="121">
      <c r="B425" s="22" t="n"/>
    </row>
    <row r="426" customFormat="1" s="121">
      <c r="B426" s="22" t="n"/>
    </row>
    <row r="427" customFormat="1" s="121">
      <c r="B427" s="22" t="n"/>
    </row>
    <row r="428" customFormat="1" s="121">
      <c r="B428" s="22" t="n"/>
    </row>
    <row r="429" customFormat="1" s="121">
      <c r="B429" s="22" t="n"/>
    </row>
    <row r="430" customFormat="1" s="121">
      <c r="B430" s="22" t="n"/>
    </row>
    <row r="431" customFormat="1" s="121">
      <c r="B431" s="22" t="n"/>
    </row>
    <row r="432" customFormat="1" s="121">
      <c r="B432" s="22" t="n"/>
    </row>
    <row r="433" customFormat="1" s="121">
      <c r="B433" s="22" t="n"/>
    </row>
    <row r="434" customFormat="1" s="121">
      <c r="B434" s="22" t="n"/>
    </row>
    <row r="435" customFormat="1" s="121">
      <c r="B435" s="22" t="n"/>
    </row>
    <row r="436" customFormat="1" s="121">
      <c r="B436" s="22" t="n"/>
    </row>
    <row r="437" customFormat="1" s="121">
      <c r="B437" s="22" t="n"/>
    </row>
    <row r="438" customFormat="1" s="121">
      <c r="B438" s="22" t="n"/>
    </row>
    <row r="439" customFormat="1" s="121">
      <c r="B439" s="22" t="n"/>
    </row>
    <row r="440" customFormat="1" s="121">
      <c r="B440" s="22" t="n"/>
    </row>
    <row r="441" customFormat="1" s="121">
      <c r="B441" s="22" t="n"/>
    </row>
    <row r="442" customFormat="1" s="121">
      <c r="B442" s="22" t="n"/>
    </row>
    <row r="443" customFormat="1" s="121">
      <c r="B443" s="22" t="n"/>
    </row>
    <row r="444" customFormat="1" s="121">
      <c r="B444" s="22" t="n"/>
    </row>
    <row r="445" customFormat="1" s="121">
      <c r="B445" s="22" t="n"/>
    </row>
    <row r="446" customFormat="1" s="121">
      <c r="B446" s="22" t="n"/>
    </row>
    <row r="447" customFormat="1" s="121">
      <c r="B447" s="22" t="n"/>
    </row>
    <row r="448" customFormat="1" s="121">
      <c r="B448" s="22" t="n"/>
    </row>
    <row r="449" customFormat="1" s="121">
      <c r="B449" s="22" t="n"/>
    </row>
    <row r="450" customFormat="1" s="121">
      <c r="B450" s="22" t="n"/>
    </row>
    <row r="451" customFormat="1" s="121">
      <c r="B451" s="22" t="n"/>
    </row>
    <row r="452" customFormat="1" s="121">
      <c r="B452" s="22" t="n"/>
    </row>
    <row r="453" customFormat="1" s="121">
      <c r="B453" s="22" t="n"/>
    </row>
    <row r="454" customFormat="1" s="121">
      <c r="B454" s="22" t="n"/>
    </row>
    <row r="455" customFormat="1" s="121">
      <c r="B455" s="22" t="n"/>
    </row>
    <row r="456" customFormat="1" s="121">
      <c r="B456" s="22" t="n"/>
    </row>
    <row r="457" customFormat="1" s="121">
      <c r="B457" s="22" t="n"/>
    </row>
    <row r="458" customFormat="1" s="121">
      <c r="B458" s="22" t="n"/>
    </row>
    <row r="459" customFormat="1" s="121">
      <c r="B459" s="22" t="n"/>
    </row>
    <row r="460" customFormat="1" s="121">
      <c r="B460" s="22" t="n"/>
    </row>
    <row r="461" customFormat="1" s="121">
      <c r="B461" s="22" t="n"/>
    </row>
    <row r="462" customFormat="1" s="121">
      <c r="B462" s="22" t="n"/>
    </row>
    <row r="463" customFormat="1" s="121">
      <c r="B463" s="22" t="n"/>
    </row>
    <row r="464" customFormat="1" s="121">
      <c r="B464" s="22" t="n"/>
    </row>
    <row r="465" customFormat="1" s="121">
      <c r="B465" s="22" t="n"/>
    </row>
    <row r="466" customFormat="1" s="121">
      <c r="B466" s="22" t="n"/>
    </row>
    <row r="467" customFormat="1" s="121">
      <c r="B467" s="22" t="n"/>
    </row>
    <row r="468" customFormat="1" s="121">
      <c r="B468" s="22" t="n"/>
    </row>
    <row r="469" customFormat="1" s="121">
      <c r="B469" s="22" t="n"/>
    </row>
    <row r="470" customFormat="1" s="121">
      <c r="B470" s="22" t="n"/>
    </row>
    <row r="471" customFormat="1" s="121">
      <c r="B471" s="22" t="n"/>
    </row>
    <row r="472" customFormat="1" s="121">
      <c r="B472" s="22" t="n"/>
    </row>
    <row r="473" customFormat="1" s="121">
      <c r="B473" s="22" t="n"/>
    </row>
    <row r="474" customFormat="1" s="121">
      <c r="B474" s="22" t="n"/>
    </row>
    <row r="475" customFormat="1" s="121">
      <c r="B475" s="22" t="n"/>
    </row>
    <row r="476" customFormat="1" s="121">
      <c r="B476" s="22" t="n"/>
    </row>
    <row r="477" customFormat="1" s="121">
      <c r="B477" s="22" t="n"/>
    </row>
    <row r="478" customFormat="1" s="121">
      <c r="B478" s="22" t="n"/>
    </row>
    <row r="479" customFormat="1" s="121">
      <c r="B479" s="22" t="n"/>
    </row>
    <row r="480" customFormat="1" s="121">
      <c r="B480" s="22" t="n"/>
    </row>
    <row r="481" customFormat="1" s="121">
      <c r="B481" s="22" t="n"/>
    </row>
    <row r="482" customFormat="1" s="121">
      <c r="B482" s="22" t="n"/>
    </row>
    <row r="483" customFormat="1" s="121">
      <c r="B483" s="22" t="n"/>
    </row>
    <row r="484" customFormat="1" s="121">
      <c r="B484" s="22" t="n"/>
    </row>
    <row r="485" customFormat="1" s="121">
      <c r="B485" s="22" t="n"/>
    </row>
    <row r="486" customFormat="1" s="121">
      <c r="B486" s="22" t="n"/>
    </row>
    <row r="487" customFormat="1" s="121">
      <c r="B487" s="22" t="n"/>
    </row>
    <row r="488" customFormat="1" s="121">
      <c r="B488" s="22" t="n"/>
    </row>
    <row r="489" customFormat="1" s="121">
      <c r="B489" s="22" t="n"/>
    </row>
    <row r="490" customFormat="1" s="121">
      <c r="B490" s="22" t="n"/>
    </row>
    <row r="491" customFormat="1" s="121">
      <c r="B491" s="22" t="n"/>
    </row>
    <row r="492" customFormat="1" s="121">
      <c r="B492" s="22" t="n"/>
    </row>
    <row r="493" customFormat="1" s="121">
      <c r="B493" s="22" t="n"/>
    </row>
    <row r="494" customFormat="1" s="121">
      <c r="B494" s="22" t="n"/>
    </row>
    <row r="495" customFormat="1" s="121">
      <c r="B495" s="22" t="n"/>
    </row>
    <row r="496" customFormat="1" s="121">
      <c r="B496" s="22" t="n"/>
    </row>
    <row r="497" customFormat="1" s="121">
      <c r="B497" s="22" t="n"/>
    </row>
    <row r="498" customFormat="1" s="121">
      <c r="B498" s="22" t="n"/>
    </row>
    <row r="499" customFormat="1" s="121">
      <c r="B499" s="22" t="n"/>
    </row>
    <row r="500" customFormat="1" s="121">
      <c r="B500" s="22" t="n"/>
    </row>
    <row r="501" customFormat="1" s="121">
      <c r="B501" s="22" t="n"/>
    </row>
    <row r="502" customFormat="1" s="121">
      <c r="B502" s="22" t="n"/>
    </row>
    <row r="503" customFormat="1" s="121">
      <c r="B503" s="22" t="n"/>
    </row>
    <row r="504" customFormat="1" s="121">
      <c r="B504" s="22" t="n"/>
    </row>
    <row r="505" customFormat="1" s="121">
      <c r="B505" s="22" t="n"/>
    </row>
    <row r="506" customFormat="1" s="121">
      <c r="B506" s="22" t="n"/>
    </row>
    <row r="507" customFormat="1" s="121">
      <c r="B507" s="22" t="n"/>
    </row>
    <row r="508" customFormat="1" s="121">
      <c r="B508" s="22" t="n"/>
    </row>
    <row r="509" customFormat="1" s="121">
      <c r="B509" s="22" t="n"/>
    </row>
    <row r="510" customFormat="1" s="121">
      <c r="B510" s="22" t="n"/>
    </row>
    <row r="511" customFormat="1" s="121">
      <c r="B511" s="22" t="n"/>
    </row>
    <row r="512" customFormat="1" s="121">
      <c r="B512" s="22" t="n"/>
    </row>
    <row r="513" customFormat="1" s="121">
      <c r="B513" s="22" t="n"/>
    </row>
    <row r="514" customFormat="1" s="121">
      <c r="B514" s="22" t="n"/>
    </row>
    <row r="515" customFormat="1" s="121">
      <c r="B515" s="22" t="n"/>
    </row>
    <row r="516" customFormat="1" s="121">
      <c r="B516" s="22" t="n"/>
    </row>
    <row r="517" customFormat="1" s="121">
      <c r="B517" s="22" t="n"/>
    </row>
    <row r="518" customFormat="1" s="121">
      <c r="B518" s="22" t="n"/>
    </row>
    <row r="519" customFormat="1" s="121">
      <c r="B519" s="22" t="n"/>
    </row>
    <row r="520" customFormat="1" s="121">
      <c r="B520" s="22" t="n"/>
    </row>
    <row r="521" customFormat="1" s="121">
      <c r="B521" s="22" t="n"/>
    </row>
    <row r="522" customFormat="1" s="121">
      <c r="B522" s="22" t="n"/>
    </row>
    <row r="523" customFormat="1" s="121">
      <c r="B523" s="22" t="n"/>
    </row>
    <row r="524" customFormat="1" s="121">
      <c r="B524" s="22" t="n"/>
    </row>
    <row r="525" customFormat="1" s="121">
      <c r="B525" s="22" t="n"/>
    </row>
    <row r="526" customFormat="1" s="121">
      <c r="B526" s="22" t="n"/>
    </row>
    <row r="527" customFormat="1" s="121">
      <c r="B527" s="22" t="n"/>
    </row>
    <row r="528" customFormat="1" s="121">
      <c r="B528" s="22" t="n"/>
    </row>
    <row r="529" customFormat="1" s="121">
      <c r="B529" s="22" t="n"/>
    </row>
    <row r="530" customFormat="1" s="121">
      <c r="B530" s="22" t="n"/>
    </row>
    <row r="531" customFormat="1" s="121">
      <c r="B531" s="22" t="n"/>
    </row>
    <row r="532" customFormat="1" s="121">
      <c r="B532" s="22" t="n"/>
    </row>
    <row r="533" customFormat="1" s="121">
      <c r="B533" s="22" t="n"/>
    </row>
    <row r="534" customFormat="1" s="121">
      <c r="B534" s="22" t="n"/>
    </row>
    <row r="535" customFormat="1" s="121">
      <c r="B535" s="22" t="n"/>
    </row>
    <row r="536" customFormat="1" s="121">
      <c r="B536" s="22" t="n"/>
    </row>
    <row r="537" customFormat="1" s="121">
      <c r="B537" s="22" t="n"/>
    </row>
    <row r="538" customFormat="1" s="121">
      <c r="B538" s="22" t="n"/>
    </row>
    <row r="539" customFormat="1" s="121">
      <c r="B539" s="22" t="n"/>
    </row>
    <row r="540" customFormat="1" s="121">
      <c r="B540" s="22" t="n"/>
    </row>
    <row r="541" customFormat="1" s="121">
      <c r="B541" s="22" t="n"/>
    </row>
    <row r="542" customFormat="1" s="121">
      <c r="B542" s="22" t="n"/>
    </row>
    <row r="543" customFormat="1" s="121">
      <c r="B543" s="22" t="n"/>
    </row>
    <row r="544" customFormat="1" s="121">
      <c r="B544" s="22" t="n"/>
    </row>
    <row r="545" customFormat="1" s="121">
      <c r="B545" s="22" t="n"/>
    </row>
    <row r="546" customFormat="1" s="121">
      <c r="B546" s="22" t="n"/>
    </row>
    <row r="547" customFormat="1" s="121">
      <c r="B547" s="22" t="n"/>
    </row>
    <row r="548" customFormat="1" s="121">
      <c r="B548" s="22" t="n"/>
    </row>
    <row r="549" customFormat="1" s="121">
      <c r="B549" s="22" t="n"/>
    </row>
    <row r="550" customFormat="1" s="121">
      <c r="B550" s="22" t="n"/>
    </row>
    <row r="551" customFormat="1" s="121">
      <c r="B551" s="22" t="n"/>
    </row>
    <row r="552" customFormat="1" s="121">
      <c r="B552" s="22" t="n"/>
    </row>
    <row r="553" customFormat="1" s="121">
      <c r="B553" s="22" t="n"/>
    </row>
    <row r="554" customFormat="1" s="121">
      <c r="B554" s="22" t="n"/>
    </row>
    <row r="555" customFormat="1" s="121">
      <c r="B555" s="22" t="n"/>
    </row>
    <row r="556" customFormat="1" s="121">
      <c r="B556" s="22" t="n"/>
    </row>
    <row r="557" customFormat="1" s="121">
      <c r="B557" s="22" t="n"/>
    </row>
    <row r="558" customFormat="1" s="121">
      <c r="B558" s="22" t="n"/>
    </row>
    <row r="559" customFormat="1" s="121">
      <c r="B559" s="22" t="n"/>
    </row>
    <row r="560" customFormat="1" s="121">
      <c r="B560" s="22" t="n"/>
    </row>
    <row r="561" customFormat="1" s="121">
      <c r="B561" s="22" t="n"/>
    </row>
    <row r="562" customFormat="1" s="121">
      <c r="B562" s="22" t="n"/>
    </row>
    <row r="563" customFormat="1" s="121">
      <c r="B563" s="22" t="n"/>
    </row>
    <row r="564" customFormat="1" s="121">
      <c r="B564" s="22" t="n"/>
    </row>
    <row r="565" customFormat="1" s="121">
      <c r="B565" s="22" t="n"/>
    </row>
    <row r="566" customFormat="1" s="121">
      <c r="B566" s="22" t="n"/>
    </row>
    <row r="567" customFormat="1" s="121">
      <c r="B567" s="22" t="n"/>
    </row>
    <row r="568" customFormat="1" s="121">
      <c r="B568" s="22" t="n"/>
    </row>
    <row r="569" customFormat="1" s="121">
      <c r="B569" s="22" t="n"/>
    </row>
    <row r="570" customFormat="1" s="121">
      <c r="B570" s="22" t="n"/>
    </row>
    <row r="571" customFormat="1" s="121">
      <c r="B571" s="22" t="n"/>
    </row>
    <row r="572" customFormat="1" s="121">
      <c r="B572" s="22" t="n"/>
    </row>
    <row r="573" customFormat="1" s="121">
      <c r="B573" s="22" t="n"/>
    </row>
    <row r="574" customFormat="1" s="121">
      <c r="B574" s="22" t="n"/>
    </row>
    <row r="575" customFormat="1" s="121">
      <c r="B575" s="22" t="n"/>
    </row>
    <row r="576" customFormat="1" s="121">
      <c r="B576" s="22" t="n"/>
    </row>
    <row r="577" customFormat="1" s="121">
      <c r="B577" s="22" t="n"/>
    </row>
    <row r="578" customFormat="1" s="121">
      <c r="B578" s="22" t="n"/>
    </row>
    <row r="579" customFormat="1" s="121">
      <c r="B579" s="22" t="n"/>
    </row>
    <row r="580" customFormat="1" s="121">
      <c r="B580" s="22" t="n"/>
    </row>
    <row r="581" customFormat="1" s="121">
      <c r="B581" s="22" t="n"/>
    </row>
    <row r="582" customFormat="1" s="121">
      <c r="B582" s="22" t="n"/>
    </row>
    <row r="583" customFormat="1" s="121">
      <c r="B583" s="22" t="n"/>
    </row>
    <row r="584" customFormat="1" s="121">
      <c r="B584" s="22" t="n"/>
    </row>
    <row r="585" customFormat="1" s="121">
      <c r="B585" s="22" t="n"/>
    </row>
    <row r="586" customFormat="1" s="121">
      <c r="B586" s="22" t="n"/>
    </row>
    <row r="587" customFormat="1" s="121">
      <c r="B587" s="22" t="n"/>
    </row>
    <row r="588" customFormat="1" s="121">
      <c r="B588" s="22" t="n"/>
    </row>
    <row r="589" customFormat="1" s="121">
      <c r="B589" s="22" t="n"/>
    </row>
    <row r="590" customFormat="1" s="121">
      <c r="B590" s="22" t="n"/>
    </row>
    <row r="591" customFormat="1" s="121">
      <c r="B591" s="22" t="n"/>
    </row>
    <row r="592" customFormat="1" s="121">
      <c r="B592" s="22" t="n"/>
    </row>
    <row r="593" customFormat="1" s="121">
      <c r="B593" s="22" t="n"/>
    </row>
    <row r="594" customFormat="1" s="121">
      <c r="B594" s="22" t="n"/>
    </row>
    <row r="595" customFormat="1" s="121">
      <c r="B595" s="22" t="n"/>
    </row>
    <row r="596" customFormat="1" s="121">
      <c r="B596" s="22" t="n"/>
    </row>
    <row r="597" customFormat="1" s="121">
      <c r="B597" s="22" t="n"/>
    </row>
    <row r="598" customFormat="1" s="121">
      <c r="B598" s="22" t="n"/>
    </row>
    <row r="599" customFormat="1" s="121">
      <c r="B599" s="22" t="n"/>
    </row>
    <row r="600" customFormat="1" s="121">
      <c r="B600" s="22" t="n"/>
    </row>
    <row r="601" customFormat="1" s="121">
      <c r="B601" s="22" t="n"/>
    </row>
    <row r="602" customFormat="1" s="121">
      <c r="B602" s="22" t="n"/>
    </row>
    <row r="603" customFormat="1" s="121">
      <c r="B603" s="22" t="n"/>
    </row>
    <row r="604" customFormat="1" s="121">
      <c r="B604" s="22" t="n"/>
    </row>
    <row r="605" customFormat="1" s="121">
      <c r="B605" s="22" t="n"/>
    </row>
    <row r="606" customFormat="1" s="121">
      <c r="B606" s="22" t="n"/>
    </row>
    <row r="607" customFormat="1" s="121">
      <c r="B607" s="22" t="n"/>
    </row>
    <row r="608" customFormat="1" s="121">
      <c r="B608" s="22" t="n"/>
    </row>
    <row r="609" customFormat="1" s="121">
      <c r="B609" s="22" t="n"/>
    </row>
    <row r="610" customFormat="1" s="121">
      <c r="B610" s="22" t="n"/>
    </row>
    <row r="611" customFormat="1" s="121">
      <c r="B611" s="22" t="n"/>
    </row>
    <row r="612" customFormat="1" s="121">
      <c r="B612" s="22" t="n"/>
    </row>
    <row r="613" customFormat="1" s="121">
      <c r="B613" s="22" t="n"/>
    </row>
    <row r="614" customFormat="1" s="121">
      <c r="B614" s="22" t="n"/>
    </row>
    <row r="615" customFormat="1" s="121">
      <c r="B615" s="22" t="n"/>
    </row>
    <row r="616" customFormat="1" s="121">
      <c r="B616" s="22" t="n"/>
    </row>
    <row r="617" customFormat="1" s="121">
      <c r="B617" s="22" t="n"/>
    </row>
    <row r="618" customFormat="1" s="121">
      <c r="B618" s="22" t="n"/>
    </row>
    <row r="619" customFormat="1" s="121">
      <c r="B619" s="22" t="n"/>
    </row>
    <row r="620" customFormat="1" s="121">
      <c r="B620" s="22" t="n"/>
    </row>
    <row r="621" customFormat="1" s="121">
      <c r="B621" s="22" t="n"/>
    </row>
    <row r="622" customFormat="1" s="121">
      <c r="B622" s="22" t="n"/>
    </row>
    <row r="623" customFormat="1" s="121">
      <c r="B623" s="22" t="n"/>
    </row>
    <row r="624" customFormat="1" s="121">
      <c r="B624" s="22" t="n"/>
    </row>
    <row r="625" customFormat="1" s="121">
      <c r="B625" s="22" t="n"/>
    </row>
    <row r="626" customFormat="1" s="121">
      <c r="B626" s="22" t="n"/>
    </row>
    <row r="627" customFormat="1" s="121">
      <c r="B627" s="22" t="n"/>
    </row>
    <row r="628" customFormat="1" s="121">
      <c r="B628" s="22" t="n"/>
    </row>
    <row r="629" customFormat="1" s="121">
      <c r="B629" s="22" t="n"/>
    </row>
    <row r="630" customFormat="1" s="121">
      <c r="B630" s="22" t="n"/>
    </row>
    <row r="631" customFormat="1" s="121">
      <c r="B631" s="22" t="n"/>
    </row>
    <row r="632" customFormat="1" s="121">
      <c r="B632" s="22" t="n"/>
    </row>
    <row r="633" customFormat="1" s="121">
      <c r="B633" s="22" t="n"/>
    </row>
    <row r="634" customFormat="1" s="121">
      <c r="B634" s="22" t="n"/>
    </row>
    <row r="635" customFormat="1" s="121">
      <c r="B635" s="22" t="n"/>
    </row>
    <row r="636" customFormat="1" s="121">
      <c r="B636" s="22" t="n"/>
    </row>
    <row r="637" customFormat="1" s="121">
      <c r="B637" s="22" t="n"/>
    </row>
    <row r="638" customFormat="1" s="121">
      <c r="B638" s="22" t="n"/>
    </row>
    <row r="639" customFormat="1" s="121">
      <c r="B639" s="22" t="n"/>
    </row>
    <row r="640" customFormat="1" s="121">
      <c r="B640" s="22" t="n"/>
    </row>
    <row r="641" customFormat="1" s="121">
      <c r="B641" s="22" t="n"/>
    </row>
    <row r="642" customFormat="1" s="121">
      <c r="B642" s="22" t="n"/>
    </row>
    <row r="643" customFormat="1" s="121">
      <c r="B643" s="22" t="n"/>
    </row>
    <row r="644" customFormat="1" s="121">
      <c r="B644" s="22" t="n"/>
    </row>
    <row r="645" customFormat="1" s="121">
      <c r="B645" s="22" t="n"/>
    </row>
    <row r="646" customFormat="1" s="121">
      <c r="B646" s="22" t="n"/>
    </row>
    <row r="647" customFormat="1" s="121">
      <c r="B647" s="22" t="n"/>
    </row>
    <row r="648" customFormat="1" s="121">
      <c r="B648" s="22" t="n"/>
    </row>
    <row r="649" customFormat="1" s="121">
      <c r="B649" s="22" t="n"/>
    </row>
    <row r="650" customFormat="1" s="121">
      <c r="B650" s="22" t="n"/>
    </row>
    <row r="651" customFormat="1" s="121">
      <c r="B651" s="22" t="n"/>
    </row>
    <row r="652" customFormat="1" s="121">
      <c r="B652" s="22" t="n"/>
    </row>
    <row r="653" customFormat="1" s="121">
      <c r="B653" s="22" t="n"/>
    </row>
    <row r="654" customFormat="1" s="121">
      <c r="B654" s="22" t="n"/>
    </row>
    <row r="655" customFormat="1" s="121">
      <c r="B655" s="22" t="n"/>
    </row>
    <row r="656" customFormat="1" s="121">
      <c r="B656" s="22" t="n"/>
    </row>
    <row r="657" customFormat="1" s="121">
      <c r="B657" s="22" t="n"/>
    </row>
    <row r="658" customFormat="1" s="121">
      <c r="B658" s="22" t="n"/>
    </row>
    <row r="659" customFormat="1" s="121">
      <c r="B659" s="22" t="n"/>
    </row>
    <row r="660" customFormat="1" s="121">
      <c r="B660" s="22" t="n"/>
    </row>
    <row r="661" customFormat="1" s="121">
      <c r="B661" s="22" t="n"/>
    </row>
    <row r="662" customFormat="1" s="121">
      <c r="B662" s="22" t="n"/>
    </row>
    <row r="663" customFormat="1" s="121">
      <c r="B663" s="22" t="n"/>
    </row>
    <row r="664" customFormat="1" s="121">
      <c r="B664" s="22" t="n"/>
    </row>
    <row r="665" customFormat="1" s="121">
      <c r="B665" s="22" t="n"/>
    </row>
    <row r="666" customFormat="1" s="121">
      <c r="B666" s="22" t="n"/>
    </row>
    <row r="667" customFormat="1" s="121">
      <c r="B667" s="22" t="n"/>
    </row>
    <row r="668" customFormat="1" s="121">
      <c r="B668" s="22" t="n"/>
    </row>
    <row r="669" customFormat="1" s="121">
      <c r="B669" s="22" t="n"/>
    </row>
    <row r="670" customFormat="1" s="121">
      <c r="B670" s="22" t="n"/>
    </row>
    <row r="671" customFormat="1" s="121">
      <c r="B671" s="22" t="n"/>
    </row>
    <row r="672" customFormat="1" s="121">
      <c r="B672" s="22" t="n"/>
    </row>
    <row r="673" customFormat="1" s="121">
      <c r="B673" s="22" t="n"/>
    </row>
    <row r="674" customFormat="1" s="121">
      <c r="B674" s="22" t="n"/>
    </row>
    <row r="675" customFormat="1" s="121">
      <c r="B675" s="22" t="n"/>
    </row>
    <row r="676" customFormat="1" s="121">
      <c r="B676" s="22" t="n"/>
    </row>
    <row r="677" customFormat="1" s="121">
      <c r="B677" s="22" t="n"/>
    </row>
    <row r="678" customFormat="1" s="121">
      <c r="B678" s="22" t="n"/>
    </row>
    <row r="679" customFormat="1" s="121">
      <c r="B679" s="22" t="n"/>
    </row>
    <row r="680" customFormat="1" s="121">
      <c r="B680" s="22" t="n"/>
    </row>
    <row r="681" customFormat="1" s="121">
      <c r="B681" s="22" t="n"/>
    </row>
    <row r="682" customFormat="1" s="121">
      <c r="B682" s="22" t="n"/>
    </row>
    <row r="683" customFormat="1" s="121">
      <c r="B683" s="22" t="n"/>
    </row>
    <row r="684" customFormat="1" s="121">
      <c r="B684" s="22" t="n"/>
    </row>
    <row r="685" customFormat="1" s="121">
      <c r="B685" s="22" t="n"/>
    </row>
    <row r="686" customFormat="1" s="121">
      <c r="B686" s="22" t="n"/>
    </row>
    <row r="687" customFormat="1" s="121">
      <c r="B687" s="22" t="n"/>
    </row>
    <row r="688" customFormat="1" s="121">
      <c r="B688" s="22" t="n"/>
    </row>
    <row r="689" customFormat="1" s="121">
      <c r="B689" s="22" t="n"/>
    </row>
    <row r="690" customFormat="1" s="121">
      <c r="B690" s="22" t="n"/>
    </row>
    <row r="691" customFormat="1" s="121">
      <c r="B691" s="22" t="n"/>
    </row>
    <row r="692" customFormat="1" s="121">
      <c r="B692" s="22" t="n"/>
    </row>
    <row r="693" customFormat="1" s="121">
      <c r="B693" s="22" t="n"/>
    </row>
    <row r="694" customFormat="1" s="121">
      <c r="B694" s="22" t="n"/>
    </row>
    <row r="695" customFormat="1" s="121">
      <c r="B695" s="22" t="n"/>
    </row>
    <row r="696" customFormat="1" s="121">
      <c r="B696" s="22" t="n"/>
    </row>
    <row r="697" customFormat="1" s="121">
      <c r="B697" s="22" t="n"/>
    </row>
    <row r="698" customFormat="1" s="121">
      <c r="B698" s="22" t="n"/>
    </row>
    <row r="699" customFormat="1" s="121">
      <c r="B699" s="22" t="n"/>
    </row>
    <row r="700" customFormat="1" s="121">
      <c r="B700" s="22" t="n"/>
    </row>
    <row r="701" customFormat="1" s="121">
      <c r="B701" s="22" t="n"/>
    </row>
    <row r="702" customFormat="1" s="121">
      <c r="B702" s="22" t="n"/>
    </row>
    <row r="703" customFormat="1" s="121">
      <c r="B703" s="22" t="n"/>
    </row>
    <row r="704" customFormat="1" s="121">
      <c r="B704" s="22" t="n"/>
    </row>
    <row r="705" customFormat="1" s="121">
      <c r="B705" s="22" t="n"/>
    </row>
    <row r="706" customFormat="1" s="121">
      <c r="B706" s="22" t="n"/>
    </row>
    <row r="707" customFormat="1" s="121">
      <c r="B707" s="22" t="n"/>
    </row>
    <row r="708" customFormat="1" s="121">
      <c r="B708" s="22" t="n"/>
    </row>
    <row r="709" customFormat="1" s="121">
      <c r="B709" s="22" t="n"/>
    </row>
    <row r="710" customFormat="1" s="121">
      <c r="B710" s="22" t="n"/>
    </row>
    <row r="711" customFormat="1" s="121">
      <c r="B711" s="22" t="n"/>
    </row>
    <row r="712" customFormat="1" s="121">
      <c r="B712" s="22" t="n"/>
    </row>
    <row r="713" customFormat="1" s="121">
      <c r="B713" s="22" t="n"/>
    </row>
    <row r="714" customFormat="1" s="121">
      <c r="B714" s="22" t="n"/>
    </row>
    <row r="715" customFormat="1" s="121">
      <c r="B715" s="22" t="n"/>
    </row>
    <row r="716" customFormat="1" s="121">
      <c r="B716" s="22" t="n"/>
    </row>
    <row r="717" customFormat="1" s="121">
      <c r="B717" s="22" t="n"/>
    </row>
    <row r="718" customFormat="1" s="121">
      <c r="B718" s="22" t="n"/>
    </row>
    <row r="719" customFormat="1" s="121">
      <c r="B719" s="22" t="n"/>
    </row>
    <row r="720" customFormat="1" s="121">
      <c r="B720" s="22" t="n"/>
    </row>
    <row r="721" customFormat="1" s="121">
      <c r="B721" s="22" t="n"/>
    </row>
    <row r="722" customFormat="1" s="121">
      <c r="B722" s="22" t="n"/>
    </row>
    <row r="723" customFormat="1" s="121">
      <c r="B723" s="22" t="n"/>
    </row>
    <row r="724" customFormat="1" s="121">
      <c r="B724" s="22" t="n"/>
    </row>
    <row r="725" customFormat="1" s="121">
      <c r="B725" s="22" t="n"/>
    </row>
    <row r="726" customFormat="1" s="121">
      <c r="B726" s="22" t="n"/>
    </row>
    <row r="727" customFormat="1" s="121">
      <c r="B727" s="22" t="n"/>
    </row>
    <row r="728" customFormat="1" s="121">
      <c r="B728" s="22" t="n"/>
    </row>
    <row r="729" customFormat="1" s="121">
      <c r="B729" s="22" t="n"/>
    </row>
    <row r="730" customFormat="1" s="121">
      <c r="B730" s="22" t="n"/>
    </row>
    <row r="731" customFormat="1" s="121">
      <c r="B731" s="22" t="n"/>
    </row>
    <row r="732" customFormat="1" s="121">
      <c r="B732" s="22" t="n"/>
    </row>
    <row r="733" customFormat="1" s="121">
      <c r="B733" s="22" t="n"/>
    </row>
    <row r="734" customFormat="1" s="121">
      <c r="B734" s="22" t="n"/>
    </row>
    <row r="735" customFormat="1" s="121">
      <c r="B735" s="22" t="n"/>
    </row>
    <row r="736" customFormat="1" s="121">
      <c r="B736" s="22" t="n"/>
    </row>
    <row r="737" customFormat="1" s="121">
      <c r="B737" s="22" t="n"/>
    </row>
    <row r="738" customFormat="1" s="121">
      <c r="B738" s="22" t="n"/>
    </row>
    <row r="739" customFormat="1" s="121">
      <c r="B739" s="22" t="n"/>
    </row>
    <row r="740" customFormat="1" s="121">
      <c r="B740" s="22" t="n"/>
    </row>
    <row r="741" customFormat="1" s="121">
      <c r="B741" s="22" t="n"/>
    </row>
    <row r="742" customFormat="1" s="121">
      <c r="B742" s="22" t="n"/>
    </row>
    <row r="743" customFormat="1" s="121">
      <c r="B743" s="22" t="n"/>
    </row>
    <row r="744" customFormat="1" s="121">
      <c r="B744" s="22" t="n"/>
    </row>
    <row r="745" customFormat="1" s="121">
      <c r="B745" s="22" t="n"/>
    </row>
    <row r="746" customFormat="1" s="121">
      <c r="B746" s="22" t="n"/>
    </row>
    <row r="747" customFormat="1" s="121">
      <c r="B747" s="22" t="n"/>
    </row>
    <row r="748" customFormat="1" s="121">
      <c r="B748" s="22" t="n"/>
    </row>
    <row r="749" customFormat="1" s="121">
      <c r="B749" s="22" t="n"/>
    </row>
    <row r="750" customFormat="1" s="121">
      <c r="B750" s="22" t="n"/>
    </row>
    <row r="751" customFormat="1" s="121">
      <c r="B751" s="22" t="n"/>
    </row>
    <row r="752" customFormat="1" s="121">
      <c r="B752" s="22" t="n"/>
    </row>
    <row r="753" customFormat="1" s="121">
      <c r="B753" s="22" t="n"/>
    </row>
    <row r="754" customFormat="1" s="121">
      <c r="B754" s="22" t="n"/>
    </row>
    <row r="755" customFormat="1" s="121">
      <c r="B755" s="22" t="n"/>
    </row>
    <row r="756" customFormat="1" s="121">
      <c r="B756" s="22" t="n"/>
    </row>
    <row r="757" customFormat="1" s="121">
      <c r="B757" s="22" t="n"/>
    </row>
    <row r="758" customFormat="1" s="121">
      <c r="B758" s="22" t="n"/>
    </row>
    <row r="759" customFormat="1" s="121">
      <c r="B759" s="22" t="n"/>
    </row>
    <row r="760" customFormat="1" s="121">
      <c r="B760" s="22" t="n"/>
    </row>
    <row r="761" customFormat="1" s="121">
      <c r="B761" s="22" t="n"/>
    </row>
    <row r="762" customFormat="1" s="121">
      <c r="B762" s="22" t="n"/>
    </row>
    <row r="763" customFormat="1" s="121">
      <c r="B763" s="22" t="n"/>
    </row>
    <row r="764" customFormat="1" s="121">
      <c r="B764" s="22" t="n"/>
    </row>
    <row r="765" customFormat="1" s="121">
      <c r="B765" s="22" t="n"/>
    </row>
    <row r="766" customFormat="1" s="121">
      <c r="B766" s="22" t="n"/>
    </row>
    <row r="767" customFormat="1" s="121">
      <c r="B767" s="22" t="n"/>
    </row>
    <row r="768" customFormat="1" s="121">
      <c r="B768" s="22" t="n"/>
    </row>
    <row r="769" customFormat="1" s="121">
      <c r="B769" s="22" t="n"/>
    </row>
    <row r="770" customFormat="1" s="121">
      <c r="B770" s="22" t="n"/>
    </row>
    <row r="771" customFormat="1" s="121">
      <c r="B771" s="22" t="n"/>
    </row>
    <row r="772" customFormat="1" s="121">
      <c r="B772" s="22" t="n"/>
    </row>
    <row r="773" customFormat="1" s="121">
      <c r="B773" s="22" t="n"/>
    </row>
    <row r="774">
      <c r="A774" s="121" t="n"/>
      <c r="B774" s="22" t="n"/>
      <c r="C774" s="121" t="n"/>
      <c r="D774" s="121" t="n"/>
    </row>
    <row r="775">
      <c r="A775" s="121" t="n"/>
      <c r="B775" s="22" t="n"/>
      <c r="C775" s="121" t="n"/>
      <c r="D775" s="121" t="n"/>
    </row>
    <row r="776">
      <c r="A776" s="121" t="n"/>
      <c r="B776" s="22" t="n"/>
      <c r="C776" s="121" t="n"/>
      <c r="D776" s="121" t="n"/>
    </row>
    <row r="777">
      <c r="A777" s="121" t="n"/>
      <c r="B777" s="22" t="n"/>
      <c r="C777" s="121" t="n"/>
      <c r="D777" s="121" t="n"/>
    </row>
    <row r="778">
      <c r="A778" s="121" t="n"/>
      <c r="B778" s="22" t="n"/>
      <c r="C778" s="121" t="n"/>
      <c r="D778" s="121" t="n"/>
    </row>
    <row r="779">
      <c r="A779" s="121" t="n"/>
      <c r="B779" s="22" t="n"/>
      <c r="C779" s="121" t="n"/>
      <c r="D779" s="121" t="n"/>
    </row>
    <row r="780">
      <c r="A780" s="121" t="n"/>
      <c r="B780" s="22" t="n"/>
      <c r="C780" s="121" t="n"/>
      <c r="D780" s="121" t="n"/>
    </row>
    <row r="781">
      <c r="A781" s="121" t="n"/>
      <c r="B781" s="22" t="n"/>
      <c r="C781" s="121" t="n"/>
      <c r="D781" s="121" t="n"/>
    </row>
    <row r="782">
      <c r="A782" s="121" t="n"/>
      <c r="B782" s="22" t="n"/>
      <c r="C782" s="121" t="n"/>
      <c r="D782" s="121" t="n"/>
    </row>
    <row r="783">
      <c r="A783" s="121" t="n"/>
      <c r="B783" s="22" t="n"/>
      <c r="C783" s="121" t="n"/>
      <c r="D783" s="121" t="n"/>
    </row>
    <row r="784">
      <c r="A784" s="121" t="n"/>
      <c r="B784" s="22" t="n"/>
      <c r="C784" s="121" t="n"/>
      <c r="D784" s="121" t="n"/>
    </row>
    <row r="785">
      <c r="A785" s="121" t="n"/>
      <c r="B785" s="22" t="n"/>
      <c r="C785" s="121" t="n"/>
      <c r="D785" s="121" t="n"/>
    </row>
    <row r="786">
      <c r="A786" s="121" t="n"/>
      <c r="B786" s="22" t="n"/>
      <c r="C786" s="121" t="n"/>
      <c r="D786" s="121" t="n"/>
    </row>
    <row r="787">
      <c r="A787" s="121" t="n"/>
      <c r="B787" s="22" t="n"/>
      <c r="C787" s="121" t="n"/>
      <c r="D787" s="121" t="n"/>
    </row>
    <row r="788">
      <c r="A788" s="121" t="n"/>
      <c r="B788" s="22" t="n"/>
      <c r="C788" s="121" t="n"/>
      <c r="D788" s="121" t="n"/>
    </row>
    <row r="789">
      <c r="A789" s="121" t="n"/>
      <c r="B789" s="22" t="n"/>
      <c r="C789" s="121" t="n"/>
      <c r="D789" s="121" t="n"/>
    </row>
    <row r="790">
      <c r="A790" s="121" t="n"/>
      <c r="B790" s="22" t="n"/>
      <c r="C790" s="121" t="n"/>
      <c r="D790" s="121" t="n"/>
    </row>
    <row r="791">
      <c r="A791" s="121" t="n"/>
      <c r="B791" s="22" t="n"/>
      <c r="C791" s="121" t="n"/>
      <c r="D791" s="121" t="n"/>
    </row>
    <row r="792">
      <c r="A792" s="121" t="n"/>
      <c r="B792" s="22" t="n"/>
      <c r="C792" s="121" t="n"/>
      <c r="D792" s="121" t="n"/>
    </row>
    <row r="793">
      <c r="A793" s="121" t="n"/>
      <c r="B793" s="22" t="n"/>
      <c r="C793" s="121" t="n"/>
      <c r="D793" s="121" t="n"/>
    </row>
    <row r="794">
      <c r="A794" s="121" t="n"/>
      <c r="B794" s="22" t="n"/>
      <c r="C794" s="121" t="n"/>
      <c r="D794" s="121" t="n"/>
    </row>
    <row r="795">
      <c r="A795" s="121" t="n"/>
      <c r="B795" s="22" t="n"/>
      <c r="C795" s="121" t="n"/>
      <c r="D795" s="121" t="n"/>
    </row>
    <row r="796">
      <c r="A796" s="121" t="n"/>
      <c r="B796" s="22" t="n"/>
      <c r="C796" s="121" t="n"/>
      <c r="D796" s="121" t="n"/>
    </row>
    <row r="797">
      <c r="A797" s="121" t="n"/>
      <c r="B797" s="22" t="n"/>
      <c r="C797" s="121" t="n"/>
      <c r="D797" s="121" t="n"/>
    </row>
    <row r="798">
      <c r="A798" s="121" t="n"/>
      <c r="B798" s="22" t="n"/>
      <c r="C798" s="121" t="n"/>
      <c r="D798" s="121" t="n"/>
    </row>
    <row r="799">
      <c r="A799" s="121" t="n"/>
      <c r="B799" s="22" t="n"/>
      <c r="C799" s="121" t="n"/>
      <c r="D799" s="121" t="n"/>
    </row>
    <row r="800">
      <c r="A800" s="121" t="n"/>
      <c r="B800" s="22" t="n"/>
      <c r="C800" s="121" t="n"/>
      <c r="D800" s="121" t="n"/>
    </row>
    <row r="801">
      <c r="A801" s="121" t="n"/>
      <c r="B801" s="22" t="n"/>
      <c r="C801" s="121" t="n"/>
      <c r="D801" s="121" t="n"/>
    </row>
    <row r="802">
      <c r="A802" s="121" t="n"/>
      <c r="B802" s="22" t="n"/>
      <c r="C802" s="121" t="n"/>
      <c r="D802" s="121" t="n"/>
    </row>
    <row r="803">
      <c r="A803" s="121" t="n"/>
      <c r="B803" s="22" t="n"/>
      <c r="C803" s="121" t="n"/>
      <c r="D803" s="121" t="n"/>
    </row>
    <row r="804">
      <c r="A804" s="121" t="n"/>
      <c r="B804" s="22" t="n"/>
      <c r="C804" s="121" t="n"/>
      <c r="D804" s="121" t="n"/>
    </row>
    <row r="805">
      <c r="A805" s="121" t="n"/>
      <c r="B805" s="22" t="n"/>
      <c r="C805" s="121" t="n"/>
      <c r="D805" s="121" t="n"/>
    </row>
    <row r="806">
      <c r="A806" s="121" t="n"/>
      <c r="B806" s="22" t="n"/>
      <c r="C806" s="121" t="n"/>
      <c r="D806" s="121" t="n"/>
    </row>
    <row r="807">
      <c r="A807" s="121" t="n"/>
      <c r="B807" s="22" t="n"/>
      <c r="C807" s="121" t="n"/>
      <c r="D807" s="121" t="n"/>
    </row>
    <row r="808">
      <c r="A808" s="121" t="n"/>
      <c r="B808" s="22" t="n"/>
      <c r="C808" s="121" t="n"/>
      <c r="D808" s="121" t="n"/>
    </row>
    <row r="809">
      <c r="A809" s="121" t="n"/>
      <c r="B809" s="22" t="n"/>
      <c r="C809" s="121" t="n"/>
      <c r="D809" s="121" t="n"/>
    </row>
    <row r="810">
      <c r="A810" s="121" t="n"/>
      <c r="B810" s="22" t="n"/>
      <c r="C810" s="121" t="n"/>
      <c r="D810" s="121" t="n"/>
    </row>
    <row r="811">
      <c r="A811" s="121" t="n"/>
      <c r="B811" s="22" t="n"/>
      <c r="C811" s="121" t="n"/>
      <c r="D811" s="121" t="n"/>
    </row>
    <row r="812">
      <c r="A812" s="121" t="n"/>
      <c r="B812" s="22" t="n"/>
      <c r="C812" s="121" t="n"/>
      <c r="D812" s="121" t="n"/>
    </row>
    <row r="813">
      <c r="A813" s="121" t="n"/>
      <c r="B813" s="22" t="n"/>
      <c r="C813" s="121" t="n"/>
      <c r="D813" s="121" t="n"/>
    </row>
    <row r="814">
      <c r="A814" s="121" t="n"/>
      <c r="B814" s="22" t="n"/>
      <c r="C814" s="121" t="n"/>
      <c r="D814" s="121" t="n"/>
    </row>
    <row r="815">
      <c r="A815" s="121" t="n"/>
      <c r="B815" s="22" t="n"/>
      <c r="C815" s="121" t="n"/>
      <c r="D815" s="121" t="n"/>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77"/>
  <sheetViews>
    <sheetView zoomScale="140" zoomScaleNormal="140" workbookViewId="0">
      <pane ySplit="6" topLeftCell="A360" activePane="bottomLeft" state="frozen"/>
      <selection pane="bottomLeft" activeCell="AA381" sqref="AA381"/>
    </sheetView>
  </sheetViews>
  <sheetFormatPr baseColWidth="8" defaultColWidth="8.81640625" defaultRowHeight="14.5"/>
  <cols>
    <col width="14" customWidth="1" style="54" min="1" max="1"/>
    <col width="23.1796875" customWidth="1" style="54" min="2" max="2"/>
    <col width="14.1796875" customWidth="1" style="54" min="3" max="4"/>
    <col width="9.1796875" customWidth="1" style="121" min="5" max="69"/>
  </cols>
  <sheetData>
    <row r="1" customFormat="1" s="121">
      <c r="A1" s="121" t="inlineStr">
        <is>
          <t>RSDBS</t>
        </is>
      </c>
      <c r="B1" s="29" t="inlineStr">
        <is>
          <t>Food and Beverage Stores (RSDBS), Millions of Dollars, Monthly, Seasonally Adjusted</t>
        </is>
      </c>
      <c r="C1" s="54" t="n"/>
      <c r="D1" s="54" t="n"/>
    </row>
    <row r="2" customFormat="1" s="121">
      <c r="A2" s="127" t="inlineStr">
        <is>
          <t>https://fred.stlouisfed.org/series/RSDBS</t>
        </is>
      </c>
      <c r="C2" s="54" t="n"/>
      <c r="D2" s="54" t="n"/>
    </row>
    <row r="3" customFormat="1" s="121">
      <c r="A3" s="9" t="n"/>
      <c r="B3" s="54" t="n"/>
      <c r="C3" s="54" t="n"/>
      <c r="D3" s="54" t="n"/>
    </row>
    <row r="4" customFormat="1" s="121">
      <c r="A4" s="9" t="n"/>
      <c r="B4" s="54" t="n"/>
      <c r="C4" s="54" t="n"/>
      <c r="D4" s="54" t="n"/>
    </row>
    <row r="5" ht="16" customFormat="1" customHeight="1" s="121" thickBot="1">
      <c r="A5" s="54" t="n"/>
      <c r="B5" s="54" t="n"/>
      <c r="C5" s="54" t="n"/>
      <c r="D5" s="54" t="n"/>
    </row>
    <row r="6" ht="43.5" customHeight="1">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0"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row r="377">
      <c r="A377" s="10" t="n">
        <v>44866</v>
      </c>
      <c r="B377" s="15">
        <f>VLOOKUP(A377,Database!A:K,MATCH($A$1,Database!$A$1:$K$1,),)</f>
        <v/>
      </c>
      <c r="C377" s="12">
        <f>(B377-B376)/B376</f>
        <v/>
      </c>
      <c r="D377" s="13">
        <f>(B377-B365)/B365</f>
        <v/>
      </c>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77"/>
  <sheetViews>
    <sheetView zoomScale="140" zoomScaleNormal="140" workbookViewId="0">
      <pane ySplit="6" topLeftCell="A354" activePane="bottomLeft" state="frozen"/>
      <selection activeCell="P14" sqref="P14"/>
      <selection pane="bottomLeft" activeCell="AE370" sqref="AE370"/>
    </sheetView>
  </sheetViews>
  <sheetFormatPr baseColWidth="8" defaultColWidth="9.1796875" defaultRowHeight="14.5"/>
  <cols>
    <col width="14" customWidth="1" style="54" min="1" max="1"/>
    <col width="14.1796875" customWidth="1" style="54" min="2" max="4"/>
    <col width="9.1796875" customWidth="1" style="121" min="5" max="21"/>
    <col width="9.1796875" customWidth="1" style="121" min="22" max="16384"/>
  </cols>
  <sheetData>
    <row r="1">
      <c r="A1" s="121" t="inlineStr">
        <is>
          <t>RSNSR</t>
        </is>
      </c>
      <c r="B1" s="29" t="inlineStr">
        <is>
          <t>Retail Trade: Nonstore Retailers (RSNSR), Millions of Dollars, Monthly, Seasonally Adjusted</t>
        </is>
      </c>
    </row>
    <row r="2">
      <c r="A2" s="127" t="inlineStr">
        <is>
          <t>https://fred.stlouisfed.org/series/RSNSR</t>
        </is>
      </c>
      <c r="B2" s="121" t="n"/>
    </row>
    <row r="3">
      <c r="A3" s="9" t="n"/>
    </row>
    <row r="4">
      <c r="A4" s="9" t="n"/>
    </row>
    <row r="5" ht="16" customHeight="1" thickBot="1"/>
    <row r="6" ht="57" customHeight="1">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0"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77"/>
  <sheetViews>
    <sheetView zoomScale="130" zoomScaleNormal="130" workbookViewId="0">
      <pane ySplit="6" topLeftCell="A351" activePane="bottomLeft" state="frozen"/>
      <selection pane="bottomLeft" activeCell="AE370" sqref="AE370"/>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1"/>
    <col width="9.1796875" customWidth="1" style="121" min="22" max="16384"/>
  </cols>
  <sheetData>
    <row r="1">
      <c r="A1" s="121" t="inlineStr">
        <is>
          <t>RSHPCS</t>
        </is>
      </c>
      <c r="B1" s="29" t="inlineStr">
        <is>
          <t>Retail Trade: Health and Personal Care Stores (RSHPCS), Millions of Dollars, Monthly, Seasonally Adjusted</t>
        </is>
      </c>
    </row>
    <row r="2">
      <c r="A2" s="127" t="inlineStr">
        <is>
          <t>https://fred.stlouisfed.org/series/RSHPCS</t>
        </is>
      </c>
      <c r="B2" s="121" t="n"/>
    </row>
    <row r="3">
      <c r="A3" s="9" t="n"/>
    </row>
    <row r="4">
      <c r="A4" s="9" t="n"/>
    </row>
    <row r="5" ht="16" customHeight="1" thickBot="1"/>
    <row r="6" ht="44.25" customHeight="1">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0"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row r="377">
      <c r="A377" s="10" t="n">
        <v>44866</v>
      </c>
      <c r="B377" s="15">
        <f>VLOOKUP(A377,Database!A:Q,MATCH($A$1,Database!$A$1:$Q$1,),)</f>
        <v/>
      </c>
      <c r="C377" s="12">
        <f>(B377-B376)/B376</f>
        <v/>
      </c>
      <c r="D377" s="13">
        <f>(B377-B365)/B365</f>
        <v/>
      </c>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77"/>
  <sheetViews>
    <sheetView zoomScale="130" zoomScaleNormal="130" workbookViewId="0">
      <pane ySplit="6" topLeftCell="A350" activePane="bottomLeft" state="frozen"/>
      <selection pane="bottomLeft" activeCell="AF367" sqref="AF367"/>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1"/>
    <col width="9.1796875" customWidth="1" style="121" min="22" max="16384"/>
  </cols>
  <sheetData>
    <row r="1">
      <c r="A1" s="121" t="inlineStr">
        <is>
          <t>RSSGHBMS</t>
        </is>
      </c>
      <c r="B1" s="29" t="inlineStr">
        <is>
          <t>Retail Trade: Sporting Goods, Hobby, Book, and Music Stores (RSSGHBMS), Millions of Dollars, Monthly, Seasonally Adjusted</t>
        </is>
      </c>
    </row>
    <row r="2">
      <c r="A2" s="127" t="inlineStr">
        <is>
          <t>https://fred.stlouisfed.org/series/RSSGHBMS</t>
        </is>
      </c>
      <c r="B2" s="121" t="n"/>
    </row>
    <row r="3">
      <c r="A3" s="9" t="n"/>
    </row>
    <row r="4">
      <c r="A4" s="9" t="n"/>
    </row>
    <row r="5" ht="16" customHeight="1" thickBot="1"/>
    <row r="6" ht="44.25" customHeight="1">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sheetData>
  <conditionalFormatting sqref="D19:D377">
    <cfRule type="colorScale" priority="1">
      <colorScale>
        <cfvo type="min"/>
        <cfvo type="percentile" val="50"/>
        <cfvo type="max"/>
        <color rgb="FFF8696B"/>
        <color rgb="FFFFEB84"/>
        <color rgb="FF63BE7B"/>
      </colorScale>
    </cfRule>
  </conditionalFormatting>
  <conditionalFormatting sqref="C8:C377">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77"/>
  <sheetViews>
    <sheetView zoomScale="130" zoomScaleNormal="130" workbookViewId="0">
      <pane ySplit="6" topLeftCell="A354" activePane="bottomLeft" state="frozen"/>
      <selection pane="bottomLeft" activeCell="AE363" sqref="AE363"/>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1"/>
    <col width="9.1796875" customWidth="1" style="121" min="22" max="16384"/>
  </cols>
  <sheetData>
    <row r="1">
      <c r="A1" s="121" t="inlineStr">
        <is>
          <t>RSGMS</t>
        </is>
      </c>
      <c r="B1" s="29" t="inlineStr">
        <is>
          <t>Retail Trade: General Merchandise Stores (RSGMS), Millions of Dollars, Monthly, Seasonally Adjusted</t>
        </is>
      </c>
    </row>
    <row r="2">
      <c r="A2" s="127" t="inlineStr">
        <is>
          <t>https://fred.stlouisfed.org/series/RSGMS</t>
        </is>
      </c>
      <c r="B2" s="121" t="n"/>
    </row>
    <row r="3">
      <c r="A3" s="9" t="n"/>
    </row>
    <row r="4">
      <c r="A4" s="9" t="n"/>
    </row>
    <row r="5" ht="16" customHeight="1" thickBot="1"/>
    <row r="6" ht="44.25" customHeight="1">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sheetData>
  <conditionalFormatting sqref="D19:D377">
    <cfRule type="colorScale" priority="1">
      <colorScale>
        <cfvo type="min"/>
        <cfvo type="percentile" val="50"/>
        <cfvo type="max"/>
        <color rgb="FFF8696B"/>
        <color rgb="FFFFEB84"/>
        <color rgb="FF63BE7B"/>
      </colorScale>
    </cfRule>
  </conditionalFormatting>
  <conditionalFormatting sqref="C8:C377">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77"/>
  <sheetViews>
    <sheetView zoomScale="150" zoomScaleNormal="150" workbookViewId="0">
      <pane ySplit="6" topLeftCell="A358" activePane="bottomLeft" state="frozen"/>
      <selection pane="bottomLeft" activeCell="Z368" sqref="Z368"/>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1"/>
    <col width="9.1796875" customWidth="1" style="121" min="22" max="16384"/>
  </cols>
  <sheetData>
    <row r="1">
      <c r="A1" s="121" t="inlineStr">
        <is>
          <t>RSFSDP</t>
        </is>
      </c>
      <c r="B1" s="29" t="inlineStr">
        <is>
          <t>Advance Retail Sales: Food Services and Drinking Places</t>
        </is>
      </c>
    </row>
    <row r="2">
      <c r="A2" s="127" t="n"/>
      <c r="B2" s="121" t="n"/>
    </row>
    <row r="3">
      <c r="A3" s="9" t="n"/>
    </row>
    <row r="4">
      <c r="A4" s="9" t="n"/>
    </row>
    <row r="5" ht="16" customHeight="1" thickBot="1"/>
    <row r="6" ht="44.25" customHeight="1">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0"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row r="377">
      <c r="A377" s="11" t="n">
        <v>44866</v>
      </c>
      <c r="B377" s="15">
        <f>VLOOKUP(A377,Database!A:K,MATCH($A$1,Database!$A$1:$K$1,),)</f>
        <v/>
      </c>
      <c r="C377" s="12">
        <f>(B377-B376)/B376</f>
        <v/>
      </c>
      <c r="D377" s="13">
        <f>(B377-B365)/B365</f>
        <v/>
      </c>
    </row>
  </sheetData>
  <conditionalFormatting sqref="D19:D377">
    <cfRule type="colorScale" priority="1">
      <colorScale>
        <cfvo type="min"/>
        <cfvo type="percentile" val="50"/>
        <cfvo type="max"/>
        <color rgb="FFF8696B"/>
        <color rgb="FFFFEB84"/>
        <color rgb="FF63BE7B"/>
      </colorScale>
    </cfRule>
  </conditionalFormatting>
  <conditionalFormatting sqref="C8:C37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77"/>
  <sheetViews>
    <sheetView zoomScale="120" zoomScaleNormal="120" workbookViewId="0">
      <pane ySplit="6" topLeftCell="A344" activePane="bottomLeft" state="frozen"/>
      <selection pane="bottomLeft" activeCell="AG360" sqref="AG360"/>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1"/>
    <col width="9.1796875" customWidth="1" style="121" min="22" max="16384"/>
  </cols>
  <sheetData>
    <row r="1">
      <c r="A1" s="121" t="inlineStr">
        <is>
          <t>RSGASS</t>
        </is>
      </c>
      <c r="B1" s="29" t="inlineStr">
        <is>
          <t>Retail Trade: Gasoline Stations (RSGASS), Millions of Dollars, Monthly, Seasonally Adjusted</t>
        </is>
      </c>
    </row>
    <row r="2">
      <c r="A2" s="127" t="inlineStr">
        <is>
          <t>https://fred.stlouisfed.org/series/RSGASS</t>
        </is>
      </c>
      <c r="B2" s="121" t="n"/>
    </row>
    <row r="3">
      <c r="A3" s="9" t="n"/>
    </row>
    <row r="4">
      <c r="A4" s="9" t="n"/>
    </row>
    <row r="5" ht="16" customHeight="1" thickBot="1"/>
    <row r="6" ht="44.25" customHeight="1">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0"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row r="377">
      <c r="A377" s="11" t="n">
        <v>44866</v>
      </c>
      <c r="B377" s="15">
        <f>VLOOKUP(A377,Database!A:K,MATCH($A$1,Database!$A$1:$K$1,),)</f>
        <v/>
      </c>
      <c r="C377" s="12">
        <f>(B377-B376)/B376</f>
        <v/>
      </c>
      <c r="D377" s="13">
        <f>(B377-B365)/B365</f>
        <v/>
      </c>
    </row>
  </sheetData>
  <conditionalFormatting sqref="D19:D377">
    <cfRule type="colorScale" priority="1">
      <colorScale>
        <cfvo type="min"/>
        <cfvo type="percentile" val="50"/>
        <cfvo type="max"/>
        <color rgb="FFF8696B"/>
        <color rgb="FFFFEB84"/>
        <color rgb="FF63BE7B"/>
      </colorScale>
    </cfRule>
  </conditionalFormatting>
  <conditionalFormatting sqref="C8:C377">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77"/>
  <sheetViews>
    <sheetView zoomScale="120" zoomScaleNormal="120" workbookViewId="0">
      <pane ySplit="6" topLeftCell="A349" activePane="bottomLeft" state="frozen"/>
      <selection pane="bottomLeft" activeCell="AI362" sqref="AI362"/>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1"/>
    <col width="9.1796875" customWidth="1" style="121" min="22" max="16384"/>
  </cols>
  <sheetData>
    <row r="1">
      <c r="A1" s="121" t="inlineStr">
        <is>
          <t>RSMVPD</t>
        </is>
      </c>
      <c r="B1" s="29" t="inlineStr">
        <is>
          <t>Retail Trade: Motor Vehicle and Parts Dealers (RSMVPD), Millions of Dollars, Monthly, Seasonally Adjusted</t>
        </is>
      </c>
    </row>
    <row r="2">
      <c r="A2" s="127" t="inlineStr">
        <is>
          <t>https://fred.stlouisfed.org/series/RSMVPD</t>
        </is>
      </c>
      <c r="B2" s="121" t="n"/>
    </row>
    <row r="3">
      <c r="A3" s="9" t="n"/>
    </row>
    <row r="4">
      <c r="A4" s="9" t="n"/>
    </row>
    <row r="5" ht="16" customHeight="1" thickBot="1"/>
    <row r="6" ht="44.25" customHeight="1">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0"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row r="377">
      <c r="A377" s="11" t="n">
        <v>44866</v>
      </c>
      <c r="B377" s="15">
        <f>VLOOKUP(A377,Database!A:Q,MATCH($A$1,Database!$A$1:$Q$1,),)</f>
        <v/>
      </c>
      <c r="C377" s="12">
        <f>(B377-B376)/B376</f>
        <v/>
      </c>
      <c r="D377" s="13">
        <f>(B377-B365)/B365</f>
        <v/>
      </c>
    </row>
  </sheetData>
  <conditionalFormatting sqref="D19:D377">
    <cfRule type="colorScale" priority="50">
      <colorScale>
        <cfvo type="min"/>
        <cfvo type="percentile" val="50"/>
        <cfvo type="max"/>
        <color rgb="FFF8696B"/>
        <color rgb="FFFFEB84"/>
        <color rgb="FF63BE7B"/>
      </colorScale>
    </cfRule>
  </conditionalFormatting>
  <conditionalFormatting sqref="C8:C377">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77"/>
  <sheetViews>
    <sheetView zoomScale="130" zoomScaleNormal="130" workbookViewId="0">
      <pane ySplit="6" topLeftCell="A351" activePane="bottomLeft" state="frozen"/>
      <selection pane="bottomLeft" activeCell="AB369" sqref="AB369"/>
    </sheetView>
  </sheetViews>
  <sheetFormatPr baseColWidth="8" defaultColWidth="9.1796875" defaultRowHeight="14.5"/>
  <cols>
    <col width="14" customWidth="1" style="54" min="1" max="1"/>
    <col width="20.6328125" customWidth="1" style="54" min="2" max="2"/>
    <col width="14.36328125" customWidth="1" style="54" min="3" max="3"/>
    <col width="14.1796875" customWidth="1" style="54" min="4" max="4"/>
    <col width="9.1796875" customWidth="1" style="121" min="5" max="21"/>
    <col width="9.1796875" customWidth="1" style="121" min="22" max="16384"/>
  </cols>
  <sheetData>
    <row r="1">
      <c r="A1" s="121" t="inlineStr">
        <is>
          <t>RSBMGESD</t>
        </is>
      </c>
      <c r="B1" s="29" t="inlineStr">
        <is>
          <t>Retail Trade: Building Materials, Garden Equipment and Supplies Dealers (RSBMGESD), Millions of Dollars, Monthly, Seasonally Adjusted</t>
        </is>
      </c>
    </row>
    <row r="2">
      <c r="A2" s="127" t="inlineStr">
        <is>
          <t>https://fred.stlouisfed.org/series/RSBMGESD</t>
        </is>
      </c>
      <c r="B2" s="121" t="n"/>
    </row>
    <row r="3">
      <c r="A3" s="9" t="n"/>
    </row>
    <row r="4">
      <c r="A4" s="9" t="n"/>
    </row>
    <row r="5" ht="16" customHeight="1" thickBot="1">
      <c r="A5" s="9" t="n"/>
    </row>
    <row r="6" ht="16" customHeight="1"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row r="369">
      <c r="A369" s="11" t="n">
        <v>44621</v>
      </c>
      <c r="B369" s="31">
        <f>VLOOKUP(A369,Database!A:K,MATCH($A$1,Database!$A$1:$K$1,),)</f>
        <v/>
      </c>
      <c r="C369" s="32">
        <f>(B369-B368)/B368</f>
        <v/>
      </c>
      <c r="D369" s="33">
        <f>(B369-B357)/B357</f>
        <v/>
      </c>
    </row>
    <row r="370">
      <c r="A370" s="17" t="n">
        <v>44652</v>
      </c>
      <c r="B370" s="15">
        <f>VLOOKUP(A370,Database!A:K,MATCH($A$1,Database!$A$1:$K$1,),)</f>
        <v/>
      </c>
      <c r="C370" s="12">
        <f>(B370-B369)/B369</f>
        <v/>
      </c>
      <c r="D370" s="13">
        <f>(B370-B358)/B358</f>
        <v/>
      </c>
    </row>
    <row r="371">
      <c r="A371" s="11" t="n">
        <v>44682</v>
      </c>
      <c r="B371" s="31">
        <f>VLOOKUP(A371,Database!A:K,MATCH($A$1,Database!$A$1:$K$1,),)</f>
        <v/>
      </c>
      <c r="C371" s="32">
        <f>(B371-B370)/B370</f>
        <v/>
      </c>
      <c r="D371" s="33">
        <f>(B371-B359)/B359</f>
        <v/>
      </c>
    </row>
    <row r="372">
      <c r="A372" s="11" t="n">
        <v>44713</v>
      </c>
      <c r="B372" s="31">
        <f>VLOOKUP(A372,Database!A:K,MATCH($A$1,Database!$A$1:$K$1,),)</f>
        <v/>
      </c>
      <c r="C372" s="32">
        <f>(B372-B371)/B371</f>
        <v/>
      </c>
      <c r="D372" s="33">
        <f>(B372-B360)/B360</f>
        <v/>
      </c>
    </row>
    <row r="373">
      <c r="A373" s="11" t="n">
        <v>44743</v>
      </c>
      <c r="B373" s="31">
        <f>VLOOKUP(A373,Database!A:K,MATCH($A$1,Database!$A$1:$K$1,),)</f>
        <v/>
      </c>
      <c r="C373" s="32">
        <f>(B373-B372)/B372</f>
        <v/>
      </c>
      <c r="D373" s="33">
        <f>(B373-B361)/B361</f>
        <v/>
      </c>
    </row>
    <row r="374">
      <c r="A374" s="11" t="n">
        <v>44774</v>
      </c>
      <c r="B374" s="31">
        <f>VLOOKUP(A374,Database!A:K,MATCH($A$1,Database!$A$1:$K$1,),)</f>
        <v/>
      </c>
      <c r="C374" s="32">
        <f>(B374-B373)/B373</f>
        <v/>
      </c>
      <c r="D374" s="33">
        <f>(B374-B362)/B362</f>
        <v/>
      </c>
    </row>
    <row r="375">
      <c r="A375" s="11" t="n">
        <v>44805</v>
      </c>
      <c r="B375" s="31">
        <f>VLOOKUP(A375,Database!A:K,MATCH($A$1,Database!$A$1:$K$1,),)</f>
        <v/>
      </c>
      <c r="C375" s="32">
        <f>(B375-B374)/B374</f>
        <v/>
      </c>
      <c r="D375" s="33">
        <f>(B375-B363)/B363</f>
        <v/>
      </c>
    </row>
    <row r="376">
      <c r="A376" s="11" t="n">
        <v>44835</v>
      </c>
      <c r="B376" s="31">
        <f>VLOOKUP(A376,Database!A:K,MATCH($A$1,Database!$A$1:$K$1,),)</f>
        <v/>
      </c>
      <c r="C376" s="32">
        <f>(B376-B375)/B375</f>
        <v/>
      </c>
      <c r="D376" s="33">
        <f>(B376-B364)/B364</f>
        <v/>
      </c>
    </row>
    <row r="377">
      <c r="A377" s="11" t="n">
        <v>44866</v>
      </c>
      <c r="B377" s="31">
        <f>VLOOKUP(A377,Database!A:K,MATCH($A$1,Database!$A$1:$K$1,),)</f>
        <v/>
      </c>
      <c r="C377" s="32">
        <f>(B377-B376)/B376</f>
        <v/>
      </c>
      <c r="D377" s="33">
        <f>(B377-B365)/B365</f>
        <v/>
      </c>
    </row>
  </sheetData>
  <conditionalFormatting sqref="D19:D377">
    <cfRule type="colorScale" priority="48">
      <colorScale>
        <cfvo type="min"/>
        <cfvo type="percentile" val="50"/>
        <cfvo type="max"/>
        <color rgb="FFF8696B"/>
        <color rgb="FFFFEB84"/>
        <color rgb="FF63BE7B"/>
      </colorScale>
    </cfRule>
  </conditionalFormatting>
  <conditionalFormatting sqref="C8:C377">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77"/>
  <sheetViews>
    <sheetView zoomScale="130" zoomScaleNormal="130" workbookViewId="0">
      <pane ySplit="6" topLeftCell="A351" activePane="bottomLeft" state="frozen"/>
      <selection pane="bottomLeft" activeCell="AG361" sqref="AG361"/>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1"/>
    <col width="9.1796875" customWidth="1" style="121" min="22" max="16384"/>
  </cols>
  <sheetData>
    <row r="1">
      <c r="A1" s="121" t="inlineStr">
        <is>
          <t>RSFHFS</t>
        </is>
      </c>
      <c r="B1" s="29" t="inlineStr">
        <is>
          <t>RSEAS</t>
        </is>
      </c>
    </row>
    <row r="2">
      <c r="A2" s="127" t="n"/>
      <c r="B2" s="121" t="n"/>
    </row>
    <row r="3">
      <c r="A3" s="9" t="n"/>
    </row>
    <row r="4">
      <c r="A4" s="9" t="n"/>
    </row>
    <row r="5" ht="16" customHeight="1" thickBot="1"/>
    <row r="6" ht="44.25" customHeight="1">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row r="369">
      <c r="A369" s="11" t="n">
        <v>44621</v>
      </c>
      <c r="B369" s="15">
        <f>VLOOKUP(A369,Database!A:K,MATCH($A$1,Database!$A$1:$K$1,),)+VLOOKUP(A369,Database!A:K,MATCH($B$1,Database!$A$1:$K$1,),)</f>
        <v/>
      </c>
      <c r="C369" s="12">
        <f>(B369-B368)/B368</f>
        <v/>
      </c>
      <c r="D369" s="13">
        <f>(B369-B357)/B357</f>
        <v/>
      </c>
    </row>
    <row r="370">
      <c r="A370" s="30" t="n">
        <v>44652</v>
      </c>
      <c r="B370" s="31">
        <f>VLOOKUP(A370,Database!A:K,MATCH($A$1,Database!$A$1:$K$1,),)+VLOOKUP(A370,Database!A:K,MATCH($B$1,Database!$A$1:$K$1,),)</f>
        <v/>
      </c>
      <c r="C370" s="32">
        <f>(B370-B369)/B369</f>
        <v/>
      </c>
      <c r="D370" s="33">
        <f>(B370-B358)/B358</f>
        <v/>
      </c>
    </row>
    <row r="371">
      <c r="A371" s="11" t="n">
        <v>44682</v>
      </c>
      <c r="B371" s="15">
        <f>VLOOKUP(A371,Database!A:K,MATCH($A$1,Database!$A$1:$K$1,),)+VLOOKUP(A371,Database!A:K,MATCH($B$1,Database!$A$1:$K$1,),)</f>
        <v/>
      </c>
      <c r="C371" s="12">
        <f>(B371-B370)/B370</f>
        <v/>
      </c>
      <c r="D371" s="13">
        <f>(B371-B359)/B359</f>
        <v/>
      </c>
    </row>
    <row r="372">
      <c r="A372" s="11" t="n">
        <v>44713</v>
      </c>
      <c r="B372" s="15">
        <f>VLOOKUP(A372,Database!A:K,MATCH($A$1,Database!$A$1:$K$1,),)+VLOOKUP(A372,Database!A:K,MATCH($B$1,Database!$A$1:$K$1,),)</f>
        <v/>
      </c>
      <c r="C372" s="12">
        <f>(B372-B371)/B371</f>
        <v/>
      </c>
      <c r="D372" s="13">
        <f>(B372-B360)/B360</f>
        <v/>
      </c>
    </row>
    <row r="373">
      <c r="A373" s="11" t="n">
        <v>44743</v>
      </c>
      <c r="B373" s="15">
        <f>VLOOKUP(A373,Database!A:K,MATCH($A$1,Database!$A$1:$K$1,),)+VLOOKUP(A373,Database!A:K,MATCH($B$1,Database!$A$1:$K$1,),)</f>
        <v/>
      </c>
      <c r="C373" s="12">
        <f>(B373-B372)/B372</f>
        <v/>
      </c>
      <c r="D373" s="13">
        <f>(B373-B361)/B361</f>
        <v/>
      </c>
    </row>
    <row r="374">
      <c r="A374" s="30" t="n">
        <v>44774</v>
      </c>
      <c r="B374" s="31">
        <f>VLOOKUP(A374,Database!A:K,MATCH($A$1,Database!$A$1:$K$1,),)+VLOOKUP(A374,Database!A:K,MATCH($B$1,Database!$A$1:$K$1,),)</f>
        <v/>
      </c>
      <c r="C374" s="32">
        <f>(B374-B373)/B373</f>
        <v/>
      </c>
      <c r="D374" s="33">
        <f>(B374-B362)/B362</f>
        <v/>
      </c>
    </row>
    <row r="375">
      <c r="A375" s="11" t="n">
        <v>44805</v>
      </c>
      <c r="B375" s="15">
        <f>VLOOKUP(A375,Database!A:K,MATCH($A$1,Database!$A$1:$K$1,),)+VLOOKUP(A375,Database!A:K,MATCH($B$1,Database!$A$1:$K$1,),)</f>
        <v/>
      </c>
      <c r="C375" s="12">
        <f>(B375-B374)/B374</f>
        <v/>
      </c>
      <c r="D375" s="13">
        <f>(B375-B363)/B363</f>
        <v/>
      </c>
    </row>
    <row r="376">
      <c r="A376" s="11" t="n">
        <v>44835</v>
      </c>
      <c r="B376" s="15">
        <f>VLOOKUP(A376,Database!A:K,MATCH($A$1,Database!$A$1:$K$1,),)+VLOOKUP(A376,Database!A:K,MATCH($B$1,Database!$A$1:$K$1,),)</f>
        <v/>
      </c>
      <c r="C376" s="12">
        <f>(B376-B375)/B375</f>
        <v/>
      </c>
      <c r="D376" s="13">
        <f>(B376-B364)/B364</f>
        <v/>
      </c>
    </row>
    <row r="377">
      <c r="A377" s="11" t="n">
        <v>44866</v>
      </c>
      <c r="B377" s="15">
        <f>VLOOKUP(A377,Database!A:K,MATCH($A$1,Database!$A$1:$K$1,),)+VLOOKUP(A377,Database!A:K,MATCH($B$1,Database!$A$1:$K$1,),)</f>
        <v/>
      </c>
      <c r="C377" s="12">
        <f>(B377-B376)/B376</f>
        <v/>
      </c>
      <c r="D377" s="13">
        <f>(B377-B365)/B365</f>
        <v/>
      </c>
    </row>
  </sheetData>
  <conditionalFormatting sqref="D19:D377">
    <cfRule type="colorScale" priority="46">
      <colorScale>
        <cfvo type="min"/>
        <cfvo type="percentile" val="50"/>
        <cfvo type="max"/>
        <color rgb="FFF8696B"/>
        <color rgb="FFFFEB84"/>
        <color rgb="FF63BE7B"/>
      </colorScale>
    </cfRule>
  </conditionalFormatting>
  <conditionalFormatting sqref="C8:C377">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77"/>
  <sheetViews>
    <sheetView zoomScale="160" zoomScaleNormal="160" workbookViewId="0">
      <pane ySplit="6" topLeftCell="A355" activePane="bottomLeft" state="frozen"/>
      <selection pane="bottomLeft" activeCell="X370" sqref="X370"/>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1"/>
    <col width="9.1796875" customWidth="1" style="121" min="22" max="16384"/>
  </cols>
  <sheetData>
    <row r="1">
      <c r="A1" s="121" t="inlineStr">
        <is>
          <t>RSMSR</t>
        </is>
      </c>
      <c r="B1" s="29" t="inlineStr">
        <is>
          <t>Miscellaneous stores retailers</t>
        </is>
      </c>
    </row>
    <row r="2">
      <c r="A2" s="127" t="n"/>
      <c r="B2" s="121" t="n"/>
    </row>
    <row r="3">
      <c r="A3" s="9" t="n"/>
    </row>
    <row r="4">
      <c r="A4" s="9" t="n"/>
    </row>
    <row r="5" ht="16" customHeight="1" thickBot="1"/>
    <row r="6" ht="44.25" customHeight="1"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30" t="n">
        <v>44805</v>
      </c>
      <c r="B375" s="31">
        <f>VLOOKUP(A375,Database!A:Q,MATCH($A$1,Database!$A$1:$Q$1,),)</f>
        <v/>
      </c>
      <c r="C375" s="32">
        <f>(B375-B374)/B374</f>
        <v/>
      </c>
      <c r="D375" s="33">
        <f>(B375-B363)/B363</f>
        <v/>
      </c>
    </row>
    <row r="376">
      <c r="A376" s="30" t="n">
        <v>44835</v>
      </c>
      <c r="B376" s="31">
        <f>VLOOKUP(A376,Database!A:Q,MATCH($A$1,Database!$A$1:$Q$1,),)</f>
        <v/>
      </c>
      <c r="C376" s="32">
        <f>(B376-B375)/B375</f>
        <v/>
      </c>
      <c r="D376" s="33">
        <f>(B376-B364)/B364</f>
        <v/>
      </c>
    </row>
    <row r="377">
      <c r="A377" s="11" t="n">
        <v>44866</v>
      </c>
      <c r="B377" s="15">
        <f>VLOOKUP(A377,Database!A:Q,MATCH($A$1,Database!$A$1:$Q$1,),)</f>
        <v/>
      </c>
      <c r="C377" s="12">
        <f>(B377-B376)/B376</f>
        <v/>
      </c>
      <c r="D377" s="13">
        <f>(B377-B365)/B365</f>
        <v/>
      </c>
    </row>
  </sheetData>
  <conditionalFormatting sqref="D19:D377">
    <cfRule type="colorScale" priority="44">
      <colorScale>
        <cfvo type="min"/>
        <cfvo type="percentile" val="50"/>
        <cfvo type="max"/>
        <color rgb="FFF8696B"/>
        <color rgb="FFFFEB84"/>
        <color rgb="FF63BE7B"/>
      </colorScale>
    </cfRule>
  </conditionalFormatting>
  <conditionalFormatting sqref="C8:C377">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77"/>
  <sheetViews>
    <sheetView zoomScale="140" zoomScaleNormal="140" workbookViewId="0">
      <pane ySplit="6" topLeftCell="A270" activePane="bottomLeft" state="frozen"/>
      <selection activeCell="P14" sqref="P14"/>
      <selection pane="bottomLeft" activeCell="AF372" sqref="AF372"/>
    </sheetView>
  </sheetViews>
  <sheetFormatPr baseColWidth="8" defaultColWidth="9.1796875" defaultRowHeight="14.5"/>
  <cols>
    <col width="14" customWidth="1" style="54" min="1" max="1"/>
    <col width="20.6328125" customWidth="1" style="54" min="2" max="2"/>
    <col width="14.1796875" customWidth="1" style="54" min="3" max="4"/>
    <col width="9.1796875" customWidth="1" style="121" min="5" max="21"/>
    <col width="9.1796875" customWidth="1" style="121" min="22" max="16384"/>
  </cols>
  <sheetData>
    <row r="1">
      <c r="A1" s="121" t="inlineStr">
        <is>
          <t>RSCCAS</t>
        </is>
      </c>
      <c r="B1" s="29" t="inlineStr">
        <is>
          <t>Clothing and clothing access. stores</t>
        </is>
      </c>
    </row>
    <row r="2">
      <c r="A2" s="127" t="n"/>
      <c r="B2" s="121" t="n"/>
    </row>
    <row r="3">
      <c r="A3" s="9" t="n"/>
    </row>
    <row r="4">
      <c r="A4" s="9" t="n"/>
    </row>
    <row r="5" ht="16" customHeight="1" thickBot="1"/>
    <row r="6" ht="44.25" customHeight="1"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30" t="n">
        <v>44774</v>
      </c>
      <c r="B374" s="31">
        <f>VLOOKUP(A374,Database!A:Q,MATCH($A$1,Database!$A$1:$Q$1,),)</f>
        <v/>
      </c>
      <c r="C374" s="32">
        <f>(B374-B373)/B373</f>
        <v/>
      </c>
      <c r="D374" s="3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row r="377">
      <c r="A377" s="30" t="n">
        <v>44866</v>
      </c>
      <c r="B377" s="31">
        <f>VLOOKUP(A377,Database!A:Q,MATCH($A$1,Database!$A$1:$Q$1,),)</f>
        <v/>
      </c>
      <c r="C377" s="32">
        <f>(B377-B376)/B376</f>
        <v/>
      </c>
      <c r="D377" s="33">
        <f>(B377-B365)/B365</f>
        <v/>
      </c>
    </row>
  </sheetData>
  <conditionalFormatting sqref="C8:C377">
    <cfRule type="colorScale" priority="2">
      <colorScale>
        <cfvo type="min"/>
        <cfvo type="percentile" val="50"/>
        <cfvo type="max"/>
        <color rgb="FFF8696B"/>
        <color rgb="FFFFEB84"/>
        <color rgb="FF63BE7B"/>
      </colorScale>
    </cfRule>
  </conditionalFormatting>
  <conditionalFormatting sqref="D19:D37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2022-12-27T05:53:40Z</dcterms:modified>
  <cp:lastModifiedBy>Mark Mukherjee</cp:lastModifiedBy>
</cp:coreProperties>
</file>