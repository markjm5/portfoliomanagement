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6360" yWindow="-640" windowWidth="48100" windowHeight="2798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rich>
          <a:bodyPr xmlns:a="http://schemas.openxmlformats.org/drawingml/2006/main"/>
          <a:p xmlns:a="http://schemas.openxmlformats.org/drawingml/2006/main">
            <a:r>
              <a:t>None</a:t>
            </a:r>
          </a:p>
        </rich>
      </tx>
      <overlay val="0"/>
    </title>
    <plotArea>
      <layout/>
      <barChart>
        <barDir val="col"/>
        <grouping val="clustered"/>
        <varyColors val="0"/>
        <ser>
          <idx val="3"/>
          <order val="0"/>
          <tx>
            <strRef>
              <f>Country!$M$2</f>
              <strCache>
                <ptCount val="1"/>
                <pt idx="0">
                  <v>Japan CPI yoy %</v>
                </pt>
              </strCache>
            </strRef>
          </tx>
          <spPr>
            <a:noFill xmlns:a="http://schemas.openxmlformats.org/drawingml/2006/main"/>
            <a:ln xmlns:a="http://schemas.openxmlformats.org/drawingml/2006/main">
              <a:solidFill>
                <a:schemeClr val="tx1"/>
              </a:solidFill>
              <a:prstDash val="solid"/>
            </a:ln>
          </spPr>
          <invertIfNegative val="1"/>
          <cat>
            <numRef>
              <f>Country!$A$707:$A$821</f>
              <numCache>
                <formatCode>mmm\-yy</formatCode>
                <ptCount val="115"/>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numCache>
            </numRef>
          </cat>
          <val>
            <numRef>
              <f>Country!$E$707:$E$821</f>
              <numCache>
                <formatCode>0.00%</formatCode>
                <ptCount val="115"/>
                <pt idx="0">
                  <v>0.01316747234596644</v>
                </pt>
                <pt idx="1">
                  <v>0.01167878983937398</v>
                </pt>
                <pt idx="2">
                  <v>0.01385855693296704</v>
                </pt>
                <pt idx="3">
                  <v>0.01528378762826316</v>
                </pt>
                <pt idx="4">
                  <v>0.0137980621420294</v>
                </pt>
                <pt idx="5">
                  <v>0.01306236227737403</v>
                </pt>
                <pt idx="6">
                  <v>0.01669090530354473</v>
                </pt>
                <pt idx="7">
                  <v>0.01591900965010244</v>
                </pt>
                <pt idx="8">
                  <v>0.0159535304438802</v>
                </pt>
                <pt idx="9">
                  <v>0.01739135074962267</v>
                </pt>
                <pt idx="10">
                  <v>0.01739135074962267</v>
                </pt>
                <pt idx="11">
                  <v>0.01879975202431081</v>
                </pt>
                <pt idx="12">
                  <v>0.02149889380470947</v>
                </pt>
                <pt idx="13">
                  <v>0.0237878608968067</v>
                </pt>
                <pt idx="14">
                  <v>0.0248647056673876</v>
                </pt>
                <pt idx="15">
                  <v>0.02620216425494244</v>
                </pt>
                <pt idx="16">
                  <v>0.02646857035572223</v>
                </pt>
                <pt idx="17">
                  <v>0.02746996802783339</v>
                </pt>
                <pt idx="18">
                  <v>0.02679653321158917</v>
                </pt>
                <pt idx="19">
                  <v>0.0275897133988065</v>
                </pt>
                <pt idx="20">
                  <v>0.02979011161208489</v>
                </pt>
                <pt idx="21">
                  <v>0.03356407717626905</v>
                </pt>
                <pt idx="22">
                  <v>0.03256838556022371</v>
                </pt>
                <pt idx="23">
                  <v>0.03287294998037438</v>
                </pt>
                <pt idx="24">
                  <v>0.03162061675897479</v>
                </pt>
                <pt idx="25">
                  <v>0.03251234396612538</v>
                </pt>
                <pt idx="26">
                  <v>0.0333660369635418</v>
                </pt>
                <pt idx="27">
                  <v>0.0332031190538404</v>
                </pt>
                <pt idx="28">
                  <v>0.03219504296014511</v>
                </pt>
                <pt idx="29">
                  <v>0.03313839441100583</v>
                </pt>
                <pt idx="30">
                  <v>0.03109821436126885</v>
                </pt>
                <pt idx="31">
                  <v>0.03197677083333339</v>
                </pt>
                <pt idx="32">
                  <v>0.03197677083333339</v>
                </pt>
                <pt idx="33">
                  <v>0.02601158224464567</v>
                </pt>
                <pt idx="34">
                  <v>0.02507227482845611</v>
                </pt>
                <pt idx="35">
                  <v>0.02305477408942292</v>
                </pt>
                <pt idx="36">
                  <v>0.0220306008426187</v>
                </pt>
                <pt idx="37">
                  <v>0.01908401997079233</v>
                </pt>
                <pt idx="38">
                  <v>0.01614429460348987</v>
                </pt>
                <pt idx="39">
                  <v>0.01134216499726681</v>
                </pt>
                <pt idx="40">
                  <v>0.01134216499726681</v>
                </pt>
                <pt idx="41">
                  <v>0.01226422891821012</v>
                </pt>
                <pt idx="42">
                  <v>0.01225246631937038</v>
                </pt>
                <pt idx="43">
                  <v>0.0122068517974756</v>
                </pt>
                <pt idx="44">
                  <v>0.009389645297450419</v>
                </pt>
                <pt idx="45">
                  <v>0.007511776801338985</v>
                </pt>
                <pt idx="46">
                  <v>0.006585108246332201</v>
                </pt>
                <pt idx="47">
                  <v>0.006572741614318779</v>
                </pt>
                <pt idx="48">
                  <v>0.006560422004515448</v>
                </pt>
                <pt idx="49">
                  <v>0.004681685261750403</v>
                </pt>
                <pt idx="50">
                  <v>0.003738287522926637</v>
                </pt>
                <pt idx="51">
                  <v>0.005607280583449765</v>
                </pt>
                <pt idx="52">
                  <v>0.004672934754128391</v>
                </pt>
                <pt idx="53">
                  <v>0.002795600935981391</v>
                </pt>
                <pt idx="54">
                  <v>0.0009311662639753647</v>
                </pt>
                <pt idx="55">
                  <v>-0.0009284088110084019</v>
                </pt>
                <pt idx="56">
                  <v>-0.001860400000000055</v>
                </pt>
                <pt idx="57">
                  <v>0.0009318335831982491</v>
                </pt>
                <pt idx="58">
                  <v>0.001869193995110001</v>
                </pt>
                <pt idx="59">
                  <v>0</v>
                </pt>
                <pt idx="60">
                  <v>-0.005586497118269181</v>
                </pt>
                <pt idx="61">
                  <v>-0.0009320339559716781</v>
                </pt>
                <pt idx="62">
                  <v>-0.0009309660777421905</v>
                </pt>
                <pt idx="63">
                  <v>-0.0009291359036096782</v>
                </pt>
                <pt idx="64">
                  <v>0.0009300000000000353</v>
                </pt>
                <pt idx="65">
                  <v>0.001859270878083344</v>
                </pt>
                <pt idx="66">
                  <v>0.001860000000000071</v>
                </pt>
                <pt idx="67">
                  <v>0.001857544966362527</v>
                </pt>
                <pt idx="68">
                  <v>0.001863867539169927</v>
                </pt>
                <pt idx="69">
                  <v>0.002792898233226429</v>
                </pt>
                <pt idx="70">
                  <v>0.0009329034536681401</v>
                </pt>
                <pt idx="71">
                  <v>0.0009329034536681401</v>
                </pt>
                <pt idx="72">
                  <v>0.002528061726739826</v>
                </pt>
                <pt idx="73">
                  <v>-0.003218281257505219</v>
                </pt>
                <pt idx="74">
                  <v>-0.00214358793098681</v>
                </pt>
                <pt idx="75">
                  <v>-0.005</v>
                </pt>
                <pt idx="76">
                  <v>-0.002927277631802487</v>
                </pt>
                <pt idx="77">
                  <v>-0.003780448767489876</v>
                </pt>
                <pt idx="78">
                  <v>-0.000858403369732425</v>
                </pt>
                <pt idx="79">
                  <v>-0.0007183271048429398</v>
                </pt>
                <pt idx="80">
                  <v>0.0009999999999999432</v>
                </pt>
                <pt idx="81">
                  <v>-0.001856546822909459</v>
                </pt>
                <pt idx="82">
                  <v>0.0008620036716308142</v>
                </pt>
                <pt idx="83">
                  <v>0.004869459141787409</v>
                </pt>
                <pt idx="84">
                  <v>0.01004016064257028</v>
                </pt>
                <pt idx="85">
                  <v>0.01609657947686111</v>
                </pt>
                <pt idx="86">
                  <v>0.01405622489959845</v>
                </pt>
                <pt idx="87">
                  <v>0.01909547738693473</v>
                </pt>
                <pt idx="88">
                  <v>0.01402805611222451</v>
                </pt>
                <pt idx="89">
                  <v>0.0120120120120119</v>
                </pt>
                <pt idx="90">
                  <v>0.01098901098901107</v>
                </pt>
                <pt idx="91">
                  <v>0.01196410767696912</v>
                </pt>
                <pt idx="92">
                  <v>0.01098901098901107</v>
                </pt>
                <pt idx="93">
                  <v>0.01</v>
                </pt>
                <pt idx="94">
                  <v>0.009009009009008924</v>
                </pt>
                <pt idx="95">
                  <v>0.008973080757726876</v>
                </pt>
                <pt idx="96">
                  <v>0.00894632206759449</v>
                </pt>
                <pt idx="97">
                  <v>0.004950495049504951</v>
                </pt>
                <pt idx="98">
                  <v>0.007920792079207893</v>
                </pt>
                <pt idx="99">
                  <v>0.004930966469428008</v>
                </pt>
                <pt idx="100">
                  <v>0.009881422924901186</v>
                </pt>
                <pt idx="101">
                  <v>0.01285855588526223</v>
                </pt>
                <pt idx="102">
                  <v>0.01482213438735178</v>
                </pt>
                <pt idx="103">
                  <v>0.0157635467980295</v>
                </pt>
                <pt idx="104">
                  <v>0.01383399209486158</v>
                </pt>
                <pt idx="105">
                  <v>0.01584158415841579</v>
                </pt>
                <pt idx="106">
                  <v>0.01587301587301596</v>
                </pt>
                <pt idx="107">
                  <v>0.01086956521739125</v>
                </pt>
                <pt idx="108">
                  <v>0.008866995073891682</v>
                </pt>
                <pt idx="109">
                  <v>0.009852216748768473</v>
                </pt>
                <pt idx="110">
                  <v>0.009823182711198428</v>
                </pt>
                <pt idx="111">
                  <v>0.01079489695780171</v>
                </pt>
                <pt idx="112">
                  <v>0.00782778864970643</v>
                </pt>
                <pt idx="113">
                  <v>0.006835937499999889</v>
                </pt>
                <pt idx="114">
                  <v>0.003894839337877229</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p xmlns:a="http://schemas.openxmlformats.org/drawingml/2006/main">
            <a:r>
              <a:t>None</a:t>
            </a:r>
          </a:p>
        </rich>
      </tx>
      <overlay val="0"/>
    </title>
    <plotArea>
      <layout/>
      <lineChart>
        <grouping val="standard"/>
        <varyColors val="0"/>
        <ser>
          <idx val="7"/>
          <order val="0"/>
          <tx>
            <strRef>
              <f>Country!$N$2</f>
              <strCache>
                <ptCount val="1"/>
                <pt idx="0">
                  <v>Japan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Country!$A$707:$A$821</f>
              <numCache>
                <formatCode>mmm\-yy</formatCode>
                <ptCount val="115"/>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numCache>
            </numRef>
          </cat>
          <val>
            <numRef>
              <f>Country!$I$707:$I$821</f>
              <numCache>
                <formatCode>0.00%</formatCode>
                <ptCount val="115"/>
                <pt idx="0">
                  <v>0.01640591956003959</v>
                </pt>
                <pt idx="1">
                  <v>0.01509249563547504</v>
                </pt>
                <pt idx="2">
                  <v>0.01652073009920717</v>
                </pt>
                <pt idx="3">
                  <v>0.01656575901381775</v>
                </pt>
                <pt idx="4">
                  <v>0.01427264473344646</v>
                </pt>
                <pt idx="5">
                  <v>0.01524577752467611</v>
                </pt>
                <pt idx="6">
                  <v>0.01732333335389683</v>
                </pt>
                <pt idx="7">
                  <v>0.01667175027339884</v>
                </pt>
                <pt idx="8">
                  <v>0.01582757075633296</v>
                </pt>
                <pt idx="9">
                  <v>0.01613002044041269</v>
                </pt>
                <pt idx="10">
                  <v>0.01640362811791391</v>
                </pt>
                <pt idx="11">
                  <v>0.01595751609115833</v>
                </pt>
                <pt idx="12">
                  <v>0.0168177476810821</v>
                </pt>
                <pt idx="13">
                  <v>0.01826502912690861</v>
                </pt>
                <pt idx="14">
                  <v>0.01837230208884652</v>
                </pt>
                <pt idx="15">
                  <v>0.01949764454757802</v>
                </pt>
                <pt idx="16">
                  <v>0.01917324017244021</v>
                </pt>
                <pt idx="17">
                  <v>0.02091548454732861</v>
                </pt>
                <pt idx="18">
                  <v>0.02018217641451635</v>
                </pt>
                <pt idx="19">
                  <v>0.02045497447383434</v>
                </pt>
                <pt idx="20">
                  <v>0.02316558200458146</v>
                </pt>
                <pt idx="21">
                  <v>0.02579309622989033</v>
                </pt>
                <pt idx="22">
                  <v>0.02311919560722632</v>
                </pt>
                <pt idx="23">
                  <v>0.02360486418159831</v>
                </pt>
                <pt idx="24">
                  <v>0.0188140178945994</v>
                </pt>
                <pt idx="25">
                  <v>0.01870865229518479</v>
                </pt>
                <pt idx="26">
                  <v>0.02006170922161614</v>
                </pt>
                <pt idx="27">
                  <v>0.01919446416864941</v>
                </pt>
                <pt idx="28">
                  <v>0.01930501606645628</v>
                </pt>
                <pt idx="29">
                  <v>0.02042671984882433</v>
                </pt>
                <pt idx="30">
                  <v>0.02069569417687428</v>
                </pt>
                <pt idx="31">
                  <v>0.01988584785471348</v>
                </pt>
                <pt idx="32">
                  <v>0.01626746567173683</v>
                </pt>
                <pt idx="33">
                  <v>0.01107232776971175</v>
                </pt>
                <pt idx="34">
                  <v>0.01292254540844214</v>
                </pt>
                <pt idx="35">
                  <v>0.01225618875218006</v>
                </pt>
                <pt idx="36">
                  <v>0.01506509881052769</v>
                </pt>
                <pt idx="37">
                  <v>0.01316948827308903</v>
                </pt>
                <pt idx="38">
                  <v>0.01144696712349031</v>
                </pt>
                <pt idx="39">
                  <v>0.010481436848857</v>
                </pt>
                <pt idx="40">
                  <v>0.01166987735473323</v>
                </pt>
                <pt idx="41">
                  <v>0.01073673827021489</v>
                </pt>
                <pt idx="42">
                  <v>0.009359670080594894</v>
                </pt>
                <pt idx="43">
                  <v>0.01168979793801996</v>
                </pt>
                <pt idx="44">
                  <v>0.01168948272939035</v>
                </pt>
                <pt idx="45">
                  <v>0.01163282931263789</v>
                </pt>
                <pt idx="46">
                  <v>0.01007228715085543</v>
                </pt>
                <pt idx="47">
                  <v>0.007791163163774054</v>
                </pt>
                <pt idx="48">
                  <v>0.01059961737866744</v>
                </pt>
                <pt idx="49">
                  <v>0.01041122428704133</v>
                </pt>
                <pt idx="50">
                  <v>0.01054824740666774</v>
                </pt>
                <pt idx="51">
                  <v>0.01184407796101945</v>
                </pt>
                <pt idx="52">
                  <v>0.009229958637120403</v>
                </pt>
                <pt idx="53">
                  <v>0.00799765202823006</v>
                </pt>
                <pt idx="54">
                  <v>0.00754980841050357</v>
                </pt>
                <pt idx="55">
                  <v>0.005717283148337101</v>
                </pt>
                <pt idx="56">
                  <v>0.004912725969769621</v>
                </pt>
                <pt idx="57">
                  <v>0.005502111842515945</v>
                </pt>
                <pt idx="58">
                  <v>0.006439202378019991</v>
                </pt>
                <pt idx="59">
                  <v>0.008603755910370187</v>
                </pt>
                <pt idx="60">
                  <v>0.004078074587683591</v>
                </pt>
                <pt idx="61">
                  <v>0.007461346659665494</v>
                </pt>
                <pt idx="62">
                  <v>0.004409204382038828</v>
                </pt>
                <pt idx="63">
                  <v>0.004707342929887259</v>
                </pt>
                <pt idx="64">
                  <v>0.006259064016703832</v>
                </pt>
                <pt idx="65">
                  <v>0.007573483136975472</v>
                </pt>
                <pt idx="66">
                  <v>0.007647745981432199</v>
                </pt>
                <pt idx="67">
                  <v>0.008691214326402859</v>
                </pt>
                <pt idx="68">
                  <v>0.009197338719497756</v>
                </pt>
                <pt idx="69">
                  <v>0.009675998344201157</v>
                </pt>
                <pt idx="70">
                  <v>0.006553298148191917</v>
                </pt>
                <pt idx="71">
                  <v>0.005356061383441378</v>
                </pt>
                <pt idx="72">
                  <v>0.007358156805811328</v>
                </pt>
                <pt idx="73">
                  <v>0.002745499371164239</v>
                </pt>
                <pt idx="74">
                  <v>0.006382428298853922</v>
                </pt>
                <pt idx="75">
                  <v>0.003337580398383101</v>
                </pt>
                <pt idx="76">
                  <v>0.005844783347143068</v>
                </pt>
                <pt idx="77">
                  <v>0.003550059434028117</v>
                </pt>
                <pt idx="78">
                  <v>0.005950048703062877</v>
                </pt>
                <pt idx="79">
                  <v>0.00452837756800019</v>
                </pt>
                <pt idx="80">
                  <v>0.004719803429610756</v>
                </pt>
                <pt idx="81">
                  <v>0.001922354420767494</v>
                </pt>
                <pt idx="82">
                  <v>0.004397759774338406</v>
                </pt>
                <pt idx="83">
                  <v>0.006802503257156239</v>
                </pt>
                <pt idx="84">
                  <v>0.00514134470264176</v>
                </pt>
                <pt idx="85">
                  <v>0.007647395094774852</v>
                </pt>
                <pt idx="86">
                  <v>0.007296156205479258</v>
                </pt>
                <pt idx="87">
                  <v>0.01223181169116913</v>
                </pt>
                <pt idx="88">
                  <v>0.007216493819197552</v>
                </pt>
                <pt idx="89">
                  <v>0.008434660742297997</v>
                </pt>
                <pt idx="90">
                  <v>0.008355922040466477</v>
                </pt>
                <pt idx="91">
                  <v>0.008807381160644957</v>
                </pt>
                <pt idx="92">
                  <v>0.007422118867049961</v>
                </pt>
                <pt idx="93">
                  <v>0.003907951771757289</v>
                </pt>
                <pt idx="94">
                  <v>0.002649225929298704</v>
                </pt>
                <pt idx="95">
                  <v>0.003855343611599104</v>
                </pt>
                <pt idx="96">
                  <v>0.004053729839612896</v>
                </pt>
                <pt idx="97">
                  <v>0.004217634724198438</v>
                </pt>
                <pt idx="98">
                  <v>0.006010467735392575</v>
                </pt>
                <pt idx="99">
                  <v>0.003155563047676612</v>
                </pt>
                <pt idx="100">
                  <v>0.006632124147513577</v>
                </pt>
                <pt idx="101">
                  <v>0.007175725320736207</v>
                </pt>
                <pt idx="102">
                  <v>0.00565943527524632</v>
                </pt>
                <pt idx="103">
                  <v>0.007743887384439384</v>
                </pt>
                <pt idx="104">
                  <v>0.006667934309812643</v>
                </pt>
                <pt idx="105">
                  <v>0.007974715524885724</v>
                </pt>
                <pt idx="106">
                  <v>0.00847482075938135</v>
                </pt>
                <pt idx="107">
                  <v>0.005229625302594639</v>
                </pt>
                <pt idx="108">
                  <v>0.00582899306846568</v>
                </pt>
                <pt idx="109">
                  <v>0.004404867631202877</v>
                </pt>
                <pt idx="110">
                  <v>0.00429754086804611</v>
                </pt>
                <pt idx="111">
                  <v>0.007900943396226295</v>
                </pt>
                <pt idx="112">
                  <v>0.00455721752516194</v>
                </pt>
                <pt idx="113">
                  <v>0.00557326089172167</v>
                </pt>
                <pt idx="114">
                  <v>0.005813282980216388</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10</col>
      <colOff>123825</colOff>
      <row>800</row>
      <rowOff>152400</rowOff>
    </from>
    <to>
      <col>17</col>
      <colOff>428625</colOff>
      <row>815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114300</colOff>
      <row>815</row>
      <rowOff>133350</rowOff>
    </from>
    <to>
      <col>17</col>
      <colOff>419100</colOff>
      <row>830</row>
      <rowOff>19050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48" headerRowCount="1" totalsRowShown="0" headerRowDxfId="11" dataDxfId="9" headerRowBorderDxfId="10">
  <autoFilter ref="A2:I848"/>
  <tableColumns count="9">
    <tableColumn id="1" name="Date" dataDxfId="8">
      <calculatedColumnFormula>IF(Data!A30="",#N/A,Data!A30)</calculatedColumnFormula>
    </tableColumn>
    <tableColumn id="2" name="JPN"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tabSelected="1" zoomScale="140" zoomScaleNormal="140" workbookViewId="0">
      <selection activeCell="R24" sqref="R24"/>
    </sheetView>
  </sheetViews>
  <sheetFormatPr baseColWidth="10" defaultColWidth="9.1640625" defaultRowHeight="15"/>
  <cols>
    <col width="9.1640625" customWidth="1" style="76" min="1" max="1"/>
    <col width="12.83203125" customWidth="1" style="76" min="2" max="10"/>
    <col width="9.1640625" customWidth="1" style="76" min="11" max="14"/>
    <col width="19.1640625" customWidth="1" style="76" min="15" max="16"/>
    <col width="9.1640625" customWidth="1" style="76" min="17" max="18"/>
    <col width="9.1640625" customWidth="1" style="76" min="19" max="16384"/>
  </cols>
  <sheetData>
    <row r="1">
      <c r="B1" s="77" t="n"/>
    </row>
    <row r="2" ht="16" customHeight="1" s="70" thickBot="1">
      <c r="B2" s="78" t="n"/>
      <c r="C2" s="78" t="n"/>
      <c r="D2" s="78" t="n"/>
      <c r="E2" s="78" t="n"/>
      <c r="F2" s="78" t="n"/>
      <c r="G2" s="78" t="n"/>
      <c r="H2" s="78" t="n"/>
      <c r="I2" s="78" t="n"/>
      <c r="J2" s="78" t="n"/>
    </row>
    <row r="3" ht="16" customHeight="1" s="70" thickBot="1">
      <c r="B3" s="79" t="inlineStr">
        <is>
          <t>Global Consumer Price Index</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9.5" customHeight="1" s="70">
      <c r="B7" s="85"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6" t="inlineStr">
        <is>
          <t>https://data.oecd.org/price/inflation-cpi.htm#indicator-chart</t>
        </is>
      </c>
    </row>
    <row r="9">
      <c r="B9" s="66" t="n"/>
      <c r="C9" s="66" t="n"/>
      <c r="D9" s="66" t="n"/>
      <c r="E9" s="66" t="n"/>
    </row>
    <row r="10">
      <c r="B10" s="82" t="inlineStr">
        <is>
          <t>Process / TO DO LIST</t>
        </is>
      </c>
      <c r="C10" s="83" t="n"/>
      <c r="D10" s="83" t="n"/>
      <c r="E10" s="83" t="n"/>
      <c r="F10" s="83" t="n"/>
      <c r="G10" s="83" t="n"/>
      <c r="H10" s="83" t="n"/>
      <c r="I10" s="83" t="n"/>
      <c r="J10" s="84" t="n"/>
    </row>
    <row r="12">
      <c r="B12" s="82" t="inlineStr">
        <is>
          <t>TO DO LIST</t>
        </is>
      </c>
      <c r="C12" s="83" t="n"/>
      <c r="D12" s="83" t="n"/>
      <c r="E12" s="83" t="n"/>
      <c r="F12" s="84" t="n"/>
      <c r="G12" s="82" t="inlineStr">
        <is>
          <t>Comments</t>
        </is>
      </c>
      <c r="H12" s="83" t="n"/>
      <c r="I12" s="83" t="n"/>
      <c r="J12" s="84" t="n"/>
      <c r="O12" s="82" t="inlineStr">
        <is>
          <t xml:space="preserve">Ticker </t>
        </is>
      </c>
      <c r="P12" s="82" t="inlineStr">
        <is>
          <t>Country</t>
        </is>
      </c>
    </row>
    <row r="13">
      <c r="O13" s="69" t="inlineStr">
        <is>
          <t>ABW</t>
        </is>
      </c>
      <c r="P13" s="69" t="inlineStr">
        <is>
          <t>Aruba</t>
        </is>
      </c>
    </row>
    <row r="14">
      <c r="B14" s="86" t="inlineStr">
        <is>
          <t>https://data.oecd.org/price/inflation-cpi.htm#indicator-chart</t>
        </is>
      </c>
      <c r="G14" s="76" t="inlineStr">
        <is>
          <t>CPI yoy</t>
        </is>
      </c>
      <c r="O14" s="69" t="inlineStr">
        <is>
          <t>AFG</t>
        </is>
      </c>
      <c r="P14" s="69" t="inlineStr">
        <is>
          <t>Afghanistan</t>
        </is>
      </c>
    </row>
    <row r="15">
      <c r="B15" s="76" t="inlineStr">
        <is>
          <t>Total</t>
        </is>
      </c>
      <c r="G15" s="76" t="inlineStr">
        <is>
          <t>In Data</t>
        </is>
      </c>
      <c r="O15" s="69" t="inlineStr">
        <is>
          <t>AFRI</t>
        </is>
      </c>
      <c r="P15" s="69" t="inlineStr">
        <is>
          <t>Africa</t>
        </is>
      </c>
    </row>
    <row r="16" ht="15.75" customHeight="1" s="70">
      <c r="B16" s="76" t="inlineStr">
        <is>
          <t>Select 2015 =100</t>
        </is>
      </c>
      <c r="G16" s="75" t="inlineStr">
        <is>
          <t>Manually or create macro</t>
        </is>
      </c>
      <c r="O16" s="69" t="inlineStr">
        <is>
          <t>AGO</t>
        </is>
      </c>
      <c r="P16" s="69" t="inlineStr">
        <is>
          <t>Angola</t>
        </is>
      </c>
    </row>
    <row r="17" ht="15.75" customHeight="1" s="70">
      <c r="B17" s="76" t="inlineStr">
        <is>
          <t>Countries</t>
        </is>
      </c>
      <c r="G17" s="75" t="n"/>
      <c r="O17" s="69" t="inlineStr">
        <is>
          <t>AIA</t>
        </is>
      </c>
      <c r="P17" s="69" t="inlineStr">
        <is>
          <t>Anguilla</t>
        </is>
      </c>
    </row>
    <row r="18" ht="15.75" customHeight="1" s="70">
      <c r="B18" s="76" t="inlineStr">
        <is>
          <t>Download</t>
        </is>
      </c>
      <c r="G18" s="88" t="n"/>
      <c r="O18" s="69" t="inlineStr">
        <is>
          <t>ALB</t>
        </is>
      </c>
      <c r="P18" s="69" t="inlineStr">
        <is>
          <t>Albania</t>
        </is>
      </c>
    </row>
    <row r="19" ht="15.75" customHeight="1" s="70">
      <c r="B19" s="76" t="inlineStr">
        <is>
          <t>Start Jan 1949</t>
        </is>
      </c>
      <c r="G19" s="75" t="n"/>
      <c r="O19" s="69" t="inlineStr">
        <is>
          <t>AND</t>
        </is>
      </c>
      <c r="P19" s="69" t="inlineStr">
        <is>
          <t>Andorra</t>
        </is>
      </c>
    </row>
    <row r="20" ht="15.75" customHeight="1" s="70">
      <c r="G20" s="75" t="n"/>
      <c r="O20" s="69" t="inlineStr">
        <is>
          <t>ANT</t>
        </is>
      </c>
      <c r="P20" s="69" t="inlineStr">
        <is>
          <t>Netherlands Antilles</t>
        </is>
      </c>
    </row>
    <row r="21" ht="15.75" customHeight="1" s="70">
      <c r="B21" s="86" t="inlineStr">
        <is>
          <t>https://data.oecd.org/price/inflation-cpi.htm#indicator-chart</t>
        </is>
      </c>
      <c r="G21" s="75" t="inlineStr">
        <is>
          <t>Core CPI</t>
        </is>
      </c>
      <c r="O21" s="69" t="inlineStr">
        <is>
          <t>ARE</t>
        </is>
      </c>
      <c r="P21" s="69" t="inlineStr">
        <is>
          <t>United Arab Emirates</t>
        </is>
      </c>
    </row>
    <row r="22" ht="15.75" customHeight="1" s="70">
      <c r="B22" s="76" t="inlineStr">
        <is>
          <t>Total less food, less energy</t>
        </is>
      </c>
      <c r="G22" s="75" t="inlineStr">
        <is>
          <t>In Data Core CPI</t>
        </is>
      </c>
      <c r="O22" s="69" t="inlineStr">
        <is>
          <t>ARG</t>
        </is>
      </c>
      <c r="P22" s="69" t="inlineStr">
        <is>
          <t>Argentina</t>
        </is>
      </c>
    </row>
    <row r="23" ht="15.75" customHeight="1" s="70">
      <c r="B23" s="76" t="inlineStr">
        <is>
          <t>Select 2015 =100</t>
        </is>
      </c>
      <c r="G23" s="75" t="inlineStr">
        <is>
          <t>Manually or create macro</t>
        </is>
      </c>
      <c r="O23" s="69" t="inlineStr">
        <is>
          <t>ASIA</t>
        </is>
      </c>
      <c r="P23" s="69" t="inlineStr">
        <is>
          <t>Asia</t>
        </is>
      </c>
    </row>
    <row r="24" ht="15.75" customHeight="1" s="70">
      <c r="B24" s="76" t="inlineStr">
        <is>
          <t>Countries</t>
        </is>
      </c>
      <c r="G24" s="75" t="n"/>
      <c r="O24" s="69" t="inlineStr">
        <is>
          <t>ASM</t>
        </is>
      </c>
      <c r="P24" s="69" t="inlineStr">
        <is>
          <t>American Samoa</t>
        </is>
      </c>
    </row>
    <row r="25" ht="15.75" customHeight="1" s="70">
      <c r="B25" s="76" t="inlineStr">
        <is>
          <t>Download</t>
        </is>
      </c>
      <c r="G25" s="75" t="n"/>
      <c r="O25" s="69" t="inlineStr">
        <is>
          <t>ATG</t>
        </is>
      </c>
      <c r="P25" s="69" t="inlineStr">
        <is>
          <t>Antigua and Barbuda</t>
        </is>
      </c>
    </row>
    <row r="26" ht="15.75" customHeight="1" s="70">
      <c r="B26" s="76" t="inlineStr">
        <is>
          <t>Start Janv 1955</t>
        </is>
      </c>
      <c r="G26" s="75" t="n"/>
      <c r="O26" s="69" t="inlineStr">
        <is>
          <t>AUS</t>
        </is>
      </c>
      <c r="P26" s="69" t="inlineStr">
        <is>
          <t>Australia</t>
        </is>
      </c>
    </row>
    <row r="27" ht="15.75" customHeight="1" s="70">
      <c r="B27" s="76" t="n"/>
      <c r="G27" s="75"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78"/>
  <sheetViews>
    <sheetView workbookViewId="0">
      <pane xSplit="1" ySplit="1" topLeftCell="B848"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7"/>
    <col width="9.1640625" customWidth="1" style="76" min="8"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E876" t="n">
        <v>113.9321</v>
      </c>
      <c r="F876" t="n">
        <v>101.8792</v>
      </c>
      <c r="G876" t="n">
        <v>123.6751</v>
      </c>
      <c r="I876" t="n">
        <v>129.2673</v>
      </c>
      <c r="J876" t="n">
        <v>110.576</v>
      </c>
      <c r="L876" t="n">
        <v>110.5184</v>
      </c>
      <c r="M876" t="n">
        <v>107.1</v>
      </c>
      <c r="O876" t="n">
        <v>109.9846</v>
      </c>
      <c r="P876" t="n">
        <v>118.589</v>
      </c>
      <c r="R876" t="n">
        <v>107.57</v>
      </c>
      <c r="S876" t="n">
        <v>107.64</v>
      </c>
      <c r="W876" t="n">
        <v>104.1469</v>
      </c>
      <c r="X876" t="n">
        <v>121.7617</v>
      </c>
      <c r="Y876" t="n">
        <v>118.8389</v>
      </c>
      <c r="AA876" t="n">
        <v>106.155</v>
      </c>
      <c r="AB876" t="n">
        <v>119.8499</v>
      </c>
      <c r="AC876" t="n">
        <v>103.125</v>
      </c>
      <c r="AD876" t="n">
        <v>106.2</v>
      </c>
      <c r="AF876" t="n">
        <v>109.41</v>
      </c>
      <c r="AG876" t="n">
        <v>121.5544</v>
      </c>
      <c r="AH876" t="n">
        <v>111.18</v>
      </c>
      <c r="AJ876" t="n">
        <v>133.3462</v>
      </c>
      <c r="AK876" t="n">
        <v>113.17</v>
      </c>
      <c r="AL876" t="n">
        <v>118.1</v>
      </c>
      <c r="AO876" t="n">
        <v>118.0301</v>
      </c>
      <c r="AP876" t="n">
        <v>106.1747</v>
      </c>
      <c r="AR876" t="n">
        <v>109.0626</v>
      </c>
      <c r="AS876" t="n">
        <v>114.4022</v>
      </c>
      <c r="AT876" t="n">
        <v>109.31</v>
      </c>
      <c r="AU876" t="n">
        <v>111.069</v>
      </c>
      <c r="AV876" t="n">
        <v>232.1085</v>
      </c>
      <c r="AW876" t="n">
        <v>117.2692</v>
      </c>
      <c r="AX876" t="n">
        <v>134.2901</v>
      </c>
    </row>
    <row r="877">
      <c r="A877" s="90" t="n">
        <v>44531</v>
      </c>
    </row>
    <row r="878">
      <c r="A878" s="90" t="n">
        <v>44562</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78"/>
  <sheetViews>
    <sheetView workbookViewId="0">
      <pane xSplit="1" ySplit="1" topLeftCell="B836" activePane="bottomRight" state="frozen"/>
      <selection pane="topRight" activeCell="H1" sqref="H1"/>
      <selection pane="bottomLeft" activeCell="A2" sqref="A2"/>
      <selection pane="bottomRight" activeCell="M12" sqref="M12"/>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7"/>
    <col width="9.1640625" customWidth="1" style="76" min="8"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
      </c>
      <c r="L876" t="n">
        <v>109.3978</v>
      </c>
      <c r="M876" t="n">
        <v>105.9995</v>
      </c>
      <c r="N876" t="n">
        <v/>
      </c>
      <c r="O876" t="n">
        <v>106.7536</v>
      </c>
      <c r="P876" t="n">
        <v>114.249</v>
      </c>
      <c r="Q876" t="n">
        <v/>
      </c>
      <c r="R876" t="n">
        <v>106.66</v>
      </c>
      <c r="S876" t="n">
        <v>105.0749</v>
      </c>
      <c r="T876" t="n">
        <v/>
      </c>
      <c r="U876" t="n">
        <v/>
      </c>
      <c r="V876" t="n">
        <v/>
      </c>
      <c r="W876" t="n">
        <v>99.32429999999999</v>
      </c>
      <c r="X876" t="n">
        <v>119.384</v>
      </c>
      <c r="Y876" t="n">
        <v/>
      </c>
      <c r="Z876" t="n">
        <v/>
      </c>
      <c r="AA876" t="n">
        <v>106.4796</v>
      </c>
      <c r="AB876" t="n">
        <v>120.8846</v>
      </c>
      <c r="AC876" t="n">
        <v>103.0867</v>
      </c>
      <c r="AD876" t="n">
        <v>103.7794</v>
      </c>
      <c r="AE876" t="n">
        <v/>
      </c>
      <c r="AF876" t="n">
        <v>107.88</v>
      </c>
      <c r="AG876" t="n">
        <v>121.9753</v>
      </c>
      <c r="AH876" t="n">
        <v>109.44</v>
      </c>
      <c r="AI876" t="n">
        <v/>
      </c>
      <c r="AJ876" t="n">
        <v>125.5004</v>
      </c>
      <c r="AK876" t="n">
        <v>110.5278</v>
      </c>
      <c r="AL876" t="n">
        <v>114.6699</v>
      </c>
      <c r="AM876" t="n">
        <v/>
      </c>
      <c r="AN876" t="n">
        <v/>
      </c>
      <c r="AO876" t="n">
        <v>113.7144</v>
      </c>
      <c r="AP876" t="n">
        <v>105.0134</v>
      </c>
      <c r="AQ876" t="n">
        <v/>
      </c>
      <c r="AR876" t="n">
        <v/>
      </c>
      <c r="AS876" t="n">
        <v>116.0563</v>
      </c>
      <c r="AT876" t="n">
        <v>107.8118</v>
      </c>
      <c r="AU876" t="n">
        <v>108.5179</v>
      </c>
      <c r="AV876" t="n">
        <v>222.7634</v>
      </c>
      <c r="AW876" t="n">
        <v>116.7216</v>
      </c>
      <c r="AX876" t="n">
        <v>129.1499</v>
      </c>
    </row>
    <row r="877">
      <c r="A877" s="90" t="n">
        <v>44531</v>
      </c>
      <c r="B877" t="n">
        <v/>
      </c>
      <c r="C877" t="n">
        <v/>
      </c>
      <c r="D877" t="n">
        <v/>
      </c>
      <c r="E877" t="n">
        <v/>
      </c>
      <c r="F877" t="n">
        <v/>
      </c>
      <c r="G877" t="n">
        <v/>
      </c>
      <c r="H877" t="n">
        <v/>
      </c>
      <c r="I877" t="n">
        <v/>
      </c>
      <c r="J877" t="n">
        <v/>
      </c>
      <c r="K877" t="n">
        <v/>
      </c>
      <c r="L877" t="n">
        <v/>
      </c>
      <c r="M877" t="n">
        <v/>
      </c>
      <c r="N877" t="n">
        <v/>
      </c>
      <c r="O877" t="n">
        <v/>
      </c>
      <c r="P877" t="n">
        <v/>
      </c>
      <c r="Q877" t="n">
        <v/>
      </c>
      <c r="R877" t="n">
        <v/>
      </c>
      <c r="S877" t="n">
        <v/>
      </c>
      <c r="T877" t="n">
        <v/>
      </c>
      <c r="U877" t="n">
        <v/>
      </c>
      <c r="V877" t="n">
        <v/>
      </c>
      <c r="W877" t="n">
        <v/>
      </c>
      <c r="X877" t="n">
        <v/>
      </c>
      <c r="Y877" t="n">
        <v/>
      </c>
      <c r="Z877" t="n">
        <v/>
      </c>
      <c r="AA877" t="n">
        <v/>
      </c>
      <c r="AB877" t="n">
        <v/>
      </c>
      <c r="AC877" t="n">
        <v/>
      </c>
      <c r="AD877" t="n">
        <v/>
      </c>
      <c r="AE877" t="n">
        <v/>
      </c>
      <c r="AF877" t="n">
        <v/>
      </c>
      <c r="AG877" t="n">
        <v/>
      </c>
      <c r="AH877" t="n">
        <v/>
      </c>
      <c r="AI877" t="n">
        <v/>
      </c>
      <c r="AJ877" t="n">
        <v/>
      </c>
      <c r="AK877" t="n">
        <v/>
      </c>
      <c r="AL877" t="n">
        <v/>
      </c>
      <c r="AM877" t="n">
        <v/>
      </c>
      <c r="AN877" t="n">
        <v/>
      </c>
      <c r="AO877" t="n">
        <v/>
      </c>
      <c r="AP877" t="n">
        <v/>
      </c>
      <c r="AQ877" t="n">
        <v/>
      </c>
      <c r="AR877" t="n">
        <v/>
      </c>
      <c r="AS877" t="n">
        <v/>
      </c>
      <c r="AT877" t="n">
        <v/>
      </c>
      <c r="AU877" t="n">
        <v/>
      </c>
      <c r="AV877" t="n">
        <v/>
      </c>
      <c r="AW877" t="n">
        <v/>
      </c>
      <c r="AX877" t="n">
        <v/>
      </c>
    </row>
    <row r="878">
      <c r="A878" s="90" t="n">
        <v>44562</v>
      </c>
      <c r="B878" t="n">
        <v/>
      </c>
      <c r="C878" t="n">
        <v/>
      </c>
      <c r="D878" t="n">
        <v/>
      </c>
      <c r="E878" t="n">
        <v/>
      </c>
      <c r="F878" t="n">
        <v/>
      </c>
      <c r="G878" t="n">
        <v/>
      </c>
      <c r="H878" t="n">
        <v/>
      </c>
      <c r="I878" t="n">
        <v/>
      </c>
      <c r="J878" t="n">
        <v/>
      </c>
      <c r="K878" t="n">
        <v/>
      </c>
      <c r="L878" t="n">
        <v/>
      </c>
      <c r="M878" t="n">
        <v/>
      </c>
      <c r="N878" t="n">
        <v/>
      </c>
      <c r="O878" t="n">
        <v/>
      </c>
      <c r="P878" t="n">
        <v/>
      </c>
      <c r="Q878" t="n">
        <v/>
      </c>
      <c r="R878" t="n">
        <v/>
      </c>
      <c r="S878" t="n">
        <v/>
      </c>
      <c r="T878" t="n">
        <v/>
      </c>
      <c r="U878" t="n">
        <v/>
      </c>
      <c r="V878" t="n">
        <v/>
      </c>
      <c r="W878" t="n">
        <v/>
      </c>
      <c r="X878" t="n">
        <v/>
      </c>
      <c r="Y878" t="n">
        <v/>
      </c>
      <c r="Z878" t="n">
        <v/>
      </c>
      <c r="AA878" t="n">
        <v/>
      </c>
      <c r="AB878" t="n">
        <v/>
      </c>
      <c r="AC878" t="n">
        <v/>
      </c>
      <c r="AD878" t="n">
        <v/>
      </c>
      <c r="AE878" t="n">
        <v/>
      </c>
      <c r="AF878" t="n">
        <v/>
      </c>
      <c r="AG878" t="n">
        <v/>
      </c>
      <c r="AH878" t="n">
        <v/>
      </c>
      <c r="AI878" t="n">
        <v/>
      </c>
      <c r="AJ878" t="n">
        <v/>
      </c>
      <c r="AK878" t="n">
        <v/>
      </c>
      <c r="AL878" t="n">
        <v/>
      </c>
      <c r="AM878" t="n">
        <v/>
      </c>
      <c r="AN878" t="n">
        <v/>
      </c>
      <c r="AO878" t="n">
        <v/>
      </c>
      <c r="AP878" t="n">
        <v/>
      </c>
      <c r="AQ878" t="n">
        <v/>
      </c>
      <c r="AR878" t="n">
        <v/>
      </c>
      <c r="AS878" t="n">
        <v/>
      </c>
      <c r="AT878" t="n">
        <v/>
      </c>
      <c r="AU878" t="n">
        <v/>
      </c>
      <c r="AV878" t="n">
        <v/>
      </c>
      <c r="AW878" t="n">
        <v/>
      </c>
      <c r="AX878"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0"/>
  <sheetViews>
    <sheetView zoomScale="150" zoomScaleNormal="150" workbookViewId="0">
      <pane xSplit="1" ySplit="9" topLeftCell="B107" activePane="bottomRight" state="frozen"/>
      <selection activeCell="M12" sqref="M12"/>
      <selection pane="topRight" activeCell="M12" sqref="M12"/>
      <selection pane="bottomLeft" activeCell="M12" sqref="M12"/>
      <selection pane="bottomRight" activeCell="AD133" sqref="AD133"/>
    </sheetView>
  </sheetViews>
  <sheetFormatPr baseColWidth="10" defaultColWidth="8.83203125" defaultRowHeight="15"/>
  <cols>
    <col width="9.1640625" customWidth="1" style="76"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6.16406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6" thickBot="1">
      <c r="AD2" s="76" t="inlineStr">
        <is>
          <t>Last month</t>
        </is>
      </c>
      <c r="AE2" s="28" t="n">
        <v>44470</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(VLOOKUP(B59,Data!$A:$AX,MATCH($C$1,Data!$A$1:$AX$1,),)-VLOOKUP(EDATE(B59,-12),Data!$A:$AX,MATCH($C$1,Data!$A$1:$AX$1,),))/VLOOKUP(EDATE(B59,-12),Data!$A:$AX,MATCH($C$1,Data!$A$1:$AX$1,),)</f>
        <v/>
      </c>
      <c r="D59" s="20">
        <f>(VLOOKUP(B59,Data!$A:$AX,MATCH($D$1,Data!$A$1:$AX$1,),)-VLOOKUP(EDATE(B59,-12),Data!$A:$AX,MATCH($D$1,Data!$A$1:$AX$1,),))/VLOOKUP(EDATE(B59,-12),Data!$A:$AX,MATCH($D$1,Data!$A$1:$AX$1,),)</f>
        <v/>
      </c>
      <c r="E59" s="20">
        <f>(VLOOKUP($B$59,Data!$A:$AX,MATCH($E$1,Data!$A$1:$AX$1,),)-VLOOKUP(EDATE($B$59,-12),Data!$A:$AX,MATCH($E$1,Data!$A$1:$AX$1,),))/VLOOKUP(EDATE($B$59,-12),Data!$A:$AX,MATCH($E$1,Data!$A$1:$AX$1,),)</f>
        <v/>
      </c>
      <c r="F59" s="20">
        <f>(VLOOKUP(B59,Data!$A:$AX,MATCH($F$1,Data!$A$1:$AX$1,),)-VLOOKUP(EDATE(B59,-12),Data!$A:$AX,MATCH($F$1,Data!$A$1:$AX$1,),))/VLOOKUP(EDATE(B59,-12),Data!$A:$AX,MATCH($F$1,Data!$A$1:$AX$1,),)</f>
        <v/>
      </c>
      <c r="G59" s="20">
        <f>(VLOOKUP(B59,Data!$A:$AX,MATCH($G$1,Data!$A$1:$AX$1,),)-VLOOKUP(EDATE(B59,-12),Data!$A:$AX,MATCH($G$1,Data!$A$1:$AX$1,),))/VLOOKUP(EDATE(B59,-12),Data!$A:$AX,MATCH($G$1,Data!$A$1:$AX$1,),)</f>
        <v/>
      </c>
      <c r="H59" s="20">
        <f>(VLOOKUP(B59,Data!$A:$AX,MATCH($H$1,Data!$A$1:$AX$1,),)-VLOOKUP(EDATE(B59,-12),Data!$A:$AX,MATCH($H$1,Data!$A$1:$AX$1,),))/VLOOKUP(EDATE(B59,-12),Data!$A:$AX,MATCH($H$1,Data!$A$1:$AX$1,),)</f>
        <v/>
      </c>
      <c r="I59" s="20">
        <f>(VLOOKUP(B59,Data!$A:$AX,MATCH($I$1,Data!$A$1:$AX$1,),)-VLOOKUP(EDATE(B59,-12),Data!$A:$AX,MATCH($I$1,Data!$A$1:$AX$1,),))/VLOOKUP(EDATE(B59,-12),Data!$A:$AX,MATCH($I$1,Data!$A$1:$AX$1,),)</f>
        <v/>
      </c>
      <c r="J59" s="20">
        <f>(VLOOKUP(B59,Data!$A:$AX,MATCH($J$1,Data!$A$1:$AX$1,),)-VLOOKUP(EDATE(B59,-12),Data!$A:$AX,MATCH($J$1,Data!$A$1:$AX$1,),))/VLOOKUP(EDATE(B59,-12),Data!$A:$AX,MATCH($J$1,Data!$A$1:$AX$1,),)</f>
        <v/>
      </c>
      <c r="K59" s="20">
        <f>(VLOOKUP(B59,Data!$A:$AX,MATCH($K$1,Data!$A$1:$AX$1,),)-VLOOKUP(EDATE(B59,-12),Data!$A:$AX,MATCH($K$1,Data!$A$1:$AX$1,),))/VLOOKUP(EDATE(B59,-12),Data!$A:$AX,MATCH($K$1,Data!$A$1:$AX$1,),)</f>
        <v/>
      </c>
      <c r="L59" s="20">
        <f>(VLOOKUP(B59,Data!$A:$AX,MATCH($L$1,Data!$A$1:$AX$1,),)-VLOOKUP(EDATE(B59,-12),Data!$A:$AX,MATCH($L$1,Data!$A$1:$AX$1,),))/VLOOKUP(EDATE(B59,-12),Data!$A:$AX,MATCH($L$1,Data!$A$1:$AX$1,),)</f>
        <v/>
      </c>
      <c r="M59" s="20">
        <f>(VLOOKUP(B59,Data!$A:$AX,MATCH($M$1,Data!$A$1:$AX$1,),)-VLOOKUP(EDATE(B59,-12),Data!$A:$AX,MATCH($M$1,Data!$A$1:$AX$1,),))/VLOOKUP(EDATE(B59,-12),Data!$A:$AX,MATCH($M$1,Data!$A$1:$AX$1,),)</f>
        <v/>
      </c>
      <c r="N59" s="20">
        <f>(VLOOKUP(B59,Data!$A:$AX,MATCH($N$1,Data!$A$1:$AX$1,),)-VLOOKUP(EDATE(B59,-12),Data!$A:$AX,MATCH($N$1,Data!$A$1:$AX$1,),))/VLOOKUP(EDATE(B59,-12),Data!$A:$AX,MATCH($N$1,Data!$A$1:$AX$1,),)</f>
        <v/>
      </c>
      <c r="O59" s="20">
        <f>(VLOOKUP(B59,Data!$A:$AX,MATCH($O$1,Data!$A$1:$AX$1,),)-VLOOKUP(EDATE(B59,-12),Data!$A:$AX,MATCH($O$1,Data!$A$1:$AX$1,),))/VLOOKUP(EDATE(B59,-12),Data!$A:$AX,MATCH($O$1,Data!$A$1:$AX$1,),)</f>
        <v/>
      </c>
      <c r="P59" s="20">
        <f>(VLOOKUP(B59,Data!$A:$AX,MATCH($P$1,Data!$A$1:$AX$1,),)-VLOOKUP(EDATE(B59,-12),Data!$A:$AX,MATCH($P$1,Data!$A$1:$AX$1,),))/VLOOKUP(EDATE(B59,-12),Data!$A:$AX,MATCH($P$1,Data!$A$1:$AX$1,),)</f>
        <v/>
      </c>
      <c r="Q59" s="20">
        <f>(VLOOKUP(B59,Data!$A:$AX,MATCH($Q$1,Data!$A$1:$AX$1,),)-VLOOKUP(EDATE(B59,-12),Data!$A:$AX,MATCH($Q$1,Data!$A$1:$AX$1,),))/VLOOKUP(EDATE(B59,-12),Data!$A:$AX,MATCH($Q$1,Data!$A$1:$AX$1,),)</f>
        <v/>
      </c>
      <c r="R59" s="20">
        <f>(VLOOKUP(B59,Data!$A:$AX,MATCH($R$1,Data!$A$1:$AX$1,),)-VLOOKUP(EDATE(B59,-12),Data!$A:$AX,MATCH($R$1,Data!$A$1:$AX$1,),))/VLOOKUP(EDATE(B59,-12),Data!$A:$AX,MATCH($R$1,Data!$A$1:$AX$1,),)</f>
        <v/>
      </c>
      <c r="S59" s="20">
        <f>(VLOOKUP(B59,Data!$A:$AX,MATCH($S$1,Data!$A$1:$AX$1,),)-VLOOKUP(EDATE(B59,-12),Data!$A:$AX,MATCH($S$1,Data!$A$1:$AX$1,),))/VLOOKUP(EDATE(B59,-12),Data!$A:$AX,MATCH($S$1,Data!$A$1:$AX$1,),)</f>
        <v/>
      </c>
      <c r="T59" s="20">
        <f>(VLOOKUP(B59,Data!$A:$AX,MATCH($T$1,Data!$A$1:$AX$1,),)-VLOOKUP(EDATE(B59,-12),Data!$A:$AX,MATCH($T$1,Data!$A$1:$AX$1,),))/VLOOKUP(EDATE(B59,-12),Data!$A:$AX,MATCH($T$1,Data!$A$1:$AX$1,),)</f>
        <v/>
      </c>
      <c r="U59" s="20">
        <f>(VLOOKUP(B59,Data!$A:$AX,MATCH($U$1,Data!$A$1:$AX$1,),)-VLOOKUP(EDATE(B59,-12),Data!$A:$AX,MATCH($U$1,Data!$A$1:$AX$1,),))/VLOOKUP(EDATE(B59,-12),Data!$A:$AX,MATCH($U$1,Data!$A$1:$AX$1,),)</f>
        <v/>
      </c>
      <c r="V59" s="20">
        <f>(VLOOKUP(B59,Data!$A:$AX,MATCH($V$1,Data!$A$1:$AX$1,),)-VLOOKUP(EDATE(B59,-12),Data!$A:$AX,MATCH($V$1,Data!$A$1:$AX$1,),))/VLOOKUP(EDATE(B59,-12),Data!$A:$AX,MATCH($V$1,Data!$A$1:$AX$1,),)</f>
        <v/>
      </c>
      <c r="W59" s="20">
        <f>(VLOOKUP(B59,Data!$A:$AX,MATCH($W$1,Data!$A$1:$AX$1,),)-VLOOKUP(EDATE(B59,-12),Data!$A:$AX,MATCH($W$1,Data!$A$1:$AX$1,),))/VLOOKUP(EDATE(B59,-12),Data!$A:$AX,MATCH($W$1,Data!$A$1:$AX$1,),)</f>
        <v/>
      </c>
      <c r="X59" s="20">
        <f>(VLOOKUP(B59,Data!$A:$AX,MATCH($X$1,Data!$A$1:$AX$1,),)-VLOOKUP(EDATE(B59,-12),Data!$A:$AX,MATCH($X$1,Data!$A$1:$AX$1,),))/VLOOKUP(EDATE(B59,-12),Data!$A:$AX,MATCH($X$1,Data!$A$1:$AX$1,),)</f>
        <v/>
      </c>
      <c r="Y59" s="20">
        <f>(VLOOKUP(B59,Data!$A:$AX,MATCH($Y$1,Data!$A$1:$AX$1,),)-VLOOKUP(EDATE(B59,-12),Data!$A:$AX,MATCH($Y$1,Data!$A$1:$AX$1,),))/VLOOKUP(EDATE(B59,-12),Data!$A:$AX,MATCH($Y$1,Data!$A$1:$AX$1,),)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(VLOOKUP(B60,Data!$A:$AX,MATCH($C$1,Data!$A$1:$AX$1,),)-VLOOKUP(EDATE(B60,-12),Data!$A:$AX,MATCH($C$1,Data!$A$1:$AX$1,),))/VLOOKUP(EDATE(B60,-12),Data!$A:$AX,MATCH($C$1,Data!$A$1:$AX$1,),)</f>
        <v/>
      </c>
      <c r="D60" s="20">
        <f>(VLOOKUP(B60,Data!$A:$AX,MATCH($D$1,Data!$A$1:$AX$1,),)-VLOOKUP(EDATE(B60,-12),Data!$A:$AX,MATCH($D$1,Data!$A$1:$AX$1,),))/VLOOKUP(EDATE(B60,-12),Data!$A:$AX,MATCH($D$1,Data!$A$1:$AX$1,),)</f>
        <v/>
      </c>
      <c r="E60" s="20">
        <f>(VLOOKUP(B60,Data!$A:$AX,MATCH($E$1,Data!$A$1:$AX$1,),)-VLOOKUP(EDATE(B60,-12),Data!$A:$AX,MATCH($E$1,Data!$A$1:$AX$1,),))/VLOOKUP(EDATE(B60,-12),Data!$A:$AX,MATCH($E$1,Data!$A$1:$AX$1,),)</f>
        <v/>
      </c>
      <c r="F60" s="20">
        <f>(VLOOKUP(B60,Data!$A:$AX,MATCH($F$1,Data!$A$1:$AX$1,),)-VLOOKUP(EDATE(B60,-12),Data!$A:$AX,MATCH($F$1,Data!$A$1:$AX$1,),))/VLOOKUP(EDATE(B60,-12),Data!$A:$AX,MATCH($F$1,Data!$A$1:$AX$1,),)</f>
        <v/>
      </c>
      <c r="G60" s="20">
        <f>(VLOOKUP(B60,Data!$A:$AX,MATCH($G$1,Data!$A$1:$AX$1,),)-VLOOKUP(EDATE(B60,-12),Data!$A:$AX,MATCH($G$1,Data!$A$1:$AX$1,),))/VLOOKUP(EDATE(B60,-12),Data!$A:$AX,MATCH($G$1,Data!$A$1:$AX$1,),)</f>
        <v/>
      </c>
      <c r="H60" s="20">
        <f>(VLOOKUP(B60,Data!$A:$AX,MATCH($H$1,Data!$A$1:$AX$1,),)-VLOOKUP(EDATE(B60,-12),Data!$A:$AX,MATCH($H$1,Data!$A$1:$AX$1,),))/VLOOKUP(EDATE(B60,-12),Data!$A:$AX,MATCH($H$1,Data!$A$1:$AX$1,),)</f>
        <v/>
      </c>
      <c r="I60" s="20">
        <f>(VLOOKUP(B60,Data!$A:$AX,MATCH($I$1,Data!$A$1:$AX$1,),)-VLOOKUP(EDATE(B60,-12),Data!$A:$AX,MATCH($I$1,Data!$A$1:$AX$1,),))/VLOOKUP(EDATE(B60,-12),Data!$A:$AX,MATCH($I$1,Data!$A$1:$AX$1,),)</f>
        <v/>
      </c>
      <c r="J60" s="20">
        <f>(VLOOKUP(B60,Data!$A:$AX,MATCH($J$1,Data!$A$1:$AX$1,),)-VLOOKUP(EDATE(B60,-12),Data!$A:$AX,MATCH($J$1,Data!$A$1:$AX$1,),))/VLOOKUP(EDATE(B60,-12),Data!$A:$AX,MATCH($J$1,Data!$A$1:$AX$1,),)</f>
        <v/>
      </c>
      <c r="K60" s="20">
        <f>(VLOOKUP(B60,Data!$A:$AX,MATCH($K$1,Data!$A$1:$AX$1,),)-VLOOKUP(EDATE(B60,-12),Data!$A:$AX,MATCH($K$1,Data!$A$1:$AX$1,),))/VLOOKUP(EDATE(B60,-12),Data!$A:$AX,MATCH($K$1,Data!$A$1:$AX$1,),)</f>
        <v/>
      </c>
      <c r="L60" s="20">
        <f>(VLOOKUP(B60,Data!$A:$AX,MATCH($L$1,Data!$A$1:$AX$1,),)-VLOOKUP(EDATE(B60,-12),Data!$A:$AX,MATCH($L$1,Data!$A$1:$AX$1,),))/VLOOKUP(EDATE(B60,-12),Data!$A:$AX,MATCH($L$1,Data!$A$1:$AX$1,),)</f>
        <v/>
      </c>
      <c r="M60" s="20">
        <f>(VLOOKUP(B60,Data!$A:$AX,MATCH($M$1,Data!$A$1:$AX$1,),)-VLOOKUP(EDATE(B60,-12),Data!$A:$AX,MATCH($M$1,Data!$A$1:$AX$1,),))/VLOOKUP(EDATE(B60,-12),Data!$A:$AX,MATCH($M$1,Data!$A$1:$AX$1,),)</f>
        <v/>
      </c>
      <c r="N60" s="20">
        <f>(VLOOKUP(B60,Data!$A:$AX,MATCH($N$1,Data!$A$1:$AX$1,),)-VLOOKUP(EDATE(B60,-12),Data!$A:$AX,MATCH($N$1,Data!$A$1:$AX$1,),))/VLOOKUP(EDATE(B60,-12),Data!$A:$AX,MATCH($N$1,Data!$A$1:$AX$1,),)</f>
        <v/>
      </c>
      <c r="O60" s="20">
        <f>(VLOOKUP(B60,Data!$A:$AX,MATCH($O$1,Data!$A$1:$AX$1,),)-VLOOKUP(EDATE(B60,-12),Data!$A:$AX,MATCH($O$1,Data!$A$1:$AX$1,),))/VLOOKUP(EDATE(B60,-12),Data!$A:$AX,MATCH($O$1,Data!$A$1:$AX$1,),)</f>
        <v/>
      </c>
      <c r="P60" s="20">
        <f>(VLOOKUP(B60,Data!$A:$AX,MATCH($P$1,Data!$A$1:$AX$1,),)-VLOOKUP(EDATE(B60,-12),Data!$A:$AX,MATCH($P$1,Data!$A$1:$AX$1,),))/VLOOKUP(EDATE(B60,-12),Data!$A:$AX,MATCH($P$1,Data!$A$1:$AX$1,),)</f>
        <v/>
      </c>
      <c r="Q60" s="20">
        <f>(VLOOKUP(B60,Data!$A:$AX,MATCH($Q$1,Data!$A$1:$AX$1,),)-VLOOKUP(EDATE(B60,-12),Data!$A:$AX,MATCH($Q$1,Data!$A$1:$AX$1,),))/VLOOKUP(EDATE(B60,-12),Data!$A:$AX,MATCH($Q$1,Data!$A$1:$AX$1,),)</f>
        <v/>
      </c>
      <c r="R60" s="20">
        <f>(VLOOKUP(B60,Data!$A:$AX,MATCH($R$1,Data!$A$1:$AX$1,),)-VLOOKUP(EDATE(B60,-12),Data!$A:$AX,MATCH($R$1,Data!$A$1:$AX$1,),))/VLOOKUP(EDATE(B60,-12),Data!$A:$AX,MATCH($R$1,Data!$A$1:$AX$1,),)</f>
        <v/>
      </c>
      <c r="S60" s="20">
        <f>(VLOOKUP(B60,Data!$A:$AX,MATCH($S$1,Data!$A$1:$AX$1,),)-VLOOKUP(EDATE(B60,-12),Data!$A:$AX,MATCH($S$1,Data!$A$1:$AX$1,),))/VLOOKUP(EDATE(B60,-12),Data!$A:$AX,MATCH($S$1,Data!$A$1:$AX$1,),)</f>
        <v/>
      </c>
      <c r="T60" s="20">
        <f>(VLOOKUP(B60,Data!$A:$AX,MATCH($T$1,Data!$A$1:$AX$1,),)-VLOOKUP(EDATE(B60,-12),Data!$A:$AX,MATCH($T$1,Data!$A$1:$AX$1,),))/VLOOKUP(EDATE(B60,-12),Data!$A:$AX,MATCH($T$1,Data!$A$1:$AX$1,),)</f>
        <v/>
      </c>
      <c r="U60" s="20">
        <f>(VLOOKUP(B60,Data!$A:$AX,MATCH($U$1,Data!$A$1:$AX$1,),)-VLOOKUP(EDATE(B60,-12),Data!$A:$AX,MATCH($U$1,Data!$A$1:$AX$1,),))/VLOOKUP(EDATE(B60,-12),Data!$A:$AX,MATCH($U$1,Data!$A$1:$AX$1,),)</f>
        <v/>
      </c>
      <c r="V60" s="20">
        <f>(VLOOKUP(B60,Data!$A:$AX,MATCH($V$1,Data!$A$1:$AX$1,),)-VLOOKUP(EDATE(B60,-12),Data!$A:$AX,MATCH($V$1,Data!$A$1:$AX$1,),))/VLOOKUP(EDATE(B60,-12),Data!$A:$AX,MATCH($V$1,Data!$A$1:$AX$1,),)</f>
        <v/>
      </c>
      <c r="W60" s="20">
        <f>(VLOOKUP(B60,Data!$A:$AX,MATCH($W$1,Data!$A$1:$AX$1,),)-VLOOKUP(EDATE(B60,-12),Data!$A:$AX,MATCH($W$1,Data!$A$1:$AX$1,),))/VLOOKUP(EDATE(B60,-12),Data!$A:$AX,MATCH($W$1,Data!$A$1:$AX$1,),)</f>
        <v/>
      </c>
      <c r="X60" s="20">
        <f>(VLOOKUP(B60,Data!$A:$AX,MATCH($X$1,Data!$A$1:$AX$1,),)-VLOOKUP(EDATE(B60,-12),Data!$A:$AX,MATCH($X$1,Data!$A$1:$AX$1,),))/VLOOKUP(EDATE(B60,-12),Data!$A:$AX,MATCH($X$1,Data!$A$1:$AX$1,),)</f>
        <v/>
      </c>
      <c r="Y60" s="20">
        <f>(VLOOKUP(B60,Data!$A:$AX,MATCH($Y$1,Data!$A$1:$AX$1,),)-VLOOKUP(EDATE(B60,-12),Data!$A:$AX,MATCH($Y$1,Data!$A$1:$AX$1,),))/VLOOKUP(EDATE(B60,-12),Data!$A:$AX,MATCH($Y$1,Data!$A$1:$AX$1,),)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(VLOOKUP(B61,Data!$A:$AX,MATCH($C$1,Data!$A$1:$AX$1,),)-VLOOKUP(EDATE(B61,-12),Data!$A:$AX,MATCH($C$1,Data!$A$1:$AX$1,),))/VLOOKUP(EDATE(B61,-12),Data!$A:$AX,MATCH($C$1,Data!$A$1:$AX$1,),)</f>
        <v/>
      </c>
      <c r="D61" s="20">
        <f>(VLOOKUP(B61,Data!$A:$AX,MATCH($D$1,Data!$A$1:$AX$1,),)-VLOOKUP(EDATE(B61,-12),Data!$A:$AX,MATCH($D$1,Data!$A$1:$AX$1,),))/VLOOKUP(EDATE(B61,-12),Data!$A:$AX,MATCH($D$1,Data!$A$1:$AX$1,),)</f>
        <v/>
      </c>
      <c r="E61" s="20">
        <f>(VLOOKUP(B61,Data!$A:$AX,MATCH($E$1,Data!$A$1:$AX$1,),)-VLOOKUP(EDATE(B61,-12),Data!$A:$AX,MATCH($E$1,Data!$A$1:$AX$1,),))/VLOOKUP(EDATE(B61,-12),Data!$A:$AX,MATCH($E$1,Data!$A$1:$AX$1,),)</f>
        <v/>
      </c>
      <c r="F61" s="20">
        <f>(VLOOKUP(B61,Data!$A:$AX,MATCH($F$1,Data!$A$1:$AX$1,),)-VLOOKUP(EDATE(B61,-12),Data!$A:$AX,MATCH($F$1,Data!$A$1:$AX$1,),))/VLOOKUP(EDATE(B61,-12),Data!$A:$AX,MATCH($F$1,Data!$A$1:$AX$1,),)</f>
        <v/>
      </c>
      <c r="G61" s="20">
        <f>(VLOOKUP(B61,Data!$A:$AX,MATCH($G$1,Data!$A$1:$AX$1,),)-VLOOKUP(EDATE(B61,-12),Data!$A:$AX,MATCH($G$1,Data!$A$1:$AX$1,),))/VLOOKUP(EDATE(B61,-12),Data!$A:$AX,MATCH($G$1,Data!$A$1:$AX$1,),)</f>
        <v/>
      </c>
      <c r="H61" s="20">
        <f>(VLOOKUP(B61,Data!$A:$AX,MATCH($H$1,Data!$A$1:$AX$1,),)-VLOOKUP(EDATE(B61,-12),Data!$A:$AX,MATCH($H$1,Data!$A$1:$AX$1,),))/VLOOKUP(EDATE(B61,-12),Data!$A:$AX,MATCH($H$1,Data!$A$1:$AX$1,),)</f>
        <v/>
      </c>
      <c r="I61" s="20">
        <f>(VLOOKUP(B61,Data!$A:$AX,MATCH($I$1,Data!$A$1:$AX$1,),)-VLOOKUP(EDATE(B61,-12),Data!$A:$AX,MATCH($I$1,Data!$A$1:$AX$1,),))/VLOOKUP(EDATE(B61,-12),Data!$A:$AX,MATCH($I$1,Data!$A$1:$AX$1,),)</f>
        <v/>
      </c>
      <c r="J61" s="20">
        <f>(VLOOKUP(B61,Data!$A:$AX,MATCH($J$1,Data!$A$1:$AX$1,),)-VLOOKUP(EDATE(B61,-12),Data!$A:$AX,MATCH($J$1,Data!$A$1:$AX$1,),))/VLOOKUP(EDATE(B61,-12),Data!$A:$AX,MATCH($J$1,Data!$A$1:$AX$1,),)</f>
        <v/>
      </c>
      <c r="K61" s="20">
        <f>(VLOOKUP(B61,Data!$A:$AX,MATCH($K$1,Data!$A$1:$AX$1,),)-VLOOKUP(EDATE(B61,-12),Data!$A:$AX,MATCH($K$1,Data!$A$1:$AX$1,),))/VLOOKUP(EDATE(B61,-12),Data!$A:$AX,MATCH($K$1,Data!$A$1:$AX$1,),)</f>
        <v/>
      </c>
      <c r="L61" s="20">
        <f>(VLOOKUP(B61,Data!$A:$AX,MATCH($L$1,Data!$A$1:$AX$1,),)-VLOOKUP(EDATE(B61,-12),Data!$A:$AX,MATCH($L$1,Data!$A$1:$AX$1,),))/VLOOKUP(EDATE(B61,-12),Data!$A:$AX,MATCH($L$1,Data!$A$1:$AX$1,),)</f>
        <v/>
      </c>
      <c r="M61" s="20">
        <f>(VLOOKUP(B61,Data!$A:$AX,MATCH($M$1,Data!$A$1:$AX$1,),)-VLOOKUP(EDATE(B61,-12),Data!$A:$AX,MATCH($M$1,Data!$A$1:$AX$1,),))/VLOOKUP(EDATE(B61,-12),Data!$A:$AX,MATCH($M$1,Data!$A$1:$AX$1,),)</f>
        <v/>
      </c>
      <c r="N61" s="20">
        <f>(VLOOKUP(B61,Data!$A:$AX,MATCH($N$1,Data!$A$1:$AX$1,),)-VLOOKUP(EDATE(B61,-12),Data!$A:$AX,MATCH($N$1,Data!$A$1:$AX$1,),))/VLOOKUP(EDATE(B61,-12),Data!$A:$AX,MATCH($N$1,Data!$A$1:$AX$1,),)</f>
        <v/>
      </c>
      <c r="O61" s="20">
        <f>(VLOOKUP(B61,Data!$A:$AX,MATCH($O$1,Data!$A$1:$AX$1,),)-VLOOKUP(EDATE(B61,-12),Data!$A:$AX,MATCH($O$1,Data!$A$1:$AX$1,),))/VLOOKUP(EDATE(B61,-12),Data!$A:$AX,MATCH($O$1,Data!$A$1:$AX$1,),)</f>
        <v/>
      </c>
      <c r="P61" s="20">
        <f>(VLOOKUP(B61,Data!$A:$AX,MATCH($P$1,Data!$A$1:$AX$1,),)-VLOOKUP(EDATE(B61,-12),Data!$A:$AX,MATCH($P$1,Data!$A$1:$AX$1,),))/VLOOKUP(EDATE(B61,-12),Data!$A:$AX,MATCH($P$1,Data!$A$1:$AX$1,),)</f>
        <v/>
      </c>
      <c r="Q61" s="20">
        <f>(VLOOKUP(B61,Data!$A:$AX,MATCH($Q$1,Data!$A$1:$AX$1,),)-VLOOKUP(EDATE(B61,-12),Data!$A:$AX,MATCH($Q$1,Data!$A$1:$AX$1,),))/VLOOKUP(EDATE(B61,-12),Data!$A:$AX,MATCH($Q$1,Data!$A$1:$AX$1,),)</f>
        <v/>
      </c>
      <c r="R61" s="20">
        <f>(VLOOKUP(B61,Data!$A:$AX,MATCH($R$1,Data!$A$1:$AX$1,),)-VLOOKUP(EDATE(B61,-12),Data!$A:$AX,MATCH($R$1,Data!$A$1:$AX$1,),))/VLOOKUP(EDATE(B61,-12),Data!$A:$AX,MATCH($R$1,Data!$A$1:$AX$1,),)</f>
        <v/>
      </c>
      <c r="S61" s="20">
        <f>(VLOOKUP(B61,Data!$A:$AX,MATCH($S$1,Data!$A$1:$AX$1,),)-VLOOKUP(EDATE(B61,-12),Data!$A:$AX,MATCH($S$1,Data!$A$1:$AX$1,),))/VLOOKUP(EDATE(B61,-12),Data!$A:$AX,MATCH($S$1,Data!$A$1:$AX$1,),)</f>
        <v/>
      </c>
      <c r="T61" s="20">
        <f>(VLOOKUP(B61,Data!$A:$AX,MATCH($T$1,Data!$A$1:$AX$1,),)-VLOOKUP(EDATE(B61,-12),Data!$A:$AX,MATCH($T$1,Data!$A$1:$AX$1,),))/VLOOKUP(EDATE(B61,-12),Data!$A:$AX,MATCH($T$1,Data!$A$1:$AX$1,),)</f>
        <v/>
      </c>
      <c r="U61" s="20">
        <f>(VLOOKUP(B61,Data!$A:$AX,MATCH($U$1,Data!$A$1:$AX$1,),)-VLOOKUP(EDATE(B61,-12),Data!$A:$AX,MATCH($U$1,Data!$A$1:$AX$1,),))/VLOOKUP(EDATE(B61,-12),Data!$A:$AX,MATCH($U$1,Data!$A$1:$AX$1,),)</f>
        <v/>
      </c>
      <c r="V61" s="20">
        <f>(VLOOKUP(B61,Data!$A:$AX,MATCH($V$1,Data!$A$1:$AX$1,),)-VLOOKUP(EDATE(B61,-12),Data!$A:$AX,MATCH($V$1,Data!$A$1:$AX$1,),))/VLOOKUP(EDATE(B61,-12),Data!$A:$AX,MATCH($V$1,Data!$A$1:$AX$1,),)</f>
        <v/>
      </c>
      <c r="W61" s="20">
        <f>(VLOOKUP(B61,Data!$A:$AX,MATCH($W$1,Data!$A$1:$AX$1,),)-VLOOKUP(EDATE(B61,-12),Data!$A:$AX,MATCH($W$1,Data!$A$1:$AX$1,),))/VLOOKUP(EDATE(B61,-12),Data!$A:$AX,MATCH($W$1,Data!$A$1:$AX$1,),)</f>
        <v/>
      </c>
      <c r="X61" s="20">
        <f>(VLOOKUP(B61,Data!$A:$AX,MATCH($X$1,Data!$A$1:$AX$1,),)-VLOOKUP(EDATE(B61,-12),Data!$A:$AX,MATCH($X$1,Data!$A$1:$AX$1,),))/VLOOKUP(EDATE(B61,-12),Data!$A:$AX,MATCH($X$1,Data!$A$1:$AX$1,),)</f>
        <v/>
      </c>
      <c r="Y61" s="20">
        <f>(VLOOKUP(B61,Data!$A:$AX,MATCH($Y$1,Data!$A$1:$AX$1,),)-VLOOKUP(EDATE(B61,-12),Data!$A:$AX,MATCH($Y$1,Data!$A$1:$AX$1,),))/VLOOKUP(EDATE(B61,-12),Data!$A:$AX,MATCH($Y$1,Data!$A$1:$AX$1,),)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(VLOOKUP(B62,Data!$A:$AX,MATCH($C$1,Data!$A$1:$AX$1,),)-VLOOKUP(EDATE(B62,-12),Data!$A:$AX,MATCH($C$1,Data!$A$1:$AX$1,),))/VLOOKUP(EDATE(B62,-12),Data!$A:$AX,MATCH($C$1,Data!$A$1:$AX$1,),)</f>
        <v/>
      </c>
      <c r="D62" s="20">
        <f>(VLOOKUP(B62,Data!$A:$AX,MATCH($D$1,Data!$A$1:$AX$1,),)-VLOOKUP(EDATE(B62,-12),Data!$A:$AX,MATCH($D$1,Data!$A$1:$AX$1,),))/VLOOKUP(EDATE(B62,-12),Data!$A:$AX,MATCH($D$1,Data!$A$1:$AX$1,),)</f>
        <v/>
      </c>
      <c r="E62" s="20">
        <f>(VLOOKUP(B62,Data!$A:$AX,MATCH($E$1,Data!$A$1:$AX$1,),)-VLOOKUP(EDATE(B62,-12),Data!$A:$AX,MATCH($E$1,Data!$A$1:$AX$1,),))/VLOOKUP(EDATE(B62,-12),Data!$A:$AX,MATCH($E$1,Data!$A$1:$AX$1,),)</f>
        <v/>
      </c>
      <c r="F62" s="20">
        <f>(VLOOKUP(B62,Data!$A:$AX,MATCH($F$1,Data!$A$1:$AX$1,),)-VLOOKUP(EDATE(B62,-12),Data!$A:$AX,MATCH($F$1,Data!$A$1:$AX$1,),))/VLOOKUP(EDATE(B62,-12),Data!$A:$AX,MATCH($F$1,Data!$A$1:$AX$1,),)</f>
        <v/>
      </c>
      <c r="G62" s="20">
        <f>(VLOOKUP(B62,Data!$A:$AX,MATCH($G$1,Data!$A$1:$AX$1,),)-VLOOKUP(EDATE(B62,-12),Data!$A:$AX,MATCH($G$1,Data!$A$1:$AX$1,),))/VLOOKUP(EDATE(B62,-12),Data!$A:$AX,MATCH($G$1,Data!$A$1:$AX$1,),)</f>
        <v/>
      </c>
      <c r="H62" s="20">
        <f>(VLOOKUP(B62,Data!$A:$AX,MATCH($H$1,Data!$A$1:$AX$1,),)-VLOOKUP(EDATE(B62,-12),Data!$A:$AX,MATCH($H$1,Data!$A$1:$AX$1,),))/VLOOKUP(EDATE(B62,-12),Data!$A:$AX,MATCH($H$1,Data!$A$1:$AX$1,),)</f>
        <v/>
      </c>
      <c r="I62" s="20">
        <f>(VLOOKUP(B62,Data!$A:$AX,MATCH($I$1,Data!$A$1:$AX$1,),)-VLOOKUP(EDATE(B62,-12),Data!$A:$AX,MATCH($I$1,Data!$A$1:$AX$1,),))/VLOOKUP(EDATE(B62,-12),Data!$A:$AX,MATCH($I$1,Data!$A$1:$AX$1,),)</f>
        <v/>
      </c>
      <c r="J62" s="20">
        <f>(VLOOKUP(B62,Data!$A:$AX,MATCH($J$1,Data!$A$1:$AX$1,),)-VLOOKUP(EDATE(B62,-12),Data!$A:$AX,MATCH($J$1,Data!$A$1:$AX$1,),))/VLOOKUP(EDATE(B62,-12),Data!$A:$AX,MATCH($J$1,Data!$A$1:$AX$1,),)</f>
        <v/>
      </c>
      <c r="K62" s="20">
        <f>(VLOOKUP(B62,Data!$A:$AX,MATCH($K$1,Data!$A$1:$AX$1,),)-VLOOKUP(EDATE(B62,-12),Data!$A:$AX,MATCH($K$1,Data!$A$1:$AX$1,),))/VLOOKUP(EDATE(B62,-12),Data!$A:$AX,MATCH($K$1,Data!$A$1:$AX$1,),)</f>
        <v/>
      </c>
      <c r="L62" s="20">
        <f>(VLOOKUP(B62,Data!$A:$AX,MATCH($L$1,Data!$A$1:$AX$1,),)-VLOOKUP(EDATE(B62,-12),Data!$A:$AX,MATCH($L$1,Data!$A$1:$AX$1,),))/VLOOKUP(EDATE(B62,-12),Data!$A:$AX,MATCH($L$1,Data!$A$1:$AX$1,),)</f>
        <v/>
      </c>
      <c r="M62" s="20">
        <f>(VLOOKUP(B62,Data!$A:$AX,MATCH($M$1,Data!$A$1:$AX$1,),)-VLOOKUP(EDATE(B62,-12),Data!$A:$AX,MATCH($M$1,Data!$A$1:$AX$1,),))/VLOOKUP(EDATE(B62,-12),Data!$A:$AX,MATCH($M$1,Data!$A$1:$AX$1,),)</f>
        <v/>
      </c>
      <c r="N62" s="20">
        <f>(VLOOKUP(B62,Data!$A:$AX,MATCH($N$1,Data!$A$1:$AX$1,),)-VLOOKUP(EDATE(B62,-12),Data!$A:$AX,MATCH($N$1,Data!$A$1:$AX$1,),))/VLOOKUP(EDATE(B62,-12),Data!$A:$AX,MATCH($N$1,Data!$A$1:$AX$1,),)</f>
        <v/>
      </c>
      <c r="O62" s="20">
        <f>(VLOOKUP(B62,Data!$A:$AX,MATCH($O$1,Data!$A$1:$AX$1,),)-VLOOKUP(EDATE(B62,-12),Data!$A:$AX,MATCH($O$1,Data!$A$1:$AX$1,),))/VLOOKUP(EDATE(B62,-12),Data!$A:$AX,MATCH($O$1,Data!$A$1:$AX$1,),)</f>
        <v/>
      </c>
      <c r="P62" s="20">
        <f>(VLOOKUP(B62,Data!$A:$AX,MATCH($P$1,Data!$A$1:$AX$1,),)-VLOOKUP(EDATE(B62,-12),Data!$A:$AX,MATCH($P$1,Data!$A$1:$AX$1,),))/VLOOKUP(EDATE(B62,-12),Data!$A:$AX,MATCH($P$1,Data!$A$1:$AX$1,),)</f>
        <v/>
      </c>
      <c r="Q62" s="20">
        <f>(VLOOKUP(B62,Data!$A:$AX,MATCH($Q$1,Data!$A$1:$AX$1,),)-VLOOKUP(EDATE(B62,-12),Data!$A:$AX,MATCH($Q$1,Data!$A$1:$AX$1,),))/VLOOKUP(EDATE(B62,-12),Data!$A:$AX,MATCH($Q$1,Data!$A$1:$AX$1,),)</f>
        <v/>
      </c>
      <c r="R62" s="20">
        <f>(VLOOKUP(B62,Data!$A:$AX,MATCH($R$1,Data!$A$1:$AX$1,),)-VLOOKUP(EDATE(B62,-12),Data!$A:$AX,MATCH($R$1,Data!$A$1:$AX$1,),))/VLOOKUP(EDATE(B62,-12),Data!$A:$AX,MATCH($R$1,Data!$A$1:$AX$1,),)</f>
        <v/>
      </c>
      <c r="S62" s="20">
        <f>(VLOOKUP(B62,Data!$A:$AX,MATCH($S$1,Data!$A$1:$AX$1,),)-VLOOKUP(EDATE(B62,-12),Data!$A:$AX,MATCH($S$1,Data!$A$1:$AX$1,),))/VLOOKUP(EDATE(B62,-12),Data!$A:$AX,MATCH($S$1,Data!$A$1:$AX$1,),)</f>
        <v/>
      </c>
      <c r="T62" s="20">
        <f>(VLOOKUP(B62,Data!$A:$AX,MATCH($T$1,Data!$A$1:$AX$1,),)-VLOOKUP(EDATE(B62,-12),Data!$A:$AX,MATCH($T$1,Data!$A$1:$AX$1,),))/VLOOKUP(EDATE(B62,-12),Data!$A:$AX,MATCH($T$1,Data!$A$1:$AX$1,),)</f>
        <v/>
      </c>
      <c r="U62" s="20">
        <f>(VLOOKUP(B62,Data!$A:$AX,MATCH($U$1,Data!$A$1:$AX$1,),)-VLOOKUP(EDATE(B62,-12),Data!$A:$AX,MATCH($U$1,Data!$A$1:$AX$1,),))/VLOOKUP(EDATE(B62,-12),Data!$A:$AX,MATCH($U$1,Data!$A$1:$AX$1,),)</f>
        <v/>
      </c>
      <c r="V62" s="20">
        <f>(VLOOKUP(B62,Data!$A:$AX,MATCH($V$1,Data!$A$1:$AX$1,),)-VLOOKUP(EDATE(B62,-12),Data!$A:$AX,MATCH($V$1,Data!$A$1:$AX$1,),))/VLOOKUP(EDATE(B62,-12),Data!$A:$AX,MATCH($V$1,Data!$A$1:$AX$1,),)</f>
        <v/>
      </c>
      <c r="W62" s="20">
        <f>(VLOOKUP(B62,Data!$A:$AX,MATCH($W$1,Data!$A$1:$AX$1,),)-VLOOKUP(EDATE(B62,-12),Data!$A:$AX,MATCH($W$1,Data!$A$1:$AX$1,),))/VLOOKUP(EDATE(B62,-12),Data!$A:$AX,MATCH($W$1,Data!$A$1:$AX$1,),)</f>
        <v/>
      </c>
      <c r="X62" s="20">
        <f>(VLOOKUP(B62,Data!$A:$AX,MATCH($X$1,Data!$A$1:$AX$1,),)-VLOOKUP(EDATE(B62,-12),Data!$A:$AX,MATCH($X$1,Data!$A$1:$AX$1,),))/VLOOKUP(EDATE(B62,-12),Data!$A:$AX,MATCH($X$1,Data!$A$1:$AX$1,),)</f>
        <v/>
      </c>
      <c r="Y62" s="20">
        <f>(VLOOKUP(B62,Data!$A:$AX,MATCH($Y$1,Data!$A$1:$AX$1,),)-VLOOKUP(EDATE(B62,-12),Data!$A:$AX,MATCH($Y$1,Data!$A$1:$AX$1,),))/VLOOKUP(EDATE(B62,-12),Data!$A:$AX,MATCH($Y$1,Data!$A$1:$AX$1,),)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(VLOOKUP(B63,Data!$A:$AX,MATCH($C$1,Data!$A$1:$AX$1,),)-VLOOKUP(EDATE(B63,-12),Data!$A:$AX,MATCH($C$1,Data!$A$1:$AX$1,),))/VLOOKUP(EDATE(B63,-12),Data!$A:$AX,MATCH($C$1,Data!$A$1:$AX$1,),)</f>
        <v/>
      </c>
      <c r="D63" s="20">
        <f>(VLOOKUP(B63,Data!$A:$AX,MATCH($D$1,Data!$A$1:$AX$1,),)-VLOOKUP(EDATE(B63,-12),Data!$A:$AX,MATCH($D$1,Data!$A$1:$AX$1,),))/VLOOKUP(EDATE(B63,-12),Data!$A:$AX,MATCH($D$1,Data!$A$1:$AX$1,),)</f>
        <v/>
      </c>
      <c r="E63" s="20">
        <f>(VLOOKUP(B63,Data!$A:$AX,MATCH($E$1,Data!$A$1:$AX$1,),)-VLOOKUP(EDATE(B63,-12),Data!$A:$AX,MATCH($E$1,Data!$A$1:$AX$1,),))/VLOOKUP(EDATE(B63,-12),Data!$A:$AX,MATCH($E$1,Data!$A$1:$AX$1,),)</f>
        <v/>
      </c>
      <c r="F63" s="20">
        <f>(VLOOKUP(B63,Data!$A:$AX,MATCH($F$1,Data!$A$1:$AX$1,),)-VLOOKUP(EDATE(B63,-12),Data!$A:$AX,MATCH($F$1,Data!$A$1:$AX$1,),))/VLOOKUP(EDATE(B63,-12),Data!$A:$AX,MATCH($F$1,Data!$A$1:$AX$1,),)</f>
        <v/>
      </c>
      <c r="G63" s="20">
        <f>(VLOOKUP(B63,Data!$A:$AX,MATCH($G$1,Data!$A$1:$AX$1,),)-VLOOKUP(EDATE(B63,-12),Data!$A:$AX,MATCH($G$1,Data!$A$1:$AX$1,),))/VLOOKUP(EDATE(B63,-12),Data!$A:$AX,MATCH($G$1,Data!$A$1:$AX$1,),)</f>
        <v/>
      </c>
      <c r="H63" s="20">
        <f>(VLOOKUP(B63,Data!$A:$AX,MATCH($H$1,Data!$A$1:$AX$1,),)-VLOOKUP(EDATE(B63,-12),Data!$A:$AX,MATCH($H$1,Data!$A$1:$AX$1,),))/VLOOKUP(EDATE(B63,-12),Data!$A:$AX,MATCH($H$1,Data!$A$1:$AX$1,),)</f>
        <v/>
      </c>
      <c r="I63" s="20">
        <f>(VLOOKUP(B63,Data!$A:$AX,MATCH($I$1,Data!$A$1:$AX$1,),)-VLOOKUP(EDATE(B63,-12),Data!$A:$AX,MATCH($I$1,Data!$A$1:$AX$1,),))/VLOOKUP(EDATE(B63,-12),Data!$A:$AX,MATCH($I$1,Data!$A$1:$AX$1,),)</f>
        <v/>
      </c>
      <c r="J63" s="20">
        <f>(VLOOKUP(B63,Data!$A:$AX,MATCH($J$1,Data!$A$1:$AX$1,),)-VLOOKUP(EDATE(B63,-12),Data!$A:$AX,MATCH($J$1,Data!$A$1:$AX$1,),))/VLOOKUP(EDATE(B63,-12),Data!$A:$AX,MATCH($J$1,Data!$A$1:$AX$1,),)</f>
        <v/>
      </c>
      <c r="K63" s="20">
        <f>(VLOOKUP(B63,Data!$A:$AX,MATCH($K$1,Data!$A$1:$AX$1,),)-VLOOKUP(EDATE(B63,-12),Data!$A:$AX,MATCH($K$1,Data!$A$1:$AX$1,),))/VLOOKUP(EDATE(B63,-12),Data!$A:$AX,MATCH($K$1,Data!$A$1:$AX$1,),)</f>
        <v/>
      </c>
      <c r="L63" s="20">
        <f>(VLOOKUP(B63,Data!$A:$AX,MATCH($L$1,Data!$A$1:$AX$1,),)-VLOOKUP(EDATE(B63,-12),Data!$A:$AX,MATCH($L$1,Data!$A$1:$AX$1,),))/VLOOKUP(EDATE(B63,-12),Data!$A:$AX,MATCH($L$1,Data!$A$1:$AX$1,),)</f>
        <v/>
      </c>
      <c r="M63" s="20">
        <f>(VLOOKUP(B63,Data!$A:$AX,MATCH($M$1,Data!$A$1:$AX$1,),)-VLOOKUP(EDATE(B63,-12),Data!$A:$AX,MATCH($M$1,Data!$A$1:$AX$1,),))/VLOOKUP(EDATE(B63,-12),Data!$A:$AX,MATCH($M$1,Data!$A$1:$AX$1,),)</f>
        <v/>
      </c>
      <c r="N63" s="20">
        <f>(VLOOKUP(B63,Data!$A:$AX,MATCH($N$1,Data!$A$1:$AX$1,),)-VLOOKUP(EDATE(B63,-12),Data!$A:$AX,MATCH($N$1,Data!$A$1:$AX$1,),))/VLOOKUP(EDATE(B63,-12),Data!$A:$AX,MATCH($N$1,Data!$A$1:$AX$1,),)</f>
        <v/>
      </c>
      <c r="O63" s="20">
        <f>(VLOOKUP(B63,Data!$A:$AX,MATCH($O$1,Data!$A$1:$AX$1,),)-VLOOKUP(EDATE(B63,-12),Data!$A:$AX,MATCH($O$1,Data!$A$1:$AX$1,),))/VLOOKUP(EDATE(B63,-12),Data!$A:$AX,MATCH($O$1,Data!$A$1:$AX$1,),)</f>
        <v/>
      </c>
      <c r="P63" s="20">
        <f>(VLOOKUP(B63,Data!$A:$AX,MATCH($P$1,Data!$A$1:$AX$1,),)-VLOOKUP(EDATE(B63,-12),Data!$A:$AX,MATCH($P$1,Data!$A$1:$AX$1,),))/VLOOKUP(EDATE(B63,-12),Data!$A:$AX,MATCH($P$1,Data!$A$1:$AX$1,),)</f>
        <v/>
      </c>
      <c r="Q63" s="20">
        <f>(VLOOKUP(B63,Data!$A:$AX,MATCH($Q$1,Data!$A$1:$AX$1,),)-VLOOKUP(EDATE(B63,-12),Data!$A:$AX,MATCH($Q$1,Data!$A$1:$AX$1,),))/VLOOKUP(EDATE(B63,-12),Data!$A:$AX,MATCH($Q$1,Data!$A$1:$AX$1,),)</f>
        <v/>
      </c>
      <c r="R63" s="20">
        <f>(VLOOKUP(B63,Data!$A:$AX,MATCH($R$1,Data!$A$1:$AX$1,),)-VLOOKUP(EDATE(B63,-12),Data!$A:$AX,MATCH($R$1,Data!$A$1:$AX$1,),))/VLOOKUP(EDATE(B63,-12),Data!$A:$AX,MATCH($R$1,Data!$A$1:$AX$1,),)</f>
        <v/>
      </c>
      <c r="S63" s="20">
        <f>(VLOOKUP(B63,Data!$A:$AX,MATCH($S$1,Data!$A$1:$AX$1,),)-VLOOKUP(EDATE(B63,-12),Data!$A:$AX,MATCH($S$1,Data!$A$1:$AX$1,),))/VLOOKUP(EDATE(B63,-12),Data!$A:$AX,MATCH($S$1,Data!$A$1:$AX$1,),)</f>
        <v/>
      </c>
      <c r="T63" s="20">
        <f>(VLOOKUP(B63,Data!$A:$AX,MATCH($T$1,Data!$A$1:$AX$1,),)-VLOOKUP(EDATE(B63,-12),Data!$A:$AX,MATCH($T$1,Data!$A$1:$AX$1,),))/VLOOKUP(EDATE(B63,-12),Data!$A:$AX,MATCH($T$1,Data!$A$1:$AX$1,),)</f>
        <v/>
      </c>
      <c r="U63" s="20">
        <f>(VLOOKUP(B63,Data!$A:$AX,MATCH($U$1,Data!$A$1:$AX$1,),)-VLOOKUP(EDATE(B63,-12),Data!$A:$AX,MATCH($U$1,Data!$A$1:$AX$1,),))/VLOOKUP(EDATE(B63,-12),Data!$A:$AX,MATCH($U$1,Data!$A$1:$AX$1,),)</f>
        <v/>
      </c>
      <c r="V63" s="20">
        <f>(VLOOKUP(B63,Data!$A:$AX,MATCH($V$1,Data!$A$1:$AX$1,),)-VLOOKUP(EDATE(B63,-12),Data!$A:$AX,MATCH($V$1,Data!$A$1:$AX$1,),))/VLOOKUP(EDATE(B63,-12),Data!$A:$AX,MATCH($V$1,Data!$A$1:$AX$1,),)</f>
        <v/>
      </c>
      <c r="W63" s="20">
        <f>(VLOOKUP(B63,Data!$A:$AX,MATCH($W$1,Data!$A$1:$AX$1,),)-VLOOKUP(EDATE(B63,-12),Data!$A:$AX,MATCH($W$1,Data!$A$1:$AX$1,),))/VLOOKUP(EDATE(B63,-12),Data!$A:$AX,MATCH($W$1,Data!$A$1:$AX$1,),)</f>
        <v/>
      </c>
      <c r="X63" s="20">
        <f>(VLOOKUP(B63,Data!$A:$AX,MATCH($X$1,Data!$A$1:$AX$1,),)-VLOOKUP(EDATE(B63,-12),Data!$A:$AX,MATCH($X$1,Data!$A$1:$AX$1,),))/VLOOKUP(EDATE(B63,-12),Data!$A:$AX,MATCH($X$1,Data!$A$1:$AX$1,),)</f>
        <v/>
      </c>
      <c r="Y63" s="20">
        <f>(VLOOKUP(B63,Data!$A:$AX,MATCH($Y$1,Data!$A$1:$AX$1,),)-VLOOKUP(EDATE(B63,-12),Data!$A:$AX,MATCH($Y$1,Data!$A$1:$AX$1,),))/VLOOKUP(EDATE(B63,-12),Data!$A:$AX,MATCH($Y$1,Data!$A$1:$AX$1,),)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(VLOOKUP(B64,Data!$A:$AX,MATCH($C$1,Data!$A$1:$AX$1,),)-VLOOKUP(EDATE(B64,-12),Data!$A:$AX,MATCH($C$1,Data!$A$1:$AX$1,),))/VLOOKUP(EDATE(B64,-12),Data!$A:$AX,MATCH($C$1,Data!$A$1:$AX$1,),)</f>
        <v/>
      </c>
      <c r="D64" s="20">
        <f>(VLOOKUP(B64,Data!$A:$AX,MATCH($D$1,Data!$A$1:$AX$1,),)-VLOOKUP(EDATE(B64,-12),Data!$A:$AX,MATCH($D$1,Data!$A$1:$AX$1,),))/VLOOKUP(EDATE(B64,-12),Data!$A:$AX,MATCH($D$1,Data!$A$1:$AX$1,),)</f>
        <v/>
      </c>
      <c r="E64" s="20">
        <f>(VLOOKUP(B64,Data!$A:$AX,MATCH($E$1,Data!$A$1:$AX$1,),)-VLOOKUP(EDATE(B64,-12),Data!$A:$AX,MATCH($E$1,Data!$A$1:$AX$1,),))/VLOOKUP(EDATE(B64,-12),Data!$A:$AX,MATCH($E$1,Data!$A$1:$AX$1,),)</f>
        <v/>
      </c>
      <c r="F64" s="20">
        <f>(VLOOKUP(B64,Data!$A:$AX,MATCH($F$1,Data!$A$1:$AX$1,),)-VLOOKUP(EDATE(B64,-12),Data!$A:$AX,MATCH($F$1,Data!$A$1:$AX$1,),))/VLOOKUP(EDATE(B64,-12),Data!$A:$AX,MATCH($F$1,Data!$A$1:$AX$1,),)</f>
        <v/>
      </c>
      <c r="G64" s="20">
        <f>(VLOOKUP(B64,Data!$A:$AX,MATCH($G$1,Data!$A$1:$AX$1,),)-VLOOKUP(EDATE(B64,-12),Data!$A:$AX,MATCH($G$1,Data!$A$1:$AX$1,),))/VLOOKUP(EDATE(B64,-12),Data!$A:$AX,MATCH($G$1,Data!$A$1:$AX$1,),)</f>
        <v/>
      </c>
      <c r="H64" s="20">
        <f>(VLOOKUP(B64,Data!$A:$AX,MATCH($H$1,Data!$A$1:$AX$1,),)-VLOOKUP(EDATE(B64,-12),Data!$A:$AX,MATCH($H$1,Data!$A$1:$AX$1,),))/VLOOKUP(EDATE(B64,-12),Data!$A:$AX,MATCH($H$1,Data!$A$1:$AX$1,),)</f>
        <v/>
      </c>
      <c r="I64" s="20">
        <f>(VLOOKUP(B64,Data!$A:$AX,MATCH($I$1,Data!$A$1:$AX$1,),)-VLOOKUP(EDATE(B64,-12),Data!$A:$AX,MATCH($I$1,Data!$A$1:$AX$1,),))/VLOOKUP(EDATE(B64,-12),Data!$A:$AX,MATCH($I$1,Data!$A$1:$AX$1,),)</f>
        <v/>
      </c>
      <c r="J64" s="20">
        <f>(VLOOKUP(B64,Data!$A:$AX,MATCH($J$1,Data!$A$1:$AX$1,),)-VLOOKUP(EDATE(B64,-12),Data!$A:$AX,MATCH($J$1,Data!$A$1:$AX$1,),))/VLOOKUP(EDATE(B64,-12),Data!$A:$AX,MATCH($J$1,Data!$A$1:$AX$1,),)</f>
        <v/>
      </c>
      <c r="K64" s="20">
        <f>(VLOOKUP(B64,Data!$A:$AX,MATCH($K$1,Data!$A$1:$AX$1,),)-VLOOKUP(EDATE(B64,-12),Data!$A:$AX,MATCH($K$1,Data!$A$1:$AX$1,),))/VLOOKUP(EDATE(B64,-12),Data!$A:$AX,MATCH($K$1,Data!$A$1:$AX$1,),)</f>
        <v/>
      </c>
      <c r="L64" s="20">
        <f>(VLOOKUP(B64,Data!$A:$AX,MATCH($L$1,Data!$A$1:$AX$1,),)-VLOOKUP(EDATE(B64,-12),Data!$A:$AX,MATCH($L$1,Data!$A$1:$AX$1,),))/VLOOKUP(EDATE(B64,-12),Data!$A:$AX,MATCH($L$1,Data!$A$1:$AX$1,),)</f>
        <v/>
      </c>
      <c r="M64" s="20">
        <f>(VLOOKUP(B64,Data!$A:$AX,MATCH($M$1,Data!$A$1:$AX$1,),)-VLOOKUP(EDATE(B64,-12),Data!$A:$AX,MATCH($M$1,Data!$A$1:$AX$1,),))/VLOOKUP(EDATE(B64,-12),Data!$A:$AX,MATCH($M$1,Data!$A$1:$AX$1,),)</f>
        <v/>
      </c>
      <c r="N64" s="20">
        <f>(VLOOKUP(B64,Data!$A:$AX,MATCH($N$1,Data!$A$1:$AX$1,),)-VLOOKUP(EDATE(B64,-12),Data!$A:$AX,MATCH($N$1,Data!$A$1:$AX$1,),))/VLOOKUP(EDATE(B64,-12),Data!$A:$AX,MATCH($N$1,Data!$A$1:$AX$1,),)</f>
        <v/>
      </c>
      <c r="O64" s="20">
        <f>(VLOOKUP(B64,Data!$A:$AX,MATCH($O$1,Data!$A$1:$AX$1,),)-VLOOKUP(EDATE(B64,-12),Data!$A:$AX,MATCH($O$1,Data!$A$1:$AX$1,),))/VLOOKUP(EDATE(B64,-12),Data!$A:$AX,MATCH($O$1,Data!$A$1:$AX$1,),)</f>
        <v/>
      </c>
      <c r="P64" s="20">
        <f>(VLOOKUP(B64,Data!$A:$AX,MATCH($P$1,Data!$A$1:$AX$1,),)-VLOOKUP(EDATE(B64,-12),Data!$A:$AX,MATCH($P$1,Data!$A$1:$AX$1,),))/VLOOKUP(EDATE(B64,-12),Data!$A:$AX,MATCH($P$1,Data!$A$1:$AX$1,),)</f>
        <v/>
      </c>
      <c r="Q64" s="20">
        <f>(VLOOKUP(B64,Data!$A:$AX,MATCH($Q$1,Data!$A$1:$AX$1,),)-VLOOKUP(EDATE(B64,-12),Data!$A:$AX,MATCH($Q$1,Data!$A$1:$AX$1,),))/VLOOKUP(EDATE(B64,-12),Data!$A:$AX,MATCH($Q$1,Data!$A$1:$AX$1,),)</f>
        <v/>
      </c>
      <c r="R64" s="20">
        <f>(VLOOKUP(B64,Data!$A:$AX,MATCH($R$1,Data!$A$1:$AX$1,),)-VLOOKUP(EDATE(B64,-12),Data!$A:$AX,MATCH($R$1,Data!$A$1:$AX$1,),))/VLOOKUP(EDATE(B64,-12),Data!$A:$AX,MATCH($R$1,Data!$A$1:$AX$1,),)</f>
        <v/>
      </c>
      <c r="S64" s="20">
        <f>(VLOOKUP(B64,Data!$A:$AX,MATCH($S$1,Data!$A$1:$AX$1,),)-VLOOKUP(EDATE(B64,-12),Data!$A:$AX,MATCH($S$1,Data!$A$1:$AX$1,),))/VLOOKUP(EDATE(B64,-12),Data!$A:$AX,MATCH($S$1,Data!$A$1:$AX$1,),)</f>
        <v/>
      </c>
      <c r="T64" s="20">
        <f>(VLOOKUP(B64,Data!$A:$AX,MATCH($T$1,Data!$A$1:$AX$1,),)-VLOOKUP(EDATE(B64,-12),Data!$A:$AX,MATCH($T$1,Data!$A$1:$AX$1,),))/VLOOKUP(EDATE(B64,-12),Data!$A:$AX,MATCH($T$1,Data!$A$1:$AX$1,),)</f>
        <v/>
      </c>
      <c r="U64" s="20">
        <f>(VLOOKUP(B64,Data!$A:$AX,MATCH($U$1,Data!$A$1:$AX$1,),)-VLOOKUP(EDATE(B64,-12),Data!$A:$AX,MATCH($U$1,Data!$A$1:$AX$1,),))/VLOOKUP(EDATE(B64,-12),Data!$A:$AX,MATCH($U$1,Data!$A$1:$AX$1,),)</f>
        <v/>
      </c>
      <c r="V64" s="20">
        <f>(VLOOKUP(B64,Data!$A:$AX,MATCH($V$1,Data!$A$1:$AX$1,),)-VLOOKUP(EDATE(B64,-12),Data!$A:$AX,MATCH($V$1,Data!$A$1:$AX$1,),))/VLOOKUP(EDATE(B64,-12),Data!$A:$AX,MATCH($V$1,Data!$A$1:$AX$1,),)</f>
        <v/>
      </c>
      <c r="W64" s="20">
        <f>(VLOOKUP(B64,Data!$A:$AX,MATCH($W$1,Data!$A$1:$AX$1,),)-VLOOKUP(EDATE(B64,-12),Data!$A:$AX,MATCH($W$1,Data!$A$1:$AX$1,),))/VLOOKUP(EDATE(B64,-12),Data!$A:$AX,MATCH($W$1,Data!$A$1:$AX$1,),)</f>
        <v/>
      </c>
      <c r="X64" s="20">
        <f>(VLOOKUP(B64,Data!$A:$AX,MATCH($X$1,Data!$A$1:$AX$1,),)-VLOOKUP(EDATE(B64,-12),Data!$A:$AX,MATCH($X$1,Data!$A$1:$AX$1,),))/VLOOKUP(EDATE(B64,-12),Data!$A:$AX,MATCH($X$1,Data!$A$1:$AX$1,),)</f>
        <v/>
      </c>
      <c r="Y64" s="20">
        <f>(VLOOKUP(B64,Data!$A:$AX,MATCH($Y$1,Data!$A$1:$AX$1,),)-VLOOKUP(EDATE(B64,-12),Data!$A:$AX,MATCH($Y$1,Data!$A$1:$AX$1,),))/VLOOKUP(EDATE(B64,-12),Data!$A:$AX,MATCH($Y$1,Data!$A$1:$AX$1,),)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(VLOOKUP(B65,Data!$A:$AX,MATCH($C$1,Data!$A$1:$AX$1,),)-VLOOKUP(EDATE(B65,-12),Data!$A:$AX,MATCH($C$1,Data!$A$1:$AX$1,),))/VLOOKUP(EDATE(B65,-12),Data!$A:$AX,MATCH($C$1,Data!$A$1:$AX$1,),)</f>
        <v/>
      </c>
      <c r="D65" s="20">
        <f>(VLOOKUP(B65,Data!$A:$AX,MATCH($D$1,Data!$A$1:$AX$1,),)-VLOOKUP(EDATE(B65,-12),Data!$A:$AX,MATCH($D$1,Data!$A$1:$AX$1,),))/VLOOKUP(EDATE(B65,-12),Data!$A:$AX,MATCH($D$1,Data!$A$1:$AX$1,),)</f>
        <v/>
      </c>
      <c r="E65" s="20">
        <f>(VLOOKUP(B65,Data!$A:$AX,MATCH($E$1,Data!$A$1:$AX$1,),)-VLOOKUP(EDATE(B65,-12),Data!$A:$AX,MATCH($E$1,Data!$A$1:$AX$1,),))/VLOOKUP(EDATE(B65,-12),Data!$A:$AX,MATCH($E$1,Data!$A$1:$AX$1,),)</f>
        <v/>
      </c>
      <c r="F65" s="20">
        <f>(VLOOKUP(B65,Data!$A:$AX,MATCH($F$1,Data!$A$1:$AX$1,),)-VLOOKUP(EDATE(B65,-12),Data!$A:$AX,MATCH($F$1,Data!$A$1:$AX$1,),))/VLOOKUP(EDATE(B65,-12),Data!$A:$AX,MATCH($F$1,Data!$A$1:$AX$1,),)</f>
        <v/>
      </c>
      <c r="G65" s="20">
        <f>(VLOOKUP(B65,Data!$A:$AX,MATCH($G$1,Data!$A$1:$AX$1,),)-VLOOKUP(EDATE(B65,-12),Data!$A:$AX,MATCH($G$1,Data!$A$1:$AX$1,),))/VLOOKUP(EDATE(B65,-12),Data!$A:$AX,MATCH($G$1,Data!$A$1:$AX$1,),)</f>
        <v/>
      </c>
      <c r="H65" s="20">
        <f>(VLOOKUP(B65,Data!$A:$AX,MATCH($H$1,Data!$A$1:$AX$1,),)-VLOOKUP(EDATE(B65,-12),Data!$A:$AX,MATCH($H$1,Data!$A$1:$AX$1,),))/VLOOKUP(EDATE(B65,-12),Data!$A:$AX,MATCH($H$1,Data!$A$1:$AX$1,),)</f>
        <v/>
      </c>
      <c r="I65" s="20">
        <f>(VLOOKUP(B65,Data!$A:$AX,MATCH($I$1,Data!$A$1:$AX$1,),)-VLOOKUP(EDATE(B65,-12),Data!$A:$AX,MATCH($I$1,Data!$A$1:$AX$1,),))/VLOOKUP(EDATE(B65,-12),Data!$A:$AX,MATCH($I$1,Data!$A$1:$AX$1,),)</f>
        <v/>
      </c>
      <c r="J65" s="20">
        <f>(VLOOKUP(B65,Data!$A:$AX,MATCH($J$1,Data!$A$1:$AX$1,),)-VLOOKUP(EDATE(B65,-12),Data!$A:$AX,MATCH($J$1,Data!$A$1:$AX$1,),))/VLOOKUP(EDATE(B65,-12),Data!$A:$AX,MATCH($J$1,Data!$A$1:$AX$1,),)</f>
        <v/>
      </c>
      <c r="K65" s="20">
        <f>(VLOOKUP(B65,Data!$A:$AX,MATCH($K$1,Data!$A$1:$AX$1,),)-VLOOKUP(EDATE(B65,-12),Data!$A:$AX,MATCH($K$1,Data!$A$1:$AX$1,),))/VLOOKUP(EDATE(B65,-12),Data!$A:$AX,MATCH($K$1,Data!$A$1:$AX$1,),)</f>
        <v/>
      </c>
      <c r="L65" s="20">
        <f>(VLOOKUP(B65,Data!$A:$AX,MATCH($L$1,Data!$A$1:$AX$1,),)-VLOOKUP(EDATE(B65,-12),Data!$A:$AX,MATCH($L$1,Data!$A$1:$AX$1,),))/VLOOKUP(EDATE(B65,-12),Data!$A:$AX,MATCH($L$1,Data!$A$1:$AX$1,),)</f>
        <v/>
      </c>
      <c r="M65" s="20">
        <f>(VLOOKUP(B65,Data!$A:$AX,MATCH($M$1,Data!$A$1:$AX$1,),)-VLOOKUP(EDATE(B65,-12),Data!$A:$AX,MATCH($M$1,Data!$A$1:$AX$1,),))/VLOOKUP(EDATE(B65,-12),Data!$A:$AX,MATCH($M$1,Data!$A$1:$AX$1,),)</f>
        <v/>
      </c>
      <c r="N65" s="20">
        <f>(VLOOKUP(B65,Data!$A:$AX,MATCH($N$1,Data!$A$1:$AX$1,),)-VLOOKUP(EDATE(B65,-12),Data!$A:$AX,MATCH($N$1,Data!$A$1:$AX$1,),))/VLOOKUP(EDATE(B65,-12),Data!$A:$AX,MATCH($N$1,Data!$A$1:$AX$1,),)</f>
        <v/>
      </c>
      <c r="O65" s="20">
        <f>(VLOOKUP(B65,Data!$A:$AX,MATCH($O$1,Data!$A$1:$AX$1,),)-VLOOKUP(EDATE(B65,-12),Data!$A:$AX,MATCH($O$1,Data!$A$1:$AX$1,),))/VLOOKUP(EDATE(B65,-12),Data!$A:$AX,MATCH($O$1,Data!$A$1:$AX$1,),)</f>
        <v/>
      </c>
      <c r="P65" s="20">
        <f>(VLOOKUP(B65,Data!$A:$AX,MATCH($P$1,Data!$A$1:$AX$1,),)-VLOOKUP(EDATE(B65,-12),Data!$A:$AX,MATCH($P$1,Data!$A$1:$AX$1,),))/VLOOKUP(EDATE(B65,-12),Data!$A:$AX,MATCH($P$1,Data!$A$1:$AX$1,),)</f>
        <v/>
      </c>
      <c r="Q65" s="20">
        <f>(VLOOKUP(B65,Data!$A:$AX,MATCH($Q$1,Data!$A$1:$AX$1,),)-VLOOKUP(EDATE(B65,-12),Data!$A:$AX,MATCH($Q$1,Data!$A$1:$AX$1,),))/VLOOKUP(EDATE(B65,-12),Data!$A:$AX,MATCH($Q$1,Data!$A$1:$AX$1,),)</f>
        <v/>
      </c>
      <c r="R65" s="20">
        <f>(VLOOKUP(B65,Data!$A:$AX,MATCH($R$1,Data!$A$1:$AX$1,),)-VLOOKUP(EDATE(B65,-12),Data!$A:$AX,MATCH($R$1,Data!$A$1:$AX$1,),))/VLOOKUP(EDATE(B65,-12),Data!$A:$AX,MATCH($R$1,Data!$A$1:$AX$1,),)</f>
        <v/>
      </c>
      <c r="S65" s="20">
        <f>(VLOOKUP(B65,Data!$A:$AX,MATCH($S$1,Data!$A$1:$AX$1,),)-VLOOKUP(EDATE(B65,-12),Data!$A:$AX,MATCH($S$1,Data!$A$1:$AX$1,),))/VLOOKUP(EDATE(B65,-12),Data!$A:$AX,MATCH($S$1,Data!$A$1:$AX$1,),)</f>
        <v/>
      </c>
      <c r="T65" s="20">
        <f>(VLOOKUP(B65,Data!$A:$AX,MATCH($T$1,Data!$A$1:$AX$1,),)-VLOOKUP(EDATE(B65,-12),Data!$A:$AX,MATCH($T$1,Data!$A$1:$AX$1,),))/VLOOKUP(EDATE(B65,-12),Data!$A:$AX,MATCH($T$1,Data!$A$1:$AX$1,),)</f>
        <v/>
      </c>
      <c r="U65" s="20">
        <f>(VLOOKUP(B65,Data!$A:$AX,MATCH($U$1,Data!$A$1:$AX$1,),)-VLOOKUP(EDATE(B65,-12),Data!$A:$AX,MATCH($U$1,Data!$A$1:$AX$1,),))/VLOOKUP(EDATE(B65,-12),Data!$A:$AX,MATCH($U$1,Data!$A$1:$AX$1,),)</f>
        <v/>
      </c>
      <c r="V65" s="20">
        <f>(VLOOKUP(B65,Data!$A:$AX,MATCH($V$1,Data!$A$1:$AX$1,),)-VLOOKUP(EDATE(B65,-12),Data!$A:$AX,MATCH($V$1,Data!$A$1:$AX$1,),))/VLOOKUP(EDATE(B65,-12),Data!$A:$AX,MATCH($V$1,Data!$A$1:$AX$1,),)</f>
        <v/>
      </c>
      <c r="W65" s="20">
        <f>(VLOOKUP(B65,Data!$A:$AX,MATCH($W$1,Data!$A$1:$AX$1,),)-VLOOKUP(EDATE(B65,-12),Data!$A:$AX,MATCH($W$1,Data!$A$1:$AX$1,),))/VLOOKUP(EDATE(B65,-12),Data!$A:$AX,MATCH($W$1,Data!$A$1:$AX$1,),)</f>
        <v/>
      </c>
      <c r="X65" s="20">
        <f>(VLOOKUP(B65,Data!$A:$AX,MATCH($X$1,Data!$A$1:$AX$1,),)-VLOOKUP(EDATE(B65,-12),Data!$A:$AX,MATCH($X$1,Data!$A$1:$AX$1,),))/VLOOKUP(EDATE(B65,-12),Data!$A:$AX,MATCH($X$1,Data!$A$1:$AX$1,),)</f>
        <v/>
      </c>
      <c r="Y65" s="20">
        <f>(VLOOKUP(B65,Data!$A:$AX,MATCH($Y$1,Data!$A$1:$AX$1,),)-VLOOKUP(EDATE(B65,-12),Data!$A:$AX,MATCH($Y$1,Data!$A$1:$AX$1,),))/VLOOKUP(EDATE(B65,-12),Data!$A:$AX,MATCH($Y$1,Data!$A$1:$AX$1,),)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(VLOOKUP(B66,Data!$A:$AX,MATCH($C$1,Data!$A$1:$AX$1,),)-VLOOKUP(EDATE(B66,-12),Data!$A:$AX,MATCH($C$1,Data!$A$1:$AX$1,),))/VLOOKUP(EDATE(B66,-12),Data!$A:$AX,MATCH($C$1,Data!$A$1:$AX$1,),)</f>
        <v/>
      </c>
      <c r="D66" s="20">
        <f>(VLOOKUP(B66,Data!$A:$AX,MATCH($D$1,Data!$A$1:$AX$1,),)-VLOOKUP(EDATE(B66,-12),Data!$A:$AX,MATCH($D$1,Data!$A$1:$AX$1,),))/VLOOKUP(EDATE(B66,-12),Data!$A:$AX,MATCH($D$1,Data!$A$1:$AX$1,),)</f>
        <v/>
      </c>
      <c r="E66" s="20">
        <f>(VLOOKUP(B66,Data!$A:$AX,MATCH($E$1,Data!$A$1:$AX$1,),)-VLOOKUP(EDATE(B66,-12),Data!$A:$AX,MATCH($E$1,Data!$A$1:$AX$1,),))/VLOOKUP(EDATE(B66,-12),Data!$A:$AX,MATCH($E$1,Data!$A$1:$AX$1,),)</f>
        <v/>
      </c>
      <c r="F66" s="20">
        <f>(VLOOKUP(B66,Data!$A:$AX,MATCH($F$1,Data!$A$1:$AX$1,),)-VLOOKUP(EDATE(B66,-12),Data!$A:$AX,MATCH($F$1,Data!$A$1:$AX$1,),))/VLOOKUP(EDATE(B66,-12),Data!$A:$AX,MATCH($F$1,Data!$A$1:$AX$1,),)</f>
        <v/>
      </c>
      <c r="G66" s="20">
        <f>(VLOOKUP(B66,Data!$A:$AX,MATCH($G$1,Data!$A$1:$AX$1,),)-VLOOKUP(EDATE(B66,-12),Data!$A:$AX,MATCH($G$1,Data!$A$1:$AX$1,),))/VLOOKUP(EDATE(B66,-12),Data!$A:$AX,MATCH($G$1,Data!$A$1:$AX$1,),)</f>
        <v/>
      </c>
      <c r="H66" s="20">
        <f>(VLOOKUP(B66,Data!$A:$AX,MATCH($H$1,Data!$A$1:$AX$1,),)-VLOOKUP(EDATE(B66,-12),Data!$A:$AX,MATCH($H$1,Data!$A$1:$AX$1,),))/VLOOKUP(EDATE(B66,-12),Data!$A:$AX,MATCH($H$1,Data!$A$1:$AX$1,),)</f>
        <v/>
      </c>
      <c r="I66" s="20">
        <f>(VLOOKUP(B66,Data!$A:$AX,MATCH($I$1,Data!$A$1:$AX$1,),)-VLOOKUP(EDATE(B66,-12),Data!$A:$AX,MATCH($I$1,Data!$A$1:$AX$1,),))/VLOOKUP(EDATE(B66,-12),Data!$A:$AX,MATCH($I$1,Data!$A$1:$AX$1,),)</f>
        <v/>
      </c>
      <c r="J66" s="20">
        <f>(VLOOKUP(B66,Data!$A:$AX,MATCH($J$1,Data!$A$1:$AX$1,),)-VLOOKUP(EDATE(B66,-12),Data!$A:$AX,MATCH($J$1,Data!$A$1:$AX$1,),))/VLOOKUP(EDATE(B66,-12),Data!$A:$AX,MATCH($J$1,Data!$A$1:$AX$1,),)</f>
        <v/>
      </c>
      <c r="K66" s="20">
        <f>(VLOOKUP(B66,Data!$A:$AX,MATCH($K$1,Data!$A$1:$AX$1,),)-VLOOKUP(EDATE(B66,-12),Data!$A:$AX,MATCH($K$1,Data!$A$1:$AX$1,),))/VLOOKUP(EDATE(B66,-12),Data!$A:$AX,MATCH($K$1,Data!$A$1:$AX$1,),)</f>
        <v/>
      </c>
      <c r="L66" s="20">
        <f>(VLOOKUP(B66,Data!$A:$AX,MATCH($L$1,Data!$A$1:$AX$1,),)-VLOOKUP(EDATE(B66,-12),Data!$A:$AX,MATCH($L$1,Data!$A$1:$AX$1,),))/VLOOKUP(EDATE(B66,-12),Data!$A:$AX,MATCH($L$1,Data!$A$1:$AX$1,),)</f>
        <v/>
      </c>
      <c r="M66" s="20">
        <f>(VLOOKUP(B66,Data!$A:$AX,MATCH($M$1,Data!$A$1:$AX$1,),)-VLOOKUP(EDATE(B66,-12),Data!$A:$AX,MATCH($M$1,Data!$A$1:$AX$1,),))/VLOOKUP(EDATE(B66,-12),Data!$A:$AX,MATCH($M$1,Data!$A$1:$AX$1,),)</f>
        <v/>
      </c>
      <c r="N66" s="20">
        <f>(VLOOKUP(B66,Data!$A:$AX,MATCH($N$1,Data!$A$1:$AX$1,),)-VLOOKUP(EDATE(B66,-12),Data!$A:$AX,MATCH($N$1,Data!$A$1:$AX$1,),))/VLOOKUP(EDATE(B66,-12),Data!$A:$AX,MATCH($N$1,Data!$A$1:$AX$1,),)</f>
        <v/>
      </c>
      <c r="O66" s="20">
        <f>(VLOOKUP(B66,Data!$A:$AX,MATCH($O$1,Data!$A$1:$AX$1,),)-VLOOKUP(EDATE(B66,-12),Data!$A:$AX,MATCH($O$1,Data!$A$1:$AX$1,),))/VLOOKUP(EDATE(B66,-12),Data!$A:$AX,MATCH($O$1,Data!$A$1:$AX$1,),)</f>
        <v/>
      </c>
      <c r="P66" s="20">
        <f>(VLOOKUP(B66,Data!$A:$AX,MATCH($P$1,Data!$A$1:$AX$1,),)-VLOOKUP(EDATE(B66,-12),Data!$A:$AX,MATCH($P$1,Data!$A$1:$AX$1,),))/VLOOKUP(EDATE(B66,-12),Data!$A:$AX,MATCH($P$1,Data!$A$1:$AX$1,),)</f>
        <v/>
      </c>
      <c r="Q66" s="20">
        <f>(VLOOKUP(B66,Data!$A:$AX,MATCH($Q$1,Data!$A$1:$AX$1,),)-VLOOKUP(EDATE(B66,-12),Data!$A:$AX,MATCH($Q$1,Data!$A$1:$AX$1,),))/VLOOKUP(EDATE(B66,-12),Data!$A:$AX,MATCH($Q$1,Data!$A$1:$AX$1,),)</f>
        <v/>
      </c>
      <c r="R66" s="20">
        <f>(VLOOKUP(B66,Data!$A:$AX,MATCH($R$1,Data!$A$1:$AX$1,),)-VLOOKUP(EDATE(B66,-12),Data!$A:$AX,MATCH($R$1,Data!$A$1:$AX$1,),))/VLOOKUP(EDATE(B66,-12),Data!$A:$AX,MATCH($R$1,Data!$A$1:$AX$1,),)</f>
        <v/>
      </c>
      <c r="S66" s="20">
        <f>(VLOOKUP(B66,Data!$A:$AX,MATCH($S$1,Data!$A$1:$AX$1,),)-VLOOKUP(EDATE(B66,-12),Data!$A:$AX,MATCH($S$1,Data!$A$1:$AX$1,),))/VLOOKUP(EDATE(B66,-12),Data!$A:$AX,MATCH($S$1,Data!$A$1:$AX$1,),)</f>
        <v/>
      </c>
      <c r="T66" s="20">
        <f>(VLOOKUP(B66,Data!$A:$AX,MATCH($T$1,Data!$A$1:$AX$1,),)-VLOOKUP(EDATE(B66,-12),Data!$A:$AX,MATCH($T$1,Data!$A$1:$AX$1,),))/VLOOKUP(EDATE(B66,-12),Data!$A:$AX,MATCH($T$1,Data!$A$1:$AX$1,),)</f>
        <v/>
      </c>
      <c r="U66" s="20">
        <f>(VLOOKUP(B66,Data!$A:$AX,MATCH($U$1,Data!$A$1:$AX$1,),)-VLOOKUP(EDATE(B66,-12),Data!$A:$AX,MATCH($U$1,Data!$A$1:$AX$1,),))/VLOOKUP(EDATE(B66,-12),Data!$A:$AX,MATCH($U$1,Data!$A$1:$AX$1,),)</f>
        <v/>
      </c>
      <c r="V66" s="20">
        <f>(VLOOKUP(B66,Data!$A:$AX,MATCH($V$1,Data!$A$1:$AX$1,),)-VLOOKUP(EDATE(B66,-12),Data!$A:$AX,MATCH($V$1,Data!$A$1:$AX$1,),))/VLOOKUP(EDATE(B66,-12),Data!$A:$AX,MATCH($V$1,Data!$A$1:$AX$1,),)</f>
        <v/>
      </c>
      <c r="W66" s="20">
        <f>(VLOOKUP(B66,Data!$A:$AX,MATCH($W$1,Data!$A$1:$AX$1,),)-VLOOKUP(EDATE(B66,-12),Data!$A:$AX,MATCH($W$1,Data!$A$1:$AX$1,),))/VLOOKUP(EDATE(B66,-12),Data!$A:$AX,MATCH($W$1,Data!$A$1:$AX$1,),)</f>
        <v/>
      </c>
      <c r="X66" s="20">
        <f>(VLOOKUP(B66,Data!$A:$AX,MATCH($X$1,Data!$A$1:$AX$1,),)-VLOOKUP(EDATE(B66,-12),Data!$A:$AX,MATCH($X$1,Data!$A$1:$AX$1,),))/VLOOKUP(EDATE(B66,-12),Data!$A:$AX,MATCH($X$1,Data!$A$1:$AX$1,),)</f>
        <v/>
      </c>
      <c r="Y66" s="20">
        <f>(VLOOKUP(B66,Data!$A:$AX,MATCH($Y$1,Data!$A$1:$AX$1,),)-VLOOKUP(EDATE(B66,-12),Data!$A:$AX,MATCH($Y$1,Data!$A$1:$AX$1,),))/VLOOKUP(EDATE(B66,-12),Data!$A:$AX,MATCH($Y$1,Data!$A$1:$AX$1,),)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(VLOOKUP(B67,Data!$A:$AX,MATCH($C$1,Data!$A$1:$AX$1,),)-VLOOKUP(EDATE(B67,-12),Data!$A:$AX,MATCH($C$1,Data!$A$1:$AX$1,),))/VLOOKUP(EDATE(B67,-12),Data!$A:$AX,MATCH($C$1,Data!$A$1:$AX$1,),)</f>
        <v/>
      </c>
      <c r="D67" s="20">
        <f>(VLOOKUP(B67,Data!$A:$AX,MATCH($D$1,Data!$A$1:$AX$1,),)-VLOOKUP(EDATE(B67,-12),Data!$A:$AX,MATCH($D$1,Data!$A$1:$AX$1,),))/VLOOKUP(EDATE(B67,-12),Data!$A:$AX,MATCH($D$1,Data!$A$1:$AX$1,),)</f>
        <v/>
      </c>
      <c r="E67" s="20">
        <f>(VLOOKUP(B67,Data!$A:$AX,MATCH($E$1,Data!$A$1:$AX$1,),)-VLOOKUP(EDATE(B67,-12),Data!$A:$AX,MATCH($E$1,Data!$A$1:$AX$1,),))/VLOOKUP(EDATE(B67,-12),Data!$A:$AX,MATCH($E$1,Data!$A$1:$AX$1,),)</f>
        <v/>
      </c>
      <c r="F67" s="20">
        <f>(VLOOKUP(B67,Data!$A:$AX,MATCH($F$1,Data!$A$1:$AX$1,),)-VLOOKUP(EDATE(B67,-12),Data!$A:$AX,MATCH($F$1,Data!$A$1:$AX$1,),))/VLOOKUP(EDATE(B67,-12),Data!$A:$AX,MATCH($F$1,Data!$A$1:$AX$1,),)</f>
        <v/>
      </c>
      <c r="G67" s="20">
        <f>(VLOOKUP(B67,Data!$A:$AX,MATCH($G$1,Data!$A$1:$AX$1,),)-VLOOKUP(EDATE(B67,-12),Data!$A:$AX,MATCH($G$1,Data!$A$1:$AX$1,),))/VLOOKUP(EDATE(B67,-12),Data!$A:$AX,MATCH($G$1,Data!$A$1:$AX$1,),)</f>
        <v/>
      </c>
      <c r="H67" s="20">
        <f>(VLOOKUP(B67,Data!$A:$AX,MATCH($H$1,Data!$A$1:$AX$1,),)-VLOOKUP(EDATE(B67,-12),Data!$A:$AX,MATCH($H$1,Data!$A$1:$AX$1,),))/VLOOKUP(EDATE(B67,-12),Data!$A:$AX,MATCH($H$1,Data!$A$1:$AX$1,),)</f>
        <v/>
      </c>
      <c r="I67" s="20">
        <f>(VLOOKUP(B67,Data!$A:$AX,MATCH($I$1,Data!$A$1:$AX$1,),)-VLOOKUP(EDATE(B67,-12),Data!$A:$AX,MATCH($I$1,Data!$A$1:$AX$1,),))/VLOOKUP(EDATE(B67,-12),Data!$A:$AX,MATCH($I$1,Data!$A$1:$AX$1,),)</f>
        <v/>
      </c>
      <c r="J67" s="20">
        <f>(VLOOKUP(B67,Data!$A:$AX,MATCH($J$1,Data!$A$1:$AX$1,),)-VLOOKUP(EDATE(B67,-12),Data!$A:$AX,MATCH($J$1,Data!$A$1:$AX$1,),))/VLOOKUP(EDATE(B67,-12),Data!$A:$AX,MATCH($J$1,Data!$A$1:$AX$1,),)</f>
        <v/>
      </c>
      <c r="K67" s="20">
        <f>(VLOOKUP(B67,Data!$A:$AX,MATCH($K$1,Data!$A$1:$AX$1,),)-VLOOKUP(EDATE(B67,-12),Data!$A:$AX,MATCH($K$1,Data!$A$1:$AX$1,),))/VLOOKUP(EDATE(B67,-12),Data!$A:$AX,MATCH($K$1,Data!$A$1:$AX$1,),)</f>
        <v/>
      </c>
      <c r="L67" s="20">
        <f>(VLOOKUP(B67,Data!$A:$AX,MATCH($L$1,Data!$A$1:$AX$1,),)-VLOOKUP(EDATE(B67,-12),Data!$A:$AX,MATCH($L$1,Data!$A$1:$AX$1,),))/VLOOKUP(EDATE(B67,-12),Data!$A:$AX,MATCH($L$1,Data!$A$1:$AX$1,),)</f>
        <v/>
      </c>
      <c r="M67" s="20">
        <f>(VLOOKUP(B67,Data!$A:$AX,MATCH($M$1,Data!$A$1:$AX$1,),)-VLOOKUP(EDATE(B67,-12),Data!$A:$AX,MATCH($M$1,Data!$A$1:$AX$1,),))/VLOOKUP(EDATE(B67,-12),Data!$A:$AX,MATCH($M$1,Data!$A$1:$AX$1,),)</f>
        <v/>
      </c>
      <c r="N67" s="20">
        <f>(VLOOKUP(B67,Data!$A:$AX,MATCH($N$1,Data!$A$1:$AX$1,),)-VLOOKUP(EDATE(B67,-12),Data!$A:$AX,MATCH($N$1,Data!$A$1:$AX$1,),))/VLOOKUP(EDATE(B67,-12),Data!$A:$AX,MATCH($N$1,Data!$A$1:$AX$1,),)</f>
        <v/>
      </c>
      <c r="O67" s="20">
        <f>(VLOOKUP(B67,Data!$A:$AX,MATCH($O$1,Data!$A$1:$AX$1,),)-VLOOKUP(EDATE(B67,-12),Data!$A:$AX,MATCH($O$1,Data!$A$1:$AX$1,),))/VLOOKUP(EDATE(B67,-12),Data!$A:$AX,MATCH($O$1,Data!$A$1:$AX$1,),)</f>
        <v/>
      </c>
      <c r="P67" s="20">
        <f>(VLOOKUP(B67,Data!$A:$AX,MATCH($P$1,Data!$A$1:$AX$1,),)-VLOOKUP(EDATE(B67,-12),Data!$A:$AX,MATCH($P$1,Data!$A$1:$AX$1,),))/VLOOKUP(EDATE(B67,-12),Data!$A:$AX,MATCH($P$1,Data!$A$1:$AX$1,),)</f>
        <v/>
      </c>
      <c r="Q67" s="20">
        <f>(VLOOKUP(B67,Data!$A:$AX,MATCH($Q$1,Data!$A$1:$AX$1,),)-VLOOKUP(EDATE(B67,-12),Data!$A:$AX,MATCH($Q$1,Data!$A$1:$AX$1,),))/VLOOKUP(EDATE(B67,-12),Data!$A:$AX,MATCH($Q$1,Data!$A$1:$AX$1,),)</f>
        <v/>
      </c>
      <c r="R67" s="20">
        <f>(VLOOKUP(B67,Data!$A:$AX,MATCH($R$1,Data!$A$1:$AX$1,),)-VLOOKUP(EDATE(B67,-12),Data!$A:$AX,MATCH($R$1,Data!$A$1:$AX$1,),))/VLOOKUP(EDATE(B67,-12),Data!$A:$AX,MATCH($R$1,Data!$A$1:$AX$1,),)</f>
        <v/>
      </c>
      <c r="S67" s="20">
        <f>(VLOOKUP(B67,Data!$A:$AX,MATCH($S$1,Data!$A$1:$AX$1,),)-VLOOKUP(EDATE(B67,-12),Data!$A:$AX,MATCH($S$1,Data!$A$1:$AX$1,),))/VLOOKUP(EDATE(B67,-12),Data!$A:$AX,MATCH($S$1,Data!$A$1:$AX$1,),)</f>
        <v/>
      </c>
      <c r="T67" s="20">
        <f>(VLOOKUP(B67,Data!$A:$AX,MATCH($T$1,Data!$A$1:$AX$1,),)-VLOOKUP(EDATE(B67,-12),Data!$A:$AX,MATCH($T$1,Data!$A$1:$AX$1,),))/VLOOKUP(EDATE(B67,-12),Data!$A:$AX,MATCH($T$1,Data!$A$1:$AX$1,),)</f>
        <v/>
      </c>
      <c r="U67" s="20">
        <f>(VLOOKUP(B67,Data!$A:$AX,MATCH($U$1,Data!$A$1:$AX$1,),)-VLOOKUP(EDATE(B67,-12),Data!$A:$AX,MATCH($U$1,Data!$A$1:$AX$1,),))/VLOOKUP(EDATE(B67,-12),Data!$A:$AX,MATCH($U$1,Data!$A$1:$AX$1,),)</f>
        <v/>
      </c>
      <c r="V67" s="20">
        <f>(VLOOKUP(B67,Data!$A:$AX,MATCH($V$1,Data!$A$1:$AX$1,),)-VLOOKUP(EDATE(B67,-12),Data!$A:$AX,MATCH($V$1,Data!$A$1:$AX$1,),))/VLOOKUP(EDATE(B67,-12),Data!$A:$AX,MATCH($V$1,Data!$A$1:$AX$1,),)</f>
        <v/>
      </c>
      <c r="W67" s="20">
        <f>(VLOOKUP(B67,Data!$A:$AX,MATCH($W$1,Data!$A$1:$AX$1,),)-VLOOKUP(EDATE(B67,-12),Data!$A:$AX,MATCH($W$1,Data!$A$1:$AX$1,),))/VLOOKUP(EDATE(B67,-12),Data!$A:$AX,MATCH($W$1,Data!$A$1:$AX$1,),)</f>
        <v/>
      </c>
      <c r="X67" s="20">
        <f>(VLOOKUP(B67,Data!$A:$AX,MATCH($X$1,Data!$A$1:$AX$1,),)-VLOOKUP(EDATE(B67,-12),Data!$A:$AX,MATCH($X$1,Data!$A$1:$AX$1,),))/VLOOKUP(EDATE(B67,-12),Data!$A:$AX,MATCH($X$1,Data!$A$1:$AX$1,),)</f>
        <v/>
      </c>
      <c r="Y67" s="20">
        <f>(VLOOKUP(B67,Data!$A:$AX,MATCH($Y$1,Data!$A$1:$AX$1,),)-VLOOKUP(EDATE(B67,-12),Data!$A:$AX,MATCH($Y$1,Data!$A$1:$AX$1,),))/VLOOKUP(EDATE(B67,-12),Data!$A:$AX,MATCH($Y$1,Data!$A$1:$AX$1,),)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(VLOOKUP(B68,Data!$A:$AX,MATCH($C$1,Data!$A$1:$AX$1,),)-VLOOKUP(EDATE(B68,-12),Data!$A:$AX,MATCH($C$1,Data!$A$1:$AX$1,),))/VLOOKUP(EDATE(B68,-12),Data!$A:$AX,MATCH($C$1,Data!$A$1:$AX$1,),)</f>
        <v/>
      </c>
      <c r="D68" s="20">
        <f>(VLOOKUP(B68,Data!$A:$AX,MATCH($D$1,Data!$A$1:$AX$1,),)-VLOOKUP(EDATE(B68,-12),Data!$A:$AX,MATCH($D$1,Data!$A$1:$AX$1,),))/VLOOKUP(EDATE(B68,-12),Data!$A:$AX,MATCH($D$1,Data!$A$1:$AX$1,),)</f>
        <v/>
      </c>
      <c r="E68" s="20">
        <f>(VLOOKUP(B68,Data!$A:$AX,MATCH($E$1,Data!$A$1:$AX$1,),)-VLOOKUP(EDATE(B68,-12),Data!$A:$AX,MATCH($E$1,Data!$A$1:$AX$1,),))/VLOOKUP(EDATE(B68,-12),Data!$A:$AX,MATCH($E$1,Data!$A$1:$AX$1,),)</f>
        <v/>
      </c>
      <c r="F68" s="20">
        <f>(VLOOKUP(B68,Data!$A:$AX,MATCH($F$1,Data!$A$1:$AX$1,),)-VLOOKUP(EDATE(B68,-12),Data!$A:$AX,MATCH($F$1,Data!$A$1:$AX$1,),))/VLOOKUP(EDATE(B68,-12),Data!$A:$AX,MATCH($F$1,Data!$A$1:$AX$1,),)</f>
        <v/>
      </c>
      <c r="G68" s="20">
        <f>(VLOOKUP(B68,Data!$A:$AX,MATCH($G$1,Data!$A$1:$AX$1,),)-VLOOKUP(EDATE(B68,-12),Data!$A:$AX,MATCH($G$1,Data!$A$1:$AX$1,),))/VLOOKUP(EDATE(B68,-12),Data!$A:$AX,MATCH($G$1,Data!$A$1:$AX$1,),)</f>
        <v/>
      </c>
      <c r="H68" s="20">
        <f>(VLOOKUP(B68,Data!$A:$AX,MATCH($H$1,Data!$A$1:$AX$1,),)-VLOOKUP(EDATE(B68,-12),Data!$A:$AX,MATCH($H$1,Data!$A$1:$AX$1,),))/VLOOKUP(EDATE(B68,-12),Data!$A:$AX,MATCH($H$1,Data!$A$1:$AX$1,),)</f>
        <v/>
      </c>
      <c r="I68" s="20">
        <f>(VLOOKUP(B68,Data!$A:$AX,MATCH($I$1,Data!$A$1:$AX$1,),)-VLOOKUP(EDATE(B68,-12),Data!$A:$AX,MATCH($I$1,Data!$A$1:$AX$1,),))/VLOOKUP(EDATE(B68,-12),Data!$A:$AX,MATCH($I$1,Data!$A$1:$AX$1,),)</f>
        <v/>
      </c>
      <c r="J68" s="20">
        <f>(VLOOKUP(B68,Data!$A:$AX,MATCH($J$1,Data!$A$1:$AX$1,),)-VLOOKUP(EDATE(B68,-12),Data!$A:$AX,MATCH($J$1,Data!$A$1:$AX$1,),))/VLOOKUP(EDATE(B68,-12),Data!$A:$AX,MATCH($J$1,Data!$A$1:$AX$1,),)</f>
        <v/>
      </c>
      <c r="K68" s="20">
        <f>(VLOOKUP(B68,Data!$A:$AX,MATCH($K$1,Data!$A$1:$AX$1,),)-VLOOKUP(EDATE(B68,-12),Data!$A:$AX,MATCH($K$1,Data!$A$1:$AX$1,),))/VLOOKUP(EDATE(B68,-12),Data!$A:$AX,MATCH($K$1,Data!$A$1:$AX$1,),)</f>
        <v/>
      </c>
      <c r="L68" s="20">
        <f>(VLOOKUP(B68,Data!$A:$AX,MATCH($L$1,Data!$A$1:$AX$1,),)-VLOOKUP(EDATE(B68,-12),Data!$A:$AX,MATCH($L$1,Data!$A$1:$AX$1,),))/VLOOKUP(EDATE(B68,-12),Data!$A:$AX,MATCH($L$1,Data!$A$1:$AX$1,),)</f>
        <v/>
      </c>
      <c r="M68" s="20">
        <f>(VLOOKUP(B68,Data!$A:$AX,MATCH($M$1,Data!$A$1:$AX$1,),)-VLOOKUP(EDATE(B68,-12),Data!$A:$AX,MATCH($M$1,Data!$A$1:$AX$1,),))/VLOOKUP(EDATE(B68,-12),Data!$A:$AX,MATCH($M$1,Data!$A$1:$AX$1,),)</f>
        <v/>
      </c>
      <c r="N68" s="20">
        <f>(VLOOKUP(B68,Data!$A:$AX,MATCH($N$1,Data!$A$1:$AX$1,),)-VLOOKUP(EDATE(B68,-12),Data!$A:$AX,MATCH($N$1,Data!$A$1:$AX$1,),))/VLOOKUP(EDATE(B68,-12),Data!$A:$AX,MATCH($N$1,Data!$A$1:$AX$1,),)</f>
        <v/>
      </c>
      <c r="O68" s="20">
        <f>(VLOOKUP(B68,Data!$A:$AX,MATCH($O$1,Data!$A$1:$AX$1,),)-VLOOKUP(EDATE(B68,-12),Data!$A:$AX,MATCH($O$1,Data!$A$1:$AX$1,),))/VLOOKUP(EDATE(B68,-12),Data!$A:$AX,MATCH($O$1,Data!$A$1:$AX$1,),)</f>
        <v/>
      </c>
      <c r="P68" s="20">
        <f>(VLOOKUP(B68,Data!$A:$AX,MATCH($P$1,Data!$A$1:$AX$1,),)-VLOOKUP(EDATE(B68,-12),Data!$A:$AX,MATCH($P$1,Data!$A$1:$AX$1,),))/VLOOKUP(EDATE(B68,-12),Data!$A:$AX,MATCH($P$1,Data!$A$1:$AX$1,),)</f>
        <v/>
      </c>
      <c r="Q68" s="20">
        <f>(VLOOKUP(B68,Data!$A:$AX,MATCH($Q$1,Data!$A$1:$AX$1,),)-VLOOKUP(EDATE(B68,-12),Data!$A:$AX,MATCH($Q$1,Data!$A$1:$AX$1,),))/VLOOKUP(EDATE(B68,-12),Data!$A:$AX,MATCH($Q$1,Data!$A$1:$AX$1,),)</f>
        <v/>
      </c>
      <c r="R68" s="20">
        <f>(VLOOKUP(B68,Data!$A:$AX,MATCH($R$1,Data!$A$1:$AX$1,),)-VLOOKUP(EDATE(B68,-12),Data!$A:$AX,MATCH($R$1,Data!$A$1:$AX$1,),))/VLOOKUP(EDATE(B68,-12),Data!$A:$AX,MATCH($R$1,Data!$A$1:$AX$1,),)</f>
        <v/>
      </c>
      <c r="S68" s="20">
        <f>(VLOOKUP(B68,Data!$A:$AX,MATCH($S$1,Data!$A$1:$AX$1,),)-VLOOKUP(EDATE(B68,-12),Data!$A:$AX,MATCH($S$1,Data!$A$1:$AX$1,),))/VLOOKUP(EDATE(B68,-12),Data!$A:$AX,MATCH($S$1,Data!$A$1:$AX$1,),)</f>
        <v/>
      </c>
      <c r="T68" s="20">
        <f>(VLOOKUP(B68,Data!$A:$AX,MATCH($T$1,Data!$A$1:$AX$1,),)-VLOOKUP(EDATE(B68,-12),Data!$A:$AX,MATCH($T$1,Data!$A$1:$AX$1,),))/VLOOKUP(EDATE(B68,-12),Data!$A:$AX,MATCH($T$1,Data!$A$1:$AX$1,),)</f>
        <v/>
      </c>
      <c r="U68" s="20">
        <f>(VLOOKUP(B68,Data!$A:$AX,MATCH($U$1,Data!$A$1:$AX$1,),)-VLOOKUP(EDATE(B68,-12),Data!$A:$AX,MATCH($U$1,Data!$A$1:$AX$1,),))/VLOOKUP(EDATE(B68,-12),Data!$A:$AX,MATCH($U$1,Data!$A$1:$AX$1,),)</f>
        <v/>
      </c>
      <c r="V68" s="20">
        <f>(VLOOKUP(B68,Data!$A:$AX,MATCH($V$1,Data!$A$1:$AX$1,),)-VLOOKUP(EDATE(B68,-12),Data!$A:$AX,MATCH($V$1,Data!$A$1:$AX$1,),))/VLOOKUP(EDATE(B68,-12),Data!$A:$AX,MATCH($V$1,Data!$A$1:$AX$1,),)</f>
        <v/>
      </c>
      <c r="W68" s="20">
        <f>(VLOOKUP(B68,Data!$A:$AX,MATCH($W$1,Data!$A$1:$AX$1,),)-VLOOKUP(EDATE(B68,-12),Data!$A:$AX,MATCH($W$1,Data!$A$1:$AX$1,),))/VLOOKUP(EDATE(B68,-12),Data!$A:$AX,MATCH($W$1,Data!$A$1:$AX$1,),)</f>
        <v/>
      </c>
      <c r="X68" s="20">
        <f>(VLOOKUP(B68,Data!$A:$AX,MATCH($X$1,Data!$A$1:$AX$1,),)-VLOOKUP(EDATE(B68,-12),Data!$A:$AX,MATCH($X$1,Data!$A$1:$AX$1,),))/VLOOKUP(EDATE(B68,-12),Data!$A:$AX,MATCH($X$1,Data!$A$1:$AX$1,),)</f>
        <v/>
      </c>
      <c r="Y68" s="20">
        <f>(VLOOKUP(B68,Data!$A:$AX,MATCH($Y$1,Data!$A$1:$AX$1,),)-VLOOKUP(EDATE(B68,-12),Data!$A:$AX,MATCH($Y$1,Data!$A$1:$AX$1,),))/VLOOKUP(EDATE(B68,-12),Data!$A:$AX,MATCH($Y$1,Data!$A$1:$AX$1,),)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(VLOOKUP(B69,Data!$A:$AX,MATCH($C$1,Data!$A$1:$AX$1,),)-VLOOKUP(EDATE(B69,-12),Data!$A:$AX,MATCH($C$1,Data!$A$1:$AX$1,),))/VLOOKUP(EDATE(B69,-12),Data!$A:$AX,MATCH($C$1,Data!$A$1:$AX$1,),)</f>
        <v/>
      </c>
      <c r="D69" s="20">
        <f>(VLOOKUP(B69,Data!$A:$AX,MATCH($D$1,Data!$A$1:$AX$1,),)-VLOOKUP(EDATE(B69,-12),Data!$A:$AX,MATCH($D$1,Data!$A$1:$AX$1,),))/VLOOKUP(EDATE(B69,-12),Data!$A:$AX,MATCH($D$1,Data!$A$1:$AX$1,),)</f>
        <v/>
      </c>
      <c r="E69" s="20">
        <f>(VLOOKUP(B69,Data!$A:$AX,MATCH($E$1,Data!$A$1:$AX$1,),)-VLOOKUP(EDATE(B69,-12),Data!$A:$AX,MATCH($E$1,Data!$A$1:$AX$1,),))/VLOOKUP(EDATE(B69,-12),Data!$A:$AX,MATCH($E$1,Data!$A$1:$AX$1,),)</f>
        <v/>
      </c>
      <c r="F69" s="20">
        <f>(VLOOKUP(B69,Data!$A:$AX,MATCH($F$1,Data!$A$1:$AX$1,),)-VLOOKUP(EDATE(B69,-12),Data!$A:$AX,MATCH($F$1,Data!$A$1:$AX$1,),))/VLOOKUP(EDATE(B69,-12),Data!$A:$AX,MATCH($F$1,Data!$A$1:$AX$1,),)</f>
        <v/>
      </c>
      <c r="G69" s="20">
        <f>(VLOOKUP(B69,Data!$A:$AX,MATCH($G$1,Data!$A$1:$AX$1,),)-VLOOKUP(EDATE(B69,-12),Data!$A:$AX,MATCH($G$1,Data!$A$1:$AX$1,),))/VLOOKUP(EDATE(B69,-12),Data!$A:$AX,MATCH($G$1,Data!$A$1:$AX$1,),)</f>
        <v/>
      </c>
      <c r="H69" s="20">
        <f>(VLOOKUP(B69,Data!$A:$AX,MATCH($H$1,Data!$A$1:$AX$1,),)-VLOOKUP(EDATE(B69,-12),Data!$A:$AX,MATCH($H$1,Data!$A$1:$AX$1,),))/VLOOKUP(EDATE(B69,-12),Data!$A:$AX,MATCH($H$1,Data!$A$1:$AX$1,),)</f>
        <v/>
      </c>
      <c r="I69" s="20">
        <f>(VLOOKUP(B69,Data!$A:$AX,MATCH($I$1,Data!$A$1:$AX$1,),)-VLOOKUP(EDATE(B69,-12),Data!$A:$AX,MATCH($I$1,Data!$A$1:$AX$1,),))/VLOOKUP(EDATE(B69,-12),Data!$A:$AX,MATCH($I$1,Data!$A$1:$AX$1,),)</f>
        <v/>
      </c>
      <c r="J69" s="20">
        <f>(VLOOKUP(B69,Data!$A:$AX,MATCH($J$1,Data!$A$1:$AX$1,),)-VLOOKUP(EDATE(B69,-12),Data!$A:$AX,MATCH($J$1,Data!$A$1:$AX$1,),))/VLOOKUP(EDATE(B69,-12),Data!$A:$AX,MATCH($J$1,Data!$A$1:$AX$1,),)</f>
        <v/>
      </c>
      <c r="K69" s="20">
        <f>(VLOOKUP(B69,Data!$A:$AX,MATCH($K$1,Data!$A$1:$AX$1,),)-VLOOKUP(EDATE(B69,-12),Data!$A:$AX,MATCH($K$1,Data!$A$1:$AX$1,),))/VLOOKUP(EDATE(B69,-12),Data!$A:$AX,MATCH($K$1,Data!$A$1:$AX$1,),)</f>
        <v/>
      </c>
      <c r="L69" s="20">
        <f>(VLOOKUP(B69,Data!$A:$AX,MATCH($L$1,Data!$A$1:$AX$1,),)-VLOOKUP(EDATE(B69,-12),Data!$A:$AX,MATCH($L$1,Data!$A$1:$AX$1,),))/VLOOKUP(EDATE(B69,-12),Data!$A:$AX,MATCH($L$1,Data!$A$1:$AX$1,),)</f>
        <v/>
      </c>
      <c r="M69" s="20">
        <f>(VLOOKUP(B69,Data!$A:$AX,MATCH($M$1,Data!$A$1:$AX$1,),)-VLOOKUP(EDATE(B69,-12),Data!$A:$AX,MATCH($M$1,Data!$A$1:$AX$1,),))/VLOOKUP(EDATE(B69,-12),Data!$A:$AX,MATCH($M$1,Data!$A$1:$AX$1,),)</f>
        <v/>
      </c>
      <c r="N69" s="20">
        <f>(VLOOKUP(B69,Data!$A:$AX,MATCH($N$1,Data!$A$1:$AX$1,),)-VLOOKUP(EDATE(B69,-12),Data!$A:$AX,MATCH($N$1,Data!$A$1:$AX$1,),))/VLOOKUP(EDATE(B69,-12),Data!$A:$AX,MATCH($N$1,Data!$A$1:$AX$1,),)</f>
        <v/>
      </c>
      <c r="O69" s="20">
        <f>(VLOOKUP(B69,Data!$A:$AX,MATCH($O$1,Data!$A$1:$AX$1,),)-VLOOKUP(EDATE(B69,-12),Data!$A:$AX,MATCH($O$1,Data!$A$1:$AX$1,),))/VLOOKUP(EDATE(B69,-12),Data!$A:$AX,MATCH($O$1,Data!$A$1:$AX$1,),)</f>
        <v/>
      </c>
      <c r="P69" s="20">
        <f>(VLOOKUP(B69,Data!$A:$AX,MATCH($P$1,Data!$A$1:$AX$1,),)-VLOOKUP(EDATE(B69,-12),Data!$A:$AX,MATCH($P$1,Data!$A$1:$AX$1,),))/VLOOKUP(EDATE(B69,-12),Data!$A:$AX,MATCH($P$1,Data!$A$1:$AX$1,),)</f>
        <v/>
      </c>
      <c r="Q69" s="20">
        <f>(VLOOKUP(B69,Data!$A:$AX,MATCH($Q$1,Data!$A$1:$AX$1,),)-VLOOKUP(EDATE(B69,-12),Data!$A:$AX,MATCH($Q$1,Data!$A$1:$AX$1,),))/VLOOKUP(EDATE(B69,-12),Data!$A:$AX,MATCH($Q$1,Data!$A$1:$AX$1,),)</f>
        <v/>
      </c>
      <c r="R69" s="20">
        <f>(VLOOKUP(B69,Data!$A:$AX,MATCH($R$1,Data!$A$1:$AX$1,),)-VLOOKUP(EDATE(B69,-12),Data!$A:$AX,MATCH($R$1,Data!$A$1:$AX$1,),))/VLOOKUP(EDATE(B69,-12),Data!$A:$AX,MATCH($R$1,Data!$A$1:$AX$1,),)</f>
        <v/>
      </c>
      <c r="S69" s="20">
        <f>(VLOOKUP(B69,Data!$A:$AX,MATCH($S$1,Data!$A$1:$AX$1,),)-VLOOKUP(EDATE(B69,-12),Data!$A:$AX,MATCH($S$1,Data!$A$1:$AX$1,),))/VLOOKUP(EDATE(B69,-12),Data!$A:$AX,MATCH($S$1,Data!$A$1:$AX$1,),)</f>
        <v/>
      </c>
      <c r="T69" s="20">
        <f>(VLOOKUP(B69,Data!$A:$AX,MATCH($T$1,Data!$A$1:$AX$1,),)-VLOOKUP(EDATE(B69,-12),Data!$A:$AX,MATCH($T$1,Data!$A$1:$AX$1,),))/VLOOKUP(EDATE(B69,-12),Data!$A:$AX,MATCH($T$1,Data!$A$1:$AX$1,),)</f>
        <v/>
      </c>
      <c r="U69" s="20">
        <f>(VLOOKUP(B69,Data!$A:$AX,MATCH($U$1,Data!$A$1:$AX$1,),)-VLOOKUP(EDATE(B69,-12),Data!$A:$AX,MATCH($U$1,Data!$A$1:$AX$1,),))/VLOOKUP(EDATE(B69,-12),Data!$A:$AX,MATCH($U$1,Data!$A$1:$AX$1,),)</f>
        <v/>
      </c>
      <c r="V69" s="20">
        <f>(VLOOKUP(B69,Data!$A:$AX,MATCH($V$1,Data!$A$1:$AX$1,),)-VLOOKUP(EDATE(B69,-12),Data!$A:$AX,MATCH($V$1,Data!$A$1:$AX$1,),))/VLOOKUP(EDATE(B69,-12),Data!$A:$AX,MATCH($V$1,Data!$A$1:$AX$1,),)</f>
        <v/>
      </c>
      <c r="W69" s="20">
        <f>(VLOOKUP(B69,Data!$A:$AX,MATCH($W$1,Data!$A$1:$AX$1,),)-VLOOKUP(EDATE(B69,-12),Data!$A:$AX,MATCH($W$1,Data!$A$1:$AX$1,),))/VLOOKUP(EDATE(B69,-12),Data!$A:$AX,MATCH($W$1,Data!$A$1:$AX$1,),)</f>
        <v/>
      </c>
      <c r="X69" s="20">
        <f>(VLOOKUP(B69,Data!$A:$AX,MATCH($X$1,Data!$A$1:$AX$1,),)-VLOOKUP(EDATE(B69,-12),Data!$A:$AX,MATCH($X$1,Data!$A$1:$AX$1,),))/VLOOKUP(EDATE(B69,-12),Data!$A:$AX,MATCH($X$1,Data!$A$1:$AX$1,),)</f>
        <v/>
      </c>
      <c r="Y69" s="20">
        <f>(VLOOKUP(B69,Data!$A:$AX,MATCH($Y$1,Data!$A$1:$AX$1,),)-VLOOKUP(EDATE(B69,-12),Data!$A:$AX,MATCH($Y$1,Data!$A$1:$AX$1,),))/VLOOKUP(EDATE(B69,-12),Data!$A:$AX,MATCH($Y$1,Data!$A$1:$AX$1,),)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(VLOOKUP(B70,Data!$A:$AX,MATCH($C$1,Data!$A$1:$AX$1,),)-VLOOKUP(EDATE(B70,-12),Data!$A:$AX,MATCH($C$1,Data!$A$1:$AX$1,),))/VLOOKUP(EDATE(B70,-12),Data!$A:$AX,MATCH($C$1,Data!$A$1:$AX$1,),)</f>
        <v/>
      </c>
      <c r="D70" s="20">
        <f>(VLOOKUP(B70,Data!$A:$AX,MATCH($D$1,Data!$A$1:$AX$1,),)-VLOOKUP(EDATE(B70,-12),Data!$A:$AX,MATCH($D$1,Data!$A$1:$AX$1,),))/VLOOKUP(EDATE(B70,-12),Data!$A:$AX,MATCH($D$1,Data!$A$1:$AX$1,),)</f>
        <v/>
      </c>
      <c r="E70" s="20">
        <f>(VLOOKUP(B70,Data!$A:$AX,MATCH($E$1,Data!$A$1:$AX$1,),)-VLOOKUP(EDATE(B70,-12),Data!$A:$AX,MATCH($E$1,Data!$A$1:$AX$1,),))/VLOOKUP(EDATE(B70,-12),Data!$A:$AX,MATCH($E$1,Data!$A$1:$AX$1,),)</f>
        <v/>
      </c>
      <c r="F70" s="20">
        <f>(VLOOKUP(B70,Data!$A:$AX,MATCH($F$1,Data!$A$1:$AX$1,),)-VLOOKUP(EDATE(B70,-12),Data!$A:$AX,MATCH($F$1,Data!$A$1:$AX$1,),))/VLOOKUP(EDATE(B70,-12),Data!$A:$AX,MATCH($F$1,Data!$A$1:$AX$1,),)</f>
        <v/>
      </c>
      <c r="G70" s="20">
        <f>(VLOOKUP(B70,Data!$A:$AX,MATCH($G$1,Data!$A$1:$AX$1,),)-VLOOKUP(EDATE(B70,-12),Data!$A:$AX,MATCH($G$1,Data!$A$1:$AX$1,),))/VLOOKUP(EDATE(B70,-12),Data!$A:$AX,MATCH($G$1,Data!$A$1:$AX$1,),)</f>
        <v/>
      </c>
      <c r="H70" s="20">
        <f>(VLOOKUP(B70,Data!$A:$AX,MATCH($H$1,Data!$A$1:$AX$1,),)-VLOOKUP(EDATE(B70,-12),Data!$A:$AX,MATCH($H$1,Data!$A$1:$AX$1,),))/VLOOKUP(EDATE(B70,-12),Data!$A:$AX,MATCH($H$1,Data!$A$1:$AX$1,),)</f>
        <v/>
      </c>
      <c r="I70" s="20">
        <f>(VLOOKUP(B70,Data!$A:$AX,MATCH($I$1,Data!$A$1:$AX$1,),)-VLOOKUP(EDATE(B70,-12),Data!$A:$AX,MATCH($I$1,Data!$A$1:$AX$1,),))/VLOOKUP(EDATE(B70,-12),Data!$A:$AX,MATCH($I$1,Data!$A$1:$AX$1,),)</f>
        <v/>
      </c>
      <c r="J70" s="20">
        <f>(VLOOKUP(B70,Data!$A:$AX,MATCH($J$1,Data!$A$1:$AX$1,),)-VLOOKUP(EDATE(B70,-12),Data!$A:$AX,MATCH($J$1,Data!$A$1:$AX$1,),))/VLOOKUP(EDATE(B70,-12),Data!$A:$AX,MATCH($J$1,Data!$A$1:$AX$1,),)</f>
        <v/>
      </c>
      <c r="K70" s="20">
        <f>(VLOOKUP(B70,Data!$A:$AX,MATCH($K$1,Data!$A$1:$AX$1,),)-VLOOKUP(EDATE(B70,-12),Data!$A:$AX,MATCH($K$1,Data!$A$1:$AX$1,),))/VLOOKUP(EDATE(B70,-12),Data!$A:$AX,MATCH($K$1,Data!$A$1:$AX$1,),)</f>
        <v/>
      </c>
      <c r="L70" s="20">
        <f>(VLOOKUP(B70,Data!$A:$AX,MATCH($L$1,Data!$A$1:$AX$1,),)-VLOOKUP(EDATE(B70,-12),Data!$A:$AX,MATCH($L$1,Data!$A$1:$AX$1,),))/VLOOKUP(EDATE(B70,-12),Data!$A:$AX,MATCH($L$1,Data!$A$1:$AX$1,),)</f>
        <v/>
      </c>
      <c r="M70" s="20">
        <f>(VLOOKUP(B70,Data!$A:$AX,MATCH($M$1,Data!$A$1:$AX$1,),)-VLOOKUP(EDATE(B70,-12),Data!$A:$AX,MATCH($M$1,Data!$A$1:$AX$1,),))/VLOOKUP(EDATE(B70,-12),Data!$A:$AX,MATCH($M$1,Data!$A$1:$AX$1,),)</f>
        <v/>
      </c>
      <c r="N70" s="20">
        <f>(VLOOKUP(B70,Data!$A:$AX,MATCH($N$1,Data!$A$1:$AX$1,),)-VLOOKUP(EDATE(B70,-12),Data!$A:$AX,MATCH($N$1,Data!$A$1:$AX$1,),))/VLOOKUP(EDATE(B70,-12),Data!$A:$AX,MATCH($N$1,Data!$A$1:$AX$1,),)</f>
        <v/>
      </c>
      <c r="O70" s="20">
        <f>(VLOOKUP(B70,Data!$A:$AX,MATCH($O$1,Data!$A$1:$AX$1,),)-VLOOKUP(EDATE(B70,-12),Data!$A:$AX,MATCH($O$1,Data!$A$1:$AX$1,),))/VLOOKUP(EDATE(B70,-12),Data!$A:$AX,MATCH($O$1,Data!$A$1:$AX$1,),)</f>
        <v/>
      </c>
      <c r="P70" s="20">
        <f>(VLOOKUP(B70,Data!$A:$AX,MATCH($P$1,Data!$A$1:$AX$1,),)-VLOOKUP(EDATE(B70,-12),Data!$A:$AX,MATCH($P$1,Data!$A$1:$AX$1,),))/VLOOKUP(EDATE(B70,-12),Data!$A:$AX,MATCH($P$1,Data!$A$1:$AX$1,),)</f>
        <v/>
      </c>
      <c r="Q70" s="20">
        <f>(VLOOKUP(B70,Data!$A:$AX,MATCH($Q$1,Data!$A$1:$AX$1,),)-VLOOKUP(EDATE(B70,-12),Data!$A:$AX,MATCH($Q$1,Data!$A$1:$AX$1,),))/VLOOKUP(EDATE(B70,-12),Data!$A:$AX,MATCH($Q$1,Data!$A$1:$AX$1,),)</f>
        <v/>
      </c>
      <c r="R70" s="20">
        <f>(VLOOKUP(B70,Data!$A:$AX,MATCH($R$1,Data!$A$1:$AX$1,),)-VLOOKUP(EDATE(B70,-12),Data!$A:$AX,MATCH($R$1,Data!$A$1:$AX$1,),))/VLOOKUP(EDATE(B70,-12),Data!$A:$AX,MATCH($R$1,Data!$A$1:$AX$1,),)</f>
        <v/>
      </c>
      <c r="S70" s="20">
        <f>(VLOOKUP(B70,Data!$A:$AX,MATCH($S$1,Data!$A$1:$AX$1,),)-VLOOKUP(EDATE(B70,-12),Data!$A:$AX,MATCH($S$1,Data!$A$1:$AX$1,),))/VLOOKUP(EDATE(B70,-12),Data!$A:$AX,MATCH($S$1,Data!$A$1:$AX$1,),)</f>
        <v/>
      </c>
      <c r="T70" s="20">
        <f>(VLOOKUP(B70,Data!$A:$AX,MATCH($T$1,Data!$A$1:$AX$1,),)-VLOOKUP(EDATE(B70,-12),Data!$A:$AX,MATCH($T$1,Data!$A$1:$AX$1,),))/VLOOKUP(EDATE(B70,-12),Data!$A:$AX,MATCH($T$1,Data!$A$1:$AX$1,),)</f>
        <v/>
      </c>
      <c r="U70" s="20">
        <f>(VLOOKUP(B70,Data!$A:$AX,MATCH($U$1,Data!$A$1:$AX$1,),)-VLOOKUP(EDATE(B70,-12),Data!$A:$AX,MATCH($U$1,Data!$A$1:$AX$1,),))/VLOOKUP(EDATE(B70,-12),Data!$A:$AX,MATCH($U$1,Data!$A$1:$AX$1,),)</f>
        <v/>
      </c>
      <c r="V70" s="20">
        <f>(VLOOKUP(B70,Data!$A:$AX,MATCH($V$1,Data!$A$1:$AX$1,),)-VLOOKUP(EDATE(B70,-12),Data!$A:$AX,MATCH($V$1,Data!$A$1:$AX$1,),))/VLOOKUP(EDATE(B70,-12),Data!$A:$AX,MATCH($V$1,Data!$A$1:$AX$1,),)</f>
        <v/>
      </c>
      <c r="W70" s="20">
        <f>(VLOOKUP(B70,Data!$A:$AX,MATCH($W$1,Data!$A$1:$AX$1,),)-VLOOKUP(EDATE(B70,-12),Data!$A:$AX,MATCH($W$1,Data!$A$1:$AX$1,),))/VLOOKUP(EDATE(B70,-12),Data!$A:$AX,MATCH($W$1,Data!$A$1:$AX$1,),)</f>
        <v/>
      </c>
      <c r="X70" s="20">
        <f>(VLOOKUP(B70,Data!$A:$AX,MATCH($X$1,Data!$A$1:$AX$1,),)-VLOOKUP(EDATE(B70,-12),Data!$A:$AX,MATCH($X$1,Data!$A$1:$AX$1,),))/VLOOKUP(EDATE(B70,-12),Data!$A:$AX,MATCH($X$1,Data!$A$1:$AX$1,),)</f>
        <v/>
      </c>
      <c r="Y70" s="20">
        <f>(VLOOKUP(B70,Data!$A:$AX,MATCH($Y$1,Data!$A$1:$AX$1,),)-VLOOKUP(EDATE(B70,-12),Data!$A:$AX,MATCH($Y$1,Data!$A$1:$AX$1,),))/VLOOKUP(EDATE(B70,-12),Data!$A:$AX,MATCH($Y$1,Data!$A$1:$AX$1,),)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(VLOOKUP(B71,Data!$A:$AX,MATCH($C$1,Data!$A$1:$AX$1,),)-VLOOKUP(EDATE(B71,-12),Data!$A:$AX,MATCH($C$1,Data!$A$1:$AX$1,),))/VLOOKUP(EDATE(B71,-12),Data!$A:$AX,MATCH($C$1,Data!$A$1:$AX$1,),)</f>
        <v/>
      </c>
      <c r="D71" s="20">
        <f>(VLOOKUP(B71,Data!$A:$AX,MATCH($D$1,Data!$A$1:$AX$1,),)-VLOOKUP(EDATE(B71,-12),Data!$A:$AX,MATCH($D$1,Data!$A$1:$AX$1,),))/VLOOKUP(EDATE(B71,-12),Data!$A:$AX,MATCH($D$1,Data!$A$1:$AX$1,),)</f>
        <v/>
      </c>
      <c r="E71" s="20">
        <f>(VLOOKUP(B71,Data!$A:$AX,MATCH($E$1,Data!$A$1:$AX$1,),)-VLOOKUP(EDATE(B71,-12),Data!$A:$AX,MATCH($E$1,Data!$A$1:$AX$1,),))/VLOOKUP(EDATE(B71,-12),Data!$A:$AX,MATCH($E$1,Data!$A$1:$AX$1,),)</f>
        <v/>
      </c>
      <c r="F71" s="20">
        <f>(VLOOKUP(B71,Data!$A:$AX,MATCH($F$1,Data!$A$1:$AX$1,),)-VLOOKUP(EDATE(B71,-12),Data!$A:$AX,MATCH($F$1,Data!$A$1:$AX$1,),))/VLOOKUP(EDATE(B71,-12),Data!$A:$AX,MATCH($F$1,Data!$A$1:$AX$1,),)</f>
        <v/>
      </c>
      <c r="G71" s="20">
        <f>(VLOOKUP(B71,Data!$A:$AX,MATCH($G$1,Data!$A$1:$AX$1,),)-VLOOKUP(EDATE(B71,-12),Data!$A:$AX,MATCH($G$1,Data!$A$1:$AX$1,),))/VLOOKUP(EDATE(B71,-12),Data!$A:$AX,MATCH($G$1,Data!$A$1:$AX$1,),)</f>
        <v/>
      </c>
      <c r="H71" s="20">
        <f>(VLOOKUP(B71,Data!$A:$AX,MATCH($H$1,Data!$A$1:$AX$1,),)-VLOOKUP(EDATE(B71,-12),Data!$A:$AX,MATCH($H$1,Data!$A$1:$AX$1,),))/VLOOKUP(EDATE(B71,-12),Data!$A:$AX,MATCH($H$1,Data!$A$1:$AX$1,),)</f>
        <v/>
      </c>
      <c r="I71" s="20">
        <f>(VLOOKUP(B71,Data!$A:$AX,MATCH($I$1,Data!$A$1:$AX$1,),)-VLOOKUP(EDATE(B71,-12),Data!$A:$AX,MATCH($I$1,Data!$A$1:$AX$1,),))/VLOOKUP(EDATE(B71,-12),Data!$A:$AX,MATCH($I$1,Data!$A$1:$AX$1,),)</f>
        <v/>
      </c>
      <c r="J71" s="20">
        <f>(VLOOKUP(B71,Data!$A:$AX,MATCH($J$1,Data!$A$1:$AX$1,),)-VLOOKUP(EDATE(B71,-12),Data!$A:$AX,MATCH($J$1,Data!$A$1:$AX$1,),))/VLOOKUP(EDATE(B71,-12),Data!$A:$AX,MATCH($J$1,Data!$A$1:$AX$1,),)</f>
        <v/>
      </c>
      <c r="K71" s="20">
        <f>(VLOOKUP(B71,Data!$A:$AX,MATCH($K$1,Data!$A$1:$AX$1,),)-VLOOKUP(EDATE(B71,-12),Data!$A:$AX,MATCH($K$1,Data!$A$1:$AX$1,),))/VLOOKUP(EDATE(B71,-12),Data!$A:$AX,MATCH($K$1,Data!$A$1:$AX$1,),)</f>
        <v/>
      </c>
      <c r="L71" s="20">
        <f>(VLOOKUP(B71,Data!$A:$AX,MATCH($L$1,Data!$A$1:$AX$1,),)-VLOOKUP(EDATE(B71,-12),Data!$A:$AX,MATCH($L$1,Data!$A$1:$AX$1,),))/VLOOKUP(EDATE(B71,-12),Data!$A:$AX,MATCH($L$1,Data!$A$1:$AX$1,),)</f>
        <v/>
      </c>
      <c r="M71" s="20">
        <f>(VLOOKUP(B71,Data!$A:$AX,MATCH($M$1,Data!$A$1:$AX$1,),)-VLOOKUP(EDATE(B71,-12),Data!$A:$AX,MATCH($M$1,Data!$A$1:$AX$1,),))/VLOOKUP(EDATE(B71,-12),Data!$A:$AX,MATCH($M$1,Data!$A$1:$AX$1,),)</f>
        <v/>
      </c>
      <c r="N71" s="20">
        <f>(VLOOKUP(B71,Data!$A:$AX,MATCH($N$1,Data!$A$1:$AX$1,),)-VLOOKUP(EDATE(B71,-12),Data!$A:$AX,MATCH($N$1,Data!$A$1:$AX$1,),))/VLOOKUP(EDATE(B71,-12),Data!$A:$AX,MATCH($N$1,Data!$A$1:$AX$1,),)</f>
        <v/>
      </c>
      <c r="O71" s="20">
        <f>(VLOOKUP(B71,Data!$A:$AX,MATCH($O$1,Data!$A$1:$AX$1,),)-VLOOKUP(EDATE(B71,-12),Data!$A:$AX,MATCH($O$1,Data!$A$1:$AX$1,),))/VLOOKUP(EDATE(B71,-12),Data!$A:$AX,MATCH($O$1,Data!$A$1:$AX$1,),)</f>
        <v/>
      </c>
      <c r="P71" s="20">
        <f>(VLOOKUP(B71,Data!$A:$AX,MATCH($P$1,Data!$A$1:$AX$1,),)-VLOOKUP(EDATE(B71,-12),Data!$A:$AX,MATCH($P$1,Data!$A$1:$AX$1,),))/VLOOKUP(EDATE(B71,-12),Data!$A:$AX,MATCH($P$1,Data!$A$1:$AX$1,),)</f>
        <v/>
      </c>
      <c r="Q71" s="20">
        <f>(VLOOKUP(B71,Data!$A:$AX,MATCH($Q$1,Data!$A$1:$AX$1,),)-VLOOKUP(EDATE(B71,-12),Data!$A:$AX,MATCH($Q$1,Data!$A$1:$AX$1,),))/VLOOKUP(EDATE(B71,-12),Data!$A:$AX,MATCH($Q$1,Data!$A$1:$AX$1,),)</f>
        <v/>
      </c>
      <c r="R71" s="20">
        <f>(VLOOKUP(B71,Data!$A:$AX,MATCH($R$1,Data!$A$1:$AX$1,),)-VLOOKUP(EDATE(B71,-12),Data!$A:$AX,MATCH($R$1,Data!$A$1:$AX$1,),))/VLOOKUP(EDATE(B71,-12),Data!$A:$AX,MATCH($R$1,Data!$A$1:$AX$1,),)</f>
        <v/>
      </c>
      <c r="S71" s="20">
        <f>(VLOOKUP(B71,Data!$A:$AX,MATCH($S$1,Data!$A$1:$AX$1,),)-VLOOKUP(EDATE(B71,-12),Data!$A:$AX,MATCH($S$1,Data!$A$1:$AX$1,),))/VLOOKUP(EDATE(B71,-12),Data!$A:$AX,MATCH($S$1,Data!$A$1:$AX$1,),)</f>
        <v/>
      </c>
      <c r="T71" s="20">
        <f>(VLOOKUP(B71,Data!$A:$AX,MATCH($T$1,Data!$A$1:$AX$1,),)-VLOOKUP(EDATE(B71,-12),Data!$A:$AX,MATCH($T$1,Data!$A$1:$AX$1,),))/VLOOKUP(EDATE(B71,-12),Data!$A:$AX,MATCH($T$1,Data!$A$1:$AX$1,),)</f>
        <v/>
      </c>
      <c r="U71" s="20">
        <f>(VLOOKUP(B71,Data!$A:$AX,MATCH($U$1,Data!$A$1:$AX$1,),)-VLOOKUP(EDATE(B71,-12),Data!$A:$AX,MATCH($U$1,Data!$A$1:$AX$1,),))/VLOOKUP(EDATE(B71,-12),Data!$A:$AX,MATCH($U$1,Data!$A$1:$AX$1,),)</f>
        <v/>
      </c>
      <c r="V71" s="20">
        <f>(VLOOKUP(B71,Data!$A:$AX,MATCH($V$1,Data!$A$1:$AX$1,),)-VLOOKUP(EDATE(B71,-12),Data!$A:$AX,MATCH($V$1,Data!$A$1:$AX$1,),))/VLOOKUP(EDATE(B71,-12),Data!$A:$AX,MATCH($V$1,Data!$A$1:$AX$1,),)</f>
        <v/>
      </c>
      <c r="W71" s="20">
        <f>(VLOOKUP(B71,Data!$A:$AX,MATCH($W$1,Data!$A$1:$AX$1,),)-VLOOKUP(EDATE(B71,-12),Data!$A:$AX,MATCH($W$1,Data!$A$1:$AX$1,),))/VLOOKUP(EDATE(B71,-12),Data!$A:$AX,MATCH($W$1,Data!$A$1:$AX$1,),)</f>
        <v/>
      </c>
      <c r="X71" s="20">
        <f>(VLOOKUP(B71,Data!$A:$AX,MATCH($X$1,Data!$A$1:$AX$1,),)-VLOOKUP(EDATE(B71,-12),Data!$A:$AX,MATCH($X$1,Data!$A$1:$AX$1,),))/VLOOKUP(EDATE(B71,-12),Data!$A:$AX,MATCH($X$1,Data!$A$1:$AX$1,),)</f>
        <v/>
      </c>
      <c r="Y71" s="20">
        <f>(VLOOKUP(B71,Data!$A:$AX,MATCH($Y$1,Data!$A$1:$AX$1,),)-VLOOKUP(EDATE(B71,-12),Data!$A:$AX,MATCH($Y$1,Data!$A$1:$AX$1,),))/VLOOKUP(EDATE(B71,-12),Data!$A:$AX,MATCH($Y$1,Data!$A$1:$AX$1,),)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(VLOOKUP(B72,Data!$A:$AX,MATCH($C$1,Data!$A$1:$AX$1,),)-VLOOKUP(EDATE(B72,-12),Data!$A:$AX,MATCH($C$1,Data!$A$1:$AX$1,),))/VLOOKUP(EDATE(B72,-12),Data!$A:$AX,MATCH($C$1,Data!$A$1:$AX$1,),)</f>
        <v/>
      </c>
      <c r="D72" s="20">
        <f>(VLOOKUP(B72,Data!$A:$AX,MATCH($D$1,Data!$A$1:$AX$1,),)-VLOOKUP(EDATE(B72,-12),Data!$A:$AX,MATCH($D$1,Data!$A$1:$AX$1,),))/VLOOKUP(EDATE(B72,-12),Data!$A:$AX,MATCH($D$1,Data!$A$1:$AX$1,),)</f>
        <v/>
      </c>
      <c r="E72" s="20">
        <f>(VLOOKUP(B72,Data!$A:$AX,MATCH($E$1,Data!$A$1:$AX$1,),)-VLOOKUP(EDATE(B72,-12),Data!$A:$AX,MATCH($E$1,Data!$A$1:$AX$1,),))/VLOOKUP(EDATE(B72,-12),Data!$A:$AX,MATCH($E$1,Data!$A$1:$AX$1,),)</f>
        <v/>
      </c>
      <c r="F72" s="20">
        <f>(VLOOKUP(B72,Data!$A:$AX,MATCH($F$1,Data!$A$1:$AX$1,),)-VLOOKUP(EDATE(B72,-12),Data!$A:$AX,MATCH($F$1,Data!$A$1:$AX$1,),))/VLOOKUP(EDATE(B72,-12),Data!$A:$AX,MATCH($F$1,Data!$A$1:$AX$1,),)</f>
        <v/>
      </c>
      <c r="G72" s="20">
        <f>(VLOOKUP(B72,Data!$A:$AX,MATCH($G$1,Data!$A$1:$AX$1,),)-VLOOKUP(EDATE(B72,-12),Data!$A:$AX,MATCH($G$1,Data!$A$1:$AX$1,),))/VLOOKUP(EDATE(B72,-12),Data!$A:$AX,MATCH($G$1,Data!$A$1:$AX$1,),)</f>
        <v/>
      </c>
      <c r="H72" s="20">
        <f>(VLOOKUP(B72,Data!$A:$AX,MATCH($H$1,Data!$A$1:$AX$1,),)-VLOOKUP(EDATE(B72,-12),Data!$A:$AX,MATCH($H$1,Data!$A$1:$AX$1,),))/VLOOKUP(EDATE(B72,-12),Data!$A:$AX,MATCH($H$1,Data!$A$1:$AX$1,),)</f>
        <v/>
      </c>
      <c r="I72" s="20">
        <f>(VLOOKUP(B72,Data!$A:$AX,MATCH($I$1,Data!$A$1:$AX$1,),)-VLOOKUP(EDATE(B72,-12),Data!$A:$AX,MATCH($I$1,Data!$A$1:$AX$1,),))/VLOOKUP(EDATE(B72,-12),Data!$A:$AX,MATCH($I$1,Data!$A$1:$AX$1,),)</f>
        <v/>
      </c>
      <c r="J72" s="20">
        <f>(VLOOKUP(B72,Data!$A:$AX,MATCH($J$1,Data!$A$1:$AX$1,),)-VLOOKUP(EDATE(B72,-12),Data!$A:$AX,MATCH($J$1,Data!$A$1:$AX$1,),))/VLOOKUP(EDATE(B72,-12),Data!$A:$AX,MATCH($J$1,Data!$A$1:$AX$1,),)</f>
        <v/>
      </c>
      <c r="K72" s="20">
        <f>(VLOOKUP(B72,Data!$A:$AX,MATCH($K$1,Data!$A$1:$AX$1,),)-VLOOKUP(EDATE(B72,-12),Data!$A:$AX,MATCH($K$1,Data!$A$1:$AX$1,),))/VLOOKUP(EDATE(B72,-12),Data!$A:$AX,MATCH($K$1,Data!$A$1:$AX$1,),)</f>
        <v/>
      </c>
      <c r="L72" s="20">
        <f>(VLOOKUP(B72,Data!$A:$AX,MATCH($L$1,Data!$A$1:$AX$1,),)-VLOOKUP(EDATE(B72,-12),Data!$A:$AX,MATCH($L$1,Data!$A$1:$AX$1,),))/VLOOKUP(EDATE(B72,-12),Data!$A:$AX,MATCH($L$1,Data!$A$1:$AX$1,),)</f>
        <v/>
      </c>
      <c r="M72" s="20">
        <f>(VLOOKUP(B72,Data!$A:$AX,MATCH($M$1,Data!$A$1:$AX$1,),)-VLOOKUP(EDATE(B72,-12),Data!$A:$AX,MATCH($M$1,Data!$A$1:$AX$1,),))/VLOOKUP(EDATE(B72,-12),Data!$A:$AX,MATCH($M$1,Data!$A$1:$AX$1,),)</f>
        <v/>
      </c>
      <c r="N72" s="20">
        <f>(VLOOKUP(B72,Data!$A:$AX,MATCH($N$1,Data!$A$1:$AX$1,),)-VLOOKUP(EDATE(B72,-12),Data!$A:$AX,MATCH($N$1,Data!$A$1:$AX$1,),))/VLOOKUP(EDATE(B72,-12),Data!$A:$AX,MATCH($N$1,Data!$A$1:$AX$1,),)</f>
        <v/>
      </c>
      <c r="O72" s="20">
        <f>(VLOOKUP(B72,Data!$A:$AX,MATCH($O$1,Data!$A$1:$AX$1,),)-VLOOKUP(EDATE(B72,-12),Data!$A:$AX,MATCH($O$1,Data!$A$1:$AX$1,),))/VLOOKUP(EDATE(B72,-12),Data!$A:$AX,MATCH($O$1,Data!$A$1:$AX$1,),)</f>
        <v/>
      </c>
      <c r="P72" s="20">
        <f>(VLOOKUP(B72,Data!$A:$AX,MATCH($P$1,Data!$A$1:$AX$1,),)-VLOOKUP(EDATE(B72,-12),Data!$A:$AX,MATCH($P$1,Data!$A$1:$AX$1,),))/VLOOKUP(EDATE(B72,-12),Data!$A:$AX,MATCH($P$1,Data!$A$1:$AX$1,),)</f>
        <v/>
      </c>
      <c r="Q72" s="20">
        <f>(VLOOKUP(B72,Data!$A:$AX,MATCH($Q$1,Data!$A$1:$AX$1,),)-VLOOKUP(EDATE(B72,-12),Data!$A:$AX,MATCH($Q$1,Data!$A$1:$AX$1,),))/VLOOKUP(EDATE(B72,-12),Data!$A:$AX,MATCH($Q$1,Data!$A$1:$AX$1,),)</f>
        <v/>
      </c>
      <c r="R72" s="20">
        <f>(VLOOKUP(B72,Data!$A:$AX,MATCH($R$1,Data!$A$1:$AX$1,),)-VLOOKUP(EDATE(B72,-12),Data!$A:$AX,MATCH($R$1,Data!$A$1:$AX$1,),))/VLOOKUP(EDATE(B72,-12),Data!$A:$AX,MATCH($R$1,Data!$A$1:$AX$1,),)</f>
        <v/>
      </c>
      <c r="S72" s="20">
        <f>(VLOOKUP(B72,Data!$A:$AX,MATCH($S$1,Data!$A$1:$AX$1,),)-VLOOKUP(EDATE(B72,-12),Data!$A:$AX,MATCH($S$1,Data!$A$1:$AX$1,),))/VLOOKUP(EDATE(B72,-12),Data!$A:$AX,MATCH($S$1,Data!$A$1:$AX$1,),)</f>
        <v/>
      </c>
      <c r="T72" s="20">
        <f>(VLOOKUP(B72,Data!$A:$AX,MATCH($T$1,Data!$A$1:$AX$1,),)-VLOOKUP(EDATE(B72,-12),Data!$A:$AX,MATCH($T$1,Data!$A$1:$AX$1,),))/VLOOKUP(EDATE(B72,-12),Data!$A:$AX,MATCH($T$1,Data!$A$1:$AX$1,),)</f>
        <v/>
      </c>
      <c r="U72" s="20">
        <f>(VLOOKUP(B72,Data!$A:$AX,MATCH($U$1,Data!$A$1:$AX$1,),)-VLOOKUP(EDATE(B72,-12),Data!$A:$AX,MATCH($U$1,Data!$A$1:$AX$1,),))/VLOOKUP(EDATE(B72,-12),Data!$A:$AX,MATCH($U$1,Data!$A$1:$AX$1,),)</f>
        <v/>
      </c>
      <c r="V72" s="20">
        <f>(VLOOKUP(B72,Data!$A:$AX,MATCH($V$1,Data!$A$1:$AX$1,),)-VLOOKUP(EDATE(B72,-12),Data!$A:$AX,MATCH($V$1,Data!$A$1:$AX$1,),))/VLOOKUP(EDATE(B72,-12),Data!$A:$AX,MATCH($V$1,Data!$A$1:$AX$1,),)</f>
        <v/>
      </c>
      <c r="W72" s="20">
        <f>(VLOOKUP(B72,Data!$A:$AX,MATCH($W$1,Data!$A$1:$AX$1,),)-VLOOKUP(EDATE(B72,-12),Data!$A:$AX,MATCH($W$1,Data!$A$1:$AX$1,),))/VLOOKUP(EDATE(B72,-12),Data!$A:$AX,MATCH($W$1,Data!$A$1:$AX$1,),)</f>
        <v/>
      </c>
      <c r="X72" s="20">
        <f>(VLOOKUP(B72,Data!$A:$AX,MATCH($X$1,Data!$A$1:$AX$1,),)-VLOOKUP(EDATE(B72,-12),Data!$A:$AX,MATCH($X$1,Data!$A$1:$AX$1,),))/VLOOKUP(EDATE(B72,-12),Data!$A:$AX,MATCH($X$1,Data!$A$1:$AX$1,),)</f>
        <v/>
      </c>
      <c r="Y72" s="20">
        <f>(VLOOKUP(B72,Data!$A:$AX,MATCH($Y$1,Data!$A$1:$AX$1,),)-VLOOKUP(EDATE(B72,-12),Data!$A:$AX,MATCH($Y$1,Data!$A$1:$AX$1,),))/VLOOKUP(EDATE(B72,-12),Data!$A:$AX,MATCH($Y$1,Data!$A$1:$AX$1,),)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(VLOOKUP(B73,Data!$A:$AX,MATCH($C$1,Data!$A$1:$AX$1,),)-VLOOKUP(EDATE(B73,-12),Data!$A:$AX,MATCH($C$1,Data!$A$1:$AX$1,),))/VLOOKUP(EDATE(B73,-12),Data!$A:$AX,MATCH($C$1,Data!$A$1:$AX$1,),)</f>
        <v/>
      </c>
      <c r="D73" s="20">
        <f>(VLOOKUP(B73,Data!$A:$AX,MATCH($D$1,Data!$A$1:$AX$1,),)-VLOOKUP(EDATE(B73,-12),Data!$A:$AX,MATCH($D$1,Data!$A$1:$AX$1,),))/VLOOKUP(EDATE(B73,-12),Data!$A:$AX,MATCH($D$1,Data!$A$1:$AX$1,),)</f>
        <v/>
      </c>
      <c r="E73" s="20">
        <f>(VLOOKUP(B73,Data!$A:$AX,MATCH($E$1,Data!$A$1:$AX$1,),)-VLOOKUP(EDATE(B73,-12),Data!$A:$AX,MATCH($E$1,Data!$A$1:$AX$1,),))/VLOOKUP(EDATE(B73,-12),Data!$A:$AX,MATCH($E$1,Data!$A$1:$AX$1,),)</f>
        <v/>
      </c>
      <c r="F73" s="20">
        <f>(VLOOKUP(B73,Data!$A:$AX,MATCH($F$1,Data!$A$1:$AX$1,),)-VLOOKUP(EDATE(B73,-12),Data!$A:$AX,MATCH($F$1,Data!$A$1:$AX$1,),))/VLOOKUP(EDATE(B73,-12),Data!$A:$AX,MATCH($F$1,Data!$A$1:$AX$1,),)</f>
        <v/>
      </c>
      <c r="G73" s="20">
        <f>(VLOOKUP(B73,Data!$A:$AX,MATCH($G$1,Data!$A$1:$AX$1,),)-VLOOKUP(EDATE(B73,-12),Data!$A:$AX,MATCH($G$1,Data!$A$1:$AX$1,),))/VLOOKUP(EDATE(B73,-12),Data!$A:$AX,MATCH($G$1,Data!$A$1:$AX$1,),)</f>
        <v/>
      </c>
      <c r="H73" s="20">
        <f>(VLOOKUP(B73,Data!$A:$AX,MATCH($H$1,Data!$A$1:$AX$1,),)-VLOOKUP(EDATE(B73,-12),Data!$A:$AX,MATCH($H$1,Data!$A$1:$AX$1,),))/VLOOKUP(EDATE(B73,-12),Data!$A:$AX,MATCH($H$1,Data!$A$1:$AX$1,),)</f>
        <v/>
      </c>
      <c r="I73" s="20">
        <f>(VLOOKUP(B73,Data!$A:$AX,MATCH($I$1,Data!$A$1:$AX$1,),)-VLOOKUP(EDATE(B73,-12),Data!$A:$AX,MATCH($I$1,Data!$A$1:$AX$1,),))/VLOOKUP(EDATE(B73,-12),Data!$A:$AX,MATCH($I$1,Data!$A$1:$AX$1,),)</f>
        <v/>
      </c>
      <c r="J73" s="20">
        <f>(VLOOKUP(B73,Data!$A:$AX,MATCH($J$1,Data!$A$1:$AX$1,),)-VLOOKUP(EDATE(B73,-12),Data!$A:$AX,MATCH($J$1,Data!$A$1:$AX$1,),))/VLOOKUP(EDATE(B73,-12),Data!$A:$AX,MATCH($J$1,Data!$A$1:$AX$1,),)</f>
        <v/>
      </c>
      <c r="K73" s="20">
        <f>(VLOOKUP(B73,Data!$A:$AX,MATCH($K$1,Data!$A$1:$AX$1,),)-VLOOKUP(EDATE(B73,-12),Data!$A:$AX,MATCH($K$1,Data!$A$1:$AX$1,),))/VLOOKUP(EDATE(B73,-12),Data!$A:$AX,MATCH($K$1,Data!$A$1:$AX$1,),)</f>
        <v/>
      </c>
      <c r="L73" s="20">
        <f>(VLOOKUP(B73,Data!$A:$AX,MATCH($L$1,Data!$A$1:$AX$1,),)-VLOOKUP(EDATE(B73,-12),Data!$A:$AX,MATCH($L$1,Data!$A$1:$AX$1,),))/VLOOKUP(EDATE(B73,-12),Data!$A:$AX,MATCH($L$1,Data!$A$1:$AX$1,),)</f>
        <v/>
      </c>
      <c r="M73" s="20">
        <f>(VLOOKUP(B73,Data!$A:$AX,MATCH($M$1,Data!$A$1:$AX$1,),)-VLOOKUP(EDATE(B73,-12),Data!$A:$AX,MATCH($M$1,Data!$A$1:$AX$1,),))/VLOOKUP(EDATE(B73,-12),Data!$A:$AX,MATCH($M$1,Data!$A$1:$AX$1,),)</f>
        <v/>
      </c>
      <c r="N73" s="20">
        <f>(VLOOKUP(B73,Data!$A:$AX,MATCH($N$1,Data!$A$1:$AX$1,),)-VLOOKUP(EDATE(B73,-12),Data!$A:$AX,MATCH($N$1,Data!$A$1:$AX$1,),))/VLOOKUP(EDATE(B73,-12),Data!$A:$AX,MATCH($N$1,Data!$A$1:$AX$1,),)</f>
        <v/>
      </c>
      <c r="O73" s="20">
        <f>(VLOOKUP(B73,Data!$A:$AX,MATCH($O$1,Data!$A$1:$AX$1,),)-VLOOKUP(EDATE(B73,-12),Data!$A:$AX,MATCH($O$1,Data!$A$1:$AX$1,),))/VLOOKUP(EDATE(B73,-12),Data!$A:$AX,MATCH($O$1,Data!$A$1:$AX$1,),)</f>
        <v/>
      </c>
      <c r="P73" s="20">
        <f>(VLOOKUP(B73,Data!$A:$AX,MATCH($P$1,Data!$A$1:$AX$1,),)-VLOOKUP(EDATE(B73,-12),Data!$A:$AX,MATCH($P$1,Data!$A$1:$AX$1,),))/VLOOKUP(EDATE(B73,-12),Data!$A:$AX,MATCH($P$1,Data!$A$1:$AX$1,),)</f>
        <v/>
      </c>
      <c r="Q73" s="20">
        <f>(VLOOKUP(B73,Data!$A:$AX,MATCH($Q$1,Data!$A$1:$AX$1,),)-VLOOKUP(EDATE(B73,-12),Data!$A:$AX,MATCH($Q$1,Data!$A$1:$AX$1,),))/VLOOKUP(EDATE(B73,-12),Data!$A:$AX,MATCH($Q$1,Data!$A$1:$AX$1,),)</f>
        <v/>
      </c>
      <c r="R73" s="20">
        <f>(VLOOKUP(B73,Data!$A:$AX,MATCH($R$1,Data!$A$1:$AX$1,),)-VLOOKUP(EDATE(B73,-12),Data!$A:$AX,MATCH($R$1,Data!$A$1:$AX$1,),))/VLOOKUP(EDATE(B73,-12),Data!$A:$AX,MATCH($R$1,Data!$A$1:$AX$1,),)</f>
        <v/>
      </c>
      <c r="S73" s="20">
        <f>(VLOOKUP(B73,Data!$A:$AX,MATCH($S$1,Data!$A$1:$AX$1,),)-VLOOKUP(EDATE(B73,-12),Data!$A:$AX,MATCH($S$1,Data!$A$1:$AX$1,),))/VLOOKUP(EDATE(B73,-12),Data!$A:$AX,MATCH($S$1,Data!$A$1:$AX$1,),)</f>
        <v/>
      </c>
      <c r="T73" s="20">
        <f>(VLOOKUP(B73,Data!$A:$AX,MATCH($T$1,Data!$A$1:$AX$1,),)-VLOOKUP(EDATE(B73,-12),Data!$A:$AX,MATCH($T$1,Data!$A$1:$AX$1,),))/VLOOKUP(EDATE(B73,-12),Data!$A:$AX,MATCH($T$1,Data!$A$1:$AX$1,),)</f>
        <v/>
      </c>
      <c r="U73" s="20">
        <f>(VLOOKUP(B73,Data!$A:$AX,MATCH($U$1,Data!$A$1:$AX$1,),)-VLOOKUP(EDATE(B73,-12),Data!$A:$AX,MATCH($U$1,Data!$A$1:$AX$1,),))/VLOOKUP(EDATE(B73,-12),Data!$A:$AX,MATCH($U$1,Data!$A$1:$AX$1,),)</f>
        <v/>
      </c>
      <c r="V73" s="20">
        <f>(VLOOKUP(B73,Data!$A:$AX,MATCH($V$1,Data!$A$1:$AX$1,),)-VLOOKUP(EDATE(B73,-12),Data!$A:$AX,MATCH($V$1,Data!$A$1:$AX$1,),))/VLOOKUP(EDATE(B73,-12),Data!$A:$AX,MATCH($V$1,Data!$A$1:$AX$1,),)</f>
        <v/>
      </c>
      <c r="W73" s="20">
        <f>(VLOOKUP(B73,Data!$A:$AX,MATCH($W$1,Data!$A$1:$AX$1,),)-VLOOKUP(EDATE(B73,-12),Data!$A:$AX,MATCH($W$1,Data!$A$1:$AX$1,),))/VLOOKUP(EDATE(B73,-12),Data!$A:$AX,MATCH($W$1,Data!$A$1:$AX$1,),)</f>
        <v/>
      </c>
      <c r="X73" s="20">
        <f>(VLOOKUP(B73,Data!$A:$AX,MATCH($X$1,Data!$A$1:$AX$1,),)-VLOOKUP(EDATE(B73,-12),Data!$A:$AX,MATCH($X$1,Data!$A$1:$AX$1,),))/VLOOKUP(EDATE(B73,-12),Data!$A:$AX,MATCH($X$1,Data!$A$1:$AX$1,),)</f>
        <v/>
      </c>
      <c r="Y73" s="20">
        <f>(VLOOKUP(B73,Data!$A:$AX,MATCH($Y$1,Data!$A$1:$AX$1,),)-VLOOKUP(EDATE(B73,-12),Data!$A:$AX,MATCH($Y$1,Data!$A$1:$AX$1,),))/VLOOKUP(EDATE(B73,-12),Data!$A:$AX,MATCH($Y$1,Data!$A$1:$AX$1,),)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(VLOOKUP(B74,Data!$A:$AX,MATCH($C$1,Data!$A$1:$AX$1,),)-VLOOKUP(EDATE(B74,-12),Data!$A:$AX,MATCH($C$1,Data!$A$1:$AX$1,),))/VLOOKUP(EDATE(B74,-12),Data!$A:$AX,MATCH($C$1,Data!$A$1:$AX$1,),)</f>
        <v/>
      </c>
      <c r="D74" s="20">
        <f>(VLOOKUP(B74,Data!$A:$AX,MATCH($D$1,Data!$A$1:$AX$1,),)-VLOOKUP(EDATE(B74,-12),Data!$A:$AX,MATCH($D$1,Data!$A$1:$AX$1,),))/VLOOKUP(EDATE(B74,-12),Data!$A:$AX,MATCH($D$1,Data!$A$1:$AX$1,),)</f>
        <v/>
      </c>
      <c r="E74" s="20">
        <f>(VLOOKUP(B74,Data!$A:$AX,MATCH($E$1,Data!$A$1:$AX$1,),)-VLOOKUP(EDATE(B74,-12),Data!$A:$AX,MATCH($E$1,Data!$A$1:$AX$1,),))/VLOOKUP(EDATE(B74,-12),Data!$A:$AX,MATCH($E$1,Data!$A$1:$AX$1,),)</f>
        <v/>
      </c>
      <c r="F74" s="20">
        <f>(VLOOKUP(B74,Data!$A:$AX,MATCH($F$1,Data!$A$1:$AX$1,),)-VLOOKUP(EDATE(B74,-12),Data!$A:$AX,MATCH($F$1,Data!$A$1:$AX$1,),))/VLOOKUP(EDATE(B74,-12),Data!$A:$AX,MATCH($F$1,Data!$A$1:$AX$1,),)</f>
        <v/>
      </c>
      <c r="G74" s="20">
        <f>(VLOOKUP(B74,Data!$A:$AX,MATCH($G$1,Data!$A$1:$AX$1,),)-VLOOKUP(EDATE(B74,-12),Data!$A:$AX,MATCH($G$1,Data!$A$1:$AX$1,),))/VLOOKUP(EDATE(B74,-12),Data!$A:$AX,MATCH($G$1,Data!$A$1:$AX$1,),)</f>
        <v/>
      </c>
      <c r="H74" s="20">
        <f>(VLOOKUP(B74,Data!$A:$AX,MATCH($H$1,Data!$A$1:$AX$1,),)-VLOOKUP(EDATE(B74,-12),Data!$A:$AX,MATCH($H$1,Data!$A$1:$AX$1,),))/VLOOKUP(EDATE(B74,-12),Data!$A:$AX,MATCH($H$1,Data!$A$1:$AX$1,),)</f>
        <v/>
      </c>
      <c r="I74" s="20">
        <f>(VLOOKUP(B74,Data!$A:$AX,MATCH($I$1,Data!$A$1:$AX$1,),)-VLOOKUP(EDATE(B74,-12),Data!$A:$AX,MATCH($I$1,Data!$A$1:$AX$1,),))/VLOOKUP(EDATE(B74,-12),Data!$A:$AX,MATCH($I$1,Data!$A$1:$AX$1,),)</f>
        <v/>
      </c>
      <c r="J74" s="20">
        <f>(VLOOKUP(B74,Data!$A:$AX,MATCH($J$1,Data!$A$1:$AX$1,),)-VLOOKUP(EDATE(B74,-12),Data!$A:$AX,MATCH($J$1,Data!$A$1:$AX$1,),))/VLOOKUP(EDATE(B74,-12),Data!$A:$AX,MATCH($J$1,Data!$A$1:$AX$1,),)</f>
        <v/>
      </c>
      <c r="K74" s="20">
        <f>(VLOOKUP(B74,Data!$A:$AX,MATCH($K$1,Data!$A$1:$AX$1,),)-VLOOKUP(EDATE(B74,-12),Data!$A:$AX,MATCH($K$1,Data!$A$1:$AX$1,),))/VLOOKUP(EDATE(B74,-12),Data!$A:$AX,MATCH($K$1,Data!$A$1:$AX$1,),)</f>
        <v/>
      </c>
      <c r="L74" s="20">
        <f>(VLOOKUP(B74,Data!$A:$AX,MATCH($L$1,Data!$A$1:$AX$1,),)-VLOOKUP(EDATE(B74,-12),Data!$A:$AX,MATCH($L$1,Data!$A$1:$AX$1,),))/VLOOKUP(EDATE(B74,-12),Data!$A:$AX,MATCH($L$1,Data!$A$1:$AX$1,),)</f>
        <v/>
      </c>
      <c r="M74" s="20">
        <f>(VLOOKUP(B74,Data!$A:$AX,MATCH($M$1,Data!$A$1:$AX$1,),)-VLOOKUP(EDATE(B74,-12),Data!$A:$AX,MATCH($M$1,Data!$A$1:$AX$1,),))/VLOOKUP(EDATE(B74,-12),Data!$A:$AX,MATCH($M$1,Data!$A$1:$AX$1,),)</f>
        <v/>
      </c>
      <c r="N74" s="20">
        <f>(VLOOKUP(B74,Data!$A:$AX,MATCH($N$1,Data!$A$1:$AX$1,),)-VLOOKUP(EDATE(B74,-12),Data!$A:$AX,MATCH($N$1,Data!$A$1:$AX$1,),))/VLOOKUP(EDATE(B74,-12),Data!$A:$AX,MATCH($N$1,Data!$A$1:$AX$1,),)</f>
        <v/>
      </c>
      <c r="O74" s="20">
        <f>(VLOOKUP(B74,Data!$A:$AX,MATCH($O$1,Data!$A$1:$AX$1,),)-VLOOKUP(EDATE(B74,-12),Data!$A:$AX,MATCH($O$1,Data!$A$1:$AX$1,),))/VLOOKUP(EDATE(B74,-12),Data!$A:$AX,MATCH($O$1,Data!$A$1:$AX$1,),)</f>
        <v/>
      </c>
      <c r="P74" s="20">
        <f>(VLOOKUP(B74,Data!$A:$AX,MATCH($P$1,Data!$A$1:$AX$1,),)-VLOOKUP(EDATE(B74,-12),Data!$A:$AX,MATCH($P$1,Data!$A$1:$AX$1,),))/VLOOKUP(EDATE(B74,-12),Data!$A:$AX,MATCH($P$1,Data!$A$1:$AX$1,),)</f>
        <v/>
      </c>
      <c r="Q74" s="20">
        <f>(VLOOKUP(B74,Data!$A:$AX,MATCH($Q$1,Data!$A$1:$AX$1,),)-VLOOKUP(EDATE(B74,-12),Data!$A:$AX,MATCH($Q$1,Data!$A$1:$AX$1,),))/VLOOKUP(EDATE(B74,-12),Data!$A:$AX,MATCH($Q$1,Data!$A$1:$AX$1,),)</f>
        <v/>
      </c>
      <c r="R74" s="20">
        <f>(VLOOKUP(B74,Data!$A:$AX,MATCH($R$1,Data!$A$1:$AX$1,),)-VLOOKUP(EDATE(B74,-12),Data!$A:$AX,MATCH($R$1,Data!$A$1:$AX$1,),))/VLOOKUP(EDATE(B74,-12),Data!$A:$AX,MATCH($R$1,Data!$A$1:$AX$1,),)</f>
        <v/>
      </c>
      <c r="S74" s="20">
        <f>(VLOOKUP(B74,Data!$A:$AX,MATCH($S$1,Data!$A$1:$AX$1,),)-VLOOKUP(EDATE(B74,-12),Data!$A:$AX,MATCH($S$1,Data!$A$1:$AX$1,),))/VLOOKUP(EDATE(B74,-12),Data!$A:$AX,MATCH($S$1,Data!$A$1:$AX$1,),)</f>
        <v/>
      </c>
      <c r="T74" s="20">
        <f>(VLOOKUP(B74,Data!$A:$AX,MATCH($T$1,Data!$A$1:$AX$1,),)-VLOOKUP(EDATE(B74,-12),Data!$A:$AX,MATCH($T$1,Data!$A$1:$AX$1,),))/VLOOKUP(EDATE(B74,-12),Data!$A:$AX,MATCH($T$1,Data!$A$1:$AX$1,),)</f>
        <v/>
      </c>
      <c r="U74" s="20">
        <f>(VLOOKUP(B74,Data!$A:$AX,MATCH($U$1,Data!$A$1:$AX$1,),)-VLOOKUP(EDATE(B74,-12),Data!$A:$AX,MATCH($U$1,Data!$A$1:$AX$1,),))/VLOOKUP(EDATE(B74,-12),Data!$A:$AX,MATCH($U$1,Data!$A$1:$AX$1,),)</f>
        <v/>
      </c>
      <c r="V74" s="20">
        <f>(VLOOKUP(B74,Data!$A:$AX,MATCH($V$1,Data!$A$1:$AX$1,),)-VLOOKUP(EDATE(B74,-12),Data!$A:$AX,MATCH($V$1,Data!$A$1:$AX$1,),))/VLOOKUP(EDATE(B74,-12),Data!$A:$AX,MATCH($V$1,Data!$A$1:$AX$1,),)</f>
        <v/>
      </c>
      <c r="W74" s="20">
        <f>(VLOOKUP(B74,Data!$A:$AX,MATCH($W$1,Data!$A$1:$AX$1,),)-VLOOKUP(EDATE(B74,-12),Data!$A:$AX,MATCH($W$1,Data!$A$1:$AX$1,),))/VLOOKUP(EDATE(B74,-12),Data!$A:$AX,MATCH($W$1,Data!$A$1:$AX$1,),)</f>
        <v/>
      </c>
      <c r="X74" s="20">
        <f>(VLOOKUP(B74,Data!$A:$AX,MATCH($X$1,Data!$A$1:$AX$1,),)-VLOOKUP(EDATE(B74,-12),Data!$A:$AX,MATCH($X$1,Data!$A$1:$AX$1,),))/VLOOKUP(EDATE(B74,-12),Data!$A:$AX,MATCH($X$1,Data!$A$1:$AX$1,),)</f>
        <v/>
      </c>
      <c r="Y74" s="20">
        <f>(VLOOKUP(B74,Data!$A:$AX,MATCH($Y$1,Data!$A$1:$AX$1,),)-VLOOKUP(EDATE(B74,-12),Data!$A:$AX,MATCH($Y$1,Data!$A$1:$AX$1,),))/VLOOKUP(EDATE(B74,-12),Data!$A:$AX,MATCH($Y$1,Data!$A$1:$AX$1,),)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(VLOOKUP(B75,Data!$A:$AX,MATCH($C$1,Data!$A$1:$AX$1,),)-VLOOKUP(EDATE(B75,-12),Data!$A:$AX,MATCH($C$1,Data!$A$1:$AX$1,),))/VLOOKUP(EDATE(B75,-12),Data!$A:$AX,MATCH($C$1,Data!$A$1:$AX$1,),)</f>
        <v/>
      </c>
      <c r="D75" s="20">
        <f>(VLOOKUP(B75,Data!$A:$AX,MATCH($D$1,Data!$A$1:$AX$1,),)-VLOOKUP(EDATE(B75,-12),Data!$A:$AX,MATCH($D$1,Data!$A$1:$AX$1,),))/VLOOKUP(EDATE(B75,-12),Data!$A:$AX,MATCH($D$1,Data!$A$1:$AX$1,),)</f>
        <v/>
      </c>
      <c r="E75" s="20">
        <f>(VLOOKUP(B75,Data!$A:$AX,MATCH($E$1,Data!$A$1:$AX$1,),)-VLOOKUP(EDATE(B75,-12),Data!$A:$AX,MATCH($E$1,Data!$A$1:$AX$1,),))/VLOOKUP(EDATE(B75,-12),Data!$A:$AX,MATCH($E$1,Data!$A$1:$AX$1,),)</f>
        <v/>
      </c>
      <c r="F75" s="20">
        <f>(VLOOKUP(B75,Data!$A:$AX,MATCH($F$1,Data!$A$1:$AX$1,),)-VLOOKUP(EDATE(B75,-12),Data!$A:$AX,MATCH($F$1,Data!$A$1:$AX$1,),))/VLOOKUP(EDATE(B75,-12),Data!$A:$AX,MATCH($F$1,Data!$A$1:$AX$1,),)</f>
        <v/>
      </c>
      <c r="G75" s="20">
        <f>(VLOOKUP(B75,Data!$A:$AX,MATCH($G$1,Data!$A$1:$AX$1,),)-VLOOKUP(EDATE(B75,-12),Data!$A:$AX,MATCH($G$1,Data!$A$1:$AX$1,),))/VLOOKUP(EDATE(B75,-12),Data!$A:$AX,MATCH($G$1,Data!$A$1:$AX$1,),)</f>
        <v/>
      </c>
      <c r="H75" s="20">
        <f>(VLOOKUP(B75,Data!$A:$AX,MATCH($H$1,Data!$A$1:$AX$1,),)-VLOOKUP(EDATE(B75,-12),Data!$A:$AX,MATCH($H$1,Data!$A$1:$AX$1,),))/VLOOKUP(EDATE(B75,-12),Data!$A:$AX,MATCH($H$1,Data!$A$1:$AX$1,),)</f>
        <v/>
      </c>
      <c r="I75" s="20">
        <f>(VLOOKUP(B75,Data!$A:$AX,MATCH($I$1,Data!$A$1:$AX$1,),)-VLOOKUP(EDATE(B75,-12),Data!$A:$AX,MATCH($I$1,Data!$A$1:$AX$1,),))/VLOOKUP(EDATE(B75,-12),Data!$A:$AX,MATCH($I$1,Data!$A$1:$AX$1,),)</f>
        <v/>
      </c>
      <c r="J75" s="20">
        <f>(VLOOKUP(B75,Data!$A:$AX,MATCH($J$1,Data!$A$1:$AX$1,),)-VLOOKUP(EDATE(B75,-12),Data!$A:$AX,MATCH($J$1,Data!$A$1:$AX$1,),))/VLOOKUP(EDATE(B75,-12),Data!$A:$AX,MATCH($J$1,Data!$A$1:$AX$1,),)</f>
        <v/>
      </c>
      <c r="K75" s="20">
        <f>(VLOOKUP(B75,Data!$A:$AX,MATCH($K$1,Data!$A$1:$AX$1,),)-VLOOKUP(EDATE(B75,-12),Data!$A:$AX,MATCH($K$1,Data!$A$1:$AX$1,),))/VLOOKUP(EDATE(B75,-12),Data!$A:$AX,MATCH($K$1,Data!$A$1:$AX$1,),)</f>
        <v/>
      </c>
      <c r="L75" s="20">
        <f>(VLOOKUP(B75,Data!$A:$AX,MATCH($L$1,Data!$A$1:$AX$1,),)-VLOOKUP(EDATE(B75,-12),Data!$A:$AX,MATCH($L$1,Data!$A$1:$AX$1,),))/VLOOKUP(EDATE(B75,-12),Data!$A:$AX,MATCH($L$1,Data!$A$1:$AX$1,),)</f>
        <v/>
      </c>
      <c r="M75" s="20">
        <f>(VLOOKUP(B75,Data!$A:$AX,MATCH($M$1,Data!$A$1:$AX$1,),)-VLOOKUP(EDATE(B75,-12),Data!$A:$AX,MATCH($M$1,Data!$A$1:$AX$1,),))/VLOOKUP(EDATE(B75,-12),Data!$A:$AX,MATCH($M$1,Data!$A$1:$AX$1,),)</f>
        <v/>
      </c>
      <c r="N75" s="20">
        <f>(VLOOKUP(B75,Data!$A:$AX,MATCH($N$1,Data!$A$1:$AX$1,),)-VLOOKUP(EDATE(B75,-12),Data!$A:$AX,MATCH($N$1,Data!$A$1:$AX$1,),))/VLOOKUP(EDATE(B75,-12),Data!$A:$AX,MATCH($N$1,Data!$A$1:$AX$1,),)</f>
        <v/>
      </c>
      <c r="O75" s="20">
        <f>(VLOOKUP(B75,Data!$A:$AX,MATCH($O$1,Data!$A$1:$AX$1,),)-VLOOKUP(EDATE(B75,-12),Data!$A:$AX,MATCH($O$1,Data!$A$1:$AX$1,),))/VLOOKUP(EDATE(B75,-12),Data!$A:$AX,MATCH($O$1,Data!$A$1:$AX$1,),)</f>
        <v/>
      </c>
      <c r="P75" s="20">
        <f>(VLOOKUP(B75,Data!$A:$AX,MATCH($P$1,Data!$A$1:$AX$1,),)-VLOOKUP(EDATE(B75,-12),Data!$A:$AX,MATCH($P$1,Data!$A$1:$AX$1,),))/VLOOKUP(EDATE(B75,-12),Data!$A:$AX,MATCH($P$1,Data!$A$1:$AX$1,),)</f>
        <v/>
      </c>
      <c r="Q75" s="20">
        <f>(VLOOKUP(B75,Data!$A:$AX,MATCH($Q$1,Data!$A$1:$AX$1,),)-VLOOKUP(EDATE(B75,-12),Data!$A:$AX,MATCH($Q$1,Data!$A$1:$AX$1,),))/VLOOKUP(EDATE(B75,-12),Data!$A:$AX,MATCH($Q$1,Data!$A$1:$AX$1,),)</f>
        <v/>
      </c>
      <c r="R75" s="20">
        <f>(VLOOKUP(B75,Data!$A:$AX,MATCH($R$1,Data!$A$1:$AX$1,),)-VLOOKUP(EDATE(B75,-12),Data!$A:$AX,MATCH($R$1,Data!$A$1:$AX$1,),))/VLOOKUP(EDATE(B75,-12),Data!$A:$AX,MATCH($R$1,Data!$A$1:$AX$1,),)</f>
        <v/>
      </c>
      <c r="S75" s="20">
        <f>(VLOOKUP(B75,Data!$A:$AX,MATCH($S$1,Data!$A$1:$AX$1,),)-VLOOKUP(EDATE(B75,-12),Data!$A:$AX,MATCH($S$1,Data!$A$1:$AX$1,),))/VLOOKUP(EDATE(B75,-12),Data!$A:$AX,MATCH($S$1,Data!$A$1:$AX$1,),)</f>
        <v/>
      </c>
      <c r="T75" s="20">
        <f>(VLOOKUP(B75,Data!$A:$AX,MATCH($T$1,Data!$A$1:$AX$1,),)-VLOOKUP(EDATE(B75,-12),Data!$A:$AX,MATCH($T$1,Data!$A$1:$AX$1,),))/VLOOKUP(EDATE(B75,-12),Data!$A:$AX,MATCH($T$1,Data!$A$1:$AX$1,),)</f>
        <v/>
      </c>
      <c r="U75" s="20">
        <f>(VLOOKUP(B75,Data!$A:$AX,MATCH($U$1,Data!$A$1:$AX$1,),)-VLOOKUP(EDATE(B75,-12),Data!$A:$AX,MATCH($U$1,Data!$A$1:$AX$1,),))/VLOOKUP(EDATE(B75,-12),Data!$A:$AX,MATCH($U$1,Data!$A$1:$AX$1,),)</f>
        <v/>
      </c>
      <c r="V75" s="20">
        <f>(VLOOKUP(B75,Data!$A:$AX,MATCH($V$1,Data!$A$1:$AX$1,),)-VLOOKUP(EDATE(B75,-12),Data!$A:$AX,MATCH($V$1,Data!$A$1:$AX$1,),))/VLOOKUP(EDATE(B75,-12),Data!$A:$AX,MATCH($V$1,Data!$A$1:$AX$1,),)</f>
        <v/>
      </c>
      <c r="W75" s="20">
        <f>(VLOOKUP(B75,Data!$A:$AX,MATCH($W$1,Data!$A$1:$AX$1,),)-VLOOKUP(EDATE(B75,-12),Data!$A:$AX,MATCH($W$1,Data!$A$1:$AX$1,),))/VLOOKUP(EDATE(B75,-12),Data!$A:$AX,MATCH($W$1,Data!$A$1:$AX$1,),)</f>
        <v/>
      </c>
      <c r="X75" s="20">
        <f>(VLOOKUP(B75,Data!$A:$AX,MATCH($X$1,Data!$A$1:$AX$1,),)-VLOOKUP(EDATE(B75,-12),Data!$A:$AX,MATCH($X$1,Data!$A$1:$AX$1,),))/VLOOKUP(EDATE(B75,-12),Data!$A:$AX,MATCH($X$1,Data!$A$1:$AX$1,),)</f>
        <v/>
      </c>
      <c r="Y75" s="20">
        <f>(VLOOKUP(B75,Data!$A:$AX,MATCH($Y$1,Data!$A$1:$AX$1,),)-VLOOKUP(EDATE(B75,-12),Data!$A:$AX,MATCH($Y$1,Data!$A$1:$AX$1,),))/VLOOKUP(EDATE(B75,-12),Data!$A:$AX,MATCH($Y$1,Data!$A$1:$AX$1,),)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(VLOOKUP(B76,Data!$A:$AX,MATCH($C$1,Data!$A$1:$AX$1,),)-VLOOKUP(EDATE(B76,-12),Data!$A:$AX,MATCH($C$1,Data!$A$1:$AX$1,),))/VLOOKUP(EDATE(B76,-12),Data!$A:$AX,MATCH($C$1,Data!$A$1:$AX$1,),)</f>
        <v/>
      </c>
      <c r="D76" s="20">
        <f>(VLOOKUP(B76,Data!$A:$AX,MATCH($D$1,Data!$A$1:$AX$1,),)-VLOOKUP(EDATE(B76,-12),Data!$A:$AX,MATCH($D$1,Data!$A$1:$AX$1,),))/VLOOKUP(EDATE(B76,-12),Data!$A:$AX,MATCH($D$1,Data!$A$1:$AX$1,),)</f>
        <v/>
      </c>
      <c r="E76" s="20">
        <f>(VLOOKUP(B76,Data!$A:$AX,MATCH($E$1,Data!$A$1:$AX$1,),)-VLOOKUP(EDATE(B76,-12),Data!$A:$AX,MATCH($E$1,Data!$A$1:$AX$1,),))/VLOOKUP(EDATE(B76,-12),Data!$A:$AX,MATCH($E$1,Data!$A$1:$AX$1,),)</f>
        <v/>
      </c>
      <c r="F76" s="20">
        <f>(VLOOKUP(B76,Data!$A:$AX,MATCH($F$1,Data!$A$1:$AX$1,),)-VLOOKUP(EDATE(B76,-12),Data!$A:$AX,MATCH($F$1,Data!$A$1:$AX$1,),))/VLOOKUP(EDATE(B76,-12),Data!$A:$AX,MATCH($F$1,Data!$A$1:$AX$1,),)</f>
        <v/>
      </c>
      <c r="G76" s="20">
        <f>(VLOOKUP(B76,Data!$A:$AX,MATCH($G$1,Data!$A$1:$AX$1,),)-VLOOKUP(EDATE(B76,-12),Data!$A:$AX,MATCH($G$1,Data!$A$1:$AX$1,),))/VLOOKUP(EDATE(B76,-12),Data!$A:$AX,MATCH($G$1,Data!$A$1:$AX$1,),)</f>
        <v/>
      </c>
      <c r="H76" s="20">
        <f>(VLOOKUP(B76,Data!$A:$AX,MATCH($H$1,Data!$A$1:$AX$1,),)-VLOOKUP(EDATE(B76,-12),Data!$A:$AX,MATCH($H$1,Data!$A$1:$AX$1,),))/VLOOKUP(EDATE(B76,-12),Data!$A:$AX,MATCH($H$1,Data!$A$1:$AX$1,),)</f>
        <v/>
      </c>
      <c r="I76" s="20">
        <f>(VLOOKUP(B76,Data!$A:$AX,MATCH($I$1,Data!$A$1:$AX$1,),)-VLOOKUP(EDATE(B76,-12),Data!$A:$AX,MATCH($I$1,Data!$A$1:$AX$1,),))/VLOOKUP(EDATE(B76,-12),Data!$A:$AX,MATCH($I$1,Data!$A$1:$AX$1,),)</f>
        <v/>
      </c>
      <c r="J76" s="20">
        <f>(VLOOKUP(B76,Data!$A:$AX,MATCH($J$1,Data!$A$1:$AX$1,),)-VLOOKUP(EDATE(B76,-12),Data!$A:$AX,MATCH($J$1,Data!$A$1:$AX$1,),))/VLOOKUP(EDATE(B76,-12),Data!$A:$AX,MATCH($J$1,Data!$A$1:$AX$1,),)</f>
        <v/>
      </c>
      <c r="K76" s="20">
        <f>(VLOOKUP(B76,Data!$A:$AX,MATCH($K$1,Data!$A$1:$AX$1,),)-VLOOKUP(EDATE(B76,-12),Data!$A:$AX,MATCH($K$1,Data!$A$1:$AX$1,),))/VLOOKUP(EDATE(B76,-12),Data!$A:$AX,MATCH($K$1,Data!$A$1:$AX$1,),)</f>
        <v/>
      </c>
      <c r="L76" s="20">
        <f>(VLOOKUP(B76,Data!$A:$AX,MATCH($L$1,Data!$A$1:$AX$1,),)-VLOOKUP(EDATE(B76,-12),Data!$A:$AX,MATCH($L$1,Data!$A$1:$AX$1,),))/VLOOKUP(EDATE(B76,-12),Data!$A:$AX,MATCH($L$1,Data!$A$1:$AX$1,),)</f>
        <v/>
      </c>
      <c r="M76" s="20">
        <f>(VLOOKUP(B76,Data!$A:$AX,MATCH($M$1,Data!$A$1:$AX$1,),)-VLOOKUP(EDATE(B76,-12),Data!$A:$AX,MATCH($M$1,Data!$A$1:$AX$1,),))/VLOOKUP(EDATE(B76,-12),Data!$A:$AX,MATCH($M$1,Data!$A$1:$AX$1,),)</f>
        <v/>
      </c>
      <c r="N76" s="20">
        <f>(VLOOKUP(B76,Data!$A:$AX,MATCH($N$1,Data!$A$1:$AX$1,),)-VLOOKUP(EDATE(B76,-12),Data!$A:$AX,MATCH($N$1,Data!$A$1:$AX$1,),))/VLOOKUP(EDATE(B76,-12),Data!$A:$AX,MATCH($N$1,Data!$A$1:$AX$1,),)</f>
        <v/>
      </c>
      <c r="O76" s="20">
        <f>(VLOOKUP(B76,Data!$A:$AX,MATCH($O$1,Data!$A$1:$AX$1,),)-VLOOKUP(EDATE(B76,-12),Data!$A:$AX,MATCH($O$1,Data!$A$1:$AX$1,),))/VLOOKUP(EDATE(B76,-12),Data!$A:$AX,MATCH($O$1,Data!$A$1:$AX$1,),)</f>
        <v/>
      </c>
      <c r="P76" s="20">
        <f>(VLOOKUP(B76,Data!$A:$AX,MATCH($P$1,Data!$A$1:$AX$1,),)-VLOOKUP(EDATE(B76,-12),Data!$A:$AX,MATCH($P$1,Data!$A$1:$AX$1,),))/VLOOKUP(EDATE(B76,-12),Data!$A:$AX,MATCH($P$1,Data!$A$1:$AX$1,),)</f>
        <v/>
      </c>
      <c r="Q76" s="20">
        <f>(VLOOKUP(B76,Data!$A:$AX,MATCH($Q$1,Data!$A$1:$AX$1,),)-VLOOKUP(EDATE(B76,-12),Data!$A:$AX,MATCH($Q$1,Data!$A$1:$AX$1,),))/VLOOKUP(EDATE(B76,-12),Data!$A:$AX,MATCH($Q$1,Data!$A$1:$AX$1,),)</f>
        <v/>
      </c>
      <c r="R76" s="20">
        <f>(VLOOKUP(B76,Data!$A:$AX,MATCH($R$1,Data!$A$1:$AX$1,),)-VLOOKUP(EDATE(B76,-12),Data!$A:$AX,MATCH($R$1,Data!$A$1:$AX$1,),))/VLOOKUP(EDATE(B76,-12),Data!$A:$AX,MATCH($R$1,Data!$A$1:$AX$1,),)</f>
        <v/>
      </c>
      <c r="S76" s="20">
        <f>(VLOOKUP(B76,Data!$A:$AX,MATCH($S$1,Data!$A$1:$AX$1,),)-VLOOKUP(EDATE(B76,-12),Data!$A:$AX,MATCH($S$1,Data!$A$1:$AX$1,),))/VLOOKUP(EDATE(B76,-12),Data!$A:$AX,MATCH($S$1,Data!$A$1:$AX$1,),)</f>
        <v/>
      </c>
      <c r="T76" s="20">
        <f>(VLOOKUP(B76,Data!$A:$AX,MATCH($T$1,Data!$A$1:$AX$1,),)-VLOOKUP(EDATE(B76,-12),Data!$A:$AX,MATCH($T$1,Data!$A$1:$AX$1,),))/VLOOKUP(EDATE(B76,-12),Data!$A:$AX,MATCH($T$1,Data!$A$1:$AX$1,),)</f>
        <v/>
      </c>
      <c r="U76" s="20">
        <f>(VLOOKUP(B76,Data!$A:$AX,MATCH($U$1,Data!$A$1:$AX$1,),)-VLOOKUP(EDATE(B76,-12),Data!$A:$AX,MATCH($U$1,Data!$A$1:$AX$1,),))/VLOOKUP(EDATE(B76,-12),Data!$A:$AX,MATCH($U$1,Data!$A$1:$AX$1,),)</f>
        <v/>
      </c>
      <c r="V76" s="20">
        <f>(VLOOKUP(B76,Data!$A:$AX,MATCH($V$1,Data!$A$1:$AX$1,),)-VLOOKUP(EDATE(B76,-12),Data!$A:$AX,MATCH($V$1,Data!$A$1:$AX$1,),))/VLOOKUP(EDATE(B76,-12),Data!$A:$AX,MATCH($V$1,Data!$A$1:$AX$1,),)</f>
        <v/>
      </c>
      <c r="W76" s="20">
        <f>(VLOOKUP(B76,Data!$A:$AX,MATCH($W$1,Data!$A$1:$AX$1,),)-VLOOKUP(EDATE(B76,-12),Data!$A:$AX,MATCH($W$1,Data!$A$1:$AX$1,),))/VLOOKUP(EDATE(B76,-12),Data!$A:$AX,MATCH($W$1,Data!$A$1:$AX$1,),)</f>
        <v/>
      </c>
      <c r="X76" s="20">
        <f>(VLOOKUP(B76,Data!$A:$AX,MATCH($X$1,Data!$A$1:$AX$1,),)-VLOOKUP(EDATE(B76,-12),Data!$A:$AX,MATCH($X$1,Data!$A$1:$AX$1,),))/VLOOKUP(EDATE(B76,-12),Data!$A:$AX,MATCH($X$1,Data!$A$1:$AX$1,),)</f>
        <v/>
      </c>
      <c r="Y76" s="20">
        <f>(VLOOKUP(B76,Data!$A:$AX,MATCH($Y$1,Data!$A$1:$AX$1,),)-VLOOKUP(EDATE(B76,-12),Data!$A:$AX,MATCH($Y$1,Data!$A$1:$AX$1,),))/VLOOKUP(EDATE(B76,-12),Data!$A:$AX,MATCH($Y$1,Data!$A$1:$AX$1,),)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(VLOOKUP(B77,Data!$A:$AX,MATCH($C$1,Data!$A$1:$AX$1,),)-VLOOKUP(EDATE(B77,-12),Data!$A:$AX,MATCH($C$1,Data!$A$1:$AX$1,),))/VLOOKUP(EDATE(B77,-12),Data!$A:$AX,MATCH($C$1,Data!$A$1:$AX$1,),)</f>
        <v/>
      </c>
      <c r="D77" s="20">
        <f>(VLOOKUP(B77,Data!$A:$AX,MATCH($D$1,Data!$A$1:$AX$1,),)-VLOOKUP(EDATE(B77,-12),Data!$A:$AX,MATCH($D$1,Data!$A$1:$AX$1,),))/VLOOKUP(EDATE(B77,-12),Data!$A:$AX,MATCH($D$1,Data!$A$1:$AX$1,),)</f>
        <v/>
      </c>
      <c r="E77" s="20">
        <f>(VLOOKUP(B77,Data!$A:$AX,MATCH($E$1,Data!$A$1:$AX$1,),)-VLOOKUP(EDATE(B77,-12),Data!$A:$AX,MATCH($E$1,Data!$A$1:$AX$1,),))/VLOOKUP(EDATE(B77,-12),Data!$A:$AX,MATCH($E$1,Data!$A$1:$AX$1,),)</f>
        <v/>
      </c>
      <c r="F77" s="20">
        <f>(VLOOKUP(B77,Data!$A:$AX,MATCH($F$1,Data!$A$1:$AX$1,),)-VLOOKUP(EDATE(B77,-12),Data!$A:$AX,MATCH($F$1,Data!$A$1:$AX$1,),))/VLOOKUP(EDATE(B77,-12),Data!$A:$AX,MATCH($F$1,Data!$A$1:$AX$1,),)</f>
        <v/>
      </c>
      <c r="G77" s="20">
        <f>(VLOOKUP(B77,Data!$A:$AX,MATCH($G$1,Data!$A$1:$AX$1,),)-VLOOKUP(EDATE(B77,-12),Data!$A:$AX,MATCH($G$1,Data!$A$1:$AX$1,),))/VLOOKUP(EDATE(B77,-12),Data!$A:$AX,MATCH($G$1,Data!$A$1:$AX$1,),)</f>
        <v/>
      </c>
      <c r="H77" s="20">
        <f>(VLOOKUP(B77,Data!$A:$AX,MATCH($H$1,Data!$A$1:$AX$1,),)-VLOOKUP(EDATE(B77,-12),Data!$A:$AX,MATCH($H$1,Data!$A$1:$AX$1,),))/VLOOKUP(EDATE(B77,-12),Data!$A:$AX,MATCH($H$1,Data!$A$1:$AX$1,),)</f>
        <v/>
      </c>
      <c r="I77" s="20">
        <f>(VLOOKUP(B77,Data!$A:$AX,MATCH($I$1,Data!$A$1:$AX$1,),)-VLOOKUP(EDATE(B77,-12),Data!$A:$AX,MATCH($I$1,Data!$A$1:$AX$1,),))/VLOOKUP(EDATE(B77,-12),Data!$A:$AX,MATCH($I$1,Data!$A$1:$AX$1,),)</f>
        <v/>
      </c>
      <c r="J77" s="20">
        <f>(VLOOKUP(B77,Data!$A:$AX,MATCH($J$1,Data!$A$1:$AX$1,),)-VLOOKUP(EDATE(B77,-12),Data!$A:$AX,MATCH($J$1,Data!$A$1:$AX$1,),))/VLOOKUP(EDATE(B77,-12),Data!$A:$AX,MATCH($J$1,Data!$A$1:$AX$1,),)</f>
        <v/>
      </c>
      <c r="K77" s="20">
        <f>(VLOOKUP(B77,Data!$A:$AX,MATCH($K$1,Data!$A$1:$AX$1,),)-VLOOKUP(EDATE(B77,-12),Data!$A:$AX,MATCH($K$1,Data!$A$1:$AX$1,),))/VLOOKUP(EDATE(B77,-12),Data!$A:$AX,MATCH($K$1,Data!$A$1:$AX$1,),)</f>
        <v/>
      </c>
      <c r="L77" s="20">
        <f>(VLOOKUP(B77,Data!$A:$AX,MATCH($L$1,Data!$A$1:$AX$1,),)-VLOOKUP(EDATE(B77,-12),Data!$A:$AX,MATCH($L$1,Data!$A$1:$AX$1,),))/VLOOKUP(EDATE(B77,-12),Data!$A:$AX,MATCH($L$1,Data!$A$1:$AX$1,),)</f>
        <v/>
      </c>
      <c r="M77" s="20">
        <f>(VLOOKUP(B77,Data!$A:$AX,MATCH($M$1,Data!$A$1:$AX$1,),)-VLOOKUP(EDATE(B77,-12),Data!$A:$AX,MATCH($M$1,Data!$A$1:$AX$1,),))/VLOOKUP(EDATE(B77,-12),Data!$A:$AX,MATCH($M$1,Data!$A$1:$AX$1,),)</f>
        <v/>
      </c>
      <c r="N77" s="20">
        <f>(VLOOKUP(B77,Data!$A:$AX,MATCH($N$1,Data!$A$1:$AX$1,),)-VLOOKUP(EDATE(B77,-12),Data!$A:$AX,MATCH($N$1,Data!$A$1:$AX$1,),))/VLOOKUP(EDATE(B77,-12),Data!$A:$AX,MATCH($N$1,Data!$A$1:$AX$1,),)</f>
        <v/>
      </c>
      <c r="O77" s="20">
        <f>(VLOOKUP(B77,Data!$A:$AX,MATCH($O$1,Data!$A$1:$AX$1,),)-VLOOKUP(EDATE(B77,-12),Data!$A:$AX,MATCH($O$1,Data!$A$1:$AX$1,),))/VLOOKUP(EDATE(B77,-12),Data!$A:$AX,MATCH($O$1,Data!$A$1:$AX$1,),)</f>
        <v/>
      </c>
      <c r="P77" s="20">
        <f>(VLOOKUP(B77,Data!$A:$AX,MATCH($P$1,Data!$A$1:$AX$1,),)-VLOOKUP(EDATE(B77,-12),Data!$A:$AX,MATCH($P$1,Data!$A$1:$AX$1,),))/VLOOKUP(EDATE(B77,-12),Data!$A:$AX,MATCH($P$1,Data!$A$1:$AX$1,),)</f>
        <v/>
      </c>
      <c r="Q77" s="20">
        <f>(VLOOKUP(B77,Data!$A:$AX,MATCH($Q$1,Data!$A$1:$AX$1,),)-VLOOKUP(EDATE(B77,-12),Data!$A:$AX,MATCH($Q$1,Data!$A$1:$AX$1,),))/VLOOKUP(EDATE(B77,-12),Data!$A:$AX,MATCH($Q$1,Data!$A$1:$AX$1,),)</f>
        <v/>
      </c>
      <c r="R77" s="20">
        <f>(VLOOKUP(B77,Data!$A:$AX,MATCH($R$1,Data!$A$1:$AX$1,),)-VLOOKUP(EDATE(B77,-12),Data!$A:$AX,MATCH($R$1,Data!$A$1:$AX$1,),))/VLOOKUP(EDATE(B77,-12),Data!$A:$AX,MATCH($R$1,Data!$A$1:$AX$1,),)</f>
        <v/>
      </c>
      <c r="S77" s="20">
        <f>(VLOOKUP(B77,Data!$A:$AX,MATCH($S$1,Data!$A$1:$AX$1,),)-VLOOKUP(EDATE(B77,-12),Data!$A:$AX,MATCH($S$1,Data!$A$1:$AX$1,),))/VLOOKUP(EDATE(B77,-12),Data!$A:$AX,MATCH($S$1,Data!$A$1:$AX$1,),)</f>
        <v/>
      </c>
      <c r="T77" s="20">
        <f>(VLOOKUP(B77,Data!$A:$AX,MATCH($T$1,Data!$A$1:$AX$1,),)-VLOOKUP(EDATE(B77,-12),Data!$A:$AX,MATCH($T$1,Data!$A$1:$AX$1,),))/VLOOKUP(EDATE(B77,-12),Data!$A:$AX,MATCH($T$1,Data!$A$1:$AX$1,),)</f>
        <v/>
      </c>
      <c r="U77" s="20">
        <f>(VLOOKUP(B77,Data!$A:$AX,MATCH($U$1,Data!$A$1:$AX$1,),)-VLOOKUP(EDATE(B77,-12),Data!$A:$AX,MATCH($U$1,Data!$A$1:$AX$1,),))/VLOOKUP(EDATE(B77,-12),Data!$A:$AX,MATCH($U$1,Data!$A$1:$AX$1,),)</f>
        <v/>
      </c>
      <c r="V77" s="20">
        <f>(VLOOKUP(B77,Data!$A:$AX,MATCH($V$1,Data!$A$1:$AX$1,),)-VLOOKUP(EDATE(B77,-12),Data!$A:$AX,MATCH($V$1,Data!$A$1:$AX$1,),))/VLOOKUP(EDATE(B77,-12),Data!$A:$AX,MATCH($V$1,Data!$A$1:$AX$1,),)</f>
        <v/>
      </c>
      <c r="W77" s="20">
        <f>(VLOOKUP(B77,Data!$A:$AX,MATCH($W$1,Data!$A$1:$AX$1,),)-VLOOKUP(EDATE(B77,-12),Data!$A:$AX,MATCH($W$1,Data!$A$1:$AX$1,),))/VLOOKUP(EDATE(B77,-12),Data!$A:$AX,MATCH($W$1,Data!$A$1:$AX$1,),)</f>
        <v/>
      </c>
      <c r="X77" s="20">
        <f>(VLOOKUP(B77,Data!$A:$AX,MATCH($X$1,Data!$A$1:$AX$1,),)-VLOOKUP(EDATE(B77,-12),Data!$A:$AX,MATCH($X$1,Data!$A$1:$AX$1,),))/VLOOKUP(EDATE(B77,-12),Data!$A:$AX,MATCH($X$1,Data!$A$1:$AX$1,),)</f>
        <v/>
      </c>
      <c r="Y77" s="20">
        <f>(VLOOKUP(B77,Data!$A:$AX,MATCH($Y$1,Data!$A$1:$AX$1,),)-VLOOKUP(EDATE(B77,-12),Data!$A:$AX,MATCH($Y$1,Data!$A$1:$AX$1,),))/VLOOKUP(EDATE(B77,-12),Data!$A:$AX,MATCH($Y$1,Data!$A$1:$AX$1,),)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(VLOOKUP(B78,Data!$A:$AX,MATCH($C$1,Data!$A$1:$AX$1,),)-VLOOKUP(EDATE(B78,-12),Data!$A:$AX,MATCH($C$1,Data!$A$1:$AX$1,),))/VLOOKUP(EDATE(B78,-12),Data!$A:$AX,MATCH($C$1,Data!$A$1:$AX$1,),)</f>
        <v/>
      </c>
      <c r="D78" s="20">
        <f>(VLOOKUP(B78,Data!$A:$AX,MATCH($D$1,Data!$A$1:$AX$1,),)-VLOOKUP(EDATE(B78,-12),Data!$A:$AX,MATCH($D$1,Data!$A$1:$AX$1,),))/VLOOKUP(EDATE(B78,-12),Data!$A:$AX,MATCH($D$1,Data!$A$1:$AX$1,),)</f>
        <v/>
      </c>
      <c r="E78" s="20">
        <f>(VLOOKUP(B78,Data!$A:$AX,MATCH($E$1,Data!$A$1:$AX$1,),)-VLOOKUP(EDATE(B78,-12),Data!$A:$AX,MATCH($E$1,Data!$A$1:$AX$1,),))/VLOOKUP(EDATE(B78,-12),Data!$A:$AX,MATCH($E$1,Data!$A$1:$AX$1,),)</f>
        <v/>
      </c>
      <c r="F78" s="20">
        <f>(VLOOKUP(B78,Data!$A:$AX,MATCH($F$1,Data!$A$1:$AX$1,),)-VLOOKUP(EDATE(B78,-12),Data!$A:$AX,MATCH($F$1,Data!$A$1:$AX$1,),))/VLOOKUP(EDATE(B78,-12),Data!$A:$AX,MATCH($F$1,Data!$A$1:$AX$1,),)</f>
        <v/>
      </c>
      <c r="G78" s="20">
        <f>(VLOOKUP(B78,Data!$A:$AX,MATCH($G$1,Data!$A$1:$AX$1,),)-VLOOKUP(EDATE(B78,-12),Data!$A:$AX,MATCH($G$1,Data!$A$1:$AX$1,),))/VLOOKUP(EDATE(B78,-12),Data!$A:$AX,MATCH($G$1,Data!$A$1:$AX$1,),)</f>
        <v/>
      </c>
      <c r="H78" s="20">
        <f>(VLOOKUP(B78,Data!$A:$AX,MATCH($H$1,Data!$A$1:$AX$1,),)-VLOOKUP(EDATE(B78,-12),Data!$A:$AX,MATCH($H$1,Data!$A$1:$AX$1,),))/VLOOKUP(EDATE(B78,-12),Data!$A:$AX,MATCH($H$1,Data!$A$1:$AX$1,),)</f>
        <v/>
      </c>
      <c r="I78" s="20">
        <f>(VLOOKUP(B78,Data!$A:$AX,MATCH($I$1,Data!$A$1:$AX$1,),)-VLOOKUP(EDATE(B78,-12),Data!$A:$AX,MATCH($I$1,Data!$A$1:$AX$1,),))/VLOOKUP(EDATE(B78,-12),Data!$A:$AX,MATCH($I$1,Data!$A$1:$AX$1,),)</f>
        <v/>
      </c>
      <c r="J78" s="20">
        <f>(VLOOKUP(B78,Data!$A:$AX,MATCH($J$1,Data!$A$1:$AX$1,),)-VLOOKUP(EDATE(B78,-12),Data!$A:$AX,MATCH($J$1,Data!$A$1:$AX$1,),))/VLOOKUP(EDATE(B78,-12),Data!$A:$AX,MATCH($J$1,Data!$A$1:$AX$1,),)</f>
        <v/>
      </c>
      <c r="K78" s="20">
        <f>(VLOOKUP(B78,Data!$A:$AX,MATCH($K$1,Data!$A$1:$AX$1,),)-VLOOKUP(EDATE(B78,-12),Data!$A:$AX,MATCH($K$1,Data!$A$1:$AX$1,),))/VLOOKUP(EDATE(B78,-12),Data!$A:$AX,MATCH($K$1,Data!$A$1:$AX$1,),)</f>
        <v/>
      </c>
      <c r="L78" s="20">
        <f>(VLOOKUP(B78,Data!$A:$AX,MATCH($L$1,Data!$A$1:$AX$1,),)-VLOOKUP(EDATE(B78,-12),Data!$A:$AX,MATCH($L$1,Data!$A$1:$AX$1,),))/VLOOKUP(EDATE(B78,-12),Data!$A:$AX,MATCH($L$1,Data!$A$1:$AX$1,),)</f>
        <v/>
      </c>
      <c r="M78" s="20">
        <f>(VLOOKUP(B78,Data!$A:$AX,MATCH($M$1,Data!$A$1:$AX$1,),)-VLOOKUP(EDATE(B78,-12),Data!$A:$AX,MATCH($M$1,Data!$A$1:$AX$1,),))/VLOOKUP(EDATE(B78,-12),Data!$A:$AX,MATCH($M$1,Data!$A$1:$AX$1,),)</f>
        <v/>
      </c>
      <c r="N78" s="20">
        <f>(VLOOKUP(B78,Data!$A:$AX,MATCH($N$1,Data!$A$1:$AX$1,),)-VLOOKUP(EDATE(B78,-12),Data!$A:$AX,MATCH($N$1,Data!$A$1:$AX$1,),))/VLOOKUP(EDATE(B78,-12),Data!$A:$AX,MATCH($N$1,Data!$A$1:$AX$1,),)</f>
        <v/>
      </c>
      <c r="O78" s="20">
        <f>(VLOOKUP(B78,Data!$A:$AX,MATCH($O$1,Data!$A$1:$AX$1,),)-VLOOKUP(EDATE(B78,-12),Data!$A:$AX,MATCH($O$1,Data!$A$1:$AX$1,),))/VLOOKUP(EDATE(B78,-12),Data!$A:$AX,MATCH($O$1,Data!$A$1:$AX$1,),)</f>
        <v/>
      </c>
      <c r="P78" s="20">
        <f>(VLOOKUP(B78,Data!$A:$AX,MATCH($P$1,Data!$A$1:$AX$1,),)-VLOOKUP(EDATE(B78,-12),Data!$A:$AX,MATCH($P$1,Data!$A$1:$AX$1,),))/VLOOKUP(EDATE(B78,-12),Data!$A:$AX,MATCH($P$1,Data!$A$1:$AX$1,),)</f>
        <v/>
      </c>
      <c r="Q78" s="20">
        <f>(VLOOKUP(B78,Data!$A:$AX,MATCH($Q$1,Data!$A$1:$AX$1,),)-VLOOKUP(EDATE(B78,-12),Data!$A:$AX,MATCH($Q$1,Data!$A$1:$AX$1,),))/VLOOKUP(EDATE(B78,-12),Data!$A:$AX,MATCH($Q$1,Data!$A$1:$AX$1,),)</f>
        <v/>
      </c>
      <c r="R78" s="20">
        <f>(VLOOKUP(B78,Data!$A:$AX,MATCH($R$1,Data!$A$1:$AX$1,),)-VLOOKUP(EDATE(B78,-12),Data!$A:$AX,MATCH($R$1,Data!$A$1:$AX$1,),))/VLOOKUP(EDATE(B78,-12),Data!$A:$AX,MATCH($R$1,Data!$A$1:$AX$1,),)</f>
        <v/>
      </c>
      <c r="S78" s="20">
        <f>(VLOOKUP(B78,Data!$A:$AX,MATCH($S$1,Data!$A$1:$AX$1,),)-VLOOKUP(EDATE(B78,-12),Data!$A:$AX,MATCH($S$1,Data!$A$1:$AX$1,),))/VLOOKUP(EDATE(B78,-12),Data!$A:$AX,MATCH($S$1,Data!$A$1:$AX$1,),)</f>
        <v/>
      </c>
      <c r="T78" s="20">
        <f>(VLOOKUP(B78,Data!$A:$AX,MATCH($T$1,Data!$A$1:$AX$1,),)-VLOOKUP(EDATE(B78,-12),Data!$A:$AX,MATCH($T$1,Data!$A$1:$AX$1,),))/VLOOKUP(EDATE(B78,-12),Data!$A:$AX,MATCH($T$1,Data!$A$1:$AX$1,),)</f>
        <v/>
      </c>
      <c r="U78" s="20">
        <f>(VLOOKUP(B78,Data!$A:$AX,MATCH($U$1,Data!$A$1:$AX$1,),)-VLOOKUP(EDATE(B78,-12),Data!$A:$AX,MATCH($U$1,Data!$A$1:$AX$1,),))/VLOOKUP(EDATE(B78,-12),Data!$A:$AX,MATCH($U$1,Data!$A$1:$AX$1,),)</f>
        <v/>
      </c>
      <c r="V78" s="20">
        <f>(VLOOKUP(B78,Data!$A:$AX,MATCH($V$1,Data!$A$1:$AX$1,),)-VLOOKUP(EDATE(B78,-12),Data!$A:$AX,MATCH($V$1,Data!$A$1:$AX$1,),))/VLOOKUP(EDATE(B78,-12),Data!$A:$AX,MATCH($V$1,Data!$A$1:$AX$1,),)</f>
        <v/>
      </c>
      <c r="W78" s="20">
        <f>(VLOOKUP(B78,Data!$A:$AX,MATCH($W$1,Data!$A$1:$AX$1,),)-VLOOKUP(EDATE(B78,-12),Data!$A:$AX,MATCH($W$1,Data!$A$1:$AX$1,),))/VLOOKUP(EDATE(B78,-12),Data!$A:$AX,MATCH($W$1,Data!$A$1:$AX$1,),)</f>
        <v/>
      </c>
      <c r="X78" s="20">
        <f>(VLOOKUP(B78,Data!$A:$AX,MATCH($X$1,Data!$A$1:$AX$1,),)-VLOOKUP(EDATE(B78,-12),Data!$A:$AX,MATCH($X$1,Data!$A$1:$AX$1,),))/VLOOKUP(EDATE(B78,-12),Data!$A:$AX,MATCH($X$1,Data!$A$1:$AX$1,),)</f>
        <v/>
      </c>
      <c r="Y78" s="20">
        <f>(VLOOKUP(B78,Data!$A:$AX,MATCH($Y$1,Data!$A$1:$AX$1,),)-VLOOKUP(EDATE(B78,-12),Data!$A:$AX,MATCH($Y$1,Data!$A$1:$AX$1,),))/VLOOKUP(EDATE(B78,-12),Data!$A:$AX,MATCH($Y$1,Data!$A$1:$AX$1,),)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(VLOOKUP(B79,Data!$A:$AX,MATCH($C$1,Data!$A$1:$AX$1,),)-VLOOKUP(EDATE(B79,-12),Data!$A:$AX,MATCH($C$1,Data!$A$1:$AX$1,),))/VLOOKUP(EDATE(B79,-12),Data!$A:$AX,MATCH($C$1,Data!$A$1:$AX$1,),)</f>
        <v/>
      </c>
      <c r="D79" s="20">
        <f>(VLOOKUP(B79,Data!$A:$AX,MATCH($D$1,Data!$A$1:$AX$1,),)-VLOOKUP(EDATE(B79,-12),Data!$A:$AX,MATCH($D$1,Data!$A$1:$AX$1,),))/VLOOKUP(EDATE(B79,-12),Data!$A:$AX,MATCH($D$1,Data!$A$1:$AX$1,),)</f>
        <v/>
      </c>
      <c r="E79" s="20">
        <f>(VLOOKUP(B79,Data!$A:$AX,MATCH($E$1,Data!$A$1:$AX$1,),)-VLOOKUP(EDATE(B79,-12),Data!$A:$AX,MATCH($E$1,Data!$A$1:$AX$1,),))/VLOOKUP(EDATE(B79,-12),Data!$A:$AX,MATCH($E$1,Data!$A$1:$AX$1,),)</f>
        <v/>
      </c>
      <c r="F79" s="20">
        <f>(VLOOKUP(B79,Data!$A:$AX,MATCH($F$1,Data!$A$1:$AX$1,),)-VLOOKUP(EDATE(B79,-12),Data!$A:$AX,MATCH($F$1,Data!$A$1:$AX$1,),))/VLOOKUP(EDATE(B79,-12),Data!$A:$AX,MATCH($F$1,Data!$A$1:$AX$1,),)</f>
        <v/>
      </c>
      <c r="G79" s="20">
        <f>(VLOOKUP(B79,Data!$A:$AX,MATCH($G$1,Data!$A$1:$AX$1,),)-VLOOKUP(EDATE(B79,-12),Data!$A:$AX,MATCH($G$1,Data!$A$1:$AX$1,),))/VLOOKUP(EDATE(B79,-12),Data!$A:$AX,MATCH($G$1,Data!$A$1:$AX$1,),)</f>
        <v/>
      </c>
      <c r="H79" s="20">
        <f>(VLOOKUP(B79,Data!$A:$AX,MATCH($H$1,Data!$A$1:$AX$1,),)-VLOOKUP(EDATE(B79,-12),Data!$A:$AX,MATCH($H$1,Data!$A$1:$AX$1,),))/VLOOKUP(EDATE(B79,-12),Data!$A:$AX,MATCH($H$1,Data!$A$1:$AX$1,),)</f>
        <v/>
      </c>
      <c r="I79" s="20">
        <f>(VLOOKUP(B79,Data!$A:$AX,MATCH($I$1,Data!$A$1:$AX$1,),)-VLOOKUP(EDATE(B79,-12),Data!$A:$AX,MATCH($I$1,Data!$A$1:$AX$1,),))/VLOOKUP(EDATE(B79,-12),Data!$A:$AX,MATCH($I$1,Data!$A$1:$AX$1,),)</f>
        <v/>
      </c>
      <c r="J79" s="20">
        <f>(VLOOKUP(B79,Data!$A:$AX,MATCH($J$1,Data!$A$1:$AX$1,),)-VLOOKUP(EDATE(B79,-12),Data!$A:$AX,MATCH($J$1,Data!$A$1:$AX$1,),))/VLOOKUP(EDATE(B79,-12),Data!$A:$AX,MATCH($J$1,Data!$A$1:$AX$1,),)</f>
        <v/>
      </c>
      <c r="K79" s="20">
        <f>(VLOOKUP(B79,Data!$A:$AX,MATCH($K$1,Data!$A$1:$AX$1,),)-VLOOKUP(EDATE(B79,-12),Data!$A:$AX,MATCH($K$1,Data!$A$1:$AX$1,),))/VLOOKUP(EDATE(B79,-12),Data!$A:$AX,MATCH($K$1,Data!$A$1:$AX$1,),)</f>
        <v/>
      </c>
      <c r="L79" s="20">
        <f>(VLOOKUP(B79,Data!$A:$AX,MATCH($L$1,Data!$A$1:$AX$1,),)-VLOOKUP(EDATE(B79,-12),Data!$A:$AX,MATCH($L$1,Data!$A$1:$AX$1,),))/VLOOKUP(EDATE(B79,-12),Data!$A:$AX,MATCH($L$1,Data!$A$1:$AX$1,),)</f>
        <v/>
      </c>
      <c r="M79" s="20">
        <f>(VLOOKUP(B79,Data!$A:$AX,MATCH($M$1,Data!$A$1:$AX$1,),)-VLOOKUP(EDATE(B79,-12),Data!$A:$AX,MATCH($M$1,Data!$A$1:$AX$1,),))/VLOOKUP(EDATE(B79,-12),Data!$A:$AX,MATCH($M$1,Data!$A$1:$AX$1,),)</f>
        <v/>
      </c>
      <c r="N79" s="20">
        <f>(VLOOKUP(B79,Data!$A:$AX,MATCH($N$1,Data!$A$1:$AX$1,),)-VLOOKUP(EDATE(B79,-12),Data!$A:$AX,MATCH($N$1,Data!$A$1:$AX$1,),))/VLOOKUP(EDATE(B79,-12),Data!$A:$AX,MATCH($N$1,Data!$A$1:$AX$1,),)</f>
        <v/>
      </c>
      <c r="O79" s="20">
        <f>(VLOOKUP(B79,Data!$A:$AX,MATCH($O$1,Data!$A$1:$AX$1,),)-VLOOKUP(EDATE(B79,-12),Data!$A:$AX,MATCH($O$1,Data!$A$1:$AX$1,),))/VLOOKUP(EDATE(B79,-12),Data!$A:$AX,MATCH($O$1,Data!$A$1:$AX$1,),)</f>
        <v/>
      </c>
      <c r="P79" s="20">
        <f>(VLOOKUP(B79,Data!$A:$AX,MATCH($P$1,Data!$A$1:$AX$1,),)-VLOOKUP(EDATE(B79,-12),Data!$A:$AX,MATCH($P$1,Data!$A$1:$AX$1,),))/VLOOKUP(EDATE(B79,-12),Data!$A:$AX,MATCH($P$1,Data!$A$1:$AX$1,),)</f>
        <v/>
      </c>
      <c r="Q79" s="20">
        <f>(VLOOKUP(B79,Data!$A:$AX,MATCH($Q$1,Data!$A$1:$AX$1,),)-VLOOKUP(EDATE(B79,-12),Data!$A:$AX,MATCH($Q$1,Data!$A$1:$AX$1,),))/VLOOKUP(EDATE(B79,-12),Data!$A:$AX,MATCH($Q$1,Data!$A$1:$AX$1,),)</f>
        <v/>
      </c>
      <c r="R79" s="20">
        <f>(VLOOKUP(B79,Data!$A:$AX,MATCH($R$1,Data!$A$1:$AX$1,),)-VLOOKUP(EDATE(B79,-12),Data!$A:$AX,MATCH($R$1,Data!$A$1:$AX$1,),))/VLOOKUP(EDATE(B79,-12),Data!$A:$AX,MATCH($R$1,Data!$A$1:$AX$1,),)</f>
        <v/>
      </c>
      <c r="S79" s="20">
        <f>(VLOOKUP(B79,Data!$A:$AX,MATCH($S$1,Data!$A$1:$AX$1,),)-VLOOKUP(EDATE(B79,-12),Data!$A:$AX,MATCH($S$1,Data!$A$1:$AX$1,),))/VLOOKUP(EDATE(B79,-12),Data!$A:$AX,MATCH($S$1,Data!$A$1:$AX$1,),)</f>
        <v/>
      </c>
      <c r="T79" s="20">
        <f>(VLOOKUP(B79,Data!$A:$AX,MATCH($T$1,Data!$A$1:$AX$1,),)-VLOOKUP(EDATE(B79,-12),Data!$A:$AX,MATCH($T$1,Data!$A$1:$AX$1,),))/VLOOKUP(EDATE(B79,-12),Data!$A:$AX,MATCH($T$1,Data!$A$1:$AX$1,),)</f>
        <v/>
      </c>
      <c r="U79" s="20">
        <f>(VLOOKUP(B79,Data!$A:$AX,MATCH($U$1,Data!$A$1:$AX$1,),)-VLOOKUP(EDATE(B79,-12),Data!$A:$AX,MATCH($U$1,Data!$A$1:$AX$1,),))/VLOOKUP(EDATE(B79,-12),Data!$A:$AX,MATCH($U$1,Data!$A$1:$AX$1,),)</f>
        <v/>
      </c>
      <c r="V79" s="20">
        <f>(VLOOKUP(B79,Data!$A:$AX,MATCH($V$1,Data!$A$1:$AX$1,),)-VLOOKUP(EDATE(B79,-12),Data!$A:$AX,MATCH($V$1,Data!$A$1:$AX$1,),))/VLOOKUP(EDATE(B79,-12),Data!$A:$AX,MATCH($V$1,Data!$A$1:$AX$1,),)</f>
        <v/>
      </c>
      <c r="W79" s="20">
        <f>(VLOOKUP(B79,Data!$A:$AX,MATCH($W$1,Data!$A$1:$AX$1,),)-VLOOKUP(EDATE(B79,-12),Data!$A:$AX,MATCH($W$1,Data!$A$1:$AX$1,),))/VLOOKUP(EDATE(B79,-12),Data!$A:$AX,MATCH($W$1,Data!$A$1:$AX$1,),)</f>
        <v/>
      </c>
      <c r="X79" s="20">
        <f>(VLOOKUP(B79,Data!$A:$AX,MATCH($X$1,Data!$A$1:$AX$1,),)-VLOOKUP(EDATE(B79,-12),Data!$A:$AX,MATCH($X$1,Data!$A$1:$AX$1,),))/VLOOKUP(EDATE(B79,-12),Data!$A:$AX,MATCH($X$1,Data!$A$1:$AX$1,),)</f>
        <v/>
      </c>
      <c r="Y79" s="20">
        <f>(VLOOKUP(B79,Data!$A:$AX,MATCH($Y$1,Data!$A$1:$AX$1,),)-VLOOKUP(EDATE(B79,-12),Data!$A:$AX,MATCH($Y$1,Data!$A$1:$AX$1,),))/VLOOKUP(EDATE(B79,-12),Data!$A:$AX,MATCH($Y$1,Data!$A$1:$AX$1,),)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6" t="inlineStr">
        <is>
          <t>`</t>
        </is>
      </c>
    </row>
    <row r="80">
      <c r="B80" s="15" t="n">
        <v>42644</v>
      </c>
      <c r="C80" s="20">
        <f>(VLOOKUP(B80,Data!$A:$AX,MATCH($C$1,Data!$A$1:$AX$1,),)-VLOOKUP(EDATE(B80,-12),Data!$A:$AX,MATCH($C$1,Data!$A$1:$AX$1,),))/VLOOKUP(EDATE(B80,-12),Data!$A:$AX,MATCH($C$1,Data!$A$1:$AX$1,),)</f>
        <v/>
      </c>
      <c r="D80" s="20">
        <f>(VLOOKUP(B80,Data!$A:$AX,MATCH($D$1,Data!$A$1:$AX$1,),)-VLOOKUP(EDATE(B80,-12),Data!$A:$AX,MATCH($D$1,Data!$A$1:$AX$1,),))/VLOOKUP(EDATE(B80,-12),Data!$A:$AX,MATCH($D$1,Data!$A$1:$AX$1,),)</f>
        <v/>
      </c>
      <c r="E80" s="20">
        <f>(VLOOKUP(B80,Data!$A:$AX,MATCH($E$1,Data!$A$1:$AX$1,),)-VLOOKUP(EDATE(B80,-12),Data!$A:$AX,MATCH($E$1,Data!$A$1:$AX$1,),))/VLOOKUP(EDATE(B80,-12),Data!$A:$AX,MATCH($E$1,Data!$A$1:$AX$1,),)</f>
        <v/>
      </c>
      <c r="F80" s="20">
        <f>(VLOOKUP(B80,Data!$A:$AX,MATCH($F$1,Data!$A$1:$AX$1,),)-VLOOKUP(EDATE(B80,-12),Data!$A:$AX,MATCH($F$1,Data!$A$1:$AX$1,),))/VLOOKUP(EDATE(B80,-12),Data!$A:$AX,MATCH($F$1,Data!$A$1:$AX$1,),)</f>
        <v/>
      </c>
      <c r="G80" s="20">
        <f>(VLOOKUP(B80,Data!$A:$AX,MATCH($G$1,Data!$A$1:$AX$1,),)-VLOOKUP(EDATE(B80,-12),Data!$A:$AX,MATCH($G$1,Data!$A$1:$AX$1,),))/VLOOKUP(EDATE(B80,-12),Data!$A:$AX,MATCH($G$1,Data!$A$1:$AX$1,),)</f>
        <v/>
      </c>
      <c r="H80" s="20">
        <f>(VLOOKUP(B80,Data!$A:$AX,MATCH($H$1,Data!$A$1:$AX$1,),)-VLOOKUP(EDATE(B80,-12),Data!$A:$AX,MATCH($H$1,Data!$A$1:$AX$1,),))/VLOOKUP(EDATE(B80,-12),Data!$A:$AX,MATCH($H$1,Data!$A$1:$AX$1,),)</f>
        <v/>
      </c>
      <c r="I80" s="20">
        <f>(VLOOKUP(B80,Data!$A:$AX,MATCH($I$1,Data!$A$1:$AX$1,),)-VLOOKUP(EDATE(B80,-12),Data!$A:$AX,MATCH($I$1,Data!$A$1:$AX$1,),))/VLOOKUP(EDATE(B80,-12),Data!$A:$AX,MATCH($I$1,Data!$A$1:$AX$1,),)</f>
        <v/>
      </c>
      <c r="J80" s="20">
        <f>(VLOOKUP(B80,Data!$A:$AX,MATCH($J$1,Data!$A$1:$AX$1,),)-VLOOKUP(EDATE(B80,-12),Data!$A:$AX,MATCH($J$1,Data!$A$1:$AX$1,),))/VLOOKUP(EDATE(B80,-12),Data!$A:$AX,MATCH($J$1,Data!$A$1:$AX$1,),)</f>
        <v/>
      </c>
      <c r="K80" s="20">
        <f>(VLOOKUP(B80,Data!$A:$AX,MATCH($K$1,Data!$A$1:$AX$1,),)-VLOOKUP(EDATE(B80,-12),Data!$A:$AX,MATCH($K$1,Data!$A$1:$AX$1,),))/VLOOKUP(EDATE(B80,-12),Data!$A:$AX,MATCH($K$1,Data!$A$1:$AX$1,),)</f>
        <v/>
      </c>
      <c r="L80" s="20">
        <f>(VLOOKUP(B80,Data!$A:$AX,MATCH($L$1,Data!$A$1:$AX$1,),)-VLOOKUP(EDATE(B80,-12),Data!$A:$AX,MATCH($L$1,Data!$A$1:$AX$1,),))/VLOOKUP(EDATE(B80,-12),Data!$A:$AX,MATCH($L$1,Data!$A$1:$AX$1,),)</f>
        <v/>
      </c>
      <c r="M80" s="20">
        <f>(VLOOKUP(B80,Data!$A:$AX,MATCH($M$1,Data!$A$1:$AX$1,),)-VLOOKUP(EDATE(B80,-12),Data!$A:$AX,MATCH($M$1,Data!$A$1:$AX$1,),))/VLOOKUP(EDATE(B80,-12),Data!$A:$AX,MATCH($M$1,Data!$A$1:$AX$1,),)</f>
        <v/>
      </c>
      <c r="N80" s="20">
        <f>(VLOOKUP(B80,Data!$A:$AX,MATCH($N$1,Data!$A$1:$AX$1,),)-VLOOKUP(EDATE(B80,-12),Data!$A:$AX,MATCH($N$1,Data!$A$1:$AX$1,),))/VLOOKUP(EDATE(B80,-12),Data!$A:$AX,MATCH($N$1,Data!$A$1:$AX$1,),)</f>
        <v/>
      </c>
      <c r="O80" s="20">
        <f>(VLOOKUP(B80,Data!$A:$AX,MATCH($O$1,Data!$A$1:$AX$1,),)-VLOOKUP(EDATE(B80,-12),Data!$A:$AX,MATCH($O$1,Data!$A$1:$AX$1,),))/VLOOKUP(EDATE(B80,-12),Data!$A:$AX,MATCH($O$1,Data!$A$1:$AX$1,),)</f>
        <v/>
      </c>
      <c r="P80" s="20">
        <f>(VLOOKUP(B80,Data!$A:$AX,MATCH($P$1,Data!$A$1:$AX$1,),)-VLOOKUP(EDATE(B80,-12),Data!$A:$AX,MATCH($P$1,Data!$A$1:$AX$1,),))/VLOOKUP(EDATE(B80,-12),Data!$A:$AX,MATCH($P$1,Data!$A$1:$AX$1,),)</f>
        <v/>
      </c>
      <c r="Q80" s="20">
        <f>(VLOOKUP(B80,Data!$A:$AX,MATCH($Q$1,Data!$A$1:$AX$1,),)-VLOOKUP(EDATE(B80,-12),Data!$A:$AX,MATCH($Q$1,Data!$A$1:$AX$1,),))/VLOOKUP(EDATE(B80,-12),Data!$A:$AX,MATCH($Q$1,Data!$A$1:$AX$1,),)</f>
        <v/>
      </c>
      <c r="R80" s="20">
        <f>(VLOOKUP(B80,Data!$A:$AX,MATCH($R$1,Data!$A$1:$AX$1,),)-VLOOKUP(EDATE(B80,-12),Data!$A:$AX,MATCH($R$1,Data!$A$1:$AX$1,),))/VLOOKUP(EDATE(B80,-12),Data!$A:$AX,MATCH($R$1,Data!$A$1:$AX$1,),)</f>
        <v/>
      </c>
      <c r="S80" s="20">
        <f>(VLOOKUP(B80,Data!$A:$AX,MATCH($S$1,Data!$A$1:$AX$1,),)-VLOOKUP(EDATE(B80,-12),Data!$A:$AX,MATCH($S$1,Data!$A$1:$AX$1,),))/VLOOKUP(EDATE(B80,-12),Data!$A:$AX,MATCH($S$1,Data!$A$1:$AX$1,),)</f>
        <v/>
      </c>
      <c r="T80" s="20">
        <f>(VLOOKUP(B80,Data!$A:$AX,MATCH($T$1,Data!$A$1:$AX$1,),)-VLOOKUP(EDATE(B80,-12),Data!$A:$AX,MATCH($T$1,Data!$A$1:$AX$1,),))/VLOOKUP(EDATE(B80,-12),Data!$A:$AX,MATCH($T$1,Data!$A$1:$AX$1,),)</f>
        <v/>
      </c>
      <c r="U80" s="20">
        <f>(VLOOKUP(B80,Data!$A:$AX,MATCH($U$1,Data!$A$1:$AX$1,),)-VLOOKUP(EDATE(B80,-12),Data!$A:$AX,MATCH($U$1,Data!$A$1:$AX$1,),))/VLOOKUP(EDATE(B80,-12),Data!$A:$AX,MATCH($U$1,Data!$A$1:$AX$1,),)</f>
        <v/>
      </c>
      <c r="V80" s="20">
        <f>(VLOOKUP(B80,Data!$A:$AX,MATCH($V$1,Data!$A$1:$AX$1,),)-VLOOKUP(EDATE(B80,-12),Data!$A:$AX,MATCH($V$1,Data!$A$1:$AX$1,),))/VLOOKUP(EDATE(B80,-12),Data!$A:$AX,MATCH($V$1,Data!$A$1:$AX$1,),)</f>
        <v/>
      </c>
      <c r="W80" s="20">
        <f>(VLOOKUP(B80,Data!$A:$AX,MATCH($W$1,Data!$A$1:$AX$1,),)-VLOOKUP(EDATE(B80,-12),Data!$A:$AX,MATCH($W$1,Data!$A$1:$AX$1,),))/VLOOKUP(EDATE(B80,-12),Data!$A:$AX,MATCH($W$1,Data!$A$1:$AX$1,),)</f>
        <v/>
      </c>
      <c r="X80" s="20">
        <f>(VLOOKUP(B80,Data!$A:$AX,MATCH($X$1,Data!$A$1:$AX$1,),)-VLOOKUP(EDATE(B80,-12),Data!$A:$AX,MATCH($X$1,Data!$A$1:$AX$1,),))/VLOOKUP(EDATE(B80,-12),Data!$A:$AX,MATCH($X$1,Data!$A$1:$AX$1,),)</f>
        <v/>
      </c>
      <c r="Y80" s="20">
        <f>(VLOOKUP(B80,Data!$A:$AX,MATCH($Y$1,Data!$A$1:$AX$1,),)-VLOOKUP(EDATE(B80,-12),Data!$A:$AX,MATCH($Y$1,Data!$A$1:$AX$1,),))/VLOOKUP(EDATE(B80,-12),Data!$A:$AX,MATCH($Y$1,Data!$A$1:$AX$1,),)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(VLOOKUP(B81,Data!$A:$AX,MATCH($C$1,Data!$A$1:$AX$1,),)-VLOOKUP(EDATE(B81,-12),Data!$A:$AX,MATCH($C$1,Data!$A$1:$AX$1,),))/VLOOKUP(EDATE(B81,-12),Data!$A:$AX,MATCH($C$1,Data!$A$1:$AX$1,),)</f>
        <v/>
      </c>
      <c r="D81" s="20">
        <f>(VLOOKUP(B81,Data!$A:$AX,MATCH($D$1,Data!$A$1:$AX$1,),)-VLOOKUP(EDATE(B81,-12),Data!$A:$AX,MATCH($D$1,Data!$A$1:$AX$1,),))/VLOOKUP(EDATE(B81,-12),Data!$A:$AX,MATCH($D$1,Data!$A$1:$AX$1,),)</f>
        <v/>
      </c>
      <c r="E81" s="20">
        <f>(VLOOKUP(B81,Data!$A:$AX,MATCH($E$1,Data!$A$1:$AX$1,),)-VLOOKUP(EDATE(B81,-12),Data!$A:$AX,MATCH($E$1,Data!$A$1:$AX$1,),))/VLOOKUP(EDATE(B81,-12),Data!$A:$AX,MATCH($E$1,Data!$A$1:$AX$1,),)</f>
        <v/>
      </c>
      <c r="F81" s="20">
        <f>(VLOOKUP(B81,Data!$A:$AX,MATCH($F$1,Data!$A$1:$AX$1,),)-VLOOKUP(EDATE(B81,-12),Data!$A:$AX,MATCH($F$1,Data!$A$1:$AX$1,),))/VLOOKUP(EDATE(B81,-12),Data!$A:$AX,MATCH($F$1,Data!$A$1:$AX$1,),)</f>
        <v/>
      </c>
      <c r="G81" s="20">
        <f>(VLOOKUP(B81,Data!$A:$AX,MATCH($G$1,Data!$A$1:$AX$1,),)-VLOOKUP(EDATE(B81,-12),Data!$A:$AX,MATCH($G$1,Data!$A$1:$AX$1,),))/VLOOKUP(EDATE(B81,-12),Data!$A:$AX,MATCH($G$1,Data!$A$1:$AX$1,),)</f>
        <v/>
      </c>
      <c r="H81" s="20">
        <f>(VLOOKUP(B81,Data!$A:$AX,MATCH($H$1,Data!$A$1:$AX$1,),)-VLOOKUP(EDATE(B81,-12),Data!$A:$AX,MATCH($H$1,Data!$A$1:$AX$1,),))/VLOOKUP(EDATE(B81,-12),Data!$A:$AX,MATCH($H$1,Data!$A$1:$AX$1,),)</f>
        <v/>
      </c>
      <c r="I81" s="20">
        <f>(VLOOKUP(B81,Data!$A:$AX,MATCH($I$1,Data!$A$1:$AX$1,),)-VLOOKUP(EDATE(B81,-12),Data!$A:$AX,MATCH($I$1,Data!$A$1:$AX$1,),))/VLOOKUP(EDATE(B81,-12),Data!$A:$AX,MATCH($I$1,Data!$A$1:$AX$1,),)</f>
        <v/>
      </c>
      <c r="J81" s="20">
        <f>(VLOOKUP(B81,Data!$A:$AX,MATCH($J$1,Data!$A$1:$AX$1,),)-VLOOKUP(EDATE(B81,-12),Data!$A:$AX,MATCH($J$1,Data!$A$1:$AX$1,),))/VLOOKUP(EDATE(B81,-12),Data!$A:$AX,MATCH($J$1,Data!$A$1:$AX$1,),)</f>
        <v/>
      </c>
      <c r="K81" s="20">
        <f>(VLOOKUP(B81,Data!$A:$AX,MATCH($K$1,Data!$A$1:$AX$1,),)-VLOOKUP(EDATE(B81,-12),Data!$A:$AX,MATCH($K$1,Data!$A$1:$AX$1,),))/VLOOKUP(EDATE(B81,-12),Data!$A:$AX,MATCH($K$1,Data!$A$1:$AX$1,),)</f>
        <v/>
      </c>
      <c r="L81" s="20">
        <f>(VLOOKUP(B81,Data!$A:$AX,MATCH($L$1,Data!$A$1:$AX$1,),)-VLOOKUP(EDATE(B81,-12),Data!$A:$AX,MATCH($L$1,Data!$A$1:$AX$1,),))/VLOOKUP(EDATE(B81,-12),Data!$A:$AX,MATCH($L$1,Data!$A$1:$AX$1,),)</f>
        <v/>
      </c>
      <c r="M81" s="20">
        <f>(VLOOKUP(B81,Data!$A:$AX,MATCH($M$1,Data!$A$1:$AX$1,),)-VLOOKUP(EDATE(B81,-12),Data!$A:$AX,MATCH($M$1,Data!$A$1:$AX$1,),))/VLOOKUP(EDATE(B81,-12),Data!$A:$AX,MATCH($M$1,Data!$A$1:$AX$1,),)</f>
        <v/>
      </c>
      <c r="N81" s="20">
        <f>(VLOOKUP(B81,Data!$A:$AX,MATCH($N$1,Data!$A$1:$AX$1,),)-VLOOKUP(EDATE(B81,-12),Data!$A:$AX,MATCH($N$1,Data!$A$1:$AX$1,),))/VLOOKUP(EDATE(B81,-12),Data!$A:$AX,MATCH($N$1,Data!$A$1:$AX$1,),)</f>
        <v/>
      </c>
      <c r="O81" s="20">
        <f>(VLOOKUP(B81,Data!$A:$AX,MATCH($O$1,Data!$A$1:$AX$1,),)-VLOOKUP(EDATE(B81,-12),Data!$A:$AX,MATCH($O$1,Data!$A$1:$AX$1,),))/VLOOKUP(EDATE(B81,-12),Data!$A:$AX,MATCH($O$1,Data!$A$1:$AX$1,),)</f>
        <v/>
      </c>
      <c r="P81" s="20">
        <f>(VLOOKUP(B81,Data!$A:$AX,MATCH($P$1,Data!$A$1:$AX$1,),)-VLOOKUP(EDATE(B81,-12),Data!$A:$AX,MATCH($P$1,Data!$A$1:$AX$1,),))/VLOOKUP(EDATE(B81,-12),Data!$A:$AX,MATCH($P$1,Data!$A$1:$AX$1,),)</f>
        <v/>
      </c>
      <c r="Q81" s="20">
        <f>(VLOOKUP(B81,Data!$A:$AX,MATCH($Q$1,Data!$A$1:$AX$1,),)-VLOOKUP(EDATE(B81,-12),Data!$A:$AX,MATCH($Q$1,Data!$A$1:$AX$1,),))/VLOOKUP(EDATE(B81,-12),Data!$A:$AX,MATCH($Q$1,Data!$A$1:$AX$1,),)</f>
        <v/>
      </c>
      <c r="R81" s="20">
        <f>(VLOOKUP(B81,Data!$A:$AX,MATCH($R$1,Data!$A$1:$AX$1,),)-VLOOKUP(EDATE(B81,-12),Data!$A:$AX,MATCH($R$1,Data!$A$1:$AX$1,),))/VLOOKUP(EDATE(B81,-12),Data!$A:$AX,MATCH($R$1,Data!$A$1:$AX$1,),)</f>
        <v/>
      </c>
      <c r="S81" s="20">
        <f>(VLOOKUP(B81,Data!$A:$AX,MATCH($S$1,Data!$A$1:$AX$1,),)-VLOOKUP(EDATE(B81,-12),Data!$A:$AX,MATCH($S$1,Data!$A$1:$AX$1,),))/VLOOKUP(EDATE(B81,-12),Data!$A:$AX,MATCH($S$1,Data!$A$1:$AX$1,),)</f>
        <v/>
      </c>
      <c r="T81" s="20">
        <f>(VLOOKUP(B81,Data!$A:$AX,MATCH($T$1,Data!$A$1:$AX$1,),)-VLOOKUP(EDATE(B81,-12),Data!$A:$AX,MATCH($T$1,Data!$A$1:$AX$1,),))/VLOOKUP(EDATE(B81,-12),Data!$A:$AX,MATCH($T$1,Data!$A$1:$AX$1,),)</f>
        <v/>
      </c>
      <c r="U81" s="20">
        <f>(VLOOKUP(B81,Data!$A:$AX,MATCH($U$1,Data!$A$1:$AX$1,),)-VLOOKUP(EDATE(B81,-12),Data!$A:$AX,MATCH($U$1,Data!$A$1:$AX$1,),))/VLOOKUP(EDATE(B81,-12),Data!$A:$AX,MATCH($U$1,Data!$A$1:$AX$1,),)</f>
        <v/>
      </c>
      <c r="V81" s="20">
        <f>(VLOOKUP(B81,Data!$A:$AX,MATCH($V$1,Data!$A$1:$AX$1,),)-VLOOKUP(EDATE(B81,-12),Data!$A:$AX,MATCH($V$1,Data!$A$1:$AX$1,),))/VLOOKUP(EDATE(B81,-12),Data!$A:$AX,MATCH($V$1,Data!$A$1:$AX$1,),)</f>
        <v/>
      </c>
      <c r="W81" s="20">
        <f>(VLOOKUP(B81,Data!$A:$AX,MATCH($W$1,Data!$A$1:$AX$1,),)-VLOOKUP(EDATE(B81,-12),Data!$A:$AX,MATCH($W$1,Data!$A$1:$AX$1,),))/VLOOKUP(EDATE(B81,-12),Data!$A:$AX,MATCH($W$1,Data!$A$1:$AX$1,),)</f>
        <v/>
      </c>
      <c r="X81" s="20">
        <f>(VLOOKUP(B81,Data!$A:$AX,MATCH($X$1,Data!$A$1:$AX$1,),)-VLOOKUP(EDATE(B81,-12),Data!$A:$AX,MATCH($X$1,Data!$A$1:$AX$1,),))/VLOOKUP(EDATE(B81,-12),Data!$A:$AX,MATCH($X$1,Data!$A$1:$AX$1,),)</f>
        <v/>
      </c>
      <c r="Y81" s="20">
        <f>(VLOOKUP(B81,Data!$A:$AX,MATCH($Y$1,Data!$A$1:$AX$1,),)-VLOOKUP(EDATE(B81,-12),Data!$A:$AX,MATCH($Y$1,Data!$A$1:$AX$1,),))/VLOOKUP(EDATE(B81,-12),Data!$A:$AX,MATCH($Y$1,Data!$A$1:$AX$1,),)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(VLOOKUP(B82,Data!$A:$AX,MATCH($C$1,Data!$A$1:$AX$1,),)-VLOOKUP(EDATE(B82,-12),Data!$A:$AX,MATCH($C$1,Data!$A$1:$AX$1,),))/VLOOKUP(EDATE(B82,-12),Data!$A:$AX,MATCH($C$1,Data!$A$1:$AX$1,),)</f>
        <v/>
      </c>
      <c r="D82" s="20">
        <f>(VLOOKUP(B82,Data!$A:$AX,MATCH($D$1,Data!$A$1:$AX$1,),)-VLOOKUP(EDATE(B82,-12),Data!$A:$AX,MATCH($D$1,Data!$A$1:$AX$1,),))/VLOOKUP(EDATE(B82,-12),Data!$A:$AX,MATCH($D$1,Data!$A$1:$AX$1,),)</f>
        <v/>
      </c>
      <c r="E82" s="20">
        <f>(VLOOKUP(B82,Data!$A:$AX,MATCH($E$1,Data!$A$1:$AX$1,),)-VLOOKUP(EDATE(B82,-12),Data!$A:$AX,MATCH($E$1,Data!$A$1:$AX$1,),))/VLOOKUP(EDATE(B82,-12),Data!$A:$AX,MATCH($E$1,Data!$A$1:$AX$1,),)</f>
        <v/>
      </c>
      <c r="F82" s="20">
        <f>(VLOOKUP(B82,Data!$A:$AX,MATCH($F$1,Data!$A$1:$AX$1,),)-VLOOKUP(EDATE(B82,-12),Data!$A:$AX,MATCH($F$1,Data!$A$1:$AX$1,),))/VLOOKUP(EDATE(B82,-12),Data!$A:$AX,MATCH($F$1,Data!$A$1:$AX$1,),)</f>
        <v/>
      </c>
      <c r="G82" s="20">
        <f>(VLOOKUP(B82,Data!$A:$AX,MATCH($G$1,Data!$A$1:$AX$1,),)-VLOOKUP(EDATE(B82,-12),Data!$A:$AX,MATCH($G$1,Data!$A$1:$AX$1,),))/VLOOKUP(EDATE(B82,-12),Data!$A:$AX,MATCH($G$1,Data!$A$1:$AX$1,),)</f>
        <v/>
      </c>
      <c r="H82" s="20">
        <f>(VLOOKUP(B82,Data!$A:$AX,MATCH($H$1,Data!$A$1:$AX$1,),)-VLOOKUP(EDATE(B82,-12),Data!$A:$AX,MATCH($H$1,Data!$A$1:$AX$1,),))/VLOOKUP(EDATE(B82,-12),Data!$A:$AX,MATCH($H$1,Data!$A$1:$AX$1,),)</f>
        <v/>
      </c>
      <c r="I82" s="20">
        <f>(VLOOKUP(B82,Data!$A:$AX,MATCH($I$1,Data!$A$1:$AX$1,),)-VLOOKUP(EDATE(B82,-12),Data!$A:$AX,MATCH($I$1,Data!$A$1:$AX$1,),))/VLOOKUP(EDATE(B82,-12),Data!$A:$AX,MATCH($I$1,Data!$A$1:$AX$1,),)</f>
        <v/>
      </c>
      <c r="J82" s="20">
        <f>(VLOOKUP(B82,Data!$A:$AX,MATCH($J$1,Data!$A$1:$AX$1,),)-VLOOKUP(EDATE(B82,-12),Data!$A:$AX,MATCH($J$1,Data!$A$1:$AX$1,),))/VLOOKUP(EDATE(B82,-12),Data!$A:$AX,MATCH($J$1,Data!$A$1:$AX$1,),)</f>
        <v/>
      </c>
      <c r="K82" s="20">
        <f>(VLOOKUP(B82,Data!$A:$AX,MATCH($K$1,Data!$A$1:$AX$1,),)-VLOOKUP(EDATE(B82,-12),Data!$A:$AX,MATCH($K$1,Data!$A$1:$AX$1,),))/VLOOKUP(EDATE(B82,-12),Data!$A:$AX,MATCH($K$1,Data!$A$1:$AX$1,),)</f>
        <v/>
      </c>
      <c r="L82" s="20">
        <f>(VLOOKUP(B82,Data!$A:$AX,MATCH($L$1,Data!$A$1:$AX$1,),)-VLOOKUP(EDATE(B82,-12),Data!$A:$AX,MATCH($L$1,Data!$A$1:$AX$1,),))/VLOOKUP(EDATE(B82,-12),Data!$A:$AX,MATCH($L$1,Data!$A$1:$AX$1,),)</f>
        <v/>
      </c>
      <c r="M82" s="20">
        <f>(VLOOKUP(B82,Data!$A:$AX,MATCH($M$1,Data!$A$1:$AX$1,),)-VLOOKUP(EDATE(B82,-12),Data!$A:$AX,MATCH($M$1,Data!$A$1:$AX$1,),))/VLOOKUP(EDATE(B82,-12),Data!$A:$AX,MATCH($M$1,Data!$A$1:$AX$1,),)</f>
        <v/>
      </c>
      <c r="N82" s="20">
        <f>(VLOOKUP(B82,Data!$A:$AX,MATCH($N$1,Data!$A$1:$AX$1,),)-VLOOKUP(EDATE(B82,-12),Data!$A:$AX,MATCH($N$1,Data!$A$1:$AX$1,),))/VLOOKUP(EDATE(B82,-12),Data!$A:$AX,MATCH($N$1,Data!$A$1:$AX$1,),)</f>
        <v/>
      </c>
      <c r="O82" s="20">
        <f>(VLOOKUP(B82,Data!$A:$AX,MATCH($O$1,Data!$A$1:$AX$1,),)-VLOOKUP(EDATE(B82,-12),Data!$A:$AX,MATCH($O$1,Data!$A$1:$AX$1,),))/VLOOKUP(EDATE(B82,-12),Data!$A:$AX,MATCH($O$1,Data!$A$1:$AX$1,),)</f>
        <v/>
      </c>
      <c r="P82" s="20">
        <f>(VLOOKUP(B82,Data!$A:$AX,MATCH($P$1,Data!$A$1:$AX$1,),)-VLOOKUP(EDATE(B82,-12),Data!$A:$AX,MATCH($P$1,Data!$A$1:$AX$1,),))/VLOOKUP(EDATE(B82,-12),Data!$A:$AX,MATCH($P$1,Data!$A$1:$AX$1,),)</f>
        <v/>
      </c>
      <c r="Q82" s="20">
        <f>(VLOOKUP(B82,Data!$A:$AX,MATCH($Q$1,Data!$A$1:$AX$1,),)-VLOOKUP(EDATE(B82,-12),Data!$A:$AX,MATCH($Q$1,Data!$A$1:$AX$1,),))/VLOOKUP(EDATE(B82,-12),Data!$A:$AX,MATCH($Q$1,Data!$A$1:$AX$1,),)</f>
        <v/>
      </c>
      <c r="R82" s="20">
        <f>(VLOOKUP(B82,Data!$A:$AX,MATCH($R$1,Data!$A$1:$AX$1,),)-VLOOKUP(EDATE(B82,-12),Data!$A:$AX,MATCH($R$1,Data!$A$1:$AX$1,),))/VLOOKUP(EDATE(B82,-12),Data!$A:$AX,MATCH($R$1,Data!$A$1:$AX$1,),)</f>
        <v/>
      </c>
      <c r="S82" s="20">
        <f>(VLOOKUP(B82,Data!$A:$AX,MATCH($S$1,Data!$A$1:$AX$1,),)-VLOOKUP(EDATE(B82,-12),Data!$A:$AX,MATCH($S$1,Data!$A$1:$AX$1,),))/VLOOKUP(EDATE(B82,-12),Data!$A:$AX,MATCH($S$1,Data!$A$1:$AX$1,),)</f>
        <v/>
      </c>
      <c r="T82" s="20">
        <f>(VLOOKUP(B82,Data!$A:$AX,MATCH($T$1,Data!$A$1:$AX$1,),)-VLOOKUP(EDATE(B82,-12),Data!$A:$AX,MATCH($T$1,Data!$A$1:$AX$1,),))/VLOOKUP(EDATE(B82,-12),Data!$A:$AX,MATCH($T$1,Data!$A$1:$AX$1,),)</f>
        <v/>
      </c>
      <c r="U82" s="20">
        <f>(VLOOKUP(B82,Data!$A:$AX,MATCH($U$1,Data!$A$1:$AX$1,),)-VLOOKUP(EDATE(B82,-12),Data!$A:$AX,MATCH($U$1,Data!$A$1:$AX$1,),))/VLOOKUP(EDATE(B82,-12),Data!$A:$AX,MATCH($U$1,Data!$A$1:$AX$1,),)</f>
        <v/>
      </c>
      <c r="V82" s="20">
        <f>(VLOOKUP(B82,Data!$A:$AX,MATCH($V$1,Data!$A$1:$AX$1,),)-VLOOKUP(EDATE(B82,-12),Data!$A:$AX,MATCH($V$1,Data!$A$1:$AX$1,),))/VLOOKUP(EDATE(B82,-12),Data!$A:$AX,MATCH($V$1,Data!$A$1:$AX$1,),)</f>
        <v/>
      </c>
      <c r="W82" s="20">
        <f>(VLOOKUP(B82,Data!$A:$AX,MATCH($W$1,Data!$A$1:$AX$1,),)-VLOOKUP(EDATE(B82,-12),Data!$A:$AX,MATCH($W$1,Data!$A$1:$AX$1,),))/VLOOKUP(EDATE(B82,-12),Data!$A:$AX,MATCH($W$1,Data!$A$1:$AX$1,),)</f>
        <v/>
      </c>
      <c r="X82" s="20">
        <f>(VLOOKUP(B82,Data!$A:$AX,MATCH($X$1,Data!$A$1:$AX$1,),)-VLOOKUP(EDATE(B82,-12),Data!$A:$AX,MATCH($X$1,Data!$A$1:$AX$1,),))/VLOOKUP(EDATE(B82,-12),Data!$A:$AX,MATCH($X$1,Data!$A$1:$AX$1,),)</f>
        <v/>
      </c>
      <c r="Y82" s="20">
        <f>(VLOOKUP(B82,Data!$A:$AX,MATCH($Y$1,Data!$A$1:$AX$1,),)-VLOOKUP(EDATE(B82,-12),Data!$A:$AX,MATCH($Y$1,Data!$A$1:$AX$1,),))/VLOOKUP(EDATE(B82,-12),Data!$A:$AX,MATCH($Y$1,Data!$A$1:$AX$1,),)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(VLOOKUP(B83,Data!$A:$AX,MATCH($C$1,Data!$A$1:$AX$1,),)-VLOOKUP(EDATE(B83,-12),Data!$A:$AX,MATCH($C$1,Data!$A$1:$AX$1,),))/VLOOKUP(EDATE(B83,-12),Data!$A:$AX,MATCH($C$1,Data!$A$1:$AX$1,),)</f>
        <v/>
      </c>
      <c r="D83" s="20">
        <f>(VLOOKUP(B83,Data!$A:$AX,MATCH($D$1,Data!$A$1:$AX$1,),)-VLOOKUP(EDATE(B83,-12),Data!$A:$AX,MATCH($D$1,Data!$A$1:$AX$1,),))/VLOOKUP(EDATE(B83,-12),Data!$A:$AX,MATCH($D$1,Data!$A$1:$AX$1,),)</f>
        <v/>
      </c>
      <c r="E83" s="20">
        <f>(VLOOKUP(B83,Data!$A:$AX,MATCH($E$1,Data!$A$1:$AX$1,),)-VLOOKUP(EDATE(B83,-12),Data!$A:$AX,MATCH($E$1,Data!$A$1:$AX$1,),))/VLOOKUP(EDATE(B83,-12),Data!$A:$AX,MATCH($E$1,Data!$A$1:$AX$1,),)</f>
        <v/>
      </c>
      <c r="F83" s="20">
        <f>(VLOOKUP(B83,Data!$A:$AX,MATCH($F$1,Data!$A$1:$AX$1,),)-VLOOKUP(EDATE(B83,-12),Data!$A:$AX,MATCH($F$1,Data!$A$1:$AX$1,),))/VLOOKUP(EDATE(B83,-12),Data!$A:$AX,MATCH($F$1,Data!$A$1:$AX$1,),)</f>
        <v/>
      </c>
      <c r="G83" s="20">
        <f>(VLOOKUP(B83,Data!$A:$AX,MATCH($G$1,Data!$A$1:$AX$1,),)-VLOOKUP(EDATE(B83,-12),Data!$A:$AX,MATCH($G$1,Data!$A$1:$AX$1,),))/VLOOKUP(EDATE(B83,-12),Data!$A:$AX,MATCH($G$1,Data!$A$1:$AX$1,),)</f>
        <v/>
      </c>
      <c r="H83" s="20">
        <f>(VLOOKUP(B83,Data!$A:$AX,MATCH($H$1,Data!$A$1:$AX$1,),)-VLOOKUP(EDATE(B83,-12),Data!$A:$AX,MATCH($H$1,Data!$A$1:$AX$1,),))/VLOOKUP(EDATE(B83,-12),Data!$A:$AX,MATCH($H$1,Data!$A$1:$AX$1,),)</f>
        <v/>
      </c>
      <c r="I83" s="20">
        <f>(VLOOKUP(B83,Data!$A:$AX,MATCH($I$1,Data!$A$1:$AX$1,),)-VLOOKUP(EDATE(B83,-12),Data!$A:$AX,MATCH($I$1,Data!$A$1:$AX$1,),))/VLOOKUP(EDATE(B83,-12),Data!$A:$AX,MATCH($I$1,Data!$A$1:$AX$1,),)</f>
        <v/>
      </c>
      <c r="J83" s="20">
        <f>(VLOOKUP(B83,Data!$A:$AX,MATCH($J$1,Data!$A$1:$AX$1,),)-VLOOKUP(EDATE(B83,-12),Data!$A:$AX,MATCH($J$1,Data!$A$1:$AX$1,),))/VLOOKUP(EDATE(B83,-12),Data!$A:$AX,MATCH($J$1,Data!$A$1:$AX$1,),)</f>
        <v/>
      </c>
      <c r="K83" s="20">
        <f>(VLOOKUP(B83,Data!$A:$AX,MATCH($K$1,Data!$A$1:$AX$1,),)-VLOOKUP(EDATE(B83,-12),Data!$A:$AX,MATCH($K$1,Data!$A$1:$AX$1,),))/VLOOKUP(EDATE(B83,-12),Data!$A:$AX,MATCH($K$1,Data!$A$1:$AX$1,),)</f>
        <v/>
      </c>
      <c r="L83" s="20">
        <f>(VLOOKUP(B83,Data!$A:$AX,MATCH($L$1,Data!$A$1:$AX$1,),)-VLOOKUP(EDATE(B83,-12),Data!$A:$AX,MATCH($L$1,Data!$A$1:$AX$1,),))/VLOOKUP(EDATE(B83,-12),Data!$A:$AX,MATCH($L$1,Data!$A$1:$AX$1,),)</f>
        <v/>
      </c>
      <c r="M83" s="20">
        <f>(VLOOKUP(B83,Data!$A:$AX,MATCH($M$1,Data!$A$1:$AX$1,),)-VLOOKUP(EDATE(B83,-12),Data!$A:$AX,MATCH($M$1,Data!$A$1:$AX$1,),))/VLOOKUP(EDATE(B83,-12),Data!$A:$AX,MATCH($M$1,Data!$A$1:$AX$1,),)</f>
        <v/>
      </c>
      <c r="N83" s="20">
        <f>(VLOOKUP(B83,Data!$A:$AX,MATCH($N$1,Data!$A$1:$AX$1,),)-VLOOKUP(EDATE(B83,-12),Data!$A:$AX,MATCH($N$1,Data!$A$1:$AX$1,),))/VLOOKUP(EDATE(B83,-12),Data!$A:$AX,MATCH($N$1,Data!$A$1:$AX$1,),)</f>
        <v/>
      </c>
      <c r="O83" s="20">
        <f>(VLOOKUP(B83,Data!$A:$AX,MATCH($O$1,Data!$A$1:$AX$1,),)-VLOOKUP(EDATE(B83,-12),Data!$A:$AX,MATCH($O$1,Data!$A$1:$AX$1,),))/VLOOKUP(EDATE(B83,-12),Data!$A:$AX,MATCH($O$1,Data!$A$1:$AX$1,),)</f>
        <v/>
      </c>
      <c r="P83" s="20">
        <f>(VLOOKUP(B83,Data!$A:$AX,MATCH($P$1,Data!$A$1:$AX$1,),)-VLOOKUP(EDATE(B83,-12),Data!$A:$AX,MATCH($P$1,Data!$A$1:$AX$1,),))/VLOOKUP(EDATE(B83,-12),Data!$A:$AX,MATCH($P$1,Data!$A$1:$AX$1,),)</f>
        <v/>
      </c>
      <c r="Q83" s="20">
        <f>(VLOOKUP(B83,Data!$A:$AX,MATCH($Q$1,Data!$A$1:$AX$1,),)-VLOOKUP(EDATE(B83,-12),Data!$A:$AX,MATCH($Q$1,Data!$A$1:$AX$1,),))/VLOOKUP(EDATE(B83,-12),Data!$A:$AX,MATCH($Q$1,Data!$A$1:$AX$1,),)</f>
        <v/>
      </c>
      <c r="R83" s="20">
        <f>(VLOOKUP(B83,Data!$A:$AX,MATCH($R$1,Data!$A$1:$AX$1,),)-VLOOKUP(EDATE(B83,-12),Data!$A:$AX,MATCH($R$1,Data!$A$1:$AX$1,),))/VLOOKUP(EDATE(B83,-12),Data!$A:$AX,MATCH($R$1,Data!$A$1:$AX$1,),)</f>
        <v/>
      </c>
      <c r="S83" s="20">
        <f>(VLOOKUP(B83,Data!$A:$AX,MATCH($S$1,Data!$A$1:$AX$1,),)-VLOOKUP(EDATE(B83,-12),Data!$A:$AX,MATCH($S$1,Data!$A$1:$AX$1,),))/VLOOKUP(EDATE(B83,-12),Data!$A:$AX,MATCH($S$1,Data!$A$1:$AX$1,),)</f>
        <v/>
      </c>
      <c r="T83" s="20">
        <f>(VLOOKUP(B83,Data!$A:$AX,MATCH($T$1,Data!$A$1:$AX$1,),)-VLOOKUP(EDATE(B83,-12),Data!$A:$AX,MATCH($T$1,Data!$A$1:$AX$1,),))/VLOOKUP(EDATE(B83,-12),Data!$A:$AX,MATCH($T$1,Data!$A$1:$AX$1,),)</f>
        <v/>
      </c>
      <c r="U83" s="20">
        <f>(VLOOKUP(B83,Data!$A:$AX,MATCH($U$1,Data!$A$1:$AX$1,),)-VLOOKUP(EDATE(B83,-12),Data!$A:$AX,MATCH($U$1,Data!$A$1:$AX$1,),))/VLOOKUP(EDATE(B83,-12),Data!$A:$AX,MATCH($U$1,Data!$A$1:$AX$1,),)</f>
        <v/>
      </c>
      <c r="V83" s="20">
        <f>(VLOOKUP(B83,Data!$A:$AX,MATCH($V$1,Data!$A$1:$AX$1,),)-VLOOKUP(EDATE(B83,-12),Data!$A:$AX,MATCH($V$1,Data!$A$1:$AX$1,),))/VLOOKUP(EDATE(B83,-12),Data!$A:$AX,MATCH($V$1,Data!$A$1:$AX$1,),)</f>
        <v/>
      </c>
      <c r="W83" s="20">
        <f>(VLOOKUP(B83,Data!$A:$AX,MATCH($W$1,Data!$A$1:$AX$1,),)-VLOOKUP(EDATE(B83,-12),Data!$A:$AX,MATCH($W$1,Data!$A$1:$AX$1,),))/VLOOKUP(EDATE(B83,-12),Data!$A:$AX,MATCH($W$1,Data!$A$1:$AX$1,),)</f>
        <v/>
      </c>
      <c r="X83" s="20">
        <f>(VLOOKUP(B83,Data!$A:$AX,MATCH($X$1,Data!$A$1:$AX$1,),)-VLOOKUP(EDATE(B83,-12),Data!$A:$AX,MATCH($X$1,Data!$A$1:$AX$1,),))/VLOOKUP(EDATE(B83,-12),Data!$A:$AX,MATCH($X$1,Data!$A$1:$AX$1,),)</f>
        <v/>
      </c>
      <c r="Y83" s="20">
        <f>(VLOOKUP(B83,Data!$A:$AX,MATCH($Y$1,Data!$A$1:$AX$1,),)-VLOOKUP(EDATE(B83,-12),Data!$A:$AX,MATCH($Y$1,Data!$A$1:$AX$1,),))/VLOOKUP(EDATE(B83,-12),Data!$A:$AX,MATCH($Y$1,Data!$A$1:$AX$1,),)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(VLOOKUP(B84,Data!$A:$AX,MATCH($C$1,Data!$A$1:$AX$1,),)-VLOOKUP(EDATE(B84,-12),Data!$A:$AX,MATCH($C$1,Data!$A$1:$AX$1,),))/VLOOKUP(EDATE(B84,-12),Data!$A:$AX,MATCH($C$1,Data!$A$1:$AX$1,),)</f>
        <v/>
      </c>
      <c r="D84" s="20">
        <f>(VLOOKUP(B84,Data!$A:$AX,MATCH($D$1,Data!$A$1:$AX$1,),)-VLOOKUP(EDATE(B84,-12),Data!$A:$AX,MATCH($D$1,Data!$A$1:$AX$1,),))/VLOOKUP(EDATE(B84,-12),Data!$A:$AX,MATCH($D$1,Data!$A$1:$AX$1,),)</f>
        <v/>
      </c>
      <c r="E84" s="20">
        <f>(VLOOKUP(B84,Data!$A:$AX,MATCH($E$1,Data!$A$1:$AX$1,),)-VLOOKUP(EDATE(B84,-12),Data!$A:$AX,MATCH($E$1,Data!$A$1:$AX$1,),))/VLOOKUP(EDATE(B84,-12),Data!$A:$AX,MATCH($E$1,Data!$A$1:$AX$1,),)</f>
        <v/>
      </c>
      <c r="F84" s="20">
        <f>(VLOOKUP(B84,Data!$A:$AX,MATCH($F$1,Data!$A$1:$AX$1,),)-VLOOKUP(EDATE(B84,-12),Data!$A:$AX,MATCH($F$1,Data!$A$1:$AX$1,),))/VLOOKUP(EDATE(B84,-12),Data!$A:$AX,MATCH($F$1,Data!$A$1:$AX$1,),)</f>
        <v/>
      </c>
      <c r="G84" s="20">
        <f>(VLOOKUP(B84,Data!$A:$AX,MATCH($G$1,Data!$A$1:$AX$1,),)-VLOOKUP(EDATE(B84,-12),Data!$A:$AX,MATCH($G$1,Data!$A$1:$AX$1,),))/VLOOKUP(EDATE(B84,-12),Data!$A:$AX,MATCH($G$1,Data!$A$1:$AX$1,),)</f>
        <v/>
      </c>
      <c r="H84" s="20">
        <f>(VLOOKUP(B84,Data!$A:$AX,MATCH($H$1,Data!$A$1:$AX$1,),)-VLOOKUP(EDATE(B84,-12),Data!$A:$AX,MATCH($H$1,Data!$A$1:$AX$1,),))/VLOOKUP(EDATE(B84,-12),Data!$A:$AX,MATCH($H$1,Data!$A$1:$AX$1,),)</f>
        <v/>
      </c>
      <c r="I84" s="20">
        <f>(VLOOKUP(B84,Data!$A:$AX,MATCH($I$1,Data!$A$1:$AX$1,),)-VLOOKUP(EDATE(B84,-12),Data!$A:$AX,MATCH($I$1,Data!$A$1:$AX$1,),))/VLOOKUP(EDATE(B84,-12),Data!$A:$AX,MATCH($I$1,Data!$A$1:$AX$1,),)</f>
        <v/>
      </c>
      <c r="J84" s="20">
        <f>(VLOOKUP(B84,Data!$A:$AX,MATCH($J$1,Data!$A$1:$AX$1,),)-VLOOKUP(EDATE(B84,-12),Data!$A:$AX,MATCH($J$1,Data!$A$1:$AX$1,),))/VLOOKUP(EDATE(B84,-12),Data!$A:$AX,MATCH($J$1,Data!$A$1:$AX$1,),)</f>
        <v/>
      </c>
      <c r="K84" s="20">
        <f>(VLOOKUP(B84,Data!$A:$AX,MATCH($K$1,Data!$A$1:$AX$1,),)-VLOOKUP(EDATE(B84,-12),Data!$A:$AX,MATCH($K$1,Data!$A$1:$AX$1,),))/VLOOKUP(EDATE(B84,-12),Data!$A:$AX,MATCH($K$1,Data!$A$1:$AX$1,),)</f>
        <v/>
      </c>
      <c r="L84" s="20">
        <f>(VLOOKUP(B84,Data!$A:$AX,MATCH($L$1,Data!$A$1:$AX$1,),)-VLOOKUP(EDATE(B84,-12),Data!$A:$AX,MATCH($L$1,Data!$A$1:$AX$1,),))/VLOOKUP(EDATE(B84,-12),Data!$A:$AX,MATCH($L$1,Data!$A$1:$AX$1,),)</f>
        <v/>
      </c>
      <c r="M84" s="20">
        <f>(VLOOKUP(B84,Data!$A:$AX,MATCH($M$1,Data!$A$1:$AX$1,),)-VLOOKUP(EDATE(B84,-12),Data!$A:$AX,MATCH($M$1,Data!$A$1:$AX$1,),))/VLOOKUP(EDATE(B84,-12),Data!$A:$AX,MATCH($M$1,Data!$A$1:$AX$1,),)</f>
        <v/>
      </c>
      <c r="N84" s="20">
        <f>(VLOOKUP(B84,Data!$A:$AX,MATCH($N$1,Data!$A$1:$AX$1,),)-VLOOKUP(EDATE(B84,-12),Data!$A:$AX,MATCH($N$1,Data!$A$1:$AX$1,),))/VLOOKUP(EDATE(B84,-12),Data!$A:$AX,MATCH($N$1,Data!$A$1:$AX$1,),)</f>
        <v/>
      </c>
      <c r="O84" s="20">
        <f>(VLOOKUP(B84,Data!$A:$AX,MATCH($O$1,Data!$A$1:$AX$1,),)-VLOOKUP(EDATE(B84,-12),Data!$A:$AX,MATCH($O$1,Data!$A$1:$AX$1,),))/VLOOKUP(EDATE(B84,-12),Data!$A:$AX,MATCH($O$1,Data!$A$1:$AX$1,),)</f>
        <v/>
      </c>
      <c r="P84" s="20">
        <f>(VLOOKUP(B84,Data!$A:$AX,MATCH($P$1,Data!$A$1:$AX$1,),)-VLOOKUP(EDATE(B84,-12),Data!$A:$AX,MATCH($P$1,Data!$A$1:$AX$1,),))/VLOOKUP(EDATE(B84,-12),Data!$A:$AX,MATCH($P$1,Data!$A$1:$AX$1,),)</f>
        <v/>
      </c>
      <c r="Q84" s="20">
        <f>(VLOOKUP(B84,Data!$A:$AX,MATCH($Q$1,Data!$A$1:$AX$1,),)-VLOOKUP(EDATE(B84,-12),Data!$A:$AX,MATCH($Q$1,Data!$A$1:$AX$1,),))/VLOOKUP(EDATE(B84,-12),Data!$A:$AX,MATCH($Q$1,Data!$A$1:$AX$1,),)</f>
        <v/>
      </c>
      <c r="R84" s="20">
        <f>(VLOOKUP(B84,Data!$A:$AX,MATCH($R$1,Data!$A$1:$AX$1,),)-VLOOKUP(EDATE(B84,-12),Data!$A:$AX,MATCH($R$1,Data!$A$1:$AX$1,),))/VLOOKUP(EDATE(B84,-12),Data!$A:$AX,MATCH($R$1,Data!$A$1:$AX$1,),)</f>
        <v/>
      </c>
      <c r="S84" s="20">
        <f>(VLOOKUP(B84,Data!$A:$AX,MATCH($S$1,Data!$A$1:$AX$1,),)-VLOOKUP(EDATE(B84,-12),Data!$A:$AX,MATCH($S$1,Data!$A$1:$AX$1,),))/VLOOKUP(EDATE(B84,-12),Data!$A:$AX,MATCH($S$1,Data!$A$1:$AX$1,),)</f>
        <v/>
      </c>
      <c r="T84" s="20">
        <f>(VLOOKUP(B84,Data!$A:$AX,MATCH($T$1,Data!$A$1:$AX$1,),)-VLOOKUP(EDATE(B84,-12),Data!$A:$AX,MATCH($T$1,Data!$A$1:$AX$1,),))/VLOOKUP(EDATE(B84,-12),Data!$A:$AX,MATCH($T$1,Data!$A$1:$AX$1,),)</f>
        <v/>
      </c>
      <c r="U84" s="20">
        <f>(VLOOKUP(B84,Data!$A:$AX,MATCH($U$1,Data!$A$1:$AX$1,),)-VLOOKUP(EDATE(B84,-12),Data!$A:$AX,MATCH($U$1,Data!$A$1:$AX$1,),))/VLOOKUP(EDATE(B84,-12),Data!$A:$AX,MATCH($U$1,Data!$A$1:$AX$1,),)</f>
        <v/>
      </c>
      <c r="V84" s="20">
        <f>(VLOOKUP(B84,Data!$A:$AX,MATCH($V$1,Data!$A$1:$AX$1,),)-VLOOKUP(EDATE(B84,-12),Data!$A:$AX,MATCH($V$1,Data!$A$1:$AX$1,),))/VLOOKUP(EDATE(B84,-12),Data!$A:$AX,MATCH($V$1,Data!$A$1:$AX$1,),)</f>
        <v/>
      </c>
      <c r="W84" s="20">
        <f>(VLOOKUP(B84,Data!$A:$AX,MATCH($W$1,Data!$A$1:$AX$1,),)-VLOOKUP(EDATE(B84,-12),Data!$A:$AX,MATCH($W$1,Data!$A$1:$AX$1,),))/VLOOKUP(EDATE(B84,-12),Data!$A:$AX,MATCH($W$1,Data!$A$1:$AX$1,),)</f>
        <v/>
      </c>
      <c r="X84" s="20">
        <f>(VLOOKUP(B84,Data!$A:$AX,MATCH($X$1,Data!$A$1:$AX$1,),)-VLOOKUP(EDATE(B84,-12),Data!$A:$AX,MATCH($X$1,Data!$A$1:$AX$1,),))/VLOOKUP(EDATE(B84,-12),Data!$A:$AX,MATCH($X$1,Data!$A$1:$AX$1,),)</f>
        <v/>
      </c>
      <c r="Y84" s="20">
        <f>(VLOOKUP(B84,Data!$A:$AX,MATCH($Y$1,Data!$A$1:$AX$1,),)-VLOOKUP(EDATE(B84,-12),Data!$A:$AX,MATCH($Y$1,Data!$A$1:$AX$1,),))/VLOOKUP(EDATE(B84,-12),Data!$A:$AX,MATCH($Y$1,Data!$A$1:$AX$1,),)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(VLOOKUP(B85,Data!$A:$AX,MATCH($C$1,Data!$A$1:$AX$1,),)-VLOOKUP(EDATE(B85,-12),Data!$A:$AX,MATCH($C$1,Data!$A$1:$AX$1,),))/VLOOKUP(EDATE(B85,-12),Data!$A:$AX,MATCH($C$1,Data!$A$1:$AX$1,),)</f>
        <v/>
      </c>
      <c r="D85" s="20">
        <f>(VLOOKUP(B85,Data!$A:$AX,MATCH($D$1,Data!$A$1:$AX$1,),)-VLOOKUP(EDATE(B85,-12),Data!$A:$AX,MATCH($D$1,Data!$A$1:$AX$1,),))/VLOOKUP(EDATE(B85,-12),Data!$A:$AX,MATCH($D$1,Data!$A$1:$AX$1,),)</f>
        <v/>
      </c>
      <c r="E85" s="20">
        <f>(VLOOKUP(B85,Data!$A:$AX,MATCH($E$1,Data!$A$1:$AX$1,),)-VLOOKUP(EDATE(B85,-12),Data!$A:$AX,MATCH($E$1,Data!$A$1:$AX$1,),))/VLOOKUP(EDATE(B85,-12),Data!$A:$AX,MATCH($E$1,Data!$A$1:$AX$1,),)</f>
        <v/>
      </c>
      <c r="F85" s="20">
        <f>(VLOOKUP(B85,Data!$A:$AX,MATCH($F$1,Data!$A$1:$AX$1,),)-VLOOKUP(EDATE(B85,-12),Data!$A:$AX,MATCH($F$1,Data!$A$1:$AX$1,),))/VLOOKUP(EDATE(B85,-12),Data!$A:$AX,MATCH($F$1,Data!$A$1:$AX$1,),)</f>
        <v/>
      </c>
      <c r="G85" s="20">
        <f>(VLOOKUP(B85,Data!$A:$AX,MATCH($G$1,Data!$A$1:$AX$1,),)-VLOOKUP(EDATE(B85,-12),Data!$A:$AX,MATCH($G$1,Data!$A$1:$AX$1,),))/VLOOKUP(EDATE(B85,-12),Data!$A:$AX,MATCH($G$1,Data!$A$1:$AX$1,),)</f>
        <v/>
      </c>
      <c r="H85" s="20">
        <f>(VLOOKUP(B85,Data!$A:$AX,MATCH($H$1,Data!$A$1:$AX$1,),)-VLOOKUP(EDATE(B85,-12),Data!$A:$AX,MATCH($H$1,Data!$A$1:$AX$1,),))/VLOOKUP(EDATE(B85,-12),Data!$A:$AX,MATCH($H$1,Data!$A$1:$AX$1,),)</f>
        <v/>
      </c>
      <c r="I85" s="20">
        <f>(VLOOKUP(B85,Data!$A:$AX,MATCH($I$1,Data!$A$1:$AX$1,),)-VLOOKUP(EDATE(B85,-12),Data!$A:$AX,MATCH($I$1,Data!$A$1:$AX$1,),))/VLOOKUP(EDATE(B85,-12),Data!$A:$AX,MATCH($I$1,Data!$A$1:$AX$1,),)</f>
        <v/>
      </c>
      <c r="J85" s="20">
        <f>(VLOOKUP(B85,Data!$A:$AX,MATCH($J$1,Data!$A$1:$AX$1,),)-VLOOKUP(EDATE(B85,-12),Data!$A:$AX,MATCH($J$1,Data!$A$1:$AX$1,),))/VLOOKUP(EDATE(B85,-12),Data!$A:$AX,MATCH($J$1,Data!$A$1:$AX$1,),)</f>
        <v/>
      </c>
      <c r="K85" s="20">
        <f>(VLOOKUP(B85,Data!$A:$AX,MATCH($K$1,Data!$A$1:$AX$1,),)-VLOOKUP(EDATE(B85,-12),Data!$A:$AX,MATCH($K$1,Data!$A$1:$AX$1,),))/VLOOKUP(EDATE(B85,-12),Data!$A:$AX,MATCH($K$1,Data!$A$1:$AX$1,),)</f>
        <v/>
      </c>
      <c r="L85" s="20">
        <f>(VLOOKUP(B85,Data!$A:$AX,MATCH($L$1,Data!$A$1:$AX$1,),)-VLOOKUP(EDATE(B85,-12),Data!$A:$AX,MATCH($L$1,Data!$A$1:$AX$1,),))/VLOOKUP(EDATE(B85,-12),Data!$A:$AX,MATCH($L$1,Data!$A$1:$AX$1,),)</f>
        <v/>
      </c>
      <c r="M85" s="20">
        <f>(VLOOKUP(B85,Data!$A:$AX,MATCH($M$1,Data!$A$1:$AX$1,),)-VLOOKUP(EDATE(B85,-12),Data!$A:$AX,MATCH($M$1,Data!$A$1:$AX$1,),))/VLOOKUP(EDATE(B85,-12),Data!$A:$AX,MATCH($M$1,Data!$A$1:$AX$1,),)</f>
        <v/>
      </c>
      <c r="N85" s="20">
        <f>(VLOOKUP(B85,Data!$A:$AX,MATCH($N$1,Data!$A$1:$AX$1,),)-VLOOKUP(EDATE(B85,-12),Data!$A:$AX,MATCH($N$1,Data!$A$1:$AX$1,),))/VLOOKUP(EDATE(B85,-12),Data!$A:$AX,MATCH($N$1,Data!$A$1:$AX$1,),)</f>
        <v/>
      </c>
      <c r="O85" s="20">
        <f>(VLOOKUP(B85,Data!$A:$AX,MATCH($O$1,Data!$A$1:$AX$1,),)-VLOOKUP(EDATE(B85,-12),Data!$A:$AX,MATCH($O$1,Data!$A$1:$AX$1,),))/VLOOKUP(EDATE(B85,-12),Data!$A:$AX,MATCH($O$1,Data!$A$1:$AX$1,),)</f>
        <v/>
      </c>
      <c r="P85" s="20">
        <f>(VLOOKUP(B85,Data!$A:$AX,MATCH($P$1,Data!$A$1:$AX$1,),)-VLOOKUP(EDATE(B85,-12),Data!$A:$AX,MATCH($P$1,Data!$A$1:$AX$1,),))/VLOOKUP(EDATE(B85,-12),Data!$A:$AX,MATCH($P$1,Data!$A$1:$AX$1,),)</f>
        <v/>
      </c>
      <c r="Q85" s="20">
        <f>(VLOOKUP(B85,Data!$A:$AX,MATCH($Q$1,Data!$A$1:$AX$1,),)-VLOOKUP(EDATE(B85,-12),Data!$A:$AX,MATCH($Q$1,Data!$A$1:$AX$1,),))/VLOOKUP(EDATE(B85,-12),Data!$A:$AX,MATCH($Q$1,Data!$A$1:$AX$1,),)</f>
        <v/>
      </c>
      <c r="R85" s="20">
        <f>(VLOOKUP(B85,Data!$A:$AX,MATCH($R$1,Data!$A$1:$AX$1,),)-VLOOKUP(EDATE(B85,-12),Data!$A:$AX,MATCH($R$1,Data!$A$1:$AX$1,),))/VLOOKUP(EDATE(B85,-12),Data!$A:$AX,MATCH($R$1,Data!$A$1:$AX$1,),)</f>
        <v/>
      </c>
      <c r="S85" s="20">
        <f>(VLOOKUP(B85,Data!$A:$AX,MATCH($S$1,Data!$A$1:$AX$1,),)-VLOOKUP(EDATE(B85,-12),Data!$A:$AX,MATCH($S$1,Data!$A$1:$AX$1,),))/VLOOKUP(EDATE(B85,-12),Data!$A:$AX,MATCH($S$1,Data!$A$1:$AX$1,),)</f>
        <v/>
      </c>
      <c r="T85" s="20">
        <f>(VLOOKUP(B85,Data!$A:$AX,MATCH($T$1,Data!$A$1:$AX$1,),)-VLOOKUP(EDATE(B85,-12),Data!$A:$AX,MATCH($T$1,Data!$A$1:$AX$1,),))/VLOOKUP(EDATE(B85,-12),Data!$A:$AX,MATCH($T$1,Data!$A$1:$AX$1,),)</f>
        <v/>
      </c>
      <c r="U85" s="20">
        <f>(VLOOKUP(B85,Data!$A:$AX,MATCH($U$1,Data!$A$1:$AX$1,),)-VLOOKUP(EDATE(B85,-12),Data!$A:$AX,MATCH($U$1,Data!$A$1:$AX$1,),))/VLOOKUP(EDATE(B85,-12),Data!$A:$AX,MATCH($U$1,Data!$A$1:$AX$1,),)</f>
        <v/>
      </c>
      <c r="V85" s="20">
        <f>(VLOOKUP(B85,Data!$A:$AX,MATCH($V$1,Data!$A$1:$AX$1,),)-VLOOKUP(EDATE(B85,-12),Data!$A:$AX,MATCH($V$1,Data!$A$1:$AX$1,),))/VLOOKUP(EDATE(B85,-12),Data!$A:$AX,MATCH($V$1,Data!$A$1:$AX$1,),)</f>
        <v/>
      </c>
      <c r="W85" s="20">
        <f>(VLOOKUP(B85,Data!$A:$AX,MATCH($W$1,Data!$A$1:$AX$1,),)-VLOOKUP(EDATE(B85,-12),Data!$A:$AX,MATCH($W$1,Data!$A$1:$AX$1,),))/VLOOKUP(EDATE(B85,-12),Data!$A:$AX,MATCH($W$1,Data!$A$1:$AX$1,),)</f>
        <v/>
      </c>
      <c r="X85" s="20">
        <f>(VLOOKUP(B85,Data!$A:$AX,MATCH($X$1,Data!$A$1:$AX$1,),)-VLOOKUP(EDATE(B85,-12),Data!$A:$AX,MATCH($X$1,Data!$A$1:$AX$1,),))/VLOOKUP(EDATE(B85,-12),Data!$A:$AX,MATCH($X$1,Data!$A$1:$AX$1,),)</f>
        <v/>
      </c>
      <c r="Y85" s="20">
        <f>(VLOOKUP(B85,Data!$A:$AX,MATCH($Y$1,Data!$A$1:$AX$1,),)-VLOOKUP(EDATE(B85,-12),Data!$A:$AX,MATCH($Y$1,Data!$A$1:$AX$1,),))/VLOOKUP(EDATE(B85,-12),Data!$A:$AX,MATCH($Y$1,Data!$A$1:$AX$1,),)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(VLOOKUP(B86,Data!$A:$AX,MATCH($C$1,Data!$A$1:$AX$1,),)-VLOOKUP(EDATE(B86,-12),Data!$A:$AX,MATCH($C$1,Data!$A$1:$AX$1,),))/VLOOKUP(EDATE(B86,-12),Data!$A:$AX,MATCH($C$1,Data!$A$1:$AX$1,),)</f>
        <v/>
      </c>
      <c r="D86" s="20">
        <f>(VLOOKUP(B86,Data!$A:$AX,MATCH($D$1,Data!$A$1:$AX$1,),)-VLOOKUP(EDATE(B86,-12),Data!$A:$AX,MATCH($D$1,Data!$A$1:$AX$1,),))/VLOOKUP(EDATE(B86,-12),Data!$A:$AX,MATCH($D$1,Data!$A$1:$AX$1,),)</f>
        <v/>
      </c>
      <c r="E86" s="20">
        <f>(VLOOKUP(B86,Data!$A:$AX,MATCH($E$1,Data!$A$1:$AX$1,),)-VLOOKUP(EDATE(B86,-12),Data!$A:$AX,MATCH($E$1,Data!$A$1:$AX$1,),))/VLOOKUP(EDATE(B86,-12),Data!$A:$AX,MATCH($E$1,Data!$A$1:$AX$1,),)</f>
        <v/>
      </c>
      <c r="F86" s="20">
        <f>(VLOOKUP(B86,Data!$A:$AX,MATCH($F$1,Data!$A$1:$AX$1,),)-VLOOKUP(EDATE(B86,-12),Data!$A:$AX,MATCH($F$1,Data!$A$1:$AX$1,),))/VLOOKUP(EDATE(B86,-12),Data!$A:$AX,MATCH($F$1,Data!$A$1:$AX$1,),)</f>
        <v/>
      </c>
      <c r="G86" s="20">
        <f>(VLOOKUP(B86,Data!$A:$AX,MATCH($G$1,Data!$A$1:$AX$1,),)-VLOOKUP(EDATE(B86,-12),Data!$A:$AX,MATCH($G$1,Data!$A$1:$AX$1,),))/VLOOKUP(EDATE(B86,-12),Data!$A:$AX,MATCH($G$1,Data!$A$1:$AX$1,),)</f>
        <v/>
      </c>
      <c r="H86" s="20">
        <f>(VLOOKUP(B86,Data!$A:$AX,MATCH($H$1,Data!$A$1:$AX$1,),)-VLOOKUP(EDATE(B86,-12),Data!$A:$AX,MATCH($H$1,Data!$A$1:$AX$1,),))/VLOOKUP(EDATE(B86,-12),Data!$A:$AX,MATCH($H$1,Data!$A$1:$AX$1,),)</f>
        <v/>
      </c>
      <c r="I86" s="20">
        <f>(VLOOKUP(B86,Data!$A:$AX,MATCH($I$1,Data!$A$1:$AX$1,),)-VLOOKUP(EDATE(B86,-12),Data!$A:$AX,MATCH($I$1,Data!$A$1:$AX$1,),))/VLOOKUP(EDATE(B86,-12),Data!$A:$AX,MATCH($I$1,Data!$A$1:$AX$1,),)</f>
        <v/>
      </c>
      <c r="J86" s="20">
        <f>(VLOOKUP(B86,Data!$A:$AX,MATCH($J$1,Data!$A$1:$AX$1,),)-VLOOKUP(EDATE(B86,-12),Data!$A:$AX,MATCH($J$1,Data!$A$1:$AX$1,),))/VLOOKUP(EDATE(B86,-12),Data!$A:$AX,MATCH($J$1,Data!$A$1:$AX$1,),)</f>
        <v/>
      </c>
      <c r="K86" s="20">
        <f>(VLOOKUP(B86,Data!$A:$AX,MATCH($K$1,Data!$A$1:$AX$1,),)-VLOOKUP(EDATE(B86,-12),Data!$A:$AX,MATCH($K$1,Data!$A$1:$AX$1,),))/VLOOKUP(EDATE(B86,-12),Data!$A:$AX,MATCH($K$1,Data!$A$1:$AX$1,),)</f>
        <v/>
      </c>
      <c r="L86" s="20">
        <f>(VLOOKUP(B86,Data!$A:$AX,MATCH($L$1,Data!$A$1:$AX$1,),)-VLOOKUP(EDATE(B86,-12),Data!$A:$AX,MATCH($L$1,Data!$A$1:$AX$1,),))/VLOOKUP(EDATE(B86,-12),Data!$A:$AX,MATCH($L$1,Data!$A$1:$AX$1,),)</f>
        <v/>
      </c>
      <c r="M86" s="20">
        <f>(VLOOKUP(B86,Data!$A:$AX,MATCH($M$1,Data!$A$1:$AX$1,),)-VLOOKUP(EDATE(B86,-12),Data!$A:$AX,MATCH($M$1,Data!$A$1:$AX$1,),))/VLOOKUP(EDATE(B86,-12),Data!$A:$AX,MATCH($M$1,Data!$A$1:$AX$1,),)</f>
        <v/>
      </c>
      <c r="N86" s="20">
        <f>(VLOOKUP(B86,Data!$A:$AX,MATCH($N$1,Data!$A$1:$AX$1,),)-VLOOKUP(EDATE(B86,-12),Data!$A:$AX,MATCH($N$1,Data!$A$1:$AX$1,),))/VLOOKUP(EDATE(B86,-12),Data!$A:$AX,MATCH($N$1,Data!$A$1:$AX$1,),)</f>
        <v/>
      </c>
      <c r="O86" s="20">
        <f>(VLOOKUP(B86,Data!$A:$AX,MATCH($O$1,Data!$A$1:$AX$1,),)-VLOOKUP(EDATE(B86,-12),Data!$A:$AX,MATCH($O$1,Data!$A$1:$AX$1,),))/VLOOKUP(EDATE(B86,-12),Data!$A:$AX,MATCH($O$1,Data!$A$1:$AX$1,),)</f>
        <v/>
      </c>
      <c r="P86" s="20">
        <f>(VLOOKUP(B86,Data!$A:$AX,MATCH($P$1,Data!$A$1:$AX$1,),)-VLOOKUP(EDATE(B86,-12),Data!$A:$AX,MATCH($P$1,Data!$A$1:$AX$1,),))/VLOOKUP(EDATE(B86,-12),Data!$A:$AX,MATCH($P$1,Data!$A$1:$AX$1,),)</f>
        <v/>
      </c>
      <c r="Q86" s="20">
        <f>(VLOOKUP(B86,Data!$A:$AX,MATCH($Q$1,Data!$A$1:$AX$1,),)-VLOOKUP(EDATE(B86,-12),Data!$A:$AX,MATCH($Q$1,Data!$A$1:$AX$1,),))/VLOOKUP(EDATE(B86,-12),Data!$A:$AX,MATCH($Q$1,Data!$A$1:$AX$1,),)</f>
        <v/>
      </c>
      <c r="R86" s="20">
        <f>(VLOOKUP(B86,Data!$A:$AX,MATCH($R$1,Data!$A$1:$AX$1,),)-VLOOKUP(EDATE(B86,-12),Data!$A:$AX,MATCH($R$1,Data!$A$1:$AX$1,),))/VLOOKUP(EDATE(B86,-12),Data!$A:$AX,MATCH($R$1,Data!$A$1:$AX$1,),)</f>
        <v/>
      </c>
      <c r="S86" s="20">
        <f>(VLOOKUP(B86,Data!$A:$AX,MATCH($S$1,Data!$A$1:$AX$1,),)-VLOOKUP(EDATE(B86,-12),Data!$A:$AX,MATCH($S$1,Data!$A$1:$AX$1,),))/VLOOKUP(EDATE(B86,-12),Data!$A:$AX,MATCH($S$1,Data!$A$1:$AX$1,),)</f>
        <v/>
      </c>
      <c r="T86" s="20">
        <f>(VLOOKUP(B86,Data!$A:$AX,MATCH($T$1,Data!$A$1:$AX$1,),)-VLOOKUP(EDATE(B86,-12),Data!$A:$AX,MATCH($T$1,Data!$A$1:$AX$1,),))/VLOOKUP(EDATE(B86,-12),Data!$A:$AX,MATCH($T$1,Data!$A$1:$AX$1,),)</f>
        <v/>
      </c>
      <c r="U86" s="20">
        <f>(VLOOKUP(B86,Data!$A:$AX,MATCH($U$1,Data!$A$1:$AX$1,),)-VLOOKUP(EDATE(B86,-12),Data!$A:$AX,MATCH($U$1,Data!$A$1:$AX$1,),))/VLOOKUP(EDATE(B86,-12),Data!$A:$AX,MATCH($U$1,Data!$A$1:$AX$1,),)</f>
        <v/>
      </c>
      <c r="V86" s="20">
        <f>(VLOOKUP(B86,Data!$A:$AX,MATCH($V$1,Data!$A$1:$AX$1,),)-VLOOKUP(EDATE(B86,-12),Data!$A:$AX,MATCH($V$1,Data!$A$1:$AX$1,),))/VLOOKUP(EDATE(B86,-12),Data!$A:$AX,MATCH($V$1,Data!$A$1:$AX$1,),)</f>
        <v/>
      </c>
      <c r="W86" s="20">
        <f>(VLOOKUP(B86,Data!$A:$AX,MATCH($W$1,Data!$A$1:$AX$1,),)-VLOOKUP(EDATE(B86,-12),Data!$A:$AX,MATCH($W$1,Data!$A$1:$AX$1,),))/VLOOKUP(EDATE(B86,-12),Data!$A:$AX,MATCH($W$1,Data!$A$1:$AX$1,),)</f>
        <v/>
      </c>
      <c r="X86" s="20">
        <f>(VLOOKUP(B86,Data!$A:$AX,MATCH($X$1,Data!$A$1:$AX$1,),)-VLOOKUP(EDATE(B86,-12),Data!$A:$AX,MATCH($X$1,Data!$A$1:$AX$1,),))/VLOOKUP(EDATE(B86,-12),Data!$A:$AX,MATCH($X$1,Data!$A$1:$AX$1,),)</f>
        <v/>
      </c>
      <c r="Y86" s="20">
        <f>(VLOOKUP(B86,Data!$A:$AX,MATCH($Y$1,Data!$A$1:$AX$1,),)-VLOOKUP(EDATE(B86,-12),Data!$A:$AX,MATCH($Y$1,Data!$A$1:$AX$1,),))/VLOOKUP(EDATE(B86,-12),Data!$A:$AX,MATCH($Y$1,Data!$A$1:$AX$1,),)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(VLOOKUP(B87,Data!$A:$AX,MATCH($C$1,Data!$A$1:$AX$1,),)-VLOOKUP(EDATE(B87,-12),Data!$A:$AX,MATCH($C$1,Data!$A$1:$AX$1,),))/VLOOKUP(EDATE(B87,-12),Data!$A:$AX,MATCH($C$1,Data!$A$1:$AX$1,),)</f>
        <v/>
      </c>
      <c r="D87" s="20">
        <f>(VLOOKUP(B87,Data!$A:$AX,MATCH($D$1,Data!$A$1:$AX$1,),)-VLOOKUP(EDATE(B87,-12),Data!$A:$AX,MATCH($D$1,Data!$A$1:$AX$1,),))/VLOOKUP(EDATE(B87,-12),Data!$A:$AX,MATCH($D$1,Data!$A$1:$AX$1,),)</f>
        <v/>
      </c>
      <c r="E87" s="20">
        <f>(VLOOKUP(B87,Data!$A:$AX,MATCH($E$1,Data!$A$1:$AX$1,),)-VLOOKUP(EDATE(B87,-12),Data!$A:$AX,MATCH($E$1,Data!$A$1:$AX$1,),))/VLOOKUP(EDATE(B87,-12),Data!$A:$AX,MATCH($E$1,Data!$A$1:$AX$1,),)</f>
        <v/>
      </c>
      <c r="F87" s="20">
        <f>(VLOOKUP(B87,Data!$A:$AX,MATCH($F$1,Data!$A$1:$AX$1,),)-VLOOKUP(EDATE(B87,-12),Data!$A:$AX,MATCH($F$1,Data!$A$1:$AX$1,),))/VLOOKUP(EDATE(B87,-12),Data!$A:$AX,MATCH($F$1,Data!$A$1:$AX$1,),)</f>
        <v/>
      </c>
      <c r="G87" s="20">
        <f>(VLOOKUP(B87,Data!$A:$AX,MATCH($G$1,Data!$A$1:$AX$1,),)-VLOOKUP(EDATE(B87,-12),Data!$A:$AX,MATCH($G$1,Data!$A$1:$AX$1,),))/VLOOKUP(EDATE(B87,-12),Data!$A:$AX,MATCH($G$1,Data!$A$1:$AX$1,),)</f>
        <v/>
      </c>
      <c r="H87" s="20">
        <f>(VLOOKUP(B87,Data!$A:$AX,MATCH($H$1,Data!$A$1:$AX$1,),)-VLOOKUP(EDATE(B87,-12),Data!$A:$AX,MATCH($H$1,Data!$A$1:$AX$1,),))/VLOOKUP(EDATE(B87,-12),Data!$A:$AX,MATCH($H$1,Data!$A$1:$AX$1,),)</f>
        <v/>
      </c>
      <c r="I87" s="20">
        <f>(VLOOKUP(B87,Data!$A:$AX,MATCH($I$1,Data!$A$1:$AX$1,),)-VLOOKUP(EDATE(B87,-12),Data!$A:$AX,MATCH($I$1,Data!$A$1:$AX$1,),))/VLOOKUP(EDATE(B87,-12),Data!$A:$AX,MATCH($I$1,Data!$A$1:$AX$1,),)</f>
        <v/>
      </c>
      <c r="J87" s="20">
        <f>(VLOOKUP(B87,Data!$A:$AX,MATCH($J$1,Data!$A$1:$AX$1,),)-VLOOKUP(EDATE(B87,-12),Data!$A:$AX,MATCH($J$1,Data!$A$1:$AX$1,),))/VLOOKUP(EDATE(B87,-12),Data!$A:$AX,MATCH($J$1,Data!$A$1:$AX$1,),)</f>
        <v/>
      </c>
      <c r="K87" s="20">
        <f>(VLOOKUP(B87,Data!$A:$AX,MATCH($K$1,Data!$A$1:$AX$1,),)-VLOOKUP(EDATE(B87,-12),Data!$A:$AX,MATCH($K$1,Data!$A$1:$AX$1,),))/VLOOKUP(EDATE(B87,-12),Data!$A:$AX,MATCH($K$1,Data!$A$1:$AX$1,),)</f>
        <v/>
      </c>
      <c r="L87" s="20">
        <f>(VLOOKUP(B87,Data!$A:$AX,MATCH($L$1,Data!$A$1:$AX$1,),)-VLOOKUP(EDATE(B87,-12),Data!$A:$AX,MATCH($L$1,Data!$A$1:$AX$1,),))/VLOOKUP(EDATE(B87,-12),Data!$A:$AX,MATCH($L$1,Data!$A$1:$AX$1,),)</f>
        <v/>
      </c>
      <c r="M87" s="20">
        <f>(VLOOKUP(B87,Data!$A:$AX,MATCH($M$1,Data!$A$1:$AX$1,),)-VLOOKUP(EDATE(B87,-12),Data!$A:$AX,MATCH($M$1,Data!$A$1:$AX$1,),))/VLOOKUP(EDATE(B87,-12),Data!$A:$AX,MATCH($M$1,Data!$A$1:$AX$1,),)</f>
        <v/>
      </c>
      <c r="N87" s="20">
        <f>(VLOOKUP(B87,Data!$A:$AX,MATCH($N$1,Data!$A$1:$AX$1,),)-VLOOKUP(EDATE(B87,-12),Data!$A:$AX,MATCH($N$1,Data!$A$1:$AX$1,),))/VLOOKUP(EDATE(B87,-12),Data!$A:$AX,MATCH($N$1,Data!$A$1:$AX$1,),)</f>
        <v/>
      </c>
      <c r="O87" s="20">
        <f>(VLOOKUP(B87,Data!$A:$AX,MATCH($O$1,Data!$A$1:$AX$1,),)-VLOOKUP(EDATE(B87,-12),Data!$A:$AX,MATCH($O$1,Data!$A$1:$AX$1,),))/VLOOKUP(EDATE(B87,-12),Data!$A:$AX,MATCH($O$1,Data!$A$1:$AX$1,),)</f>
        <v/>
      </c>
      <c r="P87" s="20">
        <f>(VLOOKUP(B87,Data!$A:$AX,MATCH($P$1,Data!$A$1:$AX$1,),)-VLOOKUP(EDATE(B87,-12),Data!$A:$AX,MATCH($P$1,Data!$A$1:$AX$1,),))/VLOOKUP(EDATE(B87,-12),Data!$A:$AX,MATCH($P$1,Data!$A$1:$AX$1,),)</f>
        <v/>
      </c>
      <c r="Q87" s="20">
        <f>(VLOOKUP(B87,Data!$A:$AX,MATCH($Q$1,Data!$A$1:$AX$1,),)-VLOOKUP(EDATE(B87,-12),Data!$A:$AX,MATCH($Q$1,Data!$A$1:$AX$1,),))/VLOOKUP(EDATE(B87,-12),Data!$A:$AX,MATCH($Q$1,Data!$A$1:$AX$1,),)</f>
        <v/>
      </c>
      <c r="R87" s="20">
        <f>(VLOOKUP(B87,Data!$A:$AX,MATCH($R$1,Data!$A$1:$AX$1,),)-VLOOKUP(EDATE(B87,-12),Data!$A:$AX,MATCH($R$1,Data!$A$1:$AX$1,),))/VLOOKUP(EDATE(B87,-12),Data!$A:$AX,MATCH($R$1,Data!$A$1:$AX$1,),)</f>
        <v/>
      </c>
      <c r="S87" s="20">
        <f>(VLOOKUP(B87,Data!$A:$AX,MATCH($S$1,Data!$A$1:$AX$1,),)-VLOOKUP(EDATE(B87,-12),Data!$A:$AX,MATCH($S$1,Data!$A$1:$AX$1,),))/VLOOKUP(EDATE(B87,-12),Data!$A:$AX,MATCH($S$1,Data!$A$1:$AX$1,),)</f>
        <v/>
      </c>
      <c r="T87" s="20">
        <f>(VLOOKUP(B87,Data!$A:$AX,MATCH($T$1,Data!$A$1:$AX$1,),)-VLOOKUP(EDATE(B87,-12),Data!$A:$AX,MATCH($T$1,Data!$A$1:$AX$1,),))/VLOOKUP(EDATE(B87,-12),Data!$A:$AX,MATCH($T$1,Data!$A$1:$AX$1,),)</f>
        <v/>
      </c>
      <c r="U87" s="20">
        <f>(VLOOKUP(B87,Data!$A:$AX,MATCH($U$1,Data!$A$1:$AX$1,),)-VLOOKUP(EDATE(B87,-12),Data!$A:$AX,MATCH($U$1,Data!$A$1:$AX$1,),))/VLOOKUP(EDATE(B87,-12),Data!$A:$AX,MATCH($U$1,Data!$A$1:$AX$1,),)</f>
        <v/>
      </c>
      <c r="V87" s="20">
        <f>(VLOOKUP(B87,Data!$A:$AX,MATCH($V$1,Data!$A$1:$AX$1,),)-VLOOKUP(EDATE(B87,-12),Data!$A:$AX,MATCH($V$1,Data!$A$1:$AX$1,),))/VLOOKUP(EDATE(B87,-12),Data!$A:$AX,MATCH($V$1,Data!$A$1:$AX$1,),)</f>
        <v/>
      </c>
      <c r="W87" s="20">
        <f>(VLOOKUP(B87,Data!$A:$AX,MATCH($W$1,Data!$A$1:$AX$1,),)-VLOOKUP(EDATE(B87,-12),Data!$A:$AX,MATCH($W$1,Data!$A$1:$AX$1,),))/VLOOKUP(EDATE(B87,-12),Data!$A:$AX,MATCH($W$1,Data!$A$1:$AX$1,),)</f>
        <v/>
      </c>
      <c r="X87" s="20">
        <f>(VLOOKUP(B87,Data!$A:$AX,MATCH($X$1,Data!$A$1:$AX$1,),)-VLOOKUP(EDATE(B87,-12),Data!$A:$AX,MATCH($X$1,Data!$A$1:$AX$1,),))/VLOOKUP(EDATE(B87,-12),Data!$A:$AX,MATCH($X$1,Data!$A$1:$AX$1,),)</f>
        <v/>
      </c>
      <c r="Y87" s="20">
        <f>(VLOOKUP(B87,Data!$A:$AX,MATCH($Y$1,Data!$A$1:$AX$1,),)-VLOOKUP(EDATE(B87,-12),Data!$A:$AX,MATCH($Y$1,Data!$A$1:$AX$1,),))/VLOOKUP(EDATE(B87,-12),Data!$A:$AX,MATCH($Y$1,Data!$A$1:$AX$1,),)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(VLOOKUP(B88,Data!$A:$AX,MATCH($C$1,Data!$A$1:$AX$1,),)-VLOOKUP(EDATE(B88,-12),Data!$A:$AX,MATCH($C$1,Data!$A$1:$AX$1,),))/VLOOKUP(EDATE(B88,-12),Data!$A:$AX,MATCH($C$1,Data!$A$1:$AX$1,),)</f>
        <v/>
      </c>
      <c r="D88" s="20">
        <f>(VLOOKUP(B88,Data!$A:$AX,MATCH($D$1,Data!$A$1:$AX$1,),)-VLOOKUP(EDATE(B88,-12),Data!$A:$AX,MATCH($D$1,Data!$A$1:$AX$1,),))/VLOOKUP(EDATE(B88,-12),Data!$A:$AX,MATCH($D$1,Data!$A$1:$AX$1,),)</f>
        <v/>
      </c>
      <c r="E88" s="20">
        <f>(VLOOKUP(B88,Data!$A:$AX,MATCH($E$1,Data!$A$1:$AX$1,),)-VLOOKUP(EDATE(B88,-12),Data!$A:$AX,MATCH($E$1,Data!$A$1:$AX$1,),))/VLOOKUP(EDATE(B88,-12),Data!$A:$AX,MATCH($E$1,Data!$A$1:$AX$1,),)</f>
        <v/>
      </c>
      <c r="F88" s="20">
        <f>(VLOOKUP(B88,Data!$A:$AX,MATCH($F$1,Data!$A$1:$AX$1,),)-VLOOKUP(EDATE(B88,-12),Data!$A:$AX,MATCH($F$1,Data!$A$1:$AX$1,),))/VLOOKUP(EDATE(B88,-12),Data!$A:$AX,MATCH($F$1,Data!$A$1:$AX$1,),)</f>
        <v/>
      </c>
      <c r="G88" s="20">
        <f>(VLOOKUP(B88,Data!$A:$AX,MATCH($G$1,Data!$A$1:$AX$1,),)-VLOOKUP(EDATE(B88,-12),Data!$A:$AX,MATCH($G$1,Data!$A$1:$AX$1,),))/VLOOKUP(EDATE(B88,-12),Data!$A:$AX,MATCH($G$1,Data!$A$1:$AX$1,),)</f>
        <v/>
      </c>
      <c r="H88" s="20">
        <f>(VLOOKUP(B88,Data!$A:$AX,MATCH($H$1,Data!$A$1:$AX$1,),)-VLOOKUP(EDATE(B88,-12),Data!$A:$AX,MATCH($H$1,Data!$A$1:$AX$1,),))/VLOOKUP(EDATE(B88,-12),Data!$A:$AX,MATCH($H$1,Data!$A$1:$AX$1,),)</f>
        <v/>
      </c>
      <c r="I88" s="20">
        <f>(VLOOKUP(B88,Data!$A:$AX,MATCH($I$1,Data!$A$1:$AX$1,),)-VLOOKUP(EDATE(B88,-12),Data!$A:$AX,MATCH($I$1,Data!$A$1:$AX$1,),))/VLOOKUP(EDATE(B88,-12),Data!$A:$AX,MATCH($I$1,Data!$A$1:$AX$1,),)</f>
        <v/>
      </c>
      <c r="J88" s="20">
        <f>(VLOOKUP(B88,Data!$A:$AX,MATCH($J$1,Data!$A$1:$AX$1,),)-VLOOKUP(EDATE(B88,-12),Data!$A:$AX,MATCH($J$1,Data!$A$1:$AX$1,),))/VLOOKUP(EDATE(B88,-12),Data!$A:$AX,MATCH($J$1,Data!$A$1:$AX$1,),)</f>
        <v/>
      </c>
      <c r="K88" s="20">
        <f>(VLOOKUP(B88,Data!$A:$AX,MATCH($K$1,Data!$A$1:$AX$1,),)-VLOOKUP(EDATE(B88,-12),Data!$A:$AX,MATCH($K$1,Data!$A$1:$AX$1,),))/VLOOKUP(EDATE(B88,-12),Data!$A:$AX,MATCH($K$1,Data!$A$1:$AX$1,),)</f>
        <v/>
      </c>
      <c r="L88" s="20">
        <f>(VLOOKUP(B88,Data!$A:$AX,MATCH($L$1,Data!$A$1:$AX$1,),)-VLOOKUP(EDATE(B88,-12),Data!$A:$AX,MATCH($L$1,Data!$A$1:$AX$1,),))/VLOOKUP(EDATE(B88,-12),Data!$A:$AX,MATCH($L$1,Data!$A$1:$AX$1,),)</f>
        <v/>
      </c>
      <c r="M88" s="20">
        <f>(VLOOKUP(B88,Data!$A:$AX,MATCH($M$1,Data!$A$1:$AX$1,),)-VLOOKUP(EDATE(B88,-12),Data!$A:$AX,MATCH($M$1,Data!$A$1:$AX$1,),))/VLOOKUP(EDATE(B88,-12),Data!$A:$AX,MATCH($M$1,Data!$A$1:$AX$1,),)</f>
        <v/>
      </c>
      <c r="N88" s="20">
        <f>(VLOOKUP(B88,Data!$A:$AX,MATCH($N$1,Data!$A$1:$AX$1,),)-VLOOKUP(EDATE(B88,-12),Data!$A:$AX,MATCH($N$1,Data!$A$1:$AX$1,),))/VLOOKUP(EDATE(B88,-12),Data!$A:$AX,MATCH($N$1,Data!$A$1:$AX$1,),)</f>
        <v/>
      </c>
      <c r="O88" s="20">
        <f>(VLOOKUP(B88,Data!$A:$AX,MATCH($O$1,Data!$A$1:$AX$1,),)-VLOOKUP(EDATE(B88,-12),Data!$A:$AX,MATCH($O$1,Data!$A$1:$AX$1,),))/VLOOKUP(EDATE(B88,-12),Data!$A:$AX,MATCH($O$1,Data!$A$1:$AX$1,),)</f>
        <v/>
      </c>
      <c r="P88" s="20">
        <f>(VLOOKUP(B88,Data!$A:$AX,MATCH($P$1,Data!$A$1:$AX$1,),)-VLOOKUP(EDATE(B88,-12),Data!$A:$AX,MATCH($P$1,Data!$A$1:$AX$1,),))/VLOOKUP(EDATE(B88,-12),Data!$A:$AX,MATCH($P$1,Data!$A$1:$AX$1,),)</f>
        <v/>
      </c>
      <c r="Q88" s="20">
        <f>(VLOOKUP(B88,Data!$A:$AX,MATCH($Q$1,Data!$A$1:$AX$1,),)-VLOOKUP(EDATE(B88,-12),Data!$A:$AX,MATCH($Q$1,Data!$A$1:$AX$1,),))/VLOOKUP(EDATE(B88,-12),Data!$A:$AX,MATCH($Q$1,Data!$A$1:$AX$1,),)</f>
        <v/>
      </c>
      <c r="R88" s="20">
        <f>(VLOOKUP(B88,Data!$A:$AX,MATCH($R$1,Data!$A$1:$AX$1,),)-VLOOKUP(EDATE(B88,-12),Data!$A:$AX,MATCH($R$1,Data!$A$1:$AX$1,),))/VLOOKUP(EDATE(B88,-12),Data!$A:$AX,MATCH($R$1,Data!$A$1:$AX$1,),)</f>
        <v/>
      </c>
      <c r="S88" s="20">
        <f>(VLOOKUP(B88,Data!$A:$AX,MATCH($S$1,Data!$A$1:$AX$1,),)-VLOOKUP(EDATE(B88,-12),Data!$A:$AX,MATCH($S$1,Data!$A$1:$AX$1,),))/VLOOKUP(EDATE(B88,-12),Data!$A:$AX,MATCH($S$1,Data!$A$1:$AX$1,),)</f>
        <v/>
      </c>
      <c r="T88" s="20">
        <f>(VLOOKUP(B88,Data!$A:$AX,MATCH($T$1,Data!$A$1:$AX$1,),)-VLOOKUP(EDATE(B88,-12),Data!$A:$AX,MATCH($T$1,Data!$A$1:$AX$1,),))/VLOOKUP(EDATE(B88,-12),Data!$A:$AX,MATCH($T$1,Data!$A$1:$AX$1,),)</f>
        <v/>
      </c>
      <c r="U88" s="20">
        <f>(VLOOKUP(B88,Data!$A:$AX,MATCH($U$1,Data!$A$1:$AX$1,),)-VLOOKUP(EDATE(B88,-12),Data!$A:$AX,MATCH($U$1,Data!$A$1:$AX$1,),))/VLOOKUP(EDATE(B88,-12),Data!$A:$AX,MATCH($U$1,Data!$A$1:$AX$1,),)</f>
        <v/>
      </c>
      <c r="V88" s="20">
        <f>(VLOOKUP(B88,Data!$A:$AX,MATCH($V$1,Data!$A$1:$AX$1,),)-VLOOKUP(EDATE(B88,-12),Data!$A:$AX,MATCH($V$1,Data!$A$1:$AX$1,),))/VLOOKUP(EDATE(B88,-12),Data!$A:$AX,MATCH($V$1,Data!$A$1:$AX$1,),)</f>
        <v/>
      </c>
      <c r="W88" s="20">
        <f>(VLOOKUP(B88,Data!$A:$AX,MATCH($W$1,Data!$A$1:$AX$1,),)-VLOOKUP(EDATE(B88,-12),Data!$A:$AX,MATCH($W$1,Data!$A$1:$AX$1,),))/VLOOKUP(EDATE(B88,-12),Data!$A:$AX,MATCH($W$1,Data!$A$1:$AX$1,),)</f>
        <v/>
      </c>
      <c r="X88" s="20">
        <f>(VLOOKUP(B88,Data!$A:$AX,MATCH($X$1,Data!$A$1:$AX$1,),)-VLOOKUP(EDATE(B88,-12),Data!$A:$AX,MATCH($X$1,Data!$A$1:$AX$1,),))/VLOOKUP(EDATE(B88,-12),Data!$A:$AX,MATCH($X$1,Data!$A$1:$AX$1,),)</f>
        <v/>
      </c>
      <c r="Y88" s="20">
        <f>(VLOOKUP(B88,Data!$A:$AX,MATCH($Y$1,Data!$A$1:$AX$1,),)-VLOOKUP(EDATE(B88,-12),Data!$A:$AX,MATCH($Y$1,Data!$A$1:$AX$1,),))/VLOOKUP(EDATE(B88,-12),Data!$A:$AX,MATCH($Y$1,Data!$A$1:$AX$1,),)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(VLOOKUP(B89,Data!$A:$AX,MATCH($C$1,Data!$A$1:$AX$1,),)-VLOOKUP(EDATE(B89,-12),Data!$A:$AX,MATCH($C$1,Data!$A$1:$AX$1,),))/VLOOKUP(EDATE(B89,-12),Data!$A:$AX,MATCH($C$1,Data!$A$1:$AX$1,),)</f>
        <v/>
      </c>
      <c r="D89" s="20">
        <f>(VLOOKUP(B89,Data!$A:$AX,MATCH($D$1,Data!$A$1:$AX$1,),)-VLOOKUP(EDATE(B89,-12),Data!$A:$AX,MATCH($D$1,Data!$A$1:$AX$1,),))/VLOOKUP(EDATE(B89,-12),Data!$A:$AX,MATCH($D$1,Data!$A$1:$AX$1,),)</f>
        <v/>
      </c>
      <c r="E89" s="20">
        <f>(VLOOKUP(B89,Data!$A:$AX,MATCH($E$1,Data!$A$1:$AX$1,),)-VLOOKUP(EDATE(B89,-12),Data!$A:$AX,MATCH($E$1,Data!$A$1:$AX$1,),))/VLOOKUP(EDATE(B89,-12),Data!$A:$AX,MATCH($E$1,Data!$A$1:$AX$1,),)</f>
        <v/>
      </c>
      <c r="F89" s="20">
        <f>(VLOOKUP(B89,Data!$A:$AX,MATCH($F$1,Data!$A$1:$AX$1,),)-VLOOKUP(EDATE(B89,-12),Data!$A:$AX,MATCH($F$1,Data!$A$1:$AX$1,),))/VLOOKUP(EDATE(B89,-12),Data!$A:$AX,MATCH($F$1,Data!$A$1:$AX$1,),)</f>
        <v/>
      </c>
      <c r="G89" s="20">
        <f>(VLOOKUP(B89,Data!$A:$AX,MATCH($G$1,Data!$A$1:$AX$1,),)-VLOOKUP(EDATE(B89,-12),Data!$A:$AX,MATCH($G$1,Data!$A$1:$AX$1,),))/VLOOKUP(EDATE(B89,-12),Data!$A:$AX,MATCH($G$1,Data!$A$1:$AX$1,),)</f>
        <v/>
      </c>
      <c r="H89" s="20">
        <f>(VLOOKUP(B89,Data!$A:$AX,MATCH($H$1,Data!$A$1:$AX$1,),)-VLOOKUP(EDATE(B89,-12),Data!$A:$AX,MATCH($H$1,Data!$A$1:$AX$1,),))/VLOOKUP(EDATE(B89,-12),Data!$A:$AX,MATCH($H$1,Data!$A$1:$AX$1,),)</f>
        <v/>
      </c>
      <c r="I89" s="20">
        <f>(VLOOKUP(B89,Data!$A:$AX,MATCH($I$1,Data!$A$1:$AX$1,),)-VLOOKUP(EDATE(B89,-12),Data!$A:$AX,MATCH($I$1,Data!$A$1:$AX$1,),))/VLOOKUP(EDATE(B89,-12),Data!$A:$AX,MATCH($I$1,Data!$A$1:$AX$1,),)</f>
        <v/>
      </c>
      <c r="J89" s="20">
        <f>(VLOOKUP(B89,Data!$A:$AX,MATCH($J$1,Data!$A$1:$AX$1,),)-VLOOKUP(EDATE(B89,-12),Data!$A:$AX,MATCH($J$1,Data!$A$1:$AX$1,),))/VLOOKUP(EDATE(B89,-12),Data!$A:$AX,MATCH($J$1,Data!$A$1:$AX$1,),)</f>
        <v/>
      </c>
      <c r="K89" s="20">
        <f>(VLOOKUP(B89,Data!$A:$AX,MATCH($K$1,Data!$A$1:$AX$1,),)-VLOOKUP(EDATE(B89,-12),Data!$A:$AX,MATCH($K$1,Data!$A$1:$AX$1,),))/VLOOKUP(EDATE(B89,-12),Data!$A:$AX,MATCH($K$1,Data!$A$1:$AX$1,),)</f>
        <v/>
      </c>
      <c r="L89" s="20">
        <f>(VLOOKUP(B89,Data!$A:$AX,MATCH($L$1,Data!$A$1:$AX$1,),)-VLOOKUP(EDATE(B89,-12),Data!$A:$AX,MATCH($L$1,Data!$A$1:$AX$1,),))/VLOOKUP(EDATE(B89,-12),Data!$A:$AX,MATCH($L$1,Data!$A$1:$AX$1,),)</f>
        <v/>
      </c>
      <c r="M89" s="20">
        <f>(VLOOKUP(B89,Data!$A:$AX,MATCH($M$1,Data!$A$1:$AX$1,),)-VLOOKUP(EDATE(B89,-12),Data!$A:$AX,MATCH($M$1,Data!$A$1:$AX$1,),))/VLOOKUP(EDATE(B89,-12),Data!$A:$AX,MATCH($M$1,Data!$A$1:$AX$1,),)</f>
        <v/>
      </c>
      <c r="N89" s="20">
        <f>(VLOOKUP(B89,Data!$A:$AX,MATCH($N$1,Data!$A$1:$AX$1,),)-VLOOKUP(EDATE(B89,-12),Data!$A:$AX,MATCH($N$1,Data!$A$1:$AX$1,),))/VLOOKUP(EDATE(B89,-12),Data!$A:$AX,MATCH($N$1,Data!$A$1:$AX$1,),)</f>
        <v/>
      </c>
      <c r="O89" s="20">
        <f>(VLOOKUP(B89,Data!$A:$AX,MATCH($O$1,Data!$A$1:$AX$1,),)-VLOOKUP(EDATE(B89,-12),Data!$A:$AX,MATCH($O$1,Data!$A$1:$AX$1,),))/VLOOKUP(EDATE(B89,-12),Data!$A:$AX,MATCH($O$1,Data!$A$1:$AX$1,),)</f>
        <v/>
      </c>
      <c r="P89" s="20">
        <f>(VLOOKUP(B89,Data!$A:$AX,MATCH($P$1,Data!$A$1:$AX$1,),)-VLOOKUP(EDATE(B89,-12),Data!$A:$AX,MATCH($P$1,Data!$A$1:$AX$1,),))/VLOOKUP(EDATE(B89,-12),Data!$A:$AX,MATCH($P$1,Data!$A$1:$AX$1,),)</f>
        <v/>
      </c>
      <c r="Q89" s="20">
        <f>(VLOOKUP(B89,Data!$A:$AX,MATCH($Q$1,Data!$A$1:$AX$1,),)-VLOOKUP(EDATE(B89,-12),Data!$A:$AX,MATCH($Q$1,Data!$A$1:$AX$1,),))/VLOOKUP(EDATE(B89,-12),Data!$A:$AX,MATCH($Q$1,Data!$A$1:$AX$1,),)</f>
        <v/>
      </c>
      <c r="R89" s="20">
        <f>(VLOOKUP(B89,Data!$A:$AX,MATCH($R$1,Data!$A$1:$AX$1,),)-VLOOKUP(EDATE(B89,-12),Data!$A:$AX,MATCH($R$1,Data!$A$1:$AX$1,),))/VLOOKUP(EDATE(B89,-12),Data!$A:$AX,MATCH($R$1,Data!$A$1:$AX$1,),)</f>
        <v/>
      </c>
      <c r="S89" s="20">
        <f>(VLOOKUP(B89,Data!$A:$AX,MATCH($S$1,Data!$A$1:$AX$1,),)-VLOOKUP(EDATE(B89,-12),Data!$A:$AX,MATCH($S$1,Data!$A$1:$AX$1,),))/VLOOKUP(EDATE(B89,-12),Data!$A:$AX,MATCH($S$1,Data!$A$1:$AX$1,),)</f>
        <v/>
      </c>
      <c r="T89" s="20">
        <f>(VLOOKUP(B89,Data!$A:$AX,MATCH($T$1,Data!$A$1:$AX$1,),)-VLOOKUP(EDATE(B89,-12),Data!$A:$AX,MATCH($T$1,Data!$A$1:$AX$1,),))/VLOOKUP(EDATE(B89,-12),Data!$A:$AX,MATCH($T$1,Data!$A$1:$AX$1,),)</f>
        <v/>
      </c>
      <c r="U89" s="20">
        <f>(VLOOKUP(B89,Data!$A:$AX,MATCH($U$1,Data!$A$1:$AX$1,),)-VLOOKUP(EDATE(B89,-12),Data!$A:$AX,MATCH($U$1,Data!$A$1:$AX$1,),))/VLOOKUP(EDATE(B89,-12),Data!$A:$AX,MATCH($U$1,Data!$A$1:$AX$1,),)</f>
        <v/>
      </c>
      <c r="V89" s="20">
        <f>(VLOOKUP(B89,Data!$A:$AX,MATCH($V$1,Data!$A$1:$AX$1,),)-VLOOKUP(EDATE(B89,-12),Data!$A:$AX,MATCH($V$1,Data!$A$1:$AX$1,),))/VLOOKUP(EDATE(B89,-12),Data!$A:$AX,MATCH($V$1,Data!$A$1:$AX$1,),)</f>
        <v/>
      </c>
      <c r="W89" s="20">
        <f>(VLOOKUP(B89,Data!$A:$AX,MATCH($W$1,Data!$A$1:$AX$1,),)-VLOOKUP(EDATE(B89,-12),Data!$A:$AX,MATCH($W$1,Data!$A$1:$AX$1,),))/VLOOKUP(EDATE(B89,-12),Data!$A:$AX,MATCH($W$1,Data!$A$1:$AX$1,),)</f>
        <v/>
      </c>
      <c r="X89" s="20">
        <f>(VLOOKUP(B89,Data!$A:$AX,MATCH($X$1,Data!$A$1:$AX$1,),)-VLOOKUP(EDATE(B89,-12),Data!$A:$AX,MATCH($X$1,Data!$A$1:$AX$1,),))/VLOOKUP(EDATE(B89,-12),Data!$A:$AX,MATCH($X$1,Data!$A$1:$AX$1,),)</f>
        <v/>
      </c>
      <c r="Y89" s="20">
        <f>(VLOOKUP(B89,Data!$A:$AX,MATCH($Y$1,Data!$A$1:$AX$1,),)-VLOOKUP(EDATE(B89,-12),Data!$A:$AX,MATCH($Y$1,Data!$A$1:$AX$1,),))/VLOOKUP(EDATE(B89,-12),Data!$A:$AX,MATCH($Y$1,Data!$A$1:$AX$1,),)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(VLOOKUP(B90,Data!$A:$AX,MATCH($C$1,Data!$A$1:$AX$1,),)-VLOOKUP(EDATE(B90,-12),Data!$A:$AX,MATCH($C$1,Data!$A$1:$AX$1,),))/VLOOKUP(EDATE(B90,-12),Data!$A:$AX,MATCH($C$1,Data!$A$1:$AX$1,),)</f>
        <v/>
      </c>
      <c r="D90" s="20">
        <f>(VLOOKUP(B90,Data!$A:$AX,MATCH($D$1,Data!$A$1:$AX$1,),)-VLOOKUP(EDATE(B90,-12),Data!$A:$AX,MATCH($D$1,Data!$A$1:$AX$1,),))/VLOOKUP(EDATE(B90,-12),Data!$A:$AX,MATCH($D$1,Data!$A$1:$AX$1,),)</f>
        <v/>
      </c>
      <c r="E90" s="20">
        <f>(VLOOKUP(B90,Data!$A:$AX,MATCH($E$1,Data!$A$1:$AX$1,),)-VLOOKUP(EDATE(B90,-12),Data!$A:$AX,MATCH($E$1,Data!$A$1:$AX$1,),))/VLOOKUP(EDATE(B90,-12),Data!$A:$AX,MATCH($E$1,Data!$A$1:$AX$1,),)</f>
        <v/>
      </c>
      <c r="F90" s="20">
        <f>(VLOOKUP(B90,Data!$A:$AX,MATCH($F$1,Data!$A$1:$AX$1,),)-VLOOKUP(EDATE(B90,-12),Data!$A:$AX,MATCH($F$1,Data!$A$1:$AX$1,),))/VLOOKUP(EDATE(B90,-12),Data!$A:$AX,MATCH($F$1,Data!$A$1:$AX$1,),)</f>
        <v/>
      </c>
      <c r="G90" s="20">
        <f>(VLOOKUP(B90,Data!$A:$AX,MATCH($G$1,Data!$A$1:$AX$1,),)-VLOOKUP(EDATE(B90,-12),Data!$A:$AX,MATCH($G$1,Data!$A$1:$AX$1,),))/VLOOKUP(EDATE(B90,-12),Data!$A:$AX,MATCH($G$1,Data!$A$1:$AX$1,),)</f>
        <v/>
      </c>
      <c r="H90" s="20">
        <f>(VLOOKUP(B90,Data!$A:$AX,MATCH($H$1,Data!$A$1:$AX$1,),)-VLOOKUP(EDATE(B90,-12),Data!$A:$AX,MATCH($H$1,Data!$A$1:$AX$1,),))/VLOOKUP(EDATE(B90,-12),Data!$A:$AX,MATCH($H$1,Data!$A$1:$AX$1,),)</f>
        <v/>
      </c>
      <c r="I90" s="20">
        <f>(VLOOKUP(B90,Data!$A:$AX,MATCH($I$1,Data!$A$1:$AX$1,),)-VLOOKUP(EDATE(B90,-12),Data!$A:$AX,MATCH($I$1,Data!$A$1:$AX$1,),))/VLOOKUP(EDATE(B90,-12),Data!$A:$AX,MATCH($I$1,Data!$A$1:$AX$1,),)</f>
        <v/>
      </c>
      <c r="J90" s="20">
        <f>(VLOOKUP(B90,Data!$A:$AX,MATCH($J$1,Data!$A$1:$AX$1,),)-VLOOKUP(EDATE(B90,-12),Data!$A:$AX,MATCH($J$1,Data!$A$1:$AX$1,),))/VLOOKUP(EDATE(B90,-12),Data!$A:$AX,MATCH($J$1,Data!$A$1:$AX$1,),)</f>
        <v/>
      </c>
      <c r="K90" s="20">
        <f>(VLOOKUP(B90,Data!$A:$AX,MATCH($K$1,Data!$A$1:$AX$1,),)-VLOOKUP(EDATE(B90,-12),Data!$A:$AX,MATCH($K$1,Data!$A$1:$AX$1,),))/VLOOKUP(EDATE(B90,-12),Data!$A:$AX,MATCH($K$1,Data!$A$1:$AX$1,),)</f>
        <v/>
      </c>
      <c r="L90" s="20">
        <f>(VLOOKUP(B90,Data!$A:$AX,MATCH($L$1,Data!$A$1:$AX$1,),)-VLOOKUP(EDATE(B90,-12),Data!$A:$AX,MATCH($L$1,Data!$A$1:$AX$1,),))/VLOOKUP(EDATE(B90,-12),Data!$A:$AX,MATCH($L$1,Data!$A$1:$AX$1,),)</f>
        <v/>
      </c>
      <c r="M90" s="20">
        <f>(VLOOKUP(B90,Data!$A:$AX,MATCH($M$1,Data!$A$1:$AX$1,),)-VLOOKUP(EDATE(B90,-12),Data!$A:$AX,MATCH($M$1,Data!$A$1:$AX$1,),))/VLOOKUP(EDATE(B90,-12),Data!$A:$AX,MATCH($M$1,Data!$A$1:$AX$1,),)</f>
        <v/>
      </c>
      <c r="N90" s="20">
        <f>(VLOOKUP(B90,Data!$A:$AX,MATCH($N$1,Data!$A$1:$AX$1,),)-VLOOKUP(EDATE(B90,-12),Data!$A:$AX,MATCH($N$1,Data!$A$1:$AX$1,),))/VLOOKUP(EDATE(B90,-12),Data!$A:$AX,MATCH($N$1,Data!$A$1:$AX$1,),)</f>
        <v/>
      </c>
      <c r="O90" s="20">
        <f>(VLOOKUP(B90,Data!$A:$AX,MATCH($O$1,Data!$A$1:$AX$1,),)-VLOOKUP(EDATE(B90,-12),Data!$A:$AX,MATCH($O$1,Data!$A$1:$AX$1,),))/VLOOKUP(EDATE(B90,-12),Data!$A:$AX,MATCH($O$1,Data!$A$1:$AX$1,),)</f>
        <v/>
      </c>
      <c r="P90" s="20">
        <f>(VLOOKUP(B90,Data!$A:$AX,MATCH($P$1,Data!$A$1:$AX$1,),)-VLOOKUP(EDATE(B90,-12),Data!$A:$AX,MATCH($P$1,Data!$A$1:$AX$1,),))/VLOOKUP(EDATE(B90,-12),Data!$A:$AX,MATCH($P$1,Data!$A$1:$AX$1,),)</f>
        <v/>
      </c>
      <c r="Q90" s="20">
        <f>(VLOOKUP(B90,Data!$A:$AX,MATCH($Q$1,Data!$A$1:$AX$1,),)-VLOOKUP(EDATE(B90,-12),Data!$A:$AX,MATCH($Q$1,Data!$A$1:$AX$1,),))/VLOOKUP(EDATE(B90,-12),Data!$A:$AX,MATCH($Q$1,Data!$A$1:$AX$1,),)</f>
        <v/>
      </c>
      <c r="R90" s="20">
        <f>(VLOOKUP(B90,Data!$A:$AX,MATCH($R$1,Data!$A$1:$AX$1,),)-VLOOKUP(EDATE(B90,-12),Data!$A:$AX,MATCH($R$1,Data!$A$1:$AX$1,),))/VLOOKUP(EDATE(B90,-12),Data!$A:$AX,MATCH($R$1,Data!$A$1:$AX$1,),)</f>
        <v/>
      </c>
      <c r="S90" s="20">
        <f>(VLOOKUP(B90,Data!$A:$AX,MATCH($S$1,Data!$A$1:$AX$1,),)-VLOOKUP(EDATE(B90,-12),Data!$A:$AX,MATCH($S$1,Data!$A$1:$AX$1,),))/VLOOKUP(EDATE(B90,-12),Data!$A:$AX,MATCH($S$1,Data!$A$1:$AX$1,),)</f>
        <v/>
      </c>
      <c r="T90" s="20">
        <f>(VLOOKUP(B90,Data!$A:$AX,MATCH($T$1,Data!$A$1:$AX$1,),)-VLOOKUP(EDATE(B90,-12),Data!$A:$AX,MATCH($T$1,Data!$A$1:$AX$1,),))/VLOOKUP(EDATE(B90,-12),Data!$A:$AX,MATCH($T$1,Data!$A$1:$AX$1,),)</f>
        <v/>
      </c>
      <c r="U90" s="20">
        <f>(VLOOKUP(B90,Data!$A:$AX,MATCH($U$1,Data!$A$1:$AX$1,),)-VLOOKUP(EDATE(B90,-12),Data!$A:$AX,MATCH($U$1,Data!$A$1:$AX$1,),))/VLOOKUP(EDATE(B90,-12),Data!$A:$AX,MATCH($U$1,Data!$A$1:$AX$1,),)</f>
        <v/>
      </c>
      <c r="V90" s="20">
        <f>(VLOOKUP(B90,Data!$A:$AX,MATCH($V$1,Data!$A$1:$AX$1,),)-VLOOKUP(EDATE(B90,-12),Data!$A:$AX,MATCH($V$1,Data!$A$1:$AX$1,),))/VLOOKUP(EDATE(B90,-12),Data!$A:$AX,MATCH($V$1,Data!$A$1:$AX$1,),)</f>
        <v/>
      </c>
      <c r="W90" s="20">
        <f>(VLOOKUP(B90,Data!$A:$AX,MATCH($W$1,Data!$A$1:$AX$1,),)-VLOOKUP(EDATE(B90,-12),Data!$A:$AX,MATCH($W$1,Data!$A$1:$AX$1,),))/VLOOKUP(EDATE(B90,-12),Data!$A:$AX,MATCH($W$1,Data!$A$1:$AX$1,),)</f>
        <v/>
      </c>
      <c r="X90" s="20">
        <f>(VLOOKUP(B90,Data!$A:$AX,MATCH($X$1,Data!$A$1:$AX$1,),)-VLOOKUP(EDATE(B90,-12),Data!$A:$AX,MATCH($X$1,Data!$A$1:$AX$1,),))/VLOOKUP(EDATE(B90,-12),Data!$A:$AX,MATCH($X$1,Data!$A$1:$AX$1,),)</f>
        <v/>
      </c>
      <c r="Y90" s="20">
        <f>(VLOOKUP(B90,Data!$A:$AX,MATCH($Y$1,Data!$A$1:$AX$1,),)-VLOOKUP(EDATE(B90,-12),Data!$A:$AX,MATCH($Y$1,Data!$A$1:$AX$1,),))/VLOOKUP(EDATE(B90,-12),Data!$A:$AX,MATCH($Y$1,Data!$A$1:$AX$1,),)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(VLOOKUP(B91,Data!$A:$AX,MATCH($C$1,Data!$A$1:$AX$1,),)-VLOOKUP(EDATE(B91,-12),Data!$A:$AX,MATCH($C$1,Data!$A$1:$AX$1,),))/VLOOKUP(EDATE(B91,-12),Data!$A:$AX,MATCH($C$1,Data!$A$1:$AX$1,),)</f>
        <v/>
      </c>
      <c r="D91" s="20">
        <f>(VLOOKUP(B91,Data!$A:$AX,MATCH($D$1,Data!$A$1:$AX$1,),)-VLOOKUP(EDATE(B91,-12),Data!$A:$AX,MATCH($D$1,Data!$A$1:$AX$1,),))/VLOOKUP(EDATE(B91,-12),Data!$A:$AX,MATCH($D$1,Data!$A$1:$AX$1,),)</f>
        <v/>
      </c>
      <c r="E91" s="20">
        <f>(VLOOKUP(B91,Data!$A:$AX,MATCH($E$1,Data!$A$1:$AX$1,),)-VLOOKUP(EDATE(B91,-12),Data!$A:$AX,MATCH($E$1,Data!$A$1:$AX$1,),))/VLOOKUP(EDATE(B91,-12),Data!$A:$AX,MATCH($E$1,Data!$A$1:$AX$1,),)</f>
        <v/>
      </c>
      <c r="F91" s="20">
        <f>(VLOOKUP(B91,Data!$A:$AX,MATCH($F$1,Data!$A$1:$AX$1,),)-VLOOKUP(EDATE(B91,-12),Data!$A:$AX,MATCH($F$1,Data!$A$1:$AX$1,),))/VLOOKUP(EDATE(B91,-12),Data!$A:$AX,MATCH($F$1,Data!$A$1:$AX$1,),)</f>
        <v/>
      </c>
      <c r="G91" s="20">
        <f>(VLOOKUP(B91,Data!$A:$AX,MATCH($G$1,Data!$A$1:$AX$1,),)-VLOOKUP(EDATE(B91,-12),Data!$A:$AX,MATCH($G$1,Data!$A$1:$AX$1,),))/VLOOKUP(EDATE(B91,-12),Data!$A:$AX,MATCH($G$1,Data!$A$1:$AX$1,),)</f>
        <v/>
      </c>
      <c r="H91" s="20">
        <f>(VLOOKUP(B91,Data!$A:$AX,MATCH($H$1,Data!$A$1:$AX$1,),)-VLOOKUP(EDATE(B91,-12),Data!$A:$AX,MATCH($H$1,Data!$A$1:$AX$1,),))/VLOOKUP(EDATE(B91,-12),Data!$A:$AX,MATCH($H$1,Data!$A$1:$AX$1,),)</f>
        <v/>
      </c>
      <c r="I91" s="20">
        <f>(VLOOKUP(B91,Data!$A:$AX,MATCH($I$1,Data!$A$1:$AX$1,),)-VLOOKUP(EDATE(B91,-12),Data!$A:$AX,MATCH($I$1,Data!$A$1:$AX$1,),))/VLOOKUP(EDATE(B91,-12),Data!$A:$AX,MATCH($I$1,Data!$A$1:$AX$1,),)</f>
        <v/>
      </c>
      <c r="J91" s="20">
        <f>(VLOOKUP(B91,Data!$A:$AX,MATCH($J$1,Data!$A$1:$AX$1,),)-VLOOKUP(EDATE(B91,-12),Data!$A:$AX,MATCH($J$1,Data!$A$1:$AX$1,),))/VLOOKUP(EDATE(B91,-12),Data!$A:$AX,MATCH($J$1,Data!$A$1:$AX$1,),)</f>
        <v/>
      </c>
      <c r="K91" s="20">
        <f>(VLOOKUP(B91,Data!$A:$AX,MATCH($K$1,Data!$A$1:$AX$1,),)-VLOOKUP(EDATE(B91,-12),Data!$A:$AX,MATCH($K$1,Data!$A$1:$AX$1,),))/VLOOKUP(EDATE(B91,-12),Data!$A:$AX,MATCH($K$1,Data!$A$1:$AX$1,),)</f>
        <v/>
      </c>
      <c r="L91" s="20">
        <f>(VLOOKUP(B91,Data!$A:$AX,MATCH($L$1,Data!$A$1:$AX$1,),)-VLOOKUP(EDATE(B91,-12),Data!$A:$AX,MATCH($L$1,Data!$A$1:$AX$1,),))/VLOOKUP(EDATE(B91,-12),Data!$A:$AX,MATCH($L$1,Data!$A$1:$AX$1,),)</f>
        <v/>
      </c>
      <c r="M91" s="20">
        <f>(VLOOKUP(B91,Data!$A:$AX,MATCH($M$1,Data!$A$1:$AX$1,),)-VLOOKUP(EDATE(B91,-12),Data!$A:$AX,MATCH($M$1,Data!$A$1:$AX$1,),))/VLOOKUP(EDATE(B91,-12),Data!$A:$AX,MATCH($M$1,Data!$A$1:$AX$1,),)</f>
        <v/>
      </c>
      <c r="N91" s="20">
        <f>(VLOOKUP(B91,Data!$A:$AX,MATCH($N$1,Data!$A$1:$AX$1,),)-VLOOKUP(EDATE(B91,-12),Data!$A:$AX,MATCH($N$1,Data!$A$1:$AX$1,),))/VLOOKUP(EDATE(B91,-12),Data!$A:$AX,MATCH($N$1,Data!$A$1:$AX$1,),)</f>
        <v/>
      </c>
      <c r="O91" s="20">
        <f>(VLOOKUP(B91,Data!$A:$AX,MATCH($O$1,Data!$A$1:$AX$1,),)-VLOOKUP(EDATE(B91,-12),Data!$A:$AX,MATCH($O$1,Data!$A$1:$AX$1,),))/VLOOKUP(EDATE(B91,-12),Data!$A:$AX,MATCH($O$1,Data!$A$1:$AX$1,),)</f>
        <v/>
      </c>
      <c r="P91" s="20">
        <f>(VLOOKUP(B91,Data!$A:$AX,MATCH($P$1,Data!$A$1:$AX$1,),)-VLOOKUP(EDATE(B91,-12),Data!$A:$AX,MATCH($P$1,Data!$A$1:$AX$1,),))/VLOOKUP(EDATE(B91,-12),Data!$A:$AX,MATCH($P$1,Data!$A$1:$AX$1,),)</f>
        <v/>
      </c>
      <c r="Q91" s="20">
        <f>(VLOOKUP(B91,Data!$A:$AX,MATCH($Q$1,Data!$A$1:$AX$1,),)-VLOOKUP(EDATE(B91,-12),Data!$A:$AX,MATCH($Q$1,Data!$A$1:$AX$1,),))/VLOOKUP(EDATE(B91,-12),Data!$A:$AX,MATCH($Q$1,Data!$A$1:$AX$1,),)</f>
        <v/>
      </c>
      <c r="R91" s="20">
        <f>(VLOOKUP(B91,Data!$A:$AX,MATCH($R$1,Data!$A$1:$AX$1,),)-VLOOKUP(EDATE(B91,-12),Data!$A:$AX,MATCH($R$1,Data!$A$1:$AX$1,),))/VLOOKUP(EDATE(B91,-12),Data!$A:$AX,MATCH($R$1,Data!$A$1:$AX$1,),)</f>
        <v/>
      </c>
      <c r="S91" s="20">
        <f>(VLOOKUP(B91,Data!$A:$AX,MATCH($S$1,Data!$A$1:$AX$1,),)-VLOOKUP(EDATE(B91,-12),Data!$A:$AX,MATCH($S$1,Data!$A$1:$AX$1,),))/VLOOKUP(EDATE(B91,-12),Data!$A:$AX,MATCH($S$1,Data!$A$1:$AX$1,),)</f>
        <v/>
      </c>
      <c r="T91" s="20">
        <f>(VLOOKUP(B91,Data!$A:$AX,MATCH($T$1,Data!$A$1:$AX$1,),)-VLOOKUP(EDATE(B91,-12),Data!$A:$AX,MATCH($T$1,Data!$A$1:$AX$1,),))/VLOOKUP(EDATE(B91,-12),Data!$A:$AX,MATCH($T$1,Data!$A$1:$AX$1,),)</f>
        <v/>
      </c>
      <c r="U91" s="20">
        <f>(VLOOKUP(B91,Data!$A:$AX,MATCH($U$1,Data!$A$1:$AX$1,),)-VLOOKUP(EDATE(B91,-12),Data!$A:$AX,MATCH($U$1,Data!$A$1:$AX$1,),))/VLOOKUP(EDATE(B91,-12),Data!$A:$AX,MATCH($U$1,Data!$A$1:$AX$1,),)</f>
        <v/>
      </c>
      <c r="V91" s="20">
        <f>(VLOOKUP(B91,Data!$A:$AX,MATCH($V$1,Data!$A$1:$AX$1,),)-VLOOKUP(EDATE(B91,-12),Data!$A:$AX,MATCH($V$1,Data!$A$1:$AX$1,),))/VLOOKUP(EDATE(B91,-12),Data!$A:$AX,MATCH($V$1,Data!$A$1:$AX$1,),)</f>
        <v/>
      </c>
      <c r="W91" s="20">
        <f>(VLOOKUP(B91,Data!$A:$AX,MATCH($W$1,Data!$A$1:$AX$1,),)-VLOOKUP(EDATE(B91,-12),Data!$A:$AX,MATCH($W$1,Data!$A$1:$AX$1,),))/VLOOKUP(EDATE(B91,-12),Data!$A:$AX,MATCH($W$1,Data!$A$1:$AX$1,),)</f>
        <v/>
      </c>
      <c r="X91" s="20">
        <f>(VLOOKUP(B91,Data!$A:$AX,MATCH($X$1,Data!$A$1:$AX$1,),)-VLOOKUP(EDATE(B91,-12),Data!$A:$AX,MATCH($X$1,Data!$A$1:$AX$1,),))/VLOOKUP(EDATE(B91,-12),Data!$A:$AX,MATCH($X$1,Data!$A$1:$AX$1,),)</f>
        <v/>
      </c>
      <c r="Y91" s="20">
        <f>(VLOOKUP(B91,Data!$A:$AX,MATCH($Y$1,Data!$A$1:$AX$1,),)-VLOOKUP(EDATE(B91,-12),Data!$A:$AX,MATCH($Y$1,Data!$A$1:$AX$1,),))/VLOOKUP(EDATE(B91,-12),Data!$A:$AX,MATCH($Y$1,Data!$A$1:$AX$1,),)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(VLOOKUP(B92,Data!$A:$AX,MATCH($C$1,Data!$A$1:$AX$1,),)-VLOOKUP(EDATE(B92,-12),Data!$A:$AX,MATCH($C$1,Data!$A$1:$AX$1,),))/VLOOKUP(EDATE(B92,-12),Data!$A:$AX,MATCH($C$1,Data!$A$1:$AX$1,),)</f>
        <v/>
      </c>
      <c r="D92" s="20">
        <f>(VLOOKUP(B92,Data!$A:$AX,MATCH($D$1,Data!$A$1:$AX$1,),)-VLOOKUP(EDATE(B92,-12),Data!$A:$AX,MATCH($D$1,Data!$A$1:$AX$1,),))/VLOOKUP(EDATE(B92,-12),Data!$A:$AX,MATCH($D$1,Data!$A$1:$AX$1,),)</f>
        <v/>
      </c>
      <c r="E92" s="20">
        <f>(VLOOKUP(B92,Data!$A:$AX,MATCH($E$1,Data!$A$1:$AX$1,),)-VLOOKUP(EDATE(B92,-12),Data!$A:$AX,MATCH($E$1,Data!$A$1:$AX$1,),))/VLOOKUP(EDATE(B92,-12),Data!$A:$AX,MATCH($E$1,Data!$A$1:$AX$1,),)</f>
        <v/>
      </c>
      <c r="F92" s="20">
        <f>(VLOOKUP(B92,Data!$A:$AX,MATCH($F$1,Data!$A$1:$AX$1,),)-VLOOKUP(EDATE(B92,-12),Data!$A:$AX,MATCH($F$1,Data!$A$1:$AX$1,),))/VLOOKUP(EDATE(B92,-12),Data!$A:$AX,MATCH($F$1,Data!$A$1:$AX$1,),)</f>
        <v/>
      </c>
      <c r="G92" s="20">
        <f>(VLOOKUP(B92,Data!$A:$AX,MATCH($G$1,Data!$A$1:$AX$1,),)-VLOOKUP(EDATE(B92,-12),Data!$A:$AX,MATCH($G$1,Data!$A$1:$AX$1,),))/VLOOKUP(EDATE(B92,-12),Data!$A:$AX,MATCH($G$1,Data!$A$1:$AX$1,),)</f>
        <v/>
      </c>
      <c r="H92" s="20">
        <f>(VLOOKUP(B92,Data!$A:$AX,MATCH($H$1,Data!$A$1:$AX$1,),)-VLOOKUP(EDATE(B92,-12),Data!$A:$AX,MATCH($H$1,Data!$A$1:$AX$1,),))/VLOOKUP(EDATE(B92,-12),Data!$A:$AX,MATCH($H$1,Data!$A$1:$AX$1,),)</f>
        <v/>
      </c>
      <c r="I92" s="20">
        <f>(VLOOKUP(B92,Data!$A:$AX,MATCH($I$1,Data!$A$1:$AX$1,),)-VLOOKUP(EDATE(B92,-12),Data!$A:$AX,MATCH($I$1,Data!$A$1:$AX$1,),))/VLOOKUP(EDATE(B92,-12),Data!$A:$AX,MATCH($I$1,Data!$A$1:$AX$1,),)</f>
        <v/>
      </c>
      <c r="J92" s="20">
        <f>(VLOOKUP(B92,Data!$A:$AX,MATCH($J$1,Data!$A$1:$AX$1,),)-VLOOKUP(EDATE(B92,-12),Data!$A:$AX,MATCH($J$1,Data!$A$1:$AX$1,),))/VLOOKUP(EDATE(B92,-12),Data!$A:$AX,MATCH($J$1,Data!$A$1:$AX$1,),)</f>
        <v/>
      </c>
      <c r="K92" s="20">
        <f>(VLOOKUP(B92,Data!$A:$AX,MATCH($K$1,Data!$A$1:$AX$1,),)-VLOOKUP(EDATE(B92,-12),Data!$A:$AX,MATCH($K$1,Data!$A$1:$AX$1,),))/VLOOKUP(EDATE(B92,-12),Data!$A:$AX,MATCH($K$1,Data!$A$1:$AX$1,),)</f>
        <v/>
      </c>
      <c r="L92" s="20">
        <f>(VLOOKUP(B92,Data!$A:$AX,MATCH($L$1,Data!$A$1:$AX$1,),)-VLOOKUP(EDATE(B92,-12),Data!$A:$AX,MATCH($L$1,Data!$A$1:$AX$1,),))/VLOOKUP(EDATE(B92,-12),Data!$A:$AX,MATCH($L$1,Data!$A$1:$AX$1,),)</f>
        <v/>
      </c>
      <c r="M92" s="20">
        <f>(VLOOKUP(B92,Data!$A:$AX,MATCH($M$1,Data!$A$1:$AX$1,),)-VLOOKUP(EDATE(B92,-12),Data!$A:$AX,MATCH($M$1,Data!$A$1:$AX$1,),))/VLOOKUP(EDATE(B92,-12),Data!$A:$AX,MATCH($M$1,Data!$A$1:$AX$1,),)</f>
        <v/>
      </c>
      <c r="N92" s="20">
        <f>(VLOOKUP(B92,Data!$A:$AX,MATCH($N$1,Data!$A$1:$AX$1,),)-VLOOKUP(EDATE(B92,-12),Data!$A:$AX,MATCH($N$1,Data!$A$1:$AX$1,),))/VLOOKUP(EDATE(B92,-12),Data!$A:$AX,MATCH($N$1,Data!$A$1:$AX$1,),)</f>
        <v/>
      </c>
      <c r="O92" s="20">
        <f>(VLOOKUP(B92,Data!$A:$AX,MATCH($O$1,Data!$A$1:$AX$1,),)-VLOOKUP(EDATE(B92,-12),Data!$A:$AX,MATCH($O$1,Data!$A$1:$AX$1,),))/VLOOKUP(EDATE(B92,-12),Data!$A:$AX,MATCH($O$1,Data!$A$1:$AX$1,),)</f>
        <v/>
      </c>
      <c r="P92" s="20">
        <f>(VLOOKUP(B92,Data!$A:$AX,MATCH($P$1,Data!$A$1:$AX$1,),)-VLOOKUP(EDATE(B92,-12),Data!$A:$AX,MATCH($P$1,Data!$A$1:$AX$1,),))/VLOOKUP(EDATE(B92,-12),Data!$A:$AX,MATCH($P$1,Data!$A$1:$AX$1,),)</f>
        <v/>
      </c>
      <c r="Q92" s="20">
        <f>(VLOOKUP(B92,Data!$A:$AX,MATCH($Q$1,Data!$A$1:$AX$1,),)-VLOOKUP(EDATE(B92,-12),Data!$A:$AX,MATCH($Q$1,Data!$A$1:$AX$1,),))/VLOOKUP(EDATE(B92,-12),Data!$A:$AX,MATCH($Q$1,Data!$A$1:$AX$1,),)</f>
        <v/>
      </c>
      <c r="R92" s="20">
        <f>(VLOOKUP(B92,Data!$A:$AX,MATCH($R$1,Data!$A$1:$AX$1,),)-VLOOKUP(EDATE(B92,-12),Data!$A:$AX,MATCH($R$1,Data!$A$1:$AX$1,),))/VLOOKUP(EDATE(B92,-12),Data!$A:$AX,MATCH($R$1,Data!$A$1:$AX$1,),)</f>
        <v/>
      </c>
      <c r="S92" s="20">
        <f>(VLOOKUP(B92,Data!$A:$AX,MATCH($S$1,Data!$A$1:$AX$1,),)-VLOOKUP(EDATE(B92,-12),Data!$A:$AX,MATCH($S$1,Data!$A$1:$AX$1,),))/VLOOKUP(EDATE(B92,-12),Data!$A:$AX,MATCH($S$1,Data!$A$1:$AX$1,),)</f>
        <v/>
      </c>
      <c r="T92" s="20">
        <f>(VLOOKUP(B92,Data!$A:$AX,MATCH($T$1,Data!$A$1:$AX$1,),)-VLOOKUP(EDATE(B92,-12),Data!$A:$AX,MATCH($T$1,Data!$A$1:$AX$1,),))/VLOOKUP(EDATE(B92,-12),Data!$A:$AX,MATCH($T$1,Data!$A$1:$AX$1,),)</f>
        <v/>
      </c>
      <c r="U92" s="20">
        <f>(VLOOKUP(B92,Data!$A:$AX,MATCH($U$1,Data!$A$1:$AX$1,),)-VLOOKUP(EDATE(B92,-12),Data!$A:$AX,MATCH($U$1,Data!$A$1:$AX$1,),))/VLOOKUP(EDATE(B92,-12),Data!$A:$AX,MATCH($U$1,Data!$A$1:$AX$1,),)</f>
        <v/>
      </c>
      <c r="V92" s="20">
        <f>(VLOOKUP(B92,Data!$A:$AX,MATCH($V$1,Data!$A$1:$AX$1,),)-VLOOKUP(EDATE(B92,-12),Data!$A:$AX,MATCH($V$1,Data!$A$1:$AX$1,),))/VLOOKUP(EDATE(B92,-12),Data!$A:$AX,MATCH($V$1,Data!$A$1:$AX$1,),)</f>
        <v/>
      </c>
      <c r="W92" s="20">
        <f>(VLOOKUP(B92,Data!$A:$AX,MATCH($W$1,Data!$A$1:$AX$1,),)-VLOOKUP(EDATE(B92,-12),Data!$A:$AX,MATCH($W$1,Data!$A$1:$AX$1,),))/VLOOKUP(EDATE(B92,-12),Data!$A:$AX,MATCH($W$1,Data!$A$1:$AX$1,),)</f>
        <v/>
      </c>
      <c r="X92" s="20">
        <f>(VLOOKUP(B92,Data!$A:$AX,MATCH($X$1,Data!$A$1:$AX$1,),)-VLOOKUP(EDATE(B92,-12),Data!$A:$AX,MATCH($X$1,Data!$A$1:$AX$1,),))/VLOOKUP(EDATE(B92,-12),Data!$A:$AX,MATCH($X$1,Data!$A$1:$AX$1,),)</f>
        <v/>
      </c>
      <c r="Y92" s="20">
        <f>(VLOOKUP(B92,Data!$A:$AX,MATCH($Y$1,Data!$A$1:$AX$1,),)-VLOOKUP(EDATE(B92,-12),Data!$A:$AX,MATCH($Y$1,Data!$A$1:$AX$1,),))/VLOOKUP(EDATE(B92,-12),Data!$A:$AX,MATCH($Y$1,Data!$A$1:$AX$1,),)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(VLOOKUP(B93,Data!$A:$AX,MATCH($C$1,Data!$A$1:$AX$1,),)-VLOOKUP(EDATE(B93,-12),Data!$A:$AX,MATCH($C$1,Data!$A$1:$AX$1,),))/VLOOKUP(EDATE(B93,-12),Data!$A:$AX,MATCH($C$1,Data!$A$1:$AX$1,),)</f>
        <v/>
      </c>
      <c r="D93" s="20">
        <f>(VLOOKUP(B93,Data!$A:$AX,MATCH($D$1,Data!$A$1:$AX$1,),)-VLOOKUP(EDATE(B93,-12),Data!$A:$AX,MATCH($D$1,Data!$A$1:$AX$1,),))/VLOOKUP(EDATE(B93,-12),Data!$A:$AX,MATCH($D$1,Data!$A$1:$AX$1,),)</f>
        <v/>
      </c>
      <c r="E93" s="20">
        <f>(VLOOKUP(B93,Data!$A:$AX,MATCH($E$1,Data!$A$1:$AX$1,),)-VLOOKUP(EDATE(B93,-12),Data!$A:$AX,MATCH($E$1,Data!$A$1:$AX$1,),))/VLOOKUP(EDATE(B93,-12),Data!$A:$AX,MATCH($E$1,Data!$A$1:$AX$1,),)</f>
        <v/>
      </c>
      <c r="F93" s="20">
        <f>(VLOOKUP(B93,Data!$A:$AX,MATCH($F$1,Data!$A$1:$AX$1,),)-VLOOKUP(EDATE(B93,-12),Data!$A:$AX,MATCH($F$1,Data!$A$1:$AX$1,),))/VLOOKUP(EDATE(B93,-12),Data!$A:$AX,MATCH($F$1,Data!$A$1:$AX$1,),)</f>
        <v/>
      </c>
      <c r="G93" s="20">
        <f>(VLOOKUP(B93,Data!$A:$AX,MATCH($G$1,Data!$A$1:$AX$1,),)-VLOOKUP(EDATE(B93,-12),Data!$A:$AX,MATCH($G$1,Data!$A$1:$AX$1,),))/VLOOKUP(EDATE(B93,-12),Data!$A:$AX,MATCH($G$1,Data!$A$1:$AX$1,),)</f>
        <v/>
      </c>
      <c r="H93" s="20">
        <f>(VLOOKUP(B93,Data!$A:$AX,MATCH($H$1,Data!$A$1:$AX$1,),)-VLOOKUP(EDATE(B93,-12),Data!$A:$AX,MATCH($H$1,Data!$A$1:$AX$1,),))/VLOOKUP(EDATE(B93,-12),Data!$A:$AX,MATCH($H$1,Data!$A$1:$AX$1,),)</f>
        <v/>
      </c>
      <c r="I93" s="20">
        <f>(VLOOKUP(B93,Data!$A:$AX,MATCH($I$1,Data!$A$1:$AX$1,),)-VLOOKUP(EDATE(B93,-12),Data!$A:$AX,MATCH($I$1,Data!$A$1:$AX$1,),))/VLOOKUP(EDATE(B93,-12),Data!$A:$AX,MATCH($I$1,Data!$A$1:$AX$1,),)</f>
        <v/>
      </c>
      <c r="J93" s="20">
        <f>(VLOOKUP(B93,Data!$A:$AX,MATCH($J$1,Data!$A$1:$AX$1,),)-VLOOKUP(EDATE(B93,-12),Data!$A:$AX,MATCH($J$1,Data!$A$1:$AX$1,),))/VLOOKUP(EDATE(B93,-12),Data!$A:$AX,MATCH($J$1,Data!$A$1:$AX$1,),)</f>
        <v/>
      </c>
      <c r="K93" s="20">
        <f>(VLOOKUP(B93,Data!$A:$AX,MATCH($K$1,Data!$A$1:$AX$1,),)-VLOOKUP(EDATE(B93,-12),Data!$A:$AX,MATCH($K$1,Data!$A$1:$AX$1,),))/VLOOKUP(EDATE(B93,-12),Data!$A:$AX,MATCH($K$1,Data!$A$1:$AX$1,),)</f>
        <v/>
      </c>
      <c r="L93" s="20">
        <f>(VLOOKUP(B93,Data!$A:$AX,MATCH($L$1,Data!$A$1:$AX$1,),)-VLOOKUP(EDATE(B93,-12),Data!$A:$AX,MATCH($L$1,Data!$A$1:$AX$1,),))/VLOOKUP(EDATE(B93,-12),Data!$A:$AX,MATCH($L$1,Data!$A$1:$AX$1,),)</f>
        <v/>
      </c>
      <c r="M93" s="20">
        <f>(VLOOKUP(B93,Data!$A:$AX,MATCH($M$1,Data!$A$1:$AX$1,),)-VLOOKUP(EDATE(B93,-12),Data!$A:$AX,MATCH($M$1,Data!$A$1:$AX$1,),))/VLOOKUP(EDATE(B93,-12),Data!$A:$AX,MATCH($M$1,Data!$A$1:$AX$1,),)</f>
        <v/>
      </c>
      <c r="N93" s="20">
        <f>(VLOOKUP(B93,Data!$A:$AX,MATCH($N$1,Data!$A$1:$AX$1,),)-VLOOKUP(EDATE(B93,-12),Data!$A:$AX,MATCH($N$1,Data!$A$1:$AX$1,),))/VLOOKUP(EDATE(B93,-12),Data!$A:$AX,MATCH($N$1,Data!$A$1:$AX$1,),)</f>
        <v/>
      </c>
      <c r="O93" s="20">
        <f>(VLOOKUP(B93,Data!$A:$AX,MATCH($O$1,Data!$A$1:$AX$1,),)-VLOOKUP(EDATE(B93,-12),Data!$A:$AX,MATCH($O$1,Data!$A$1:$AX$1,),))/VLOOKUP(EDATE(B93,-12),Data!$A:$AX,MATCH($O$1,Data!$A$1:$AX$1,),)</f>
        <v/>
      </c>
      <c r="P93" s="20">
        <f>(VLOOKUP(B93,Data!$A:$AX,MATCH($P$1,Data!$A$1:$AX$1,),)-VLOOKUP(EDATE(B93,-12),Data!$A:$AX,MATCH($P$1,Data!$A$1:$AX$1,),))/VLOOKUP(EDATE(B93,-12),Data!$A:$AX,MATCH($P$1,Data!$A$1:$AX$1,),)</f>
        <v/>
      </c>
      <c r="Q93" s="20">
        <f>(VLOOKUP(B93,Data!$A:$AX,MATCH($Q$1,Data!$A$1:$AX$1,),)-VLOOKUP(EDATE(B93,-12),Data!$A:$AX,MATCH($Q$1,Data!$A$1:$AX$1,),))/VLOOKUP(EDATE(B93,-12),Data!$A:$AX,MATCH($Q$1,Data!$A$1:$AX$1,),)</f>
        <v/>
      </c>
      <c r="R93" s="20">
        <f>(VLOOKUP(B93,Data!$A:$AX,MATCH($R$1,Data!$A$1:$AX$1,),)-VLOOKUP(EDATE(B93,-12),Data!$A:$AX,MATCH($R$1,Data!$A$1:$AX$1,),))/VLOOKUP(EDATE(B93,-12),Data!$A:$AX,MATCH($R$1,Data!$A$1:$AX$1,),)</f>
        <v/>
      </c>
      <c r="S93" s="20">
        <f>(VLOOKUP(B93,Data!$A:$AX,MATCH($S$1,Data!$A$1:$AX$1,),)-VLOOKUP(EDATE(B93,-12),Data!$A:$AX,MATCH($S$1,Data!$A$1:$AX$1,),))/VLOOKUP(EDATE(B93,-12),Data!$A:$AX,MATCH($S$1,Data!$A$1:$AX$1,),)</f>
        <v/>
      </c>
      <c r="T93" s="20">
        <f>(VLOOKUP(B93,Data!$A:$AX,MATCH($T$1,Data!$A$1:$AX$1,),)-VLOOKUP(EDATE(B93,-12),Data!$A:$AX,MATCH($T$1,Data!$A$1:$AX$1,),))/VLOOKUP(EDATE(B93,-12),Data!$A:$AX,MATCH($T$1,Data!$A$1:$AX$1,),)</f>
        <v/>
      </c>
      <c r="U93" s="20">
        <f>(VLOOKUP(B93,Data!$A:$AX,MATCH($U$1,Data!$A$1:$AX$1,),)-VLOOKUP(EDATE(B93,-12),Data!$A:$AX,MATCH($U$1,Data!$A$1:$AX$1,),))/VLOOKUP(EDATE(B93,-12),Data!$A:$AX,MATCH($U$1,Data!$A$1:$AX$1,),)</f>
        <v/>
      </c>
      <c r="V93" s="20">
        <f>(VLOOKUP(B93,Data!$A:$AX,MATCH($V$1,Data!$A$1:$AX$1,),)-VLOOKUP(EDATE(B93,-12),Data!$A:$AX,MATCH($V$1,Data!$A$1:$AX$1,),))/VLOOKUP(EDATE(B93,-12),Data!$A:$AX,MATCH($V$1,Data!$A$1:$AX$1,),)</f>
        <v/>
      </c>
      <c r="W93" s="20">
        <f>(VLOOKUP(B93,Data!$A:$AX,MATCH($W$1,Data!$A$1:$AX$1,),)-VLOOKUP(EDATE(B93,-12),Data!$A:$AX,MATCH($W$1,Data!$A$1:$AX$1,),))/VLOOKUP(EDATE(B93,-12),Data!$A:$AX,MATCH($W$1,Data!$A$1:$AX$1,),)</f>
        <v/>
      </c>
      <c r="X93" s="20">
        <f>(VLOOKUP(B93,Data!$A:$AX,MATCH($X$1,Data!$A$1:$AX$1,),)-VLOOKUP(EDATE(B93,-12),Data!$A:$AX,MATCH($X$1,Data!$A$1:$AX$1,),))/VLOOKUP(EDATE(B93,-12),Data!$A:$AX,MATCH($X$1,Data!$A$1:$AX$1,),)</f>
        <v/>
      </c>
      <c r="Y93" s="20">
        <f>(VLOOKUP(B93,Data!$A:$AX,MATCH($Y$1,Data!$A$1:$AX$1,),)-VLOOKUP(EDATE(B93,-12),Data!$A:$AX,MATCH($Y$1,Data!$A$1:$AX$1,),))/VLOOKUP(EDATE(B93,-12),Data!$A:$AX,MATCH($Y$1,Data!$A$1:$AX$1,),)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(VLOOKUP(B94,Data!$A:$AX,MATCH($C$1,Data!$A$1:$AX$1,),)-VLOOKUP(EDATE(B94,-12),Data!$A:$AX,MATCH($C$1,Data!$A$1:$AX$1,),))/VLOOKUP(EDATE(B94,-12),Data!$A:$AX,MATCH($C$1,Data!$A$1:$AX$1,),)</f>
        <v/>
      </c>
      <c r="D94" s="20">
        <f>(VLOOKUP(B94,Data!$A:$AX,MATCH($D$1,Data!$A$1:$AX$1,),)-VLOOKUP(EDATE(B94,-12),Data!$A:$AX,MATCH($D$1,Data!$A$1:$AX$1,),))/VLOOKUP(EDATE(B94,-12),Data!$A:$AX,MATCH($D$1,Data!$A$1:$AX$1,),)</f>
        <v/>
      </c>
      <c r="E94" s="20">
        <f>(VLOOKUP(B94,Data!$A:$AX,MATCH($E$1,Data!$A$1:$AX$1,),)-VLOOKUP(EDATE(B94,-12),Data!$A:$AX,MATCH($E$1,Data!$A$1:$AX$1,),))/VLOOKUP(EDATE(B94,-12),Data!$A:$AX,MATCH($E$1,Data!$A$1:$AX$1,),)</f>
        <v/>
      </c>
      <c r="F94" s="20">
        <f>(VLOOKUP(B94,Data!$A:$AX,MATCH($F$1,Data!$A$1:$AX$1,),)-VLOOKUP(EDATE(B94,-12),Data!$A:$AX,MATCH($F$1,Data!$A$1:$AX$1,),))/VLOOKUP(EDATE(B94,-12),Data!$A:$AX,MATCH($F$1,Data!$A$1:$AX$1,),)</f>
        <v/>
      </c>
      <c r="G94" s="20">
        <f>(VLOOKUP(B94,Data!$A:$AX,MATCH($G$1,Data!$A$1:$AX$1,),)-VLOOKUP(EDATE(B94,-12),Data!$A:$AX,MATCH($G$1,Data!$A$1:$AX$1,),))/VLOOKUP(EDATE(B94,-12),Data!$A:$AX,MATCH($G$1,Data!$A$1:$AX$1,),)</f>
        <v/>
      </c>
      <c r="H94" s="20">
        <f>(VLOOKUP(B94,Data!$A:$AX,MATCH($H$1,Data!$A$1:$AX$1,),)-VLOOKUP(EDATE(B94,-12),Data!$A:$AX,MATCH($H$1,Data!$A$1:$AX$1,),))/VLOOKUP(EDATE(B94,-12),Data!$A:$AX,MATCH($H$1,Data!$A$1:$AX$1,),)</f>
        <v/>
      </c>
      <c r="I94" s="20">
        <f>(VLOOKUP(B94,Data!$A:$AX,MATCH($I$1,Data!$A$1:$AX$1,),)-VLOOKUP(EDATE(B94,-12),Data!$A:$AX,MATCH($I$1,Data!$A$1:$AX$1,),))/VLOOKUP(EDATE(B94,-12),Data!$A:$AX,MATCH($I$1,Data!$A$1:$AX$1,),)</f>
        <v/>
      </c>
      <c r="J94" s="20">
        <f>(VLOOKUP(B94,Data!$A:$AX,MATCH($J$1,Data!$A$1:$AX$1,),)-VLOOKUP(EDATE(B94,-12),Data!$A:$AX,MATCH($J$1,Data!$A$1:$AX$1,),))/VLOOKUP(EDATE(B94,-12),Data!$A:$AX,MATCH($J$1,Data!$A$1:$AX$1,),)</f>
        <v/>
      </c>
      <c r="K94" s="20">
        <f>(VLOOKUP(B94,Data!$A:$AX,MATCH($K$1,Data!$A$1:$AX$1,),)-VLOOKUP(EDATE(B94,-12),Data!$A:$AX,MATCH($K$1,Data!$A$1:$AX$1,),))/VLOOKUP(EDATE(B94,-12),Data!$A:$AX,MATCH($K$1,Data!$A$1:$AX$1,),)</f>
        <v/>
      </c>
      <c r="L94" s="20">
        <f>(VLOOKUP(B94,Data!$A:$AX,MATCH($L$1,Data!$A$1:$AX$1,),)-VLOOKUP(EDATE(B94,-12),Data!$A:$AX,MATCH($L$1,Data!$A$1:$AX$1,),))/VLOOKUP(EDATE(B94,-12),Data!$A:$AX,MATCH($L$1,Data!$A$1:$AX$1,),)</f>
        <v/>
      </c>
      <c r="M94" s="20">
        <f>(VLOOKUP(B94,Data!$A:$AX,MATCH($M$1,Data!$A$1:$AX$1,),)-VLOOKUP(EDATE(B94,-12),Data!$A:$AX,MATCH($M$1,Data!$A$1:$AX$1,),))/VLOOKUP(EDATE(B94,-12),Data!$A:$AX,MATCH($M$1,Data!$A$1:$AX$1,),)</f>
        <v/>
      </c>
      <c r="N94" s="20">
        <f>(VLOOKUP(B94,Data!$A:$AX,MATCH($N$1,Data!$A$1:$AX$1,),)-VLOOKUP(EDATE(B94,-12),Data!$A:$AX,MATCH($N$1,Data!$A$1:$AX$1,),))/VLOOKUP(EDATE(B94,-12),Data!$A:$AX,MATCH($N$1,Data!$A$1:$AX$1,),)</f>
        <v/>
      </c>
      <c r="O94" s="20">
        <f>(VLOOKUP(B94,Data!$A:$AX,MATCH($O$1,Data!$A$1:$AX$1,),)-VLOOKUP(EDATE(B94,-12),Data!$A:$AX,MATCH($O$1,Data!$A$1:$AX$1,),))/VLOOKUP(EDATE(B94,-12),Data!$A:$AX,MATCH($O$1,Data!$A$1:$AX$1,),)</f>
        <v/>
      </c>
      <c r="P94" s="20">
        <f>(VLOOKUP(B94,Data!$A:$AX,MATCH($P$1,Data!$A$1:$AX$1,),)-VLOOKUP(EDATE(B94,-12),Data!$A:$AX,MATCH($P$1,Data!$A$1:$AX$1,),))/VLOOKUP(EDATE(B94,-12),Data!$A:$AX,MATCH($P$1,Data!$A$1:$AX$1,),)</f>
        <v/>
      </c>
      <c r="Q94" s="20">
        <f>(VLOOKUP(B94,Data!$A:$AX,MATCH($Q$1,Data!$A$1:$AX$1,),)-VLOOKUP(EDATE(B94,-12),Data!$A:$AX,MATCH($Q$1,Data!$A$1:$AX$1,),))/VLOOKUP(EDATE(B94,-12),Data!$A:$AX,MATCH($Q$1,Data!$A$1:$AX$1,),)</f>
        <v/>
      </c>
      <c r="R94" s="20">
        <f>(VLOOKUP(B94,Data!$A:$AX,MATCH($R$1,Data!$A$1:$AX$1,),)-VLOOKUP(EDATE(B94,-12),Data!$A:$AX,MATCH($R$1,Data!$A$1:$AX$1,),))/VLOOKUP(EDATE(B94,-12),Data!$A:$AX,MATCH($R$1,Data!$A$1:$AX$1,),)</f>
        <v/>
      </c>
      <c r="S94" s="20">
        <f>(VLOOKUP(B94,Data!$A:$AX,MATCH($S$1,Data!$A$1:$AX$1,),)-VLOOKUP(EDATE(B94,-12),Data!$A:$AX,MATCH($S$1,Data!$A$1:$AX$1,),))/VLOOKUP(EDATE(B94,-12),Data!$A:$AX,MATCH($S$1,Data!$A$1:$AX$1,),)</f>
        <v/>
      </c>
      <c r="T94" s="20">
        <f>(VLOOKUP(B94,Data!$A:$AX,MATCH($T$1,Data!$A$1:$AX$1,),)-VLOOKUP(EDATE(B94,-12),Data!$A:$AX,MATCH($T$1,Data!$A$1:$AX$1,),))/VLOOKUP(EDATE(B94,-12),Data!$A:$AX,MATCH($T$1,Data!$A$1:$AX$1,),)</f>
        <v/>
      </c>
      <c r="U94" s="20">
        <f>(VLOOKUP(B94,Data!$A:$AX,MATCH($U$1,Data!$A$1:$AX$1,),)-VLOOKUP(EDATE(B94,-12),Data!$A:$AX,MATCH($U$1,Data!$A$1:$AX$1,),))/VLOOKUP(EDATE(B94,-12),Data!$A:$AX,MATCH($U$1,Data!$A$1:$AX$1,),)</f>
        <v/>
      </c>
      <c r="V94" s="20">
        <f>(VLOOKUP(B94,Data!$A:$AX,MATCH($V$1,Data!$A$1:$AX$1,),)-VLOOKUP(EDATE(B94,-12),Data!$A:$AX,MATCH($V$1,Data!$A$1:$AX$1,),))/VLOOKUP(EDATE(B94,-12),Data!$A:$AX,MATCH($V$1,Data!$A$1:$AX$1,),)</f>
        <v/>
      </c>
      <c r="W94" s="20">
        <f>(VLOOKUP(B94,Data!$A:$AX,MATCH($W$1,Data!$A$1:$AX$1,),)-VLOOKUP(EDATE(B94,-12),Data!$A:$AX,MATCH($W$1,Data!$A$1:$AX$1,),))/VLOOKUP(EDATE(B94,-12),Data!$A:$AX,MATCH($W$1,Data!$A$1:$AX$1,),)</f>
        <v/>
      </c>
      <c r="X94" s="20">
        <f>(VLOOKUP(B94,Data!$A:$AX,MATCH($X$1,Data!$A$1:$AX$1,),)-VLOOKUP(EDATE(B94,-12),Data!$A:$AX,MATCH($X$1,Data!$A$1:$AX$1,),))/VLOOKUP(EDATE(B94,-12),Data!$A:$AX,MATCH($X$1,Data!$A$1:$AX$1,),)</f>
        <v/>
      </c>
      <c r="Y94" s="20">
        <f>(VLOOKUP(B94,Data!$A:$AX,MATCH($Y$1,Data!$A$1:$AX$1,),)-VLOOKUP(EDATE(B94,-12),Data!$A:$AX,MATCH($Y$1,Data!$A$1:$AX$1,),))/VLOOKUP(EDATE(B94,-12),Data!$A:$AX,MATCH($Y$1,Data!$A$1:$AX$1,),)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(VLOOKUP(B95,Data!$A:$AX,MATCH($C$1,Data!$A$1:$AX$1,),)-VLOOKUP(EDATE(B95,-12),Data!$A:$AX,MATCH($C$1,Data!$A$1:$AX$1,),))/VLOOKUP(EDATE(B95,-12),Data!$A:$AX,MATCH($C$1,Data!$A$1:$AX$1,),)</f>
        <v/>
      </c>
      <c r="D95" s="20">
        <f>(VLOOKUP(B95,Data!$A:$AX,MATCH($D$1,Data!$A$1:$AX$1,),)-VLOOKUP(EDATE(B95,-12),Data!$A:$AX,MATCH($D$1,Data!$A$1:$AX$1,),))/VLOOKUP(EDATE(B95,-12),Data!$A:$AX,MATCH($D$1,Data!$A$1:$AX$1,),)</f>
        <v/>
      </c>
      <c r="E95" s="20">
        <f>(VLOOKUP(B95,Data!$A:$AX,MATCH($E$1,Data!$A$1:$AX$1,),)-VLOOKUP(EDATE(B95,-12),Data!$A:$AX,MATCH($E$1,Data!$A$1:$AX$1,),))/VLOOKUP(EDATE(B95,-12),Data!$A:$AX,MATCH($E$1,Data!$A$1:$AX$1,),)</f>
        <v/>
      </c>
      <c r="F95" s="20">
        <f>(VLOOKUP(B95,Data!$A:$AX,MATCH($F$1,Data!$A$1:$AX$1,),)-VLOOKUP(EDATE(B95,-12),Data!$A:$AX,MATCH($F$1,Data!$A$1:$AX$1,),))/VLOOKUP(EDATE(B95,-12),Data!$A:$AX,MATCH($F$1,Data!$A$1:$AX$1,),)</f>
        <v/>
      </c>
      <c r="G95" s="20">
        <f>(VLOOKUP(B95,Data!$A:$AX,MATCH($G$1,Data!$A$1:$AX$1,),)-VLOOKUP(EDATE(B95,-12),Data!$A:$AX,MATCH($G$1,Data!$A$1:$AX$1,),))/VLOOKUP(EDATE(B95,-12),Data!$A:$AX,MATCH($G$1,Data!$A$1:$AX$1,),)</f>
        <v/>
      </c>
      <c r="H95" s="20">
        <f>(VLOOKUP(B95,Data!$A:$AX,MATCH($H$1,Data!$A$1:$AX$1,),)-VLOOKUP(EDATE(B95,-12),Data!$A:$AX,MATCH($H$1,Data!$A$1:$AX$1,),))/VLOOKUP(EDATE(B95,-12),Data!$A:$AX,MATCH($H$1,Data!$A$1:$AX$1,),)</f>
        <v/>
      </c>
      <c r="I95" s="20">
        <f>(VLOOKUP(B95,Data!$A:$AX,MATCH($I$1,Data!$A$1:$AX$1,),)-VLOOKUP(EDATE(B95,-12),Data!$A:$AX,MATCH($I$1,Data!$A$1:$AX$1,),))/VLOOKUP(EDATE(B95,-12),Data!$A:$AX,MATCH($I$1,Data!$A$1:$AX$1,),)</f>
        <v/>
      </c>
      <c r="J95" s="20">
        <f>(VLOOKUP(B95,Data!$A:$AX,MATCH($J$1,Data!$A$1:$AX$1,),)-VLOOKUP(EDATE(B95,-12),Data!$A:$AX,MATCH($J$1,Data!$A$1:$AX$1,),))/VLOOKUP(EDATE(B95,-12),Data!$A:$AX,MATCH($J$1,Data!$A$1:$AX$1,),)</f>
        <v/>
      </c>
      <c r="K95" s="20">
        <f>(VLOOKUP(B95,Data!$A:$AX,MATCH($K$1,Data!$A$1:$AX$1,),)-VLOOKUP(EDATE(B95,-12),Data!$A:$AX,MATCH($K$1,Data!$A$1:$AX$1,),))/VLOOKUP(EDATE(B95,-12),Data!$A:$AX,MATCH($K$1,Data!$A$1:$AX$1,),)</f>
        <v/>
      </c>
      <c r="L95" s="20">
        <f>(VLOOKUP(B95,Data!$A:$AX,MATCH($L$1,Data!$A$1:$AX$1,),)-VLOOKUP(EDATE(B95,-12),Data!$A:$AX,MATCH($L$1,Data!$A$1:$AX$1,),))/VLOOKUP(EDATE(B95,-12),Data!$A:$AX,MATCH($L$1,Data!$A$1:$AX$1,),)</f>
        <v/>
      </c>
      <c r="M95" s="20">
        <f>(VLOOKUP(B95,Data!$A:$AX,MATCH($M$1,Data!$A$1:$AX$1,),)-VLOOKUP(EDATE(B95,-12),Data!$A:$AX,MATCH($M$1,Data!$A$1:$AX$1,),))/VLOOKUP(EDATE(B95,-12),Data!$A:$AX,MATCH($M$1,Data!$A$1:$AX$1,),)</f>
        <v/>
      </c>
      <c r="N95" s="20">
        <f>(VLOOKUP(B95,Data!$A:$AX,MATCH($N$1,Data!$A$1:$AX$1,),)-VLOOKUP(EDATE(B95,-12),Data!$A:$AX,MATCH($N$1,Data!$A$1:$AX$1,),))/VLOOKUP(EDATE(B95,-12),Data!$A:$AX,MATCH($N$1,Data!$A$1:$AX$1,),)</f>
        <v/>
      </c>
      <c r="O95" s="20">
        <f>(VLOOKUP(B95,Data!$A:$AX,MATCH($O$1,Data!$A$1:$AX$1,),)-VLOOKUP(EDATE(B95,-12),Data!$A:$AX,MATCH($O$1,Data!$A$1:$AX$1,),))/VLOOKUP(EDATE(B95,-12),Data!$A:$AX,MATCH($O$1,Data!$A$1:$AX$1,),)</f>
        <v/>
      </c>
      <c r="P95" s="20">
        <f>(VLOOKUP(B95,Data!$A:$AX,MATCH($P$1,Data!$A$1:$AX$1,),)-VLOOKUP(EDATE(B95,-12),Data!$A:$AX,MATCH($P$1,Data!$A$1:$AX$1,),))/VLOOKUP(EDATE(B95,-12),Data!$A:$AX,MATCH($P$1,Data!$A$1:$AX$1,),)</f>
        <v/>
      </c>
      <c r="Q95" s="20">
        <f>(VLOOKUP(B95,Data!$A:$AX,MATCH($Q$1,Data!$A$1:$AX$1,),)-VLOOKUP(EDATE(B95,-12),Data!$A:$AX,MATCH($Q$1,Data!$A$1:$AX$1,),))/VLOOKUP(EDATE(B95,-12),Data!$A:$AX,MATCH($Q$1,Data!$A$1:$AX$1,),)</f>
        <v/>
      </c>
      <c r="R95" s="20">
        <f>(VLOOKUP(B95,Data!$A:$AX,MATCH($R$1,Data!$A$1:$AX$1,),)-VLOOKUP(EDATE(B95,-12),Data!$A:$AX,MATCH($R$1,Data!$A$1:$AX$1,),))/VLOOKUP(EDATE(B95,-12),Data!$A:$AX,MATCH($R$1,Data!$A$1:$AX$1,),)</f>
        <v/>
      </c>
      <c r="S95" s="20">
        <f>(VLOOKUP(B95,Data!$A:$AX,MATCH($S$1,Data!$A$1:$AX$1,),)-VLOOKUP(EDATE(B95,-12),Data!$A:$AX,MATCH($S$1,Data!$A$1:$AX$1,),))/VLOOKUP(EDATE(B95,-12),Data!$A:$AX,MATCH($S$1,Data!$A$1:$AX$1,),)</f>
        <v/>
      </c>
      <c r="T95" s="20">
        <f>(VLOOKUP(B95,Data!$A:$AX,MATCH($T$1,Data!$A$1:$AX$1,),)-VLOOKUP(EDATE(B95,-12),Data!$A:$AX,MATCH($T$1,Data!$A$1:$AX$1,),))/VLOOKUP(EDATE(B95,-12),Data!$A:$AX,MATCH($T$1,Data!$A$1:$AX$1,),)</f>
        <v/>
      </c>
      <c r="U95" s="20">
        <f>(VLOOKUP(B95,Data!$A:$AX,MATCH($U$1,Data!$A$1:$AX$1,),)-VLOOKUP(EDATE(B95,-12),Data!$A:$AX,MATCH($U$1,Data!$A$1:$AX$1,),))/VLOOKUP(EDATE(B95,-12),Data!$A:$AX,MATCH($U$1,Data!$A$1:$AX$1,),)</f>
        <v/>
      </c>
      <c r="V95" s="20">
        <f>(VLOOKUP(B95,Data!$A:$AX,MATCH($V$1,Data!$A$1:$AX$1,),)-VLOOKUP(EDATE(B95,-12),Data!$A:$AX,MATCH($V$1,Data!$A$1:$AX$1,),))/VLOOKUP(EDATE(B95,-12),Data!$A:$AX,MATCH($V$1,Data!$A$1:$AX$1,),)</f>
        <v/>
      </c>
      <c r="W95" s="20">
        <f>(VLOOKUP(B95,Data!$A:$AX,MATCH($W$1,Data!$A$1:$AX$1,),)-VLOOKUP(EDATE(B95,-12),Data!$A:$AX,MATCH($W$1,Data!$A$1:$AX$1,),))/VLOOKUP(EDATE(B95,-12),Data!$A:$AX,MATCH($W$1,Data!$A$1:$AX$1,),)</f>
        <v/>
      </c>
      <c r="X95" s="20">
        <f>(VLOOKUP(B95,Data!$A:$AX,MATCH($X$1,Data!$A$1:$AX$1,),)-VLOOKUP(EDATE(B95,-12),Data!$A:$AX,MATCH($X$1,Data!$A$1:$AX$1,),))/VLOOKUP(EDATE(B95,-12),Data!$A:$AX,MATCH($X$1,Data!$A$1:$AX$1,),)</f>
        <v/>
      </c>
      <c r="Y95" s="20">
        <f>(VLOOKUP(B95,Data!$A:$AX,MATCH($Y$1,Data!$A$1:$AX$1,),)-VLOOKUP(EDATE(B95,-12),Data!$A:$AX,MATCH($Y$1,Data!$A$1:$AX$1,),))/VLOOKUP(EDATE(B95,-12),Data!$A:$AX,MATCH($Y$1,Data!$A$1:$AX$1,),)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(VLOOKUP(B96,Data!$A:$AX,MATCH($C$1,Data!$A$1:$AX$1,),)-VLOOKUP(EDATE(B96,-12),Data!$A:$AX,MATCH($C$1,Data!$A$1:$AX$1,),))/VLOOKUP(EDATE(B96,-12),Data!$A:$AX,MATCH($C$1,Data!$A$1:$AX$1,),)</f>
        <v/>
      </c>
      <c r="D96" s="20">
        <f>(VLOOKUP(B96,Data!$A:$AX,MATCH($D$1,Data!$A$1:$AX$1,),)-VLOOKUP(EDATE(B96,-12),Data!$A:$AX,MATCH($D$1,Data!$A$1:$AX$1,),))/VLOOKUP(EDATE(B96,-12),Data!$A:$AX,MATCH($D$1,Data!$A$1:$AX$1,),)</f>
        <v/>
      </c>
      <c r="E96" s="20">
        <f>(VLOOKUP(B96,Data!$A:$AX,MATCH($E$1,Data!$A$1:$AX$1,),)-VLOOKUP(EDATE(B96,-12),Data!$A:$AX,MATCH($E$1,Data!$A$1:$AX$1,),))/VLOOKUP(EDATE(B96,-12),Data!$A:$AX,MATCH($E$1,Data!$A$1:$AX$1,),)</f>
        <v/>
      </c>
      <c r="F96" s="20">
        <f>(VLOOKUP(B96,Data!$A:$AX,MATCH($F$1,Data!$A$1:$AX$1,),)-VLOOKUP(EDATE(B96,-12),Data!$A:$AX,MATCH($F$1,Data!$A$1:$AX$1,),))/VLOOKUP(EDATE(B96,-12),Data!$A:$AX,MATCH($F$1,Data!$A$1:$AX$1,),)</f>
        <v/>
      </c>
      <c r="G96" s="20">
        <f>(VLOOKUP(B96,Data!$A:$AX,MATCH($G$1,Data!$A$1:$AX$1,),)-VLOOKUP(EDATE(B96,-12),Data!$A:$AX,MATCH($G$1,Data!$A$1:$AX$1,),))/VLOOKUP(EDATE(B96,-12),Data!$A:$AX,MATCH($G$1,Data!$A$1:$AX$1,),)</f>
        <v/>
      </c>
      <c r="H96" s="20">
        <f>(VLOOKUP(B96,Data!$A:$AX,MATCH($H$1,Data!$A$1:$AX$1,),)-VLOOKUP(EDATE(B96,-12),Data!$A:$AX,MATCH($H$1,Data!$A$1:$AX$1,),))/VLOOKUP(EDATE(B96,-12),Data!$A:$AX,MATCH($H$1,Data!$A$1:$AX$1,),)</f>
        <v/>
      </c>
      <c r="I96" s="20">
        <f>(VLOOKUP(B96,Data!$A:$AX,MATCH($I$1,Data!$A$1:$AX$1,),)-VLOOKUP(EDATE(B96,-12),Data!$A:$AX,MATCH($I$1,Data!$A$1:$AX$1,),))/VLOOKUP(EDATE(B96,-12),Data!$A:$AX,MATCH($I$1,Data!$A$1:$AX$1,),)</f>
        <v/>
      </c>
      <c r="J96" s="20">
        <f>(VLOOKUP(B96,Data!$A:$AX,MATCH($J$1,Data!$A$1:$AX$1,),)-VLOOKUP(EDATE(B96,-12),Data!$A:$AX,MATCH($J$1,Data!$A$1:$AX$1,),))/VLOOKUP(EDATE(B96,-12),Data!$A:$AX,MATCH($J$1,Data!$A$1:$AX$1,),)</f>
        <v/>
      </c>
      <c r="K96" s="20">
        <f>(VLOOKUP(B96,Data!$A:$AX,MATCH($K$1,Data!$A$1:$AX$1,),)-VLOOKUP(EDATE(B96,-12),Data!$A:$AX,MATCH($K$1,Data!$A$1:$AX$1,),))/VLOOKUP(EDATE(B96,-12),Data!$A:$AX,MATCH($K$1,Data!$A$1:$AX$1,),)</f>
        <v/>
      </c>
      <c r="L96" s="20">
        <f>(VLOOKUP(B96,Data!$A:$AX,MATCH($L$1,Data!$A$1:$AX$1,),)-VLOOKUP(EDATE(B96,-12),Data!$A:$AX,MATCH($L$1,Data!$A$1:$AX$1,),))/VLOOKUP(EDATE(B96,-12),Data!$A:$AX,MATCH($L$1,Data!$A$1:$AX$1,),)</f>
        <v/>
      </c>
      <c r="M96" s="20">
        <f>(VLOOKUP(B96,Data!$A:$AX,MATCH($M$1,Data!$A$1:$AX$1,),)-VLOOKUP(EDATE(B96,-12),Data!$A:$AX,MATCH($M$1,Data!$A$1:$AX$1,),))/VLOOKUP(EDATE(B96,-12),Data!$A:$AX,MATCH($M$1,Data!$A$1:$AX$1,),)</f>
        <v/>
      </c>
      <c r="N96" s="20">
        <f>(VLOOKUP(B96,Data!$A:$AX,MATCH($N$1,Data!$A$1:$AX$1,),)-VLOOKUP(EDATE(B96,-12),Data!$A:$AX,MATCH($N$1,Data!$A$1:$AX$1,),))/VLOOKUP(EDATE(B96,-12),Data!$A:$AX,MATCH($N$1,Data!$A$1:$AX$1,),)</f>
        <v/>
      </c>
      <c r="O96" s="20">
        <f>(VLOOKUP(B96,Data!$A:$AX,MATCH($O$1,Data!$A$1:$AX$1,),)-VLOOKUP(EDATE(B96,-12),Data!$A:$AX,MATCH($O$1,Data!$A$1:$AX$1,),))/VLOOKUP(EDATE(B96,-12),Data!$A:$AX,MATCH($O$1,Data!$A$1:$AX$1,),)</f>
        <v/>
      </c>
      <c r="P96" s="20">
        <f>(VLOOKUP(B96,Data!$A:$AX,MATCH($P$1,Data!$A$1:$AX$1,),)-VLOOKUP(EDATE(B96,-12),Data!$A:$AX,MATCH($P$1,Data!$A$1:$AX$1,),))/VLOOKUP(EDATE(B96,-12),Data!$A:$AX,MATCH($P$1,Data!$A$1:$AX$1,),)</f>
        <v/>
      </c>
      <c r="Q96" s="20">
        <f>(VLOOKUP(B96,Data!$A:$AX,MATCH($Q$1,Data!$A$1:$AX$1,),)-VLOOKUP(EDATE(B96,-12),Data!$A:$AX,MATCH($Q$1,Data!$A$1:$AX$1,),))/VLOOKUP(EDATE(B96,-12),Data!$A:$AX,MATCH($Q$1,Data!$A$1:$AX$1,),)</f>
        <v/>
      </c>
      <c r="R96" s="20">
        <f>(VLOOKUP(B96,Data!$A:$AX,MATCH($R$1,Data!$A$1:$AX$1,),)-VLOOKUP(EDATE(B96,-12),Data!$A:$AX,MATCH($R$1,Data!$A$1:$AX$1,),))/VLOOKUP(EDATE(B96,-12),Data!$A:$AX,MATCH($R$1,Data!$A$1:$AX$1,),)</f>
        <v/>
      </c>
      <c r="S96" s="20">
        <f>(VLOOKUP(B96,Data!$A:$AX,MATCH($S$1,Data!$A$1:$AX$1,),)-VLOOKUP(EDATE(B96,-12),Data!$A:$AX,MATCH($S$1,Data!$A$1:$AX$1,),))/VLOOKUP(EDATE(B96,-12),Data!$A:$AX,MATCH($S$1,Data!$A$1:$AX$1,),)</f>
        <v/>
      </c>
      <c r="T96" s="20">
        <f>(VLOOKUP(B96,Data!$A:$AX,MATCH($T$1,Data!$A$1:$AX$1,),)-VLOOKUP(EDATE(B96,-12),Data!$A:$AX,MATCH($T$1,Data!$A$1:$AX$1,),))/VLOOKUP(EDATE(B96,-12),Data!$A:$AX,MATCH($T$1,Data!$A$1:$AX$1,),)</f>
        <v/>
      </c>
      <c r="U96" s="20">
        <f>(VLOOKUP(B96,Data!$A:$AX,MATCH($U$1,Data!$A$1:$AX$1,),)-VLOOKUP(EDATE(B96,-12),Data!$A:$AX,MATCH($U$1,Data!$A$1:$AX$1,),))/VLOOKUP(EDATE(B96,-12),Data!$A:$AX,MATCH($U$1,Data!$A$1:$AX$1,),)</f>
        <v/>
      </c>
      <c r="V96" s="20">
        <f>(VLOOKUP(B96,Data!$A:$AX,MATCH($V$1,Data!$A$1:$AX$1,),)-VLOOKUP(EDATE(B96,-12),Data!$A:$AX,MATCH($V$1,Data!$A$1:$AX$1,),))/VLOOKUP(EDATE(B96,-12),Data!$A:$AX,MATCH($V$1,Data!$A$1:$AX$1,),)</f>
        <v/>
      </c>
      <c r="W96" s="20">
        <f>(VLOOKUP(B96,Data!$A:$AX,MATCH($W$1,Data!$A$1:$AX$1,),)-VLOOKUP(EDATE(B96,-12),Data!$A:$AX,MATCH($W$1,Data!$A$1:$AX$1,),))/VLOOKUP(EDATE(B96,-12),Data!$A:$AX,MATCH($W$1,Data!$A$1:$AX$1,),)</f>
        <v/>
      </c>
      <c r="X96" s="20">
        <f>(VLOOKUP(B96,Data!$A:$AX,MATCH($X$1,Data!$A$1:$AX$1,),)-VLOOKUP(EDATE(B96,-12),Data!$A:$AX,MATCH($X$1,Data!$A$1:$AX$1,),))/VLOOKUP(EDATE(B96,-12),Data!$A:$AX,MATCH($X$1,Data!$A$1:$AX$1,),)</f>
        <v/>
      </c>
      <c r="Y96" s="20">
        <f>(VLOOKUP(B96,Data!$A:$AX,MATCH($Y$1,Data!$A$1:$AX$1,),)-VLOOKUP(EDATE(B96,-12),Data!$A:$AX,MATCH($Y$1,Data!$A$1:$AX$1,),))/VLOOKUP(EDATE(B96,-12),Data!$A:$AX,MATCH($Y$1,Data!$A$1:$AX$1,),)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(VLOOKUP(B97,Data!$A:$AX,MATCH($C$1,Data!$A$1:$AX$1,),)-VLOOKUP(EDATE(B97,-12),Data!$A:$AX,MATCH($C$1,Data!$A$1:$AX$1,),))/VLOOKUP(EDATE(B97,-12),Data!$A:$AX,MATCH($C$1,Data!$A$1:$AX$1,),)</f>
        <v/>
      </c>
      <c r="D97" s="20">
        <f>(VLOOKUP(B97,Data!$A:$AX,MATCH($D$1,Data!$A$1:$AX$1,),)-VLOOKUP(EDATE(B97,-12),Data!$A:$AX,MATCH($D$1,Data!$A$1:$AX$1,),))/VLOOKUP(EDATE(B97,-12),Data!$A:$AX,MATCH($D$1,Data!$A$1:$AX$1,),)</f>
        <v/>
      </c>
      <c r="E97" s="20">
        <f>(VLOOKUP(B97,Data!$A:$AX,MATCH($E$1,Data!$A$1:$AX$1,),)-VLOOKUP(EDATE(B97,-12),Data!$A:$AX,MATCH($E$1,Data!$A$1:$AX$1,),))/VLOOKUP(EDATE(B97,-12),Data!$A:$AX,MATCH($E$1,Data!$A$1:$AX$1,),)</f>
        <v/>
      </c>
      <c r="F97" s="20">
        <f>(VLOOKUP(B97,Data!$A:$AX,MATCH($F$1,Data!$A$1:$AX$1,),)-VLOOKUP(EDATE(B97,-12),Data!$A:$AX,MATCH($F$1,Data!$A$1:$AX$1,),))/VLOOKUP(EDATE(B97,-12),Data!$A:$AX,MATCH($F$1,Data!$A$1:$AX$1,),)</f>
        <v/>
      </c>
      <c r="G97" s="20">
        <f>(VLOOKUP(B97,Data!$A:$AX,MATCH($G$1,Data!$A$1:$AX$1,),)-VLOOKUP(EDATE(B97,-12),Data!$A:$AX,MATCH($G$1,Data!$A$1:$AX$1,),))/VLOOKUP(EDATE(B97,-12),Data!$A:$AX,MATCH($G$1,Data!$A$1:$AX$1,),)</f>
        <v/>
      </c>
      <c r="H97" s="20">
        <f>(VLOOKUP(B97,Data!$A:$AX,MATCH($H$1,Data!$A$1:$AX$1,),)-VLOOKUP(EDATE(B97,-12),Data!$A:$AX,MATCH($H$1,Data!$A$1:$AX$1,),))/VLOOKUP(EDATE(B97,-12),Data!$A:$AX,MATCH($H$1,Data!$A$1:$AX$1,),)</f>
        <v/>
      </c>
      <c r="I97" s="20">
        <f>(VLOOKUP(B97,Data!$A:$AX,MATCH($I$1,Data!$A$1:$AX$1,),)-VLOOKUP(EDATE(B97,-12),Data!$A:$AX,MATCH($I$1,Data!$A$1:$AX$1,),))/VLOOKUP(EDATE(B97,-12),Data!$A:$AX,MATCH($I$1,Data!$A$1:$AX$1,),)</f>
        <v/>
      </c>
      <c r="J97" s="20">
        <f>(VLOOKUP(B97,Data!$A:$AX,MATCH($J$1,Data!$A$1:$AX$1,),)-VLOOKUP(EDATE(B97,-12),Data!$A:$AX,MATCH($J$1,Data!$A$1:$AX$1,),))/VLOOKUP(EDATE(B97,-12),Data!$A:$AX,MATCH($J$1,Data!$A$1:$AX$1,),)</f>
        <v/>
      </c>
      <c r="K97" s="20">
        <f>(VLOOKUP(B97,Data!$A:$AX,MATCH($K$1,Data!$A$1:$AX$1,),)-VLOOKUP(EDATE(B97,-12),Data!$A:$AX,MATCH($K$1,Data!$A$1:$AX$1,),))/VLOOKUP(EDATE(B97,-12),Data!$A:$AX,MATCH($K$1,Data!$A$1:$AX$1,),)</f>
        <v/>
      </c>
      <c r="L97" s="20">
        <f>(VLOOKUP(B97,Data!$A:$AX,MATCH($L$1,Data!$A$1:$AX$1,),)-VLOOKUP(EDATE(B97,-12),Data!$A:$AX,MATCH($L$1,Data!$A$1:$AX$1,),))/VLOOKUP(EDATE(B97,-12),Data!$A:$AX,MATCH($L$1,Data!$A$1:$AX$1,),)</f>
        <v/>
      </c>
      <c r="M97" s="20">
        <f>(VLOOKUP(B97,Data!$A:$AX,MATCH($M$1,Data!$A$1:$AX$1,),)-VLOOKUP(EDATE(B97,-12),Data!$A:$AX,MATCH($M$1,Data!$A$1:$AX$1,),))/VLOOKUP(EDATE(B97,-12),Data!$A:$AX,MATCH($M$1,Data!$A$1:$AX$1,),)</f>
        <v/>
      </c>
      <c r="N97" s="20">
        <f>(VLOOKUP(B97,Data!$A:$AX,MATCH($N$1,Data!$A$1:$AX$1,),)-VLOOKUP(EDATE(B97,-12),Data!$A:$AX,MATCH($N$1,Data!$A$1:$AX$1,),))/VLOOKUP(EDATE(B97,-12),Data!$A:$AX,MATCH($N$1,Data!$A$1:$AX$1,),)</f>
        <v/>
      </c>
      <c r="O97" s="20">
        <f>(VLOOKUP(B97,Data!$A:$AX,MATCH($O$1,Data!$A$1:$AX$1,),)-VLOOKUP(EDATE(B97,-12),Data!$A:$AX,MATCH($O$1,Data!$A$1:$AX$1,),))/VLOOKUP(EDATE(B97,-12),Data!$A:$AX,MATCH($O$1,Data!$A$1:$AX$1,),)</f>
        <v/>
      </c>
      <c r="P97" s="20">
        <f>(VLOOKUP(B97,Data!$A:$AX,MATCH($P$1,Data!$A$1:$AX$1,),)-VLOOKUP(EDATE(B97,-12),Data!$A:$AX,MATCH($P$1,Data!$A$1:$AX$1,),))/VLOOKUP(EDATE(B97,-12),Data!$A:$AX,MATCH($P$1,Data!$A$1:$AX$1,),)</f>
        <v/>
      </c>
      <c r="Q97" s="20">
        <f>(VLOOKUP(B97,Data!$A:$AX,MATCH($Q$1,Data!$A$1:$AX$1,),)-VLOOKUP(EDATE(B97,-12),Data!$A:$AX,MATCH($Q$1,Data!$A$1:$AX$1,),))/VLOOKUP(EDATE(B97,-12),Data!$A:$AX,MATCH($Q$1,Data!$A$1:$AX$1,),)</f>
        <v/>
      </c>
      <c r="R97" s="20">
        <f>(VLOOKUP(B97,Data!$A:$AX,MATCH($R$1,Data!$A$1:$AX$1,),)-VLOOKUP(EDATE(B97,-12),Data!$A:$AX,MATCH($R$1,Data!$A$1:$AX$1,),))/VLOOKUP(EDATE(B97,-12),Data!$A:$AX,MATCH($R$1,Data!$A$1:$AX$1,),)</f>
        <v/>
      </c>
      <c r="S97" s="20">
        <f>(VLOOKUP(B97,Data!$A:$AX,MATCH($S$1,Data!$A$1:$AX$1,),)-VLOOKUP(EDATE(B97,-12),Data!$A:$AX,MATCH($S$1,Data!$A$1:$AX$1,),))/VLOOKUP(EDATE(B97,-12),Data!$A:$AX,MATCH($S$1,Data!$A$1:$AX$1,),)</f>
        <v/>
      </c>
      <c r="T97" s="20">
        <f>(VLOOKUP(B97,Data!$A:$AX,MATCH($T$1,Data!$A$1:$AX$1,),)-VLOOKUP(EDATE(B97,-12),Data!$A:$AX,MATCH($T$1,Data!$A$1:$AX$1,),))/VLOOKUP(EDATE(B97,-12),Data!$A:$AX,MATCH($T$1,Data!$A$1:$AX$1,),)</f>
        <v/>
      </c>
      <c r="U97" s="20">
        <f>(VLOOKUP(B97,Data!$A:$AX,MATCH($U$1,Data!$A$1:$AX$1,),)-VLOOKUP(EDATE(B97,-12),Data!$A:$AX,MATCH($U$1,Data!$A$1:$AX$1,),))/VLOOKUP(EDATE(B97,-12),Data!$A:$AX,MATCH($U$1,Data!$A$1:$AX$1,),)</f>
        <v/>
      </c>
      <c r="V97" s="20">
        <f>(VLOOKUP(B97,Data!$A:$AX,MATCH($V$1,Data!$A$1:$AX$1,),)-VLOOKUP(EDATE(B97,-12),Data!$A:$AX,MATCH($V$1,Data!$A$1:$AX$1,),))/VLOOKUP(EDATE(B97,-12),Data!$A:$AX,MATCH($V$1,Data!$A$1:$AX$1,),)</f>
        <v/>
      </c>
      <c r="W97" s="20">
        <f>(VLOOKUP(B97,Data!$A:$AX,MATCH($W$1,Data!$A$1:$AX$1,),)-VLOOKUP(EDATE(B97,-12),Data!$A:$AX,MATCH($W$1,Data!$A$1:$AX$1,),))/VLOOKUP(EDATE(B97,-12),Data!$A:$AX,MATCH($W$1,Data!$A$1:$AX$1,),)</f>
        <v/>
      </c>
      <c r="X97" s="20">
        <f>(VLOOKUP(B97,Data!$A:$AX,MATCH($X$1,Data!$A$1:$AX$1,),)-VLOOKUP(EDATE(B97,-12),Data!$A:$AX,MATCH($X$1,Data!$A$1:$AX$1,),))/VLOOKUP(EDATE(B97,-12),Data!$A:$AX,MATCH($X$1,Data!$A$1:$AX$1,),)</f>
        <v/>
      </c>
      <c r="Y97" s="20">
        <f>(VLOOKUP(B97,Data!$A:$AX,MATCH($Y$1,Data!$A$1:$AX$1,),)-VLOOKUP(EDATE(B97,-12),Data!$A:$AX,MATCH($Y$1,Data!$A$1:$AX$1,),))/VLOOKUP(EDATE(B97,-12),Data!$A:$AX,MATCH($Y$1,Data!$A$1:$AX$1,),)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(VLOOKUP(B98,Data!$A:$AX,MATCH($C$1,Data!$A$1:$AX$1,),)-VLOOKUP(EDATE(B98,-12),Data!$A:$AX,MATCH($C$1,Data!$A$1:$AX$1,),))/VLOOKUP(EDATE(B98,-12),Data!$A:$AX,MATCH($C$1,Data!$A$1:$AX$1,),)</f>
        <v/>
      </c>
      <c r="D98" s="20">
        <f>(VLOOKUP(B98,Data!$A:$AX,MATCH($D$1,Data!$A$1:$AX$1,),)-VLOOKUP(EDATE(B98,-12),Data!$A:$AX,MATCH($D$1,Data!$A$1:$AX$1,),))/VLOOKUP(EDATE(B98,-12),Data!$A:$AX,MATCH($D$1,Data!$A$1:$AX$1,),)</f>
        <v/>
      </c>
      <c r="E98" s="20">
        <f>(VLOOKUP(B98,Data!$A:$AX,MATCH($E$1,Data!$A$1:$AX$1,),)-VLOOKUP(EDATE(B98,-12),Data!$A:$AX,MATCH($E$1,Data!$A$1:$AX$1,),))/VLOOKUP(EDATE(B98,-12),Data!$A:$AX,MATCH($E$1,Data!$A$1:$AX$1,),)</f>
        <v/>
      </c>
      <c r="F98" s="20">
        <f>(VLOOKUP(B98,Data!$A:$AX,MATCH($F$1,Data!$A$1:$AX$1,),)-VLOOKUP(EDATE(B98,-12),Data!$A:$AX,MATCH($F$1,Data!$A$1:$AX$1,),))/VLOOKUP(EDATE(B98,-12),Data!$A:$AX,MATCH($F$1,Data!$A$1:$AX$1,),)</f>
        <v/>
      </c>
      <c r="G98" s="20">
        <f>(VLOOKUP(B98,Data!$A:$AX,MATCH($G$1,Data!$A$1:$AX$1,),)-VLOOKUP(EDATE(B98,-12),Data!$A:$AX,MATCH($G$1,Data!$A$1:$AX$1,),))/VLOOKUP(EDATE(B98,-12),Data!$A:$AX,MATCH($G$1,Data!$A$1:$AX$1,),)</f>
        <v/>
      </c>
      <c r="H98" s="20">
        <f>(VLOOKUP(B98,Data!$A:$AX,MATCH($H$1,Data!$A$1:$AX$1,),)-VLOOKUP(EDATE(B98,-12),Data!$A:$AX,MATCH($H$1,Data!$A$1:$AX$1,),))/VLOOKUP(EDATE(B98,-12),Data!$A:$AX,MATCH($H$1,Data!$A$1:$AX$1,),)</f>
        <v/>
      </c>
      <c r="I98" s="20">
        <f>(VLOOKUP(B98,Data!$A:$AX,MATCH($I$1,Data!$A$1:$AX$1,),)-VLOOKUP(EDATE(B98,-12),Data!$A:$AX,MATCH($I$1,Data!$A$1:$AX$1,),))/VLOOKUP(EDATE(B98,-12),Data!$A:$AX,MATCH($I$1,Data!$A$1:$AX$1,),)</f>
        <v/>
      </c>
      <c r="J98" s="20">
        <f>(VLOOKUP(B98,Data!$A:$AX,MATCH($J$1,Data!$A$1:$AX$1,),)-VLOOKUP(EDATE(B98,-12),Data!$A:$AX,MATCH($J$1,Data!$A$1:$AX$1,),))/VLOOKUP(EDATE(B98,-12),Data!$A:$AX,MATCH($J$1,Data!$A$1:$AX$1,),)</f>
        <v/>
      </c>
      <c r="K98" s="20">
        <f>(VLOOKUP(B98,Data!$A:$AX,MATCH($K$1,Data!$A$1:$AX$1,),)-VLOOKUP(EDATE(B98,-12),Data!$A:$AX,MATCH($K$1,Data!$A$1:$AX$1,),))/VLOOKUP(EDATE(B98,-12),Data!$A:$AX,MATCH($K$1,Data!$A$1:$AX$1,),)</f>
        <v/>
      </c>
      <c r="L98" s="20">
        <f>(VLOOKUP(B98,Data!$A:$AX,MATCH($L$1,Data!$A$1:$AX$1,),)-VLOOKUP(EDATE(B98,-12),Data!$A:$AX,MATCH($L$1,Data!$A$1:$AX$1,),))/VLOOKUP(EDATE(B98,-12),Data!$A:$AX,MATCH($L$1,Data!$A$1:$AX$1,),)</f>
        <v/>
      </c>
      <c r="M98" s="20">
        <f>(VLOOKUP(B98,Data!$A:$AX,MATCH($M$1,Data!$A$1:$AX$1,),)-VLOOKUP(EDATE(B98,-12),Data!$A:$AX,MATCH($M$1,Data!$A$1:$AX$1,),))/VLOOKUP(EDATE(B98,-12),Data!$A:$AX,MATCH($M$1,Data!$A$1:$AX$1,),)</f>
        <v/>
      </c>
      <c r="N98" s="20">
        <f>(VLOOKUP(B98,Data!$A:$AX,MATCH($N$1,Data!$A$1:$AX$1,),)-VLOOKUP(EDATE(B98,-12),Data!$A:$AX,MATCH($N$1,Data!$A$1:$AX$1,),))/VLOOKUP(EDATE(B98,-12),Data!$A:$AX,MATCH($N$1,Data!$A$1:$AX$1,),)</f>
        <v/>
      </c>
      <c r="O98" s="20">
        <f>(VLOOKUP(B98,Data!$A:$AX,MATCH($O$1,Data!$A$1:$AX$1,),)-VLOOKUP(EDATE(B98,-12),Data!$A:$AX,MATCH($O$1,Data!$A$1:$AX$1,),))/VLOOKUP(EDATE(B98,-12),Data!$A:$AX,MATCH($O$1,Data!$A$1:$AX$1,),)</f>
        <v/>
      </c>
      <c r="P98" s="20">
        <f>(VLOOKUP(B98,Data!$A:$AX,MATCH($P$1,Data!$A$1:$AX$1,),)-VLOOKUP(EDATE(B98,-12),Data!$A:$AX,MATCH($P$1,Data!$A$1:$AX$1,),))/VLOOKUP(EDATE(B98,-12),Data!$A:$AX,MATCH($P$1,Data!$A$1:$AX$1,),)</f>
        <v/>
      </c>
      <c r="Q98" s="20">
        <f>(VLOOKUP(B98,Data!$A:$AX,MATCH($Q$1,Data!$A$1:$AX$1,),)-VLOOKUP(EDATE(B98,-12),Data!$A:$AX,MATCH($Q$1,Data!$A$1:$AX$1,),))/VLOOKUP(EDATE(B98,-12),Data!$A:$AX,MATCH($Q$1,Data!$A$1:$AX$1,),)</f>
        <v/>
      </c>
      <c r="R98" s="20">
        <f>(VLOOKUP(B98,Data!$A:$AX,MATCH($R$1,Data!$A$1:$AX$1,),)-VLOOKUP(EDATE(B98,-12),Data!$A:$AX,MATCH($R$1,Data!$A$1:$AX$1,),))/VLOOKUP(EDATE(B98,-12),Data!$A:$AX,MATCH($R$1,Data!$A$1:$AX$1,),)</f>
        <v/>
      </c>
      <c r="S98" s="20">
        <f>(VLOOKUP(B98,Data!$A:$AX,MATCH($S$1,Data!$A$1:$AX$1,),)-VLOOKUP(EDATE(B98,-12),Data!$A:$AX,MATCH($S$1,Data!$A$1:$AX$1,),))/VLOOKUP(EDATE(B98,-12),Data!$A:$AX,MATCH($S$1,Data!$A$1:$AX$1,),)</f>
        <v/>
      </c>
      <c r="T98" s="20">
        <f>(VLOOKUP(B98,Data!$A:$AX,MATCH($T$1,Data!$A$1:$AX$1,),)-VLOOKUP(EDATE(B98,-12),Data!$A:$AX,MATCH($T$1,Data!$A$1:$AX$1,),))/VLOOKUP(EDATE(B98,-12),Data!$A:$AX,MATCH($T$1,Data!$A$1:$AX$1,),)</f>
        <v/>
      </c>
      <c r="U98" s="20">
        <f>(VLOOKUP(B98,Data!$A:$AX,MATCH($U$1,Data!$A$1:$AX$1,),)-VLOOKUP(EDATE(B98,-12),Data!$A:$AX,MATCH($U$1,Data!$A$1:$AX$1,),))/VLOOKUP(EDATE(B98,-12),Data!$A:$AX,MATCH($U$1,Data!$A$1:$AX$1,),)</f>
        <v/>
      </c>
      <c r="V98" s="20">
        <f>(VLOOKUP(B98,Data!$A:$AX,MATCH($V$1,Data!$A$1:$AX$1,),)-VLOOKUP(EDATE(B98,-12),Data!$A:$AX,MATCH($V$1,Data!$A$1:$AX$1,),))/VLOOKUP(EDATE(B98,-12),Data!$A:$AX,MATCH($V$1,Data!$A$1:$AX$1,),)</f>
        <v/>
      </c>
      <c r="W98" s="20">
        <f>(VLOOKUP(B98,Data!$A:$AX,MATCH($W$1,Data!$A$1:$AX$1,),)-VLOOKUP(EDATE(B98,-12),Data!$A:$AX,MATCH($W$1,Data!$A$1:$AX$1,),))/VLOOKUP(EDATE(B98,-12),Data!$A:$AX,MATCH($W$1,Data!$A$1:$AX$1,),)</f>
        <v/>
      </c>
      <c r="X98" s="20">
        <f>(VLOOKUP(B98,Data!$A:$AX,MATCH($X$1,Data!$A$1:$AX$1,),)-VLOOKUP(EDATE(B98,-12),Data!$A:$AX,MATCH($X$1,Data!$A$1:$AX$1,),))/VLOOKUP(EDATE(B98,-12),Data!$A:$AX,MATCH($X$1,Data!$A$1:$AX$1,),)</f>
        <v/>
      </c>
      <c r="Y98" s="20">
        <f>(VLOOKUP(B98,Data!$A:$AX,MATCH($Y$1,Data!$A$1:$AX$1,),)-VLOOKUP(EDATE(B98,-12),Data!$A:$AX,MATCH($Y$1,Data!$A$1:$AX$1,),))/VLOOKUP(EDATE(B98,-12),Data!$A:$AX,MATCH($Y$1,Data!$A$1:$AX$1,),)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(VLOOKUP(B99,Data!$A:$AX,MATCH($C$1,Data!$A$1:$AX$1,),)-VLOOKUP(EDATE(B99,-12),Data!$A:$AX,MATCH($C$1,Data!$A$1:$AX$1,),))/VLOOKUP(EDATE(B99,-12),Data!$A:$AX,MATCH($C$1,Data!$A$1:$AX$1,),)</f>
        <v/>
      </c>
      <c r="D99" s="20">
        <f>(VLOOKUP(B99,Data!$A:$AX,MATCH($D$1,Data!$A$1:$AX$1,),)-VLOOKUP(EDATE(B99,-12),Data!$A:$AX,MATCH($D$1,Data!$A$1:$AX$1,),))/VLOOKUP(EDATE(B99,-12),Data!$A:$AX,MATCH($D$1,Data!$A$1:$AX$1,),)</f>
        <v/>
      </c>
      <c r="E99" s="20">
        <f>(VLOOKUP(B99,Data!$A:$AX,MATCH($E$1,Data!$A$1:$AX$1,),)-VLOOKUP(EDATE(B99,-12),Data!$A:$AX,MATCH($E$1,Data!$A$1:$AX$1,),))/VLOOKUP(EDATE(B99,-12),Data!$A:$AX,MATCH($E$1,Data!$A$1:$AX$1,),)</f>
        <v/>
      </c>
      <c r="F99" s="20">
        <f>(VLOOKUP(B99,Data!$A:$AX,MATCH($F$1,Data!$A$1:$AX$1,),)-VLOOKUP(EDATE(B99,-12),Data!$A:$AX,MATCH($F$1,Data!$A$1:$AX$1,),))/VLOOKUP(EDATE(B99,-12),Data!$A:$AX,MATCH($F$1,Data!$A$1:$AX$1,),)</f>
        <v/>
      </c>
      <c r="G99" s="20">
        <f>(VLOOKUP(B99,Data!$A:$AX,MATCH($G$1,Data!$A$1:$AX$1,),)-VLOOKUP(EDATE(B99,-12),Data!$A:$AX,MATCH($G$1,Data!$A$1:$AX$1,),))/VLOOKUP(EDATE(B99,-12),Data!$A:$AX,MATCH($G$1,Data!$A$1:$AX$1,),)</f>
        <v/>
      </c>
      <c r="H99" s="20">
        <f>(VLOOKUP(B99,Data!$A:$AX,MATCH($H$1,Data!$A$1:$AX$1,),)-VLOOKUP(EDATE(B99,-12),Data!$A:$AX,MATCH($H$1,Data!$A$1:$AX$1,),))/VLOOKUP(EDATE(B99,-12),Data!$A:$AX,MATCH($H$1,Data!$A$1:$AX$1,),)</f>
        <v/>
      </c>
      <c r="I99" s="20">
        <f>(VLOOKUP(B99,Data!$A:$AX,MATCH($I$1,Data!$A$1:$AX$1,),)-VLOOKUP(EDATE(B99,-12),Data!$A:$AX,MATCH($I$1,Data!$A$1:$AX$1,),))/VLOOKUP(EDATE(B99,-12),Data!$A:$AX,MATCH($I$1,Data!$A$1:$AX$1,),)</f>
        <v/>
      </c>
      <c r="J99" s="20">
        <f>(VLOOKUP(B99,Data!$A:$AX,MATCH($J$1,Data!$A$1:$AX$1,),)-VLOOKUP(EDATE(B99,-12),Data!$A:$AX,MATCH($J$1,Data!$A$1:$AX$1,),))/VLOOKUP(EDATE(B99,-12),Data!$A:$AX,MATCH($J$1,Data!$A$1:$AX$1,),)</f>
        <v/>
      </c>
      <c r="K99" s="20">
        <f>(VLOOKUP(B99,Data!$A:$AX,MATCH($K$1,Data!$A$1:$AX$1,),)-VLOOKUP(EDATE(B99,-12),Data!$A:$AX,MATCH($K$1,Data!$A$1:$AX$1,),))/VLOOKUP(EDATE(B99,-12),Data!$A:$AX,MATCH($K$1,Data!$A$1:$AX$1,),)</f>
        <v/>
      </c>
      <c r="L99" s="20">
        <f>(VLOOKUP(B99,Data!$A:$AX,MATCH($L$1,Data!$A$1:$AX$1,),)-VLOOKUP(EDATE(B99,-12),Data!$A:$AX,MATCH($L$1,Data!$A$1:$AX$1,),))/VLOOKUP(EDATE(B99,-12),Data!$A:$AX,MATCH($L$1,Data!$A$1:$AX$1,),)</f>
        <v/>
      </c>
      <c r="M99" s="20">
        <f>(VLOOKUP(B99,Data!$A:$AX,MATCH($M$1,Data!$A$1:$AX$1,),)-VLOOKUP(EDATE(B99,-12),Data!$A:$AX,MATCH($M$1,Data!$A$1:$AX$1,),))/VLOOKUP(EDATE(B99,-12),Data!$A:$AX,MATCH($M$1,Data!$A$1:$AX$1,),)</f>
        <v/>
      </c>
      <c r="N99" s="20">
        <f>(VLOOKUP(B99,Data!$A:$AX,MATCH($N$1,Data!$A$1:$AX$1,),)-VLOOKUP(EDATE(B99,-12),Data!$A:$AX,MATCH($N$1,Data!$A$1:$AX$1,),))/VLOOKUP(EDATE(B99,-12),Data!$A:$AX,MATCH($N$1,Data!$A$1:$AX$1,),)</f>
        <v/>
      </c>
      <c r="O99" s="20">
        <f>(VLOOKUP(B99,Data!$A:$AX,MATCH($O$1,Data!$A$1:$AX$1,),)-VLOOKUP(EDATE(B99,-12),Data!$A:$AX,MATCH($O$1,Data!$A$1:$AX$1,),))/VLOOKUP(EDATE(B99,-12),Data!$A:$AX,MATCH($O$1,Data!$A$1:$AX$1,),)</f>
        <v/>
      </c>
      <c r="P99" s="20">
        <f>(VLOOKUP(B99,Data!$A:$AX,MATCH($P$1,Data!$A$1:$AX$1,),)-VLOOKUP(EDATE(B99,-12),Data!$A:$AX,MATCH($P$1,Data!$A$1:$AX$1,),))/VLOOKUP(EDATE(B99,-12),Data!$A:$AX,MATCH($P$1,Data!$A$1:$AX$1,),)</f>
        <v/>
      </c>
      <c r="Q99" s="20">
        <f>(VLOOKUP(B99,Data!$A:$AX,MATCH($Q$1,Data!$A$1:$AX$1,),)-VLOOKUP(EDATE(B99,-12),Data!$A:$AX,MATCH($Q$1,Data!$A$1:$AX$1,),))/VLOOKUP(EDATE(B99,-12),Data!$A:$AX,MATCH($Q$1,Data!$A$1:$AX$1,),)</f>
        <v/>
      </c>
      <c r="R99" s="20">
        <f>(VLOOKUP(B99,Data!$A:$AX,MATCH($R$1,Data!$A$1:$AX$1,),)-VLOOKUP(EDATE(B99,-12),Data!$A:$AX,MATCH($R$1,Data!$A$1:$AX$1,),))/VLOOKUP(EDATE(B99,-12),Data!$A:$AX,MATCH($R$1,Data!$A$1:$AX$1,),)</f>
        <v/>
      </c>
      <c r="S99" s="20">
        <f>(VLOOKUP(B99,Data!$A:$AX,MATCH($S$1,Data!$A$1:$AX$1,),)-VLOOKUP(EDATE(B99,-12),Data!$A:$AX,MATCH($S$1,Data!$A$1:$AX$1,),))/VLOOKUP(EDATE(B99,-12),Data!$A:$AX,MATCH($S$1,Data!$A$1:$AX$1,),)</f>
        <v/>
      </c>
      <c r="T99" s="20">
        <f>(VLOOKUP(B99,Data!$A:$AX,MATCH($T$1,Data!$A$1:$AX$1,),)-VLOOKUP(EDATE(B99,-12),Data!$A:$AX,MATCH($T$1,Data!$A$1:$AX$1,),))/VLOOKUP(EDATE(B99,-12),Data!$A:$AX,MATCH($T$1,Data!$A$1:$AX$1,),)</f>
        <v/>
      </c>
      <c r="U99" s="20">
        <f>(VLOOKUP(B99,Data!$A:$AX,MATCH($U$1,Data!$A$1:$AX$1,),)-VLOOKUP(EDATE(B99,-12),Data!$A:$AX,MATCH($U$1,Data!$A$1:$AX$1,),))/VLOOKUP(EDATE(B99,-12),Data!$A:$AX,MATCH($U$1,Data!$A$1:$AX$1,),)</f>
        <v/>
      </c>
      <c r="V99" s="20">
        <f>(VLOOKUP(B99,Data!$A:$AX,MATCH($V$1,Data!$A$1:$AX$1,),)-VLOOKUP(EDATE(B99,-12),Data!$A:$AX,MATCH($V$1,Data!$A$1:$AX$1,),))/VLOOKUP(EDATE(B99,-12),Data!$A:$AX,MATCH($V$1,Data!$A$1:$AX$1,),)</f>
        <v/>
      </c>
      <c r="W99" s="20">
        <f>(VLOOKUP(B99,Data!$A:$AX,MATCH($W$1,Data!$A$1:$AX$1,),)-VLOOKUP(EDATE(B99,-12),Data!$A:$AX,MATCH($W$1,Data!$A$1:$AX$1,),))/VLOOKUP(EDATE(B99,-12),Data!$A:$AX,MATCH($W$1,Data!$A$1:$AX$1,),)</f>
        <v/>
      </c>
      <c r="X99" s="20">
        <f>(VLOOKUP(B99,Data!$A:$AX,MATCH($X$1,Data!$A$1:$AX$1,),)-VLOOKUP(EDATE(B99,-12),Data!$A:$AX,MATCH($X$1,Data!$A$1:$AX$1,),))/VLOOKUP(EDATE(B99,-12),Data!$A:$AX,MATCH($X$1,Data!$A$1:$AX$1,),)</f>
        <v/>
      </c>
      <c r="Y99" s="20">
        <f>(VLOOKUP(B99,Data!$A:$AX,MATCH($Y$1,Data!$A$1:$AX$1,),)-VLOOKUP(EDATE(B99,-12),Data!$A:$AX,MATCH($Y$1,Data!$A$1:$AX$1,),))/VLOOKUP(EDATE(B99,-12),Data!$A:$AX,MATCH($Y$1,Data!$A$1:$AX$1,),)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(VLOOKUP(B100,Data!$A:$AX,MATCH($C$1,Data!$A$1:$AX$1,),)-VLOOKUP(EDATE(B100,-12),Data!$A:$AX,MATCH($C$1,Data!$A$1:$AX$1,),))/VLOOKUP(EDATE(B100,-12),Data!$A:$AX,MATCH($C$1,Data!$A$1:$AX$1,),)</f>
        <v/>
      </c>
      <c r="D100" s="20">
        <f>(VLOOKUP(B100,Data!$A:$AX,MATCH($D$1,Data!$A$1:$AX$1,),)-VLOOKUP(EDATE(B100,-12),Data!$A:$AX,MATCH($D$1,Data!$A$1:$AX$1,),))/VLOOKUP(EDATE(B100,-12),Data!$A:$AX,MATCH($D$1,Data!$A$1:$AX$1,),)</f>
        <v/>
      </c>
      <c r="E100" s="20">
        <f>(VLOOKUP(B100,Data!$A:$AX,MATCH($E$1,Data!$A$1:$AX$1,),)-VLOOKUP(EDATE(B100,-12),Data!$A:$AX,MATCH($E$1,Data!$A$1:$AX$1,),))/VLOOKUP(EDATE(B100,-12),Data!$A:$AX,MATCH($E$1,Data!$A$1:$AX$1,),)</f>
        <v/>
      </c>
      <c r="F100" s="20">
        <f>(VLOOKUP(B100,Data!$A:$AX,MATCH($F$1,Data!$A$1:$AX$1,),)-VLOOKUP(EDATE(B100,-12),Data!$A:$AX,MATCH($F$1,Data!$A$1:$AX$1,),))/VLOOKUP(EDATE(B100,-12),Data!$A:$AX,MATCH($F$1,Data!$A$1:$AX$1,),)</f>
        <v/>
      </c>
      <c r="G100" s="20">
        <f>(VLOOKUP(B100,Data!$A:$AX,MATCH($G$1,Data!$A$1:$AX$1,),)-VLOOKUP(EDATE(B100,-12),Data!$A:$AX,MATCH($G$1,Data!$A$1:$AX$1,),))/VLOOKUP(EDATE(B100,-12),Data!$A:$AX,MATCH($G$1,Data!$A$1:$AX$1,),)</f>
        <v/>
      </c>
      <c r="H100" s="20">
        <f>(VLOOKUP(B100,Data!$A:$AX,MATCH($H$1,Data!$A$1:$AX$1,),)-VLOOKUP(EDATE(B100,-12),Data!$A:$AX,MATCH($H$1,Data!$A$1:$AX$1,),))/VLOOKUP(EDATE(B100,-12),Data!$A:$AX,MATCH($H$1,Data!$A$1:$AX$1,),)</f>
        <v/>
      </c>
      <c r="I100" s="20">
        <f>(VLOOKUP(B100,Data!$A:$AX,MATCH($I$1,Data!$A$1:$AX$1,),)-VLOOKUP(EDATE(B100,-12),Data!$A:$AX,MATCH($I$1,Data!$A$1:$AX$1,),))/VLOOKUP(EDATE(B100,-12),Data!$A:$AX,MATCH($I$1,Data!$A$1:$AX$1,),)</f>
        <v/>
      </c>
      <c r="J100" s="20">
        <f>(VLOOKUP(B100,Data!$A:$AX,MATCH($J$1,Data!$A$1:$AX$1,),)-VLOOKUP(EDATE(B100,-12),Data!$A:$AX,MATCH($J$1,Data!$A$1:$AX$1,),))/VLOOKUP(EDATE(B100,-12),Data!$A:$AX,MATCH($J$1,Data!$A$1:$AX$1,),)</f>
        <v/>
      </c>
      <c r="K100" s="20">
        <f>(VLOOKUP(B100,Data!$A:$AX,MATCH($K$1,Data!$A$1:$AX$1,),)-VLOOKUP(EDATE(B100,-12),Data!$A:$AX,MATCH($K$1,Data!$A$1:$AX$1,),))/VLOOKUP(EDATE(B100,-12),Data!$A:$AX,MATCH($K$1,Data!$A$1:$AX$1,),)</f>
        <v/>
      </c>
      <c r="L100" s="20">
        <f>(VLOOKUP(B100,Data!$A:$AX,MATCH($L$1,Data!$A$1:$AX$1,),)-VLOOKUP(EDATE(B100,-12),Data!$A:$AX,MATCH($L$1,Data!$A$1:$AX$1,),))/VLOOKUP(EDATE(B100,-12),Data!$A:$AX,MATCH($L$1,Data!$A$1:$AX$1,),)</f>
        <v/>
      </c>
      <c r="M100" s="20">
        <f>(VLOOKUP(B100,Data!$A:$AX,MATCH($M$1,Data!$A$1:$AX$1,),)-VLOOKUP(EDATE(B100,-12),Data!$A:$AX,MATCH($M$1,Data!$A$1:$AX$1,),))/VLOOKUP(EDATE(B100,-12),Data!$A:$AX,MATCH($M$1,Data!$A$1:$AX$1,),)</f>
        <v/>
      </c>
      <c r="N100" s="20">
        <f>(VLOOKUP(B100,Data!$A:$AX,MATCH($N$1,Data!$A$1:$AX$1,),)-VLOOKUP(EDATE(B100,-12),Data!$A:$AX,MATCH($N$1,Data!$A$1:$AX$1,),))/VLOOKUP(EDATE(B100,-12),Data!$A:$AX,MATCH($N$1,Data!$A$1:$AX$1,),)</f>
        <v/>
      </c>
      <c r="O100" s="20">
        <f>(VLOOKUP(B100,Data!$A:$AX,MATCH($O$1,Data!$A$1:$AX$1,),)-VLOOKUP(EDATE(B100,-12),Data!$A:$AX,MATCH($O$1,Data!$A$1:$AX$1,),))/VLOOKUP(EDATE(B100,-12),Data!$A:$AX,MATCH($O$1,Data!$A$1:$AX$1,),)</f>
        <v/>
      </c>
      <c r="P100" s="20">
        <f>(VLOOKUP(B100,Data!$A:$AX,MATCH($P$1,Data!$A$1:$AX$1,),)-VLOOKUP(EDATE(B100,-12),Data!$A:$AX,MATCH($P$1,Data!$A$1:$AX$1,),))/VLOOKUP(EDATE(B100,-12),Data!$A:$AX,MATCH($P$1,Data!$A$1:$AX$1,),)</f>
        <v/>
      </c>
      <c r="Q100" s="20">
        <f>(VLOOKUP(B100,Data!$A:$AX,MATCH($Q$1,Data!$A$1:$AX$1,),)-VLOOKUP(EDATE(B100,-12),Data!$A:$AX,MATCH($Q$1,Data!$A$1:$AX$1,),))/VLOOKUP(EDATE(B100,-12),Data!$A:$AX,MATCH($Q$1,Data!$A$1:$AX$1,),)</f>
        <v/>
      </c>
      <c r="R100" s="20">
        <f>(VLOOKUP(B100,Data!$A:$AX,MATCH($R$1,Data!$A$1:$AX$1,),)-VLOOKUP(EDATE(B100,-12),Data!$A:$AX,MATCH($R$1,Data!$A$1:$AX$1,),))/VLOOKUP(EDATE(B100,-12),Data!$A:$AX,MATCH($R$1,Data!$A$1:$AX$1,),)</f>
        <v/>
      </c>
      <c r="S100" s="20">
        <f>(VLOOKUP(B100,Data!$A:$AX,MATCH($S$1,Data!$A$1:$AX$1,),)-VLOOKUP(EDATE(B100,-12),Data!$A:$AX,MATCH($S$1,Data!$A$1:$AX$1,),))/VLOOKUP(EDATE(B100,-12),Data!$A:$AX,MATCH($S$1,Data!$A$1:$AX$1,),)</f>
        <v/>
      </c>
      <c r="T100" s="20">
        <f>(VLOOKUP(B100,Data!$A:$AX,MATCH($T$1,Data!$A$1:$AX$1,),)-VLOOKUP(EDATE(B100,-12),Data!$A:$AX,MATCH($T$1,Data!$A$1:$AX$1,),))/VLOOKUP(EDATE(B100,-12),Data!$A:$AX,MATCH($T$1,Data!$A$1:$AX$1,),)</f>
        <v/>
      </c>
      <c r="U100" s="20">
        <f>(VLOOKUP(B100,Data!$A:$AX,MATCH($U$1,Data!$A$1:$AX$1,),)-VLOOKUP(EDATE(B100,-12),Data!$A:$AX,MATCH($U$1,Data!$A$1:$AX$1,),))/VLOOKUP(EDATE(B100,-12),Data!$A:$AX,MATCH($U$1,Data!$A$1:$AX$1,),)</f>
        <v/>
      </c>
      <c r="V100" s="20">
        <f>(VLOOKUP(B100,Data!$A:$AX,MATCH($V$1,Data!$A$1:$AX$1,),)-VLOOKUP(EDATE(B100,-12),Data!$A:$AX,MATCH($V$1,Data!$A$1:$AX$1,),))/VLOOKUP(EDATE(B100,-12),Data!$A:$AX,MATCH($V$1,Data!$A$1:$AX$1,),)</f>
        <v/>
      </c>
      <c r="W100" s="20">
        <f>(VLOOKUP(B100,Data!$A:$AX,MATCH($W$1,Data!$A$1:$AX$1,),)-VLOOKUP(EDATE(B100,-12),Data!$A:$AX,MATCH($W$1,Data!$A$1:$AX$1,),))/VLOOKUP(EDATE(B100,-12),Data!$A:$AX,MATCH($W$1,Data!$A$1:$AX$1,),)</f>
        <v/>
      </c>
      <c r="X100" s="20">
        <f>(VLOOKUP(B100,Data!$A:$AX,MATCH($X$1,Data!$A$1:$AX$1,),)-VLOOKUP(EDATE(B100,-12),Data!$A:$AX,MATCH($X$1,Data!$A$1:$AX$1,),))/VLOOKUP(EDATE(B100,-12),Data!$A:$AX,MATCH($X$1,Data!$A$1:$AX$1,),)</f>
        <v/>
      </c>
      <c r="Y100" s="20">
        <f>(VLOOKUP(B100,Data!$A:$AX,MATCH($Y$1,Data!$A$1:$AX$1,),)-VLOOKUP(EDATE(B100,-12),Data!$A:$AX,MATCH($Y$1,Data!$A$1:$AX$1,),))/VLOOKUP(EDATE(B100,-12),Data!$A:$AX,MATCH($Y$1,Data!$A$1:$AX$1,),)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(VLOOKUP(B101,Data!$A:$AX,MATCH($C$1,Data!$A$1:$AX$1,),)-VLOOKUP(EDATE(B101,-12),Data!$A:$AX,MATCH($C$1,Data!$A$1:$AX$1,),))/VLOOKUP(EDATE(B101,-12),Data!$A:$AX,MATCH($C$1,Data!$A$1:$AX$1,),)</f>
        <v/>
      </c>
      <c r="D101" s="20">
        <f>(VLOOKUP(B101,Data!$A:$AX,MATCH($D$1,Data!$A$1:$AX$1,),)-VLOOKUP(EDATE(B101,-12),Data!$A:$AX,MATCH($D$1,Data!$A$1:$AX$1,),))/VLOOKUP(EDATE(B101,-12),Data!$A:$AX,MATCH($D$1,Data!$A$1:$AX$1,),)</f>
        <v/>
      </c>
      <c r="E101" s="20">
        <f>(VLOOKUP(B101,Data!$A:$AX,MATCH($E$1,Data!$A$1:$AX$1,),)-VLOOKUP(EDATE(B101,-12),Data!$A:$AX,MATCH($E$1,Data!$A$1:$AX$1,),))/VLOOKUP(EDATE(B101,-12),Data!$A:$AX,MATCH($E$1,Data!$A$1:$AX$1,),)</f>
        <v/>
      </c>
      <c r="F101" s="20">
        <f>(VLOOKUP(B101,Data!$A:$AX,MATCH($F$1,Data!$A$1:$AX$1,),)-VLOOKUP(EDATE(B101,-12),Data!$A:$AX,MATCH($F$1,Data!$A$1:$AX$1,),))/VLOOKUP(EDATE(B101,-12),Data!$A:$AX,MATCH($F$1,Data!$A$1:$AX$1,),)</f>
        <v/>
      </c>
      <c r="G101" s="20">
        <f>(VLOOKUP(B101,Data!$A:$AX,MATCH($G$1,Data!$A$1:$AX$1,),)-VLOOKUP(EDATE(B101,-12),Data!$A:$AX,MATCH($G$1,Data!$A$1:$AX$1,),))/VLOOKUP(EDATE(B101,-12),Data!$A:$AX,MATCH($G$1,Data!$A$1:$AX$1,),)</f>
        <v/>
      </c>
      <c r="H101" s="20">
        <f>(VLOOKUP(B101,Data!$A:$AX,MATCH($H$1,Data!$A$1:$AX$1,),)-VLOOKUP(EDATE(B101,-12),Data!$A:$AX,MATCH($H$1,Data!$A$1:$AX$1,),))/VLOOKUP(EDATE(B101,-12),Data!$A:$AX,MATCH($H$1,Data!$A$1:$AX$1,),)</f>
        <v/>
      </c>
      <c r="I101" s="20">
        <f>(VLOOKUP(B101,Data!$A:$AX,MATCH($I$1,Data!$A$1:$AX$1,),)-VLOOKUP(EDATE(B101,-12),Data!$A:$AX,MATCH($I$1,Data!$A$1:$AX$1,),))/VLOOKUP(EDATE(B101,-12),Data!$A:$AX,MATCH($I$1,Data!$A$1:$AX$1,),)</f>
        <v/>
      </c>
      <c r="J101" s="20">
        <f>(VLOOKUP(B101,Data!$A:$AX,MATCH($J$1,Data!$A$1:$AX$1,),)-VLOOKUP(EDATE(B101,-12),Data!$A:$AX,MATCH($J$1,Data!$A$1:$AX$1,),))/VLOOKUP(EDATE(B101,-12),Data!$A:$AX,MATCH($J$1,Data!$A$1:$AX$1,),)</f>
        <v/>
      </c>
      <c r="K101" s="20">
        <f>(VLOOKUP(B101,Data!$A:$AX,MATCH($K$1,Data!$A$1:$AX$1,),)-VLOOKUP(EDATE(B101,-12),Data!$A:$AX,MATCH($K$1,Data!$A$1:$AX$1,),))/VLOOKUP(EDATE(B101,-12),Data!$A:$AX,MATCH($K$1,Data!$A$1:$AX$1,),)</f>
        <v/>
      </c>
      <c r="L101" s="20">
        <f>(VLOOKUP(B101,Data!$A:$AX,MATCH($L$1,Data!$A$1:$AX$1,),)-VLOOKUP(EDATE(B101,-12),Data!$A:$AX,MATCH($L$1,Data!$A$1:$AX$1,),))/VLOOKUP(EDATE(B101,-12),Data!$A:$AX,MATCH($L$1,Data!$A$1:$AX$1,),)</f>
        <v/>
      </c>
      <c r="M101" s="20">
        <f>(VLOOKUP(B101,Data!$A:$AX,MATCH($M$1,Data!$A$1:$AX$1,),)-VLOOKUP(EDATE(B101,-12),Data!$A:$AX,MATCH($M$1,Data!$A$1:$AX$1,),))/VLOOKUP(EDATE(B101,-12),Data!$A:$AX,MATCH($M$1,Data!$A$1:$AX$1,),)</f>
        <v/>
      </c>
      <c r="N101" s="20">
        <f>(VLOOKUP(B101,Data!$A:$AX,MATCH($N$1,Data!$A$1:$AX$1,),)-VLOOKUP(EDATE(B101,-12),Data!$A:$AX,MATCH($N$1,Data!$A$1:$AX$1,),))/VLOOKUP(EDATE(B101,-12),Data!$A:$AX,MATCH($N$1,Data!$A$1:$AX$1,),)</f>
        <v/>
      </c>
      <c r="O101" s="20">
        <f>(VLOOKUP(B101,Data!$A:$AX,MATCH($O$1,Data!$A$1:$AX$1,),)-VLOOKUP(EDATE(B101,-12),Data!$A:$AX,MATCH($O$1,Data!$A$1:$AX$1,),))/VLOOKUP(EDATE(B101,-12),Data!$A:$AX,MATCH($O$1,Data!$A$1:$AX$1,),)</f>
        <v/>
      </c>
      <c r="P101" s="20">
        <f>(VLOOKUP(B101,Data!$A:$AX,MATCH($P$1,Data!$A$1:$AX$1,),)-VLOOKUP(EDATE(B101,-12),Data!$A:$AX,MATCH($P$1,Data!$A$1:$AX$1,),))/VLOOKUP(EDATE(B101,-12),Data!$A:$AX,MATCH($P$1,Data!$A$1:$AX$1,),)</f>
        <v/>
      </c>
      <c r="Q101" s="20">
        <f>(VLOOKUP(B101,Data!$A:$AX,MATCH($Q$1,Data!$A$1:$AX$1,),)-VLOOKUP(EDATE(B101,-12),Data!$A:$AX,MATCH($Q$1,Data!$A$1:$AX$1,),))/VLOOKUP(EDATE(B101,-12),Data!$A:$AX,MATCH($Q$1,Data!$A$1:$AX$1,),)</f>
        <v/>
      </c>
      <c r="R101" s="20">
        <f>(VLOOKUP(B101,Data!$A:$AX,MATCH($R$1,Data!$A$1:$AX$1,),)-VLOOKUP(EDATE(B101,-12),Data!$A:$AX,MATCH($R$1,Data!$A$1:$AX$1,),))/VLOOKUP(EDATE(B101,-12),Data!$A:$AX,MATCH($R$1,Data!$A$1:$AX$1,),)</f>
        <v/>
      </c>
      <c r="S101" s="20">
        <f>(VLOOKUP(B101,Data!$A:$AX,MATCH($S$1,Data!$A$1:$AX$1,),)-VLOOKUP(EDATE(B101,-12),Data!$A:$AX,MATCH($S$1,Data!$A$1:$AX$1,),))/VLOOKUP(EDATE(B101,-12),Data!$A:$AX,MATCH($S$1,Data!$A$1:$AX$1,),)</f>
        <v/>
      </c>
      <c r="T101" s="20">
        <f>(VLOOKUP(B101,Data!$A:$AX,MATCH($T$1,Data!$A$1:$AX$1,),)-VLOOKUP(EDATE(B101,-12),Data!$A:$AX,MATCH($T$1,Data!$A$1:$AX$1,),))/VLOOKUP(EDATE(B101,-12),Data!$A:$AX,MATCH($T$1,Data!$A$1:$AX$1,),)</f>
        <v/>
      </c>
      <c r="U101" s="20">
        <f>(VLOOKUP(B101,Data!$A:$AX,MATCH($U$1,Data!$A$1:$AX$1,),)-VLOOKUP(EDATE(B101,-12),Data!$A:$AX,MATCH($U$1,Data!$A$1:$AX$1,),))/VLOOKUP(EDATE(B101,-12),Data!$A:$AX,MATCH($U$1,Data!$A$1:$AX$1,),)</f>
        <v/>
      </c>
      <c r="V101" s="20">
        <f>(VLOOKUP(B101,Data!$A:$AX,MATCH($V$1,Data!$A$1:$AX$1,),)-VLOOKUP(EDATE(B101,-12),Data!$A:$AX,MATCH($V$1,Data!$A$1:$AX$1,),))/VLOOKUP(EDATE(B101,-12),Data!$A:$AX,MATCH($V$1,Data!$A$1:$AX$1,),)</f>
        <v/>
      </c>
      <c r="W101" s="20">
        <f>(VLOOKUP(B101,Data!$A:$AX,MATCH($W$1,Data!$A$1:$AX$1,),)-VLOOKUP(EDATE(B101,-12),Data!$A:$AX,MATCH($W$1,Data!$A$1:$AX$1,),))/VLOOKUP(EDATE(B101,-12),Data!$A:$AX,MATCH($W$1,Data!$A$1:$AX$1,),)</f>
        <v/>
      </c>
      <c r="X101" s="20">
        <f>(VLOOKUP(B101,Data!$A:$AX,MATCH($X$1,Data!$A$1:$AX$1,),)-VLOOKUP(EDATE(B101,-12),Data!$A:$AX,MATCH($X$1,Data!$A$1:$AX$1,),))/VLOOKUP(EDATE(B101,-12),Data!$A:$AX,MATCH($X$1,Data!$A$1:$AX$1,),)</f>
        <v/>
      </c>
      <c r="Y101" s="20">
        <f>(VLOOKUP(B101,Data!$A:$AX,MATCH($Y$1,Data!$A$1:$AX$1,),)-VLOOKUP(EDATE(B101,-12),Data!$A:$AX,MATCH($Y$1,Data!$A$1:$AX$1,),))/VLOOKUP(EDATE(B101,-12),Data!$A:$AX,MATCH($Y$1,Data!$A$1:$AX$1,),)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(VLOOKUP(B102,Data!$A:$AX,MATCH($C$1,Data!$A$1:$AX$1,),)-VLOOKUP(EDATE(B102,-12),Data!$A:$AX,MATCH($C$1,Data!$A$1:$AX$1,),))/VLOOKUP(EDATE(B102,-12),Data!$A:$AX,MATCH($C$1,Data!$A$1:$AX$1,),)</f>
        <v/>
      </c>
      <c r="D102" s="20">
        <f>(VLOOKUP(B102,Data!$A:$AX,MATCH($D$1,Data!$A$1:$AX$1,),)-VLOOKUP(EDATE(B102,-12),Data!$A:$AX,MATCH($D$1,Data!$A$1:$AX$1,),))/VLOOKUP(EDATE(B102,-12),Data!$A:$AX,MATCH($D$1,Data!$A$1:$AX$1,),)</f>
        <v/>
      </c>
      <c r="E102" s="20">
        <f>(VLOOKUP(B102,Data!$A:$AX,MATCH($E$1,Data!$A$1:$AX$1,),)-VLOOKUP(EDATE(B102,-12),Data!$A:$AX,MATCH($E$1,Data!$A$1:$AX$1,),))/VLOOKUP(EDATE(B102,-12),Data!$A:$AX,MATCH($E$1,Data!$A$1:$AX$1,),)</f>
        <v/>
      </c>
      <c r="F102" s="20">
        <f>(VLOOKUP(B102,Data!$A:$AX,MATCH($F$1,Data!$A$1:$AX$1,),)-VLOOKUP(EDATE(B102,-12),Data!$A:$AX,MATCH($F$1,Data!$A$1:$AX$1,),))/VLOOKUP(EDATE(B102,-12),Data!$A:$AX,MATCH($F$1,Data!$A$1:$AX$1,),)</f>
        <v/>
      </c>
      <c r="G102" s="20">
        <f>(VLOOKUP(B102,Data!$A:$AX,MATCH($G$1,Data!$A$1:$AX$1,),)-VLOOKUP(EDATE(B102,-12),Data!$A:$AX,MATCH($G$1,Data!$A$1:$AX$1,),))/VLOOKUP(EDATE(B102,-12),Data!$A:$AX,MATCH($G$1,Data!$A$1:$AX$1,),)</f>
        <v/>
      </c>
      <c r="H102" s="20">
        <f>(VLOOKUP(B102,Data!$A:$AX,MATCH($H$1,Data!$A$1:$AX$1,),)-VLOOKUP(EDATE(B102,-12),Data!$A:$AX,MATCH($H$1,Data!$A$1:$AX$1,),))/VLOOKUP(EDATE(B102,-12),Data!$A:$AX,MATCH($H$1,Data!$A$1:$AX$1,),)</f>
        <v/>
      </c>
      <c r="I102" s="20">
        <f>(VLOOKUP(B102,Data!$A:$AX,MATCH($I$1,Data!$A$1:$AX$1,),)-VLOOKUP(EDATE(B102,-12),Data!$A:$AX,MATCH($I$1,Data!$A$1:$AX$1,),))/VLOOKUP(EDATE(B102,-12),Data!$A:$AX,MATCH($I$1,Data!$A$1:$AX$1,),)</f>
        <v/>
      </c>
      <c r="J102" s="20">
        <f>(VLOOKUP(B102,Data!$A:$AX,MATCH($J$1,Data!$A$1:$AX$1,),)-VLOOKUP(EDATE(B102,-12),Data!$A:$AX,MATCH($J$1,Data!$A$1:$AX$1,),))/VLOOKUP(EDATE(B102,-12),Data!$A:$AX,MATCH($J$1,Data!$A$1:$AX$1,),)</f>
        <v/>
      </c>
      <c r="K102" s="20">
        <f>(VLOOKUP(B102,Data!$A:$AX,MATCH($K$1,Data!$A$1:$AX$1,),)-VLOOKUP(EDATE(B102,-12),Data!$A:$AX,MATCH($K$1,Data!$A$1:$AX$1,),))/VLOOKUP(EDATE(B102,-12),Data!$A:$AX,MATCH($K$1,Data!$A$1:$AX$1,),)</f>
        <v/>
      </c>
      <c r="L102" s="20">
        <f>(VLOOKUP(B102,Data!$A:$AX,MATCH($L$1,Data!$A$1:$AX$1,),)-VLOOKUP(EDATE(B102,-12),Data!$A:$AX,MATCH($L$1,Data!$A$1:$AX$1,),))/VLOOKUP(EDATE(B102,-12),Data!$A:$AX,MATCH($L$1,Data!$A$1:$AX$1,),)</f>
        <v/>
      </c>
      <c r="M102" s="20">
        <f>(VLOOKUP(B102,Data!$A:$AX,MATCH($M$1,Data!$A$1:$AX$1,),)-VLOOKUP(EDATE(B102,-12),Data!$A:$AX,MATCH($M$1,Data!$A$1:$AX$1,),))/VLOOKUP(EDATE(B102,-12),Data!$A:$AX,MATCH($M$1,Data!$A$1:$AX$1,),)</f>
        <v/>
      </c>
      <c r="N102" s="20">
        <f>(VLOOKUP(B102,Data!$A:$AX,MATCH($N$1,Data!$A$1:$AX$1,),)-VLOOKUP(EDATE(B102,-12),Data!$A:$AX,MATCH($N$1,Data!$A$1:$AX$1,),))/VLOOKUP(EDATE(B102,-12),Data!$A:$AX,MATCH($N$1,Data!$A$1:$AX$1,),)</f>
        <v/>
      </c>
      <c r="O102" s="20">
        <f>(VLOOKUP(B102,Data!$A:$AX,MATCH($O$1,Data!$A$1:$AX$1,),)-VLOOKUP(EDATE(B102,-12),Data!$A:$AX,MATCH($O$1,Data!$A$1:$AX$1,),))/VLOOKUP(EDATE(B102,-12),Data!$A:$AX,MATCH($O$1,Data!$A$1:$AX$1,),)</f>
        <v/>
      </c>
      <c r="P102" s="20">
        <f>(VLOOKUP(B102,Data!$A:$AX,MATCH($P$1,Data!$A$1:$AX$1,),)-VLOOKUP(EDATE(B102,-12),Data!$A:$AX,MATCH($P$1,Data!$A$1:$AX$1,),))/VLOOKUP(EDATE(B102,-12),Data!$A:$AX,MATCH($P$1,Data!$A$1:$AX$1,),)</f>
        <v/>
      </c>
      <c r="Q102" s="20">
        <f>(VLOOKUP(B102,Data!$A:$AX,MATCH($Q$1,Data!$A$1:$AX$1,),)-VLOOKUP(EDATE(B102,-12),Data!$A:$AX,MATCH($Q$1,Data!$A$1:$AX$1,),))/VLOOKUP(EDATE(B102,-12),Data!$A:$AX,MATCH($Q$1,Data!$A$1:$AX$1,),)</f>
        <v/>
      </c>
      <c r="R102" s="20">
        <f>(VLOOKUP(B102,Data!$A:$AX,MATCH($R$1,Data!$A$1:$AX$1,),)-VLOOKUP(EDATE(B102,-12),Data!$A:$AX,MATCH($R$1,Data!$A$1:$AX$1,),))/VLOOKUP(EDATE(B102,-12),Data!$A:$AX,MATCH($R$1,Data!$A$1:$AX$1,),)</f>
        <v/>
      </c>
      <c r="S102" s="20">
        <f>(VLOOKUP(B102,Data!$A:$AX,MATCH($S$1,Data!$A$1:$AX$1,),)-VLOOKUP(EDATE(B102,-12),Data!$A:$AX,MATCH($S$1,Data!$A$1:$AX$1,),))/VLOOKUP(EDATE(B102,-12),Data!$A:$AX,MATCH($S$1,Data!$A$1:$AX$1,),)</f>
        <v/>
      </c>
      <c r="T102" s="20">
        <f>(VLOOKUP(B102,Data!$A:$AX,MATCH($T$1,Data!$A$1:$AX$1,),)-VLOOKUP(EDATE(B102,-12),Data!$A:$AX,MATCH($T$1,Data!$A$1:$AX$1,),))/VLOOKUP(EDATE(B102,-12),Data!$A:$AX,MATCH($T$1,Data!$A$1:$AX$1,),)</f>
        <v/>
      </c>
      <c r="U102" s="20">
        <f>(VLOOKUP(B102,Data!$A:$AX,MATCH($U$1,Data!$A$1:$AX$1,),)-VLOOKUP(EDATE(B102,-12),Data!$A:$AX,MATCH($U$1,Data!$A$1:$AX$1,),))/VLOOKUP(EDATE(B102,-12),Data!$A:$AX,MATCH($U$1,Data!$A$1:$AX$1,),)</f>
        <v/>
      </c>
      <c r="V102" s="20">
        <f>(VLOOKUP(B102,Data!$A:$AX,MATCH($V$1,Data!$A$1:$AX$1,),)-VLOOKUP(EDATE(B102,-12),Data!$A:$AX,MATCH($V$1,Data!$A$1:$AX$1,),))/VLOOKUP(EDATE(B102,-12),Data!$A:$AX,MATCH($V$1,Data!$A$1:$AX$1,),)</f>
        <v/>
      </c>
      <c r="W102" s="20">
        <f>(VLOOKUP(B102,Data!$A:$AX,MATCH($W$1,Data!$A$1:$AX$1,),)-VLOOKUP(EDATE(B102,-12),Data!$A:$AX,MATCH($W$1,Data!$A$1:$AX$1,),))/VLOOKUP(EDATE(B102,-12),Data!$A:$AX,MATCH($W$1,Data!$A$1:$AX$1,),)</f>
        <v/>
      </c>
      <c r="X102" s="20">
        <f>(VLOOKUP(B102,Data!$A:$AX,MATCH($X$1,Data!$A$1:$AX$1,),)-VLOOKUP(EDATE(B102,-12),Data!$A:$AX,MATCH($X$1,Data!$A$1:$AX$1,),))/VLOOKUP(EDATE(B102,-12),Data!$A:$AX,MATCH($X$1,Data!$A$1:$AX$1,),)</f>
        <v/>
      </c>
      <c r="Y102" s="20">
        <f>(VLOOKUP(B102,Data!$A:$AX,MATCH($Y$1,Data!$A$1:$AX$1,),)-VLOOKUP(EDATE(B102,-12),Data!$A:$AX,MATCH($Y$1,Data!$A$1:$AX$1,),))/VLOOKUP(EDATE(B102,-12),Data!$A:$AX,MATCH($Y$1,Data!$A$1:$AX$1,),)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(VLOOKUP(B103,Data!$A:$AX,MATCH($C$1,Data!$A$1:$AX$1,),)-VLOOKUP(EDATE(B103,-12),Data!$A:$AX,MATCH($C$1,Data!$A$1:$AX$1,),))/VLOOKUP(EDATE(B103,-12),Data!$A:$AX,MATCH($C$1,Data!$A$1:$AX$1,),)</f>
        <v/>
      </c>
      <c r="D103" s="20">
        <f>(VLOOKUP(B103,Data!$A:$AX,MATCH($D$1,Data!$A$1:$AX$1,),)-VLOOKUP(EDATE(B103,-12),Data!$A:$AX,MATCH($D$1,Data!$A$1:$AX$1,),))/VLOOKUP(EDATE(B103,-12),Data!$A:$AX,MATCH($D$1,Data!$A$1:$AX$1,),)</f>
        <v/>
      </c>
      <c r="E103" s="20">
        <f>(VLOOKUP(B103,Data!$A:$AX,MATCH($E$1,Data!$A$1:$AX$1,),)-VLOOKUP(EDATE(B103,-12),Data!$A:$AX,MATCH($E$1,Data!$A$1:$AX$1,),))/VLOOKUP(EDATE(B103,-12),Data!$A:$AX,MATCH($E$1,Data!$A$1:$AX$1,),)</f>
        <v/>
      </c>
      <c r="F103" s="20">
        <f>(VLOOKUP(B103,Data!$A:$AX,MATCH($F$1,Data!$A$1:$AX$1,),)-VLOOKUP(EDATE(B103,-12),Data!$A:$AX,MATCH($F$1,Data!$A$1:$AX$1,),))/VLOOKUP(EDATE(B103,-12),Data!$A:$AX,MATCH($F$1,Data!$A$1:$AX$1,),)</f>
        <v/>
      </c>
      <c r="G103" s="20">
        <f>(VLOOKUP(B103,Data!$A:$AX,MATCH($G$1,Data!$A$1:$AX$1,),)-VLOOKUP(EDATE(B103,-12),Data!$A:$AX,MATCH($G$1,Data!$A$1:$AX$1,),))/VLOOKUP(EDATE(B103,-12),Data!$A:$AX,MATCH($G$1,Data!$A$1:$AX$1,),)</f>
        <v/>
      </c>
      <c r="H103" s="20">
        <f>(VLOOKUP(B103,Data!$A:$AX,MATCH($H$1,Data!$A$1:$AX$1,),)-VLOOKUP(EDATE(B103,-12),Data!$A:$AX,MATCH($H$1,Data!$A$1:$AX$1,),))/VLOOKUP(EDATE(B103,-12),Data!$A:$AX,MATCH($H$1,Data!$A$1:$AX$1,),)</f>
        <v/>
      </c>
      <c r="I103" s="20">
        <f>(VLOOKUP(B103,Data!$A:$AX,MATCH($I$1,Data!$A$1:$AX$1,),)-VLOOKUP(EDATE(B103,-12),Data!$A:$AX,MATCH($I$1,Data!$A$1:$AX$1,),))/VLOOKUP(EDATE(B103,-12),Data!$A:$AX,MATCH($I$1,Data!$A$1:$AX$1,),)</f>
        <v/>
      </c>
      <c r="J103" s="20">
        <f>(VLOOKUP(B103,Data!$A:$AX,MATCH($J$1,Data!$A$1:$AX$1,),)-VLOOKUP(EDATE(B103,-12),Data!$A:$AX,MATCH($J$1,Data!$A$1:$AX$1,),))/VLOOKUP(EDATE(B103,-12),Data!$A:$AX,MATCH($J$1,Data!$A$1:$AX$1,),)</f>
        <v/>
      </c>
      <c r="K103" s="20">
        <f>(VLOOKUP(B103,Data!$A:$AX,MATCH($K$1,Data!$A$1:$AX$1,),)-VLOOKUP(EDATE(B103,-12),Data!$A:$AX,MATCH($K$1,Data!$A$1:$AX$1,),))/VLOOKUP(EDATE(B103,-12),Data!$A:$AX,MATCH($K$1,Data!$A$1:$AX$1,),)</f>
        <v/>
      </c>
      <c r="L103" s="20">
        <f>(VLOOKUP(B103,Data!$A:$AX,MATCH($L$1,Data!$A$1:$AX$1,),)-VLOOKUP(EDATE(B103,-12),Data!$A:$AX,MATCH($L$1,Data!$A$1:$AX$1,),))/VLOOKUP(EDATE(B103,-12),Data!$A:$AX,MATCH($L$1,Data!$A$1:$AX$1,),)</f>
        <v/>
      </c>
      <c r="M103" s="20">
        <f>(VLOOKUP(B103,Data!$A:$AX,MATCH($M$1,Data!$A$1:$AX$1,),)-VLOOKUP(EDATE(B103,-12),Data!$A:$AX,MATCH($M$1,Data!$A$1:$AX$1,),))/VLOOKUP(EDATE(B103,-12),Data!$A:$AX,MATCH($M$1,Data!$A$1:$AX$1,),)</f>
        <v/>
      </c>
      <c r="N103" s="20">
        <f>(VLOOKUP(B103,Data!$A:$AX,MATCH($N$1,Data!$A$1:$AX$1,),)-VLOOKUP(EDATE(B103,-12),Data!$A:$AX,MATCH($N$1,Data!$A$1:$AX$1,),))/VLOOKUP(EDATE(B103,-12),Data!$A:$AX,MATCH($N$1,Data!$A$1:$AX$1,),)</f>
        <v/>
      </c>
      <c r="O103" s="20">
        <f>(VLOOKUP(B103,Data!$A:$AX,MATCH($O$1,Data!$A$1:$AX$1,),)-VLOOKUP(EDATE(B103,-12),Data!$A:$AX,MATCH($O$1,Data!$A$1:$AX$1,),))/VLOOKUP(EDATE(B103,-12),Data!$A:$AX,MATCH($O$1,Data!$A$1:$AX$1,),)</f>
        <v/>
      </c>
      <c r="P103" s="20">
        <f>(VLOOKUP(B103,Data!$A:$AX,MATCH($P$1,Data!$A$1:$AX$1,),)-VLOOKUP(EDATE(B103,-12),Data!$A:$AX,MATCH($P$1,Data!$A$1:$AX$1,),))/VLOOKUP(EDATE(B103,-12),Data!$A:$AX,MATCH($P$1,Data!$A$1:$AX$1,),)</f>
        <v/>
      </c>
      <c r="Q103" s="20">
        <f>(VLOOKUP(B103,Data!$A:$AX,MATCH($Q$1,Data!$A$1:$AX$1,),)-VLOOKUP(EDATE(B103,-12),Data!$A:$AX,MATCH($Q$1,Data!$A$1:$AX$1,),))/VLOOKUP(EDATE(B103,-12),Data!$A:$AX,MATCH($Q$1,Data!$A$1:$AX$1,),)</f>
        <v/>
      </c>
      <c r="R103" s="20">
        <f>(VLOOKUP(B103,Data!$A:$AX,MATCH($R$1,Data!$A$1:$AX$1,),)-VLOOKUP(EDATE(B103,-12),Data!$A:$AX,MATCH($R$1,Data!$A$1:$AX$1,),))/VLOOKUP(EDATE(B103,-12),Data!$A:$AX,MATCH($R$1,Data!$A$1:$AX$1,),)</f>
        <v/>
      </c>
      <c r="S103" s="20">
        <f>(VLOOKUP(B103,Data!$A:$AX,MATCH($S$1,Data!$A$1:$AX$1,),)-VLOOKUP(EDATE(B103,-12),Data!$A:$AX,MATCH($S$1,Data!$A$1:$AX$1,),))/VLOOKUP(EDATE(B103,-12),Data!$A:$AX,MATCH($S$1,Data!$A$1:$AX$1,),)</f>
        <v/>
      </c>
      <c r="T103" s="20">
        <f>(VLOOKUP(B103,Data!$A:$AX,MATCH($T$1,Data!$A$1:$AX$1,),)-VLOOKUP(EDATE(B103,-12),Data!$A:$AX,MATCH($T$1,Data!$A$1:$AX$1,),))/VLOOKUP(EDATE(B103,-12),Data!$A:$AX,MATCH($T$1,Data!$A$1:$AX$1,),)</f>
        <v/>
      </c>
      <c r="U103" s="20">
        <f>(VLOOKUP(B103,Data!$A:$AX,MATCH($U$1,Data!$A$1:$AX$1,),)-VLOOKUP(EDATE(B103,-12),Data!$A:$AX,MATCH($U$1,Data!$A$1:$AX$1,),))/VLOOKUP(EDATE(B103,-12),Data!$A:$AX,MATCH($U$1,Data!$A$1:$AX$1,),)</f>
        <v/>
      </c>
      <c r="V103" s="20">
        <f>(VLOOKUP(B103,Data!$A:$AX,MATCH($V$1,Data!$A$1:$AX$1,),)-VLOOKUP(EDATE(B103,-12),Data!$A:$AX,MATCH($V$1,Data!$A$1:$AX$1,),))/VLOOKUP(EDATE(B103,-12),Data!$A:$AX,MATCH($V$1,Data!$A$1:$AX$1,),)</f>
        <v/>
      </c>
      <c r="W103" s="20">
        <f>(VLOOKUP(B103,Data!$A:$AX,MATCH($W$1,Data!$A$1:$AX$1,),)-VLOOKUP(EDATE(B103,-12),Data!$A:$AX,MATCH($W$1,Data!$A$1:$AX$1,),))/VLOOKUP(EDATE(B103,-12),Data!$A:$AX,MATCH($W$1,Data!$A$1:$AX$1,),)</f>
        <v/>
      </c>
      <c r="X103" s="20">
        <f>(VLOOKUP(B103,Data!$A:$AX,MATCH($X$1,Data!$A$1:$AX$1,),)-VLOOKUP(EDATE(B103,-12),Data!$A:$AX,MATCH($X$1,Data!$A$1:$AX$1,),))/VLOOKUP(EDATE(B103,-12),Data!$A:$AX,MATCH($X$1,Data!$A$1:$AX$1,),)</f>
        <v/>
      </c>
      <c r="Y103" s="20">
        <f>(VLOOKUP(B103,Data!$A:$AX,MATCH($Y$1,Data!$A$1:$AX$1,),)-VLOOKUP(EDATE(B103,-12),Data!$A:$AX,MATCH($Y$1,Data!$A$1:$AX$1,),))/VLOOKUP(EDATE(B103,-12),Data!$A:$AX,MATCH($Y$1,Data!$A$1:$AX$1,),)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(VLOOKUP(B104,Data!$A:$AX,MATCH($C$1,Data!$A$1:$AX$1,),)-VLOOKUP(EDATE(B104,-12),Data!$A:$AX,MATCH($C$1,Data!$A$1:$AX$1,),))/VLOOKUP(EDATE(B104,-12),Data!$A:$AX,MATCH($C$1,Data!$A$1:$AX$1,),)</f>
        <v/>
      </c>
      <c r="D104" s="20">
        <f>(VLOOKUP(B104,Data!$A:$AX,MATCH($D$1,Data!$A$1:$AX$1,),)-VLOOKUP(EDATE(B104,-12),Data!$A:$AX,MATCH($D$1,Data!$A$1:$AX$1,),))/VLOOKUP(EDATE(B104,-12),Data!$A:$AX,MATCH($D$1,Data!$A$1:$AX$1,),)</f>
        <v/>
      </c>
      <c r="E104" s="20">
        <f>(VLOOKUP(B104,Data!$A:$AX,MATCH($E$1,Data!$A$1:$AX$1,),)-VLOOKUP(EDATE(B104,-12),Data!$A:$AX,MATCH($E$1,Data!$A$1:$AX$1,),))/VLOOKUP(EDATE(B104,-12),Data!$A:$AX,MATCH($E$1,Data!$A$1:$AX$1,),)</f>
        <v/>
      </c>
      <c r="F104" s="20">
        <f>(VLOOKUP(B104,Data!$A:$AX,MATCH($F$1,Data!$A$1:$AX$1,),)-VLOOKUP(EDATE(B104,-12),Data!$A:$AX,MATCH($F$1,Data!$A$1:$AX$1,),))/VLOOKUP(EDATE(B104,-12),Data!$A:$AX,MATCH($F$1,Data!$A$1:$AX$1,),)</f>
        <v/>
      </c>
      <c r="G104" s="20">
        <f>(VLOOKUP(B104,Data!$A:$AX,MATCH($G$1,Data!$A$1:$AX$1,),)-VLOOKUP(EDATE(B104,-12),Data!$A:$AX,MATCH($G$1,Data!$A$1:$AX$1,),))/VLOOKUP(EDATE(B104,-12),Data!$A:$AX,MATCH($G$1,Data!$A$1:$AX$1,),)</f>
        <v/>
      </c>
      <c r="H104" s="20">
        <f>(VLOOKUP(B104,Data!$A:$AX,MATCH($H$1,Data!$A$1:$AX$1,),)-VLOOKUP(EDATE(B104,-12),Data!$A:$AX,MATCH($H$1,Data!$A$1:$AX$1,),))/VLOOKUP(EDATE(B104,-12),Data!$A:$AX,MATCH($H$1,Data!$A$1:$AX$1,),)</f>
        <v/>
      </c>
      <c r="I104" s="20">
        <f>(VLOOKUP(B104,Data!$A:$AX,MATCH($I$1,Data!$A$1:$AX$1,),)-VLOOKUP(EDATE(B104,-12),Data!$A:$AX,MATCH($I$1,Data!$A$1:$AX$1,),))/VLOOKUP(EDATE(B104,-12),Data!$A:$AX,MATCH($I$1,Data!$A$1:$AX$1,),)</f>
        <v/>
      </c>
      <c r="J104" s="20">
        <f>(VLOOKUP(B104,Data!$A:$AX,MATCH($J$1,Data!$A$1:$AX$1,),)-VLOOKUP(EDATE(B104,-12),Data!$A:$AX,MATCH($J$1,Data!$A$1:$AX$1,),))/VLOOKUP(EDATE(B104,-12),Data!$A:$AX,MATCH($J$1,Data!$A$1:$AX$1,),)</f>
        <v/>
      </c>
      <c r="K104" s="20">
        <f>(VLOOKUP(B104,Data!$A:$AX,MATCH($K$1,Data!$A$1:$AX$1,),)-VLOOKUP(EDATE(B104,-12),Data!$A:$AX,MATCH($K$1,Data!$A$1:$AX$1,),))/VLOOKUP(EDATE(B104,-12),Data!$A:$AX,MATCH($K$1,Data!$A$1:$AX$1,),)</f>
        <v/>
      </c>
      <c r="L104" s="20">
        <f>(VLOOKUP(B104,Data!$A:$AX,MATCH($L$1,Data!$A$1:$AX$1,),)-VLOOKUP(EDATE(B104,-12),Data!$A:$AX,MATCH($L$1,Data!$A$1:$AX$1,),))/VLOOKUP(EDATE(B104,-12),Data!$A:$AX,MATCH($L$1,Data!$A$1:$AX$1,),)</f>
        <v/>
      </c>
      <c r="M104" s="20">
        <f>(VLOOKUP(B104,Data!$A:$AX,MATCH($M$1,Data!$A$1:$AX$1,),)-VLOOKUP(EDATE(B104,-12),Data!$A:$AX,MATCH($M$1,Data!$A$1:$AX$1,),))/VLOOKUP(EDATE(B104,-12),Data!$A:$AX,MATCH($M$1,Data!$A$1:$AX$1,),)</f>
        <v/>
      </c>
      <c r="N104" s="20">
        <f>(VLOOKUP(B104,Data!$A:$AX,MATCH($N$1,Data!$A$1:$AX$1,),)-VLOOKUP(EDATE(B104,-12),Data!$A:$AX,MATCH($N$1,Data!$A$1:$AX$1,),))/VLOOKUP(EDATE(B104,-12),Data!$A:$AX,MATCH($N$1,Data!$A$1:$AX$1,),)</f>
        <v/>
      </c>
      <c r="O104" s="20">
        <f>(VLOOKUP(B104,Data!$A:$AX,MATCH($O$1,Data!$A$1:$AX$1,),)-VLOOKUP(EDATE(B104,-12),Data!$A:$AX,MATCH($O$1,Data!$A$1:$AX$1,),))/VLOOKUP(EDATE(B104,-12),Data!$A:$AX,MATCH($O$1,Data!$A$1:$AX$1,),)</f>
        <v/>
      </c>
      <c r="P104" s="20">
        <f>(VLOOKUP(B104,Data!$A:$AX,MATCH($P$1,Data!$A$1:$AX$1,),)-VLOOKUP(EDATE(B104,-12),Data!$A:$AX,MATCH($P$1,Data!$A$1:$AX$1,),))/VLOOKUP(EDATE(B104,-12),Data!$A:$AX,MATCH($P$1,Data!$A$1:$AX$1,),)</f>
        <v/>
      </c>
      <c r="Q104" s="20">
        <f>(VLOOKUP(B104,Data!$A:$AX,MATCH($Q$1,Data!$A$1:$AX$1,),)-VLOOKUP(EDATE(B104,-12),Data!$A:$AX,MATCH($Q$1,Data!$A$1:$AX$1,),))/VLOOKUP(EDATE(B104,-12),Data!$A:$AX,MATCH($Q$1,Data!$A$1:$AX$1,),)</f>
        <v/>
      </c>
      <c r="R104" s="20">
        <f>(VLOOKUP(B104,Data!$A:$AX,MATCH($R$1,Data!$A$1:$AX$1,),)-VLOOKUP(EDATE(B104,-12),Data!$A:$AX,MATCH($R$1,Data!$A$1:$AX$1,),))/VLOOKUP(EDATE(B104,-12),Data!$A:$AX,MATCH($R$1,Data!$A$1:$AX$1,),)</f>
        <v/>
      </c>
      <c r="S104" s="20">
        <f>(VLOOKUP(B104,Data!$A:$AX,MATCH($S$1,Data!$A$1:$AX$1,),)-VLOOKUP(EDATE(B104,-12),Data!$A:$AX,MATCH($S$1,Data!$A$1:$AX$1,),))/VLOOKUP(EDATE(B104,-12),Data!$A:$AX,MATCH($S$1,Data!$A$1:$AX$1,),)</f>
        <v/>
      </c>
      <c r="T104" s="20">
        <f>(VLOOKUP(B104,Data!$A:$AX,MATCH($T$1,Data!$A$1:$AX$1,),)-VLOOKUP(EDATE(B104,-12),Data!$A:$AX,MATCH($T$1,Data!$A$1:$AX$1,),))/VLOOKUP(EDATE(B104,-12),Data!$A:$AX,MATCH($T$1,Data!$A$1:$AX$1,),)</f>
        <v/>
      </c>
      <c r="U104" s="20">
        <f>(VLOOKUP(B104,Data!$A:$AX,MATCH($U$1,Data!$A$1:$AX$1,),)-VLOOKUP(EDATE(B104,-12),Data!$A:$AX,MATCH($U$1,Data!$A$1:$AX$1,),))/VLOOKUP(EDATE(B104,-12),Data!$A:$AX,MATCH($U$1,Data!$A$1:$AX$1,),)</f>
        <v/>
      </c>
      <c r="V104" s="20">
        <f>(VLOOKUP(B104,Data!$A:$AX,MATCH($V$1,Data!$A$1:$AX$1,),)-VLOOKUP(EDATE(B104,-12),Data!$A:$AX,MATCH($V$1,Data!$A$1:$AX$1,),))/VLOOKUP(EDATE(B104,-12),Data!$A:$AX,MATCH($V$1,Data!$A$1:$AX$1,),)</f>
        <v/>
      </c>
      <c r="W104" s="20">
        <f>(VLOOKUP(B104,Data!$A:$AX,MATCH($W$1,Data!$A$1:$AX$1,),)-VLOOKUP(EDATE(B104,-12),Data!$A:$AX,MATCH($W$1,Data!$A$1:$AX$1,),))/VLOOKUP(EDATE(B104,-12),Data!$A:$AX,MATCH($W$1,Data!$A$1:$AX$1,),)</f>
        <v/>
      </c>
      <c r="X104" s="20">
        <f>(VLOOKUP(B104,Data!$A:$AX,MATCH($X$1,Data!$A$1:$AX$1,),)-VLOOKUP(EDATE(B104,-12),Data!$A:$AX,MATCH($X$1,Data!$A$1:$AX$1,),))/VLOOKUP(EDATE(B104,-12),Data!$A:$AX,MATCH($X$1,Data!$A$1:$AX$1,),)</f>
        <v/>
      </c>
      <c r="Y104" s="20">
        <f>(VLOOKUP(B104,Data!$A:$AX,MATCH($Y$1,Data!$A$1:$AX$1,),)-VLOOKUP(EDATE(B104,-12),Data!$A:$AX,MATCH($Y$1,Data!$A$1:$AX$1,),))/VLOOKUP(EDATE(B104,-12),Data!$A:$AX,MATCH($Y$1,Data!$A$1:$AX$1,),)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(VLOOKUP(B105,Data!$A:$AX,MATCH($C$1,Data!$A$1:$AX$1,),)-VLOOKUP(EDATE(B105,-12),Data!$A:$AX,MATCH($C$1,Data!$A$1:$AX$1,),))/VLOOKUP(EDATE(B105,-12),Data!$A:$AX,MATCH($C$1,Data!$A$1:$AX$1,),)</f>
        <v/>
      </c>
      <c r="D105" s="20">
        <f>(VLOOKUP(B105,Data!$A:$AX,MATCH($D$1,Data!$A$1:$AX$1,),)-VLOOKUP(EDATE(B105,-12),Data!$A:$AX,MATCH($D$1,Data!$A$1:$AX$1,),))/VLOOKUP(EDATE(B105,-12),Data!$A:$AX,MATCH($D$1,Data!$A$1:$AX$1,),)</f>
        <v/>
      </c>
      <c r="E105" s="20">
        <f>(VLOOKUP(B105,Data!$A:$AX,MATCH($E$1,Data!$A$1:$AX$1,),)-VLOOKUP(EDATE(B105,-12),Data!$A:$AX,MATCH($E$1,Data!$A$1:$AX$1,),))/VLOOKUP(EDATE(B105,-12),Data!$A:$AX,MATCH($E$1,Data!$A$1:$AX$1,),)</f>
        <v/>
      </c>
      <c r="F105" s="20">
        <f>(VLOOKUP(B105,Data!$A:$AX,MATCH($F$1,Data!$A$1:$AX$1,),)-VLOOKUP(EDATE(B105,-12),Data!$A:$AX,MATCH($F$1,Data!$A$1:$AX$1,),))/VLOOKUP(EDATE(B105,-12),Data!$A:$AX,MATCH($F$1,Data!$A$1:$AX$1,),)</f>
        <v/>
      </c>
      <c r="G105" s="20">
        <f>(VLOOKUP(B105,Data!$A:$AX,MATCH($G$1,Data!$A$1:$AX$1,),)-VLOOKUP(EDATE(B105,-12),Data!$A:$AX,MATCH($G$1,Data!$A$1:$AX$1,),))/VLOOKUP(EDATE(B105,-12),Data!$A:$AX,MATCH($G$1,Data!$A$1:$AX$1,),)</f>
        <v/>
      </c>
      <c r="H105" s="20">
        <f>(VLOOKUP(B105,Data!$A:$AX,MATCH($H$1,Data!$A$1:$AX$1,),)-VLOOKUP(EDATE(B105,-12),Data!$A:$AX,MATCH($H$1,Data!$A$1:$AX$1,),))/VLOOKUP(EDATE(B105,-12),Data!$A:$AX,MATCH($H$1,Data!$A$1:$AX$1,),)</f>
        <v/>
      </c>
      <c r="I105" s="20">
        <f>(VLOOKUP(B105,Data!$A:$AX,MATCH($I$1,Data!$A$1:$AX$1,),)-VLOOKUP(EDATE(B105,-12),Data!$A:$AX,MATCH($I$1,Data!$A$1:$AX$1,),))/VLOOKUP(EDATE(B105,-12),Data!$A:$AX,MATCH($I$1,Data!$A$1:$AX$1,),)</f>
        <v/>
      </c>
      <c r="J105" s="20">
        <f>(VLOOKUP(B105,Data!$A:$AX,MATCH($J$1,Data!$A$1:$AX$1,),)-VLOOKUP(EDATE(B105,-12),Data!$A:$AX,MATCH($J$1,Data!$A$1:$AX$1,),))/VLOOKUP(EDATE(B105,-12),Data!$A:$AX,MATCH($J$1,Data!$A$1:$AX$1,),)</f>
        <v/>
      </c>
      <c r="K105" s="20">
        <f>(VLOOKUP(B105,Data!$A:$AX,MATCH($K$1,Data!$A$1:$AX$1,),)-VLOOKUP(EDATE(B105,-12),Data!$A:$AX,MATCH($K$1,Data!$A$1:$AX$1,),))/VLOOKUP(EDATE(B105,-12),Data!$A:$AX,MATCH($K$1,Data!$A$1:$AX$1,),)</f>
        <v/>
      </c>
      <c r="L105" s="20">
        <f>(VLOOKUP(B105,Data!$A:$AX,MATCH($L$1,Data!$A$1:$AX$1,),)-VLOOKUP(EDATE(B105,-12),Data!$A:$AX,MATCH($L$1,Data!$A$1:$AX$1,),))/VLOOKUP(EDATE(B105,-12),Data!$A:$AX,MATCH($L$1,Data!$A$1:$AX$1,),)</f>
        <v/>
      </c>
      <c r="M105" s="20">
        <f>(VLOOKUP(B105,Data!$A:$AX,MATCH($M$1,Data!$A$1:$AX$1,),)-VLOOKUP(EDATE(B105,-12),Data!$A:$AX,MATCH($M$1,Data!$A$1:$AX$1,),))/VLOOKUP(EDATE(B105,-12),Data!$A:$AX,MATCH($M$1,Data!$A$1:$AX$1,),)</f>
        <v/>
      </c>
      <c r="N105" s="20">
        <f>(VLOOKUP(B105,Data!$A:$AX,MATCH($N$1,Data!$A$1:$AX$1,),)-VLOOKUP(EDATE(B105,-12),Data!$A:$AX,MATCH($N$1,Data!$A$1:$AX$1,),))/VLOOKUP(EDATE(B105,-12),Data!$A:$AX,MATCH($N$1,Data!$A$1:$AX$1,),)</f>
        <v/>
      </c>
      <c r="O105" s="20">
        <f>(VLOOKUP(B105,Data!$A:$AX,MATCH($O$1,Data!$A$1:$AX$1,),)-VLOOKUP(EDATE(B105,-12),Data!$A:$AX,MATCH($O$1,Data!$A$1:$AX$1,),))/VLOOKUP(EDATE(B105,-12),Data!$A:$AX,MATCH($O$1,Data!$A$1:$AX$1,),)</f>
        <v/>
      </c>
      <c r="P105" s="20">
        <f>(VLOOKUP(B105,Data!$A:$AX,MATCH($P$1,Data!$A$1:$AX$1,),)-VLOOKUP(EDATE(B105,-12),Data!$A:$AX,MATCH($P$1,Data!$A$1:$AX$1,),))/VLOOKUP(EDATE(B105,-12),Data!$A:$AX,MATCH($P$1,Data!$A$1:$AX$1,),)</f>
        <v/>
      </c>
      <c r="Q105" s="20">
        <f>(VLOOKUP(B105,Data!$A:$AX,MATCH($Q$1,Data!$A$1:$AX$1,),)-VLOOKUP(EDATE(B105,-12),Data!$A:$AX,MATCH($Q$1,Data!$A$1:$AX$1,),))/VLOOKUP(EDATE(B105,-12),Data!$A:$AX,MATCH($Q$1,Data!$A$1:$AX$1,),)</f>
        <v/>
      </c>
      <c r="R105" s="20">
        <f>(VLOOKUP(B105,Data!$A:$AX,MATCH($R$1,Data!$A$1:$AX$1,),)-VLOOKUP(EDATE(B105,-12),Data!$A:$AX,MATCH($R$1,Data!$A$1:$AX$1,),))/VLOOKUP(EDATE(B105,-12),Data!$A:$AX,MATCH($R$1,Data!$A$1:$AX$1,),)</f>
        <v/>
      </c>
      <c r="S105" s="20">
        <f>(VLOOKUP(B105,Data!$A:$AX,MATCH($S$1,Data!$A$1:$AX$1,),)-VLOOKUP(EDATE(B105,-12),Data!$A:$AX,MATCH($S$1,Data!$A$1:$AX$1,),))/VLOOKUP(EDATE(B105,-12),Data!$A:$AX,MATCH($S$1,Data!$A$1:$AX$1,),)</f>
        <v/>
      </c>
      <c r="T105" s="20">
        <f>(VLOOKUP(B105,Data!$A:$AX,MATCH($T$1,Data!$A$1:$AX$1,),)-VLOOKUP(EDATE(B105,-12),Data!$A:$AX,MATCH($T$1,Data!$A$1:$AX$1,),))/VLOOKUP(EDATE(B105,-12),Data!$A:$AX,MATCH($T$1,Data!$A$1:$AX$1,),)</f>
        <v/>
      </c>
      <c r="U105" s="20">
        <f>(VLOOKUP(B105,Data!$A:$AX,MATCH($U$1,Data!$A$1:$AX$1,),)-VLOOKUP(EDATE(B105,-12),Data!$A:$AX,MATCH($U$1,Data!$A$1:$AX$1,),))/VLOOKUP(EDATE(B105,-12),Data!$A:$AX,MATCH($U$1,Data!$A$1:$AX$1,),)</f>
        <v/>
      </c>
      <c r="V105" s="20">
        <f>(VLOOKUP(B105,Data!$A:$AX,MATCH($V$1,Data!$A$1:$AX$1,),)-VLOOKUP(EDATE(B105,-12),Data!$A:$AX,MATCH($V$1,Data!$A$1:$AX$1,),))/VLOOKUP(EDATE(B105,-12),Data!$A:$AX,MATCH($V$1,Data!$A$1:$AX$1,),)</f>
        <v/>
      </c>
      <c r="W105" s="20">
        <f>(VLOOKUP(B105,Data!$A:$AX,MATCH($W$1,Data!$A$1:$AX$1,),)-VLOOKUP(EDATE(B105,-12),Data!$A:$AX,MATCH($W$1,Data!$A$1:$AX$1,),))/VLOOKUP(EDATE(B105,-12),Data!$A:$AX,MATCH($W$1,Data!$A$1:$AX$1,),)</f>
        <v/>
      </c>
      <c r="X105" s="20">
        <f>(VLOOKUP(B105,Data!$A:$AX,MATCH($X$1,Data!$A$1:$AX$1,),)-VLOOKUP(EDATE(B105,-12),Data!$A:$AX,MATCH($X$1,Data!$A$1:$AX$1,),))/VLOOKUP(EDATE(B105,-12),Data!$A:$AX,MATCH($X$1,Data!$A$1:$AX$1,),)</f>
        <v/>
      </c>
      <c r="Y105" s="20">
        <f>(VLOOKUP(B105,Data!$A:$AX,MATCH($Y$1,Data!$A$1:$AX$1,),)-VLOOKUP(EDATE(B105,-12),Data!$A:$AX,MATCH($Y$1,Data!$A$1:$AX$1,),))/VLOOKUP(EDATE(B105,-12),Data!$A:$AX,MATCH($Y$1,Data!$A$1:$AX$1,),)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(VLOOKUP(B106,Data!$A:$AX,MATCH($C$1,Data!$A$1:$AX$1,),)-VLOOKUP(EDATE(B106,-12),Data!$A:$AX,MATCH($C$1,Data!$A$1:$AX$1,),))/VLOOKUP(EDATE(B106,-12),Data!$A:$AX,MATCH($C$1,Data!$A$1:$AX$1,),)</f>
        <v/>
      </c>
      <c r="D106" s="20">
        <f>(VLOOKUP(B106,Data!$A:$AX,MATCH($D$1,Data!$A$1:$AX$1,),)-VLOOKUP(EDATE(B106,-12),Data!$A:$AX,MATCH($D$1,Data!$A$1:$AX$1,),))/VLOOKUP(EDATE(B106,-12),Data!$A:$AX,MATCH($D$1,Data!$A$1:$AX$1,),)</f>
        <v/>
      </c>
      <c r="E106" s="20">
        <f>(VLOOKUP(B106,Data!$A:$AX,MATCH($E$1,Data!$A$1:$AX$1,),)-VLOOKUP(EDATE(B106,-12),Data!$A:$AX,MATCH($E$1,Data!$A$1:$AX$1,),))/VLOOKUP(EDATE(B106,-12),Data!$A:$AX,MATCH($E$1,Data!$A$1:$AX$1,),)</f>
        <v/>
      </c>
      <c r="F106" s="20">
        <f>(VLOOKUP(B106,Data!$A:$AX,MATCH($F$1,Data!$A$1:$AX$1,),)-VLOOKUP(EDATE(B106,-12),Data!$A:$AX,MATCH($F$1,Data!$A$1:$AX$1,),))/VLOOKUP(EDATE(B106,-12),Data!$A:$AX,MATCH($F$1,Data!$A$1:$AX$1,),)</f>
        <v/>
      </c>
      <c r="G106" s="20">
        <f>(VLOOKUP(B106,Data!$A:$AX,MATCH($G$1,Data!$A$1:$AX$1,),)-VLOOKUP(EDATE(B106,-12),Data!$A:$AX,MATCH($G$1,Data!$A$1:$AX$1,),))/VLOOKUP(EDATE(B106,-12),Data!$A:$AX,MATCH($G$1,Data!$A$1:$AX$1,),)</f>
        <v/>
      </c>
      <c r="H106" s="20">
        <f>(VLOOKUP(B106,Data!$A:$AX,MATCH($H$1,Data!$A$1:$AX$1,),)-VLOOKUP(EDATE(B106,-12),Data!$A:$AX,MATCH($H$1,Data!$A$1:$AX$1,),))/VLOOKUP(EDATE(B106,-12),Data!$A:$AX,MATCH($H$1,Data!$A$1:$AX$1,),)</f>
        <v/>
      </c>
      <c r="I106" s="20">
        <f>(VLOOKUP(B106,Data!$A:$AX,MATCH($I$1,Data!$A$1:$AX$1,),)-VLOOKUP(EDATE(B106,-12),Data!$A:$AX,MATCH($I$1,Data!$A$1:$AX$1,),))/VLOOKUP(EDATE(B106,-12),Data!$A:$AX,MATCH($I$1,Data!$A$1:$AX$1,),)</f>
        <v/>
      </c>
      <c r="J106" s="20">
        <f>(VLOOKUP(B106,Data!$A:$AX,MATCH($J$1,Data!$A$1:$AX$1,),)-VLOOKUP(EDATE(B106,-12),Data!$A:$AX,MATCH($J$1,Data!$A$1:$AX$1,),))/VLOOKUP(EDATE(B106,-12),Data!$A:$AX,MATCH($J$1,Data!$A$1:$AX$1,),)</f>
        <v/>
      </c>
      <c r="K106" s="20">
        <f>(VLOOKUP(B106,Data!$A:$AX,MATCH($K$1,Data!$A$1:$AX$1,),)-VLOOKUP(EDATE(B106,-12),Data!$A:$AX,MATCH($K$1,Data!$A$1:$AX$1,),))/VLOOKUP(EDATE(B106,-12),Data!$A:$AX,MATCH($K$1,Data!$A$1:$AX$1,),)</f>
        <v/>
      </c>
      <c r="L106" s="20">
        <f>(VLOOKUP(B106,Data!$A:$AX,MATCH($L$1,Data!$A$1:$AX$1,),)-VLOOKUP(EDATE(B106,-12),Data!$A:$AX,MATCH($L$1,Data!$A$1:$AX$1,),))/VLOOKUP(EDATE(B106,-12),Data!$A:$AX,MATCH($L$1,Data!$A$1:$AX$1,),)</f>
        <v/>
      </c>
      <c r="M106" s="20">
        <f>(VLOOKUP(B106,Data!$A:$AX,MATCH($M$1,Data!$A$1:$AX$1,),)-VLOOKUP(EDATE(B106,-12),Data!$A:$AX,MATCH($M$1,Data!$A$1:$AX$1,),))/VLOOKUP(EDATE(B106,-12),Data!$A:$AX,MATCH($M$1,Data!$A$1:$AX$1,),)</f>
        <v/>
      </c>
      <c r="N106" s="20">
        <f>(VLOOKUP(B106,Data!$A:$AX,MATCH($N$1,Data!$A$1:$AX$1,),)-VLOOKUP(EDATE(B106,-12),Data!$A:$AX,MATCH($N$1,Data!$A$1:$AX$1,),))/VLOOKUP(EDATE(B106,-12),Data!$A:$AX,MATCH($N$1,Data!$A$1:$AX$1,),)</f>
        <v/>
      </c>
      <c r="O106" s="20">
        <f>(VLOOKUP(B106,Data!$A:$AX,MATCH($O$1,Data!$A$1:$AX$1,),)-VLOOKUP(EDATE(B106,-12),Data!$A:$AX,MATCH($O$1,Data!$A$1:$AX$1,),))/VLOOKUP(EDATE(B106,-12),Data!$A:$AX,MATCH($O$1,Data!$A$1:$AX$1,),)</f>
        <v/>
      </c>
      <c r="P106" s="20">
        <f>(VLOOKUP(B106,Data!$A:$AX,MATCH($P$1,Data!$A$1:$AX$1,),)-VLOOKUP(EDATE(B106,-12),Data!$A:$AX,MATCH($P$1,Data!$A$1:$AX$1,),))/VLOOKUP(EDATE(B106,-12),Data!$A:$AX,MATCH($P$1,Data!$A$1:$AX$1,),)</f>
        <v/>
      </c>
      <c r="Q106" s="20">
        <f>(VLOOKUP(B106,Data!$A:$AX,MATCH($Q$1,Data!$A$1:$AX$1,),)-VLOOKUP(EDATE(B106,-12),Data!$A:$AX,MATCH($Q$1,Data!$A$1:$AX$1,),))/VLOOKUP(EDATE(B106,-12),Data!$A:$AX,MATCH($Q$1,Data!$A$1:$AX$1,),)</f>
        <v/>
      </c>
      <c r="R106" s="20">
        <f>(VLOOKUP(B106,Data!$A:$AX,MATCH($R$1,Data!$A$1:$AX$1,),)-VLOOKUP(EDATE(B106,-12),Data!$A:$AX,MATCH($R$1,Data!$A$1:$AX$1,),))/VLOOKUP(EDATE(B106,-12),Data!$A:$AX,MATCH($R$1,Data!$A$1:$AX$1,),)</f>
        <v/>
      </c>
      <c r="S106" s="20">
        <f>(VLOOKUP(B106,Data!$A:$AX,MATCH($S$1,Data!$A$1:$AX$1,),)-VLOOKUP(EDATE(B106,-12),Data!$A:$AX,MATCH($S$1,Data!$A$1:$AX$1,),))/VLOOKUP(EDATE(B106,-12),Data!$A:$AX,MATCH($S$1,Data!$A$1:$AX$1,),)</f>
        <v/>
      </c>
      <c r="T106" s="20">
        <f>(VLOOKUP(B106,Data!$A:$AX,MATCH($T$1,Data!$A$1:$AX$1,),)-VLOOKUP(EDATE(B106,-12),Data!$A:$AX,MATCH($T$1,Data!$A$1:$AX$1,),))/VLOOKUP(EDATE(B106,-12),Data!$A:$AX,MATCH($T$1,Data!$A$1:$AX$1,),)</f>
        <v/>
      </c>
      <c r="U106" s="20">
        <f>(VLOOKUP(B106,Data!$A:$AX,MATCH($U$1,Data!$A$1:$AX$1,),)-VLOOKUP(EDATE(B106,-12),Data!$A:$AX,MATCH($U$1,Data!$A$1:$AX$1,),))/VLOOKUP(EDATE(B106,-12),Data!$A:$AX,MATCH($U$1,Data!$A$1:$AX$1,),)</f>
        <v/>
      </c>
      <c r="V106" s="20">
        <f>(VLOOKUP(B106,Data!$A:$AX,MATCH($V$1,Data!$A$1:$AX$1,),)-VLOOKUP(EDATE(B106,-12),Data!$A:$AX,MATCH($V$1,Data!$A$1:$AX$1,),))/VLOOKUP(EDATE(B106,-12),Data!$A:$AX,MATCH($V$1,Data!$A$1:$AX$1,),)</f>
        <v/>
      </c>
      <c r="W106" s="20">
        <f>(VLOOKUP(B106,Data!$A:$AX,MATCH($W$1,Data!$A$1:$AX$1,),)-VLOOKUP(EDATE(B106,-12),Data!$A:$AX,MATCH($W$1,Data!$A$1:$AX$1,),))/VLOOKUP(EDATE(B106,-12),Data!$A:$AX,MATCH($W$1,Data!$A$1:$AX$1,),)</f>
        <v/>
      </c>
      <c r="X106" s="20">
        <f>(VLOOKUP(B106,Data!$A:$AX,MATCH($X$1,Data!$A$1:$AX$1,),)-VLOOKUP(EDATE(B106,-12),Data!$A:$AX,MATCH($X$1,Data!$A$1:$AX$1,),))/VLOOKUP(EDATE(B106,-12),Data!$A:$AX,MATCH($X$1,Data!$A$1:$AX$1,),)</f>
        <v/>
      </c>
      <c r="Y106" s="20">
        <f>(VLOOKUP(B106,Data!$A:$AX,MATCH($Y$1,Data!$A$1:$AX$1,),)-VLOOKUP(EDATE(B106,-12),Data!$A:$AX,MATCH($Y$1,Data!$A$1:$AX$1,),))/VLOOKUP(EDATE(B106,-12),Data!$A:$AX,MATCH($Y$1,Data!$A$1:$AX$1,),)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(VLOOKUP(B107,Data!$A:$AX,MATCH($C$1,Data!$A$1:$AX$1,),)-VLOOKUP(EDATE(B107,-12),Data!$A:$AX,MATCH($C$1,Data!$A$1:$AX$1,),))/VLOOKUP(EDATE(B107,-12),Data!$A:$AX,MATCH($C$1,Data!$A$1:$AX$1,),)</f>
        <v/>
      </c>
      <c r="D107" s="20">
        <f>(VLOOKUP(B107,Data!$A:$AX,MATCH($D$1,Data!$A$1:$AX$1,),)-VLOOKUP(EDATE(B107,-12),Data!$A:$AX,MATCH($D$1,Data!$A$1:$AX$1,),))/VLOOKUP(EDATE(B107,-12),Data!$A:$AX,MATCH($D$1,Data!$A$1:$AX$1,),)</f>
        <v/>
      </c>
      <c r="E107" s="20">
        <f>(VLOOKUP(B107,Data!$A:$AX,MATCH($E$1,Data!$A$1:$AX$1,),)-VLOOKUP(EDATE(B107,-12),Data!$A:$AX,MATCH($E$1,Data!$A$1:$AX$1,),))/VLOOKUP(EDATE(B107,-12),Data!$A:$AX,MATCH($E$1,Data!$A$1:$AX$1,),)</f>
        <v/>
      </c>
      <c r="F107" s="20">
        <f>(VLOOKUP(B107,Data!$A:$AX,MATCH($F$1,Data!$A$1:$AX$1,),)-VLOOKUP(EDATE(B107,-12),Data!$A:$AX,MATCH($F$1,Data!$A$1:$AX$1,),))/VLOOKUP(EDATE(B107,-12),Data!$A:$AX,MATCH($F$1,Data!$A$1:$AX$1,),)</f>
        <v/>
      </c>
      <c r="G107" s="20">
        <f>(VLOOKUP(B107,Data!$A:$AX,MATCH($G$1,Data!$A$1:$AX$1,),)-VLOOKUP(EDATE(B107,-12),Data!$A:$AX,MATCH($G$1,Data!$A$1:$AX$1,),))/VLOOKUP(EDATE(B107,-12),Data!$A:$AX,MATCH($G$1,Data!$A$1:$AX$1,),)</f>
        <v/>
      </c>
      <c r="H107" s="20">
        <f>(VLOOKUP(B107,Data!$A:$AX,MATCH($H$1,Data!$A$1:$AX$1,),)-VLOOKUP(EDATE(B107,-12),Data!$A:$AX,MATCH($H$1,Data!$A$1:$AX$1,),))/VLOOKUP(EDATE(B107,-12),Data!$A:$AX,MATCH($H$1,Data!$A$1:$AX$1,),)</f>
        <v/>
      </c>
      <c r="I107" s="20">
        <f>(VLOOKUP(B107,Data!$A:$AX,MATCH($I$1,Data!$A$1:$AX$1,),)-VLOOKUP(EDATE(B107,-12),Data!$A:$AX,MATCH($I$1,Data!$A$1:$AX$1,),))/VLOOKUP(EDATE(B107,-12),Data!$A:$AX,MATCH($I$1,Data!$A$1:$AX$1,),)</f>
        <v/>
      </c>
      <c r="J107" s="20">
        <f>(VLOOKUP(B107,Data!$A:$AX,MATCH($J$1,Data!$A$1:$AX$1,),)-VLOOKUP(EDATE(B107,-12),Data!$A:$AX,MATCH($J$1,Data!$A$1:$AX$1,),))/VLOOKUP(EDATE(B107,-12),Data!$A:$AX,MATCH($J$1,Data!$A$1:$AX$1,),)</f>
        <v/>
      </c>
      <c r="K107" s="20">
        <f>(VLOOKUP(B107,Data!$A:$AX,MATCH($K$1,Data!$A$1:$AX$1,),)-VLOOKUP(EDATE(B107,-12),Data!$A:$AX,MATCH($K$1,Data!$A$1:$AX$1,),))/VLOOKUP(EDATE(B107,-12),Data!$A:$AX,MATCH($K$1,Data!$A$1:$AX$1,),)</f>
        <v/>
      </c>
      <c r="L107" s="20">
        <f>(VLOOKUP(B107,Data!$A:$AX,MATCH($L$1,Data!$A$1:$AX$1,),)-VLOOKUP(EDATE(B107,-12),Data!$A:$AX,MATCH($L$1,Data!$A$1:$AX$1,),))/VLOOKUP(EDATE(B107,-12),Data!$A:$AX,MATCH($L$1,Data!$A$1:$AX$1,),)</f>
        <v/>
      </c>
      <c r="M107" s="20">
        <f>(VLOOKUP(B107,Data!$A:$AX,MATCH($M$1,Data!$A$1:$AX$1,),)-VLOOKUP(EDATE(B107,-12),Data!$A:$AX,MATCH($M$1,Data!$A$1:$AX$1,),))/VLOOKUP(EDATE(B107,-12),Data!$A:$AX,MATCH($M$1,Data!$A$1:$AX$1,),)</f>
        <v/>
      </c>
      <c r="N107" s="20">
        <f>(VLOOKUP(B107,Data!$A:$AX,MATCH($N$1,Data!$A$1:$AX$1,),)-VLOOKUP(EDATE(B107,-12),Data!$A:$AX,MATCH($N$1,Data!$A$1:$AX$1,),))/VLOOKUP(EDATE(B107,-12),Data!$A:$AX,MATCH($N$1,Data!$A$1:$AX$1,),)</f>
        <v/>
      </c>
      <c r="O107" s="20">
        <f>(VLOOKUP(B107,Data!$A:$AX,MATCH($O$1,Data!$A$1:$AX$1,),)-VLOOKUP(EDATE(B107,-12),Data!$A:$AX,MATCH($O$1,Data!$A$1:$AX$1,),))/VLOOKUP(EDATE(B107,-12),Data!$A:$AX,MATCH($O$1,Data!$A$1:$AX$1,),)</f>
        <v/>
      </c>
      <c r="P107" s="20">
        <f>(VLOOKUP(B107,Data!$A:$AX,MATCH($P$1,Data!$A$1:$AX$1,),)-VLOOKUP(EDATE(B107,-12),Data!$A:$AX,MATCH($P$1,Data!$A$1:$AX$1,),))/VLOOKUP(EDATE(B107,-12),Data!$A:$AX,MATCH($P$1,Data!$A$1:$AX$1,),)</f>
        <v/>
      </c>
      <c r="Q107" s="20">
        <f>(VLOOKUP(B107,Data!$A:$AX,MATCH($Q$1,Data!$A$1:$AX$1,),)-VLOOKUP(EDATE(B107,-12),Data!$A:$AX,MATCH($Q$1,Data!$A$1:$AX$1,),))/VLOOKUP(EDATE(B107,-12),Data!$A:$AX,MATCH($Q$1,Data!$A$1:$AX$1,),)</f>
        <v/>
      </c>
      <c r="R107" s="20">
        <f>(VLOOKUP(B107,Data!$A:$AX,MATCH($R$1,Data!$A$1:$AX$1,),)-VLOOKUP(EDATE(B107,-12),Data!$A:$AX,MATCH($R$1,Data!$A$1:$AX$1,),))/VLOOKUP(EDATE(B107,-12),Data!$A:$AX,MATCH($R$1,Data!$A$1:$AX$1,),)</f>
        <v/>
      </c>
      <c r="S107" s="20">
        <f>(VLOOKUP(B107,Data!$A:$AX,MATCH($S$1,Data!$A$1:$AX$1,),)-VLOOKUP(EDATE(B107,-12),Data!$A:$AX,MATCH($S$1,Data!$A$1:$AX$1,),))/VLOOKUP(EDATE(B107,-12),Data!$A:$AX,MATCH($S$1,Data!$A$1:$AX$1,),)</f>
        <v/>
      </c>
      <c r="T107" s="20">
        <f>(VLOOKUP(B107,Data!$A:$AX,MATCH($T$1,Data!$A$1:$AX$1,),)-VLOOKUP(EDATE(B107,-12),Data!$A:$AX,MATCH($T$1,Data!$A$1:$AX$1,),))/VLOOKUP(EDATE(B107,-12),Data!$A:$AX,MATCH($T$1,Data!$A$1:$AX$1,),)</f>
        <v/>
      </c>
      <c r="U107" s="20">
        <f>(VLOOKUP(B107,Data!$A:$AX,MATCH($U$1,Data!$A$1:$AX$1,),)-VLOOKUP(EDATE(B107,-12),Data!$A:$AX,MATCH($U$1,Data!$A$1:$AX$1,),))/VLOOKUP(EDATE(B107,-12),Data!$A:$AX,MATCH($U$1,Data!$A$1:$AX$1,),)</f>
        <v/>
      </c>
      <c r="V107" s="20">
        <f>(VLOOKUP(B107,Data!$A:$AX,MATCH($V$1,Data!$A$1:$AX$1,),)-VLOOKUP(EDATE(B107,-12),Data!$A:$AX,MATCH($V$1,Data!$A$1:$AX$1,),))/VLOOKUP(EDATE(B107,-12),Data!$A:$AX,MATCH($V$1,Data!$A$1:$AX$1,),)</f>
        <v/>
      </c>
      <c r="W107" s="20">
        <f>(VLOOKUP(B107,Data!$A:$AX,MATCH($W$1,Data!$A$1:$AX$1,),)-VLOOKUP(EDATE(B107,-12),Data!$A:$AX,MATCH($W$1,Data!$A$1:$AX$1,),))/VLOOKUP(EDATE(B107,-12),Data!$A:$AX,MATCH($W$1,Data!$A$1:$AX$1,),)</f>
        <v/>
      </c>
      <c r="X107" s="20">
        <f>(VLOOKUP(B107,Data!$A:$AX,MATCH($X$1,Data!$A$1:$AX$1,),)-VLOOKUP(EDATE(B107,-12),Data!$A:$AX,MATCH($X$1,Data!$A$1:$AX$1,),))/VLOOKUP(EDATE(B107,-12),Data!$A:$AX,MATCH($X$1,Data!$A$1:$AX$1,),)</f>
        <v/>
      </c>
      <c r="Y107" s="20">
        <f>(VLOOKUP(B107,Data!$A:$AX,MATCH($Y$1,Data!$A$1:$AX$1,),)-VLOOKUP(EDATE(B107,-12),Data!$A:$AX,MATCH($Y$1,Data!$A$1:$AX$1,),))/VLOOKUP(EDATE(B107,-12),Data!$A:$AX,MATCH($Y$1,Data!$A$1:$AX$1,),)</f>
        <v/>
      </c>
    </row>
    <row r="108" customFormat="1" s="76">
      <c r="B108" s="15" t="n">
        <v>43497</v>
      </c>
      <c r="C108" s="20">
        <f>(VLOOKUP(B108,Data!$A:$AX,MATCH($C$1,Data!$A$1:$AX$1,),)-VLOOKUP(EDATE(B108,-12),Data!$A:$AX,MATCH($C$1,Data!$A$1:$AX$1,),))/VLOOKUP(EDATE(B108,-12),Data!$A:$AX,MATCH($C$1,Data!$A$1:$AX$1,),)</f>
        <v/>
      </c>
      <c r="D108" s="20">
        <f>(VLOOKUP(B108,Data!$A:$AX,MATCH($D$1,Data!$A$1:$AX$1,),)-VLOOKUP(EDATE(B108,-12),Data!$A:$AX,MATCH($D$1,Data!$A$1:$AX$1,),))/VLOOKUP(EDATE(B108,-12),Data!$A:$AX,MATCH($D$1,Data!$A$1:$AX$1,),)</f>
        <v/>
      </c>
      <c r="E108" s="20">
        <f>(VLOOKUP(B108,Data!$A:$AX,MATCH($E$1,Data!$A$1:$AX$1,),)-VLOOKUP(EDATE(B108,-12),Data!$A:$AX,MATCH($E$1,Data!$A$1:$AX$1,),))/VLOOKUP(EDATE(B108,-12),Data!$A:$AX,MATCH($E$1,Data!$A$1:$AX$1,),)</f>
        <v/>
      </c>
      <c r="F108" s="20">
        <f>(VLOOKUP(B108,Data!$A:$AX,MATCH($F$1,Data!$A$1:$AX$1,),)-VLOOKUP(EDATE(B108,-12),Data!$A:$AX,MATCH($F$1,Data!$A$1:$AX$1,),))/VLOOKUP(EDATE(B108,-12),Data!$A:$AX,MATCH($F$1,Data!$A$1:$AX$1,),)</f>
        <v/>
      </c>
      <c r="G108" s="20">
        <f>(VLOOKUP(B108,Data!$A:$AX,MATCH($G$1,Data!$A$1:$AX$1,),)-VLOOKUP(EDATE(B108,-12),Data!$A:$AX,MATCH($G$1,Data!$A$1:$AX$1,),))/VLOOKUP(EDATE(B108,-12),Data!$A:$AX,MATCH($G$1,Data!$A$1:$AX$1,),)</f>
        <v/>
      </c>
      <c r="H108" s="20">
        <f>(VLOOKUP(B108,Data!$A:$AX,MATCH($H$1,Data!$A$1:$AX$1,),)-VLOOKUP(EDATE(B108,-12),Data!$A:$AX,MATCH($H$1,Data!$A$1:$AX$1,),))/VLOOKUP(EDATE(B108,-12),Data!$A:$AX,MATCH($H$1,Data!$A$1:$AX$1,),)</f>
        <v/>
      </c>
      <c r="I108" s="20">
        <f>(VLOOKUP(B108,Data!$A:$AX,MATCH($I$1,Data!$A$1:$AX$1,),)-VLOOKUP(EDATE(B108,-12),Data!$A:$AX,MATCH($I$1,Data!$A$1:$AX$1,),))/VLOOKUP(EDATE(B108,-12),Data!$A:$AX,MATCH($I$1,Data!$A$1:$AX$1,),)</f>
        <v/>
      </c>
      <c r="J108" s="20">
        <f>(VLOOKUP(B108,Data!$A:$AX,MATCH($J$1,Data!$A$1:$AX$1,),)-VLOOKUP(EDATE(B108,-12),Data!$A:$AX,MATCH($J$1,Data!$A$1:$AX$1,),))/VLOOKUP(EDATE(B108,-12),Data!$A:$AX,MATCH($J$1,Data!$A$1:$AX$1,),)</f>
        <v/>
      </c>
      <c r="K108" s="20">
        <f>(VLOOKUP(B108,Data!$A:$AX,MATCH($K$1,Data!$A$1:$AX$1,),)-VLOOKUP(EDATE(B108,-12),Data!$A:$AX,MATCH($K$1,Data!$A$1:$AX$1,),))/VLOOKUP(EDATE(B108,-12),Data!$A:$AX,MATCH($K$1,Data!$A$1:$AX$1,),)</f>
        <v/>
      </c>
      <c r="L108" s="20">
        <f>(VLOOKUP(B108,Data!$A:$AX,MATCH($L$1,Data!$A$1:$AX$1,),)-VLOOKUP(EDATE(B108,-12),Data!$A:$AX,MATCH($L$1,Data!$A$1:$AX$1,),))/VLOOKUP(EDATE(B108,-12),Data!$A:$AX,MATCH($L$1,Data!$A$1:$AX$1,),)</f>
        <v/>
      </c>
      <c r="M108" s="20">
        <f>(VLOOKUP(B108,Data!$A:$AX,MATCH($M$1,Data!$A$1:$AX$1,),)-VLOOKUP(EDATE(B108,-12),Data!$A:$AX,MATCH($M$1,Data!$A$1:$AX$1,),))/VLOOKUP(EDATE(B108,-12),Data!$A:$AX,MATCH($M$1,Data!$A$1:$AX$1,),)</f>
        <v/>
      </c>
      <c r="N108" s="20">
        <f>(VLOOKUP(B108,Data!$A:$AX,MATCH($N$1,Data!$A$1:$AX$1,),)-VLOOKUP(EDATE(B108,-12),Data!$A:$AX,MATCH($N$1,Data!$A$1:$AX$1,),))/VLOOKUP(EDATE(B108,-12),Data!$A:$AX,MATCH($N$1,Data!$A$1:$AX$1,),)</f>
        <v/>
      </c>
      <c r="O108" s="20">
        <f>(VLOOKUP(B108,Data!$A:$AX,MATCH($O$1,Data!$A$1:$AX$1,),)-VLOOKUP(EDATE(B108,-12),Data!$A:$AX,MATCH($O$1,Data!$A$1:$AX$1,),))/VLOOKUP(EDATE(B108,-12),Data!$A:$AX,MATCH($O$1,Data!$A$1:$AX$1,),)</f>
        <v/>
      </c>
      <c r="P108" s="20">
        <f>(VLOOKUP(B108,Data!$A:$AX,MATCH($P$1,Data!$A$1:$AX$1,),)-VLOOKUP(EDATE(B108,-12),Data!$A:$AX,MATCH($P$1,Data!$A$1:$AX$1,),))/VLOOKUP(EDATE(B108,-12),Data!$A:$AX,MATCH($P$1,Data!$A$1:$AX$1,),)</f>
        <v/>
      </c>
      <c r="Q108" s="20">
        <f>(VLOOKUP(B108,Data!$A:$AX,MATCH($Q$1,Data!$A$1:$AX$1,),)-VLOOKUP(EDATE(B108,-12),Data!$A:$AX,MATCH($Q$1,Data!$A$1:$AX$1,),))/VLOOKUP(EDATE(B108,-12),Data!$A:$AX,MATCH($Q$1,Data!$A$1:$AX$1,),)</f>
        <v/>
      </c>
      <c r="R108" s="20">
        <f>(VLOOKUP(B108,Data!$A:$AX,MATCH($R$1,Data!$A$1:$AX$1,),)-VLOOKUP(EDATE(B108,-12),Data!$A:$AX,MATCH($R$1,Data!$A$1:$AX$1,),))/VLOOKUP(EDATE(B108,-12),Data!$A:$AX,MATCH($R$1,Data!$A$1:$AX$1,),)</f>
        <v/>
      </c>
      <c r="S108" s="20">
        <f>(VLOOKUP(B108,Data!$A:$AX,MATCH($S$1,Data!$A$1:$AX$1,),)-VLOOKUP(EDATE(B108,-12),Data!$A:$AX,MATCH($S$1,Data!$A$1:$AX$1,),))/VLOOKUP(EDATE(B108,-12),Data!$A:$AX,MATCH($S$1,Data!$A$1:$AX$1,),)</f>
        <v/>
      </c>
      <c r="T108" s="20">
        <f>(VLOOKUP(B108,Data!$A:$AX,MATCH($T$1,Data!$A$1:$AX$1,),)-VLOOKUP(EDATE(B108,-12),Data!$A:$AX,MATCH($T$1,Data!$A$1:$AX$1,),))/VLOOKUP(EDATE(B108,-12),Data!$A:$AX,MATCH($T$1,Data!$A$1:$AX$1,),)</f>
        <v/>
      </c>
      <c r="U108" s="20">
        <f>(VLOOKUP(B108,Data!$A:$AX,MATCH($U$1,Data!$A$1:$AX$1,),)-VLOOKUP(EDATE(B108,-12),Data!$A:$AX,MATCH($U$1,Data!$A$1:$AX$1,),))/VLOOKUP(EDATE(B108,-12),Data!$A:$AX,MATCH($U$1,Data!$A$1:$AX$1,),)</f>
        <v/>
      </c>
      <c r="V108" s="20">
        <f>(VLOOKUP(B108,Data!$A:$AX,MATCH($V$1,Data!$A$1:$AX$1,),)-VLOOKUP(EDATE(B108,-12),Data!$A:$AX,MATCH($V$1,Data!$A$1:$AX$1,),))/VLOOKUP(EDATE(B108,-12),Data!$A:$AX,MATCH($V$1,Data!$A$1:$AX$1,),)</f>
        <v/>
      </c>
      <c r="W108" s="20">
        <f>(VLOOKUP(B108,Data!$A:$AX,MATCH($W$1,Data!$A$1:$AX$1,),)-VLOOKUP(EDATE(B108,-12),Data!$A:$AX,MATCH($W$1,Data!$A$1:$AX$1,),))/VLOOKUP(EDATE(B108,-12),Data!$A:$AX,MATCH($W$1,Data!$A$1:$AX$1,),)</f>
        <v/>
      </c>
      <c r="X108" s="20">
        <f>(VLOOKUP(B108,Data!$A:$AX,MATCH($X$1,Data!$A$1:$AX$1,),)-VLOOKUP(EDATE(B108,-12),Data!$A:$AX,MATCH($X$1,Data!$A$1:$AX$1,),))/VLOOKUP(EDATE(B108,-12),Data!$A:$AX,MATCH($X$1,Data!$A$1:$AX$1,),)</f>
        <v/>
      </c>
      <c r="Y108" s="20">
        <f>(VLOOKUP(B108,Data!$A:$AX,MATCH($Y$1,Data!$A$1:$AX$1,),)-VLOOKUP(EDATE(B108,-12),Data!$A:$AX,MATCH($Y$1,Data!$A$1:$AX$1,),))/VLOOKUP(EDATE(B108,-12),Data!$A:$AX,MATCH($Y$1,Data!$A$1:$AX$1,),)</f>
        <v/>
      </c>
    </row>
    <row r="109" customFormat="1" s="76">
      <c r="B109" s="15" t="n">
        <v>43525</v>
      </c>
      <c r="C109" s="20">
        <f>(VLOOKUP(B109,Data!$A:$AX,MATCH($C$1,Data!$A$1:$AX$1,),)-VLOOKUP(EDATE(B109,-12),Data!$A:$AX,MATCH($C$1,Data!$A$1:$AX$1,),))/VLOOKUP(EDATE(B109,-12),Data!$A:$AX,MATCH($C$1,Data!$A$1:$AX$1,),)</f>
        <v/>
      </c>
      <c r="D109" s="20">
        <f>(VLOOKUP(B109,Data!$A:$AX,MATCH($D$1,Data!$A$1:$AX$1,),)-VLOOKUP(EDATE(B109,-12),Data!$A:$AX,MATCH($D$1,Data!$A$1:$AX$1,),))/VLOOKUP(EDATE(B109,-12),Data!$A:$AX,MATCH($D$1,Data!$A$1:$AX$1,),)</f>
        <v/>
      </c>
      <c r="E109" s="20">
        <f>(VLOOKUP(B109,Data!$A:$AX,MATCH($E$1,Data!$A$1:$AX$1,),)-VLOOKUP(EDATE(B109,-12),Data!$A:$AX,MATCH($E$1,Data!$A$1:$AX$1,),))/VLOOKUP(EDATE(B109,-12),Data!$A:$AX,MATCH($E$1,Data!$A$1:$AX$1,),)</f>
        <v/>
      </c>
      <c r="F109" s="20">
        <f>(VLOOKUP(B109,Data!$A:$AX,MATCH($F$1,Data!$A$1:$AX$1,),)-VLOOKUP(EDATE(B109,-12),Data!$A:$AX,MATCH($F$1,Data!$A$1:$AX$1,),))/VLOOKUP(EDATE(B109,-12),Data!$A:$AX,MATCH($F$1,Data!$A$1:$AX$1,),)</f>
        <v/>
      </c>
      <c r="G109" s="20">
        <f>(VLOOKUP(B109,Data!$A:$AX,MATCH($G$1,Data!$A$1:$AX$1,),)-VLOOKUP(EDATE(B109,-12),Data!$A:$AX,MATCH($G$1,Data!$A$1:$AX$1,),))/VLOOKUP(EDATE(B109,-12),Data!$A:$AX,MATCH($G$1,Data!$A$1:$AX$1,),)</f>
        <v/>
      </c>
      <c r="H109" s="20">
        <f>(VLOOKUP(B109,Data!$A:$AX,MATCH($H$1,Data!$A$1:$AX$1,),)-VLOOKUP(EDATE(B109,-12),Data!$A:$AX,MATCH($H$1,Data!$A$1:$AX$1,),))/VLOOKUP(EDATE(B109,-12),Data!$A:$AX,MATCH($H$1,Data!$A$1:$AX$1,),)</f>
        <v/>
      </c>
      <c r="I109" s="20">
        <f>(VLOOKUP(B109,Data!$A:$AX,MATCH($I$1,Data!$A$1:$AX$1,),)-VLOOKUP(EDATE(B109,-12),Data!$A:$AX,MATCH($I$1,Data!$A$1:$AX$1,),))/VLOOKUP(EDATE(B109,-12),Data!$A:$AX,MATCH($I$1,Data!$A$1:$AX$1,),)</f>
        <v/>
      </c>
      <c r="J109" s="20">
        <f>(VLOOKUP(B109,Data!$A:$AX,MATCH($J$1,Data!$A$1:$AX$1,),)-VLOOKUP(EDATE(B109,-12),Data!$A:$AX,MATCH($J$1,Data!$A$1:$AX$1,),))/VLOOKUP(EDATE(B109,-12),Data!$A:$AX,MATCH($J$1,Data!$A$1:$AX$1,),)</f>
        <v/>
      </c>
      <c r="K109" s="20">
        <f>(VLOOKUP(B109,Data!$A:$AX,MATCH($K$1,Data!$A$1:$AX$1,),)-VLOOKUP(EDATE(B109,-12),Data!$A:$AX,MATCH($K$1,Data!$A$1:$AX$1,),))/VLOOKUP(EDATE(B109,-12),Data!$A:$AX,MATCH($K$1,Data!$A$1:$AX$1,),)</f>
        <v/>
      </c>
      <c r="L109" s="20">
        <f>(VLOOKUP(B109,Data!$A:$AX,MATCH($L$1,Data!$A$1:$AX$1,),)-VLOOKUP(EDATE(B109,-12),Data!$A:$AX,MATCH($L$1,Data!$A$1:$AX$1,),))/VLOOKUP(EDATE(B109,-12),Data!$A:$AX,MATCH($L$1,Data!$A$1:$AX$1,),)</f>
        <v/>
      </c>
      <c r="M109" s="20">
        <f>(VLOOKUP(B109,Data!$A:$AX,MATCH($M$1,Data!$A$1:$AX$1,),)-VLOOKUP(EDATE(B109,-12),Data!$A:$AX,MATCH($M$1,Data!$A$1:$AX$1,),))/VLOOKUP(EDATE(B109,-12),Data!$A:$AX,MATCH($M$1,Data!$A$1:$AX$1,),)</f>
        <v/>
      </c>
      <c r="N109" s="20">
        <f>(VLOOKUP(B109,Data!$A:$AX,MATCH($N$1,Data!$A$1:$AX$1,),)-VLOOKUP(EDATE(B109,-12),Data!$A:$AX,MATCH($N$1,Data!$A$1:$AX$1,),))/VLOOKUP(EDATE(B109,-12),Data!$A:$AX,MATCH($N$1,Data!$A$1:$AX$1,),)</f>
        <v/>
      </c>
      <c r="O109" s="20">
        <f>(VLOOKUP(B109,Data!$A:$AX,MATCH($O$1,Data!$A$1:$AX$1,),)-VLOOKUP(EDATE(B109,-12),Data!$A:$AX,MATCH($O$1,Data!$A$1:$AX$1,),))/VLOOKUP(EDATE(B109,-12),Data!$A:$AX,MATCH($O$1,Data!$A$1:$AX$1,),)</f>
        <v/>
      </c>
      <c r="P109" s="20">
        <f>(VLOOKUP(B109,Data!$A:$AX,MATCH($P$1,Data!$A$1:$AX$1,),)-VLOOKUP(EDATE(B109,-12),Data!$A:$AX,MATCH($P$1,Data!$A$1:$AX$1,),))/VLOOKUP(EDATE(B109,-12),Data!$A:$AX,MATCH($P$1,Data!$A$1:$AX$1,),)</f>
        <v/>
      </c>
      <c r="Q109" s="20">
        <f>(VLOOKUP(B109,Data!$A:$AX,MATCH($Q$1,Data!$A$1:$AX$1,),)-VLOOKUP(EDATE(B109,-12),Data!$A:$AX,MATCH($Q$1,Data!$A$1:$AX$1,),))/VLOOKUP(EDATE(B109,-12),Data!$A:$AX,MATCH($Q$1,Data!$A$1:$AX$1,),)</f>
        <v/>
      </c>
      <c r="R109" s="20">
        <f>(VLOOKUP(B109,Data!$A:$AX,MATCH($R$1,Data!$A$1:$AX$1,),)-VLOOKUP(EDATE(B109,-12),Data!$A:$AX,MATCH($R$1,Data!$A$1:$AX$1,),))/VLOOKUP(EDATE(B109,-12),Data!$A:$AX,MATCH($R$1,Data!$A$1:$AX$1,),)</f>
        <v/>
      </c>
      <c r="S109" s="20">
        <f>(VLOOKUP(B109,Data!$A:$AX,MATCH($S$1,Data!$A$1:$AX$1,),)-VLOOKUP(EDATE(B109,-12),Data!$A:$AX,MATCH($S$1,Data!$A$1:$AX$1,),))/VLOOKUP(EDATE(B109,-12),Data!$A:$AX,MATCH($S$1,Data!$A$1:$AX$1,),)</f>
        <v/>
      </c>
      <c r="T109" s="20">
        <f>(VLOOKUP(B109,Data!$A:$AX,MATCH($T$1,Data!$A$1:$AX$1,),)-VLOOKUP(EDATE(B109,-12),Data!$A:$AX,MATCH($T$1,Data!$A$1:$AX$1,),))/VLOOKUP(EDATE(B109,-12),Data!$A:$AX,MATCH($T$1,Data!$A$1:$AX$1,),)</f>
        <v/>
      </c>
      <c r="U109" s="20">
        <f>(VLOOKUP(B109,Data!$A:$AX,MATCH($U$1,Data!$A$1:$AX$1,),)-VLOOKUP(EDATE(B109,-12),Data!$A:$AX,MATCH($U$1,Data!$A$1:$AX$1,),))/VLOOKUP(EDATE(B109,-12),Data!$A:$AX,MATCH($U$1,Data!$A$1:$AX$1,),)</f>
        <v/>
      </c>
      <c r="V109" s="20">
        <f>(VLOOKUP(B109,Data!$A:$AX,MATCH($V$1,Data!$A$1:$AX$1,),)-VLOOKUP(EDATE(B109,-12),Data!$A:$AX,MATCH($V$1,Data!$A$1:$AX$1,),))/VLOOKUP(EDATE(B109,-12),Data!$A:$AX,MATCH($V$1,Data!$A$1:$AX$1,),)</f>
        <v/>
      </c>
      <c r="W109" s="20">
        <f>(VLOOKUP(B109,Data!$A:$AX,MATCH($W$1,Data!$A$1:$AX$1,),)-VLOOKUP(EDATE(B109,-12),Data!$A:$AX,MATCH($W$1,Data!$A$1:$AX$1,),))/VLOOKUP(EDATE(B109,-12),Data!$A:$AX,MATCH($W$1,Data!$A$1:$AX$1,),)</f>
        <v/>
      </c>
      <c r="X109" s="20">
        <f>(VLOOKUP(B109,Data!$A:$AX,MATCH($X$1,Data!$A$1:$AX$1,),)-VLOOKUP(EDATE(B109,-12),Data!$A:$AX,MATCH($X$1,Data!$A$1:$AX$1,),))/VLOOKUP(EDATE(B109,-12),Data!$A:$AX,MATCH($X$1,Data!$A$1:$AX$1,),)</f>
        <v/>
      </c>
      <c r="Y109" s="20">
        <f>(VLOOKUP(B109,Data!$A:$AX,MATCH($Y$1,Data!$A$1:$AX$1,),)-VLOOKUP(EDATE(B109,-12),Data!$A:$AX,MATCH($Y$1,Data!$A$1:$AX$1,),))/VLOOKUP(EDATE(B109,-12),Data!$A:$AX,MATCH($Y$1,Data!$A$1:$AX$1,),)</f>
        <v/>
      </c>
    </row>
    <row r="110" customFormat="1" s="76">
      <c r="B110" s="15" t="n">
        <v>43556</v>
      </c>
      <c r="C110" s="20">
        <f>(VLOOKUP(B110,Data!$A:$AX,MATCH($C$1,Data!$A$1:$AX$1,),)-VLOOKUP(EDATE(B110,-12),Data!$A:$AX,MATCH($C$1,Data!$A$1:$AX$1,),))/VLOOKUP(EDATE(B110,-12),Data!$A:$AX,MATCH($C$1,Data!$A$1:$AX$1,),)</f>
        <v/>
      </c>
      <c r="D110" s="20">
        <f>(VLOOKUP(B110,Data!$A:$AX,MATCH($D$1,Data!$A$1:$AX$1,),)-VLOOKUP(EDATE(B110,-12),Data!$A:$AX,MATCH($D$1,Data!$A$1:$AX$1,),))/VLOOKUP(EDATE(B110,-12),Data!$A:$AX,MATCH($D$1,Data!$A$1:$AX$1,),)</f>
        <v/>
      </c>
      <c r="E110" s="20">
        <f>(VLOOKUP(B110,Data!$A:$AX,MATCH($E$1,Data!$A$1:$AX$1,),)-VLOOKUP(EDATE(B110,-12),Data!$A:$AX,MATCH($E$1,Data!$A$1:$AX$1,),))/VLOOKUP(EDATE(B110,-12),Data!$A:$AX,MATCH($E$1,Data!$A$1:$AX$1,),)</f>
        <v/>
      </c>
      <c r="F110" s="20">
        <f>(VLOOKUP(B110,Data!$A:$AX,MATCH($F$1,Data!$A$1:$AX$1,),)-VLOOKUP(EDATE(B110,-12),Data!$A:$AX,MATCH($F$1,Data!$A$1:$AX$1,),))/VLOOKUP(EDATE(B110,-12),Data!$A:$AX,MATCH($F$1,Data!$A$1:$AX$1,),)</f>
        <v/>
      </c>
      <c r="G110" s="20">
        <f>(VLOOKUP(B110,Data!$A:$AX,MATCH($G$1,Data!$A$1:$AX$1,),)-VLOOKUP(EDATE(B110,-12),Data!$A:$AX,MATCH($G$1,Data!$A$1:$AX$1,),))/VLOOKUP(EDATE(B110,-12),Data!$A:$AX,MATCH($G$1,Data!$A$1:$AX$1,),)</f>
        <v/>
      </c>
      <c r="H110" s="20">
        <f>(VLOOKUP(B110,Data!$A:$AX,MATCH($H$1,Data!$A$1:$AX$1,),)-VLOOKUP(EDATE(B110,-12),Data!$A:$AX,MATCH($H$1,Data!$A$1:$AX$1,),))/VLOOKUP(EDATE(B110,-12),Data!$A:$AX,MATCH($H$1,Data!$A$1:$AX$1,),)</f>
        <v/>
      </c>
      <c r="I110" s="20">
        <f>(VLOOKUP(B110,Data!$A:$AX,MATCH($I$1,Data!$A$1:$AX$1,),)-VLOOKUP(EDATE(B110,-12),Data!$A:$AX,MATCH($I$1,Data!$A$1:$AX$1,),))/VLOOKUP(EDATE(B110,-12),Data!$A:$AX,MATCH($I$1,Data!$A$1:$AX$1,),)</f>
        <v/>
      </c>
      <c r="J110" s="20">
        <f>(VLOOKUP(B110,Data!$A:$AX,MATCH($J$1,Data!$A$1:$AX$1,),)-VLOOKUP(EDATE(B110,-12),Data!$A:$AX,MATCH($J$1,Data!$A$1:$AX$1,),))/VLOOKUP(EDATE(B110,-12),Data!$A:$AX,MATCH($J$1,Data!$A$1:$AX$1,),)</f>
        <v/>
      </c>
      <c r="K110" s="20">
        <f>(VLOOKUP(B110,Data!$A:$AX,MATCH($K$1,Data!$A$1:$AX$1,),)-VLOOKUP(EDATE(B110,-12),Data!$A:$AX,MATCH($K$1,Data!$A$1:$AX$1,),))/VLOOKUP(EDATE(B110,-12),Data!$A:$AX,MATCH($K$1,Data!$A$1:$AX$1,),)</f>
        <v/>
      </c>
      <c r="L110" s="20">
        <f>(VLOOKUP(B110,Data!$A:$AX,MATCH($L$1,Data!$A$1:$AX$1,),)-VLOOKUP(EDATE(B110,-12),Data!$A:$AX,MATCH($L$1,Data!$A$1:$AX$1,),))/VLOOKUP(EDATE(B110,-12),Data!$A:$AX,MATCH($L$1,Data!$A$1:$AX$1,),)</f>
        <v/>
      </c>
      <c r="M110" s="20">
        <f>(VLOOKUP(B110,Data!$A:$AX,MATCH($M$1,Data!$A$1:$AX$1,),)-VLOOKUP(EDATE(B110,-12),Data!$A:$AX,MATCH($M$1,Data!$A$1:$AX$1,),))/VLOOKUP(EDATE(B110,-12),Data!$A:$AX,MATCH($M$1,Data!$A$1:$AX$1,),)</f>
        <v/>
      </c>
      <c r="N110" s="20">
        <f>(VLOOKUP(B110,Data!$A:$AX,MATCH($N$1,Data!$A$1:$AX$1,),)-VLOOKUP(EDATE(B110,-12),Data!$A:$AX,MATCH($N$1,Data!$A$1:$AX$1,),))/VLOOKUP(EDATE(B110,-12),Data!$A:$AX,MATCH($N$1,Data!$A$1:$AX$1,),)</f>
        <v/>
      </c>
      <c r="O110" s="20">
        <f>(VLOOKUP(B110,Data!$A:$AX,MATCH($O$1,Data!$A$1:$AX$1,),)-VLOOKUP(EDATE(B110,-12),Data!$A:$AX,MATCH($O$1,Data!$A$1:$AX$1,),))/VLOOKUP(EDATE(B110,-12),Data!$A:$AX,MATCH($O$1,Data!$A$1:$AX$1,),)</f>
        <v/>
      </c>
      <c r="P110" s="20">
        <f>(VLOOKUP(B110,Data!$A:$AX,MATCH($P$1,Data!$A$1:$AX$1,),)-VLOOKUP(EDATE(B110,-12),Data!$A:$AX,MATCH($P$1,Data!$A$1:$AX$1,),))/VLOOKUP(EDATE(B110,-12),Data!$A:$AX,MATCH($P$1,Data!$A$1:$AX$1,),)</f>
        <v/>
      </c>
      <c r="Q110" s="20">
        <f>(VLOOKUP(B110,Data!$A:$AX,MATCH($Q$1,Data!$A$1:$AX$1,),)-VLOOKUP(EDATE(B110,-12),Data!$A:$AX,MATCH($Q$1,Data!$A$1:$AX$1,),))/VLOOKUP(EDATE(B110,-12),Data!$A:$AX,MATCH($Q$1,Data!$A$1:$AX$1,),)</f>
        <v/>
      </c>
      <c r="R110" s="20">
        <f>(VLOOKUP(B110,Data!$A:$AX,MATCH($R$1,Data!$A$1:$AX$1,),)-VLOOKUP(EDATE(B110,-12),Data!$A:$AX,MATCH($R$1,Data!$A$1:$AX$1,),))/VLOOKUP(EDATE(B110,-12),Data!$A:$AX,MATCH($R$1,Data!$A$1:$AX$1,),)</f>
        <v/>
      </c>
      <c r="S110" s="20">
        <f>(VLOOKUP(B110,Data!$A:$AX,MATCH($S$1,Data!$A$1:$AX$1,),)-VLOOKUP(EDATE(B110,-12),Data!$A:$AX,MATCH($S$1,Data!$A$1:$AX$1,),))/VLOOKUP(EDATE(B110,-12),Data!$A:$AX,MATCH($S$1,Data!$A$1:$AX$1,),)</f>
        <v/>
      </c>
      <c r="T110" s="20">
        <f>(VLOOKUP(B110,Data!$A:$AX,MATCH($T$1,Data!$A$1:$AX$1,),)-VLOOKUP(EDATE(B110,-12),Data!$A:$AX,MATCH($T$1,Data!$A$1:$AX$1,),))/VLOOKUP(EDATE(B110,-12),Data!$A:$AX,MATCH($T$1,Data!$A$1:$AX$1,),)</f>
        <v/>
      </c>
      <c r="U110" s="20">
        <f>(VLOOKUP(B110,Data!$A:$AX,MATCH($U$1,Data!$A$1:$AX$1,),)-VLOOKUP(EDATE(B110,-12),Data!$A:$AX,MATCH($U$1,Data!$A$1:$AX$1,),))/VLOOKUP(EDATE(B110,-12),Data!$A:$AX,MATCH($U$1,Data!$A$1:$AX$1,),)</f>
        <v/>
      </c>
      <c r="V110" s="20">
        <f>(VLOOKUP(B110,Data!$A:$AX,MATCH($V$1,Data!$A$1:$AX$1,),)-VLOOKUP(EDATE(B110,-12),Data!$A:$AX,MATCH($V$1,Data!$A$1:$AX$1,),))/VLOOKUP(EDATE(B110,-12),Data!$A:$AX,MATCH($V$1,Data!$A$1:$AX$1,),)</f>
        <v/>
      </c>
      <c r="W110" s="20">
        <f>(VLOOKUP(B110,Data!$A:$AX,MATCH($W$1,Data!$A$1:$AX$1,),)-VLOOKUP(EDATE(B110,-12),Data!$A:$AX,MATCH($W$1,Data!$A$1:$AX$1,),))/VLOOKUP(EDATE(B110,-12),Data!$A:$AX,MATCH($W$1,Data!$A$1:$AX$1,),)</f>
        <v/>
      </c>
      <c r="X110" s="20">
        <f>(VLOOKUP(B110,Data!$A:$AX,MATCH($X$1,Data!$A$1:$AX$1,),)-VLOOKUP(EDATE(B110,-12),Data!$A:$AX,MATCH($X$1,Data!$A$1:$AX$1,),))/VLOOKUP(EDATE(B110,-12),Data!$A:$AX,MATCH($X$1,Data!$A$1:$AX$1,),)</f>
        <v/>
      </c>
      <c r="Y110" s="20">
        <f>(VLOOKUP(B110,Data!$A:$AX,MATCH($Y$1,Data!$A$1:$AX$1,),)-VLOOKUP(EDATE(B110,-12),Data!$A:$AX,MATCH($Y$1,Data!$A$1:$AX$1,),))/VLOOKUP(EDATE(B110,-12),Data!$A:$AX,MATCH($Y$1,Data!$A$1:$AX$1,),)</f>
        <v/>
      </c>
    </row>
    <row r="111" customFormat="1" s="76">
      <c r="B111" s="15" t="n">
        <v>43586</v>
      </c>
      <c r="C111" s="20">
        <f>(VLOOKUP(B111,Data!$A:$AX,MATCH($C$1,Data!$A$1:$AX$1,),)-VLOOKUP(EDATE(B111,-12),Data!$A:$AX,MATCH($C$1,Data!$A$1:$AX$1,),))/VLOOKUP(EDATE(B111,-12),Data!$A:$AX,MATCH($C$1,Data!$A$1:$AX$1,),)</f>
        <v/>
      </c>
      <c r="D111" s="20">
        <f>(VLOOKUP(B111,Data!$A:$AX,MATCH($D$1,Data!$A$1:$AX$1,),)-VLOOKUP(EDATE(B111,-12),Data!$A:$AX,MATCH($D$1,Data!$A$1:$AX$1,),))/VLOOKUP(EDATE(B111,-12),Data!$A:$AX,MATCH($D$1,Data!$A$1:$AX$1,),)</f>
        <v/>
      </c>
      <c r="E111" s="20">
        <f>(VLOOKUP(B111,Data!$A:$AX,MATCH($E$1,Data!$A$1:$AX$1,),)-VLOOKUP(EDATE(B111,-12),Data!$A:$AX,MATCH($E$1,Data!$A$1:$AX$1,),))/VLOOKUP(EDATE(B111,-12),Data!$A:$AX,MATCH($E$1,Data!$A$1:$AX$1,),)</f>
        <v/>
      </c>
      <c r="F111" s="20">
        <f>(VLOOKUP(B111,Data!$A:$AX,MATCH($F$1,Data!$A$1:$AX$1,),)-VLOOKUP(EDATE(B111,-12),Data!$A:$AX,MATCH($F$1,Data!$A$1:$AX$1,),))/VLOOKUP(EDATE(B111,-12),Data!$A:$AX,MATCH($F$1,Data!$A$1:$AX$1,),)</f>
        <v/>
      </c>
      <c r="G111" s="20">
        <f>(VLOOKUP(B111,Data!$A:$AX,MATCH($G$1,Data!$A$1:$AX$1,),)-VLOOKUP(EDATE(B111,-12),Data!$A:$AX,MATCH($G$1,Data!$A$1:$AX$1,),))/VLOOKUP(EDATE(B111,-12),Data!$A:$AX,MATCH($G$1,Data!$A$1:$AX$1,),)</f>
        <v/>
      </c>
      <c r="H111" s="20">
        <f>(VLOOKUP(B111,Data!$A:$AX,MATCH($H$1,Data!$A$1:$AX$1,),)-VLOOKUP(EDATE(B111,-12),Data!$A:$AX,MATCH($H$1,Data!$A$1:$AX$1,),))/VLOOKUP(EDATE(B111,-12),Data!$A:$AX,MATCH($H$1,Data!$A$1:$AX$1,),)</f>
        <v/>
      </c>
      <c r="I111" s="20">
        <f>(VLOOKUP(B111,Data!$A:$AX,MATCH($I$1,Data!$A$1:$AX$1,),)-VLOOKUP(EDATE(B111,-12),Data!$A:$AX,MATCH($I$1,Data!$A$1:$AX$1,),))/VLOOKUP(EDATE(B111,-12),Data!$A:$AX,MATCH($I$1,Data!$A$1:$AX$1,),)</f>
        <v/>
      </c>
      <c r="J111" s="20">
        <f>(VLOOKUP(B111,Data!$A:$AX,MATCH($J$1,Data!$A$1:$AX$1,),)-VLOOKUP(EDATE(B111,-12),Data!$A:$AX,MATCH($J$1,Data!$A$1:$AX$1,),))/VLOOKUP(EDATE(B111,-12),Data!$A:$AX,MATCH($J$1,Data!$A$1:$AX$1,),)</f>
        <v/>
      </c>
      <c r="K111" s="20">
        <f>(VLOOKUP(B111,Data!$A:$AX,MATCH($K$1,Data!$A$1:$AX$1,),)-VLOOKUP(EDATE(B111,-12),Data!$A:$AX,MATCH($K$1,Data!$A$1:$AX$1,),))/VLOOKUP(EDATE(B111,-12),Data!$A:$AX,MATCH($K$1,Data!$A$1:$AX$1,),)</f>
        <v/>
      </c>
      <c r="L111" s="20">
        <f>(VLOOKUP(B111,Data!$A:$AX,MATCH($L$1,Data!$A$1:$AX$1,),)-VLOOKUP(EDATE(B111,-12),Data!$A:$AX,MATCH($L$1,Data!$A$1:$AX$1,),))/VLOOKUP(EDATE(B111,-12),Data!$A:$AX,MATCH($L$1,Data!$A$1:$AX$1,),)</f>
        <v/>
      </c>
      <c r="M111" s="20">
        <f>(VLOOKUP(B111,Data!$A:$AX,MATCH($M$1,Data!$A$1:$AX$1,),)-VLOOKUP(EDATE(B111,-12),Data!$A:$AX,MATCH($M$1,Data!$A$1:$AX$1,),))/VLOOKUP(EDATE(B111,-12),Data!$A:$AX,MATCH($M$1,Data!$A$1:$AX$1,),)</f>
        <v/>
      </c>
      <c r="N111" s="20">
        <f>(VLOOKUP(B111,Data!$A:$AX,MATCH($N$1,Data!$A$1:$AX$1,),)-VLOOKUP(EDATE(B111,-12),Data!$A:$AX,MATCH($N$1,Data!$A$1:$AX$1,),))/VLOOKUP(EDATE(B111,-12),Data!$A:$AX,MATCH($N$1,Data!$A$1:$AX$1,),)</f>
        <v/>
      </c>
      <c r="O111" s="20">
        <f>(VLOOKUP(B111,Data!$A:$AX,MATCH($O$1,Data!$A$1:$AX$1,),)-VLOOKUP(EDATE(B111,-12),Data!$A:$AX,MATCH($O$1,Data!$A$1:$AX$1,),))/VLOOKUP(EDATE(B111,-12),Data!$A:$AX,MATCH($O$1,Data!$A$1:$AX$1,),)</f>
        <v/>
      </c>
      <c r="P111" s="20">
        <f>(VLOOKUP(B111,Data!$A:$AX,MATCH($P$1,Data!$A$1:$AX$1,),)-VLOOKUP(EDATE(B111,-12),Data!$A:$AX,MATCH($P$1,Data!$A$1:$AX$1,),))/VLOOKUP(EDATE(B111,-12),Data!$A:$AX,MATCH($P$1,Data!$A$1:$AX$1,),)</f>
        <v/>
      </c>
      <c r="Q111" s="20">
        <f>(VLOOKUP(B111,Data!$A:$AX,MATCH($Q$1,Data!$A$1:$AX$1,),)-VLOOKUP(EDATE(B111,-12),Data!$A:$AX,MATCH($Q$1,Data!$A$1:$AX$1,),))/VLOOKUP(EDATE(B111,-12),Data!$A:$AX,MATCH($Q$1,Data!$A$1:$AX$1,),)</f>
        <v/>
      </c>
      <c r="R111" s="20">
        <f>(VLOOKUP(B111,Data!$A:$AX,MATCH($R$1,Data!$A$1:$AX$1,),)-VLOOKUP(EDATE(B111,-12),Data!$A:$AX,MATCH($R$1,Data!$A$1:$AX$1,),))/VLOOKUP(EDATE(B111,-12),Data!$A:$AX,MATCH($R$1,Data!$A$1:$AX$1,),)</f>
        <v/>
      </c>
      <c r="S111" s="20">
        <f>(VLOOKUP(B111,Data!$A:$AX,MATCH($S$1,Data!$A$1:$AX$1,),)-VLOOKUP(EDATE(B111,-12),Data!$A:$AX,MATCH($S$1,Data!$A$1:$AX$1,),))/VLOOKUP(EDATE(B111,-12),Data!$A:$AX,MATCH($S$1,Data!$A$1:$AX$1,),)</f>
        <v/>
      </c>
      <c r="T111" s="20">
        <f>(VLOOKUP(B111,Data!$A:$AX,MATCH($T$1,Data!$A$1:$AX$1,),)-VLOOKUP(EDATE(B111,-12),Data!$A:$AX,MATCH($T$1,Data!$A$1:$AX$1,),))/VLOOKUP(EDATE(B111,-12),Data!$A:$AX,MATCH($T$1,Data!$A$1:$AX$1,),)</f>
        <v/>
      </c>
      <c r="U111" s="20">
        <f>(VLOOKUP(B111,Data!$A:$AX,MATCH($U$1,Data!$A$1:$AX$1,),)-VLOOKUP(EDATE(B111,-12),Data!$A:$AX,MATCH($U$1,Data!$A$1:$AX$1,),))/VLOOKUP(EDATE(B111,-12),Data!$A:$AX,MATCH($U$1,Data!$A$1:$AX$1,),)</f>
        <v/>
      </c>
      <c r="V111" s="20">
        <f>(VLOOKUP(B111,Data!$A:$AX,MATCH($V$1,Data!$A$1:$AX$1,),)-VLOOKUP(EDATE(B111,-12),Data!$A:$AX,MATCH($V$1,Data!$A$1:$AX$1,),))/VLOOKUP(EDATE(B111,-12),Data!$A:$AX,MATCH($V$1,Data!$A$1:$AX$1,),)</f>
        <v/>
      </c>
      <c r="W111" s="20">
        <f>(VLOOKUP(B111,Data!$A:$AX,MATCH($W$1,Data!$A$1:$AX$1,),)-VLOOKUP(EDATE(B111,-12),Data!$A:$AX,MATCH($W$1,Data!$A$1:$AX$1,),))/VLOOKUP(EDATE(B111,-12),Data!$A:$AX,MATCH($W$1,Data!$A$1:$AX$1,),)</f>
        <v/>
      </c>
      <c r="X111" s="20">
        <f>(VLOOKUP(B111,Data!$A:$AX,MATCH($X$1,Data!$A$1:$AX$1,),)-VLOOKUP(EDATE(B111,-12),Data!$A:$AX,MATCH($X$1,Data!$A$1:$AX$1,),))/VLOOKUP(EDATE(B111,-12),Data!$A:$AX,MATCH($X$1,Data!$A$1:$AX$1,),)</f>
        <v/>
      </c>
      <c r="Y111" s="20">
        <f>(VLOOKUP(B111,Data!$A:$AX,MATCH($Y$1,Data!$A$1:$AX$1,),)-VLOOKUP(EDATE(B111,-12),Data!$A:$AX,MATCH($Y$1,Data!$A$1:$AX$1,),))/VLOOKUP(EDATE(B111,-12),Data!$A:$AX,MATCH($Y$1,Data!$A$1:$AX$1,),)</f>
        <v/>
      </c>
    </row>
    <row r="112" customFormat="1" s="76">
      <c r="B112" s="15" t="n">
        <v>43617</v>
      </c>
      <c r="C112" s="20">
        <f>(VLOOKUP(B112,Data!$A:$AX,MATCH($C$1,Data!$A$1:$AX$1,),)-VLOOKUP(EDATE(B112,-12),Data!$A:$AX,MATCH($C$1,Data!$A$1:$AX$1,),))/VLOOKUP(EDATE(B112,-12),Data!$A:$AX,MATCH($C$1,Data!$A$1:$AX$1,),)</f>
        <v/>
      </c>
      <c r="D112" s="20">
        <f>(VLOOKUP(B112,Data!$A:$AX,MATCH($D$1,Data!$A$1:$AX$1,),)-VLOOKUP(EDATE(B112,-12),Data!$A:$AX,MATCH($D$1,Data!$A$1:$AX$1,),))/VLOOKUP(EDATE(B112,-12),Data!$A:$AX,MATCH($D$1,Data!$A$1:$AX$1,),)</f>
        <v/>
      </c>
      <c r="E112" s="20">
        <f>(VLOOKUP(B112,Data!$A:$AX,MATCH($E$1,Data!$A$1:$AX$1,),)-VLOOKUP(EDATE(B112,-12),Data!$A:$AX,MATCH($E$1,Data!$A$1:$AX$1,),))/VLOOKUP(EDATE(B112,-12),Data!$A:$AX,MATCH($E$1,Data!$A$1:$AX$1,),)</f>
        <v/>
      </c>
      <c r="F112" s="20">
        <f>(VLOOKUP(B112,Data!$A:$AX,MATCH($F$1,Data!$A$1:$AX$1,),)-VLOOKUP(EDATE(B112,-12),Data!$A:$AX,MATCH($F$1,Data!$A$1:$AX$1,),))/VLOOKUP(EDATE(B112,-12),Data!$A:$AX,MATCH($F$1,Data!$A$1:$AX$1,),)</f>
        <v/>
      </c>
      <c r="G112" s="20">
        <f>(VLOOKUP(B112,Data!$A:$AX,MATCH($G$1,Data!$A$1:$AX$1,),)-VLOOKUP(EDATE(B112,-12),Data!$A:$AX,MATCH($G$1,Data!$A$1:$AX$1,),))/VLOOKUP(EDATE(B112,-12),Data!$A:$AX,MATCH($G$1,Data!$A$1:$AX$1,),)</f>
        <v/>
      </c>
      <c r="H112" s="20">
        <f>(VLOOKUP(B112,Data!$A:$AX,MATCH($H$1,Data!$A$1:$AX$1,),)-VLOOKUP(EDATE(B112,-12),Data!$A:$AX,MATCH($H$1,Data!$A$1:$AX$1,),))/VLOOKUP(EDATE(B112,-12),Data!$A:$AX,MATCH($H$1,Data!$A$1:$AX$1,),)</f>
        <v/>
      </c>
      <c r="I112" s="20">
        <f>(VLOOKUP(B112,Data!$A:$AX,MATCH($I$1,Data!$A$1:$AX$1,),)-VLOOKUP(EDATE(B112,-12),Data!$A:$AX,MATCH($I$1,Data!$A$1:$AX$1,),))/VLOOKUP(EDATE(B112,-12),Data!$A:$AX,MATCH($I$1,Data!$A$1:$AX$1,),)</f>
        <v/>
      </c>
      <c r="J112" s="20">
        <f>(VLOOKUP(B112,Data!$A:$AX,MATCH($J$1,Data!$A$1:$AX$1,),)-VLOOKUP(EDATE(B112,-12),Data!$A:$AX,MATCH($J$1,Data!$A$1:$AX$1,),))/VLOOKUP(EDATE(B112,-12),Data!$A:$AX,MATCH($J$1,Data!$A$1:$AX$1,),)</f>
        <v/>
      </c>
      <c r="K112" s="20">
        <f>(VLOOKUP(B112,Data!$A:$AX,MATCH($K$1,Data!$A$1:$AX$1,),)-VLOOKUP(EDATE(B112,-12),Data!$A:$AX,MATCH($K$1,Data!$A$1:$AX$1,),))/VLOOKUP(EDATE(B112,-12),Data!$A:$AX,MATCH($K$1,Data!$A$1:$AX$1,),)</f>
        <v/>
      </c>
      <c r="L112" s="20">
        <f>(VLOOKUP(B112,Data!$A:$AX,MATCH($L$1,Data!$A$1:$AX$1,),)-VLOOKUP(EDATE(B112,-12),Data!$A:$AX,MATCH($L$1,Data!$A$1:$AX$1,),))/VLOOKUP(EDATE(B112,-12),Data!$A:$AX,MATCH($L$1,Data!$A$1:$AX$1,),)</f>
        <v/>
      </c>
      <c r="M112" s="20">
        <f>(VLOOKUP(B112,Data!$A:$AX,MATCH($M$1,Data!$A$1:$AX$1,),)-VLOOKUP(EDATE(B112,-12),Data!$A:$AX,MATCH($M$1,Data!$A$1:$AX$1,),))/VLOOKUP(EDATE(B112,-12),Data!$A:$AX,MATCH($M$1,Data!$A$1:$AX$1,),)</f>
        <v/>
      </c>
      <c r="N112" s="20">
        <f>(VLOOKUP(B112,Data!$A:$AX,MATCH($N$1,Data!$A$1:$AX$1,),)-VLOOKUP(EDATE(B112,-12),Data!$A:$AX,MATCH($N$1,Data!$A$1:$AX$1,),))/VLOOKUP(EDATE(B112,-12),Data!$A:$AX,MATCH($N$1,Data!$A$1:$AX$1,),)</f>
        <v/>
      </c>
      <c r="O112" s="20">
        <f>(VLOOKUP(B112,Data!$A:$AX,MATCH($O$1,Data!$A$1:$AX$1,),)-VLOOKUP(EDATE(B112,-12),Data!$A:$AX,MATCH($O$1,Data!$A$1:$AX$1,),))/VLOOKUP(EDATE(B112,-12),Data!$A:$AX,MATCH($O$1,Data!$A$1:$AX$1,),)</f>
        <v/>
      </c>
      <c r="P112" s="20">
        <f>(VLOOKUP(B112,Data!$A:$AX,MATCH($P$1,Data!$A$1:$AX$1,),)-VLOOKUP(EDATE(B112,-12),Data!$A:$AX,MATCH($P$1,Data!$A$1:$AX$1,),))/VLOOKUP(EDATE(B112,-12),Data!$A:$AX,MATCH($P$1,Data!$A$1:$AX$1,),)</f>
        <v/>
      </c>
      <c r="Q112" s="20">
        <f>(VLOOKUP(B112,Data!$A:$AX,MATCH($Q$1,Data!$A$1:$AX$1,),)-VLOOKUP(EDATE(B112,-12),Data!$A:$AX,MATCH($Q$1,Data!$A$1:$AX$1,),))/VLOOKUP(EDATE(B112,-12),Data!$A:$AX,MATCH($Q$1,Data!$A$1:$AX$1,),)</f>
        <v/>
      </c>
      <c r="R112" s="20">
        <f>(VLOOKUP(B112,Data!$A:$AX,MATCH($R$1,Data!$A$1:$AX$1,),)-VLOOKUP(EDATE(B112,-12),Data!$A:$AX,MATCH($R$1,Data!$A$1:$AX$1,),))/VLOOKUP(EDATE(B112,-12),Data!$A:$AX,MATCH($R$1,Data!$A$1:$AX$1,),)</f>
        <v/>
      </c>
      <c r="S112" s="20">
        <f>(VLOOKUP(B112,Data!$A:$AX,MATCH($S$1,Data!$A$1:$AX$1,),)-VLOOKUP(EDATE(B112,-12),Data!$A:$AX,MATCH($S$1,Data!$A$1:$AX$1,),))/VLOOKUP(EDATE(B112,-12),Data!$A:$AX,MATCH($S$1,Data!$A$1:$AX$1,),)</f>
        <v/>
      </c>
      <c r="T112" s="20">
        <f>(VLOOKUP(B112,Data!$A:$AX,MATCH($T$1,Data!$A$1:$AX$1,),)-VLOOKUP(EDATE(B112,-12),Data!$A:$AX,MATCH($T$1,Data!$A$1:$AX$1,),))/VLOOKUP(EDATE(B112,-12),Data!$A:$AX,MATCH($T$1,Data!$A$1:$AX$1,),)</f>
        <v/>
      </c>
      <c r="U112" s="20">
        <f>(VLOOKUP(B112,Data!$A:$AX,MATCH($U$1,Data!$A$1:$AX$1,),)-VLOOKUP(EDATE(B112,-12),Data!$A:$AX,MATCH($U$1,Data!$A$1:$AX$1,),))/VLOOKUP(EDATE(B112,-12),Data!$A:$AX,MATCH($U$1,Data!$A$1:$AX$1,),)</f>
        <v/>
      </c>
      <c r="V112" s="20">
        <f>(VLOOKUP(B112,Data!$A:$AX,MATCH($V$1,Data!$A$1:$AX$1,),)-VLOOKUP(EDATE(B112,-12),Data!$A:$AX,MATCH($V$1,Data!$A$1:$AX$1,),))/VLOOKUP(EDATE(B112,-12),Data!$A:$AX,MATCH($V$1,Data!$A$1:$AX$1,),)</f>
        <v/>
      </c>
      <c r="W112" s="20">
        <f>(VLOOKUP(B112,Data!$A:$AX,MATCH($W$1,Data!$A$1:$AX$1,),)-VLOOKUP(EDATE(B112,-12),Data!$A:$AX,MATCH($W$1,Data!$A$1:$AX$1,),))/VLOOKUP(EDATE(B112,-12),Data!$A:$AX,MATCH($W$1,Data!$A$1:$AX$1,),)</f>
        <v/>
      </c>
      <c r="X112" s="20">
        <f>(VLOOKUP(B112,Data!$A:$AX,MATCH($X$1,Data!$A$1:$AX$1,),)-VLOOKUP(EDATE(B112,-12),Data!$A:$AX,MATCH($X$1,Data!$A$1:$AX$1,),))/VLOOKUP(EDATE(B112,-12),Data!$A:$AX,MATCH($X$1,Data!$A$1:$AX$1,),)</f>
        <v/>
      </c>
      <c r="Y112" s="20">
        <f>(VLOOKUP(B112,Data!$A:$AX,MATCH($Y$1,Data!$A$1:$AX$1,),)-VLOOKUP(EDATE(B112,-12),Data!$A:$AX,MATCH($Y$1,Data!$A$1:$AX$1,),))/VLOOKUP(EDATE(B112,-12),Data!$A:$AX,MATCH($Y$1,Data!$A$1:$AX$1,),)</f>
        <v/>
      </c>
    </row>
    <row r="113" customFormat="1" s="76">
      <c r="B113" s="15" t="n">
        <v>43647</v>
      </c>
      <c r="C113" s="20">
        <f>(VLOOKUP(B113,Data!$A:$AX,MATCH($C$1,Data!$A$1:$AX$1,),)-VLOOKUP(EDATE(B113,-12),Data!$A:$AX,MATCH($C$1,Data!$A$1:$AX$1,),))/VLOOKUP(EDATE(B113,-12),Data!$A:$AX,MATCH($C$1,Data!$A$1:$AX$1,),)</f>
        <v/>
      </c>
      <c r="D113" s="20">
        <f>(VLOOKUP(B113,Data!$A:$AX,MATCH($D$1,Data!$A$1:$AX$1,),)-VLOOKUP(EDATE(B113,-12),Data!$A:$AX,MATCH($D$1,Data!$A$1:$AX$1,),))/VLOOKUP(EDATE(B113,-12),Data!$A:$AX,MATCH($D$1,Data!$A$1:$AX$1,),)</f>
        <v/>
      </c>
      <c r="E113" s="20">
        <f>(VLOOKUP(B113,Data!$A:$AX,MATCH($E$1,Data!$A$1:$AX$1,),)-VLOOKUP(EDATE(B113,-12),Data!$A:$AX,MATCH($E$1,Data!$A$1:$AX$1,),))/VLOOKUP(EDATE(B113,-12),Data!$A:$AX,MATCH($E$1,Data!$A$1:$AX$1,),)</f>
        <v/>
      </c>
      <c r="F113" s="20">
        <f>(VLOOKUP(B113,Data!$A:$AX,MATCH($F$1,Data!$A$1:$AX$1,),)-VLOOKUP(EDATE(B113,-12),Data!$A:$AX,MATCH($F$1,Data!$A$1:$AX$1,),))/VLOOKUP(EDATE(B113,-12),Data!$A:$AX,MATCH($F$1,Data!$A$1:$AX$1,),)</f>
        <v/>
      </c>
      <c r="G113" s="20">
        <f>(VLOOKUP(B113,Data!$A:$AX,MATCH($G$1,Data!$A$1:$AX$1,),)-VLOOKUP(EDATE(B113,-12),Data!$A:$AX,MATCH($G$1,Data!$A$1:$AX$1,),))/VLOOKUP(EDATE(B113,-12),Data!$A:$AX,MATCH($G$1,Data!$A$1:$AX$1,),)</f>
        <v/>
      </c>
      <c r="H113" s="20">
        <f>(VLOOKUP(B113,Data!$A:$AX,MATCH($H$1,Data!$A$1:$AX$1,),)-VLOOKUP(EDATE(B113,-12),Data!$A:$AX,MATCH($H$1,Data!$A$1:$AX$1,),))/VLOOKUP(EDATE(B113,-12),Data!$A:$AX,MATCH($H$1,Data!$A$1:$AX$1,),)</f>
        <v/>
      </c>
      <c r="I113" s="20">
        <f>(VLOOKUP(B113,Data!$A:$AX,MATCH($I$1,Data!$A$1:$AX$1,),)-VLOOKUP(EDATE(B113,-12),Data!$A:$AX,MATCH($I$1,Data!$A$1:$AX$1,),))/VLOOKUP(EDATE(B113,-12),Data!$A:$AX,MATCH($I$1,Data!$A$1:$AX$1,),)</f>
        <v/>
      </c>
      <c r="J113" s="20">
        <f>(VLOOKUP(B113,Data!$A:$AX,MATCH($J$1,Data!$A$1:$AX$1,),)-VLOOKUP(EDATE(B113,-12),Data!$A:$AX,MATCH($J$1,Data!$A$1:$AX$1,),))/VLOOKUP(EDATE(B113,-12),Data!$A:$AX,MATCH($J$1,Data!$A$1:$AX$1,),)</f>
        <v/>
      </c>
      <c r="K113" s="20">
        <f>(VLOOKUP(B113,Data!$A:$AX,MATCH($K$1,Data!$A$1:$AX$1,),)-VLOOKUP(EDATE(B113,-12),Data!$A:$AX,MATCH($K$1,Data!$A$1:$AX$1,),))/VLOOKUP(EDATE(B113,-12),Data!$A:$AX,MATCH($K$1,Data!$A$1:$AX$1,),)</f>
        <v/>
      </c>
      <c r="L113" s="20">
        <f>(VLOOKUP(B113,Data!$A:$AX,MATCH($L$1,Data!$A$1:$AX$1,),)-VLOOKUP(EDATE(B113,-12),Data!$A:$AX,MATCH($L$1,Data!$A$1:$AX$1,),))/VLOOKUP(EDATE(B113,-12),Data!$A:$AX,MATCH($L$1,Data!$A$1:$AX$1,),)</f>
        <v/>
      </c>
      <c r="M113" s="20">
        <f>(VLOOKUP(B113,Data!$A:$AX,MATCH($M$1,Data!$A$1:$AX$1,),)-VLOOKUP(EDATE(B113,-12),Data!$A:$AX,MATCH($M$1,Data!$A$1:$AX$1,),))/VLOOKUP(EDATE(B113,-12),Data!$A:$AX,MATCH($M$1,Data!$A$1:$AX$1,),)</f>
        <v/>
      </c>
      <c r="N113" s="20">
        <f>(VLOOKUP(B113,Data!$A:$AX,MATCH($N$1,Data!$A$1:$AX$1,),)-VLOOKUP(EDATE(B113,-12),Data!$A:$AX,MATCH($N$1,Data!$A$1:$AX$1,),))/VLOOKUP(EDATE(B113,-12),Data!$A:$AX,MATCH($N$1,Data!$A$1:$AX$1,),)</f>
        <v/>
      </c>
      <c r="O113" s="20">
        <f>(VLOOKUP(B113,Data!$A:$AX,MATCH($O$1,Data!$A$1:$AX$1,),)-VLOOKUP(EDATE(B113,-12),Data!$A:$AX,MATCH($O$1,Data!$A$1:$AX$1,),))/VLOOKUP(EDATE(B113,-12),Data!$A:$AX,MATCH($O$1,Data!$A$1:$AX$1,),)</f>
        <v/>
      </c>
      <c r="P113" s="20">
        <f>(VLOOKUP(B113,Data!$A:$AX,MATCH($P$1,Data!$A$1:$AX$1,),)-VLOOKUP(EDATE(B113,-12),Data!$A:$AX,MATCH($P$1,Data!$A$1:$AX$1,),))/VLOOKUP(EDATE(B113,-12),Data!$A:$AX,MATCH($P$1,Data!$A$1:$AX$1,),)</f>
        <v/>
      </c>
      <c r="Q113" s="20">
        <f>(VLOOKUP(B113,Data!$A:$AX,MATCH($Q$1,Data!$A$1:$AX$1,),)-VLOOKUP(EDATE(B113,-12),Data!$A:$AX,MATCH($Q$1,Data!$A$1:$AX$1,),))/VLOOKUP(EDATE(B113,-12),Data!$A:$AX,MATCH($Q$1,Data!$A$1:$AX$1,),)</f>
        <v/>
      </c>
      <c r="R113" s="20">
        <f>(VLOOKUP(B113,Data!$A:$AX,MATCH($R$1,Data!$A$1:$AX$1,),)-VLOOKUP(EDATE(B113,-12),Data!$A:$AX,MATCH($R$1,Data!$A$1:$AX$1,),))/VLOOKUP(EDATE(B113,-12),Data!$A:$AX,MATCH($R$1,Data!$A$1:$AX$1,),)</f>
        <v/>
      </c>
      <c r="S113" s="20">
        <f>(VLOOKUP(B113,Data!$A:$AX,MATCH($S$1,Data!$A$1:$AX$1,),)-VLOOKUP(EDATE(B113,-12),Data!$A:$AX,MATCH($S$1,Data!$A$1:$AX$1,),))/VLOOKUP(EDATE(B113,-12),Data!$A:$AX,MATCH($S$1,Data!$A$1:$AX$1,),)</f>
        <v/>
      </c>
      <c r="T113" s="20">
        <f>(VLOOKUP(B113,Data!$A:$AX,MATCH($T$1,Data!$A$1:$AX$1,),)-VLOOKUP(EDATE(B113,-12),Data!$A:$AX,MATCH($T$1,Data!$A$1:$AX$1,),))/VLOOKUP(EDATE(B113,-12),Data!$A:$AX,MATCH($T$1,Data!$A$1:$AX$1,),)</f>
        <v/>
      </c>
      <c r="U113" s="20">
        <f>(VLOOKUP(B113,Data!$A:$AX,MATCH($U$1,Data!$A$1:$AX$1,),)-VLOOKUP(EDATE(B113,-12),Data!$A:$AX,MATCH($U$1,Data!$A$1:$AX$1,),))/VLOOKUP(EDATE(B113,-12),Data!$A:$AX,MATCH($U$1,Data!$A$1:$AX$1,),)</f>
        <v/>
      </c>
      <c r="V113" s="20">
        <f>(VLOOKUP(B113,Data!$A:$AX,MATCH($V$1,Data!$A$1:$AX$1,),)-VLOOKUP(EDATE(B113,-12),Data!$A:$AX,MATCH($V$1,Data!$A$1:$AX$1,),))/VLOOKUP(EDATE(B113,-12),Data!$A:$AX,MATCH($V$1,Data!$A$1:$AX$1,),)</f>
        <v/>
      </c>
      <c r="W113" s="20">
        <f>(VLOOKUP(B113,Data!$A:$AX,MATCH($W$1,Data!$A$1:$AX$1,),)-VLOOKUP(EDATE(B113,-12),Data!$A:$AX,MATCH($W$1,Data!$A$1:$AX$1,),))/VLOOKUP(EDATE(B113,-12),Data!$A:$AX,MATCH($W$1,Data!$A$1:$AX$1,),)</f>
        <v/>
      </c>
      <c r="X113" s="20">
        <f>(VLOOKUP(B113,Data!$A:$AX,MATCH($X$1,Data!$A$1:$AX$1,),)-VLOOKUP(EDATE(B113,-12),Data!$A:$AX,MATCH($X$1,Data!$A$1:$AX$1,),))/VLOOKUP(EDATE(B113,-12),Data!$A:$AX,MATCH($X$1,Data!$A$1:$AX$1,),)</f>
        <v/>
      </c>
      <c r="Y113" s="20">
        <f>(VLOOKUP(B113,Data!$A:$AX,MATCH($Y$1,Data!$A$1:$AX$1,),)-VLOOKUP(EDATE(B113,-12),Data!$A:$AX,MATCH($Y$1,Data!$A$1:$AX$1,),))/VLOOKUP(EDATE(B113,-12),Data!$A:$AX,MATCH($Y$1,Data!$A$1:$AX$1,),)</f>
        <v/>
      </c>
    </row>
    <row r="114" customFormat="1" s="76">
      <c r="B114" s="15" t="n">
        <v>43678</v>
      </c>
      <c r="C114" s="20">
        <f>(VLOOKUP(B114,Data!$A:$AX,MATCH($C$1,Data!$A$1:$AX$1,),)-VLOOKUP(EDATE(B114,-12),Data!$A:$AX,MATCH($C$1,Data!$A$1:$AX$1,),))/VLOOKUP(EDATE(B114,-12),Data!$A:$AX,MATCH($C$1,Data!$A$1:$AX$1,),)</f>
        <v/>
      </c>
      <c r="D114" s="20">
        <f>(VLOOKUP(B114,Data!$A:$AX,MATCH($D$1,Data!$A$1:$AX$1,),)-VLOOKUP(EDATE(B114,-12),Data!$A:$AX,MATCH($D$1,Data!$A$1:$AX$1,),))/VLOOKUP(EDATE(B114,-12),Data!$A:$AX,MATCH($D$1,Data!$A$1:$AX$1,),)</f>
        <v/>
      </c>
      <c r="E114" s="20">
        <f>(VLOOKUP(B114,Data!$A:$AX,MATCH($E$1,Data!$A$1:$AX$1,),)-VLOOKUP(EDATE(B114,-12),Data!$A:$AX,MATCH($E$1,Data!$A$1:$AX$1,),))/VLOOKUP(EDATE(B114,-12),Data!$A:$AX,MATCH($E$1,Data!$A$1:$AX$1,),)</f>
        <v/>
      </c>
      <c r="F114" s="20">
        <f>(VLOOKUP(B114,Data!$A:$AX,MATCH($F$1,Data!$A$1:$AX$1,),)-VLOOKUP(EDATE(B114,-12),Data!$A:$AX,MATCH($F$1,Data!$A$1:$AX$1,),))/VLOOKUP(EDATE(B114,-12),Data!$A:$AX,MATCH($F$1,Data!$A$1:$AX$1,),)</f>
        <v/>
      </c>
      <c r="G114" s="20">
        <f>(VLOOKUP(B114,Data!$A:$AX,MATCH($G$1,Data!$A$1:$AX$1,),)-VLOOKUP(EDATE(B114,-12),Data!$A:$AX,MATCH($G$1,Data!$A$1:$AX$1,),))/VLOOKUP(EDATE(B114,-12),Data!$A:$AX,MATCH($G$1,Data!$A$1:$AX$1,),)</f>
        <v/>
      </c>
      <c r="H114" s="20">
        <f>(VLOOKUP(B114,Data!$A:$AX,MATCH($H$1,Data!$A$1:$AX$1,),)-VLOOKUP(EDATE(B114,-12),Data!$A:$AX,MATCH($H$1,Data!$A$1:$AX$1,),))/VLOOKUP(EDATE(B114,-12),Data!$A:$AX,MATCH($H$1,Data!$A$1:$AX$1,),)</f>
        <v/>
      </c>
      <c r="I114" s="20">
        <f>(VLOOKUP(B114,Data!$A:$AX,MATCH($I$1,Data!$A$1:$AX$1,),)-VLOOKUP(EDATE(B114,-12),Data!$A:$AX,MATCH($I$1,Data!$A$1:$AX$1,),))/VLOOKUP(EDATE(B114,-12),Data!$A:$AX,MATCH($I$1,Data!$A$1:$AX$1,),)</f>
        <v/>
      </c>
      <c r="J114" s="20">
        <f>(VLOOKUP(B114,Data!$A:$AX,MATCH($J$1,Data!$A$1:$AX$1,),)-VLOOKUP(EDATE(B114,-12),Data!$A:$AX,MATCH($J$1,Data!$A$1:$AX$1,),))/VLOOKUP(EDATE(B114,-12),Data!$A:$AX,MATCH($J$1,Data!$A$1:$AX$1,),)</f>
        <v/>
      </c>
      <c r="K114" s="20">
        <f>(VLOOKUP(B114,Data!$A:$AX,MATCH($K$1,Data!$A$1:$AX$1,),)-VLOOKUP(EDATE(B114,-12),Data!$A:$AX,MATCH($K$1,Data!$A$1:$AX$1,),))/VLOOKUP(EDATE(B114,-12),Data!$A:$AX,MATCH($K$1,Data!$A$1:$AX$1,),)</f>
        <v/>
      </c>
      <c r="L114" s="20">
        <f>(VLOOKUP(B114,Data!$A:$AX,MATCH($L$1,Data!$A$1:$AX$1,),)-VLOOKUP(EDATE(B114,-12),Data!$A:$AX,MATCH($L$1,Data!$A$1:$AX$1,),))/VLOOKUP(EDATE(B114,-12),Data!$A:$AX,MATCH($L$1,Data!$A$1:$AX$1,),)</f>
        <v/>
      </c>
      <c r="M114" s="20">
        <f>(VLOOKUP(B114,Data!$A:$AX,MATCH($M$1,Data!$A$1:$AX$1,),)-VLOOKUP(EDATE(B114,-12),Data!$A:$AX,MATCH($M$1,Data!$A$1:$AX$1,),))/VLOOKUP(EDATE(B114,-12),Data!$A:$AX,MATCH($M$1,Data!$A$1:$AX$1,),)</f>
        <v/>
      </c>
      <c r="N114" s="20">
        <f>(VLOOKUP(B114,Data!$A:$AX,MATCH($N$1,Data!$A$1:$AX$1,),)-VLOOKUP(EDATE(B114,-12),Data!$A:$AX,MATCH($N$1,Data!$A$1:$AX$1,),))/VLOOKUP(EDATE(B114,-12),Data!$A:$AX,MATCH($N$1,Data!$A$1:$AX$1,),)</f>
        <v/>
      </c>
      <c r="O114" s="20">
        <f>(VLOOKUP(B114,Data!$A:$AX,MATCH($O$1,Data!$A$1:$AX$1,),)-VLOOKUP(EDATE(B114,-12),Data!$A:$AX,MATCH($O$1,Data!$A$1:$AX$1,),))/VLOOKUP(EDATE(B114,-12),Data!$A:$AX,MATCH($O$1,Data!$A$1:$AX$1,),)</f>
        <v/>
      </c>
      <c r="P114" s="20">
        <f>(VLOOKUP(B114,Data!$A:$AX,MATCH($P$1,Data!$A$1:$AX$1,),)-VLOOKUP(EDATE(B114,-12),Data!$A:$AX,MATCH($P$1,Data!$A$1:$AX$1,),))/VLOOKUP(EDATE(B114,-12),Data!$A:$AX,MATCH($P$1,Data!$A$1:$AX$1,),)</f>
        <v/>
      </c>
      <c r="Q114" s="20">
        <f>(VLOOKUP(B114,Data!$A:$AX,MATCH($Q$1,Data!$A$1:$AX$1,),)-VLOOKUP(EDATE(B114,-12),Data!$A:$AX,MATCH($Q$1,Data!$A$1:$AX$1,),))/VLOOKUP(EDATE(B114,-12),Data!$A:$AX,MATCH($Q$1,Data!$A$1:$AX$1,),)</f>
        <v/>
      </c>
      <c r="R114" s="20">
        <f>(VLOOKUP(B114,Data!$A:$AX,MATCH($R$1,Data!$A$1:$AX$1,),)-VLOOKUP(EDATE(B114,-12),Data!$A:$AX,MATCH($R$1,Data!$A$1:$AX$1,),))/VLOOKUP(EDATE(B114,-12),Data!$A:$AX,MATCH($R$1,Data!$A$1:$AX$1,),)</f>
        <v/>
      </c>
      <c r="S114" s="20">
        <f>(VLOOKUP(B114,Data!$A:$AX,MATCH($S$1,Data!$A$1:$AX$1,),)-VLOOKUP(EDATE(B114,-12),Data!$A:$AX,MATCH($S$1,Data!$A$1:$AX$1,),))/VLOOKUP(EDATE(B114,-12),Data!$A:$AX,MATCH($S$1,Data!$A$1:$AX$1,),)</f>
        <v/>
      </c>
      <c r="T114" s="20">
        <f>(VLOOKUP(B114,Data!$A:$AX,MATCH($T$1,Data!$A$1:$AX$1,),)-VLOOKUP(EDATE(B114,-12),Data!$A:$AX,MATCH($T$1,Data!$A$1:$AX$1,),))/VLOOKUP(EDATE(B114,-12),Data!$A:$AX,MATCH($T$1,Data!$A$1:$AX$1,),)</f>
        <v/>
      </c>
      <c r="U114" s="20">
        <f>(VLOOKUP(B114,Data!$A:$AX,MATCH($U$1,Data!$A$1:$AX$1,),)-VLOOKUP(EDATE(B114,-12),Data!$A:$AX,MATCH($U$1,Data!$A$1:$AX$1,),))/VLOOKUP(EDATE(B114,-12),Data!$A:$AX,MATCH($U$1,Data!$A$1:$AX$1,),)</f>
        <v/>
      </c>
      <c r="V114" s="20">
        <f>(VLOOKUP(B114,Data!$A:$AX,MATCH($V$1,Data!$A$1:$AX$1,),)-VLOOKUP(EDATE(B114,-12),Data!$A:$AX,MATCH($V$1,Data!$A$1:$AX$1,),))/VLOOKUP(EDATE(B114,-12),Data!$A:$AX,MATCH($V$1,Data!$A$1:$AX$1,),)</f>
        <v/>
      </c>
      <c r="W114" s="20">
        <f>(VLOOKUP(B114,Data!$A:$AX,MATCH($W$1,Data!$A$1:$AX$1,),)-VLOOKUP(EDATE(B114,-12),Data!$A:$AX,MATCH($W$1,Data!$A$1:$AX$1,),))/VLOOKUP(EDATE(B114,-12),Data!$A:$AX,MATCH($W$1,Data!$A$1:$AX$1,),)</f>
        <v/>
      </c>
      <c r="X114" s="20">
        <f>(VLOOKUP(B114,Data!$A:$AX,MATCH($X$1,Data!$A$1:$AX$1,),)-VLOOKUP(EDATE(B114,-12),Data!$A:$AX,MATCH($X$1,Data!$A$1:$AX$1,),))/VLOOKUP(EDATE(B114,-12),Data!$A:$AX,MATCH($X$1,Data!$A$1:$AX$1,),)</f>
        <v/>
      </c>
      <c r="Y114" s="20">
        <f>(VLOOKUP(B114,Data!$A:$AX,MATCH($Y$1,Data!$A$1:$AX$1,),)-VLOOKUP(EDATE(B114,-12),Data!$A:$AX,MATCH($Y$1,Data!$A$1:$AX$1,),))/VLOOKUP(EDATE(B114,-12),Data!$A:$AX,MATCH($Y$1,Data!$A$1:$AX$1,),)</f>
        <v/>
      </c>
    </row>
    <row r="115" customFormat="1" s="76">
      <c r="B115" s="15" t="n">
        <v>43709</v>
      </c>
      <c r="C115" s="20">
        <f>(VLOOKUP(B115,Data!$A:$AX,MATCH($C$1,Data!$A$1:$AX$1,),)-VLOOKUP(EDATE(B115,-12),Data!$A:$AX,MATCH($C$1,Data!$A$1:$AX$1,),))/VLOOKUP(EDATE(B115,-12),Data!$A:$AX,MATCH($C$1,Data!$A$1:$AX$1,),)</f>
        <v/>
      </c>
      <c r="D115" s="20">
        <f>(VLOOKUP(B115,Data!$A:$AX,MATCH($D$1,Data!$A$1:$AX$1,),)-VLOOKUP(EDATE(B115,-12),Data!$A:$AX,MATCH($D$1,Data!$A$1:$AX$1,),))/VLOOKUP(EDATE(B115,-12),Data!$A:$AX,MATCH($D$1,Data!$A$1:$AX$1,),)</f>
        <v/>
      </c>
      <c r="E115" s="20">
        <f>(VLOOKUP(B115,Data!$A:$AX,MATCH($E$1,Data!$A$1:$AX$1,),)-VLOOKUP(EDATE(B115,-12),Data!$A:$AX,MATCH($E$1,Data!$A$1:$AX$1,),))/VLOOKUP(EDATE(B115,-12),Data!$A:$AX,MATCH($E$1,Data!$A$1:$AX$1,),)</f>
        <v/>
      </c>
      <c r="F115" s="20">
        <f>(VLOOKUP(B115,Data!$A:$AX,MATCH($F$1,Data!$A$1:$AX$1,),)-VLOOKUP(EDATE(B115,-12),Data!$A:$AX,MATCH($F$1,Data!$A$1:$AX$1,),))/VLOOKUP(EDATE(B115,-12),Data!$A:$AX,MATCH($F$1,Data!$A$1:$AX$1,),)</f>
        <v/>
      </c>
      <c r="G115" s="20">
        <f>(VLOOKUP(B115,Data!$A:$AX,MATCH($G$1,Data!$A$1:$AX$1,),)-VLOOKUP(EDATE(B115,-12),Data!$A:$AX,MATCH($G$1,Data!$A$1:$AX$1,),))/VLOOKUP(EDATE(B115,-12),Data!$A:$AX,MATCH($G$1,Data!$A$1:$AX$1,),)</f>
        <v/>
      </c>
      <c r="H115" s="20">
        <f>(VLOOKUP(B115,Data!$A:$AX,MATCH($H$1,Data!$A$1:$AX$1,),)-VLOOKUP(EDATE(B115,-12),Data!$A:$AX,MATCH($H$1,Data!$A$1:$AX$1,),))/VLOOKUP(EDATE(B115,-12),Data!$A:$AX,MATCH($H$1,Data!$A$1:$AX$1,),)</f>
        <v/>
      </c>
      <c r="I115" s="20">
        <f>(VLOOKUP(B115,Data!$A:$AX,MATCH($I$1,Data!$A$1:$AX$1,),)-VLOOKUP(EDATE(B115,-12),Data!$A:$AX,MATCH($I$1,Data!$A$1:$AX$1,),))/VLOOKUP(EDATE(B115,-12),Data!$A:$AX,MATCH($I$1,Data!$A$1:$AX$1,),)</f>
        <v/>
      </c>
      <c r="J115" s="20">
        <f>(VLOOKUP(B115,Data!$A:$AX,MATCH($J$1,Data!$A$1:$AX$1,),)-VLOOKUP(EDATE(B115,-12),Data!$A:$AX,MATCH($J$1,Data!$A$1:$AX$1,),))/VLOOKUP(EDATE(B115,-12),Data!$A:$AX,MATCH($J$1,Data!$A$1:$AX$1,),)</f>
        <v/>
      </c>
      <c r="K115" s="20">
        <f>(VLOOKUP(B115,Data!$A:$AX,MATCH($K$1,Data!$A$1:$AX$1,),)-VLOOKUP(EDATE(B115,-12),Data!$A:$AX,MATCH($K$1,Data!$A$1:$AX$1,),))/VLOOKUP(EDATE(B115,-12),Data!$A:$AX,MATCH($K$1,Data!$A$1:$AX$1,),)</f>
        <v/>
      </c>
      <c r="L115" s="20">
        <f>(VLOOKUP(B115,Data!$A:$AX,MATCH($L$1,Data!$A$1:$AX$1,),)-VLOOKUP(EDATE(B115,-12),Data!$A:$AX,MATCH($L$1,Data!$A$1:$AX$1,),))/VLOOKUP(EDATE(B115,-12),Data!$A:$AX,MATCH($L$1,Data!$A$1:$AX$1,),)</f>
        <v/>
      </c>
      <c r="M115" s="20">
        <f>(VLOOKUP(B115,Data!$A:$AX,MATCH($M$1,Data!$A$1:$AX$1,),)-VLOOKUP(EDATE(B115,-12),Data!$A:$AX,MATCH($M$1,Data!$A$1:$AX$1,),))/VLOOKUP(EDATE(B115,-12),Data!$A:$AX,MATCH($M$1,Data!$A$1:$AX$1,),)</f>
        <v/>
      </c>
      <c r="N115" s="20">
        <f>(VLOOKUP(B115,Data!$A:$AX,MATCH($N$1,Data!$A$1:$AX$1,),)-VLOOKUP(EDATE(B115,-12),Data!$A:$AX,MATCH($N$1,Data!$A$1:$AX$1,),))/VLOOKUP(EDATE(B115,-12),Data!$A:$AX,MATCH($N$1,Data!$A$1:$AX$1,),)</f>
        <v/>
      </c>
      <c r="O115" s="20">
        <f>(VLOOKUP(B115,Data!$A:$AX,MATCH($O$1,Data!$A$1:$AX$1,),)-VLOOKUP(EDATE(B115,-12),Data!$A:$AX,MATCH($O$1,Data!$A$1:$AX$1,),))/VLOOKUP(EDATE(B115,-12),Data!$A:$AX,MATCH($O$1,Data!$A$1:$AX$1,),)</f>
        <v/>
      </c>
      <c r="P115" s="20">
        <f>(VLOOKUP(B115,Data!$A:$AX,MATCH($P$1,Data!$A$1:$AX$1,),)-VLOOKUP(EDATE(B115,-12),Data!$A:$AX,MATCH($P$1,Data!$A$1:$AX$1,),))/VLOOKUP(EDATE(B115,-12),Data!$A:$AX,MATCH($P$1,Data!$A$1:$AX$1,),)</f>
        <v/>
      </c>
      <c r="Q115" s="20">
        <f>(VLOOKUP(B115,Data!$A:$AX,MATCH($Q$1,Data!$A$1:$AX$1,),)-VLOOKUP(EDATE(B115,-12),Data!$A:$AX,MATCH($Q$1,Data!$A$1:$AX$1,),))/VLOOKUP(EDATE(B115,-12),Data!$A:$AX,MATCH($Q$1,Data!$A$1:$AX$1,),)</f>
        <v/>
      </c>
      <c r="R115" s="20">
        <f>(VLOOKUP(B115,Data!$A:$AX,MATCH($R$1,Data!$A$1:$AX$1,),)-VLOOKUP(EDATE(B115,-12),Data!$A:$AX,MATCH($R$1,Data!$A$1:$AX$1,),))/VLOOKUP(EDATE(B115,-12),Data!$A:$AX,MATCH($R$1,Data!$A$1:$AX$1,),)</f>
        <v/>
      </c>
      <c r="S115" s="20">
        <f>(VLOOKUP(B115,Data!$A:$AX,MATCH($S$1,Data!$A$1:$AX$1,),)-VLOOKUP(EDATE(B115,-12),Data!$A:$AX,MATCH($S$1,Data!$A$1:$AX$1,),))/VLOOKUP(EDATE(B115,-12),Data!$A:$AX,MATCH($S$1,Data!$A$1:$AX$1,),)</f>
        <v/>
      </c>
      <c r="T115" s="20">
        <f>(VLOOKUP(B115,Data!$A:$AX,MATCH($T$1,Data!$A$1:$AX$1,),)-VLOOKUP(EDATE(B115,-12),Data!$A:$AX,MATCH($T$1,Data!$A$1:$AX$1,),))/VLOOKUP(EDATE(B115,-12),Data!$A:$AX,MATCH($T$1,Data!$A$1:$AX$1,),)</f>
        <v/>
      </c>
      <c r="U115" s="20">
        <f>(VLOOKUP(B115,Data!$A:$AX,MATCH($U$1,Data!$A$1:$AX$1,),)-VLOOKUP(EDATE(B115,-12),Data!$A:$AX,MATCH($U$1,Data!$A$1:$AX$1,),))/VLOOKUP(EDATE(B115,-12),Data!$A:$AX,MATCH($U$1,Data!$A$1:$AX$1,),)</f>
        <v/>
      </c>
      <c r="V115" s="20">
        <f>(VLOOKUP(B115,Data!$A:$AX,MATCH($V$1,Data!$A$1:$AX$1,),)-VLOOKUP(EDATE(B115,-12),Data!$A:$AX,MATCH($V$1,Data!$A$1:$AX$1,),))/VLOOKUP(EDATE(B115,-12),Data!$A:$AX,MATCH($V$1,Data!$A$1:$AX$1,),)</f>
        <v/>
      </c>
      <c r="W115" s="20">
        <f>(VLOOKUP(B115,Data!$A:$AX,MATCH($W$1,Data!$A$1:$AX$1,),)-VLOOKUP(EDATE(B115,-12),Data!$A:$AX,MATCH($W$1,Data!$A$1:$AX$1,),))/VLOOKUP(EDATE(B115,-12),Data!$A:$AX,MATCH($W$1,Data!$A$1:$AX$1,),)</f>
        <v/>
      </c>
      <c r="X115" s="20">
        <f>(VLOOKUP(B115,Data!$A:$AX,MATCH($X$1,Data!$A$1:$AX$1,),)-VLOOKUP(EDATE(B115,-12),Data!$A:$AX,MATCH($X$1,Data!$A$1:$AX$1,),))/VLOOKUP(EDATE(B115,-12),Data!$A:$AX,MATCH($X$1,Data!$A$1:$AX$1,),)</f>
        <v/>
      </c>
      <c r="Y115" s="20">
        <f>(VLOOKUP(B115,Data!$A:$AX,MATCH($Y$1,Data!$A$1:$AX$1,),)-VLOOKUP(EDATE(B115,-12),Data!$A:$AX,MATCH($Y$1,Data!$A$1:$AX$1,),))/VLOOKUP(EDATE(B115,-12),Data!$A:$AX,MATCH($Y$1,Data!$A$1:$AX$1,),)</f>
        <v/>
      </c>
    </row>
    <row r="116" customFormat="1" s="76">
      <c r="B116" s="15" t="n">
        <v>43739</v>
      </c>
      <c r="C116" s="20">
        <f>(VLOOKUP(B116,Data!$A:$AX,MATCH($C$1,Data!$A$1:$AX$1,),)-VLOOKUP(EDATE(B116,-12),Data!$A:$AX,MATCH($C$1,Data!$A$1:$AX$1,),))/VLOOKUP(EDATE(B116,-12),Data!$A:$AX,MATCH($C$1,Data!$A$1:$AX$1,),)</f>
        <v/>
      </c>
      <c r="D116" s="20">
        <f>(VLOOKUP(B116,Data!$A:$AX,MATCH($D$1,Data!$A$1:$AX$1,),)-VLOOKUP(EDATE(B116,-12),Data!$A:$AX,MATCH($D$1,Data!$A$1:$AX$1,),))/VLOOKUP(EDATE(B116,-12),Data!$A:$AX,MATCH($D$1,Data!$A$1:$AX$1,),)</f>
        <v/>
      </c>
      <c r="E116" s="20">
        <f>(VLOOKUP(B116,Data!$A:$AX,MATCH($E$1,Data!$A$1:$AX$1,),)-VLOOKUP(EDATE(B116,-12),Data!$A:$AX,MATCH($E$1,Data!$A$1:$AX$1,),))/VLOOKUP(EDATE(B116,-12),Data!$A:$AX,MATCH($E$1,Data!$A$1:$AX$1,),)</f>
        <v/>
      </c>
      <c r="F116" s="20">
        <f>(VLOOKUP(B116,Data!$A:$AX,MATCH($F$1,Data!$A$1:$AX$1,),)-VLOOKUP(EDATE(B116,-12),Data!$A:$AX,MATCH($F$1,Data!$A$1:$AX$1,),))/VLOOKUP(EDATE(B116,-12),Data!$A:$AX,MATCH($F$1,Data!$A$1:$AX$1,),)</f>
        <v/>
      </c>
      <c r="G116" s="20">
        <f>(VLOOKUP(B116,Data!$A:$AX,MATCH($G$1,Data!$A$1:$AX$1,),)-VLOOKUP(EDATE(B116,-12),Data!$A:$AX,MATCH($G$1,Data!$A$1:$AX$1,),))/VLOOKUP(EDATE(B116,-12),Data!$A:$AX,MATCH($G$1,Data!$A$1:$AX$1,),)</f>
        <v/>
      </c>
      <c r="H116" s="20">
        <f>(VLOOKUP(B116,Data!$A:$AX,MATCH($H$1,Data!$A$1:$AX$1,),)-VLOOKUP(EDATE(B116,-12),Data!$A:$AX,MATCH($H$1,Data!$A$1:$AX$1,),))/VLOOKUP(EDATE(B116,-12),Data!$A:$AX,MATCH($H$1,Data!$A$1:$AX$1,),)</f>
        <v/>
      </c>
      <c r="I116" s="20">
        <f>(VLOOKUP(B116,Data!$A:$AX,MATCH($I$1,Data!$A$1:$AX$1,),)-VLOOKUP(EDATE(B116,-12),Data!$A:$AX,MATCH($I$1,Data!$A$1:$AX$1,),))/VLOOKUP(EDATE(B116,-12),Data!$A:$AX,MATCH($I$1,Data!$A$1:$AX$1,),)</f>
        <v/>
      </c>
      <c r="J116" s="20">
        <f>(VLOOKUP(B116,Data!$A:$AX,MATCH($J$1,Data!$A$1:$AX$1,),)-VLOOKUP(EDATE(B116,-12),Data!$A:$AX,MATCH($J$1,Data!$A$1:$AX$1,),))/VLOOKUP(EDATE(B116,-12),Data!$A:$AX,MATCH($J$1,Data!$A$1:$AX$1,),)</f>
        <v/>
      </c>
      <c r="K116" s="20">
        <f>(VLOOKUP(B116,Data!$A:$AX,MATCH($K$1,Data!$A$1:$AX$1,),)-VLOOKUP(EDATE(B116,-12),Data!$A:$AX,MATCH($K$1,Data!$A$1:$AX$1,),))/VLOOKUP(EDATE(B116,-12),Data!$A:$AX,MATCH($K$1,Data!$A$1:$AX$1,),)</f>
        <v/>
      </c>
      <c r="L116" s="20">
        <f>(VLOOKUP(B116,Data!$A:$AX,MATCH($L$1,Data!$A$1:$AX$1,),)-VLOOKUP(EDATE(B116,-12),Data!$A:$AX,MATCH($L$1,Data!$A$1:$AX$1,),))/VLOOKUP(EDATE(B116,-12),Data!$A:$AX,MATCH($L$1,Data!$A$1:$AX$1,),)</f>
        <v/>
      </c>
      <c r="M116" s="20">
        <f>(VLOOKUP(B116,Data!$A:$AX,MATCH($M$1,Data!$A$1:$AX$1,),)-VLOOKUP(EDATE(B116,-12),Data!$A:$AX,MATCH($M$1,Data!$A$1:$AX$1,),))/VLOOKUP(EDATE(B116,-12),Data!$A:$AX,MATCH($M$1,Data!$A$1:$AX$1,),)</f>
        <v/>
      </c>
      <c r="N116" s="20">
        <f>(VLOOKUP(B116,Data!$A:$AX,MATCH($N$1,Data!$A$1:$AX$1,),)-VLOOKUP(EDATE(B116,-12),Data!$A:$AX,MATCH($N$1,Data!$A$1:$AX$1,),))/VLOOKUP(EDATE(B116,-12),Data!$A:$AX,MATCH($N$1,Data!$A$1:$AX$1,),)</f>
        <v/>
      </c>
      <c r="O116" s="20">
        <f>(VLOOKUP(B116,Data!$A:$AX,MATCH($O$1,Data!$A$1:$AX$1,),)-VLOOKUP(EDATE(B116,-12),Data!$A:$AX,MATCH($O$1,Data!$A$1:$AX$1,),))/VLOOKUP(EDATE(B116,-12),Data!$A:$AX,MATCH($O$1,Data!$A$1:$AX$1,),)</f>
        <v/>
      </c>
      <c r="P116" s="20">
        <f>(VLOOKUP(B116,Data!$A:$AX,MATCH($P$1,Data!$A$1:$AX$1,),)-VLOOKUP(EDATE(B116,-12),Data!$A:$AX,MATCH($P$1,Data!$A$1:$AX$1,),))/VLOOKUP(EDATE(B116,-12),Data!$A:$AX,MATCH($P$1,Data!$A$1:$AX$1,),)</f>
        <v/>
      </c>
      <c r="Q116" s="20">
        <f>(VLOOKUP(B116,Data!$A:$AX,MATCH($Q$1,Data!$A$1:$AX$1,),)-VLOOKUP(EDATE(B116,-12),Data!$A:$AX,MATCH($Q$1,Data!$A$1:$AX$1,),))/VLOOKUP(EDATE(B116,-12),Data!$A:$AX,MATCH($Q$1,Data!$A$1:$AX$1,),)</f>
        <v/>
      </c>
      <c r="R116" s="20">
        <f>(VLOOKUP(B116,Data!$A:$AX,MATCH($R$1,Data!$A$1:$AX$1,),)-VLOOKUP(EDATE(B116,-12),Data!$A:$AX,MATCH($R$1,Data!$A$1:$AX$1,),))/VLOOKUP(EDATE(B116,-12),Data!$A:$AX,MATCH($R$1,Data!$A$1:$AX$1,),)</f>
        <v/>
      </c>
      <c r="S116" s="20">
        <f>(VLOOKUP(B116,Data!$A:$AX,MATCH($S$1,Data!$A$1:$AX$1,),)-VLOOKUP(EDATE(B116,-12),Data!$A:$AX,MATCH($S$1,Data!$A$1:$AX$1,),))/VLOOKUP(EDATE(B116,-12),Data!$A:$AX,MATCH($S$1,Data!$A$1:$AX$1,),)</f>
        <v/>
      </c>
      <c r="T116" s="20">
        <f>(VLOOKUP(B116,Data!$A:$AX,MATCH($T$1,Data!$A$1:$AX$1,),)-VLOOKUP(EDATE(B116,-12),Data!$A:$AX,MATCH($T$1,Data!$A$1:$AX$1,),))/VLOOKUP(EDATE(B116,-12),Data!$A:$AX,MATCH($T$1,Data!$A$1:$AX$1,),)</f>
        <v/>
      </c>
      <c r="U116" s="20">
        <f>(VLOOKUP(B116,Data!$A:$AX,MATCH($U$1,Data!$A$1:$AX$1,),)-VLOOKUP(EDATE(B116,-12),Data!$A:$AX,MATCH($U$1,Data!$A$1:$AX$1,),))/VLOOKUP(EDATE(B116,-12),Data!$A:$AX,MATCH($U$1,Data!$A$1:$AX$1,),)</f>
        <v/>
      </c>
      <c r="V116" s="20">
        <f>(VLOOKUP(B116,Data!$A:$AX,MATCH($V$1,Data!$A$1:$AX$1,),)-VLOOKUP(EDATE(B116,-12),Data!$A:$AX,MATCH($V$1,Data!$A$1:$AX$1,),))/VLOOKUP(EDATE(B116,-12),Data!$A:$AX,MATCH($V$1,Data!$A$1:$AX$1,),)</f>
        <v/>
      </c>
      <c r="W116" s="20">
        <f>(VLOOKUP(B116,Data!$A:$AX,MATCH($W$1,Data!$A$1:$AX$1,),)-VLOOKUP(EDATE(B116,-12),Data!$A:$AX,MATCH($W$1,Data!$A$1:$AX$1,),))/VLOOKUP(EDATE(B116,-12),Data!$A:$AX,MATCH($W$1,Data!$A$1:$AX$1,),)</f>
        <v/>
      </c>
      <c r="X116" s="20">
        <f>(VLOOKUP(B116,Data!$A:$AX,MATCH($X$1,Data!$A$1:$AX$1,),)-VLOOKUP(EDATE(B116,-12),Data!$A:$AX,MATCH($X$1,Data!$A$1:$AX$1,),))/VLOOKUP(EDATE(B116,-12),Data!$A:$AX,MATCH($X$1,Data!$A$1:$AX$1,),)</f>
        <v/>
      </c>
      <c r="Y116" s="20">
        <f>(VLOOKUP(B116,Data!$A:$AX,MATCH($Y$1,Data!$A$1:$AX$1,),)-VLOOKUP(EDATE(B116,-12),Data!$A:$AX,MATCH($Y$1,Data!$A$1:$AX$1,),))/VLOOKUP(EDATE(B116,-12),Data!$A:$AX,MATCH($Y$1,Data!$A$1:$AX$1,),)</f>
        <v/>
      </c>
    </row>
    <row r="117" customFormat="1" s="76">
      <c r="B117" s="15" t="n">
        <v>43770</v>
      </c>
      <c r="C117" s="20">
        <f>(VLOOKUP(B117,Data!$A:$AX,MATCH($C$1,Data!$A$1:$AX$1,),)-VLOOKUP(EDATE(B117,-12),Data!$A:$AX,MATCH($C$1,Data!$A$1:$AX$1,),))/VLOOKUP(EDATE(B117,-12),Data!$A:$AX,MATCH($C$1,Data!$A$1:$AX$1,),)</f>
        <v/>
      </c>
      <c r="D117" s="20">
        <f>(VLOOKUP(B117,Data!$A:$AX,MATCH($D$1,Data!$A$1:$AX$1,),)-VLOOKUP(EDATE(B117,-12),Data!$A:$AX,MATCH($D$1,Data!$A$1:$AX$1,),))/VLOOKUP(EDATE(B117,-12),Data!$A:$AX,MATCH($D$1,Data!$A$1:$AX$1,),)</f>
        <v/>
      </c>
      <c r="E117" s="20">
        <f>(VLOOKUP(B117,Data!$A:$AX,MATCH($E$1,Data!$A$1:$AX$1,),)-VLOOKUP(EDATE(B117,-12),Data!$A:$AX,MATCH($E$1,Data!$A$1:$AX$1,),))/VLOOKUP(EDATE(B117,-12),Data!$A:$AX,MATCH($E$1,Data!$A$1:$AX$1,),)</f>
        <v/>
      </c>
      <c r="F117" s="20">
        <f>(VLOOKUP(B117,Data!$A:$AX,MATCH($F$1,Data!$A$1:$AX$1,),)-VLOOKUP(EDATE(B117,-12),Data!$A:$AX,MATCH($F$1,Data!$A$1:$AX$1,),))/VLOOKUP(EDATE(B117,-12),Data!$A:$AX,MATCH($F$1,Data!$A$1:$AX$1,),)</f>
        <v/>
      </c>
      <c r="G117" s="20">
        <f>(VLOOKUP(B117,Data!$A:$AX,MATCH($G$1,Data!$A$1:$AX$1,),)-VLOOKUP(EDATE(B117,-12),Data!$A:$AX,MATCH($G$1,Data!$A$1:$AX$1,),))/VLOOKUP(EDATE(B117,-12),Data!$A:$AX,MATCH($G$1,Data!$A$1:$AX$1,),)</f>
        <v/>
      </c>
      <c r="H117" s="20">
        <f>(VLOOKUP(B117,Data!$A:$AX,MATCH($H$1,Data!$A$1:$AX$1,),)-VLOOKUP(EDATE(B117,-12),Data!$A:$AX,MATCH($H$1,Data!$A$1:$AX$1,),))/VLOOKUP(EDATE(B117,-12),Data!$A:$AX,MATCH($H$1,Data!$A$1:$AX$1,),)</f>
        <v/>
      </c>
      <c r="I117" s="20">
        <f>(VLOOKUP(B117,Data!$A:$AX,MATCH($I$1,Data!$A$1:$AX$1,),)-VLOOKUP(EDATE(B117,-12),Data!$A:$AX,MATCH($I$1,Data!$A$1:$AX$1,),))/VLOOKUP(EDATE(B117,-12),Data!$A:$AX,MATCH($I$1,Data!$A$1:$AX$1,),)</f>
        <v/>
      </c>
      <c r="J117" s="20">
        <f>(VLOOKUP(B117,Data!$A:$AX,MATCH($J$1,Data!$A$1:$AX$1,),)-VLOOKUP(EDATE(B117,-12),Data!$A:$AX,MATCH($J$1,Data!$A$1:$AX$1,),))/VLOOKUP(EDATE(B117,-12),Data!$A:$AX,MATCH($J$1,Data!$A$1:$AX$1,),)</f>
        <v/>
      </c>
      <c r="K117" s="20">
        <f>(VLOOKUP(B117,Data!$A:$AX,MATCH($K$1,Data!$A$1:$AX$1,),)-VLOOKUP(EDATE(B117,-12),Data!$A:$AX,MATCH($K$1,Data!$A$1:$AX$1,),))/VLOOKUP(EDATE(B117,-12),Data!$A:$AX,MATCH($K$1,Data!$A$1:$AX$1,),)</f>
        <v/>
      </c>
      <c r="L117" s="20">
        <f>(VLOOKUP(B117,Data!$A:$AX,MATCH($L$1,Data!$A$1:$AX$1,),)-VLOOKUP(EDATE(B117,-12),Data!$A:$AX,MATCH($L$1,Data!$A$1:$AX$1,),))/VLOOKUP(EDATE(B117,-12),Data!$A:$AX,MATCH($L$1,Data!$A$1:$AX$1,),)</f>
        <v/>
      </c>
      <c r="M117" s="20">
        <f>(VLOOKUP(B117,Data!$A:$AX,MATCH($M$1,Data!$A$1:$AX$1,),)-VLOOKUP(EDATE(B117,-12),Data!$A:$AX,MATCH($M$1,Data!$A$1:$AX$1,),))/VLOOKUP(EDATE(B117,-12),Data!$A:$AX,MATCH($M$1,Data!$A$1:$AX$1,),)</f>
        <v/>
      </c>
      <c r="N117" s="20">
        <f>(VLOOKUP(B117,Data!$A:$AX,MATCH($N$1,Data!$A$1:$AX$1,),)-VLOOKUP(EDATE(B117,-12),Data!$A:$AX,MATCH($N$1,Data!$A$1:$AX$1,),))/VLOOKUP(EDATE(B117,-12),Data!$A:$AX,MATCH($N$1,Data!$A$1:$AX$1,),)</f>
        <v/>
      </c>
      <c r="O117" s="20">
        <f>(VLOOKUP(B117,Data!$A:$AX,MATCH($O$1,Data!$A$1:$AX$1,),)-VLOOKUP(EDATE(B117,-12),Data!$A:$AX,MATCH($O$1,Data!$A$1:$AX$1,),))/VLOOKUP(EDATE(B117,-12),Data!$A:$AX,MATCH($O$1,Data!$A$1:$AX$1,),)</f>
        <v/>
      </c>
      <c r="P117" s="20">
        <f>(VLOOKUP(B117,Data!$A:$AX,MATCH($P$1,Data!$A$1:$AX$1,),)-VLOOKUP(EDATE(B117,-12),Data!$A:$AX,MATCH($P$1,Data!$A$1:$AX$1,),))/VLOOKUP(EDATE(B117,-12),Data!$A:$AX,MATCH($P$1,Data!$A$1:$AX$1,),)</f>
        <v/>
      </c>
      <c r="Q117" s="20">
        <f>(VLOOKUP(B117,Data!$A:$AX,MATCH($Q$1,Data!$A$1:$AX$1,),)-VLOOKUP(EDATE(B117,-12),Data!$A:$AX,MATCH($Q$1,Data!$A$1:$AX$1,),))/VLOOKUP(EDATE(B117,-12),Data!$A:$AX,MATCH($Q$1,Data!$A$1:$AX$1,),)</f>
        <v/>
      </c>
      <c r="R117" s="20">
        <f>(VLOOKUP(B117,Data!$A:$AX,MATCH($R$1,Data!$A$1:$AX$1,),)-VLOOKUP(EDATE(B117,-12),Data!$A:$AX,MATCH($R$1,Data!$A$1:$AX$1,),))/VLOOKUP(EDATE(B117,-12),Data!$A:$AX,MATCH($R$1,Data!$A$1:$AX$1,),)</f>
        <v/>
      </c>
      <c r="S117" s="20">
        <f>(VLOOKUP(B117,Data!$A:$AX,MATCH($S$1,Data!$A$1:$AX$1,),)-VLOOKUP(EDATE(B117,-12),Data!$A:$AX,MATCH($S$1,Data!$A$1:$AX$1,),))/VLOOKUP(EDATE(B117,-12),Data!$A:$AX,MATCH($S$1,Data!$A$1:$AX$1,),)</f>
        <v/>
      </c>
      <c r="T117" s="20">
        <f>(VLOOKUP(B117,Data!$A:$AX,MATCH($T$1,Data!$A$1:$AX$1,),)-VLOOKUP(EDATE(B117,-12),Data!$A:$AX,MATCH($T$1,Data!$A$1:$AX$1,),))/VLOOKUP(EDATE(B117,-12),Data!$A:$AX,MATCH($T$1,Data!$A$1:$AX$1,),)</f>
        <v/>
      </c>
      <c r="U117" s="20">
        <f>(VLOOKUP(B117,Data!$A:$AX,MATCH($U$1,Data!$A$1:$AX$1,),)-VLOOKUP(EDATE(B117,-12),Data!$A:$AX,MATCH($U$1,Data!$A$1:$AX$1,),))/VLOOKUP(EDATE(B117,-12),Data!$A:$AX,MATCH($U$1,Data!$A$1:$AX$1,),)</f>
        <v/>
      </c>
      <c r="V117" s="20">
        <f>(VLOOKUP(B117,Data!$A:$AX,MATCH($V$1,Data!$A$1:$AX$1,),)-VLOOKUP(EDATE(B117,-12),Data!$A:$AX,MATCH($V$1,Data!$A$1:$AX$1,),))/VLOOKUP(EDATE(B117,-12),Data!$A:$AX,MATCH($V$1,Data!$A$1:$AX$1,),)</f>
        <v/>
      </c>
      <c r="W117" s="20">
        <f>(VLOOKUP(B117,Data!$A:$AX,MATCH($W$1,Data!$A$1:$AX$1,),)-VLOOKUP(EDATE(B117,-12),Data!$A:$AX,MATCH($W$1,Data!$A$1:$AX$1,),))/VLOOKUP(EDATE(B117,-12),Data!$A:$AX,MATCH($W$1,Data!$A$1:$AX$1,),)</f>
        <v/>
      </c>
      <c r="X117" s="20">
        <f>(VLOOKUP(B117,Data!$A:$AX,MATCH($X$1,Data!$A$1:$AX$1,),)-VLOOKUP(EDATE(B117,-12),Data!$A:$AX,MATCH($X$1,Data!$A$1:$AX$1,),))/VLOOKUP(EDATE(B117,-12),Data!$A:$AX,MATCH($X$1,Data!$A$1:$AX$1,),)</f>
        <v/>
      </c>
      <c r="Y117" s="20">
        <f>(VLOOKUP(B117,Data!$A:$AX,MATCH($Y$1,Data!$A$1:$AX$1,),)-VLOOKUP(EDATE(B117,-12),Data!$A:$AX,MATCH($Y$1,Data!$A$1:$AX$1,),))/VLOOKUP(EDATE(B117,-12),Data!$A:$AX,MATCH($Y$1,Data!$A$1:$AX$1,),)</f>
        <v/>
      </c>
    </row>
    <row r="118" customFormat="1" s="76">
      <c r="B118" s="15" t="n">
        <v>43800</v>
      </c>
      <c r="C118" s="20">
        <f>(VLOOKUP(B118,Data!$A:$AX,MATCH($C$1,Data!$A$1:$AX$1,),)-VLOOKUP(EDATE(B118,-12),Data!$A:$AX,MATCH($C$1,Data!$A$1:$AX$1,),))/VLOOKUP(EDATE(B118,-12),Data!$A:$AX,MATCH($C$1,Data!$A$1:$AX$1,),)</f>
        <v/>
      </c>
      <c r="D118" s="20">
        <f>(VLOOKUP(B118,Data!$A:$AX,MATCH($D$1,Data!$A$1:$AX$1,),)-VLOOKUP(EDATE(B118,-12),Data!$A:$AX,MATCH($D$1,Data!$A$1:$AX$1,),))/VLOOKUP(EDATE(B118,-12),Data!$A:$AX,MATCH($D$1,Data!$A$1:$AX$1,),)</f>
        <v/>
      </c>
      <c r="E118" s="20">
        <f>(VLOOKUP(B118,Data!$A:$AX,MATCH($E$1,Data!$A$1:$AX$1,),)-VLOOKUP(EDATE(B118,-12),Data!$A:$AX,MATCH($E$1,Data!$A$1:$AX$1,),))/VLOOKUP(EDATE(B118,-12),Data!$A:$AX,MATCH($E$1,Data!$A$1:$AX$1,),)</f>
        <v/>
      </c>
      <c r="F118" s="20">
        <f>(VLOOKUP(B118,Data!$A:$AX,MATCH($F$1,Data!$A$1:$AX$1,),)-VLOOKUP(EDATE(B118,-12),Data!$A:$AX,MATCH($F$1,Data!$A$1:$AX$1,),))/VLOOKUP(EDATE(B118,-12),Data!$A:$AX,MATCH($F$1,Data!$A$1:$AX$1,),)</f>
        <v/>
      </c>
      <c r="G118" s="20">
        <f>(VLOOKUP(B118,Data!$A:$AX,MATCH($G$1,Data!$A$1:$AX$1,),)-VLOOKUP(EDATE(B118,-12),Data!$A:$AX,MATCH($G$1,Data!$A$1:$AX$1,),))/VLOOKUP(EDATE(B118,-12),Data!$A:$AX,MATCH($G$1,Data!$A$1:$AX$1,),)</f>
        <v/>
      </c>
      <c r="H118" s="20">
        <f>(VLOOKUP(B118,Data!$A:$AX,MATCH($H$1,Data!$A$1:$AX$1,),)-VLOOKUP(EDATE(B118,-12),Data!$A:$AX,MATCH($H$1,Data!$A$1:$AX$1,),))/VLOOKUP(EDATE(B118,-12),Data!$A:$AX,MATCH($H$1,Data!$A$1:$AX$1,),)</f>
        <v/>
      </c>
      <c r="I118" s="20">
        <f>(VLOOKUP(B118,Data!$A:$AX,MATCH($I$1,Data!$A$1:$AX$1,),)-VLOOKUP(EDATE(B118,-12),Data!$A:$AX,MATCH($I$1,Data!$A$1:$AX$1,),))/VLOOKUP(EDATE(B118,-12),Data!$A:$AX,MATCH($I$1,Data!$A$1:$AX$1,),)</f>
        <v/>
      </c>
      <c r="J118" s="20">
        <f>(VLOOKUP(B118,Data!$A:$AX,MATCH($J$1,Data!$A$1:$AX$1,),)-VLOOKUP(EDATE(B118,-12),Data!$A:$AX,MATCH($J$1,Data!$A$1:$AX$1,),))/VLOOKUP(EDATE(B118,-12),Data!$A:$AX,MATCH($J$1,Data!$A$1:$AX$1,),)</f>
        <v/>
      </c>
      <c r="K118" s="20">
        <f>(VLOOKUP(B118,Data!$A:$AX,MATCH($K$1,Data!$A$1:$AX$1,),)-VLOOKUP(EDATE(B118,-12),Data!$A:$AX,MATCH($K$1,Data!$A$1:$AX$1,),))/VLOOKUP(EDATE(B118,-12),Data!$A:$AX,MATCH($K$1,Data!$A$1:$AX$1,),)</f>
        <v/>
      </c>
      <c r="L118" s="20">
        <f>(VLOOKUP(B118,Data!$A:$AX,MATCH($L$1,Data!$A$1:$AX$1,),)-VLOOKUP(EDATE(B118,-12),Data!$A:$AX,MATCH($L$1,Data!$A$1:$AX$1,),))/VLOOKUP(EDATE(B118,-12),Data!$A:$AX,MATCH($L$1,Data!$A$1:$AX$1,),)</f>
        <v/>
      </c>
      <c r="M118" s="20">
        <f>(VLOOKUP(B118,Data!$A:$AX,MATCH($M$1,Data!$A$1:$AX$1,),)-VLOOKUP(EDATE(B118,-12),Data!$A:$AX,MATCH($M$1,Data!$A$1:$AX$1,),))/VLOOKUP(EDATE(B118,-12),Data!$A:$AX,MATCH($M$1,Data!$A$1:$AX$1,),)</f>
        <v/>
      </c>
      <c r="N118" s="20">
        <f>(VLOOKUP(B118,Data!$A:$AX,MATCH($N$1,Data!$A$1:$AX$1,),)-VLOOKUP(EDATE(B118,-12),Data!$A:$AX,MATCH($N$1,Data!$A$1:$AX$1,),))/VLOOKUP(EDATE(B118,-12),Data!$A:$AX,MATCH($N$1,Data!$A$1:$AX$1,),)</f>
        <v/>
      </c>
      <c r="O118" s="20">
        <f>(VLOOKUP(B118,Data!$A:$AX,MATCH($O$1,Data!$A$1:$AX$1,),)-VLOOKUP(EDATE(B118,-12),Data!$A:$AX,MATCH($O$1,Data!$A$1:$AX$1,),))/VLOOKUP(EDATE(B118,-12),Data!$A:$AX,MATCH($O$1,Data!$A$1:$AX$1,),)</f>
        <v/>
      </c>
      <c r="P118" s="20">
        <f>(VLOOKUP(B118,Data!$A:$AX,MATCH($P$1,Data!$A$1:$AX$1,),)-VLOOKUP(EDATE(B118,-12),Data!$A:$AX,MATCH($P$1,Data!$A$1:$AX$1,),))/VLOOKUP(EDATE(B118,-12),Data!$A:$AX,MATCH($P$1,Data!$A$1:$AX$1,),)</f>
        <v/>
      </c>
      <c r="Q118" s="20">
        <f>(VLOOKUP(B118,Data!$A:$AX,MATCH($Q$1,Data!$A$1:$AX$1,),)-VLOOKUP(EDATE(B118,-12),Data!$A:$AX,MATCH($Q$1,Data!$A$1:$AX$1,),))/VLOOKUP(EDATE(B118,-12),Data!$A:$AX,MATCH($Q$1,Data!$A$1:$AX$1,),)</f>
        <v/>
      </c>
      <c r="R118" s="20">
        <f>(VLOOKUP(B118,Data!$A:$AX,MATCH($R$1,Data!$A$1:$AX$1,),)-VLOOKUP(EDATE(B118,-12),Data!$A:$AX,MATCH($R$1,Data!$A$1:$AX$1,),))/VLOOKUP(EDATE(B118,-12),Data!$A:$AX,MATCH($R$1,Data!$A$1:$AX$1,),)</f>
        <v/>
      </c>
      <c r="S118" s="20">
        <f>(VLOOKUP(B118,Data!$A:$AX,MATCH($S$1,Data!$A$1:$AX$1,),)-VLOOKUP(EDATE(B118,-12),Data!$A:$AX,MATCH($S$1,Data!$A$1:$AX$1,),))/VLOOKUP(EDATE(B118,-12),Data!$A:$AX,MATCH($S$1,Data!$A$1:$AX$1,),)</f>
        <v/>
      </c>
      <c r="T118" s="20">
        <f>(VLOOKUP(B118,Data!$A:$AX,MATCH($T$1,Data!$A$1:$AX$1,),)-VLOOKUP(EDATE(B118,-12),Data!$A:$AX,MATCH($T$1,Data!$A$1:$AX$1,),))/VLOOKUP(EDATE(B118,-12),Data!$A:$AX,MATCH($T$1,Data!$A$1:$AX$1,),)</f>
        <v/>
      </c>
      <c r="U118" s="20">
        <f>(VLOOKUP(B118,Data!$A:$AX,MATCH($U$1,Data!$A$1:$AX$1,),)-VLOOKUP(EDATE(B118,-12),Data!$A:$AX,MATCH($U$1,Data!$A$1:$AX$1,),))/VLOOKUP(EDATE(B118,-12),Data!$A:$AX,MATCH($U$1,Data!$A$1:$AX$1,),)</f>
        <v/>
      </c>
      <c r="V118" s="20">
        <f>(VLOOKUP(B118,Data!$A:$AX,MATCH($V$1,Data!$A$1:$AX$1,),)-VLOOKUP(EDATE(B118,-12),Data!$A:$AX,MATCH($V$1,Data!$A$1:$AX$1,),))/VLOOKUP(EDATE(B118,-12),Data!$A:$AX,MATCH($V$1,Data!$A$1:$AX$1,),)</f>
        <v/>
      </c>
      <c r="W118" s="20">
        <f>(VLOOKUP(B118,Data!$A:$AX,MATCH($W$1,Data!$A$1:$AX$1,),)-VLOOKUP(EDATE(B118,-12),Data!$A:$AX,MATCH($W$1,Data!$A$1:$AX$1,),))/VLOOKUP(EDATE(B118,-12),Data!$A:$AX,MATCH($W$1,Data!$A$1:$AX$1,),)</f>
        <v/>
      </c>
      <c r="X118" s="20">
        <f>(VLOOKUP(B118,Data!$A:$AX,MATCH($X$1,Data!$A$1:$AX$1,),)-VLOOKUP(EDATE(B118,-12),Data!$A:$AX,MATCH($X$1,Data!$A$1:$AX$1,),))/VLOOKUP(EDATE(B118,-12),Data!$A:$AX,MATCH($X$1,Data!$A$1:$AX$1,),)</f>
        <v/>
      </c>
      <c r="Y118" s="20">
        <f>(VLOOKUP(B118,Data!$A:$AX,MATCH($Y$1,Data!$A$1:$AX$1,),)-VLOOKUP(EDATE(B118,-12),Data!$A:$AX,MATCH($Y$1,Data!$A$1:$AX$1,),))/VLOOKUP(EDATE(B118,-12),Data!$A:$AX,MATCH($Y$1,Data!$A$1:$AX$1,),)</f>
        <v/>
      </c>
    </row>
    <row r="119" customFormat="1" s="76">
      <c r="B119" s="15" t="n">
        <v>43831</v>
      </c>
      <c r="C119" s="20">
        <f>(VLOOKUP(B119,Data!$A:$AX,MATCH($C$1,Data!$A$1:$AX$1,),)-VLOOKUP(EDATE(B119,-12),Data!$A:$AX,MATCH($C$1,Data!$A$1:$AX$1,),))/VLOOKUP(EDATE(B119,-12),Data!$A:$AX,MATCH($C$1,Data!$A$1:$AX$1,),)</f>
        <v/>
      </c>
      <c r="D119" s="20">
        <f>(VLOOKUP(B119,Data!$A:$AX,MATCH($D$1,Data!$A$1:$AX$1,),)-VLOOKUP(EDATE(B119,-12),Data!$A:$AX,MATCH($D$1,Data!$A$1:$AX$1,),))/VLOOKUP(EDATE(B119,-12),Data!$A:$AX,MATCH($D$1,Data!$A$1:$AX$1,),)</f>
        <v/>
      </c>
      <c r="E119" s="20">
        <f>(VLOOKUP(B119,Data!$A:$AX,MATCH($E$1,Data!$A$1:$AX$1,),)-VLOOKUP(EDATE(B119,-12),Data!$A:$AX,MATCH($E$1,Data!$A$1:$AX$1,),))/VLOOKUP(EDATE(B119,-12),Data!$A:$AX,MATCH($E$1,Data!$A$1:$AX$1,),)</f>
        <v/>
      </c>
      <c r="F119" s="20">
        <f>(VLOOKUP(B119,Data!$A:$AX,MATCH($F$1,Data!$A$1:$AX$1,),)-VLOOKUP(EDATE(B119,-12),Data!$A:$AX,MATCH($F$1,Data!$A$1:$AX$1,),))/VLOOKUP(EDATE(B119,-12),Data!$A:$AX,MATCH($F$1,Data!$A$1:$AX$1,),)</f>
        <v/>
      </c>
      <c r="G119" s="20">
        <f>(VLOOKUP(B119,Data!$A:$AX,MATCH($G$1,Data!$A$1:$AX$1,),)-VLOOKUP(EDATE(B119,-12),Data!$A:$AX,MATCH($G$1,Data!$A$1:$AX$1,),))/VLOOKUP(EDATE(B119,-12),Data!$A:$AX,MATCH($G$1,Data!$A$1:$AX$1,),)</f>
        <v/>
      </c>
      <c r="H119" s="20">
        <f>(VLOOKUP(B119,Data!$A:$AX,MATCH($H$1,Data!$A$1:$AX$1,),)-VLOOKUP(EDATE(B119,-12),Data!$A:$AX,MATCH($H$1,Data!$A$1:$AX$1,),))/VLOOKUP(EDATE(B119,-12),Data!$A:$AX,MATCH($H$1,Data!$A$1:$AX$1,),)</f>
        <v/>
      </c>
      <c r="I119" s="20">
        <f>(VLOOKUP(B119,Data!$A:$AX,MATCH($I$1,Data!$A$1:$AX$1,),)-VLOOKUP(EDATE(B119,-12),Data!$A:$AX,MATCH($I$1,Data!$A$1:$AX$1,),))/VLOOKUP(EDATE(B119,-12),Data!$A:$AX,MATCH($I$1,Data!$A$1:$AX$1,),)</f>
        <v/>
      </c>
      <c r="J119" s="20">
        <f>(VLOOKUP(B119,Data!$A:$AX,MATCH($J$1,Data!$A$1:$AX$1,),)-VLOOKUP(EDATE(B119,-12),Data!$A:$AX,MATCH($J$1,Data!$A$1:$AX$1,),))/VLOOKUP(EDATE(B119,-12),Data!$A:$AX,MATCH($J$1,Data!$A$1:$AX$1,),)</f>
        <v/>
      </c>
      <c r="K119" s="20">
        <f>(VLOOKUP(B119,Data!$A:$AX,MATCH($K$1,Data!$A$1:$AX$1,),)-VLOOKUP(EDATE(B119,-12),Data!$A:$AX,MATCH($K$1,Data!$A$1:$AX$1,),))/VLOOKUP(EDATE(B119,-12),Data!$A:$AX,MATCH($K$1,Data!$A$1:$AX$1,),)</f>
        <v/>
      </c>
      <c r="L119" s="20">
        <f>(VLOOKUP(B119,Data!$A:$AX,MATCH($L$1,Data!$A$1:$AX$1,),)-VLOOKUP(EDATE(B119,-12),Data!$A:$AX,MATCH($L$1,Data!$A$1:$AX$1,),))/VLOOKUP(EDATE(B119,-12),Data!$A:$AX,MATCH($L$1,Data!$A$1:$AX$1,),)</f>
        <v/>
      </c>
      <c r="M119" s="20">
        <f>(VLOOKUP(B119,Data!$A:$AX,MATCH($M$1,Data!$A$1:$AX$1,),)-VLOOKUP(EDATE(B119,-12),Data!$A:$AX,MATCH($M$1,Data!$A$1:$AX$1,),))/VLOOKUP(EDATE(B119,-12),Data!$A:$AX,MATCH($M$1,Data!$A$1:$AX$1,),)</f>
        <v/>
      </c>
      <c r="N119" s="20">
        <f>(VLOOKUP(B119,Data!$A:$AX,MATCH($N$1,Data!$A$1:$AX$1,),)-VLOOKUP(EDATE(B119,-12),Data!$A:$AX,MATCH($N$1,Data!$A$1:$AX$1,),))/VLOOKUP(EDATE(B119,-12),Data!$A:$AX,MATCH($N$1,Data!$A$1:$AX$1,),)</f>
        <v/>
      </c>
      <c r="O119" s="20">
        <f>(VLOOKUP(B119,Data!$A:$AX,MATCH($O$1,Data!$A$1:$AX$1,),)-VLOOKUP(EDATE(B119,-12),Data!$A:$AX,MATCH($O$1,Data!$A$1:$AX$1,),))/VLOOKUP(EDATE(B119,-12),Data!$A:$AX,MATCH($O$1,Data!$A$1:$AX$1,),)</f>
        <v/>
      </c>
      <c r="P119" s="20">
        <f>(VLOOKUP(B119,Data!$A:$AX,MATCH($P$1,Data!$A$1:$AX$1,),)-VLOOKUP(EDATE(B119,-12),Data!$A:$AX,MATCH($P$1,Data!$A$1:$AX$1,),))/VLOOKUP(EDATE(B119,-12),Data!$A:$AX,MATCH($P$1,Data!$A$1:$AX$1,),)</f>
        <v/>
      </c>
      <c r="Q119" s="20">
        <f>(VLOOKUP(B119,Data!$A:$AX,MATCH($Q$1,Data!$A$1:$AX$1,),)-VLOOKUP(EDATE(B119,-12),Data!$A:$AX,MATCH($Q$1,Data!$A$1:$AX$1,),))/VLOOKUP(EDATE(B119,-12),Data!$A:$AX,MATCH($Q$1,Data!$A$1:$AX$1,),)</f>
        <v/>
      </c>
      <c r="R119" s="20">
        <f>(VLOOKUP(B119,Data!$A:$AX,MATCH($R$1,Data!$A$1:$AX$1,),)-VLOOKUP(EDATE(B119,-12),Data!$A:$AX,MATCH($R$1,Data!$A$1:$AX$1,),))/VLOOKUP(EDATE(B119,-12),Data!$A:$AX,MATCH($R$1,Data!$A$1:$AX$1,),)</f>
        <v/>
      </c>
      <c r="S119" s="20">
        <f>(VLOOKUP(B119,Data!$A:$AX,MATCH($S$1,Data!$A$1:$AX$1,),)-VLOOKUP(EDATE(B119,-12),Data!$A:$AX,MATCH($S$1,Data!$A$1:$AX$1,),))/VLOOKUP(EDATE(B119,-12),Data!$A:$AX,MATCH($S$1,Data!$A$1:$AX$1,),)</f>
        <v/>
      </c>
      <c r="T119" s="20">
        <f>(VLOOKUP(B119,Data!$A:$AX,MATCH($T$1,Data!$A$1:$AX$1,),)-VLOOKUP(EDATE(B119,-12),Data!$A:$AX,MATCH($T$1,Data!$A$1:$AX$1,),))/VLOOKUP(EDATE(B119,-12),Data!$A:$AX,MATCH($T$1,Data!$A$1:$AX$1,),)</f>
        <v/>
      </c>
      <c r="U119" s="20">
        <f>(VLOOKUP(B119,Data!$A:$AX,MATCH($U$1,Data!$A$1:$AX$1,),)-VLOOKUP(EDATE(B119,-12),Data!$A:$AX,MATCH($U$1,Data!$A$1:$AX$1,),))/VLOOKUP(EDATE(B119,-12),Data!$A:$AX,MATCH($U$1,Data!$A$1:$AX$1,),)</f>
        <v/>
      </c>
      <c r="V119" s="20">
        <f>(VLOOKUP(B119,Data!$A:$AX,MATCH($V$1,Data!$A$1:$AX$1,),)-VLOOKUP(EDATE(B119,-12),Data!$A:$AX,MATCH($V$1,Data!$A$1:$AX$1,),))/VLOOKUP(EDATE(B119,-12),Data!$A:$AX,MATCH($V$1,Data!$A$1:$AX$1,),)</f>
        <v/>
      </c>
      <c r="W119" s="20">
        <f>(VLOOKUP(B119,Data!$A:$AX,MATCH($W$1,Data!$A$1:$AX$1,),)-VLOOKUP(EDATE(B119,-12),Data!$A:$AX,MATCH($W$1,Data!$A$1:$AX$1,),))/VLOOKUP(EDATE(B119,-12),Data!$A:$AX,MATCH($W$1,Data!$A$1:$AX$1,),)</f>
        <v/>
      </c>
      <c r="X119" s="20">
        <f>(VLOOKUP(B119,Data!$A:$AX,MATCH($X$1,Data!$A$1:$AX$1,),)-VLOOKUP(EDATE(B119,-12),Data!$A:$AX,MATCH($X$1,Data!$A$1:$AX$1,),))/VLOOKUP(EDATE(B119,-12),Data!$A:$AX,MATCH($X$1,Data!$A$1:$AX$1,),)</f>
        <v/>
      </c>
      <c r="Y119" s="20">
        <f>(VLOOKUP(B119,Data!$A:$AX,MATCH($Y$1,Data!$A$1:$AX$1,),)-VLOOKUP(EDATE(B119,-12),Data!$A:$AX,MATCH($Y$1,Data!$A$1:$AX$1,),))/VLOOKUP(EDATE(B119,-12),Data!$A:$AX,MATCH($Y$1,Data!$A$1:$AX$1,),)</f>
        <v/>
      </c>
    </row>
    <row r="120" customFormat="1" s="76">
      <c r="B120" s="15" t="n">
        <v>43862</v>
      </c>
      <c r="C120" s="20">
        <f>(VLOOKUP(B120,Data!$A:$AX,MATCH($C$1,Data!$A$1:$AX$1,),)-VLOOKUP(EDATE(B120,-12),Data!$A:$AX,MATCH($C$1,Data!$A$1:$AX$1,),))/VLOOKUP(EDATE(B120,-12),Data!$A:$AX,MATCH($C$1,Data!$A$1:$AX$1,),)</f>
        <v/>
      </c>
      <c r="D120" s="20">
        <f>(VLOOKUP(B120,Data!$A:$AX,MATCH($D$1,Data!$A$1:$AX$1,),)-VLOOKUP(EDATE(B120,-12),Data!$A:$AX,MATCH($D$1,Data!$A$1:$AX$1,),))/VLOOKUP(EDATE(B120,-12),Data!$A:$AX,MATCH($D$1,Data!$A$1:$AX$1,),)</f>
        <v/>
      </c>
      <c r="E120" s="20">
        <f>(VLOOKUP(B120,Data!$A:$AX,MATCH($E$1,Data!$A$1:$AX$1,),)-VLOOKUP(EDATE(B120,-12),Data!$A:$AX,MATCH($E$1,Data!$A$1:$AX$1,),))/VLOOKUP(EDATE(B120,-12),Data!$A:$AX,MATCH($E$1,Data!$A$1:$AX$1,),)</f>
        <v/>
      </c>
      <c r="F120" s="20">
        <f>(VLOOKUP(B120,Data!$A:$AX,MATCH($F$1,Data!$A$1:$AX$1,),)-VLOOKUP(EDATE(B120,-12),Data!$A:$AX,MATCH($F$1,Data!$A$1:$AX$1,),))/VLOOKUP(EDATE(B120,-12),Data!$A:$AX,MATCH($F$1,Data!$A$1:$AX$1,),)</f>
        <v/>
      </c>
      <c r="G120" s="20">
        <f>(VLOOKUP(B120,Data!$A:$AX,MATCH($G$1,Data!$A$1:$AX$1,),)-VLOOKUP(EDATE(B120,-12),Data!$A:$AX,MATCH($G$1,Data!$A$1:$AX$1,),))/VLOOKUP(EDATE(B120,-12),Data!$A:$AX,MATCH($G$1,Data!$A$1:$AX$1,),)</f>
        <v/>
      </c>
      <c r="H120" s="20">
        <f>(VLOOKUP(B120,Data!$A:$AX,MATCH($H$1,Data!$A$1:$AX$1,),)-VLOOKUP(EDATE(B120,-12),Data!$A:$AX,MATCH($H$1,Data!$A$1:$AX$1,),))/VLOOKUP(EDATE(B120,-12),Data!$A:$AX,MATCH($H$1,Data!$A$1:$AX$1,),)</f>
        <v/>
      </c>
      <c r="I120" s="20">
        <f>(VLOOKUP(B120,Data!$A:$AX,MATCH($I$1,Data!$A$1:$AX$1,),)-VLOOKUP(EDATE(B120,-12),Data!$A:$AX,MATCH($I$1,Data!$A$1:$AX$1,),))/VLOOKUP(EDATE(B120,-12),Data!$A:$AX,MATCH($I$1,Data!$A$1:$AX$1,),)</f>
        <v/>
      </c>
      <c r="J120" s="20">
        <f>(VLOOKUP(B120,Data!$A:$AX,MATCH($J$1,Data!$A$1:$AX$1,),)-VLOOKUP(EDATE(B120,-12),Data!$A:$AX,MATCH($J$1,Data!$A$1:$AX$1,),))/VLOOKUP(EDATE(B120,-12),Data!$A:$AX,MATCH($J$1,Data!$A$1:$AX$1,),)</f>
        <v/>
      </c>
      <c r="K120" s="20">
        <f>(VLOOKUP(B120,Data!$A:$AX,MATCH($K$1,Data!$A$1:$AX$1,),)-VLOOKUP(EDATE(B120,-12),Data!$A:$AX,MATCH($K$1,Data!$A$1:$AX$1,),))/VLOOKUP(EDATE(B120,-12),Data!$A:$AX,MATCH($K$1,Data!$A$1:$AX$1,),)</f>
        <v/>
      </c>
      <c r="L120" s="20">
        <f>(VLOOKUP(B120,Data!$A:$AX,MATCH($L$1,Data!$A$1:$AX$1,),)-VLOOKUP(EDATE(B120,-12),Data!$A:$AX,MATCH($L$1,Data!$A$1:$AX$1,),))/VLOOKUP(EDATE(B120,-12),Data!$A:$AX,MATCH($L$1,Data!$A$1:$AX$1,),)</f>
        <v/>
      </c>
      <c r="M120" s="20">
        <f>(VLOOKUP(B120,Data!$A:$AX,MATCH($M$1,Data!$A$1:$AX$1,),)-VLOOKUP(EDATE(B120,-12),Data!$A:$AX,MATCH($M$1,Data!$A$1:$AX$1,),))/VLOOKUP(EDATE(B120,-12),Data!$A:$AX,MATCH($M$1,Data!$A$1:$AX$1,),)</f>
        <v/>
      </c>
      <c r="N120" s="20">
        <f>(VLOOKUP(B120,Data!$A:$AX,MATCH($N$1,Data!$A$1:$AX$1,),)-VLOOKUP(EDATE(B120,-12),Data!$A:$AX,MATCH($N$1,Data!$A$1:$AX$1,),))/VLOOKUP(EDATE(B120,-12),Data!$A:$AX,MATCH($N$1,Data!$A$1:$AX$1,),)</f>
        <v/>
      </c>
      <c r="O120" s="20">
        <f>(VLOOKUP(B120,Data!$A:$AX,MATCH($O$1,Data!$A$1:$AX$1,),)-VLOOKUP(EDATE(B120,-12),Data!$A:$AX,MATCH($O$1,Data!$A$1:$AX$1,),))/VLOOKUP(EDATE(B120,-12),Data!$A:$AX,MATCH($O$1,Data!$A$1:$AX$1,),)</f>
        <v/>
      </c>
      <c r="P120" s="20">
        <f>(VLOOKUP(B120,Data!$A:$AX,MATCH($P$1,Data!$A$1:$AX$1,),)-VLOOKUP(EDATE(B120,-12),Data!$A:$AX,MATCH($P$1,Data!$A$1:$AX$1,),))/VLOOKUP(EDATE(B120,-12),Data!$A:$AX,MATCH($P$1,Data!$A$1:$AX$1,),)</f>
        <v/>
      </c>
      <c r="Q120" s="20">
        <f>(VLOOKUP(B120,Data!$A:$AX,MATCH($Q$1,Data!$A$1:$AX$1,),)-VLOOKUP(EDATE(B120,-12),Data!$A:$AX,MATCH($Q$1,Data!$A$1:$AX$1,),))/VLOOKUP(EDATE(B120,-12),Data!$A:$AX,MATCH($Q$1,Data!$A$1:$AX$1,),)</f>
        <v/>
      </c>
      <c r="R120" s="20">
        <f>(VLOOKUP(B120,Data!$A:$AX,MATCH($R$1,Data!$A$1:$AX$1,),)-VLOOKUP(EDATE(B120,-12),Data!$A:$AX,MATCH($R$1,Data!$A$1:$AX$1,),))/VLOOKUP(EDATE(B120,-12),Data!$A:$AX,MATCH($R$1,Data!$A$1:$AX$1,),)</f>
        <v/>
      </c>
      <c r="S120" s="20">
        <f>(VLOOKUP(B120,Data!$A:$AX,MATCH($S$1,Data!$A$1:$AX$1,),)-VLOOKUP(EDATE(B120,-12),Data!$A:$AX,MATCH($S$1,Data!$A$1:$AX$1,),))/VLOOKUP(EDATE(B120,-12),Data!$A:$AX,MATCH($S$1,Data!$A$1:$AX$1,),)</f>
        <v/>
      </c>
      <c r="T120" s="20">
        <f>(VLOOKUP(B120,Data!$A:$AX,MATCH($T$1,Data!$A$1:$AX$1,),)-VLOOKUP(EDATE(B120,-12),Data!$A:$AX,MATCH($T$1,Data!$A$1:$AX$1,),))/VLOOKUP(EDATE(B120,-12),Data!$A:$AX,MATCH($T$1,Data!$A$1:$AX$1,),)</f>
        <v/>
      </c>
      <c r="U120" s="20">
        <f>(VLOOKUP(B120,Data!$A:$AX,MATCH($U$1,Data!$A$1:$AX$1,),)-VLOOKUP(EDATE(B120,-12),Data!$A:$AX,MATCH($U$1,Data!$A$1:$AX$1,),))/VLOOKUP(EDATE(B120,-12),Data!$A:$AX,MATCH($U$1,Data!$A$1:$AX$1,),)</f>
        <v/>
      </c>
      <c r="V120" s="20">
        <f>(VLOOKUP(B120,Data!$A:$AX,MATCH($V$1,Data!$A$1:$AX$1,),)-VLOOKUP(EDATE(B120,-12),Data!$A:$AX,MATCH($V$1,Data!$A$1:$AX$1,),))/VLOOKUP(EDATE(B120,-12),Data!$A:$AX,MATCH($V$1,Data!$A$1:$AX$1,),)</f>
        <v/>
      </c>
      <c r="W120" s="20">
        <f>(VLOOKUP(B120,Data!$A:$AX,MATCH($W$1,Data!$A$1:$AX$1,),)-VLOOKUP(EDATE(B120,-12),Data!$A:$AX,MATCH($W$1,Data!$A$1:$AX$1,),))/VLOOKUP(EDATE(B120,-12),Data!$A:$AX,MATCH($W$1,Data!$A$1:$AX$1,),)</f>
        <v/>
      </c>
      <c r="X120" s="20">
        <f>(VLOOKUP(B120,Data!$A:$AX,MATCH($X$1,Data!$A$1:$AX$1,),)-VLOOKUP(EDATE(B120,-12),Data!$A:$AX,MATCH($X$1,Data!$A$1:$AX$1,),))/VLOOKUP(EDATE(B120,-12),Data!$A:$AX,MATCH($X$1,Data!$A$1:$AX$1,),)</f>
        <v/>
      </c>
      <c r="Y120" s="20">
        <f>(VLOOKUP(B120,Data!$A:$AX,MATCH($Y$1,Data!$A$1:$AX$1,),)-VLOOKUP(EDATE(B120,-12),Data!$A:$AX,MATCH($Y$1,Data!$A$1:$AX$1,),))/VLOOKUP(EDATE(B120,-12),Data!$A:$AX,MATCH($Y$1,Data!$A$1:$AX$1,),)</f>
        <v/>
      </c>
    </row>
    <row r="121" customFormat="1" s="76">
      <c r="B121" s="15" t="n">
        <v>43891</v>
      </c>
      <c r="C121" s="20">
        <f>(VLOOKUP(B121,Data!$A:$AX,MATCH($C$1,Data!$A$1:$AX$1,),)-VLOOKUP(EDATE(B121,-12),Data!$A:$AX,MATCH($C$1,Data!$A$1:$AX$1,),))/VLOOKUP(EDATE(B121,-12),Data!$A:$AX,MATCH($C$1,Data!$A$1:$AX$1,),)</f>
        <v/>
      </c>
      <c r="D121" s="20">
        <f>(VLOOKUP(B121,Data!$A:$AX,MATCH($D$1,Data!$A$1:$AX$1,),)-VLOOKUP(EDATE(B121,-12),Data!$A:$AX,MATCH($D$1,Data!$A$1:$AX$1,),))/VLOOKUP(EDATE(B121,-12),Data!$A:$AX,MATCH($D$1,Data!$A$1:$AX$1,),)</f>
        <v/>
      </c>
      <c r="E121" s="20">
        <f>(VLOOKUP(B121,Data!$A:$AX,MATCH($E$1,Data!$A$1:$AX$1,),)-VLOOKUP(EDATE(B121,-12),Data!$A:$AX,MATCH($E$1,Data!$A$1:$AX$1,),))/VLOOKUP(EDATE(B121,-12),Data!$A:$AX,MATCH($E$1,Data!$A$1:$AX$1,),)</f>
        <v/>
      </c>
      <c r="F121" s="20">
        <f>(VLOOKUP(B121,Data!$A:$AX,MATCH($F$1,Data!$A$1:$AX$1,),)-VLOOKUP(EDATE(B121,-12),Data!$A:$AX,MATCH($F$1,Data!$A$1:$AX$1,),))/VLOOKUP(EDATE(B121,-12),Data!$A:$AX,MATCH($F$1,Data!$A$1:$AX$1,),)</f>
        <v/>
      </c>
      <c r="G121" s="20">
        <f>(VLOOKUP(B121,Data!$A:$AX,MATCH($G$1,Data!$A$1:$AX$1,),)-VLOOKUP(EDATE(B121,-12),Data!$A:$AX,MATCH($G$1,Data!$A$1:$AX$1,),))/VLOOKUP(EDATE(B121,-12),Data!$A:$AX,MATCH($G$1,Data!$A$1:$AX$1,),)</f>
        <v/>
      </c>
      <c r="H121" s="20">
        <f>(VLOOKUP(B121,Data!$A:$AX,MATCH($H$1,Data!$A$1:$AX$1,),)-VLOOKUP(EDATE(B121,-12),Data!$A:$AX,MATCH($H$1,Data!$A$1:$AX$1,),))/VLOOKUP(EDATE(B121,-12),Data!$A:$AX,MATCH($H$1,Data!$A$1:$AX$1,),)</f>
        <v/>
      </c>
      <c r="I121" s="20">
        <f>(VLOOKUP(B121,Data!$A:$AX,MATCH($I$1,Data!$A$1:$AX$1,),)-VLOOKUP(EDATE(B121,-12),Data!$A:$AX,MATCH($I$1,Data!$A$1:$AX$1,),))/VLOOKUP(EDATE(B121,-12),Data!$A:$AX,MATCH($I$1,Data!$A$1:$AX$1,),)</f>
        <v/>
      </c>
      <c r="J121" s="20">
        <f>(VLOOKUP(B121,Data!$A:$AX,MATCH($J$1,Data!$A$1:$AX$1,),)-VLOOKUP(EDATE(B121,-12),Data!$A:$AX,MATCH($J$1,Data!$A$1:$AX$1,),))/VLOOKUP(EDATE(B121,-12),Data!$A:$AX,MATCH($J$1,Data!$A$1:$AX$1,),)</f>
        <v/>
      </c>
      <c r="K121" s="20">
        <f>(VLOOKUP(B121,Data!$A:$AX,MATCH($K$1,Data!$A$1:$AX$1,),)-VLOOKUP(EDATE(B121,-12),Data!$A:$AX,MATCH($K$1,Data!$A$1:$AX$1,),))/VLOOKUP(EDATE(B121,-12),Data!$A:$AX,MATCH($K$1,Data!$A$1:$AX$1,),)</f>
        <v/>
      </c>
      <c r="L121" s="20">
        <f>(VLOOKUP(B121,Data!$A:$AX,MATCH($L$1,Data!$A$1:$AX$1,),)-VLOOKUP(EDATE(B121,-12),Data!$A:$AX,MATCH($L$1,Data!$A$1:$AX$1,),))/VLOOKUP(EDATE(B121,-12),Data!$A:$AX,MATCH($L$1,Data!$A$1:$AX$1,),)</f>
        <v/>
      </c>
      <c r="M121" s="20">
        <f>(VLOOKUP(B121,Data!$A:$AX,MATCH($M$1,Data!$A$1:$AX$1,),)-VLOOKUP(EDATE(B121,-12),Data!$A:$AX,MATCH($M$1,Data!$A$1:$AX$1,),))/VLOOKUP(EDATE(B121,-12),Data!$A:$AX,MATCH($M$1,Data!$A$1:$AX$1,),)</f>
        <v/>
      </c>
      <c r="N121" s="20">
        <f>(VLOOKUP(B121,Data!$A:$AX,MATCH($N$1,Data!$A$1:$AX$1,),)-VLOOKUP(EDATE(B121,-12),Data!$A:$AX,MATCH($N$1,Data!$A$1:$AX$1,),))/VLOOKUP(EDATE(B121,-12),Data!$A:$AX,MATCH($N$1,Data!$A$1:$AX$1,),)</f>
        <v/>
      </c>
      <c r="O121" s="20">
        <f>(VLOOKUP(B121,Data!$A:$AX,MATCH($O$1,Data!$A$1:$AX$1,),)-VLOOKUP(EDATE(B121,-12),Data!$A:$AX,MATCH($O$1,Data!$A$1:$AX$1,),))/VLOOKUP(EDATE(B121,-12),Data!$A:$AX,MATCH($O$1,Data!$A$1:$AX$1,),)</f>
        <v/>
      </c>
      <c r="P121" s="20">
        <f>(VLOOKUP(B121,Data!$A:$AX,MATCH($P$1,Data!$A$1:$AX$1,),)-VLOOKUP(EDATE(B121,-12),Data!$A:$AX,MATCH($P$1,Data!$A$1:$AX$1,),))/VLOOKUP(EDATE(B121,-12),Data!$A:$AX,MATCH($P$1,Data!$A$1:$AX$1,),)</f>
        <v/>
      </c>
      <c r="Q121" s="20">
        <f>(VLOOKUP(B121,Data!$A:$AX,MATCH($Q$1,Data!$A$1:$AX$1,),)-VLOOKUP(EDATE(B121,-12),Data!$A:$AX,MATCH($Q$1,Data!$A$1:$AX$1,),))/VLOOKUP(EDATE(B121,-12),Data!$A:$AX,MATCH($Q$1,Data!$A$1:$AX$1,),)</f>
        <v/>
      </c>
      <c r="R121" s="20">
        <f>(VLOOKUP(B121,Data!$A:$AX,MATCH($R$1,Data!$A$1:$AX$1,),)-VLOOKUP(EDATE(B121,-12),Data!$A:$AX,MATCH($R$1,Data!$A$1:$AX$1,),))/VLOOKUP(EDATE(B121,-12),Data!$A:$AX,MATCH($R$1,Data!$A$1:$AX$1,),)</f>
        <v/>
      </c>
      <c r="S121" s="20">
        <f>(VLOOKUP(B121,Data!$A:$AX,MATCH($S$1,Data!$A$1:$AX$1,),)-VLOOKUP(EDATE(B121,-12),Data!$A:$AX,MATCH($S$1,Data!$A$1:$AX$1,),))/VLOOKUP(EDATE(B121,-12),Data!$A:$AX,MATCH($S$1,Data!$A$1:$AX$1,),)</f>
        <v/>
      </c>
      <c r="T121" s="20">
        <f>(VLOOKUP(B121,Data!$A:$AX,MATCH($T$1,Data!$A$1:$AX$1,),)-VLOOKUP(EDATE(B121,-12),Data!$A:$AX,MATCH($T$1,Data!$A$1:$AX$1,),))/VLOOKUP(EDATE(B121,-12),Data!$A:$AX,MATCH($T$1,Data!$A$1:$AX$1,),)</f>
        <v/>
      </c>
      <c r="U121" s="20">
        <f>(VLOOKUP(B121,Data!$A:$AX,MATCH($U$1,Data!$A$1:$AX$1,),)-VLOOKUP(EDATE(B121,-12),Data!$A:$AX,MATCH($U$1,Data!$A$1:$AX$1,),))/VLOOKUP(EDATE(B121,-12),Data!$A:$AX,MATCH($U$1,Data!$A$1:$AX$1,),)</f>
        <v/>
      </c>
      <c r="V121" s="20">
        <f>(VLOOKUP(B121,Data!$A:$AX,MATCH($V$1,Data!$A$1:$AX$1,),)-VLOOKUP(EDATE(B121,-12),Data!$A:$AX,MATCH($V$1,Data!$A$1:$AX$1,),))/VLOOKUP(EDATE(B121,-12),Data!$A:$AX,MATCH($V$1,Data!$A$1:$AX$1,),)</f>
        <v/>
      </c>
      <c r="W121" s="20">
        <f>(VLOOKUP(B121,Data!$A:$AX,MATCH($W$1,Data!$A$1:$AX$1,),)-VLOOKUP(EDATE(B121,-12),Data!$A:$AX,MATCH($W$1,Data!$A$1:$AX$1,),))/VLOOKUP(EDATE(B121,-12),Data!$A:$AX,MATCH($W$1,Data!$A$1:$AX$1,),)</f>
        <v/>
      </c>
      <c r="X121" s="20">
        <f>(VLOOKUP(B121,Data!$A:$AX,MATCH($X$1,Data!$A$1:$AX$1,),)-VLOOKUP(EDATE(B121,-12),Data!$A:$AX,MATCH($X$1,Data!$A$1:$AX$1,),))/VLOOKUP(EDATE(B121,-12),Data!$A:$AX,MATCH($X$1,Data!$A$1:$AX$1,),)</f>
        <v/>
      </c>
      <c r="Y121" s="20">
        <f>(VLOOKUP(B121,Data!$A:$AX,MATCH($Y$1,Data!$A$1:$AX$1,),)-VLOOKUP(EDATE(B121,-12),Data!$A:$AX,MATCH($Y$1,Data!$A$1:$AX$1,),))/VLOOKUP(EDATE(B121,-12),Data!$A:$AX,MATCH($Y$1,Data!$A$1:$AX$1,),)</f>
        <v/>
      </c>
    </row>
    <row r="122" customFormat="1" s="76">
      <c r="B122" s="15" t="n">
        <v>43922</v>
      </c>
      <c r="C122" s="20">
        <f>(VLOOKUP(B122,Data!$A:$AX,MATCH($C$1,Data!$A$1:$AX$1,),)-VLOOKUP(EDATE(B122,-12),Data!$A:$AX,MATCH($C$1,Data!$A$1:$AX$1,),))/VLOOKUP(EDATE(B122,-12),Data!$A:$AX,MATCH($C$1,Data!$A$1:$AX$1,),)</f>
        <v/>
      </c>
      <c r="D122" s="20">
        <f>(VLOOKUP(B122,Data!$A:$AX,MATCH($D$1,Data!$A$1:$AX$1,),)-VLOOKUP(EDATE(B122,-12),Data!$A:$AX,MATCH($D$1,Data!$A$1:$AX$1,),))/VLOOKUP(EDATE(B122,-12),Data!$A:$AX,MATCH($D$1,Data!$A$1:$AX$1,),)</f>
        <v/>
      </c>
      <c r="E122" s="20">
        <f>(VLOOKUP(B122,Data!$A:$AX,MATCH($E$1,Data!$A$1:$AX$1,),)-VLOOKUP(EDATE(B122,-12),Data!$A:$AX,MATCH($E$1,Data!$A$1:$AX$1,),))/VLOOKUP(EDATE(B122,-12),Data!$A:$AX,MATCH($E$1,Data!$A$1:$AX$1,),)</f>
        <v/>
      </c>
      <c r="F122" s="20">
        <f>(VLOOKUP(B122,Data!$A:$AX,MATCH($F$1,Data!$A$1:$AX$1,),)-VLOOKUP(EDATE(B122,-12),Data!$A:$AX,MATCH($F$1,Data!$A$1:$AX$1,),))/VLOOKUP(EDATE(B122,-12),Data!$A:$AX,MATCH($F$1,Data!$A$1:$AX$1,),)</f>
        <v/>
      </c>
      <c r="G122" s="20">
        <f>(VLOOKUP(B122,Data!$A:$AX,MATCH($G$1,Data!$A$1:$AX$1,),)-VLOOKUP(EDATE(B122,-12),Data!$A:$AX,MATCH($G$1,Data!$A$1:$AX$1,),))/VLOOKUP(EDATE(B122,-12),Data!$A:$AX,MATCH($G$1,Data!$A$1:$AX$1,),)</f>
        <v/>
      </c>
      <c r="H122" s="20">
        <f>(VLOOKUP(B122,Data!$A:$AX,MATCH($H$1,Data!$A$1:$AX$1,),)-VLOOKUP(EDATE(B122,-12),Data!$A:$AX,MATCH($H$1,Data!$A$1:$AX$1,),))/VLOOKUP(EDATE(B122,-12),Data!$A:$AX,MATCH($H$1,Data!$A$1:$AX$1,),)</f>
        <v/>
      </c>
      <c r="I122" s="20">
        <f>(VLOOKUP(B122,Data!$A:$AX,MATCH($I$1,Data!$A$1:$AX$1,),)-VLOOKUP(EDATE(B122,-12),Data!$A:$AX,MATCH($I$1,Data!$A$1:$AX$1,),))/VLOOKUP(EDATE(B122,-12),Data!$A:$AX,MATCH($I$1,Data!$A$1:$AX$1,),)</f>
        <v/>
      </c>
      <c r="J122" s="20">
        <f>(VLOOKUP(B122,Data!$A:$AX,MATCH($J$1,Data!$A$1:$AX$1,),)-VLOOKUP(EDATE(B122,-12),Data!$A:$AX,MATCH($J$1,Data!$A$1:$AX$1,),))/VLOOKUP(EDATE(B122,-12),Data!$A:$AX,MATCH($J$1,Data!$A$1:$AX$1,),)</f>
        <v/>
      </c>
      <c r="K122" s="20">
        <f>(VLOOKUP(B122,Data!$A:$AX,MATCH($K$1,Data!$A$1:$AX$1,),)-VLOOKUP(EDATE(B122,-12),Data!$A:$AX,MATCH($K$1,Data!$A$1:$AX$1,),))/VLOOKUP(EDATE(B122,-12),Data!$A:$AX,MATCH($K$1,Data!$A$1:$AX$1,),)</f>
        <v/>
      </c>
      <c r="L122" s="20">
        <f>(VLOOKUP(B122,Data!$A:$AX,MATCH($L$1,Data!$A$1:$AX$1,),)-VLOOKUP(EDATE(B122,-12),Data!$A:$AX,MATCH($L$1,Data!$A$1:$AX$1,),))/VLOOKUP(EDATE(B122,-12),Data!$A:$AX,MATCH($L$1,Data!$A$1:$AX$1,),)</f>
        <v/>
      </c>
      <c r="M122" s="20">
        <f>(VLOOKUP(B122,Data!$A:$AX,MATCH($M$1,Data!$A$1:$AX$1,),)-VLOOKUP(EDATE(B122,-12),Data!$A:$AX,MATCH($M$1,Data!$A$1:$AX$1,),))/VLOOKUP(EDATE(B122,-12),Data!$A:$AX,MATCH($M$1,Data!$A$1:$AX$1,),)</f>
        <v/>
      </c>
      <c r="N122" s="20">
        <f>(VLOOKUP(B122,Data!$A:$AX,MATCH($N$1,Data!$A$1:$AX$1,),)-VLOOKUP(EDATE(B122,-12),Data!$A:$AX,MATCH($N$1,Data!$A$1:$AX$1,),))/VLOOKUP(EDATE(B122,-12),Data!$A:$AX,MATCH($N$1,Data!$A$1:$AX$1,),)</f>
        <v/>
      </c>
      <c r="O122" s="20">
        <f>(VLOOKUP(B122,Data!$A:$AX,MATCH($O$1,Data!$A$1:$AX$1,),)-VLOOKUP(EDATE(B122,-12),Data!$A:$AX,MATCH($O$1,Data!$A$1:$AX$1,),))/VLOOKUP(EDATE(B122,-12),Data!$A:$AX,MATCH($O$1,Data!$A$1:$AX$1,),)</f>
        <v/>
      </c>
      <c r="P122" s="20">
        <f>(VLOOKUP(B122,Data!$A:$AX,MATCH($P$1,Data!$A$1:$AX$1,),)-VLOOKUP(EDATE(B122,-12),Data!$A:$AX,MATCH($P$1,Data!$A$1:$AX$1,),))/VLOOKUP(EDATE(B122,-12),Data!$A:$AX,MATCH($P$1,Data!$A$1:$AX$1,),)</f>
        <v/>
      </c>
      <c r="Q122" s="20">
        <f>(VLOOKUP(B122,Data!$A:$AX,MATCH($Q$1,Data!$A$1:$AX$1,),)-VLOOKUP(EDATE(B122,-12),Data!$A:$AX,MATCH($Q$1,Data!$A$1:$AX$1,),))/VLOOKUP(EDATE(B122,-12),Data!$A:$AX,MATCH($Q$1,Data!$A$1:$AX$1,),)</f>
        <v/>
      </c>
      <c r="R122" s="20">
        <f>(VLOOKUP(B122,Data!$A:$AX,MATCH($R$1,Data!$A$1:$AX$1,),)-VLOOKUP(EDATE(B122,-12),Data!$A:$AX,MATCH($R$1,Data!$A$1:$AX$1,),))/VLOOKUP(EDATE(B122,-12),Data!$A:$AX,MATCH($R$1,Data!$A$1:$AX$1,),)</f>
        <v/>
      </c>
      <c r="S122" s="20">
        <f>(VLOOKUP(B122,Data!$A:$AX,MATCH($S$1,Data!$A$1:$AX$1,),)-VLOOKUP(EDATE(B122,-12),Data!$A:$AX,MATCH($S$1,Data!$A$1:$AX$1,),))/VLOOKUP(EDATE(B122,-12),Data!$A:$AX,MATCH($S$1,Data!$A$1:$AX$1,),)</f>
        <v/>
      </c>
      <c r="T122" s="20">
        <f>(VLOOKUP(B122,Data!$A:$AX,MATCH($T$1,Data!$A$1:$AX$1,),)-VLOOKUP(EDATE(B122,-12),Data!$A:$AX,MATCH($T$1,Data!$A$1:$AX$1,),))/VLOOKUP(EDATE(B122,-12),Data!$A:$AX,MATCH($T$1,Data!$A$1:$AX$1,),)</f>
        <v/>
      </c>
      <c r="U122" s="20">
        <f>(VLOOKUP(B122,Data!$A:$AX,MATCH($U$1,Data!$A$1:$AX$1,),)-VLOOKUP(EDATE(B122,-12),Data!$A:$AX,MATCH($U$1,Data!$A$1:$AX$1,),))/VLOOKUP(EDATE(B122,-12),Data!$A:$AX,MATCH($U$1,Data!$A$1:$AX$1,),)</f>
        <v/>
      </c>
      <c r="V122" s="20">
        <f>(VLOOKUP(B122,Data!$A:$AX,MATCH($V$1,Data!$A$1:$AX$1,),)-VLOOKUP(EDATE(B122,-12),Data!$A:$AX,MATCH($V$1,Data!$A$1:$AX$1,),))/VLOOKUP(EDATE(B122,-12),Data!$A:$AX,MATCH($V$1,Data!$A$1:$AX$1,),)</f>
        <v/>
      </c>
      <c r="W122" s="20">
        <f>(VLOOKUP(B122,Data!$A:$AX,MATCH($W$1,Data!$A$1:$AX$1,),)-VLOOKUP(EDATE(B122,-12),Data!$A:$AX,MATCH($W$1,Data!$A$1:$AX$1,),))/VLOOKUP(EDATE(B122,-12),Data!$A:$AX,MATCH($W$1,Data!$A$1:$AX$1,),)</f>
        <v/>
      </c>
      <c r="X122" s="20">
        <f>(VLOOKUP(B122,Data!$A:$AX,MATCH($X$1,Data!$A$1:$AX$1,),)-VLOOKUP(EDATE(B122,-12),Data!$A:$AX,MATCH($X$1,Data!$A$1:$AX$1,),))/VLOOKUP(EDATE(B122,-12),Data!$A:$AX,MATCH($X$1,Data!$A$1:$AX$1,),)</f>
        <v/>
      </c>
      <c r="Y122" s="20">
        <f>(VLOOKUP(B122,Data!$A:$AX,MATCH($Y$1,Data!$A$1:$AX$1,),)-VLOOKUP(EDATE(B122,-12),Data!$A:$AX,MATCH($Y$1,Data!$A$1:$AX$1,),))/VLOOKUP(EDATE(B122,-12),Data!$A:$AX,MATCH($Y$1,Data!$A$1:$AX$1,),)</f>
        <v/>
      </c>
    </row>
    <row r="123" customFormat="1" s="76">
      <c r="B123" s="15" t="n">
        <v>43952</v>
      </c>
      <c r="C123" s="20">
        <f>(VLOOKUP(B123,Data!$A:$AX,MATCH($C$1,Data!$A$1:$AX$1,),)-VLOOKUP(EDATE(B123,-12),Data!$A:$AX,MATCH($C$1,Data!$A$1:$AX$1,),))/VLOOKUP(EDATE(B123,-12),Data!$A:$AX,MATCH($C$1,Data!$A$1:$AX$1,),)</f>
        <v/>
      </c>
      <c r="D123" s="20">
        <f>(VLOOKUP(B123,Data!$A:$AX,MATCH($D$1,Data!$A$1:$AX$1,),)-VLOOKUP(EDATE(B123,-12),Data!$A:$AX,MATCH($D$1,Data!$A$1:$AX$1,),))/VLOOKUP(EDATE(B123,-12),Data!$A:$AX,MATCH($D$1,Data!$A$1:$AX$1,),)</f>
        <v/>
      </c>
      <c r="E123" s="20">
        <f>(VLOOKUP(B123,Data!$A:$AX,MATCH($E$1,Data!$A$1:$AX$1,),)-VLOOKUP(EDATE(B123,-12),Data!$A:$AX,MATCH($E$1,Data!$A$1:$AX$1,),))/VLOOKUP(EDATE(B123,-12),Data!$A:$AX,MATCH($E$1,Data!$A$1:$AX$1,),)</f>
        <v/>
      </c>
      <c r="F123" s="20">
        <f>(VLOOKUP(B123,Data!$A:$AX,MATCH($F$1,Data!$A$1:$AX$1,),)-VLOOKUP(EDATE(B123,-12),Data!$A:$AX,MATCH($F$1,Data!$A$1:$AX$1,),))/VLOOKUP(EDATE(B123,-12),Data!$A:$AX,MATCH($F$1,Data!$A$1:$AX$1,),)</f>
        <v/>
      </c>
      <c r="G123" s="20">
        <f>(VLOOKUP(B123,Data!$A:$AX,MATCH($G$1,Data!$A$1:$AX$1,),)-VLOOKUP(EDATE(B123,-12),Data!$A:$AX,MATCH($G$1,Data!$A$1:$AX$1,),))/VLOOKUP(EDATE(B123,-12),Data!$A:$AX,MATCH($G$1,Data!$A$1:$AX$1,),)</f>
        <v/>
      </c>
      <c r="H123" s="20">
        <f>(VLOOKUP(B123,Data!$A:$AX,MATCH($H$1,Data!$A$1:$AX$1,),)-VLOOKUP(EDATE(B123,-12),Data!$A:$AX,MATCH($H$1,Data!$A$1:$AX$1,),))/VLOOKUP(EDATE(B123,-12),Data!$A:$AX,MATCH($H$1,Data!$A$1:$AX$1,),)</f>
        <v/>
      </c>
      <c r="I123" s="20">
        <f>(VLOOKUP(B123,Data!$A:$AX,MATCH($I$1,Data!$A$1:$AX$1,),)-VLOOKUP(EDATE(B123,-12),Data!$A:$AX,MATCH($I$1,Data!$A$1:$AX$1,),))/VLOOKUP(EDATE(B123,-12),Data!$A:$AX,MATCH($I$1,Data!$A$1:$AX$1,),)</f>
        <v/>
      </c>
      <c r="J123" s="20">
        <f>(VLOOKUP(B123,Data!$A:$AX,MATCH($J$1,Data!$A$1:$AX$1,),)-VLOOKUP(EDATE(B123,-12),Data!$A:$AX,MATCH($J$1,Data!$A$1:$AX$1,),))/VLOOKUP(EDATE(B123,-12),Data!$A:$AX,MATCH($J$1,Data!$A$1:$AX$1,),)</f>
        <v/>
      </c>
      <c r="K123" s="20">
        <f>(VLOOKUP(B123,Data!$A:$AX,MATCH($K$1,Data!$A$1:$AX$1,),)-VLOOKUP(EDATE(B123,-12),Data!$A:$AX,MATCH($K$1,Data!$A$1:$AX$1,),))/VLOOKUP(EDATE(B123,-12),Data!$A:$AX,MATCH($K$1,Data!$A$1:$AX$1,),)</f>
        <v/>
      </c>
      <c r="L123" s="20">
        <f>(VLOOKUP(B123,Data!$A:$AX,MATCH($L$1,Data!$A$1:$AX$1,),)-VLOOKUP(EDATE(B123,-12),Data!$A:$AX,MATCH($L$1,Data!$A$1:$AX$1,),))/VLOOKUP(EDATE(B123,-12),Data!$A:$AX,MATCH($L$1,Data!$A$1:$AX$1,),)</f>
        <v/>
      </c>
      <c r="M123" s="20">
        <f>(VLOOKUP(B123,Data!$A:$AX,MATCH($M$1,Data!$A$1:$AX$1,),)-VLOOKUP(EDATE(B123,-12),Data!$A:$AX,MATCH($M$1,Data!$A$1:$AX$1,),))/VLOOKUP(EDATE(B123,-12),Data!$A:$AX,MATCH($M$1,Data!$A$1:$AX$1,),)</f>
        <v/>
      </c>
      <c r="N123" s="20">
        <f>(VLOOKUP(B123,Data!$A:$AX,MATCH($N$1,Data!$A$1:$AX$1,),)-VLOOKUP(EDATE(B123,-12),Data!$A:$AX,MATCH($N$1,Data!$A$1:$AX$1,),))/VLOOKUP(EDATE(B123,-12),Data!$A:$AX,MATCH($N$1,Data!$A$1:$AX$1,),)</f>
        <v/>
      </c>
      <c r="O123" s="20">
        <f>(VLOOKUP(B123,Data!$A:$AX,MATCH($O$1,Data!$A$1:$AX$1,),)-VLOOKUP(EDATE(B123,-12),Data!$A:$AX,MATCH($O$1,Data!$A$1:$AX$1,),))/VLOOKUP(EDATE(B123,-12),Data!$A:$AX,MATCH($O$1,Data!$A$1:$AX$1,),)</f>
        <v/>
      </c>
      <c r="P123" s="20">
        <f>(VLOOKUP(B123,Data!$A:$AX,MATCH($P$1,Data!$A$1:$AX$1,),)-VLOOKUP(EDATE(B123,-12),Data!$A:$AX,MATCH($P$1,Data!$A$1:$AX$1,),))/VLOOKUP(EDATE(B123,-12),Data!$A:$AX,MATCH($P$1,Data!$A$1:$AX$1,),)</f>
        <v/>
      </c>
      <c r="Q123" s="20">
        <f>(VLOOKUP(B123,Data!$A:$AX,MATCH($Q$1,Data!$A$1:$AX$1,),)-VLOOKUP(EDATE(B123,-12),Data!$A:$AX,MATCH($Q$1,Data!$A$1:$AX$1,),))/VLOOKUP(EDATE(B123,-12),Data!$A:$AX,MATCH($Q$1,Data!$A$1:$AX$1,),)</f>
        <v/>
      </c>
      <c r="R123" s="20">
        <f>(VLOOKUP(B123,Data!$A:$AX,MATCH($R$1,Data!$A$1:$AX$1,),)-VLOOKUP(EDATE(B123,-12),Data!$A:$AX,MATCH($R$1,Data!$A$1:$AX$1,),))/VLOOKUP(EDATE(B123,-12),Data!$A:$AX,MATCH($R$1,Data!$A$1:$AX$1,),)</f>
        <v/>
      </c>
      <c r="S123" s="20">
        <f>(VLOOKUP(B123,Data!$A:$AX,MATCH($S$1,Data!$A$1:$AX$1,),)-VLOOKUP(EDATE(B123,-12),Data!$A:$AX,MATCH($S$1,Data!$A$1:$AX$1,),))/VLOOKUP(EDATE(B123,-12),Data!$A:$AX,MATCH($S$1,Data!$A$1:$AX$1,),)</f>
        <v/>
      </c>
      <c r="T123" s="20">
        <f>(VLOOKUP(B123,Data!$A:$AX,MATCH($T$1,Data!$A$1:$AX$1,),)-VLOOKUP(EDATE(B123,-12),Data!$A:$AX,MATCH($T$1,Data!$A$1:$AX$1,),))/VLOOKUP(EDATE(B123,-12),Data!$A:$AX,MATCH($T$1,Data!$A$1:$AX$1,),)</f>
        <v/>
      </c>
      <c r="U123" s="20">
        <f>(VLOOKUP(B123,Data!$A:$AX,MATCH($U$1,Data!$A$1:$AX$1,),)-VLOOKUP(EDATE(B123,-12),Data!$A:$AX,MATCH($U$1,Data!$A$1:$AX$1,),))/VLOOKUP(EDATE(B123,-12),Data!$A:$AX,MATCH($U$1,Data!$A$1:$AX$1,),)</f>
        <v/>
      </c>
      <c r="V123" s="20">
        <f>(VLOOKUP(B123,Data!$A:$AX,MATCH($V$1,Data!$A$1:$AX$1,),)-VLOOKUP(EDATE(B123,-12),Data!$A:$AX,MATCH($V$1,Data!$A$1:$AX$1,),))/VLOOKUP(EDATE(B123,-12),Data!$A:$AX,MATCH($V$1,Data!$A$1:$AX$1,),)</f>
        <v/>
      </c>
      <c r="W123" s="20">
        <f>(VLOOKUP(B123,Data!$A:$AX,MATCH($W$1,Data!$A$1:$AX$1,),)-VLOOKUP(EDATE(B123,-12),Data!$A:$AX,MATCH($W$1,Data!$A$1:$AX$1,),))/VLOOKUP(EDATE(B123,-12),Data!$A:$AX,MATCH($W$1,Data!$A$1:$AX$1,),)</f>
        <v/>
      </c>
      <c r="X123" s="20">
        <f>(VLOOKUP(B123,Data!$A:$AX,MATCH($X$1,Data!$A$1:$AX$1,),)-VLOOKUP(EDATE(B123,-12),Data!$A:$AX,MATCH($X$1,Data!$A$1:$AX$1,),))/VLOOKUP(EDATE(B123,-12),Data!$A:$AX,MATCH($X$1,Data!$A$1:$AX$1,),)</f>
        <v/>
      </c>
      <c r="Y123" s="20">
        <f>(VLOOKUP(B123,Data!$A:$AX,MATCH($Y$1,Data!$A$1:$AX$1,),)-VLOOKUP(EDATE(B123,-12),Data!$A:$AX,MATCH($Y$1,Data!$A$1:$AX$1,),))/VLOOKUP(EDATE(B123,-12),Data!$A:$AX,MATCH($Y$1,Data!$A$1:$AX$1,),)</f>
        <v/>
      </c>
    </row>
    <row r="124" customFormat="1" s="76">
      <c r="B124" s="15" t="n">
        <v>43983</v>
      </c>
      <c r="C124" s="20">
        <f>(VLOOKUP(B124,Data!$A:$AX,MATCH($C$1,Data!$A$1:$AX$1,),)-VLOOKUP(EDATE(B124,-12),Data!$A:$AX,MATCH($C$1,Data!$A$1:$AX$1,),))/VLOOKUP(EDATE(B124,-12),Data!$A:$AX,MATCH($C$1,Data!$A$1:$AX$1,),)</f>
        <v/>
      </c>
      <c r="D124" s="20">
        <f>(VLOOKUP(B124,Data!$A:$AX,MATCH($D$1,Data!$A$1:$AX$1,),)-VLOOKUP(EDATE(B124,-12),Data!$A:$AX,MATCH($D$1,Data!$A$1:$AX$1,),))/VLOOKUP(EDATE(B124,-12),Data!$A:$AX,MATCH($D$1,Data!$A$1:$AX$1,),)</f>
        <v/>
      </c>
      <c r="E124" s="20">
        <f>(VLOOKUP(B124,Data!$A:$AX,MATCH($E$1,Data!$A$1:$AX$1,),)-VLOOKUP(EDATE(B124,-12),Data!$A:$AX,MATCH($E$1,Data!$A$1:$AX$1,),))/VLOOKUP(EDATE(B124,-12),Data!$A:$AX,MATCH($E$1,Data!$A$1:$AX$1,),)</f>
        <v/>
      </c>
      <c r="F124" s="20">
        <f>(VLOOKUP(B124,Data!$A:$AX,MATCH($F$1,Data!$A$1:$AX$1,),)-VLOOKUP(EDATE(B124,-12),Data!$A:$AX,MATCH($F$1,Data!$A$1:$AX$1,),))/VLOOKUP(EDATE(B124,-12),Data!$A:$AX,MATCH($F$1,Data!$A$1:$AX$1,),)</f>
        <v/>
      </c>
      <c r="G124" s="20">
        <f>(VLOOKUP(B124,Data!$A:$AX,MATCH($G$1,Data!$A$1:$AX$1,),)-VLOOKUP(EDATE(B124,-12),Data!$A:$AX,MATCH($G$1,Data!$A$1:$AX$1,),))/VLOOKUP(EDATE(B124,-12),Data!$A:$AX,MATCH($G$1,Data!$A$1:$AX$1,),)</f>
        <v/>
      </c>
      <c r="H124" s="20">
        <f>(VLOOKUP(B124,Data!$A:$AX,MATCH($H$1,Data!$A$1:$AX$1,),)-VLOOKUP(EDATE(B124,-12),Data!$A:$AX,MATCH($H$1,Data!$A$1:$AX$1,),))/VLOOKUP(EDATE(B124,-12),Data!$A:$AX,MATCH($H$1,Data!$A$1:$AX$1,),)</f>
        <v/>
      </c>
      <c r="I124" s="20">
        <f>(VLOOKUP(B124,Data!$A:$AX,MATCH($I$1,Data!$A$1:$AX$1,),)-VLOOKUP(EDATE(B124,-12),Data!$A:$AX,MATCH($I$1,Data!$A$1:$AX$1,),))/VLOOKUP(EDATE(B124,-12),Data!$A:$AX,MATCH($I$1,Data!$A$1:$AX$1,),)</f>
        <v/>
      </c>
      <c r="J124" s="20">
        <f>(VLOOKUP(B124,Data!$A:$AX,MATCH($J$1,Data!$A$1:$AX$1,),)-VLOOKUP(EDATE(B124,-12),Data!$A:$AX,MATCH($J$1,Data!$A$1:$AX$1,),))/VLOOKUP(EDATE(B124,-12),Data!$A:$AX,MATCH($J$1,Data!$A$1:$AX$1,),)</f>
        <v/>
      </c>
      <c r="K124" s="20">
        <f>(VLOOKUP(B124,Data!$A:$AX,MATCH($K$1,Data!$A$1:$AX$1,),)-VLOOKUP(EDATE(B124,-12),Data!$A:$AX,MATCH($K$1,Data!$A$1:$AX$1,),))/VLOOKUP(EDATE(B124,-12),Data!$A:$AX,MATCH($K$1,Data!$A$1:$AX$1,),)</f>
        <v/>
      </c>
      <c r="L124" s="20">
        <f>(VLOOKUP(B124,Data!$A:$AX,MATCH($L$1,Data!$A$1:$AX$1,),)-VLOOKUP(EDATE(B124,-12),Data!$A:$AX,MATCH($L$1,Data!$A$1:$AX$1,),))/VLOOKUP(EDATE(B124,-12),Data!$A:$AX,MATCH($L$1,Data!$A$1:$AX$1,),)</f>
        <v/>
      </c>
      <c r="M124" s="20">
        <f>(VLOOKUP(B124,Data!$A:$AX,MATCH($M$1,Data!$A$1:$AX$1,),)-VLOOKUP(EDATE(B124,-12),Data!$A:$AX,MATCH($M$1,Data!$A$1:$AX$1,),))/VLOOKUP(EDATE(B124,-12),Data!$A:$AX,MATCH($M$1,Data!$A$1:$AX$1,),)</f>
        <v/>
      </c>
      <c r="N124" s="20">
        <f>(VLOOKUP(B124,Data!$A:$AX,MATCH($N$1,Data!$A$1:$AX$1,),)-VLOOKUP(EDATE(B124,-12),Data!$A:$AX,MATCH($N$1,Data!$A$1:$AX$1,),))/VLOOKUP(EDATE(B124,-12),Data!$A:$AX,MATCH($N$1,Data!$A$1:$AX$1,),)</f>
        <v/>
      </c>
      <c r="O124" s="20">
        <f>(VLOOKUP(B124,Data!$A:$AX,MATCH($O$1,Data!$A$1:$AX$1,),)-VLOOKUP(EDATE(B124,-12),Data!$A:$AX,MATCH($O$1,Data!$A$1:$AX$1,),))/VLOOKUP(EDATE(B124,-12),Data!$A:$AX,MATCH($O$1,Data!$A$1:$AX$1,),)</f>
        <v/>
      </c>
      <c r="P124" s="20">
        <f>(VLOOKUP(B124,Data!$A:$AX,MATCH($P$1,Data!$A$1:$AX$1,),)-VLOOKUP(EDATE(B124,-12),Data!$A:$AX,MATCH($P$1,Data!$A$1:$AX$1,),))/VLOOKUP(EDATE(B124,-12),Data!$A:$AX,MATCH($P$1,Data!$A$1:$AX$1,),)</f>
        <v/>
      </c>
      <c r="Q124" s="20">
        <f>(VLOOKUP(B124,Data!$A:$AX,MATCH($Q$1,Data!$A$1:$AX$1,),)-VLOOKUP(EDATE(B124,-12),Data!$A:$AX,MATCH($Q$1,Data!$A$1:$AX$1,),))/VLOOKUP(EDATE(B124,-12),Data!$A:$AX,MATCH($Q$1,Data!$A$1:$AX$1,),)</f>
        <v/>
      </c>
      <c r="R124" s="20">
        <f>(VLOOKUP(B124,Data!$A:$AX,MATCH($R$1,Data!$A$1:$AX$1,),)-VLOOKUP(EDATE(B124,-12),Data!$A:$AX,MATCH($R$1,Data!$A$1:$AX$1,),))/VLOOKUP(EDATE(B124,-12),Data!$A:$AX,MATCH($R$1,Data!$A$1:$AX$1,),)</f>
        <v/>
      </c>
      <c r="S124" s="20">
        <f>(VLOOKUP(B124,Data!$A:$AX,MATCH($S$1,Data!$A$1:$AX$1,),)-VLOOKUP(EDATE(B124,-12),Data!$A:$AX,MATCH($S$1,Data!$A$1:$AX$1,),))/VLOOKUP(EDATE(B124,-12),Data!$A:$AX,MATCH($S$1,Data!$A$1:$AX$1,),)</f>
        <v/>
      </c>
      <c r="T124" s="20">
        <f>(VLOOKUP(B124,Data!$A:$AX,MATCH($T$1,Data!$A$1:$AX$1,),)-VLOOKUP(EDATE(B124,-12),Data!$A:$AX,MATCH($T$1,Data!$A$1:$AX$1,),))/VLOOKUP(EDATE(B124,-12),Data!$A:$AX,MATCH($T$1,Data!$A$1:$AX$1,),)</f>
        <v/>
      </c>
      <c r="U124" s="20">
        <f>(VLOOKUP(B124,Data!$A:$AX,MATCH($U$1,Data!$A$1:$AX$1,),)-VLOOKUP(EDATE(B124,-12),Data!$A:$AX,MATCH($U$1,Data!$A$1:$AX$1,),))/VLOOKUP(EDATE(B124,-12),Data!$A:$AX,MATCH($U$1,Data!$A$1:$AX$1,),)</f>
        <v/>
      </c>
      <c r="V124" s="20">
        <f>(VLOOKUP(B124,Data!$A:$AX,MATCH($V$1,Data!$A$1:$AX$1,),)-VLOOKUP(EDATE(B124,-12),Data!$A:$AX,MATCH($V$1,Data!$A$1:$AX$1,),))/VLOOKUP(EDATE(B124,-12),Data!$A:$AX,MATCH($V$1,Data!$A$1:$AX$1,),)</f>
        <v/>
      </c>
      <c r="W124" s="20">
        <f>(VLOOKUP(B124,Data!$A:$AX,MATCH($W$1,Data!$A$1:$AX$1,),)-VLOOKUP(EDATE(B124,-12),Data!$A:$AX,MATCH($W$1,Data!$A$1:$AX$1,),))/VLOOKUP(EDATE(B124,-12),Data!$A:$AX,MATCH($W$1,Data!$A$1:$AX$1,),)</f>
        <v/>
      </c>
      <c r="X124" s="20">
        <f>(VLOOKUP(B124,Data!$A:$AX,MATCH($X$1,Data!$A$1:$AX$1,),)-VLOOKUP(EDATE(B124,-12),Data!$A:$AX,MATCH($X$1,Data!$A$1:$AX$1,),))/VLOOKUP(EDATE(B124,-12),Data!$A:$AX,MATCH($X$1,Data!$A$1:$AX$1,),)</f>
        <v/>
      </c>
      <c r="Y124" s="20">
        <f>(VLOOKUP(B124,Data!$A:$AX,MATCH($Y$1,Data!$A$1:$AX$1,),)-VLOOKUP(EDATE(B124,-12),Data!$A:$AX,MATCH($Y$1,Data!$A$1:$AX$1,),))/VLOOKUP(EDATE(B124,-12),Data!$A:$AX,MATCH($Y$1,Data!$A$1:$AX$1,),)</f>
        <v/>
      </c>
    </row>
    <row r="125" customFormat="1" s="76">
      <c r="B125" s="15" t="n">
        <v>44013</v>
      </c>
      <c r="C125" s="20">
        <f>(VLOOKUP(B125,Data!$A:$AX,MATCH($C$1,Data!$A$1:$AX$1,),)-VLOOKUP(EDATE(B125,-12),Data!$A:$AX,MATCH($C$1,Data!$A$1:$AX$1,),))/VLOOKUP(EDATE(B125,-12),Data!$A:$AX,MATCH($C$1,Data!$A$1:$AX$1,),)</f>
        <v/>
      </c>
      <c r="D125" s="20">
        <f>(VLOOKUP(B125,Data!$A:$AX,MATCH($D$1,Data!$A$1:$AX$1,),)-VLOOKUP(EDATE(B125,-12),Data!$A:$AX,MATCH($D$1,Data!$A$1:$AX$1,),))/VLOOKUP(EDATE(B125,-12),Data!$A:$AX,MATCH($D$1,Data!$A$1:$AX$1,),)</f>
        <v/>
      </c>
      <c r="E125" s="20">
        <f>(VLOOKUP(B125,Data!$A:$AX,MATCH($E$1,Data!$A$1:$AX$1,),)-VLOOKUP(EDATE(B125,-12),Data!$A:$AX,MATCH($E$1,Data!$A$1:$AX$1,),))/VLOOKUP(EDATE(B125,-12),Data!$A:$AX,MATCH($E$1,Data!$A$1:$AX$1,),)</f>
        <v/>
      </c>
      <c r="F125" s="20">
        <f>(VLOOKUP(B125,Data!$A:$AX,MATCH($F$1,Data!$A$1:$AX$1,),)-VLOOKUP(EDATE(B125,-12),Data!$A:$AX,MATCH($F$1,Data!$A$1:$AX$1,),))/VLOOKUP(EDATE(B125,-12),Data!$A:$AX,MATCH($F$1,Data!$A$1:$AX$1,),)</f>
        <v/>
      </c>
      <c r="G125" s="20">
        <f>(VLOOKUP(B125,Data!$A:$AX,MATCH($G$1,Data!$A$1:$AX$1,),)-VLOOKUP(EDATE(B125,-12),Data!$A:$AX,MATCH($G$1,Data!$A$1:$AX$1,),))/VLOOKUP(EDATE(B125,-12),Data!$A:$AX,MATCH($G$1,Data!$A$1:$AX$1,),)</f>
        <v/>
      </c>
      <c r="H125" s="20">
        <f>(VLOOKUP(B125,Data!$A:$AX,MATCH($H$1,Data!$A$1:$AX$1,),)-VLOOKUP(EDATE(B125,-12),Data!$A:$AX,MATCH($H$1,Data!$A$1:$AX$1,),))/VLOOKUP(EDATE(B125,-12),Data!$A:$AX,MATCH($H$1,Data!$A$1:$AX$1,),)</f>
        <v/>
      </c>
      <c r="I125" s="20">
        <f>(VLOOKUP(B125,Data!$A:$AX,MATCH($I$1,Data!$A$1:$AX$1,),)-VLOOKUP(EDATE(B125,-12),Data!$A:$AX,MATCH($I$1,Data!$A$1:$AX$1,),))/VLOOKUP(EDATE(B125,-12),Data!$A:$AX,MATCH($I$1,Data!$A$1:$AX$1,),)</f>
        <v/>
      </c>
      <c r="J125" s="20">
        <f>(VLOOKUP(B125,Data!$A:$AX,MATCH($J$1,Data!$A$1:$AX$1,),)-VLOOKUP(EDATE(B125,-12),Data!$A:$AX,MATCH($J$1,Data!$A$1:$AX$1,),))/VLOOKUP(EDATE(B125,-12),Data!$A:$AX,MATCH($J$1,Data!$A$1:$AX$1,),)</f>
        <v/>
      </c>
      <c r="K125" s="20">
        <f>(VLOOKUP(B125,Data!$A:$AX,MATCH($K$1,Data!$A$1:$AX$1,),)-VLOOKUP(EDATE(B125,-12),Data!$A:$AX,MATCH($K$1,Data!$A$1:$AX$1,),))/VLOOKUP(EDATE(B125,-12),Data!$A:$AX,MATCH($K$1,Data!$A$1:$AX$1,),)</f>
        <v/>
      </c>
      <c r="L125" s="20">
        <f>(VLOOKUP(B125,Data!$A:$AX,MATCH($L$1,Data!$A$1:$AX$1,),)-VLOOKUP(EDATE(B125,-12),Data!$A:$AX,MATCH($L$1,Data!$A$1:$AX$1,),))/VLOOKUP(EDATE(B125,-12),Data!$A:$AX,MATCH($L$1,Data!$A$1:$AX$1,),)</f>
        <v/>
      </c>
      <c r="M125" s="20">
        <f>(VLOOKUP(B125,Data!$A:$AX,MATCH($M$1,Data!$A$1:$AX$1,),)-VLOOKUP(EDATE(B125,-12),Data!$A:$AX,MATCH($M$1,Data!$A$1:$AX$1,),))/VLOOKUP(EDATE(B125,-12),Data!$A:$AX,MATCH($M$1,Data!$A$1:$AX$1,),)</f>
        <v/>
      </c>
      <c r="N125" s="20">
        <f>(VLOOKUP(B125,Data!$A:$AX,MATCH($N$1,Data!$A$1:$AX$1,),)-VLOOKUP(EDATE(B125,-12),Data!$A:$AX,MATCH($N$1,Data!$A$1:$AX$1,),))/VLOOKUP(EDATE(B125,-12),Data!$A:$AX,MATCH($N$1,Data!$A$1:$AX$1,),)</f>
        <v/>
      </c>
      <c r="O125" s="20">
        <f>(VLOOKUP(B125,Data!$A:$AX,MATCH($O$1,Data!$A$1:$AX$1,),)-VLOOKUP(EDATE(B125,-12),Data!$A:$AX,MATCH($O$1,Data!$A$1:$AX$1,),))/VLOOKUP(EDATE(B125,-12),Data!$A:$AX,MATCH($O$1,Data!$A$1:$AX$1,),)</f>
        <v/>
      </c>
      <c r="P125" s="20">
        <f>(VLOOKUP(B125,Data!$A:$AX,MATCH($P$1,Data!$A$1:$AX$1,),)-VLOOKUP(EDATE(B125,-12),Data!$A:$AX,MATCH($P$1,Data!$A$1:$AX$1,),))/VLOOKUP(EDATE(B125,-12),Data!$A:$AX,MATCH($P$1,Data!$A$1:$AX$1,),)</f>
        <v/>
      </c>
      <c r="Q125" s="20">
        <f>(VLOOKUP(B125,Data!$A:$AX,MATCH($Q$1,Data!$A$1:$AX$1,),)-VLOOKUP(EDATE(B125,-12),Data!$A:$AX,MATCH($Q$1,Data!$A$1:$AX$1,),))/VLOOKUP(EDATE(B125,-12),Data!$A:$AX,MATCH($Q$1,Data!$A$1:$AX$1,),)</f>
        <v/>
      </c>
      <c r="R125" s="20">
        <f>(VLOOKUP(B125,Data!$A:$AX,MATCH($R$1,Data!$A$1:$AX$1,),)-VLOOKUP(EDATE(B125,-12),Data!$A:$AX,MATCH($R$1,Data!$A$1:$AX$1,),))/VLOOKUP(EDATE(B125,-12),Data!$A:$AX,MATCH($R$1,Data!$A$1:$AX$1,),)</f>
        <v/>
      </c>
      <c r="S125" s="20">
        <f>(VLOOKUP(B125,Data!$A:$AX,MATCH($S$1,Data!$A$1:$AX$1,),)-VLOOKUP(EDATE(B125,-12),Data!$A:$AX,MATCH($S$1,Data!$A$1:$AX$1,),))/VLOOKUP(EDATE(B125,-12),Data!$A:$AX,MATCH($S$1,Data!$A$1:$AX$1,),)</f>
        <v/>
      </c>
      <c r="T125" s="20">
        <f>(VLOOKUP(B125,Data!$A:$AX,MATCH($T$1,Data!$A$1:$AX$1,),)-VLOOKUP(EDATE(B125,-12),Data!$A:$AX,MATCH($T$1,Data!$A$1:$AX$1,),))/VLOOKUP(EDATE(B125,-12),Data!$A:$AX,MATCH($T$1,Data!$A$1:$AX$1,),)</f>
        <v/>
      </c>
      <c r="U125" s="20">
        <f>(VLOOKUP(B125,Data!$A:$AX,MATCH($U$1,Data!$A$1:$AX$1,),)-VLOOKUP(EDATE(B125,-12),Data!$A:$AX,MATCH($U$1,Data!$A$1:$AX$1,),))/VLOOKUP(EDATE(B125,-12),Data!$A:$AX,MATCH($U$1,Data!$A$1:$AX$1,),)</f>
        <v/>
      </c>
      <c r="V125" s="20">
        <f>(VLOOKUP(B125,Data!$A:$AX,MATCH($V$1,Data!$A$1:$AX$1,),)-VLOOKUP(EDATE(B125,-12),Data!$A:$AX,MATCH($V$1,Data!$A$1:$AX$1,),))/VLOOKUP(EDATE(B125,-12),Data!$A:$AX,MATCH($V$1,Data!$A$1:$AX$1,),)</f>
        <v/>
      </c>
      <c r="W125" s="20">
        <f>(VLOOKUP(B125,Data!$A:$AX,MATCH($W$1,Data!$A$1:$AX$1,),)-VLOOKUP(EDATE(B125,-12),Data!$A:$AX,MATCH($W$1,Data!$A$1:$AX$1,),))/VLOOKUP(EDATE(B125,-12),Data!$A:$AX,MATCH($W$1,Data!$A$1:$AX$1,),)</f>
        <v/>
      </c>
      <c r="X125" s="20">
        <f>(VLOOKUP(B125,Data!$A:$AX,MATCH($X$1,Data!$A$1:$AX$1,),)-VLOOKUP(EDATE(B125,-12),Data!$A:$AX,MATCH($X$1,Data!$A$1:$AX$1,),))/VLOOKUP(EDATE(B125,-12),Data!$A:$AX,MATCH($X$1,Data!$A$1:$AX$1,),)</f>
        <v/>
      </c>
      <c r="Y125" s="20">
        <f>(VLOOKUP(B125,Data!$A:$AX,MATCH($Y$1,Data!$A$1:$AX$1,),)-VLOOKUP(EDATE(B125,-12),Data!$A:$AX,MATCH($Y$1,Data!$A$1:$AX$1,),))/VLOOKUP(EDATE(B125,-12),Data!$A:$AX,MATCH($Y$1,Data!$A$1:$AX$1,),)</f>
        <v/>
      </c>
    </row>
    <row r="126" customFormat="1" s="76">
      <c r="B126" s="15" t="n">
        <v>44044</v>
      </c>
      <c r="C126" s="20">
        <f>(VLOOKUP(B126,Data!$A:$AX,MATCH($C$1,Data!$A$1:$AX$1,),)-VLOOKUP(EDATE(B126,-12),Data!$A:$AX,MATCH($C$1,Data!$A$1:$AX$1,),))/VLOOKUP(EDATE(B126,-12),Data!$A:$AX,MATCH($C$1,Data!$A$1:$AX$1,),)</f>
        <v/>
      </c>
      <c r="D126" s="20">
        <f>(VLOOKUP(B126,Data!$A:$AX,MATCH($D$1,Data!$A$1:$AX$1,),)-VLOOKUP(EDATE(B126,-12),Data!$A:$AX,MATCH($D$1,Data!$A$1:$AX$1,),))/VLOOKUP(EDATE(B126,-12),Data!$A:$AX,MATCH($D$1,Data!$A$1:$AX$1,),)</f>
        <v/>
      </c>
      <c r="E126" s="20">
        <f>(VLOOKUP(B126,Data!$A:$AX,MATCH($E$1,Data!$A$1:$AX$1,),)-VLOOKUP(EDATE(B126,-12),Data!$A:$AX,MATCH($E$1,Data!$A$1:$AX$1,),))/VLOOKUP(EDATE(B126,-12),Data!$A:$AX,MATCH($E$1,Data!$A$1:$AX$1,),)</f>
        <v/>
      </c>
      <c r="F126" s="20">
        <f>(VLOOKUP(B126,Data!$A:$AX,MATCH($F$1,Data!$A$1:$AX$1,),)-VLOOKUP(EDATE(B126,-12),Data!$A:$AX,MATCH($F$1,Data!$A$1:$AX$1,),))/VLOOKUP(EDATE(B126,-12),Data!$A:$AX,MATCH($F$1,Data!$A$1:$AX$1,),)</f>
        <v/>
      </c>
      <c r="G126" s="20">
        <f>(VLOOKUP(B126,Data!$A:$AX,MATCH($G$1,Data!$A$1:$AX$1,),)-VLOOKUP(EDATE(B126,-12),Data!$A:$AX,MATCH($G$1,Data!$A$1:$AX$1,),))/VLOOKUP(EDATE(B126,-12),Data!$A:$AX,MATCH($G$1,Data!$A$1:$AX$1,),)</f>
        <v/>
      </c>
      <c r="H126" s="20">
        <f>(VLOOKUP(B126,Data!$A:$AX,MATCH($H$1,Data!$A$1:$AX$1,),)-VLOOKUP(EDATE(B126,-12),Data!$A:$AX,MATCH($H$1,Data!$A$1:$AX$1,),))/VLOOKUP(EDATE(B126,-12),Data!$A:$AX,MATCH($H$1,Data!$A$1:$AX$1,),)</f>
        <v/>
      </c>
      <c r="I126" s="20">
        <f>(VLOOKUP(B126,Data!$A:$AX,MATCH($I$1,Data!$A$1:$AX$1,),)-VLOOKUP(EDATE(B126,-12),Data!$A:$AX,MATCH($I$1,Data!$A$1:$AX$1,),))/VLOOKUP(EDATE(B126,-12),Data!$A:$AX,MATCH($I$1,Data!$A$1:$AX$1,),)</f>
        <v/>
      </c>
      <c r="J126" s="20">
        <f>(VLOOKUP(B126,Data!$A:$AX,MATCH($J$1,Data!$A$1:$AX$1,),)-VLOOKUP(EDATE(B126,-12),Data!$A:$AX,MATCH($J$1,Data!$A$1:$AX$1,),))/VLOOKUP(EDATE(B126,-12),Data!$A:$AX,MATCH($J$1,Data!$A$1:$AX$1,),)</f>
        <v/>
      </c>
      <c r="K126" s="20">
        <f>(VLOOKUP(B126,Data!$A:$AX,MATCH($K$1,Data!$A$1:$AX$1,),)-VLOOKUP(EDATE(B126,-12),Data!$A:$AX,MATCH($K$1,Data!$A$1:$AX$1,),))/VLOOKUP(EDATE(B126,-12),Data!$A:$AX,MATCH($K$1,Data!$A$1:$AX$1,),)</f>
        <v/>
      </c>
      <c r="L126" s="20">
        <f>(VLOOKUP(B126,Data!$A:$AX,MATCH($L$1,Data!$A$1:$AX$1,),)-VLOOKUP(EDATE(B126,-12),Data!$A:$AX,MATCH($L$1,Data!$A$1:$AX$1,),))/VLOOKUP(EDATE(B126,-12),Data!$A:$AX,MATCH($L$1,Data!$A$1:$AX$1,),)</f>
        <v/>
      </c>
      <c r="M126" s="20">
        <f>(VLOOKUP(B126,Data!$A:$AX,MATCH($M$1,Data!$A$1:$AX$1,),)-VLOOKUP(EDATE(B126,-12),Data!$A:$AX,MATCH($M$1,Data!$A$1:$AX$1,),))/VLOOKUP(EDATE(B126,-12),Data!$A:$AX,MATCH($M$1,Data!$A$1:$AX$1,),)</f>
        <v/>
      </c>
      <c r="N126" s="20">
        <f>(VLOOKUP(B126,Data!$A:$AX,MATCH($N$1,Data!$A$1:$AX$1,),)-VLOOKUP(EDATE(B126,-12),Data!$A:$AX,MATCH($N$1,Data!$A$1:$AX$1,),))/VLOOKUP(EDATE(B126,-12),Data!$A:$AX,MATCH($N$1,Data!$A$1:$AX$1,),)</f>
        <v/>
      </c>
      <c r="O126" s="20">
        <f>(VLOOKUP(B126,Data!$A:$AX,MATCH($O$1,Data!$A$1:$AX$1,),)-VLOOKUP(EDATE(B126,-12),Data!$A:$AX,MATCH($O$1,Data!$A$1:$AX$1,),))/VLOOKUP(EDATE(B126,-12),Data!$A:$AX,MATCH($O$1,Data!$A$1:$AX$1,),)</f>
        <v/>
      </c>
      <c r="P126" s="20">
        <f>(VLOOKUP(B126,Data!$A:$AX,MATCH($P$1,Data!$A$1:$AX$1,),)-VLOOKUP(EDATE(B126,-12),Data!$A:$AX,MATCH($P$1,Data!$A$1:$AX$1,),))/VLOOKUP(EDATE(B126,-12),Data!$A:$AX,MATCH($P$1,Data!$A$1:$AX$1,),)</f>
        <v/>
      </c>
      <c r="Q126" s="20">
        <f>(VLOOKUP(B126,Data!$A:$AX,MATCH($Q$1,Data!$A$1:$AX$1,),)-VLOOKUP(EDATE(B126,-12),Data!$A:$AX,MATCH($Q$1,Data!$A$1:$AX$1,),))/VLOOKUP(EDATE(B126,-12),Data!$A:$AX,MATCH($Q$1,Data!$A$1:$AX$1,),)</f>
        <v/>
      </c>
      <c r="R126" s="20">
        <f>(VLOOKUP(B126,Data!$A:$AX,MATCH($R$1,Data!$A$1:$AX$1,),)-VLOOKUP(EDATE(B126,-12),Data!$A:$AX,MATCH($R$1,Data!$A$1:$AX$1,),))/VLOOKUP(EDATE(B126,-12),Data!$A:$AX,MATCH($R$1,Data!$A$1:$AX$1,),)</f>
        <v/>
      </c>
      <c r="S126" s="20">
        <f>(VLOOKUP(B126,Data!$A:$AX,MATCH($S$1,Data!$A$1:$AX$1,),)-VLOOKUP(EDATE(B126,-12),Data!$A:$AX,MATCH($S$1,Data!$A$1:$AX$1,),))/VLOOKUP(EDATE(B126,-12),Data!$A:$AX,MATCH($S$1,Data!$A$1:$AX$1,),)</f>
        <v/>
      </c>
      <c r="T126" s="20">
        <f>(VLOOKUP(B126,Data!$A:$AX,MATCH($T$1,Data!$A$1:$AX$1,),)-VLOOKUP(EDATE(B126,-12),Data!$A:$AX,MATCH($T$1,Data!$A$1:$AX$1,),))/VLOOKUP(EDATE(B126,-12),Data!$A:$AX,MATCH($T$1,Data!$A$1:$AX$1,),)</f>
        <v/>
      </c>
      <c r="U126" s="20">
        <f>(VLOOKUP(B126,Data!$A:$AX,MATCH($U$1,Data!$A$1:$AX$1,),)-VLOOKUP(EDATE(B126,-12),Data!$A:$AX,MATCH($U$1,Data!$A$1:$AX$1,),))/VLOOKUP(EDATE(B126,-12),Data!$A:$AX,MATCH($U$1,Data!$A$1:$AX$1,),)</f>
        <v/>
      </c>
      <c r="V126" s="20">
        <f>(VLOOKUP(B126,Data!$A:$AX,MATCH($V$1,Data!$A$1:$AX$1,),)-VLOOKUP(EDATE(B126,-12),Data!$A:$AX,MATCH($V$1,Data!$A$1:$AX$1,),))/VLOOKUP(EDATE(B126,-12),Data!$A:$AX,MATCH($V$1,Data!$A$1:$AX$1,),)</f>
        <v/>
      </c>
      <c r="W126" s="20">
        <f>(VLOOKUP(B126,Data!$A:$AX,MATCH($W$1,Data!$A$1:$AX$1,),)-VLOOKUP(EDATE(B126,-12),Data!$A:$AX,MATCH($W$1,Data!$A$1:$AX$1,),))/VLOOKUP(EDATE(B126,-12),Data!$A:$AX,MATCH($W$1,Data!$A$1:$AX$1,),)</f>
        <v/>
      </c>
      <c r="X126" s="20">
        <f>(VLOOKUP(B126,Data!$A:$AX,MATCH($X$1,Data!$A$1:$AX$1,),)-VLOOKUP(EDATE(B126,-12),Data!$A:$AX,MATCH($X$1,Data!$A$1:$AX$1,),))/VLOOKUP(EDATE(B126,-12),Data!$A:$AX,MATCH($X$1,Data!$A$1:$AX$1,),)</f>
        <v/>
      </c>
      <c r="Y126" s="20">
        <f>(VLOOKUP(B126,Data!$A:$AX,MATCH($Y$1,Data!$A$1:$AX$1,),)-VLOOKUP(EDATE(B126,-12),Data!$A:$AX,MATCH($Y$1,Data!$A$1:$AX$1,),))/VLOOKUP(EDATE(B126,-12),Data!$A:$AX,MATCH($Y$1,Data!$A$1:$AX$1,),)</f>
        <v/>
      </c>
    </row>
    <row r="127" customFormat="1" s="76">
      <c r="B127" s="15" t="n">
        <v>44075</v>
      </c>
      <c r="C127" s="20">
        <f>(VLOOKUP(B127,Data!$A:$AX,MATCH($C$1,Data!$A$1:$AX$1,),)-VLOOKUP(EDATE(B127,-12),Data!$A:$AX,MATCH($C$1,Data!$A$1:$AX$1,),))/VLOOKUP(EDATE(B127,-12),Data!$A:$AX,MATCH($C$1,Data!$A$1:$AX$1,),)</f>
        <v/>
      </c>
      <c r="D127" s="20">
        <f>(VLOOKUP(B127,Data!$A:$AX,MATCH($D$1,Data!$A$1:$AX$1,),)-VLOOKUP(EDATE(B127,-12),Data!$A:$AX,MATCH($D$1,Data!$A$1:$AX$1,),))/VLOOKUP(EDATE(B127,-12),Data!$A:$AX,MATCH($D$1,Data!$A$1:$AX$1,),)</f>
        <v/>
      </c>
      <c r="E127" s="20">
        <f>(VLOOKUP(B127,Data!$A:$AX,MATCH($E$1,Data!$A$1:$AX$1,),)-VLOOKUP(EDATE(B127,-12),Data!$A:$AX,MATCH($E$1,Data!$A$1:$AX$1,),))/VLOOKUP(EDATE(B127,-12),Data!$A:$AX,MATCH($E$1,Data!$A$1:$AX$1,),)</f>
        <v/>
      </c>
      <c r="F127" s="20">
        <f>(VLOOKUP(B127,Data!$A:$AX,MATCH($F$1,Data!$A$1:$AX$1,),)-VLOOKUP(EDATE(B127,-12),Data!$A:$AX,MATCH($F$1,Data!$A$1:$AX$1,),))/VLOOKUP(EDATE(B127,-12),Data!$A:$AX,MATCH($F$1,Data!$A$1:$AX$1,),)</f>
        <v/>
      </c>
      <c r="G127" s="20">
        <f>(VLOOKUP(B127,Data!$A:$AX,MATCH($G$1,Data!$A$1:$AX$1,),)-VLOOKUP(EDATE(B127,-12),Data!$A:$AX,MATCH($G$1,Data!$A$1:$AX$1,),))/VLOOKUP(EDATE(B127,-12),Data!$A:$AX,MATCH($G$1,Data!$A$1:$AX$1,),)</f>
        <v/>
      </c>
      <c r="H127" s="20">
        <f>(VLOOKUP(B127,Data!$A:$AX,MATCH($H$1,Data!$A$1:$AX$1,),)-VLOOKUP(EDATE(B127,-12),Data!$A:$AX,MATCH($H$1,Data!$A$1:$AX$1,),))/VLOOKUP(EDATE(B127,-12),Data!$A:$AX,MATCH($H$1,Data!$A$1:$AX$1,),)</f>
        <v/>
      </c>
      <c r="I127" s="20">
        <f>(VLOOKUP(B127,Data!$A:$AX,MATCH($I$1,Data!$A$1:$AX$1,),)-VLOOKUP(EDATE(B127,-12),Data!$A:$AX,MATCH($I$1,Data!$A$1:$AX$1,),))/VLOOKUP(EDATE(B127,-12),Data!$A:$AX,MATCH($I$1,Data!$A$1:$AX$1,),)</f>
        <v/>
      </c>
      <c r="J127" s="20">
        <f>(VLOOKUP(B127,Data!$A:$AX,MATCH($J$1,Data!$A$1:$AX$1,),)-VLOOKUP(EDATE(B127,-12),Data!$A:$AX,MATCH($J$1,Data!$A$1:$AX$1,),))/VLOOKUP(EDATE(B127,-12),Data!$A:$AX,MATCH($J$1,Data!$A$1:$AX$1,),)</f>
        <v/>
      </c>
      <c r="K127" s="20">
        <f>(VLOOKUP(B127,Data!$A:$AX,MATCH($K$1,Data!$A$1:$AX$1,),)-VLOOKUP(EDATE(B127,-12),Data!$A:$AX,MATCH($K$1,Data!$A$1:$AX$1,),))/VLOOKUP(EDATE(B127,-12),Data!$A:$AX,MATCH($K$1,Data!$A$1:$AX$1,),)</f>
        <v/>
      </c>
      <c r="L127" s="20">
        <f>(VLOOKUP(B127,Data!$A:$AX,MATCH($L$1,Data!$A$1:$AX$1,),)-VLOOKUP(EDATE(B127,-12),Data!$A:$AX,MATCH($L$1,Data!$A$1:$AX$1,),))/VLOOKUP(EDATE(B127,-12),Data!$A:$AX,MATCH($L$1,Data!$A$1:$AX$1,),)</f>
        <v/>
      </c>
      <c r="M127" s="20">
        <f>(VLOOKUP(B127,Data!$A:$AX,MATCH($M$1,Data!$A$1:$AX$1,),)-VLOOKUP(EDATE(B127,-12),Data!$A:$AX,MATCH($M$1,Data!$A$1:$AX$1,),))/VLOOKUP(EDATE(B127,-12),Data!$A:$AX,MATCH($M$1,Data!$A$1:$AX$1,),)</f>
        <v/>
      </c>
      <c r="N127" s="20">
        <f>(VLOOKUP(B127,Data!$A:$AX,MATCH($N$1,Data!$A$1:$AX$1,),)-VLOOKUP(EDATE(B127,-12),Data!$A:$AX,MATCH($N$1,Data!$A$1:$AX$1,),))/VLOOKUP(EDATE(B127,-12),Data!$A:$AX,MATCH($N$1,Data!$A$1:$AX$1,),)</f>
        <v/>
      </c>
      <c r="O127" s="20">
        <f>(VLOOKUP(B127,Data!$A:$AX,MATCH($O$1,Data!$A$1:$AX$1,),)-VLOOKUP(EDATE(B127,-12),Data!$A:$AX,MATCH($O$1,Data!$A$1:$AX$1,),))/VLOOKUP(EDATE(B127,-12),Data!$A:$AX,MATCH($O$1,Data!$A$1:$AX$1,),)</f>
        <v/>
      </c>
      <c r="P127" s="20">
        <f>(VLOOKUP(B127,Data!$A:$AX,MATCH($P$1,Data!$A$1:$AX$1,),)-VLOOKUP(EDATE(B127,-12),Data!$A:$AX,MATCH($P$1,Data!$A$1:$AX$1,),))/VLOOKUP(EDATE(B127,-12),Data!$A:$AX,MATCH($P$1,Data!$A$1:$AX$1,),)</f>
        <v/>
      </c>
      <c r="Q127" s="20">
        <f>(VLOOKUP(B127,Data!$A:$AX,MATCH($Q$1,Data!$A$1:$AX$1,),)-VLOOKUP(EDATE(B127,-12),Data!$A:$AX,MATCH($Q$1,Data!$A$1:$AX$1,),))/VLOOKUP(EDATE(B127,-12),Data!$A:$AX,MATCH($Q$1,Data!$A$1:$AX$1,),)</f>
        <v/>
      </c>
      <c r="R127" s="20">
        <f>(VLOOKUP(B127,Data!$A:$AX,MATCH($R$1,Data!$A$1:$AX$1,),)-VLOOKUP(EDATE(B127,-12),Data!$A:$AX,MATCH($R$1,Data!$A$1:$AX$1,),))/VLOOKUP(EDATE(B127,-12),Data!$A:$AX,MATCH($R$1,Data!$A$1:$AX$1,),)</f>
        <v/>
      </c>
      <c r="S127" s="20">
        <f>(VLOOKUP(B127,Data!$A:$AX,MATCH($S$1,Data!$A$1:$AX$1,),)-VLOOKUP(EDATE(B127,-12),Data!$A:$AX,MATCH($S$1,Data!$A$1:$AX$1,),))/VLOOKUP(EDATE(B127,-12),Data!$A:$AX,MATCH($S$1,Data!$A$1:$AX$1,),)</f>
        <v/>
      </c>
      <c r="T127" s="20">
        <f>(VLOOKUP(B127,Data!$A:$AX,MATCH($T$1,Data!$A$1:$AX$1,),)-VLOOKUP(EDATE(B127,-12),Data!$A:$AX,MATCH($T$1,Data!$A$1:$AX$1,),))/VLOOKUP(EDATE(B127,-12),Data!$A:$AX,MATCH($T$1,Data!$A$1:$AX$1,),)</f>
        <v/>
      </c>
      <c r="U127" s="20">
        <f>(VLOOKUP(B127,Data!$A:$AX,MATCH($U$1,Data!$A$1:$AX$1,),)-VLOOKUP(EDATE(B127,-12),Data!$A:$AX,MATCH($U$1,Data!$A$1:$AX$1,),))/VLOOKUP(EDATE(B127,-12),Data!$A:$AX,MATCH($U$1,Data!$A$1:$AX$1,),)</f>
        <v/>
      </c>
      <c r="V127" s="20">
        <f>(VLOOKUP(B127,Data!$A:$AX,MATCH($V$1,Data!$A$1:$AX$1,),)-VLOOKUP(EDATE(B127,-12),Data!$A:$AX,MATCH($V$1,Data!$A$1:$AX$1,),))/VLOOKUP(EDATE(B127,-12),Data!$A:$AX,MATCH($V$1,Data!$A$1:$AX$1,),)</f>
        <v/>
      </c>
      <c r="W127" s="20">
        <f>(VLOOKUP(B127,Data!$A:$AX,MATCH($W$1,Data!$A$1:$AX$1,),)-VLOOKUP(EDATE(B127,-12),Data!$A:$AX,MATCH($W$1,Data!$A$1:$AX$1,),))/VLOOKUP(EDATE(B127,-12),Data!$A:$AX,MATCH($W$1,Data!$A$1:$AX$1,),)</f>
        <v/>
      </c>
      <c r="X127" s="20">
        <f>(VLOOKUP(B127,Data!$A:$AX,MATCH($X$1,Data!$A$1:$AX$1,),)-VLOOKUP(EDATE(B127,-12),Data!$A:$AX,MATCH($X$1,Data!$A$1:$AX$1,),))/VLOOKUP(EDATE(B127,-12),Data!$A:$AX,MATCH($X$1,Data!$A$1:$AX$1,),)</f>
        <v/>
      </c>
      <c r="Y127" s="20">
        <f>(VLOOKUP(B127,Data!$A:$AX,MATCH($Y$1,Data!$A$1:$AX$1,),)-VLOOKUP(EDATE(B127,-12),Data!$A:$AX,MATCH($Y$1,Data!$A$1:$AX$1,),))/VLOOKUP(EDATE(B127,-12),Data!$A:$AX,MATCH($Y$1,Data!$A$1:$AX$1,),)</f>
        <v/>
      </c>
    </row>
    <row r="128" customFormat="1" s="76">
      <c r="B128" s="15" t="n">
        <v>44105</v>
      </c>
      <c r="C128" s="20">
        <f>(VLOOKUP(B128,Data!$A:$AX,MATCH($C$1,Data!$A$1:$AX$1,),)-VLOOKUP(EDATE(B128,-12),Data!$A:$AX,MATCH($C$1,Data!$A$1:$AX$1,),))/VLOOKUP(EDATE(B128,-12),Data!$A:$AX,MATCH($C$1,Data!$A$1:$AX$1,),)</f>
        <v/>
      </c>
      <c r="D128" s="20">
        <f>(VLOOKUP(B128,Data!$A:$AX,MATCH($D$1,Data!$A$1:$AX$1,),)-VLOOKUP(EDATE(B128,-12),Data!$A:$AX,MATCH($D$1,Data!$A$1:$AX$1,),))/VLOOKUP(EDATE(B128,-12),Data!$A:$AX,MATCH($D$1,Data!$A$1:$AX$1,),)</f>
        <v/>
      </c>
      <c r="E128" s="20">
        <f>(VLOOKUP(B128,Data!$A:$AX,MATCH($E$1,Data!$A$1:$AX$1,),)-VLOOKUP(EDATE(B128,-12),Data!$A:$AX,MATCH($E$1,Data!$A$1:$AX$1,),))/VLOOKUP(EDATE(B128,-12),Data!$A:$AX,MATCH($E$1,Data!$A$1:$AX$1,),)</f>
        <v/>
      </c>
      <c r="F128" s="20">
        <f>(VLOOKUP(B128,Data!$A:$AX,MATCH($F$1,Data!$A$1:$AX$1,),)-VLOOKUP(EDATE(B128,-12),Data!$A:$AX,MATCH($F$1,Data!$A$1:$AX$1,),))/VLOOKUP(EDATE(B128,-12),Data!$A:$AX,MATCH($F$1,Data!$A$1:$AX$1,),)</f>
        <v/>
      </c>
      <c r="G128" s="20">
        <f>(VLOOKUP(B128,Data!$A:$AX,MATCH($G$1,Data!$A$1:$AX$1,),)-VLOOKUP(EDATE(B128,-12),Data!$A:$AX,MATCH($G$1,Data!$A$1:$AX$1,),))/VLOOKUP(EDATE(B128,-12),Data!$A:$AX,MATCH($G$1,Data!$A$1:$AX$1,),)</f>
        <v/>
      </c>
      <c r="H128" s="20">
        <f>(VLOOKUP(B128,Data!$A:$AX,MATCH($H$1,Data!$A$1:$AX$1,),)-VLOOKUP(EDATE(B128,-12),Data!$A:$AX,MATCH($H$1,Data!$A$1:$AX$1,),))/VLOOKUP(EDATE(B128,-12),Data!$A:$AX,MATCH($H$1,Data!$A$1:$AX$1,),)</f>
        <v/>
      </c>
      <c r="I128" s="20">
        <f>(VLOOKUP(B128,Data!$A:$AX,MATCH($I$1,Data!$A$1:$AX$1,),)-VLOOKUP(EDATE(B128,-12),Data!$A:$AX,MATCH($I$1,Data!$A$1:$AX$1,),))/VLOOKUP(EDATE(B128,-12),Data!$A:$AX,MATCH($I$1,Data!$A$1:$AX$1,),)</f>
        <v/>
      </c>
      <c r="J128" s="20">
        <f>(VLOOKUP(B128,Data!$A:$AX,MATCH($J$1,Data!$A$1:$AX$1,),)-VLOOKUP(EDATE(B128,-12),Data!$A:$AX,MATCH($J$1,Data!$A$1:$AX$1,),))/VLOOKUP(EDATE(B128,-12),Data!$A:$AX,MATCH($J$1,Data!$A$1:$AX$1,),)</f>
        <v/>
      </c>
      <c r="K128" s="20">
        <f>(VLOOKUP(B128,Data!$A:$AX,MATCH($K$1,Data!$A$1:$AX$1,),)-VLOOKUP(EDATE(B128,-12),Data!$A:$AX,MATCH($K$1,Data!$A$1:$AX$1,),))/VLOOKUP(EDATE(B128,-12),Data!$A:$AX,MATCH($K$1,Data!$A$1:$AX$1,),)</f>
        <v/>
      </c>
      <c r="L128" s="20">
        <f>(VLOOKUP(B128,Data!$A:$AX,MATCH($L$1,Data!$A$1:$AX$1,),)-VLOOKUP(EDATE(B128,-12),Data!$A:$AX,MATCH($L$1,Data!$A$1:$AX$1,),))/VLOOKUP(EDATE(B128,-12),Data!$A:$AX,MATCH($L$1,Data!$A$1:$AX$1,),)</f>
        <v/>
      </c>
      <c r="M128" s="20">
        <f>(VLOOKUP(B128,Data!$A:$AX,MATCH($M$1,Data!$A$1:$AX$1,),)-VLOOKUP(EDATE(B128,-12),Data!$A:$AX,MATCH($M$1,Data!$A$1:$AX$1,),))/VLOOKUP(EDATE(B128,-12),Data!$A:$AX,MATCH($M$1,Data!$A$1:$AX$1,),)</f>
        <v/>
      </c>
      <c r="N128" s="20">
        <f>(VLOOKUP(B128,Data!$A:$AX,MATCH($N$1,Data!$A$1:$AX$1,),)-VLOOKUP(EDATE(B128,-12),Data!$A:$AX,MATCH($N$1,Data!$A$1:$AX$1,),))/VLOOKUP(EDATE(B128,-12),Data!$A:$AX,MATCH($N$1,Data!$A$1:$AX$1,),)</f>
        <v/>
      </c>
      <c r="O128" s="20">
        <f>(VLOOKUP(B128,Data!$A:$AX,MATCH($O$1,Data!$A$1:$AX$1,),)-VLOOKUP(EDATE(B128,-12),Data!$A:$AX,MATCH($O$1,Data!$A$1:$AX$1,),))/VLOOKUP(EDATE(B128,-12),Data!$A:$AX,MATCH($O$1,Data!$A$1:$AX$1,),)</f>
        <v/>
      </c>
      <c r="P128" s="20">
        <f>(VLOOKUP(B128,Data!$A:$AX,MATCH($P$1,Data!$A$1:$AX$1,),)-VLOOKUP(EDATE(B128,-12),Data!$A:$AX,MATCH($P$1,Data!$A$1:$AX$1,),))/VLOOKUP(EDATE(B128,-12),Data!$A:$AX,MATCH($P$1,Data!$A$1:$AX$1,),)</f>
        <v/>
      </c>
      <c r="Q128" s="20">
        <f>(VLOOKUP(B128,Data!$A:$AX,MATCH($Q$1,Data!$A$1:$AX$1,),)-VLOOKUP(EDATE(B128,-12),Data!$A:$AX,MATCH($Q$1,Data!$A$1:$AX$1,),))/VLOOKUP(EDATE(B128,-12),Data!$A:$AX,MATCH($Q$1,Data!$A$1:$AX$1,),)</f>
        <v/>
      </c>
      <c r="R128" s="20">
        <f>(VLOOKUP(B128,Data!$A:$AX,MATCH($R$1,Data!$A$1:$AX$1,),)-VLOOKUP(EDATE(B128,-12),Data!$A:$AX,MATCH($R$1,Data!$A$1:$AX$1,),))/VLOOKUP(EDATE(B128,-12),Data!$A:$AX,MATCH($R$1,Data!$A$1:$AX$1,),)</f>
        <v/>
      </c>
      <c r="S128" s="20">
        <f>(VLOOKUP(B128,Data!$A:$AX,MATCH($S$1,Data!$A$1:$AX$1,),)-VLOOKUP(EDATE(B128,-12),Data!$A:$AX,MATCH($S$1,Data!$A$1:$AX$1,),))/VLOOKUP(EDATE(B128,-12),Data!$A:$AX,MATCH($S$1,Data!$A$1:$AX$1,),)</f>
        <v/>
      </c>
      <c r="T128" s="20">
        <f>(VLOOKUP(B128,Data!$A:$AX,MATCH($T$1,Data!$A$1:$AX$1,),)-VLOOKUP(EDATE(B128,-12),Data!$A:$AX,MATCH($T$1,Data!$A$1:$AX$1,),))/VLOOKUP(EDATE(B128,-12),Data!$A:$AX,MATCH($T$1,Data!$A$1:$AX$1,),)</f>
        <v/>
      </c>
      <c r="U128" s="20">
        <f>(VLOOKUP(B128,Data!$A:$AX,MATCH($U$1,Data!$A$1:$AX$1,),)-VLOOKUP(EDATE(B128,-12),Data!$A:$AX,MATCH($U$1,Data!$A$1:$AX$1,),))/VLOOKUP(EDATE(B128,-12),Data!$A:$AX,MATCH($U$1,Data!$A$1:$AX$1,),)</f>
        <v/>
      </c>
      <c r="V128" s="20">
        <f>(VLOOKUP(B128,Data!$A:$AX,MATCH($V$1,Data!$A$1:$AX$1,),)-VLOOKUP(EDATE(B128,-12),Data!$A:$AX,MATCH($V$1,Data!$A$1:$AX$1,),))/VLOOKUP(EDATE(B128,-12),Data!$A:$AX,MATCH($V$1,Data!$A$1:$AX$1,),)</f>
        <v/>
      </c>
      <c r="W128" s="20">
        <f>(VLOOKUP(B128,Data!$A:$AX,MATCH($W$1,Data!$A$1:$AX$1,),)-VLOOKUP(EDATE(B128,-12),Data!$A:$AX,MATCH($W$1,Data!$A$1:$AX$1,),))/VLOOKUP(EDATE(B128,-12),Data!$A:$AX,MATCH($W$1,Data!$A$1:$AX$1,),)</f>
        <v/>
      </c>
      <c r="X128" s="20">
        <f>(VLOOKUP(B128,Data!$A:$AX,MATCH($X$1,Data!$A$1:$AX$1,),)-VLOOKUP(EDATE(B128,-12),Data!$A:$AX,MATCH($X$1,Data!$A$1:$AX$1,),))/VLOOKUP(EDATE(B128,-12),Data!$A:$AX,MATCH($X$1,Data!$A$1:$AX$1,),)</f>
        <v/>
      </c>
      <c r="Y128" s="20">
        <f>(VLOOKUP(B128,Data!$A:$AX,MATCH($Y$1,Data!$A$1:$AX$1,),)-VLOOKUP(EDATE(B128,-12),Data!$A:$AX,MATCH($Y$1,Data!$A$1:$AX$1,),))/VLOOKUP(EDATE(B128,-12),Data!$A:$AX,MATCH($Y$1,Data!$A$1:$AX$1,),)</f>
        <v/>
      </c>
    </row>
    <row r="129" customFormat="1" s="76">
      <c r="B129" s="15" t="n">
        <v>44136</v>
      </c>
      <c r="C129" s="20">
        <f>(VLOOKUP(B129,Data!$A:$AX,MATCH($C$1,Data!$A$1:$AX$1,),)-VLOOKUP(EDATE(B129,-12),Data!$A:$AX,MATCH($C$1,Data!$A$1:$AX$1,),))/VLOOKUP(EDATE(B129,-12),Data!$A:$AX,MATCH($C$1,Data!$A$1:$AX$1,),)</f>
        <v/>
      </c>
      <c r="D129" s="20">
        <f>(VLOOKUP(B129,Data!$A:$AX,MATCH($D$1,Data!$A$1:$AX$1,),)-VLOOKUP(EDATE(B129,-12),Data!$A:$AX,MATCH($D$1,Data!$A$1:$AX$1,),))/VLOOKUP(EDATE(B129,-12),Data!$A:$AX,MATCH($D$1,Data!$A$1:$AX$1,),)</f>
        <v/>
      </c>
      <c r="E129" s="20">
        <f>(VLOOKUP(B129,Data!$A:$AX,MATCH($E$1,Data!$A$1:$AX$1,),)-VLOOKUP(EDATE(B129,-12),Data!$A:$AX,MATCH($E$1,Data!$A$1:$AX$1,),))/VLOOKUP(EDATE(B129,-12),Data!$A:$AX,MATCH($E$1,Data!$A$1:$AX$1,),)</f>
        <v/>
      </c>
      <c r="F129" s="20">
        <f>(VLOOKUP(B129,Data!$A:$AX,MATCH($F$1,Data!$A$1:$AX$1,),)-VLOOKUP(EDATE(B129,-12),Data!$A:$AX,MATCH($F$1,Data!$A$1:$AX$1,),))/VLOOKUP(EDATE(B129,-12),Data!$A:$AX,MATCH($F$1,Data!$A$1:$AX$1,),)</f>
        <v/>
      </c>
      <c r="G129" s="20">
        <f>(VLOOKUP(B129,Data!$A:$AX,MATCH($G$1,Data!$A$1:$AX$1,),)-VLOOKUP(EDATE(B129,-12),Data!$A:$AX,MATCH($G$1,Data!$A$1:$AX$1,),))/VLOOKUP(EDATE(B129,-12),Data!$A:$AX,MATCH($G$1,Data!$A$1:$AX$1,),)</f>
        <v/>
      </c>
      <c r="H129" s="20">
        <f>(VLOOKUP(B129,Data!$A:$AX,MATCH($H$1,Data!$A$1:$AX$1,),)-VLOOKUP(EDATE(B129,-12),Data!$A:$AX,MATCH($H$1,Data!$A$1:$AX$1,),))/VLOOKUP(EDATE(B129,-12),Data!$A:$AX,MATCH($H$1,Data!$A$1:$AX$1,),)</f>
        <v/>
      </c>
      <c r="I129" s="20">
        <f>(VLOOKUP(B129,Data!$A:$AX,MATCH($I$1,Data!$A$1:$AX$1,),)-VLOOKUP(EDATE(B129,-12),Data!$A:$AX,MATCH($I$1,Data!$A$1:$AX$1,),))/VLOOKUP(EDATE(B129,-12),Data!$A:$AX,MATCH($I$1,Data!$A$1:$AX$1,),)</f>
        <v/>
      </c>
      <c r="J129" s="20">
        <f>(VLOOKUP(B129,Data!$A:$AX,MATCH($J$1,Data!$A$1:$AX$1,),)-VLOOKUP(EDATE(B129,-12),Data!$A:$AX,MATCH($J$1,Data!$A$1:$AX$1,),))/VLOOKUP(EDATE(B129,-12),Data!$A:$AX,MATCH($J$1,Data!$A$1:$AX$1,),)</f>
        <v/>
      </c>
      <c r="K129" s="20">
        <f>(VLOOKUP(B129,Data!$A:$AX,MATCH($K$1,Data!$A$1:$AX$1,),)-VLOOKUP(EDATE(B129,-12),Data!$A:$AX,MATCH($K$1,Data!$A$1:$AX$1,),))/VLOOKUP(EDATE(B129,-12),Data!$A:$AX,MATCH($K$1,Data!$A$1:$AX$1,),)</f>
        <v/>
      </c>
      <c r="L129" s="20">
        <f>(VLOOKUP(B129,Data!$A:$AX,MATCH($L$1,Data!$A$1:$AX$1,),)-VLOOKUP(EDATE(B129,-12),Data!$A:$AX,MATCH($L$1,Data!$A$1:$AX$1,),))/VLOOKUP(EDATE(B129,-12),Data!$A:$AX,MATCH($L$1,Data!$A$1:$AX$1,),)</f>
        <v/>
      </c>
      <c r="M129" s="20">
        <f>(VLOOKUP(B129,Data!$A:$AX,MATCH($M$1,Data!$A$1:$AX$1,),)-VLOOKUP(EDATE(B129,-12),Data!$A:$AX,MATCH($M$1,Data!$A$1:$AX$1,),))/VLOOKUP(EDATE(B129,-12),Data!$A:$AX,MATCH($M$1,Data!$A$1:$AX$1,),)</f>
        <v/>
      </c>
      <c r="N129" s="20">
        <f>(VLOOKUP(B129,Data!$A:$AX,MATCH($N$1,Data!$A$1:$AX$1,),)-VLOOKUP(EDATE(B129,-12),Data!$A:$AX,MATCH($N$1,Data!$A$1:$AX$1,),))/VLOOKUP(EDATE(B129,-12),Data!$A:$AX,MATCH($N$1,Data!$A$1:$AX$1,),)</f>
        <v/>
      </c>
      <c r="O129" s="20">
        <f>(VLOOKUP(B129,Data!$A:$AX,MATCH($O$1,Data!$A$1:$AX$1,),)-VLOOKUP(EDATE(B129,-12),Data!$A:$AX,MATCH($O$1,Data!$A$1:$AX$1,),))/VLOOKUP(EDATE(B129,-12),Data!$A:$AX,MATCH($O$1,Data!$A$1:$AX$1,),)</f>
        <v/>
      </c>
      <c r="P129" s="20">
        <f>(VLOOKUP(B129,Data!$A:$AX,MATCH($P$1,Data!$A$1:$AX$1,),)-VLOOKUP(EDATE(B129,-12),Data!$A:$AX,MATCH($P$1,Data!$A$1:$AX$1,),))/VLOOKUP(EDATE(B129,-12),Data!$A:$AX,MATCH($P$1,Data!$A$1:$AX$1,),)</f>
        <v/>
      </c>
      <c r="Q129" s="20">
        <f>(VLOOKUP(B129,Data!$A:$AX,MATCH($Q$1,Data!$A$1:$AX$1,),)-VLOOKUP(EDATE(B129,-12),Data!$A:$AX,MATCH($Q$1,Data!$A$1:$AX$1,),))/VLOOKUP(EDATE(B129,-12),Data!$A:$AX,MATCH($Q$1,Data!$A$1:$AX$1,),)</f>
        <v/>
      </c>
      <c r="R129" s="20">
        <f>(VLOOKUP(B129,Data!$A:$AX,MATCH($R$1,Data!$A$1:$AX$1,),)-VLOOKUP(EDATE(B129,-12),Data!$A:$AX,MATCH($R$1,Data!$A$1:$AX$1,),))/VLOOKUP(EDATE(B129,-12),Data!$A:$AX,MATCH($R$1,Data!$A$1:$AX$1,),)</f>
        <v/>
      </c>
      <c r="S129" s="20">
        <f>(VLOOKUP(B129,Data!$A:$AX,MATCH($S$1,Data!$A$1:$AX$1,),)-VLOOKUP(EDATE(B129,-12),Data!$A:$AX,MATCH($S$1,Data!$A$1:$AX$1,),))/VLOOKUP(EDATE(B129,-12),Data!$A:$AX,MATCH($S$1,Data!$A$1:$AX$1,),)</f>
        <v/>
      </c>
      <c r="T129" s="20">
        <f>(VLOOKUP(B129,Data!$A:$AX,MATCH($T$1,Data!$A$1:$AX$1,),)-VLOOKUP(EDATE(B129,-12),Data!$A:$AX,MATCH($T$1,Data!$A$1:$AX$1,),))/VLOOKUP(EDATE(B129,-12),Data!$A:$AX,MATCH($T$1,Data!$A$1:$AX$1,),)</f>
        <v/>
      </c>
      <c r="U129" s="20">
        <f>(VLOOKUP(B129,Data!$A:$AX,MATCH($U$1,Data!$A$1:$AX$1,),)-VLOOKUP(EDATE(B129,-12),Data!$A:$AX,MATCH($U$1,Data!$A$1:$AX$1,),))/VLOOKUP(EDATE(B129,-12),Data!$A:$AX,MATCH($U$1,Data!$A$1:$AX$1,),)</f>
        <v/>
      </c>
      <c r="V129" s="20">
        <f>(VLOOKUP(B129,Data!$A:$AX,MATCH($V$1,Data!$A$1:$AX$1,),)-VLOOKUP(EDATE(B129,-12),Data!$A:$AX,MATCH($V$1,Data!$A$1:$AX$1,),))/VLOOKUP(EDATE(B129,-12),Data!$A:$AX,MATCH($V$1,Data!$A$1:$AX$1,),)</f>
        <v/>
      </c>
      <c r="W129" s="20">
        <f>(VLOOKUP(B129,Data!$A:$AX,MATCH($W$1,Data!$A$1:$AX$1,),)-VLOOKUP(EDATE(B129,-12),Data!$A:$AX,MATCH($W$1,Data!$A$1:$AX$1,),))/VLOOKUP(EDATE(B129,-12),Data!$A:$AX,MATCH($W$1,Data!$A$1:$AX$1,),)</f>
        <v/>
      </c>
      <c r="X129" s="20">
        <f>(VLOOKUP(B129,Data!$A:$AX,MATCH($X$1,Data!$A$1:$AX$1,),)-VLOOKUP(EDATE(B129,-12),Data!$A:$AX,MATCH($X$1,Data!$A$1:$AX$1,),))/VLOOKUP(EDATE(B129,-12),Data!$A:$AX,MATCH($X$1,Data!$A$1:$AX$1,),)</f>
        <v/>
      </c>
      <c r="Y129" s="20">
        <f>(VLOOKUP(B129,Data!$A:$AX,MATCH($Y$1,Data!$A$1:$AX$1,),)-VLOOKUP(EDATE(B129,-12),Data!$A:$AX,MATCH($Y$1,Data!$A$1:$AX$1,),))/VLOOKUP(EDATE(B129,-12),Data!$A:$AX,MATCH($Y$1,Data!$A$1:$AX$1,),)</f>
        <v/>
      </c>
    </row>
    <row r="130" customFormat="1" s="76">
      <c r="B130" s="15" t="n">
        <v>44166</v>
      </c>
      <c r="C130" s="20">
        <f>(VLOOKUP(B130,Data!$A:$AX,MATCH($C$1,Data!$A$1:$AX$1,),)-VLOOKUP(EDATE(B130,-12),Data!$A:$AX,MATCH($C$1,Data!$A$1:$AX$1,),))/VLOOKUP(EDATE(B130,-12),Data!$A:$AX,MATCH($C$1,Data!$A$1:$AX$1,),)</f>
        <v/>
      </c>
      <c r="D130" s="20">
        <f>(VLOOKUP(B130,Data!$A:$AX,MATCH($D$1,Data!$A$1:$AX$1,),)-VLOOKUP(EDATE(B130,-12),Data!$A:$AX,MATCH($D$1,Data!$A$1:$AX$1,),))/VLOOKUP(EDATE(B130,-12),Data!$A:$AX,MATCH($D$1,Data!$A$1:$AX$1,),)</f>
        <v/>
      </c>
      <c r="E130" s="20">
        <f>(VLOOKUP(B130,Data!$A:$AX,MATCH($E$1,Data!$A$1:$AX$1,),)-VLOOKUP(EDATE(B130,-12),Data!$A:$AX,MATCH($E$1,Data!$A$1:$AX$1,),))/VLOOKUP(EDATE(B130,-12),Data!$A:$AX,MATCH($E$1,Data!$A$1:$AX$1,),)</f>
        <v/>
      </c>
      <c r="F130" s="20">
        <f>(VLOOKUP(B130,Data!$A:$AX,MATCH($F$1,Data!$A$1:$AX$1,),)-VLOOKUP(EDATE(B130,-12),Data!$A:$AX,MATCH($F$1,Data!$A$1:$AX$1,),))/VLOOKUP(EDATE(B130,-12),Data!$A:$AX,MATCH($F$1,Data!$A$1:$AX$1,),)</f>
        <v/>
      </c>
      <c r="G130" s="20">
        <f>(VLOOKUP(B130,Data!$A:$AX,MATCH($G$1,Data!$A$1:$AX$1,),)-VLOOKUP(EDATE(B130,-12),Data!$A:$AX,MATCH($G$1,Data!$A$1:$AX$1,),))/VLOOKUP(EDATE(B130,-12),Data!$A:$AX,MATCH($G$1,Data!$A$1:$AX$1,),)</f>
        <v/>
      </c>
      <c r="H130" s="20">
        <f>(VLOOKUP(B130,Data!$A:$AX,MATCH($H$1,Data!$A$1:$AX$1,),)-VLOOKUP(EDATE(B130,-12),Data!$A:$AX,MATCH($H$1,Data!$A$1:$AX$1,),))/VLOOKUP(EDATE(B130,-12),Data!$A:$AX,MATCH($H$1,Data!$A$1:$AX$1,),)</f>
        <v/>
      </c>
      <c r="I130" s="20">
        <f>(VLOOKUP(B130,Data!$A:$AX,MATCH($I$1,Data!$A$1:$AX$1,),)-VLOOKUP(EDATE(B130,-12),Data!$A:$AX,MATCH($I$1,Data!$A$1:$AX$1,),))/VLOOKUP(EDATE(B130,-12),Data!$A:$AX,MATCH($I$1,Data!$A$1:$AX$1,),)</f>
        <v/>
      </c>
      <c r="J130" s="20">
        <f>(VLOOKUP(B130,Data!$A:$AX,MATCH($J$1,Data!$A$1:$AX$1,),)-VLOOKUP(EDATE(B130,-12),Data!$A:$AX,MATCH($J$1,Data!$A$1:$AX$1,),))/VLOOKUP(EDATE(B130,-12),Data!$A:$AX,MATCH($J$1,Data!$A$1:$AX$1,),)</f>
        <v/>
      </c>
      <c r="K130" s="20">
        <f>(VLOOKUP(B130,Data!$A:$AX,MATCH($K$1,Data!$A$1:$AX$1,),)-VLOOKUP(EDATE(B130,-12),Data!$A:$AX,MATCH($K$1,Data!$A$1:$AX$1,),))/VLOOKUP(EDATE(B130,-12),Data!$A:$AX,MATCH($K$1,Data!$A$1:$AX$1,),)</f>
        <v/>
      </c>
      <c r="L130" s="20">
        <f>(VLOOKUP(B130,Data!$A:$AX,MATCH($L$1,Data!$A$1:$AX$1,),)-VLOOKUP(EDATE(B130,-12),Data!$A:$AX,MATCH($L$1,Data!$A$1:$AX$1,),))/VLOOKUP(EDATE(B130,-12),Data!$A:$AX,MATCH($L$1,Data!$A$1:$AX$1,),)</f>
        <v/>
      </c>
      <c r="M130" s="20">
        <f>(VLOOKUP(B130,Data!$A:$AX,MATCH($M$1,Data!$A$1:$AX$1,),)-VLOOKUP(EDATE(B130,-12),Data!$A:$AX,MATCH($M$1,Data!$A$1:$AX$1,),))/VLOOKUP(EDATE(B130,-12),Data!$A:$AX,MATCH($M$1,Data!$A$1:$AX$1,),)</f>
        <v/>
      </c>
      <c r="N130" s="20">
        <f>(VLOOKUP(B130,Data!$A:$AX,MATCH($N$1,Data!$A$1:$AX$1,),)-VLOOKUP(EDATE(B130,-12),Data!$A:$AX,MATCH($N$1,Data!$A$1:$AX$1,),))/VLOOKUP(EDATE(B130,-12),Data!$A:$AX,MATCH($N$1,Data!$A$1:$AX$1,),)</f>
        <v/>
      </c>
      <c r="O130" s="20">
        <f>(VLOOKUP(B130,Data!$A:$AX,MATCH($O$1,Data!$A$1:$AX$1,),)-VLOOKUP(EDATE(B130,-12),Data!$A:$AX,MATCH($O$1,Data!$A$1:$AX$1,),))/VLOOKUP(EDATE(B130,-12),Data!$A:$AX,MATCH($O$1,Data!$A$1:$AX$1,),)</f>
        <v/>
      </c>
      <c r="P130" s="20">
        <f>(VLOOKUP(B130,Data!$A:$AX,MATCH($P$1,Data!$A$1:$AX$1,),)-VLOOKUP(EDATE(B130,-12),Data!$A:$AX,MATCH($P$1,Data!$A$1:$AX$1,),))/VLOOKUP(EDATE(B130,-12),Data!$A:$AX,MATCH($P$1,Data!$A$1:$AX$1,),)</f>
        <v/>
      </c>
      <c r="Q130" s="20">
        <f>(VLOOKUP(B130,Data!$A:$AX,MATCH($Q$1,Data!$A$1:$AX$1,),)-VLOOKUP(EDATE(B130,-12),Data!$A:$AX,MATCH($Q$1,Data!$A$1:$AX$1,),))/VLOOKUP(EDATE(B130,-12),Data!$A:$AX,MATCH($Q$1,Data!$A$1:$AX$1,),)</f>
        <v/>
      </c>
      <c r="R130" s="20">
        <f>(VLOOKUP(B130,Data!$A:$AX,MATCH($R$1,Data!$A$1:$AX$1,),)-VLOOKUP(EDATE(B130,-12),Data!$A:$AX,MATCH($R$1,Data!$A$1:$AX$1,),))/VLOOKUP(EDATE(B130,-12),Data!$A:$AX,MATCH($R$1,Data!$A$1:$AX$1,),)</f>
        <v/>
      </c>
      <c r="S130" s="20">
        <f>(VLOOKUP(B130,Data!$A:$AX,MATCH($S$1,Data!$A$1:$AX$1,),)-VLOOKUP(EDATE(B130,-12),Data!$A:$AX,MATCH($S$1,Data!$A$1:$AX$1,),))/VLOOKUP(EDATE(B130,-12),Data!$A:$AX,MATCH($S$1,Data!$A$1:$AX$1,),)</f>
        <v/>
      </c>
      <c r="T130" s="20">
        <f>(VLOOKUP(B130,Data!$A:$AX,MATCH($T$1,Data!$A$1:$AX$1,),)-VLOOKUP(EDATE(B130,-12),Data!$A:$AX,MATCH($T$1,Data!$A$1:$AX$1,),))/VLOOKUP(EDATE(B130,-12),Data!$A:$AX,MATCH($T$1,Data!$A$1:$AX$1,),)</f>
        <v/>
      </c>
      <c r="U130" s="20">
        <f>(VLOOKUP(B130,Data!$A:$AX,MATCH($U$1,Data!$A$1:$AX$1,),)-VLOOKUP(EDATE(B130,-12),Data!$A:$AX,MATCH($U$1,Data!$A$1:$AX$1,),))/VLOOKUP(EDATE(B130,-12),Data!$A:$AX,MATCH($U$1,Data!$A$1:$AX$1,),)</f>
        <v/>
      </c>
      <c r="V130" s="20">
        <f>(VLOOKUP(B130,Data!$A:$AX,MATCH($V$1,Data!$A$1:$AX$1,),)-VLOOKUP(EDATE(B130,-12),Data!$A:$AX,MATCH($V$1,Data!$A$1:$AX$1,),))/VLOOKUP(EDATE(B130,-12),Data!$A:$AX,MATCH($V$1,Data!$A$1:$AX$1,),)</f>
        <v/>
      </c>
      <c r="W130" s="20">
        <f>(VLOOKUP(B130,Data!$A:$AX,MATCH($W$1,Data!$A$1:$AX$1,),)-VLOOKUP(EDATE(B130,-12),Data!$A:$AX,MATCH($W$1,Data!$A$1:$AX$1,),))/VLOOKUP(EDATE(B130,-12),Data!$A:$AX,MATCH($W$1,Data!$A$1:$AX$1,),)</f>
        <v/>
      </c>
      <c r="X130" s="20">
        <f>(VLOOKUP(B130,Data!$A:$AX,MATCH($X$1,Data!$A$1:$AX$1,),)-VLOOKUP(EDATE(B130,-12),Data!$A:$AX,MATCH($X$1,Data!$A$1:$AX$1,),))/VLOOKUP(EDATE(B130,-12),Data!$A:$AX,MATCH($X$1,Data!$A$1:$AX$1,),)</f>
        <v/>
      </c>
      <c r="Y130" s="20">
        <f>(VLOOKUP(B130,Data!$A:$AX,MATCH($Y$1,Data!$A$1:$AX$1,),)-VLOOKUP(EDATE(B130,-12),Data!$A:$AX,MATCH($Y$1,Data!$A$1:$AX$1,),))/VLOOKUP(EDATE(B130,-12),Data!$A:$AX,MATCH($Y$1,Data!$A$1:$AX$1,),)</f>
        <v/>
      </c>
    </row>
    <row r="131" customFormat="1" s="76">
      <c r="B131" s="15" t="n">
        <v>44197</v>
      </c>
      <c r="C131" s="20">
        <f>(VLOOKUP(B131,Data!$A:$AX,MATCH($C$1,Data!$A$1:$AX$1,),)-VLOOKUP(EDATE(B131,-12),Data!$A:$AX,MATCH($C$1,Data!$A$1:$AX$1,),))/VLOOKUP(EDATE(B131,-12),Data!$A:$AX,MATCH($C$1,Data!$A$1:$AX$1,),)</f>
        <v/>
      </c>
      <c r="D131" s="20">
        <f>(VLOOKUP(B131,Data!$A:$AX,MATCH($D$1,Data!$A$1:$AX$1,),)-VLOOKUP(EDATE(B131,-12),Data!$A:$AX,MATCH($D$1,Data!$A$1:$AX$1,),))/VLOOKUP(EDATE(B131,-12),Data!$A:$AX,MATCH($D$1,Data!$A$1:$AX$1,),)</f>
        <v/>
      </c>
      <c r="E131" s="20">
        <f>(VLOOKUP(B131,Data!$A:$AX,MATCH($E$1,Data!$A$1:$AX$1,),)-VLOOKUP(EDATE(B131,-12),Data!$A:$AX,MATCH($E$1,Data!$A$1:$AX$1,),))/VLOOKUP(EDATE(B131,-12),Data!$A:$AX,MATCH($E$1,Data!$A$1:$AX$1,),)</f>
        <v/>
      </c>
      <c r="F131" s="20">
        <f>(VLOOKUP(B131,Data!$A:$AX,MATCH($F$1,Data!$A$1:$AX$1,),)-VLOOKUP(EDATE(B131,-12),Data!$A:$AX,MATCH($F$1,Data!$A$1:$AX$1,),))/VLOOKUP(EDATE(B131,-12),Data!$A:$AX,MATCH($F$1,Data!$A$1:$AX$1,),)</f>
        <v/>
      </c>
      <c r="G131" s="20">
        <f>(VLOOKUP(B131,Data!$A:$AX,MATCH($G$1,Data!$A$1:$AX$1,),)-VLOOKUP(EDATE(B131,-12),Data!$A:$AX,MATCH($G$1,Data!$A$1:$AX$1,),))/VLOOKUP(EDATE(B131,-12),Data!$A:$AX,MATCH($G$1,Data!$A$1:$AX$1,),)</f>
        <v/>
      </c>
      <c r="H131" s="20">
        <f>(VLOOKUP(B131,Data!$A:$AX,MATCH($H$1,Data!$A$1:$AX$1,),)-VLOOKUP(EDATE(B131,-12),Data!$A:$AX,MATCH($H$1,Data!$A$1:$AX$1,),))/VLOOKUP(EDATE(B131,-12),Data!$A:$AX,MATCH($H$1,Data!$A$1:$AX$1,),)</f>
        <v/>
      </c>
      <c r="I131" s="20">
        <f>(VLOOKUP(B131,Data!$A:$AX,MATCH($I$1,Data!$A$1:$AX$1,),)-VLOOKUP(EDATE(B131,-12),Data!$A:$AX,MATCH($I$1,Data!$A$1:$AX$1,),))/VLOOKUP(EDATE(B131,-12),Data!$A:$AX,MATCH($I$1,Data!$A$1:$AX$1,),)</f>
        <v/>
      </c>
      <c r="J131" s="20">
        <f>(VLOOKUP(B131,Data!$A:$AX,MATCH($J$1,Data!$A$1:$AX$1,),)-VLOOKUP(EDATE(B131,-12),Data!$A:$AX,MATCH($J$1,Data!$A$1:$AX$1,),))/VLOOKUP(EDATE(B131,-12),Data!$A:$AX,MATCH($J$1,Data!$A$1:$AX$1,),)</f>
        <v/>
      </c>
      <c r="K131" s="20">
        <f>(VLOOKUP(B131,Data!$A:$AX,MATCH($K$1,Data!$A$1:$AX$1,),)-VLOOKUP(EDATE(B131,-12),Data!$A:$AX,MATCH($K$1,Data!$A$1:$AX$1,),))/VLOOKUP(EDATE(B131,-12),Data!$A:$AX,MATCH($K$1,Data!$A$1:$AX$1,),)</f>
        <v/>
      </c>
      <c r="L131" s="20">
        <f>(VLOOKUP(B131,Data!$A:$AX,MATCH($L$1,Data!$A$1:$AX$1,),)-VLOOKUP(EDATE(B131,-12),Data!$A:$AX,MATCH($L$1,Data!$A$1:$AX$1,),))/VLOOKUP(EDATE(B131,-12),Data!$A:$AX,MATCH($L$1,Data!$A$1:$AX$1,),)</f>
        <v/>
      </c>
      <c r="M131" s="20">
        <f>(VLOOKUP(B131,Data!$A:$AX,MATCH($M$1,Data!$A$1:$AX$1,),)-VLOOKUP(EDATE(B131,-12),Data!$A:$AX,MATCH($M$1,Data!$A$1:$AX$1,),))/VLOOKUP(EDATE(B131,-12),Data!$A:$AX,MATCH($M$1,Data!$A$1:$AX$1,),)</f>
        <v/>
      </c>
      <c r="N131" s="20">
        <f>(VLOOKUP(B131,Data!$A:$AX,MATCH($N$1,Data!$A$1:$AX$1,),)-VLOOKUP(EDATE(B131,-12),Data!$A:$AX,MATCH($N$1,Data!$A$1:$AX$1,),))/VLOOKUP(EDATE(B131,-12),Data!$A:$AX,MATCH($N$1,Data!$A$1:$AX$1,),)</f>
        <v/>
      </c>
      <c r="O131" s="20">
        <f>(VLOOKUP(B131,Data!$A:$AX,MATCH($O$1,Data!$A$1:$AX$1,),)-VLOOKUP(EDATE(B131,-12),Data!$A:$AX,MATCH($O$1,Data!$A$1:$AX$1,),))/VLOOKUP(EDATE(B131,-12),Data!$A:$AX,MATCH($O$1,Data!$A$1:$AX$1,),)</f>
        <v/>
      </c>
      <c r="P131" s="20">
        <f>(VLOOKUP(B131,Data!$A:$AX,MATCH($P$1,Data!$A$1:$AX$1,),)-VLOOKUP(EDATE(B131,-12),Data!$A:$AX,MATCH($P$1,Data!$A$1:$AX$1,),))/VLOOKUP(EDATE(B131,-12),Data!$A:$AX,MATCH($P$1,Data!$A$1:$AX$1,),)</f>
        <v/>
      </c>
      <c r="Q131" s="20">
        <f>(VLOOKUP(B131,Data!$A:$AX,MATCH($Q$1,Data!$A$1:$AX$1,),)-VLOOKUP(EDATE(B131,-12),Data!$A:$AX,MATCH($Q$1,Data!$A$1:$AX$1,),))/VLOOKUP(EDATE(B131,-12),Data!$A:$AX,MATCH($Q$1,Data!$A$1:$AX$1,),)</f>
        <v/>
      </c>
      <c r="R131" s="20">
        <f>(VLOOKUP(B131,Data!$A:$AX,MATCH($R$1,Data!$A$1:$AX$1,),)-VLOOKUP(EDATE(B131,-12),Data!$A:$AX,MATCH($R$1,Data!$A$1:$AX$1,),))/VLOOKUP(EDATE(B131,-12),Data!$A:$AX,MATCH($R$1,Data!$A$1:$AX$1,),)</f>
        <v/>
      </c>
      <c r="S131" s="20">
        <f>(VLOOKUP(B131,Data!$A:$AX,MATCH($S$1,Data!$A$1:$AX$1,),)-VLOOKUP(EDATE(B131,-12),Data!$A:$AX,MATCH($S$1,Data!$A$1:$AX$1,),))/VLOOKUP(EDATE(B131,-12),Data!$A:$AX,MATCH($S$1,Data!$A$1:$AX$1,),)</f>
        <v/>
      </c>
      <c r="T131" s="20">
        <f>(VLOOKUP(B131,Data!$A:$AX,MATCH($T$1,Data!$A$1:$AX$1,),)-VLOOKUP(EDATE(B131,-12),Data!$A:$AX,MATCH($T$1,Data!$A$1:$AX$1,),))/VLOOKUP(EDATE(B131,-12),Data!$A:$AX,MATCH($T$1,Data!$A$1:$AX$1,),)</f>
        <v/>
      </c>
      <c r="U131" s="20">
        <f>(VLOOKUP(B131,Data!$A:$AX,MATCH($U$1,Data!$A$1:$AX$1,),)-VLOOKUP(EDATE(B131,-12),Data!$A:$AX,MATCH($U$1,Data!$A$1:$AX$1,),))/VLOOKUP(EDATE(B131,-12),Data!$A:$AX,MATCH($U$1,Data!$A$1:$AX$1,),)</f>
        <v/>
      </c>
      <c r="V131" s="20">
        <f>(VLOOKUP(B131,Data!$A:$AX,MATCH($V$1,Data!$A$1:$AX$1,),)-VLOOKUP(EDATE(B131,-12),Data!$A:$AX,MATCH($V$1,Data!$A$1:$AX$1,),))/VLOOKUP(EDATE(B131,-12),Data!$A:$AX,MATCH($V$1,Data!$A$1:$AX$1,),)</f>
        <v/>
      </c>
      <c r="W131" s="20">
        <f>(VLOOKUP(B131,Data!$A:$AX,MATCH($W$1,Data!$A$1:$AX$1,),)-VLOOKUP(EDATE(B131,-12),Data!$A:$AX,MATCH($W$1,Data!$A$1:$AX$1,),))/VLOOKUP(EDATE(B131,-12),Data!$A:$AX,MATCH($W$1,Data!$A$1:$AX$1,),)</f>
        <v/>
      </c>
      <c r="X131" s="20">
        <f>(VLOOKUP(B131,Data!$A:$AX,MATCH($X$1,Data!$A$1:$AX$1,),)-VLOOKUP(EDATE(B131,-12),Data!$A:$AX,MATCH($X$1,Data!$A$1:$AX$1,),))/VLOOKUP(EDATE(B131,-12),Data!$A:$AX,MATCH($X$1,Data!$A$1:$AX$1,),)</f>
        <v/>
      </c>
      <c r="Y131" s="20">
        <f>(VLOOKUP(B131,Data!$A:$AX,MATCH($Y$1,Data!$A$1:$AX$1,),)-VLOOKUP(EDATE(B131,-12),Data!$A:$AX,MATCH($Y$1,Data!$A$1:$AX$1,),))/VLOOKUP(EDATE(B131,-12),Data!$A:$AX,MATCH($Y$1,Data!$A$1:$AX$1,),)</f>
        <v/>
      </c>
    </row>
    <row r="132" customFormat="1" s="76">
      <c r="B132" s="15" t="n">
        <v>44228</v>
      </c>
      <c r="C132" s="20">
        <f>(VLOOKUP(B132,Data!$A:$AX,MATCH($C$1,Data!$A$1:$AX$1,),)-VLOOKUP(EDATE(B132,-12),Data!$A:$AX,MATCH($C$1,Data!$A$1:$AX$1,),))/VLOOKUP(EDATE(B132,-12),Data!$A:$AX,MATCH($C$1,Data!$A$1:$AX$1,),)</f>
        <v/>
      </c>
      <c r="D132" s="20">
        <f>(VLOOKUP(B132,Data!$A:$AX,MATCH($D$1,Data!$A$1:$AX$1,),)-VLOOKUP(EDATE(B132,-12),Data!$A:$AX,MATCH($D$1,Data!$A$1:$AX$1,),))/VLOOKUP(EDATE(B132,-12),Data!$A:$AX,MATCH($D$1,Data!$A$1:$AX$1,),)</f>
        <v/>
      </c>
      <c r="E132" s="20">
        <f>(VLOOKUP(B132,Data!$A:$AX,MATCH($E$1,Data!$A$1:$AX$1,),)-VLOOKUP(EDATE(B132,-12),Data!$A:$AX,MATCH($E$1,Data!$A$1:$AX$1,),))/VLOOKUP(EDATE(B132,-12),Data!$A:$AX,MATCH($E$1,Data!$A$1:$AX$1,),)</f>
        <v/>
      </c>
      <c r="F132" s="20">
        <f>(VLOOKUP(B132,Data!$A:$AX,MATCH($F$1,Data!$A$1:$AX$1,),)-VLOOKUP(EDATE(B132,-12),Data!$A:$AX,MATCH($F$1,Data!$A$1:$AX$1,),))/VLOOKUP(EDATE(B132,-12),Data!$A:$AX,MATCH($F$1,Data!$A$1:$AX$1,),)</f>
        <v/>
      </c>
      <c r="G132" s="20">
        <f>(VLOOKUP(B132,Data!$A:$AX,MATCH($G$1,Data!$A$1:$AX$1,),)-VLOOKUP(EDATE(B132,-12),Data!$A:$AX,MATCH($G$1,Data!$A$1:$AX$1,),))/VLOOKUP(EDATE(B132,-12),Data!$A:$AX,MATCH($G$1,Data!$A$1:$AX$1,),)</f>
        <v/>
      </c>
      <c r="H132" s="20">
        <f>(VLOOKUP(B132,Data!$A:$AX,MATCH($H$1,Data!$A$1:$AX$1,),)-VLOOKUP(EDATE(B132,-12),Data!$A:$AX,MATCH($H$1,Data!$A$1:$AX$1,),))/VLOOKUP(EDATE(B132,-12),Data!$A:$AX,MATCH($H$1,Data!$A$1:$AX$1,),)</f>
        <v/>
      </c>
      <c r="I132" s="20">
        <f>(VLOOKUP(B132,Data!$A:$AX,MATCH($I$1,Data!$A$1:$AX$1,),)-VLOOKUP(EDATE(B132,-12),Data!$A:$AX,MATCH($I$1,Data!$A$1:$AX$1,),))/VLOOKUP(EDATE(B132,-12),Data!$A:$AX,MATCH($I$1,Data!$A$1:$AX$1,),)</f>
        <v/>
      </c>
      <c r="J132" s="20">
        <f>(VLOOKUP(B132,Data!$A:$AX,MATCH($J$1,Data!$A$1:$AX$1,),)-VLOOKUP(EDATE(B132,-12),Data!$A:$AX,MATCH($J$1,Data!$A$1:$AX$1,),))/VLOOKUP(EDATE(B132,-12),Data!$A:$AX,MATCH($J$1,Data!$A$1:$AX$1,),)</f>
        <v/>
      </c>
      <c r="K132" s="20">
        <f>(VLOOKUP(B132,Data!$A:$AX,MATCH($K$1,Data!$A$1:$AX$1,),)-VLOOKUP(EDATE(B132,-12),Data!$A:$AX,MATCH($K$1,Data!$A$1:$AX$1,),))/VLOOKUP(EDATE(B132,-12),Data!$A:$AX,MATCH($K$1,Data!$A$1:$AX$1,),)</f>
        <v/>
      </c>
      <c r="L132" s="20">
        <f>(VLOOKUP(B132,Data!$A:$AX,MATCH($L$1,Data!$A$1:$AX$1,),)-VLOOKUP(EDATE(B132,-12),Data!$A:$AX,MATCH($L$1,Data!$A$1:$AX$1,),))/VLOOKUP(EDATE(B132,-12),Data!$A:$AX,MATCH($L$1,Data!$A$1:$AX$1,),)</f>
        <v/>
      </c>
      <c r="M132" s="20">
        <f>(VLOOKUP(B132,Data!$A:$AX,MATCH($M$1,Data!$A$1:$AX$1,),)-VLOOKUP(EDATE(B132,-12),Data!$A:$AX,MATCH($M$1,Data!$A$1:$AX$1,),))/VLOOKUP(EDATE(B132,-12),Data!$A:$AX,MATCH($M$1,Data!$A$1:$AX$1,),)</f>
        <v/>
      </c>
      <c r="N132" s="20">
        <f>(VLOOKUP(B132,Data!$A:$AX,MATCH($N$1,Data!$A$1:$AX$1,),)-VLOOKUP(EDATE(B132,-12),Data!$A:$AX,MATCH($N$1,Data!$A$1:$AX$1,),))/VLOOKUP(EDATE(B132,-12),Data!$A:$AX,MATCH($N$1,Data!$A$1:$AX$1,),)</f>
        <v/>
      </c>
      <c r="O132" s="20">
        <f>(VLOOKUP(B132,Data!$A:$AX,MATCH($O$1,Data!$A$1:$AX$1,),)-VLOOKUP(EDATE(B132,-12),Data!$A:$AX,MATCH($O$1,Data!$A$1:$AX$1,),))/VLOOKUP(EDATE(B132,-12),Data!$A:$AX,MATCH($O$1,Data!$A$1:$AX$1,),)</f>
        <v/>
      </c>
      <c r="P132" s="20">
        <f>(VLOOKUP(B132,Data!$A:$AX,MATCH($P$1,Data!$A$1:$AX$1,),)-VLOOKUP(EDATE(B132,-12),Data!$A:$AX,MATCH($P$1,Data!$A$1:$AX$1,),))/VLOOKUP(EDATE(B132,-12),Data!$A:$AX,MATCH($P$1,Data!$A$1:$AX$1,),)</f>
        <v/>
      </c>
      <c r="Q132" s="20">
        <f>(VLOOKUP(B132,Data!$A:$AX,MATCH($Q$1,Data!$A$1:$AX$1,),)-VLOOKUP(EDATE(B132,-12),Data!$A:$AX,MATCH($Q$1,Data!$A$1:$AX$1,),))/VLOOKUP(EDATE(B132,-12),Data!$A:$AX,MATCH($Q$1,Data!$A$1:$AX$1,),)</f>
        <v/>
      </c>
      <c r="R132" s="20">
        <f>(VLOOKUP(B132,Data!$A:$AX,MATCH($R$1,Data!$A$1:$AX$1,),)-VLOOKUP(EDATE(B132,-12),Data!$A:$AX,MATCH($R$1,Data!$A$1:$AX$1,),))/VLOOKUP(EDATE(B132,-12),Data!$A:$AX,MATCH($R$1,Data!$A$1:$AX$1,),)</f>
        <v/>
      </c>
      <c r="S132" s="20">
        <f>(VLOOKUP(B132,Data!$A:$AX,MATCH($S$1,Data!$A$1:$AX$1,),)-VLOOKUP(EDATE(B132,-12),Data!$A:$AX,MATCH($S$1,Data!$A$1:$AX$1,),))/VLOOKUP(EDATE(B132,-12),Data!$A:$AX,MATCH($S$1,Data!$A$1:$AX$1,),)</f>
        <v/>
      </c>
      <c r="T132" s="20">
        <f>(VLOOKUP(B132,Data!$A:$AX,MATCH($T$1,Data!$A$1:$AX$1,),)-VLOOKUP(EDATE(B132,-12),Data!$A:$AX,MATCH($T$1,Data!$A$1:$AX$1,),))/VLOOKUP(EDATE(B132,-12),Data!$A:$AX,MATCH($T$1,Data!$A$1:$AX$1,),)</f>
        <v/>
      </c>
      <c r="U132" s="20">
        <f>(VLOOKUP(B132,Data!$A:$AX,MATCH($U$1,Data!$A$1:$AX$1,),)-VLOOKUP(EDATE(B132,-12),Data!$A:$AX,MATCH($U$1,Data!$A$1:$AX$1,),))/VLOOKUP(EDATE(B132,-12),Data!$A:$AX,MATCH($U$1,Data!$A$1:$AX$1,),)</f>
        <v/>
      </c>
      <c r="V132" s="20">
        <f>(VLOOKUP(B132,Data!$A:$AX,MATCH($V$1,Data!$A$1:$AX$1,),)-VLOOKUP(EDATE(B132,-12),Data!$A:$AX,MATCH($V$1,Data!$A$1:$AX$1,),))/VLOOKUP(EDATE(B132,-12),Data!$A:$AX,MATCH($V$1,Data!$A$1:$AX$1,),)</f>
        <v/>
      </c>
      <c r="W132" s="20">
        <f>(VLOOKUP(B132,Data!$A:$AX,MATCH($W$1,Data!$A$1:$AX$1,),)-VLOOKUP(EDATE(B132,-12),Data!$A:$AX,MATCH($W$1,Data!$A$1:$AX$1,),))/VLOOKUP(EDATE(B132,-12),Data!$A:$AX,MATCH($W$1,Data!$A$1:$AX$1,),)</f>
        <v/>
      </c>
      <c r="X132" s="20">
        <f>(VLOOKUP(B132,Data!$A:$AX,MATCH($X$1,Data!$A$1:$AX$1,),)-VLOOKUP(EDATE(B132,-12),Data!$A:$AX,MATCH($X$1,Data!$A$1:$AX$1,),))/VLOOKUP(EDATE(B132,-12),Data!$A:$AX,MATCH($X$1,Data!$A$1:$AX$1,),)</f>
        <v/>
      </c>
      <c r="Y132" s="20">
        <f>(VLOOKUP(B132,Data!$A:$AX,MATCH($Y$1,Data!$A$1:$AX$1,),)-VLOOKUP(EDATE(B132,-12),Data!$A:$AX,MATCH($Y$1,Data!$A$1:$AX$1,),))/VLOOKUP(EDATE(B132,-12),Data!$A:$AX,MATCH($Y$1,Data!$A$1:$AX$1,),)</f>
        <v/>
      </c>
    </row>
    <row r="133" customFormat="1" s="76">
      <c r="B133" s="15" t="n">
        <v>44256</v>
      </c>
      <c r="C133" s="20">
        <f>(VLOOKUP(B133,Data!$A:$AX,MATCH($C$1,Data!$A$1:$AX$1,),)-VLOOKUP(EDATE(B133,-12),Data!$A:$AX,MATCH($C$1,Data!$A$1:$AX$1,),))/VLOOKUP(EDATE(B133,-12),Data!$A:$AX,MATCH($C$1,Data!$A$1:$AX$1,),)</f>
        <v/>
      </c>
      <c r="D133" s="20">
        <f>(VLOOKUP(B133,Data!$A:$AX,MATCH($D$1,Data!$A$1:$AX$1,),)-VLOOKUP(EDATE(B133,-12),Data!$A:$AX,MATCH($D$1,Data!$A$1:$AX$1,),))/VLOOKUP(EDATE(B133,-12),Data!$A:$AX,MATCH($D$1,Data!$A$1:$AX$1,),)</f>
        <v/>
      </c>
      <c r="E133" s="20">
        <f>(VLOOKUP(B133,Data!$A:$AX,MATCH($E$1,Data!$A$1:$AX$1,),)-VLOOKUP(EDATE(B133,-12),Data!$A:$AX,MATCH($E$1,Data!$A$1:$AX$1,),))/VLOOKUP(EDATE(B133,-12),Data!$A:$AX,MATCH($E$1,Data!$A$1:$AX$1,),)</f>
        <v/>
      </c>
      <c r="F133" s="20">
        <f>(VLOOKUP(B133,Data!$A:$AX,MATCH($F$1,Data!$A$1:$AX$1,),)-VLOOKUP(EDATE(B133,-12),Data!$A:$AX,MATCH($F$1,Data!$A$1:$AX$1,),))/VLOOKUP(EDATE(B133,-12),Data!$A:$AX,MATCH($F$1,Data!$A$1:$AX$1,),)</f>
        <v/>
      </c>
      <c r="G133" s="20">
        <f>(VLOOKUP(B133,Data!$A:$AX,MATCH($G$1,Data!$A$1:$AX$1,),)-VLOOKUP(EDATE(B133,-12),Data!$A:$AX,MATCH($G$1,Data!$A$1:$AX$1,),))/VLOOKUP(EDATE(B133,-12),Data!$A:$AX,MATCH($G$1,Data!$A$1:$AX$1,),)</f>
        <v/>
      </c>
      <c r="H133" s="20">
        <f>(VLOOKUP(B133,Data!$A:$AX,MATCH($H$1,Data!$A$1:$AX$1,),)-VLOOKUP(EDATE(B133,-12),Data!$A:$AX,MATCH($H$1,Data!$A$1:$AX$1,),))/VLOOKUP(EDATE(B133,-12),Data!$A:$AX,MATCH($H$1,Data!$A$1:$AX$1,),)</f>
        <v/>
      </c>
      <c r="I133" s="20">
        <f>(VLOOKUP(B133,Data!$A:$AX,MATCH($I$1,Data!$A$1:$AX$1,),)-VLOOKUP(EDATE(B133,-12),Data!$A:$AX,MATCH($I$1,Data!$A$1:$AX$1,),))/VLOOKUP(EDATE(B133,-12),Data!$A:$AX,MATCH($I$1,Data!$A$1:$AX$1,),)</f>
        <v/>
      </c>
      <c r="J133" s="20">
        <f>(VLOOKUP(B133,Data!$A:$AX,MATCH($J$1,Data!$A$1:$AX$1,),)-VLOOKUP(EDATE(B133,-12),Data!$A:$AX,MATCH($J$1,Data!$A$1:$AX$1,),))/VLOOKUP(EDATE(B133,-12),Data!$A:$AX,MATCH($J$1,Data!$A$1:$AX$1,),)</f>
        <v/>
      </c>
      <c r="K133" s="20">
        <f>(VLOOKUP(B133,Data!$A:$AX,MATCH($K$1,Data!$A$1:$AX$1,),)-VLOOKUP(EDATE(B133,-12),Data!$A:$AX,MATCH($K$1,Data!$A$1:$AX$1,),))/VLOOKUP(EDATE(B133,-12),Data!$A:$AX,MATCH($K$1,Data!$A$1:$AX$1,),)</f>
        <v/>
      </c>
      <c r="L133" s="20">
        <f>(VLOOKUP(B133,Data!$A:$AX,MATCH($L$1,Data!$A$1:$AX$1,),)-VLOOKUP(EDATE(B133,-12),Data!$A:$AX,MATCH($L$1,Data!$A$1:$AX$1,),))/VLOOKUP(EDATE(B133,-12),Data!$A:$AX,MATCH($L$1,Data!$A$1:$AX$1,),)</f>
        <v/>
      </c>
      <c r="M133" s="20">
        <f>(VLOOKUP(B133,Data!$A:$AX,MATCH($M$1,Data!$A$1:$AX$1,),)-VLOOKUP(EDATE(B133,-12),Data!$A:$AX,MATCH($M$1,Data!$A$1:$AX$1,),))/VLOOKUP(EDATE(B133,-12),Data!$A:$AX,MATCH($M$1,Data!$A$1:$AX$1,),)</f>
        <v/>
      </c>
      <c r="N133" s="20">
        <f>(VLOOKUP(B133,Data!$A:$AX,MATCH($N$1,Data!$A$1:$AX$1,),)-VLOOKUP(EDATE(B133,-12),Data!$A:$AX,MATCH($N$1,Data!$A$1:$AX$1,),))/VLOOKUP(EDATE(B133,-12),Data!$A:$AX,MATCH($N$1,Data!$A$1:$AX$1,),)</f>
        <v/>
      </c>
      <c r="O133" s="20">
        <f>(VLOOKUP(B133,Data!$A:$AX,MATCH($O$1,Data!$A$1:$AX$1,),)-VLOOKUP(EDATE(B133,-12),Data!$A:$AX,MATCH($O$1,Data!$A$1:$AX$1,),))/VLOOKUP(EDATE(B133,-12),Data!$A:$AX,MATCH($O$1,Data!$A$1:$AX$1,),)</f>
        <v/>
      </c>
      <c r="P133" s="20">
        <f>(VLOOKUP(B133,Data!$A:$AX,MATCH($P$1,Data!$A$1:$AX$1,),)-VLOOKUP(EDATE(B133,-12),Data!$A:$AX,MATCH($P$1,Data!$A$1:$AX$1,),))/VLOOKUP(EDATE(B133,-12),Data!$A:$AX,MATCH($P$1,Data!$A$1:$AX$1,),)</f>
        <v/>
      </c>
      <c r="Q133" s="20">
        <f>(VLOOKUP(B133,Data!$A:$AX,MATCH($Q$1,Data!$A$1:$AX$1,),)-VLOOKUP(EDATE(B133,-12),Data!$A:$AX,MATCH($Q$1,Data!$A$1:$AX$1,),))/VLOOKUP(EDATE(B133,-12),Data!$A:$AX,MATCH($Q$1,Data!$A$1:$AX$1,),)</f>
        <v/>
      </c>
      <c r="R133" s="20">
        <f>(VLOOKUP(B133,Data!$A:$AX,MATCH($R$1,Data!$A$1:$AX$1,),)-VLOOKUP(EDATE(B133,-12),Data!$A:$AX,MATCH($R$1,Data!$A$1:$AX$1,),))/VLOOKUP(EDATE(B133,-12),Data!$A:$AX,MATCH($R$1,Data!$A$1:$AX$1,),)</f>
        <v/>
      </c>
      <c r="S133" s="20">
        <f>(VLOOKUP(B133,Data!$A:$AX,MATCH($S$1,Data!$A$1:$AX$1,),)-VLOOKUP(EDATE(B133,-12),Data!$A:$AX,MATCH($S$1,Data!$A$1:$AX$1,),))/VLOOKUP(EDATE(B133,-12),Data!$A:$AX,MATCH($S$1,Data!$A$1:$AX$1,),)</f>
        <v/>
      </c>
      <c r="T133" s="20">
        <f>(VLOOKUP(B133,Data!$A:$AX,MATCH($T$1,Data!$A$1:$AX$1,),)-VLOOKUP(EDATE(B133,-12),Data!$A:$AX,MATCH($T$1,Data!$A$1:$AX$1,),))/VLOOKUP(EDATE(B133,-12),Data!$A:$AX,MATCH($T$1,Data!$A$1:$AX$1,),)</f>
        <v/>
      </c>
      <c r="U133" s="20">
        <f>(VLOOKUP(B133,Data!$A:$AX,MATCH($U$1,Data!$A$1:$AX$1,),)-VLOOKUP(EDATE(B133,-12),Data!$A:$AX,MATCH($U$1,Data!$A$1:$AX$1,),))/VLOOKUP(EDATE(B133,-12),Data!$A:$AX,MATCH($U$1,Data!$A$1:$AX$1,),)</f>
        <v/>
      </c>
      <c r="V133" s="20">
        <f>(VLOOKUP(B133,Data!$A:$AX,MATCH($V$1,Data!$A$1:$AX$1,),)-VLOOKUP(EDATE(B133,-12),Data!$A:$AX,MATCH($V$1,Data!$A$1:$AX$1,),))/VLOOKUP(EDATE(B133,-12),Data!$A:$AX,MATCH($V$1,Data!$A$1:$AX$1,),)</f>
        <v/>
      </c>
      <c r="W133" s="20">
        <f>(VLOOKUP(B133,Data!$A:$AX,MATCH($W$1,Data!$A$1:$AX$1,),)-VLOOKUP(EDATE(B133,-12),Data!$A:$AX,MATCH($W$1,Data!$A$1:$AX$1,),))/VLOOKUP(EDATE(B133,-12),Data!$A:$AX,MATCH($W$1,Data!$A$1:$AX$1,),)</f>
        <v/>
      </c>
      <c r="X133" s="20">
        <f>(VLOOKUP(B133,Data!$A:$AX,MATCH($X$1,Data!$A$1:$AX$1,),)-VLOOKUP(EDATE(B133,-12),Data!$A:$AX,MATCH($X$1,Data!$A$1:$AX$1,),))/VLOOKUP(EDATE(B133,-12),Data!$A:$AX,MATCH($X$1,Data!$A$1:$AX$1,),)</f>
        <v/>
      </c>
      <c r="Y133" s="20">
        <f>(VLOOKUP(B133,Data!$A:$AX,MATCH($Y$1,Data!$A$1:$AX$1,),)-VLOOKUP(EDATE(B133,-12),Data!$A:$AX,MATCH($Y$1,Data!$A$1:$AX$1,),))/VLOOKUP(EDATE(B133,-12),Data!$A:$AX,MATCH($Y$1,Data!$A$1:$AX$1,),)</f>
        <v/>
      </c>
    </row>
    <row r="134" customFormat="1" s="76">
      <c r="B134" s="15" t="n">
        <v>44287</v>
      </c>
      <c r="C134" s="20">
        <f>(VLOOKUP(B134,Data!$A:$AX,MATCH($C$1,Data!$A$1:$AX$1,),)-VLOOKUP(EDATE(B134,-12),Data!$A:$AX,MATCH($C$1,Data!$A$1:$AX$1,),))/VLOOKUP(EDATE(B134,-12),Data!$A:$AX,MATCH($C$1,Data!$A$1:$AX$1,),)</f>
        <v/>
      </c>
      <c r="D134" s="20">
        <f>(VLOOKUP(B134,Data!$A:$AX,MATCH($D$1,Data!$A$1:$AX$1,),)-VLOOKUP(EDATE(B134,-12),Data!$A:$AX,MATCH($D$1,Data!$A$1:$AX$1,),))/VLOOKUP(EDATE(B134,-12),Data!$A:$AX,MATCH($D$1,Data!$A$1:$AX$1,),)</f>
        <v/>
      </c>
      <c r="E134" s="20">
        <f>(VLOOKUP(B134,Data!$A:$AX,MATCH($E$1,Data!$A$1:$AX$1,),)-VLOOKUP(EDATE(B134,-12),Data!$A:$AX,MATCH($E$1,Data!$A$1:$AX$1,),))/VLOOKUP(EDATE(B134,-12),Data!$A:$AX,MATCH($E$1,Data!$A$1:$AX$1,),)</f>
        <v/>
      </c>
      <c r="F134" s="20">
        <f>(VLOOKUP(B134,Data!$A:$AX,MATCH($F$1,Data!$A$1:$AX$1,),)-VLOOKUP(EDATE(B134,-12),Data!$A:$AX,MATCH($F$1,Data!$A$1:$AX$1,),))/VLOOKUP(EDATE(B134,-12),Data!$A:$AX,MATCH($F$1,Data!$A$1:$AX$1,),)</f>
        <v/>
      </c>
      <c r="G134" s="20">
        <f>(VLOOKUP(B134,Data!$A:$AX,MATCH($G$1,Data!$A$1:$AX$1,),)-VLOOKUP(EDATE(B134,-12),Data!$A:$AX,MATCH($G$1,Data!$A$1:$AX$1,),))/VLOOKUP(EDATE(B134,-12),Data!$A:$AX,MATCH($G$1,Data!$A$1:$AX$1,),)</f>
        <v/>
      </c>
      <c r="H134" s="20">
        <f>(VLOOKUP(B134,Data!$A:$AX,MATCH($H$1,Data!$A$1:$AX$1,),)-VLOOKUP(EDATE(B134,-12),Data!$A:$AX,MATCH($H$1,Data!$A$1:$AX$1,),))/VLOOKUP(EDATE(B134,-12),Data!$A:$AX,MATCH($H$1,Data!$A$1:$AX$1,),)</f>
        <v/>
      </c>
      <c r="I134" s="20">
        <f>(VLOOKUP(B134,Data!$A:$AX,MATCH($I$1,Data!$A$1:$AX$1,),)-VLOOKUP(EDATE(B134,-12),Data!$A:$AX,MATCH($I$1,Data!$A$1:$AX$1,),))/VLOOKUP(EDATE(B134,-12),Data!$A:$AX,MATCH($I$1,Data!$A$1:$AX$1,),)</f>
        <v/>
      </c>
      <c r="J134" s="20">
        <f>(VLOOKUP(B134,Data!$A:$AX,MATCH($J$1,Data!$A$1:$AX$1,),)-VLOOKUP(EDATE(B134,-12),Data!$A:$AX,MATCH($J$1,Data!$A$1:$AX$1,),))/VLOOKUP(EDATE(B134,-12),Data!$A:$AX,MATCH($J$1,Data!$A$1:$AX$1,),)</f>
        <v/>
      </c>
      <c r="K134" s="20">
        <f>(VLOOKUP(B134,Data!$A:$AX,MATCH($K$1,Data!$A$1:$AX$1,),)-VLOOKUP(EDATE(B134,-12),Data!$A:$AX,MATCH($K$1,Data!$A$1:$AX$1,),))/VLOOKUP(EDATE(B134,-12),Data!$A:$AX,MATCH($K$1,Data!$A$1:$AX$1,),)</f>
        <v/>
      </c>
      <c r="L134" s="20">
        <f>(VLOOKUP(B134,Data!$A:$AX,MATCH($L$1,Data!$A$1:$AX$1,),)-VLOOKUP(EDATE(B134,-12),Data!$A:$AX,MATCH($L$1,Data!$A$1:$AX$1,),))/VLOOKUP(EDATE(B134,-12),Data!$A:$AX,MATCH($L$1,Data!$A$1:$AX$1,),)</f>
        <v/>
      </c>
      <c r="M134" s="20">
        <f>(VLOOKUP(B134,Data!$A:$AX,MATCH($M$1,Data!$A$1:$AX$1,),)-VLOOKUP(EDATE(B134,-12),Data!$A:$AX,MATCH($M$1,Data!$A$1:$AX$1,),))/VLOOKUP(EDATE(B134,-12),Data!$A:$AX,MATCH($M$1,Data!$A$1:$AX$1,),)</f>
        <v/>
      </c>
      <c r="N134" s="20">
        <f>(VLOOKUP(B134,Data!$A:$AX,MATCH($N$1,Data!$A$1:$AX$1,),)-VLOOKUP(EDATE(B134,-12),Data!$A:$AX,MATCH($N$1,Data!$A$1:$AX$1,),))/VLOOKUP(EDATE(B134,-12),Data!$A:$AX,MATCH($N$1,Data!$A$1:$AX$1,),)</f>
        <v/>
      </c>
      <c r="O134" s="20">
        <f>(VLOOKUP(B134,Data!$A:$AX,MATCH($O$1,Data!$A$1:$AX$1,),)-VLOOKUP(EDATE(B134,-12),Data!$A:$AX,MATCH($O$1,Data!$A$1:$AX$1,),))/VLOOKUP(EDATE(B134,-12),Data!$A:$AX,MATCH($O$1,Data!$A$1:$AX$1,),)</f>
        <v/>
      </c>
      <c r="P134" s="20">
        <f>(VLOOKUP(B134,Data!$A:$AX,MATCH($P$1,Data!$A$1:$AX$1,),)-VLOOKUP(EDATE(B134,-12),Data!$A:$AX,MATCH($P$1,Data!$A$1:$AX$1,),))/VLOOKUP(EDATE(B134,-12),Data!$A:$AX,MATCH($P$1,Data!$A$1:$AX$1,),)</f>
        <v/>
      </c>
      <c r="Q134" s="20">
        <f>(VLOOKUP(B134,Data!$A:$AX,MATCH($Q$1,Data!$A$1:$AX$1,),)-VLOOKUP(EDATE(B134,-12),Data!$A:$AX,MATCH($Q$1,Data!$A$1:$AX$1,),))/VLOOKUP(EDATE(B134,-12),Data!$A:$AX,MATCH($Q$1,Data!$A$1:$AX$1,),)</f>
        <v/>
      </c>
      <c r="R134" s="20">
        <f>(VLOOKUP(B134,Data!$A:$AX,MATCH($R$1,Data!$A$1:$AX$1,),)-VLOOKUP(EDATE(B134,-12),Data!$A:$AX,MATCH($R$1,Data!$A$1:$AX$1,),))/VLOOKUP(EDATE(B134,-12),Data!$A:$AX,MATCH($R$1,Data!$A$1:$AX$1,),)</f>
        <v/>
      </c>
      <c r="S134" s="20">
        <f>(VLOOKUP(B134,Data!$A:$AX,MATCH($S$1,Data!$A$1:$AX$1,),)-VLOOKUP(EDATE(B134,-12),Data!$A:$AX,MATCH($S$1,Data!$A$1:$AX$1,),))/VLOOKUP(EDATE(B134,-12),Data!$A:$AX,MATCH($S$1,Data!$A$1:$AX$1,),)</f>
        <v/>
      </c>
      <c r="T134" s="20">
        <f>(VLOOKUP(B134,Data!$A:$AX,MATCH($T$1,Data!$A$1:$AX$1,),)-VLOOKUP(EDATE(B134,-12),Data!$A:$AX,MATCH($T$1,Data!$A$1:$AX$1,),))/VLOOKUP(EDATE(B134,-12),Data!$A:$AX,MATCH($T$1,Data!$A$1:$AX$1,),)</f>
        <v/>
      </c>
      <c r="U134" s="20">
        <f>(VLOOKUP(B134,Data!$A:$AX,MATCH($U$1,Data!$A$1:$AX$1,),)-VLOOKUP(EDATE(B134,-12),Data!$A:$AX,MATCH($U$1,Data!$A$1:$AX$1,),))/VLOOKUP(EDATE(B134,-12),Data!$A:$AX,MATCH($U$1,Data!$A$1:$AX$1,),)</f>
        <v/>
      </c>
      <c r="V134" s="20">
        <f>(VLOOKUP(B134,Data!$A:$AX,MATCH($V$1,Data!$A$1:$AX$1,),)-VLOOKUP(EDATE(B134,-12),Data!$A:$AX,MATCH($V$1,Data!$A$1:$AX$1,),))/VLOOKUP(EDATE(B134,-12),Data!$A:$AX,MATCH($V$1,Data!$A$1:$AX$1,),)</f>
        <v/>
      </c>
      <c r="W134" s="20">
        <f>(VLOOKUP(B134,Data!$A:$AX,MATCH($W$1,Data!$A$1:$AX$1,),)-VLOOKUP(EDATE(B134,-12),Data!$A:$AX,MATCH($W$1,Data!$A$1:$AX$1,),))/VLOOKUP(EDATE(B134,-12),Data!$A:$AX,MATCH($W$1,Data!$A$1:$AX$1,),)</f>
        <v/>
      </c>
      <c r="X134" s="20">
        <f>(VLOOKUP(B134,Data!$A:$AX,MATCH($X$1,Data!$A$1:$AX$1,),)-VLOOKUP(EDATE(B134,-12),Data!$A:$AX,MATCH($X$1,Data!$A$1:$AX$1,),))/VLOOKUP(EDATE(B134,-12),Data!$A:$AX,MATCH($X$1,Data!$A$1:$AX$1,),)</f>
        <v/>
      </c>
      <c r="Y134" s="20">
        <f>(VLOOKUP(B134,Data!$A:$AX,MATCH($Y$1,Data!$A$1:$AX$1,),)-VLOOKUP(EDATE(B134,-12),Data!$A:$AX,MATCH($Y$1,Data!$A$1:$AX$1,),))/VLOOKUP(EDATE(B134,-12),Data!$A:$AX,MATCH($Y$1,Data!$A$1:$AX$1,),)</f>
        <v/>
      </c>
    </row>
    <row r="135" customFormat="1" s="76">
      <c r="B135" s="15" t="n">
        <v>44317</v>
      </c>
      <c r="C135" s="20">
        <f>(VLOOKUP(B135,Data!$A:$AX,MATCH($C$1,Data!$A$1:$AX$1,),)-VLOOKUP(EDATE(B135,-12),Data!$A:$AX,MATCH($C$1,Data!$A$1:$AX$1,),))/VLOOKUP(EDATE(B135,-12),Data!$A:$AX,MATCH($C$1,Data!$A$1:$AX$1,),)</f>
        <v/>
      </c>
      <c r="D135" s="20">
        <f>(VLOOKUP(B135,Data!$A:$AX,MATCH($D$1,Data!$A$1:$AX$1,),)-VLOOKUP(EDATE(B135,-12),Data!$A:$AX,MATCH($D$1,Data!$A$1:$AX$1,),))/VLOOKUP(EDATE(B135,-12),Data!$A:$AX,MATCH($D$1,Data!$A$1:$AX$1,),)</f>
        <v/>
      </c>
      <c r="E135" s="20">
        <f>(VLOOKUP(B135,Data!$A:$AX,MATCH($E$1,Data!$A$1:$AX$1,),)-VLOOKUP(EDATE(B135,-12),Data!$A:$AX,MATCH($E$1,Data!$A$1:$AX$1,),))/VLOOKUP(EDATE(B135,-12),Data!$A:$AX,MATCH($E$1,Data!$A$1:$AX$1,),)</f>
        <v/>
      </c>
      <c r="F135" s="20">
        <f>(VLOOKUP(B135,Data!$A:$AX,MATCH($F$1,Data!$A$1:$AX$1,),)-VLOOKUP(EDATE(B135,-12),Data!$A:$AX,MATCH($F$1,Data!$A$1:$AX$1,),))/VLOOKUP(EDATE(B135,-12),Data!$A:$AX,MATCH($F$1,Data!$A$1:$AX$1,),)</f>
        <v/>
      </c>
      <c r="G135" s="20">
        <f>(VLOOKUP(B135,Data!$A:$AX,MATCH($G$1,Data!$A$1:$AX$1,),)-VLOOKUP(EDATE(B135,-12),Data!$A:$AX,MATCH($G$1,Data!$A$1:$AX$1,),))/VLOOKUP(EDATE(B135,-12),Data!$A:$AX,MATCH($G$1,Data!$A$1:$AX$1,),)</f>
        <v/>
      </c>
      <c r="H135" s="20">
        <f>(VLOOKUP(B135,Data!$A:$AX,MATCH($H$1,Data!$A$1:$AX$1,),)-VLOOKUP(EDATE(B135,-12),Data!$A:$AX,MATCH($H$1,Data!$A$1:$AX$1,),))/VLOOKUP(EDATE(B135,-12),Data!$A:$AX,MATCH($H$1,Data!$A$1:$AX$1,),)</f>
        <v/>
      </c>
      <c r="I135" s="20">
        <f>(VLOOKUP(B135,Data!$A:$AX,MATCH($I$1,Data!$A$1:$AX$1,),)-VLOOKUP(EDATE(B135,-12),Data!$A:$AX,MATCH($I$1,Data!$A$1:$AX$1,),))/VLOOKUP(EDATE(B135,-12),Data!$A:$AX,MATCH($I$1,Data!$A$1:$AX$1,),)</f>
        <v/>
      </c>
      <c r="J135" s="20">
        <f>(VLOOKUP(B135,Data!$A:$AX,MATCH($J$1,Data!$A$1:$AX$1,),)-VLOOKUP(EDATE(B135,-12),Data!$A:$AX,MATCH($J$1,Data!$A$1:$AX$1,),))/VLOOKUP(EDATE(B135,-12),Data!$A:$AX,MATCH($J$1,Data!$A$1:$AX$1,),)</f>
        <v/>
      </c>
      <c r="K135" s="20">
        <f>(VLOOKUP(B135,Data!$A:$AX,MATCH($K$1,Data!$A$1:$AX$1,),)-VLOOKUP(EDATE(B135,-12),Data!$A:$AX,MATCH($K$1,Data!$A$1:$AX$1,),))/VLOOKUP(EDATE(B135,-12),Data!$A:$AX,MATCH($K$1,Data!$A$1:$AX$1,),)</f>
        <v/>
      </c>
      <c r="L135" s="20">
        <f>(VLOOKUP(B135,Data!$A:$AX,MATCH($L$1,Data!$A$1:$AX$1,),)-VLOOKUP(EDATE(B135,-12),Data!$A:$AX,MATCH($L$1,Data!$A$1:$AX$1,),))/VLOOKUP(EDATE(B135,-12),Data!$A:$AX,MATCH($L$1,Data!$A$1:$AX$1,),)</f>
        <v/>
      </c>
      <c r="M135" s="20">
        <f>(VLOOKUP(B135,Data!$A:$AX,MATCH($M$1,Data!$A$1:$AX$1,),)-VLOOKUP(EDATE(B135,-12),Data!$A:$AX,MATCH($M$1,Data!$A$1:$AX$1,),))/VLOOKUP(EDATE(B135,-12),Data!$A:$AX,MATCH($M$1,Data!$A$1:$AX$1,),)</f>
        <v/>
      </c>
      <c r="N135" s="20">
        <f>(VLOOKUP(B135,Data!$A:$AX,MATCH($N$1,Data!$A$1:$AX$1,),)-VLOOKUP(EDATE(B135,-12),Data!$A:$AX,MATCH($N$1,Data!$A$1:$AX$1,),))/VLOOKUP(EDATE(B135,-12),Data!$A:$AX,MATCH($N$1,Data!$A$1:$AX$1,),)</f>
        <v/>
      </c>
      <c r="O135" s="20">
        <f>(VLOOKUP(B135,Data!$A:$AX,MATCH($O$1,Data!$A$1:$AX$1,),)-VLOOKUP(EDATE(B135,-12),Data!$A:$AX,MATCH($O$1,Data!$A$1:$AX$1,),))/VLOOKUP(EDATE(B135,-12),Data!$A:$AX,MATCH($O$1,Data!$A$1:$AX$1,),)</f>
        <v/>
      </c>
      <c r="P135" s="20">
        <f>(VLOOKUP(B135,Data!$A:$AX,MATCH($P$1,Data!$A$1:$AX$1,),)-VLOOKUP(EDATE(B135,-12),Data!$A:$AX,MATCH($P$1,Data!$A$1:$AX$1,),))/VLOOKUP(EDATE(B135,-12),Data!$A:$AX,MATCH($P$1,Data!$A$1:$AX$1,),)</f>
        <v/>
      </c>
      <c r="Q135" s="20">
        <f>(VLOOKUP(B135,Data!$A:$AX,MATCH($Q$1,Data!$A$1:$AX$1,),)-VLOOKUP(EDATE(B135,-12),Data!$A:$AX,MATCH($Q$1,Data!$A$1:$AX$1,),))/VLOOKUP(EDATE(B135,-12),Data!$A:$AX,MATCH($Q$1,Data!$A$1:$AX$1,),)</f>
        <v/>
      </c>
      <c r="R135" s="20">
        <f>(VLOOKUP(B135,Data!$A:$AX,MATCH($R$1,Data!$A$1:$AX$1,),)-VLOOKUP(EDATE(B135,-12),Data!$A:$AX,MATCH($R$1,Data!$A$1:$AX$1,),))/VLOOKUP(EDATE(B135,-12),Data!$A:$AX,MATCH($R$1,Data!$A$1:$AX$1,),)</f>
        <v/>
      </c>
      <c r="S135" s="20">
        <f>(VLOOKUP(B135,Data!$A:$AX,MATCH($S$1,Data!$A$1:$AX$1,),)-VLOOKUP(EDATE(B135,-12),Data!$A:$AX,MATCH($S$1,Data!$A$1:$AX$1,),))/VLOOKUP(EDATE(B135,-12),Data!$A:$AX,MATCH($S$1,Data!$A$1:$AX$1,),)</f>
        <v/>
      </c>
      <c r="T135" s="20">
        <f>(VLOOKUP(B135,Data!$A:$AX,MATCH($T$1,Data!$A$1:$AX$1,),)-VLOOKUP(EDATE(B135,-12),Data!$A:$AX,MATCH($T$1,Data!$A$1:$AX$1,),))/VLOOKUP(EDATE(B135,-12),Data!$A:$AX,MATCH($T$1,Data!$A$1:$AX$1,),)</f>
        <v/>
      </c>
      <c r="U135" s="20">
        <f>(VLOOKUP(B135,Data!$A:$AX,MATCH($U$1,Data!$A$1:$AX$1,),)-VLOOKUP(EDATE(B135,-12),Data!$A:$AX,MATCH($U$1,Data!$A$1:$AX$1,),))/VLOOKUP(EDATE(B135,-12),Data!$A:$AX,MATCH($U$1,Data!$A$1:$AX$1,),)</f>
        <v/>
      </c>
      <c r="V135" s="20">
        <f>(VLOOKUP(B135,Data!$A:$AX,MATCH($V$1,Data!$A$1:$AX$1,),)-VLOOKUP(EDATE(B135,-12),Data!$A:$AX,MATCH($V$1,Data!$A$1:$AX$1,),))/VLOOKUP(EDATE(B135,-12),Data!$A:$AX,MATCH($V$1,Data!$A$1:$AX$1,),)</f>
        <v/>
      </c>
      <c r="W135" s="20">
        <f>(VLOOKUP(B135,Data!$A:$AX,MATCH($W$1,Data!$A$1:$AX$1,),)-VLOOKUP(EDATE(B135,-12),Data!$A:$AX,MATCH($W$1,Data!$A$1:$AX$1,),))/VLOOKUP(EDATE(B135,-12),Data!$A:$AX,MATCH($W$1,Data!$A$1:$AX$1,),)</f>
        <v/>
      </c>
      <c r="X135" s="20">
        <f>(VLOOKUP(B135,Data!$A:$AX,MATCH($X$1,Data!$A$1:$AX$1,),)-VLOOKUP(EDATE(B135,-12),Data!$A:$AX,MATCH($X$1,Data!$A$1:$AX$1,),))/VLOOKUP(EDATE(B135,-12),Data!$A:$AX,MATCH($X$1,Data!$A$1:$AX$1,),)</f>
        <v/>
      </c>
      <c r="Y135" s="20">
        <f>(VLOOKUP(B135,Data!$A:$AX,MATCH($Y$1,Data!$A$1:$AX$1,),)-VLOOKUP(EDATE(B135,-12),Data!$A:$AX,MATCH($Y$1,Data!$A$1:$AX$1,),))/VLOOKUP(EDATE(B135,-12),Data!$A:$AX,MATCH($Y$1,Data!$A$1:$AX$1,),)</f>
        <v/>
      </c>
    </row>
    <row r="136" customFormat="1" s="76">
      <c r="B136" s="15" t="n">
        <v>44348</v>
      </c>
      <c r="C136" s="20">
        <f>(VLOOKUP(B136,Data!$A:$AX,MATCH($C$1,Data!$A$1:$AX$1,),)-VLOOKUP(EDATE(B136,-12),Data!$A:$AX,MATCH($C$1,Data!$A$1:$AX$1,),))/VLOOKUP(EDATE(B136,-12),Data!$A:$AX,MATCH($C$1,Data!$A$1:$AX$1,),)</f>
        <v/>
      </c>
      <c r="D136" s="20">
        <f>(VLOOKUP(B136,Data!$A:$AX,MATCH($D$1,Data!$A$1:$AX$1,),)-VLOOKUP(EDATE(B136,-12),Data!$A:$AX,MATCH($D$1,Data!$A$1:$AX$1,),))/VLOOKUP(EDATE(B136,-12),Data!$A:$AX,MATCH($D$1,Data!$A$1:$AX$1,),)</f>
        <v/>
      </c>
      <c r="E136" s="20">
        <f>(VLOOKUP(B136,Data!$A:$AX,MATCH($E$1,Data!$A$1:$AX$1,),)-VLOOKUP(EDATE(B136,-12),Data!$A:$AX,MATCH($E$1,Data!$A$1:$AX$1,),))/VLOOKUP(EDATE(B136,-12),Data!$A:$AX,MATCH($E$1,Data!$A$1:$AX$1,),)</f>
        <v/>
      </c>
      <c r="F136" s="20">
        <f>(VLOOKUP(B136,Data!$A:$AX,MATCH($F$1,Data!$A$1:$AX$1,),)-VLOOKUP(EDATE(B136,-12),Data!$A:$AX,MATCH($F$1,Data!$A$1:$AX$1,),))/VLOOKUP(EDATE(B136,-12),Data!$A:$AX,MATCH($F$1,Data!$A$1:$AX$1,),)</f>
        <v/>
      </c>
      <c r="G136" s="20">
        <f>(VLOOKUP(B136,Data!$A:$AX,MATCH($G$1,Data!$A$1:$AX$1,),)-VLOOKUP(EDATE(B136,-12),Data!$A:$AX,MATCH($G$1,Data!$A$1:$AX$1,),))/VLOOKUP(EDATE(B136,-12),Data!$A:$AX,MATCH($G$1,Data!$A$1:$AX$1,),)</f>
        <v/>
      </c>
      <c r="H136" s="20">
        <f>(VLOOKUP(B136,Data!$A:$AX,MATCH($H$1,Data!$A$1:$AX$1,),)-VLOOKUP(EDATE(B136,-12),Data!$A:$AX,MATCH($H$1,Data!$A$1:$AX$1,),))/VLOOKUP(EDATE(B136,-12),Data!$A:$AX,MATCH($H$1,Data!$A$1:$AX$1,),)</f>
        <v/>
      </c>
      <c r="I136" s="20">
        <f>(VLOOKUP(B136,Data!$A:$AX,MATCH($I$1,Data!$A$1:$AX$1,),)-VLOOKUP(EDATE(B136,-12),Data!$A:$AX,MATCH($I$1,Data!$A$1:$AX$1,),))/VLOOKUP(EDATE(B136,-12),Data!$A:$AX,MATCH($I$1,Data!$A$1:$AX$1,),)</f>
        <v/>
      </c>
      <c r="J136" s="20">
        <f>(VLOOKUP(B136,Data!$A:$AX,MATCH($J$1,Data!$A$1:$AX$1,),)-VLOOKUP(EDATE(B136,-12),Data!$A:$AX,MATCH($J$1,Data!$A$1:$AX$1,),))/VLOOKUP(EDATE(B136,-12),Data!$A:$AX,MATCH($J$1,Data!$A$1:$AX$1,),)</f>
        <v/>
      </c>
      <c r="K136" s="20">
        <f>(VLOOKUP(B136,Data!$A:$AX,MATCH($K$1,Data!$A$1:$AX$1,),)-VLOOKUP(EDATE(B136,-12),Data!$A:$AX,MATCH($K$1,Data!$A$1:$AX$1,),))/VLOOKUP(EDATE(B136,-12),Data!$A:$AX,MATCH($K$1,Data!$A$1:$AX$1,),)</f>
        <v/>
      </c>
      <c r="L136" s="20">
        <f>(VLOOKUP(B136,Data!$A:$AX,MATCH($L$1,Data!$A$1:$AX$1,),)-VLOOKUP(EDATE(B136,-12),Data!$A:$AX,MATCH($L$1,Data!$A$1:$AX$1,),))/VLOOKUP(EDATE(B136,-12),Data!$A:$AX,MATCH($L$1,Data!$A$1:$AX$1,),)</f>
        <v/>
      </c>
      <c r="M136" s="20">
        <f>(VLOOKUP(B136,Data!$A:$AX,MATCH($M$1,Data!$A$1:$AX$1,),)-VLOOKUP(EDATE(B136,-12),Data!$A:$AX,MATCH($M$1,Data!$A$1:$AX$1,),))/VLOOKUP(EDATE(B136,-12),Data!$A:$AX,MATCH($M$1,Data!$A$1:$AX$1,),)</f>
        <v/>
      </c>
      <c r="N136" s="20">
        <f>(VLOOKUP(B136,Data!$A:$AX,MATCH($N$1,Data!$A$1:$AX$1,),)-VLOOKUP(EDATE(B136,-12),Data!$A:$AX,MATCH($N$1,Data!$A$1:$AX$1,),))/VLOOKUP(EDATE(B136,-12),Data!$A:$AX,MATCH($N$1,Data!$A$1:$AX$1,),)</f>
        <v/>
      </c>
      <c r="O136" s="20">
        <f>(VLOOKUP(B136,Data!$A:$AX,MATCH($O$1,Data!$A$1:$AX$1,),)-VLOOKUP(EDATE(B136,-12),Data!$A:$AX,MATCH($O$1,Data!$A$1:$AX$1,),))/VLOOKUP(EDATE(B136,-12),Data!$A:$AX,MATCH($O$1,Data!$A$1:$AX$1,),)</f>
        <v/>
      </c>
      <c r="P136" s="20">
        <f>(VLOOKUP(B136,Data!$A:$AX,MATCH($P$1,Data!$A$1:$AX$1,),)-VLOOKUP(EDATE(B136,-12),Data!$A:$AX,MATCH($P$1,Data!$A$1:$AX$1,),))/VLOOKUP(EDATE(B136,-12),Data!$A:$AX,MATCH($P$1,Data!$A$1:$AX$1,),)</f>
        <v/>
      </c>
      <c r="Q136" s="20">
        <f>(VLOOKUP(B136,Data!$A:$AX,MATCH($Q$1,Data!$A$1:$AX$1,),)-VLOOKUP(EDATE(B136,-12),Data!$A:$AX,MATCH($Q$1,Data!$A$1:$AX$1,),))/VLOOKUP(EDATE(B136,-12),Data!$A:$AX,MATCH($Q$1,Data!$A$1:$AX$1,),)</f>
        <v/>
      </c>
      <c r="R136" s="20">
        <f>(VLOOKUP(B136,Data!$A:$AX,MATCH($R$1,Data!$A$1:$AX$1,),)-VLOOKUP(EDATE(B136,-12),Data!$A:$AX,MATCH($R$1,Data!$A$1:$AX$1,),))/VLOOKUP(EDATE(B136,-12),Data!$A:$AX,MATCH($R$1,Data!$A$1:$AX$1,),)</f>
        <v/>
      </c>
      <c r="S136" s="20">
        <f>(VLOOKUP(B136,Data!$A:$AX,MATCH($S$1,Data!$A$1:$AX$1,),)-VLOOKUP(EDATE(B136,-12),Data!$A:$AX,MATCH($S$1,Data!$A$1:$AX$1,),))/VLOOKUP(EDATE(B136,-12),Data!$A:$AX,MATCH($S$1,Data!$A$1:$AX$1,),)</f>
        <v/>
      </c>
      <c r="T136" s="20">
        <f>(VLOOKUP(B136,Data!$A:$AX,MATCH($T$1,Data!$A$1:$AX$1,),)-VLOOKUP(EDATE(B136,-12),Data!$A:$AX,MATCH($T$1,Data!$A$1:$AX$1,),))/VLOOKUP(EDATE(B136,-12),Data!$A:$AX,MATCH($T$1,Data!$A$1:$AX$1,),)</f>
        <v/>
      </c>
      <c r="U136" s="20">
        <f>(VLOOKUP(B136,Data!$A:$AX,MATCH($U$1,Data!$A$1:$AX$1,),)-VLOOKUP(EDATE(B136,-12),Data!$A:$AX,MATCH($U$1,Data!$A$1:$AX$1,),))/VLOOKUP(EDATE(B136,-12),Data!$A:$AX,MATCH($U$1,Data!$A$1:$AX$1,),)</f>
        <v/>
      </c>
      <c r="V136" s="20">
        <f>(VLOOKUP(B136,Data!$A:$AX,MATCH($V$1,Data!$A$1:$AX$1,),)-VLOOKUP(EDATE(B136,-12),Data!$A:$AX,MATCH($V$1,Data!$A$1:$AX$1,),))/VLOOKUP(EDATE(B136,-12),Data!$A:$AX,MATCH($V$1,Data!$A$1:$AX$1,),)</f>
        <v/>
      </c>
      <c r="W136" s="20">
        <f>(VLOOKUP(B136,Data!$A:$AX,MATCH($W$1,Data!$A$1:$AX$1,),)-VLOOKUP(EDATE(B136,-12),Data!$A:$AX,MATCH($W$1,Data!$A$1:$AX$1,),))/VLOOKUP(EDATE(B136,-12),Data!$A:$AX,MATCH($W$1,Data!$A$1:$AX$1,),)</f>
        <v/>
      </c>
      <c r="X136" s="20">
        <f>(VLOOKUP(B136,Data!$A:$AX,MATCH($X$1,Data!$A$1:$AX$1,),)-VLOOKUP(EDATE(B136,-12),Data!$A:$AX,MATCH($X$1,Data!$A$1:$AX$1,),))/VLOOKUP(EDATE(B136,-12),Data!$A:$AX,MATCH($X$1,Data!$A$1:$AX$1,),)</f>
        <v/>
      </c>
      <c r="Y136" s="20">
        <f>(VLOOKUP(B136,Data!$A:$AX,MATCH($Y$1,Data!$A$1:$AX$1,),)-VLOOKUP(EDATE(B136,-12),Data!$A:$AX,MATCH($Y$1,Data!$A$1:$AX$1,),))/VLOOKUP(EDATE(B136,-12),Data!$A:$AX,MATCH($Y$1,Data!$A$1:$AX$1,),)</f>
        <v/>
      </c>
    </row>
    <row r="137" customFormat="1" s="76">
      <c r="B137" s="15" t="n">
        <v>44378</v>
      </c>
      <c r="C137" s="20">
        <f>(VLOOKUP(B137,Data!$A:$AX,MATCH($C$1,Data!$A$1:$AX$1,),)-VLOOKUP(EDATE(B137,-12),Data!$A:$AX,MATCH($C$1,Data!$A$1:$AX$1,),))/VLOOKUP(EDATE(B137,-12),Data!$A:$AX,MATCH($C$1,Data!$A$1:$AX$1,),)</f>
        <v/>
      </c>
      <c r="D137" s="20">
        <f>(VLOOKUP(B137,Data!$A:$AX,MATCH($D$1,Data!$A$1:$AX$1,),)-VLOOKUP(EDATE(B137,-12),Data!$A:$AX,MATCH($D$1,Data!$A$1:$AX$1,),))/VLOOKUP(EDATE(B137,-12),Data!$A:$AX,MATCH($D$1,Data!$A$1:$AX$1,),)</f>
        <v/>
      </c>
      <c r="E137" s="20">
        <f>(VLOOKUP(B137,Data!$A:$AX,MATCH($E$1,Data!$A$1:$AX$1,),)-VLOOKUP(EDATE(B137,-12),Data!$A:$AX,MATCH($E$1,Data!$A$1:$AX$1,),))/VLOOKUP(EDATE(B137,-12),Data!$A:$AX,MATCH($E$1,Data!$A$1:$AX$1,),)</f>
        <v/>
      </c>
      <c r="F137" s="20">
        <f>(VLOOKUP(B137,Data!$A:$AX,MATCH($F$1,Data!$A$1:$AX$1,),)-VLOOKUP(EDATE(B137,-12),Data!$A:$AX,MATCH($F$1,Data!$A$1:$AX$1,),))/VLOOKUP(EDATE(B137,-12),Data!$A:$AX,MATCH($F$1,Data!$A$1:$AX$1,),)</f>
        <v/>
      </c>
      <c r="G137" s="20">
        <f>(VLOOKUP(B137,Data!$A:$AX,MATCH($G$1,Data!$A$1:$AX$1,),)-VLOOKUP(EDATE(B137,-12),Data!$A:$AX,MATCH($G$1,Data!$A$1:$AX$1,),))/VLOOKUP(EDATE(B137,-12),Data!$A:$AX,MATCH($G$1,Data!$A$1:$AX$1,),)</f>
        <v/>
      </c>
      <c r="H137" s="20">
        <f>(VLOOKUP(B137,Data!$A:$AX,MATCH($H$1,Data!$A$1:$AX$1,),)-VLOOKUP(EDATE(B137,-12),Data!$A:$AX,MATCH($H$1,Data!$A$1:$AX$1,),))/VLOOKUP(EDATE(B137,-12),Data!$A:$AX,MATCH($H$1,Data!$A$1:$AX$1,),)</f>
        <v/>
      </c>
      <c r="I137" s="20">
        <f>(VLOOKUP(B137,Data!$A:$AX,MATCH($I$1,Data!$A$1:$AX$1,),)-VLOOKUP(EDATE(B137,-12),Data!$A:$AX,MATCH($I$1,Data!$A$1:$AX$1,),))/VLOOKUP(EDATE(B137,-12),Data!$A:$AX,MATCH($I$1,Data!$A$1:$AX$1,),)</f>
        <v/>
      </c>
      <c r="J137" s="20">
        <f>(VLOOKUP(B137,Data!$A:$AX,MATCH($J$1,Data!$A$1:$AX$1,),)-VLOOKUP(EDATE(B137,-12),Data!$A:$AX,MATCH($J$1,Data!$A$1:$AX$1,),))/VLOOKUP(EDATE(B137,-12),Data!$A:$AX,MATCH($J$1,Data!$A$1:$AX$1,),)</f>
        <v/>
      </c>
      <c r="K137" s="20">
        <f>(VLOOKUP(B137,Data!$A:$AX,MATCH($K$1,Data!$A$1:$AX$1,),)-VLOOKUP(EDATE(B137,-12),Data!$A:$AX,MATCH($K$1,Data!$A$1:$AX$1,),))/VLOOKUP(EDATE(B137,-12),Data!$A:$AX,MATCH($K$1,Data!$A$1:$AX$1,),)</f>
        <v/>
      </c>
      <c r="L137" s="20">
        <f>(VLOOKUP(B137,Data!$A:$AX,MATCH($L$1,Data!$A$1:$AX$1,),)-VLOOKUP(EDATE(B137,-12),Data!$A:$AX,MATCH($L$1,Data!$A$1:$AX$1,),))/VLOOKUP(EDATE(B137,-12),Data!$A:$AX,MATCH($L$1,Data!$A$1:$AX$1,),)</f>
        <v/>
      </c>
      <c r="M137" s="20">
        <f>(VLOOKUP(B137,Data!$A:$AX,MATCH($M$1,Data!$A$1:$AX$1,),)-VLOOKUP(EDATE(B137,-12),Data!$A:$AX,MATCH($M$1,Data!$A$1:$AX$1,),))/VLOOKUP(EDATE(B137,-12),Data!$A:$AX,MATCH($M$1,Data!$A$1:$AX$1,),)</f>
        <v/>
      </c>
      <c r="N137" s="20">
        <f>(VLOOKUP(B137,Data!$A:$AX,MATCH($N$1,Data!$A$1:$AX$1,),)-VLOOKUP(EDATE(B137,-12),Data!$A:$AX,MATCH($N$1,Data!$A$1:$AX$1,),))/VLOOKUP(EDATE(B137,-12),Data!$A:$AX,MATCH($N$1,Data!$A$1:$AX$1,),)</f>
        <v/>
      </c>
      <c r="O137" s="20">
        <f>(VLOOKUP(B137,Data!$A:$AX,MATCH($O$1,Data!$A$1:$AX$1,),)-VLOOKUP(EDATE(B137,-12),Data!$A:$AX,MATCH($O$1,Data!$A$1:$AX$1,),))/VLOOKUP(EDATE(B137,-12),Data!$A:$AX,MATCH($O$1,Data!$A$1:$AX$1,),)</f>
        <v/>
      </c>
      <c r="P137" s="20">
        <f>(VLOOKUP(B137,Data!$A:$AX,MATCH($P$1,Data!$A$1:$AX$1,),)-VLOOKUP(EDATE(B137,-12),Data!$A:$AX,MATCH($P$1,Data!$A$1:$AX$1,),))/VLOOKUP(EDATE(B137,-12),Data!$A:$AX,MATCH($P$1,Data!$A$1:$AX$1,),)</f>
        <v/>
      </c>
      <c r="Q137" s="20">
        <f>(VLOOKUP(B137,Data!$A:$AX,MATCH($Q$1,Data!$A$1:$AX$1,),)-VLOOKUP(EDATE(B137,-12),Data!$A:$AX,MATCH($Q$1,Data!$A$1:$AX$1,),))/VLOOKUP(EDATE(B137,-12),Data!$A:$AX,MATCH($Q$1,Data!$A$1:$AX$1,),)</f>
        <v/>
      </c>
      <c r="R137" s="20">
        <f>(VLOOKUP(B137,Data!$A:$AX,MATCH($R$1,Data!$A$1:$AX$1,),)-VLOOKUP(EDATE(B137,-12),Data!$A:$AX,MATCH($R$1,Data!$A$1:$AX$1,),))/VLOOKUP(EDATE(B137,-12),Data!$A:$AX,MATCH($R$1,Data!$A$1:$AX$1,),)</f>
        <v/>
      </c>
      <c r="S137" s="20">
        <f>(VLOOKUP(B137,Data!$A:$AX,MATCH($S$1,Data!$A$1:$AX$1,),)-VLOOKUP(EDATE(B137,-12),Data!$A:$AX,MATCH($S$1,Data!$A$1:$AX$1,),))/VLOOKUP(EDATE(B137,-12),Data!$A:$AX,MATCH($S$1,Data!$A$1:$AX$1,),)</f>
        <v/>
      </c>
      <c r="T137" s="20">
        <f>(VLOOKUP(B137,Data!$A:$AX,MATCH($T$1,Data!$A$1:$AX$1,),)-VLOOKUP(EDATE(B137,-12),Data!$A:$AX,MATCH($T$1,Data!$A$1:$AX$1,),))/VLOOKUP(EDATE(B137,-12),Data!$A:$AX,MATCH($T$1,Data!$A$1:$AX$1,),)</f>
        <v/>
      </c>
      <c r="U137" s="20">
        <f>(VLOOKUP(B137,Data!$A:$AX,MATCH($U$1,Data!$A$1:$AX$1,),)-VLOOKUP(EDATE(B137,-12),Data!$A:$AX,MATCH($U$1,Data!$A$1:$AX$1,),))/VLOOKUP(EDATE(B137,-12),Data!$A:$AX,MATCH($U$1,Data!$A$1:$AX$1,),)</f>
        <v/>
      </c>
      <c r="V137" s="20">
        <f>(VLOOKUP(B137,Data!$A:$AX,MATCH($V$1,Data!$A$1:$AX$1,),)-VLOOKUP(EDATE(B137,-12),Data!$A:$AX,MATCH($V$1,Data!$A$1:$AX$1,),))/VLOOKUP(EDATE(B137,-12),Data!$A:$AX,MATCH($V$1,Data!$A$1:$AX$1,),)</f>
        <v/>
      </c>
      <c r="W137" s="20">
        <f>(VLOOKUP(B137,Data!$A:$AX,MATCH($W$1,Data!$A$1:$AX$1,),)-VLOOKUP(EDATE(B137,-12),Data!$A:$AX,MATCH($W$1,Data!$A$1:$AX$1,),))/VLOOKUP(EDATE(B137,-12),Data!$A:$AX,MATCH($W$1,Data!$A$1:$AX$1,),)</f>
        <v/>
      </c>
      <c r="X137" s="20">
        <f>(VLOOKUP(B137,Data!$A:$AX,MATCH($X$1,Data!$A$1:$AX$1,),)-VLOOKUP(EDATE(B137,-12),Data!$A:$AX,MATCH($X$1,Data!$A$1:$AX$1,),))/VLOOKUP(EDATE(B137,-12),Data!$A:$AX,MATCH($X$1,Data!$A$1:$AX$1,),)</f>
        <v/>
      </c>
      <c r="Y137" s="20">
        <f>(VLOOKUP(B137,Data!$A:$AX,MATCH($Y$1,Data!$A$1:$AX$1,),)-VLOOKUP(EDATE(B137,-12),Data!$A:$AX,MATCH($Y$1,Data!$A$1:$AX$1,),))/VLOOKUP(EDATE(B137,-12),Data!$A:$AX,MATCH($Y$1,Data!$A$1:$AX$1,),)</f>
        <v/>
      </c>
    </row>
    <row r="138" customFormat="1" s="76">
      <c r="B138" s="15" t="n">
        <v>44409</v>
      </c>
      <c r="C138" s="20">
        <f>(VLOOKUP(B138,Data!$A:$AX,MATCH($C$1,Data!$A$1:$AX$1,),)-VLOOKUP(EDATE(B138,-12),Data!$A:$AX,MATCH($C$1,Data!$A$1:$AX$1,),))/VLOOKUP(EDATE(B138,-12),Data!$A:$AX,MATCH($C$1,Data!$A$1:$AX$1,),)</f>
        <v/>
      </c>
      <c r="D138" s="20">
        <f>(VLOOKUP(B138,Data!$A:$AX,MATCH($D$1,Data!$A$1:$AX$1,),)-VLOOKUP(EDATE(B138,-12),Data!$A:$AX,MATCH($D$1,Data!$A$1:$AX$1,),))/VLOOKUP(EDATE(B138,-12),Data!$A:$AX,MATCH($D$1,Data!$A$1:$AX$1,),)</f>
        <v/>
      </c>
      <c r="E138" s="20">
        <f>(VLOOKUP(B138,Data!$A:$AX,MATCH($E$1,Data!$A$1:$AX$1,),)-VLOOKUP(EDATE(B138,-12),Data!$A:$AX,MATCH($E$1,Data!$A$1:$AX$1,),))/VLOOKUP(EDATE(B138,-12),Data!$A:$AX,MATCH($E$1,Data!$A$1:$AX$1,),)</f>
        <v/>
      </c>
      <c r="F138" s="20">
        <f>(VLOOKUP(B138,Data!$A:$AX,MATCH($F$1,Data!$A$1:$AX$1,),)-VLOOKUP(EDATE(B138,-12),Data!$A:$AX,MATCH($F$1,Data!$A$1:$AX$1,),))/VLOOKUP(EDATE(B138,-12),Data!$A:$AX,MATCH($F$1,Data!$A$1:$AX$1,),)</f>
        <v/>
      </c>
      <c r="G138" s="20">
        <f>(VLOOKUP(B138,Data!$A:$AX,MATCH($G$1,Data!$A$1:$AX$1,),)-VLOOKUP(EDATE(B138,-12),Data!$A:$AX,MATCH($G$1,Data!$A$1:$AX$1,),))/VLOOKUP(EDATE(B138,-12),Data!$A:$AX,MATCH($G$1,Data!$A$1:$AX$1,),)</f>
        <v/>
      </c>
      <c r="H138" s="20">
        <f>(VLOOKUP(B138,Data!$A:$AX,MATCH($H$1,Data!$A$1:$AX$1,),)-VLOOKUP(EDATE(B138,-12),Data!$A:$AX,MATCH($H$1,Data!$A$1:$AX$1,),))/VLOOKUP(EDATE(B138,-12),Data!$A:$AX,MATCH($H$1,Data!$A$1:$AX$1,),)</f>
        <v/>
      </c>
      <c r="I138" s="20">
        <f>(VLOOKUP(B138,Data!$A:$AX,MATCH($I$1,Data!$A$1:$AX$1,),)-VLOOKUP(EDATE(B138,-12),Data!$A:$AX,MATCH($I$1,Data!$A$1:$AX$1,),))/VLOOKUP(EDATE(B138,-12),Data!$A:$AX,MATCH($I$1,Data!$A$1:$AX$1,),)</f>
        <v/>
      </c>
      <c r="J138" s="20">
        <f>(VLOOKUP(B138,Data!$A:$AX,MATCH($J$1,Data!$A$1:$AX$1,),)-VLOOKUP(EDATE(B138,-12),Data!$A:$AX,MATCH($J$1,Data!$A$1:$AX$1,),))/VLOOKUP(EDATE(B138,-12),Data!$A:$AX,MATCH($J$1,Data!$A$1:$AX$1,),)</f>
        <v/>
      </c>
      <c r="K138" s="20">
        <f>(VLOOKUP(B138,Data!$A:$AX,MATCH($K$1,Data!$A$1:$AX$1,),)-VLOOKUP(EDATE(B138,-12),Data!$A:$AX,MATCH($K$1,Data!$A$1:$AX$1,),))/VLOOKUP(EDATE(B138,-12),Data!$A:$AX,MATCH($K$1,Data!$A$1:$AX$1,),)</f>
        <v/>
      </c>
      <c r="L138" s="20">
        <f>(VLOOKUP(B138,Data!$A:$AX,MATCH($L$1,Data!$A$1:$AX$1,),)-VLOOKUP(EDATE(B138,-12),Data!$A:$AX,MATCH($L$1,Data!$A$1:$AX$1,),))/VLOOKUP(EDATE(B138,-12),Data!$A:$AX,MATCH($L$1,Data!$A$1:$AX$1,),)</f>
        <v/>
      </c>
      <c r="M138" s="20">
        <f>(VLOOKUP(B138,Data!$A:$AX,MATCH($M$1,Data!$A$1:$AX$1,),)-VLOOKUP(EDATE(B138,-12),Data!$A:$AX,MATCH($M$1,Data!$A$1:$AX$1,),))/VLOOKUP(EDATE(B138,-12),Data!$A:$AX,MATCH($M$1,Data!$A$1:$AX$1,),)</f>
        <v/>
      </c>
      <c r="N138" s="20">
        <f>(VLOOKUP(B138,Data!$A:$AX,MATCH($N$1,Data!$A$1:$AX$1,),)-VLOOKUP(EDATE(B138,-12),Data!$A:$AX,MATCH($N$1,Data!$A$1:$AX$1,),))/VLOOKUP(EDATE(B138,-12),Data!$A:$AX,MATCH($N$1,Data!$A$1:$AX$1,),)</f>
        <v/>
      </c>
      <c r="O138" s="20">
        <f>(VLOOKUP(B138,Data!$A:$AX,MATCH($O$1,Data!$A$1:$AX$1,),)-VLOOKUP(EDATE(B138,-12),Data!$A:$AX,MATCH($O$1,Data!$A$1:$AX$1,),))/VLOOKUP(EDATE(B138,-12),Data!$A:$AX,MATCH($O$1,Data!$A$1:$AX$1,),)</f>
        <v/>
      </c>
      <c r="P138" s="20">
        <f>(VLOOKUP(B138,Data!$A:$AX,MATCH($P$1,Data!$A$1:$AX$1,),)-VLOOKUP(EDATE(B138,-12),Data!$A:$AX,MATCH($P$1,Data!$A$1:$AX$1,),))/VLOOKUP(EDATE(B138,-12),Data!$A:$AX,MATCH($P$1,Data!$A$1:$AX$1,),)</f>
        <v/>
      </c>
      <c r="Q138" s="20">
        <f>(VLOOKUP(B138,Data!$A:$AX,MATCH($Q$1,Data!$A$1:$AX$1,),)-VLOOKUP(EDATE(B138,-12),Data!$A:$AX,MATCH($Q$1,Data!$A$1:$AX$1,),))/VLOOKUP(EDATE(B138,-12),Data!$A:$AX,MATCH($Q$1,Data!$A$1:$AX$1,),)</f>
        <v/>
      </c>
      <c r="R138" s="20">
        <f>(VLOOKUP(B138,Data!$A:$AX,MATCH($R$1,Data!$A$1:$AX$1,),)-VLOOKUP(EDATE(B138,-12),Data!$A:$AX,MATCH($R$1,Data!$A$1:$AX$1,),))/VLOOKUP(EDATE(B138,-12),Data!$A:$AX,MATCH($R$1,Data!$A$1:$AX$1,),)</f>
        <v/>
      </c>
      <c r="S138" s="20">
        <f>(VLOOKUP(B138,Data!$A:$AX,MATCH($S$1,Data!$A$1:$AX$1,),)-VLOOKUP(EDATE(B138,-12),Data!$A:$AX,MATCH($S$1,Data!$A$1:$AX$1,),))/VLOOKUP(EDATE(B138,-12),Data!$A:$AX,MATCH($S$1,Data!$A$1:$AX$1,),)</f>
        <v/>
      </c>
      <c r="T138" s="20">
        <f>(VLOOKUP(B138,Data!$A:$AX,MATCH($T$1,Data!$A$1:$AX$1,),)-VLOOKUP(EDATE(B138,-12),Data!$A:$AX,MATCH($T$1,Data!$A$1:$AX$1,),))/VLOOKUP(EDATE(B138,-12),Data!$A:$AX,MATCH($T$1,Data!$A$1:$AX$1,),)</f>
        <v/>
      </c>
      <c r="U138" s="20">
        <f>(VLOOKUP(B138,Data!$A:$AX,MATCH($U$1,Data!$A$1:$AX$1,),)-VLOOKUP(EDATE(B138,-12),Data!$A:$AX,MATCH($U$1,Data!$A$1:$AX$1,),))/VLOOKUP(EDATE(B138,-12),Data!$A:$AX,MATCH($U$1,Data!$A$1:$AX$1,),)</f>
        <v/>
      </c>
      <c r="V138" s="20">
        <f>(VLOOKUP(B138,Data!$A:$AX,MATCH($V$1,Data!$A$1:$AX$1,),)-VLOOKUP(EDATE(B138,-12),Data!$A:$AX,MATCH($V$1,Data!$A$1:$AX$1,),))/VLOOKUP(EDATE(B138,-12),Data!$A:$AX,MATCH($V$1,Data!$A$1:$AX$1,),)</f>
        <v/>
      </c>
      <c r="W138" s="20">
        <f>(VLOOKUP(B138,Data!$A:$AX,MATCH($W$1,Data!$A$1:$AX$1,),)-VLOOKUP(EDATE(B138,-12),Data!$A:$AX,MATCH($W$1,Data!$A$1:$AX$1,),))/VLOOKUP(EDATE(B138,-12),Data!$A:$AX,MATCH($W$1,Data!$A$1:$AX$1,),)</f>
        <v/>
      </c>
      <c r="X138" s="20">
        <f>(VLOOKUP(B138,Data!$A:$AX,MATCH($X$1,Data!$A$1:$AX$1,),)-VLOOKUP(EDATE(B138,-12),Data!$A:$AX,MATCH($X$1,Data!$A$1:$AX$1,),))/VLOOKUP(EDATE(B138,-12),Data!$A:$AX,MATCH($X$1,Data!$A$1:$AX$1,),)</f>
        <v/>
      </c>
      <c r="Y138" s="20">
        <f>(VLOOKUP(B138,Data!$A:$AX,MATCH($Y$1,Data!$A$1:$AX$1,),)-VLOOKUP(EDATE(B138,-12),Data!$A:$AX,MATCH($Y$1,Data!$A$1:$AX$1,),))/VLOOKUP(EDATE(B138,-12),Data!$A:$AX,MATCH($Y$1,Data!$A$1:$AX$1,),)</f>
        <v/>
      </c>
    </row>
    <row r="139" customFormat="1" s="76">
      <c r="B139" s="15" t="n">
        <v>44440</v>
      </c>
      <c r="C139" s="20">
        <f>(VLOOKUP(B139,Data!$A:$AX,MATCH($C$1,Data!$A$1:$AX$1,),)-VLOOKUP(EDATE(B139,-12),Data!$A:$AX,MATCH($C$1,Data!$A$1:$AX$1,),))/VLOOKUP(EDATE(B139,-12),Data!$A:$AX,MATCH($C$1,Data!$A$1:$AX$1,),)</f>
        <v/>
      </c>
      <c r="D139" s="20">
        <f>(VLOOKUP(B139,Data!$A:$AX,MATCH($D$1,Data!$A$1:$AX$1,),)-VLOOKUP(EDATE(B139,-12),Data!$A:$AX,MATCH($D$1,Data!$A$1:$AX$1,),))/VLOOKUP(EDATE(B139,-12),Data!$A:$AX,MATCH($D$1,Data!$A$1:$AX$1,),)</f>
        <v/>
      </c>
      <c r="E139" s="20">
        <f>(VLOOKUP(B139,Data!$A:$AX,MATCH($E$1,Data!$A$1:$AX$1,),)-VLOOKUP(EDATE(B139,-12),Data!$A:$AX,MATCH($E$1,Data!$A$1:$AX$1,),))/VLOOKUP(EDATE(B139,-12),Data!$A:$AX,MATCH($E$1,Data!$A$1:$AX$1,),)</f>
        <v/>
      </c>
      <c r="F139" s="20">
        <f>(VLOOKUP(B139,Data!$A:$AX,MATCH($F$1,Data!$A$1:$AX$1,),)-VLOOKUP(EDATE(B139,-12),Data!$A:$AX,MATCH($F$1,Data!$A$1:$AX$1,),))/VLOOKUP(EDATE(B139,-12),Data!$A:$AX,MATCH($F$1,Data!$A$1:$AX$1,),)</f>
        <v/>
      </c>
      <c r="G139" s="20">
        <f>(VLOOKUP(B139,Data!$A:$AX,MATCH($G$1,Data!$A$1:$AX$1,),)-VLOOKUP(EDATE(B139,-12),Data!$A:$AX,MATCH($G$1,Data!$A$1:$AX$1,),))/VLOOKUP(EDATE(B139,-12),Data!$A:$AX,MATCH($G$1,Data!$A$1:$AX$1,),)</f>
        <v/>
      </c>
      <c r="H139" s="20">
        <f>(VLOOKUP(B139,Data!$A:$AX,MATCH($H$1,Data!$A$1:$AX$1,),)-VLOOKUP(EDATE(B139,-12),Data!$A:$AX,MATCH($H$1,Data!$A$1:$AX$1,),))/VLOOKUP(EDATE(B139,-12),Data!$A:$AX,MATCH($H$1,Data!$A$1:$AX$1,),)</f>
        <v/>
      </c>
      <c r="I139" s="20">
        <f>(VLOOKUP(B139,Data!$A:$AX,MATCH($I$1,Data!$A$1:$AX$1,),)-VLOOKUP(EDATE(B139,-12),Data!$A:$AX,MATCH($I$1,Data!$A$1:$AX$1,),))/VLOOKUP(EDATE(B139,-12),Data!$A:$AX,MATCH($I$1,Data!$A$1:$AX$1,),)</f>
        <v/>
      </c>
      <c r="J139" s="20">
        <f>(VLOOKUP(B139,Data!$A:$AX,MATCH($J$1,Data!$A$1:$AX$1,),)-VLOOKUP(EDATE(B139,-12),Data!$A:$AX,MATCH($J$1,Data!$A$1:$AX$1,),))/VLOOKUP(EDATE(B139,-12),Data!$A:$AX,MATCH($J$1,Data!$A$1:$AX$1,),)</f>
        <v/>
      </c>
      <c r="K139" s="20">
        <f>(VLOOKUP(B139,Data!$A:$AX,MATCH($K$1,Data!$A$1:$AX$1,),)-VLOOKUP(EDATE(B139,-12),Data!$A:$AX,MATCH($K$1,Data!$A$1:$AX$1,),))/VLOOKUP(EDATE(B139,-12),Data!$A:$AX,MATCH($K$1,Data!$A$1:$AX$1,),)</f>
        <v/>
      </c>
      <c r="L139" s="20">
        <f>(VLOOKUP(B139,Data!$A:$AX,MATCH($L$1,Data!$A$1:$AX$1,),)-VLOOKUP(EDATE(B139,-12),Data!$A:$AX,MATCH($L$1,Data!$A$1:$AX$1,),))/VLOOKUP(EDATE(B139,-12),Data!$A:$AX,MATCH($L$1,Data!$A$1:$AX$1,),)</f>
        <v/>
      </c>
      <c r="M139" s="20">
        <f>(VLOOKUP(B139,Data!$A:$AX,MATCH($M$1,Data!$A$1:$AX$1,),)-VLOOKUP(EDATE(B139,-12),Data!$A:$AX,MATCH($M$1,Data!$A$1:$AX$1,),))/VLOOKUP(EDATE(B139,-12),Data!$A:$AX,MATCH($M$1,Data!$A$1:$AX$1,),)</f>
        <v/>
      </c>
      <c r="N139" s="20">
        <f>(VLOOKUP(B139,Data!$A:$AX,MATCH($N$1,Data!$A$1:$AX$1,),)-VLOOKUP(EDATE(B139,-12),Data!$A:$AX,MATCH($N$1,Data!$A$1:$AX$1,),))/VLOOKUP(EDATE(B139,-12),Data!$A:$AX,MATCH($N$1,Data!$A$1:$AX$1,),)</f>
        <v/>
      </c>
      <c r="O139" s="20">
        <f>(VLOOKUP(B139,Data!$A:$AX,MATCH($O$1,Data!$A$1:$AX$1,),)-VLOOKUP(EDATE(B139,-12),Data!$A:$AX,MATCH($O$1,Data!$A$1:$AX$1,),))/VLOOKUP(EDATE(B139,-12),Data!$A:$AX,MATCH($O$1,Data!$A$1:$AX$1,),)</f>
        <v/>
      </c>
      <c r="P139" s="20">
        <f>(VLOOKUP(B139,Data!$A:$AX,MATCH($P$1,Data!$A$1:$AX$1,),)-VLOOKUP(EDATE(B139,-12),Data!$A:$AX,MATCH($P$1,Data!$A$1:$AX$1,),))/VLOOKUP(EDATE(B139,-12),Data!$A:$AX,MATCH($P$1,Data!$A$1:$AX$1,),)</f>
        <v/>
      </c>
      <c r="Q139" s="20">
        <f>(VLOOKUP(B139,Data!$A:$AX,MATCH($Q$1,Data!$A$1:$AX$1,),)-VLOOKUP(EDATE(B139,-12),Data!$A:$AX,MATCH($Q$1,Data!$A$1:$AX$1,),))/VLOOKUP(EDATE(B139,-12),Data!$A:$AX,MATCH($Q$1,Data!$A$1:$AX$1,),)</f>
        <v/>
      </c>
      <c r="R139" s="20">
        <f>(VLOOKUP(B139,Data!$A:$AX,MATCH($R$1,Data!$A$1:$AX$1,),)-VLOOKUP(EDATE(B139,-12),Data!$A:$AX,MATCH($R$1,Data!$A$1:$AX$1,),))/VLOOKUP(EDATE(B139,-12),Data!$A:$AX,MATCH($R$1,Data!$A$1:$AX$1,),)</f>
        <v/>
      </c>
      <c r="S139" s="20">
        <f>(VLOOKUP(B139,Data!$A:$AX,MATCH($S$1,Data!$A$1:$AX$1,),)-VLOOKUP(EDATE(B139,-12),Data!$A:$AX,MATCH($S$1,Data!$A$1:$AX$1,),))/VLOOKUP(EDATE(B139,-12),Data!$A:$AX,MATCH($S$1,Data!$A$1:$AX$1,),)</f>
        <v/>
      </c>
      <c r="T139" s="20">
        <f>(VLOOKUP(B139,Data!$A:$AX,MATCH($T$1,Data!$A$1:$AX$1,),)-VLOOKUP(EDATE(B139,-12),Data!$A:$AX,MATCH($T$1,Data!$A$1:$AX$1,),))/VLOOKUP(EDATE(B139,-12),Data!$A:$AX,MATCH($T$1,Data!$A$1:$AX$1,),)</f>
        <v/>
      </c>
      <c r="U139" s="20">
        <f>(VLOOKUP(B139,Data!$A:$AX,MATCH($U$1,Data!$A$1:$AX$1,),)-VLOOKUP(EDATE(B139,-12),Data!$A:$AX,MATCH($U$1,Data!$A$1:$AX$1,),))/VLOOKUP(EDATE(B139,-12),Data!$A:$AX,MATCH($U$1,Data!$A$1:$AX$1,),)</f>
        <v/>
      </c>
      <c r="V139" s="20">
        <f>(VLOOKUP(B139,Data!$A:$AX,MATCH($V$1,Data!$A$1:$AX$1,),)-VLOOKUP(EDATE(B139,-12),Data!$A:$AX,MATCH($V$1,Data!$A$1:$AX$1,),))/VLOOKUP(EDATE(B139,-12),Data!$A:$AX,MATCH($V$1,Data!$A$1:$AX$1,),)</f>
        <v/>
      </c>
      <c r="W139" s="20">
        <f>(VLOOKUP(B139,Data!$A:$AX,MATCH($W$1,Data!$A$1:$AX$1,),)-VLOOKUP(EDATE(B139,-12),Data!$A:$AX,MATCH($W$1,Data!$A$1:$AX$1,),))/VLOOKUP(EDATE(B139,-12),Data!$A:$AX,MATCH($W$1,Data!$A$1:$AX$1,),)</f>
        <v/>
      </c>
      <c r="X139" s="20">
        <f>(VLOOKUP(B139,Data!$A:$AX,MATCH($X$1,Data!$A$1:$AX$1,),)-VLOOKUP(EDATE(B139,-12),Data!$A:$AX,MATCH($X$1,Data!$A$1:$AX$1,),))/VLOOKUP(EDATE(B139,-12),Data!$A:$AX,MATCH($X$1,Data!$A$1:$AX$1,),)</f>
        <v/>
      </c>
      <c r="Y139" s="20">
        <f>(VLOOKUP(B139,Data!$A:$AX,MATCH($Y$1,Data!$A$1:$AX$1,),)-VLOOKUP(EDATE(B139,-12),Data!$A:$AX,MATCH($Y$1,Data!$A$1:$AX$1,),))/VLOOKUP(EDATE(B139,-12),Data!$A:$AX,MATCH($Y$1,Data!$A$1:$AX$1,),)</f>
        <v/>
      </c>
    </row>
    <row r="140" customFormat="1" s="76">
      <c r="B140" s="15" t="n">
        <v>44470</v>
      </c>
      <c r="C140" s="20">
        <f>(VLOOKUP(B140,Data!$A:$AX,MATCH($C$1,Data!$A$1:$AX$1,),)-VLOOKUP(EDATE(B140,-12),Data!$A:$AX,MATCH($C$1,Data!$A$1:$AX$1,),))/VLOOKUP(EDATE(B140,-12),Data!$A:$AX,MATCH($C$1,Data!$A$1:$AX$1,),)</f>
        <v/>
      </c>
      <c r="D140" s="20">
        <f>(VLOOKUP(B140,Data!$A:$AX,MATCH($D$1,Data!$A$1:$AX$1,),)-VLOOKUP(EDATE(B140,-12),Data!$A:$AX,MATCH($D$1,Data!$A$1:$AX$1,),))/VLOOKUP(EDATE(B140,-12),Data!$A:$AX,MATCH($D$1,Data!$A$1:$AX$1,),)</f>
        <v/>
      </c>
      <c r="E140" s="20">
        <f>(VLOOKUP(B140,Data!$A:$AX,MATCH($E$1,Data!$A$1:$AX$1,),)-VLOOKUP(EDATE(B140,-12),Data!$A:$AX,MATCH($E$1,Data!$A$1:$AX$1,),))/VLOOKUP(EDATE(B140,-12),Data!$A:$AX,MATCH($E$1,Data!$A$1:$AX$1,),)</f>
        <v/>
      </c>
      <c r="F140" s="20">
        <f>(VLOOKUP(B140,Data!$A:$AX,MATCH($F$1,Data!$A$1:$AX$1,),)-VLOOKUP(EDATE(B140,-12),Data!$A:$AX,MATCH($F$1,Data!$A$1:$AX$1,),))/VLOOKUP(EDATE(B140,-12),Data!$A:$AX,MATCH($F$1,Data!$A$1:$AX$1,),)</f>
        <v/>
      </c>
      <c r="G140" s="20">
        <f>(VLOOKUP(B140,Data!$A:$AX,MATCH($G$1,Data!$A$1:$AX$1,),)-VLOOKUP(EDATE(B140,-12),Data!$A:$AX,MATCH($G$1,Data!$A$1:$AX$1,),))/VLOOKUP(EDATE(B140,-12),Data!$A:$AX,MATCH($G$1,Data!$A$1:$AX$1,),)</f>
        <v/>
      </c>
      <c r="H140" s="20">
        <f>(VLOOKUP(B140,Data!$A:$AX,MATCH($H$1,Data!$A$1:$AX$1,),)-VLOOKUP(EDATE(B140,-12),Data!$A:$AX,MATCH($H$1,Data!$A$1:$AX$1,),))/VLOOKUP(EDATE(B140,-12),Data!$A:$AX,MATCH($H$1,Data!$A$1:$AX$1,),)</f>
        <v/>
      </c>
      <c r="I140" s="20">
        <f>(VLOOKUP(B140,Data!$A:$AX,MATCH($I$1,Data!$A$1:$AX$1,),)-VLOOKUP(EDATE(B140,-12),Data!$A:$AX,MATCH($I$1,Data!$A$1:$AX$1,),))/VLOOKUP(EDATE(B140,-12),Data!$A:$AX,MATCH($I$1,Data!$A$1:$AX$1,),)</f>
        <v/>
      </c>
      <c r="J140" s="20">
        <f>(VLOOKUP(B140,Data!$A:$AX,MATCH($J$1,Data!$A$1:$AX$1,),)-VLOOKUP(EDATE(B140,-12),Data!$A:$AX,MATCH($J$1,Data!$A$1:$AX$1,),))/VLOOKUP(EDATE(B140,-12),Data!$A:$AX,MATCH($J$1,Data!$A$1:$AX$1,),)</f>
        <v/>
      </c>
      <c r="K140" s="20">
        <f>(VLOOKUP(B140,Data!$A:$AX,MATCH($K$1,Data!$A$1:$AX$1,),)-VLOOKUP(EDATE(B140,-12),Data!$A:$AX,MATCH($K$1,Data!$A$1:$AX$1,),))/VLOOKUP(EDATE(B140,-12),Data!$A:$AX,MATCH($K$1,Data!$A$1:$AX$1,),)</f>
        <v/>
      </c>
      <c r="L140" s="20">
        <f>(VLOOKUP(B140,Data!$A:$AX,MATCH($L$1,Data!$A$1:$AX$1,),)-VLOOKUP(EDATE(B140,-12),Data!$A:$AX,MATCH($L$1,Data!$A$1:$AX$1,),))/VLOOKUP(EDATE(B140,-12),Data!$A:$AX,MATCH($L$1,Data!$A$1:$AX$1,),)</f>
        <v/>
      </c>
      <c r="M140" s="20">
        <f>(VLOOKUP(B140,Data!$A:$AX,MATCH($M$1,Data!$A$1:$AX$1,),)-VLOOKUP(EDATE(B140,-12),Data!$A:$AX,MATCH($M$1,Data!$A$1:$AX$1,),))/VLOOKUP(EDATE(B140,-12),Data!$A:$AX,MATCH($M$1,Data!$A$1:$AX$1,),)</f>
        <v/>
      </c>
      <c r="N140" s="20">
        <f>(VLOOKUP(B140,Data!$A:$AX,MATCH($N$1,Data!$A$1:$AX$1,),)-VLOOKUP(EDATE(B140,-12),Data!$A:$AX,MATCH($N$1,Data!$A$1:$AX$1,),))/VLOOKUP(EDATE(B140,-12),Data!$A:$AX,MATCH($N$1,Data!$A$1:$AX$1,),)</f>
        <v/>
      </c>
      <c r="O140" s="20">
        <f>(VLOOKUP(B140,Data!$A:$AX,MATCH($O$1,Data!$A$1:$AX$1,),)-VLOOKUP(EDATE(B140,-12),Data!$A:$AX,MATCH($O$1,Data!$A$1:$AX$1,),))/VLOOKUP(EDATE(B140,-12),Data!$A:$AX,MATCH($O$1,Data!$A$1:$AX$1,),)</f>
        <v/>
      </c>
      <c r="P140" s="20">
        <f>(VLOOKUP(B140,Data!$A:$AX,MATCH($P$1,Data!$A$1:$AX$1,),)-VLOOKUP(EDATE(B140,-12),Data!$A:$AX,MATCH($P$1,Data!$A$1:$AX$1,),))/VLOOKUP(EDATE(B140,-12),Data!$A:$AX,MATCH($P$1,Data!$A$1:$AX$1,),)</f>
        <v/>
      </c>
      <c r="Q140" s="20">
        <f>(VLOOKUP(B140,Data!$A:$AX,MATCH($Q$1,Data!$A$1:$AX$1,),)-VLOOKUP(EDATE(B140,-12),Data!$A:$AX,MATCH($Q$1,Data!$A$1:$AX$1,),))/VLOOKUP(EDATE(B140,-12),Data!$A:$AX,MATCH($Q$1,Data!$A$1:$AX$1,),)</f>
        <v/>
      </c>
      <c r="R140" s="20">
        <f>(VLOOKUP(B140,Data!$A:$AX,MATCH($R$1,Data!$A$1:$AX$1,),)-VLOOKUP(EDATE(B140,-12),Data!$A:$AX,MATCH($R$1,Data!$A$1:$AX$1,),))/VLOOKUP(EDATE(B140,-12),Data!$A:$AX,MATCH($R$1,Data!$A$1:$AX$1,),)</f>
        <v/>
      </c>
      <c r="S140" s="20">
        <f>(VLOOKUP(B140,Data!$A:$AX,MATCH($S$1,Data!$A$1:$AX$1,),)-VLOOKUP(EDATE(B140,-12),Data!$A:$AX,MATCH($S$1,Data!$A$1:$AX$1,),))/VLOOKUP(EDATE(B140,-12),Data!$A:$AX,MATCH($S$1,Data!$A$1:$AX$1,),)</f>
        <v/>
      </c>
      <c r="T140" s="20">
        <f>(VLOOKUP(B140,Data!$A:$AX,MATCH($T$1,Data!$A$1:$AX$1,),)-VLOOKUP(EDATE(B140,-12),Data!$A:$AX,MATCH($T$1,Data!$A$1:$AX$1,),))/VLOOKUP(EDATE(B140,-12),Data!$A:$AX,MATCH($T$1,Data!$A$1:$AX$1,),)</f>
        <v/>
      </c>
      <c r="U140" s="20">
        <f>(VLOOKUP(B140,Data!$A:$AX,MATCH($U$1,Data!$A$1:$AX$1,),)-VLOOKUP(EDATE(B140,-12),Data!$A:$AX,MATCH($U$1,Data!$A$1:$AX$1,),))/VLOOKUP(EDATE(B140,-12),Data!$A:$AX,MATCH($U$1,Data!$A$1:$AX$1,),)</f>
        <v/>
      </c>
      <c r="V140" s="20">
        <f>(VLOOKUP(B140,Data!$A:$AX,MATCH($V$1,Data!$A$1:$AX$1,),)-VLOOKUP(EDATE(B140,-12),Data!$A:$AX,MATCH($V$1,Data!$A$1:$AX$1,),))/VLOOKUP(EDATE(B140,-12),Data!$A:$AX,MATCH($V$1,Data!$A$1:$AX$1,),)</f>
        <v/>
      </c>
      <c r="W140" s="20">
        <f>(VLOOKUP(B140,Data!$A:$AX,MATCH($W$1,Data!$A$1:$AX$1,),)-VLOOKUP(EDATE(B140,-12),Data!$A:$AX,MATCH($W$1,Data!$A$1:$AX$1,),))/VLOOKUP(EDATE(B140,-12),Data!$A:$AX,MATCH($W$1,Data!$A$1:$AX$1,),)</f>
        <v/>
      </c>
      <c r="X140" s="20">
        <f>(VLOOKUP(B140,Data!$A:$AX,MATCH($X$1,Data!$A$1:$AX$1,),)-VLOOKUP(EDATE(B140,-12),Data!$A:$AX,MATCH($X$1,Data!$A$1:$AX$1,),))/VLOOKUP(EDATE(B140,-12),Data!$A:$AX,MATCH($X$1,Data!$A$1:$AX$1,),)</f>
        <v/>
      </c>
      <c r="Y140" s="20">
        <f>(VLOOKUP(B140,Data!$A:$AX,MATCH($Y$1,Data!$A$1:$AX$1,),)-VLOOKUP(EDATE(B140,-12),Data!$A:$AX,MATCH($Y$1,Data!$A$1:$AX$1,),))/VLOOKUP(EDATE(B140,-12),Data!$A:$AX,MATCH($Y$1,Data!$A$1:$AX$1,),)</f>
        <v/>
      </c>
    </row>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row r="392" customFormat="1" s="76"/>
  </sheetData>
  <conditionalFormatting sqref="C24:C140">
    <cfRule type="colorScale" priority="27">
      <colorScale>
        <cfvo type="min"/>
        <cfvo type="percentile" val="50"/>
        <cfvo type="max"/>
        <color rgb="FFF8696B"/>
        <color rgb="FFFFEB84"/>
        <color rgb="FF63BE7B"/>
      </colorScale>
    </cfRule>
  </conditionalFormatting>
  <conditionalFormatting sqref="D24:D58">
    <cfRule type="colorScale" priority="26">
      <colorScale>
        <cfvo type="min"/>
        <cfvo type="percentile" val="50"/>
        <cfvo type="max"/>
        <color rgb="FFF8696B"/>
        <color rgb="FFFFEB84"/>
        <color rgb="FF63BE7B"/>
      </colorScale>
    </cfRule>
  </conditionalFormatting>
  <conditionalFormatting sqref="E24:E58">
    <cfRule type="colorScale" priority="25">
      <colorScale>
        <cfvo type="min"/>
        <cfvo type="percentile" val="50"/>
        <cfvo type="max"/>
        <color rgb="FFF8696B"/>
        <color rgb="FFFFEB84"/>
        <color rgb="FF63BE7B"/>
      </colorScale>
    </cfRule>
  </conditionalFormatting>
  <conditionalFormatting sqref="F24:F58">
    <cfRule type="colorScale" priority="24">
      <colorScale>
        <cfvo type="min"/>
        <cfvo type="percentile" val="50"/>
        <cfvo type="max"/>
        <color rgb="FFF8696B"/>
        <color rgb="FFFFEB84"/>
        <color rgb="FF63BE7B"/>
      </colorScale>
    </cfRule>
  </conditionalFormatting>
  <conditionalFormatting sqref="G24:G58">
    <cfRule type="colorScale" priority="23">
      <colorScale>
        <cfvo type="min"/>
        <cfvo type="percentile" val="50"/>
        <cfvo type="max"/>
        <color rgb="FFF8696B"/>
        <color rgb="FFFFEB84"/>
        <color rgb="FF63BE7B"/>
      </colorScale>
    </cfRule>
  </conditionalFormatting>
  <conditionalFormatting sqref="H24:H58">
    <cfRule type="colorScale" priority="22">
      <colorScale>
        <cfvo type="min"/>
        <cfvo type="percentile" val="50"/>
        <cfvo type="max"/>
        <color rgb="FFF8696B"/>
        <color rgb="FFFFEB84"/>
        <color rgb="FF63BE7B"/>
      </colorScale>
    </cfRule>
  </conditionalFormatting>
  <conditionalFormatting sqref="I24:I58">
    <cfRule type="colorScale" priority="21">
      <colorScale>
        <cfvo type="min"/>
        <cfvo type="percentile" val="50"/>
        <cfvo type="max"/>
        <color rgb="FFF8696B"/>
        <color rgb="FFFFEB84"/>
        <color rgb="FF63BE7B"/>
      </colorScale>
    </cfRule>
  </conditionalFormatting>
  <conditionalFormatting sqref="J24:J58">
    <cfRule type="colorScale" priority="20">
      <colorScale>
        <cfvo type="min"/>
        <cfvo type="percentile" val="50"/>
        <cfvo type="max"/>
        <color rgb="FFF8696B"/>
        <color rgb="FFFFEB84"/>
        <color rgb="FF63BE7B"/>
      </colorScale>
    </cfRule>
  </conditionalFormatting>
  <conditionalFormatting sqref="K24:K58">
    <cfRule type="colorScale" priority="19">
      <colorScale>
        <cfvo type="min"/>
        <cfvo type="percentile" val="50"/>
        <cfvo type="max"/>
        <color rgb="FFF8696B"/>
        <color rgb="FFFFEB84"/>
        <color rgb="FF63BE7B"/>
      </colorScale>
    </cfRule>
  </conditionalFormatting>
  <conditionalFormatting sqref="L24:L58">
    <cfRule type="colorScale" priority="18">
      <colorScale>
        <cfvo type="min"/>
        <cfvo type="percentile" val="50"/>
        <cfvo type="max"/>
        <color rgb="FFF8696B"/>
        <color rgb="FFFFEB84"/>
        <color rgb="FF63BE7B"/>
      </colorScale>
    </cfRule>
  </conditionalFormatting>
  <conditionalFormatting sqref="M24:M58">
    <cfRule type="colorScale" priority="17">
      <colorScale>
        <cfvo type="min"/>
        <cfvo type="percentile" val="50"/>
        <cfvo type="max"/>
        <color rgb="FFF8696B"/>
        <color rgb="FFFFEB84"/>
        <color rgb="FF63BE7B"/>
      </colorScale>
    </cfRule>
  </conditionalFormatting>
  <conditionalFormatting sqref="N24:N58">
    <cfRule type="colorScale" priority="16">
      <colorScale>
        <cfvo type="min"/>
        <cfvo type="percentile" val="50"/>
        <cfvo type="max"/>
        <color rgb="FFF8696B"/>
        <color rgb="FFFFEB84"/>
        <color rgb="FF63BE7B"/>
      </colorScale>
    </cfRule>
  </conditionalFormatting>
  <conditionalFormatting sqref="O24:O58">
    <cfRule type="colorScale" priority="15">
      <colorScale>
        <cfvo type="min"/>
        <cfvo type="percentile" val="50"/>
        <cfvo type="max"/>
        <color rgb="FFF8696B"/>
        <color rgb="FFFFEB84"/>
        <color rgb="FF63BE7B"/>
      </colorScale>
    </cfRule>
  </conditionalFormatting>
  <conditionalFormatting sqref="P24:P58">
    <cfRule type="colorScale" priority="14">
      <colorScale>
        <cfvo type="min"/>
        <cfvo type="percentile" val="50"/>
        <cfvo type="max"/>
        <color rgb="FFF8696B"/>
        <color rgb="FFFFEB84"/>
        <color rgb="FF63BE7B"/>
      </colorScale>
    </cfRule>
  </conditionalFormatting>
  <conditionalFormatting sqref="Q24:Q58">
    <cfRule type="colorScale" priority="13">
      <colorScale>
        <cfvo type="min"/>
        <cfvo type="percentile" val="50"/>
        <cfvo type="max"/>
        <color rgb="FFF8696B"/>
        <color rgb="FFFFEB84"/>
        <color rgb="FF63BE7B"/>
      </colorScale>
    </cfRule>
  </conditionalFormatting>
  <conditionalFormatting sqref="R24:R58">
    <cfRule type="colorScale" priority="12">
      <colorScale>
        <cfvo type="min"/>
        <cfvo type="percentile" val="50"/>
        <cfvo type="max"/>
        <color rgb="FFF8696B"/>
        <color rgb="FFFFEB84"/>
        <color rgb="FF63BE7B"/>
      </colorScale>
    </cfRule>
  </conditionalFormatting>
  <conditionalFormatting sqref="S24:S58">
    <cfRule type="colorScale" priority="11">
      <colorScale>
        <cfvo type="min"/>
        <cfvo type="percentile" val="50"/>
        <cfvo type="max"/>
        <color rgb="FFF8696B"/>
        <color rgb="FFFFEB84"/>
        <color rgb="FF63BE7B"/>
      </colorScale>
    </cfRule>
  </conditionalFormatting>
  <conditionalFormatting sqref="T24:T58">
    <cfRule type="colorScale" priority="10">
      <colorScale>
        <cfvo type="min"/>
        <cfvo type="percentile" val="50"/>
        <cfvo type="max"/>
        <color rgb="FFF8696B"/>
        <color rgb="FFFFEB84"/>
        <color rgb="FF63BE7B"/>
      </colorScale>
    </cfRule>
  </conditionalFormatting>
  <conditionalFormatting sqref="U24:U58">
    <cfRule type="colorScale" priority="9">
      <colorScale>
        <cfvo type="min"/>
        <cfvo type="percentile" val="50"/>
        <cfvo type="max"/>
        <color rgb="FFF8696B"/>
        <color rgb="FFFFEB84"/>
        <color rgb="FF63BE7B"/>
      </colorScale>
    </cfRule>
  </conditionalFormatting>
  <conditionalFormatting sqref="V24:V58">
    <cfRule type="colorScale" priority="8">
      <colorScale>
        <cfvo type="min"/>
        <cfvo type="percentile" val="50"/>
        <cfvo type="max"/>
        <color rgb="FFF8696B"/>
        <color rgb="FFFFEB84"/>
        <color rgb="FF63BE7B"/>
      </colorScale>
    </cfRule>
  </conditionalFormatting>
  <conditionalFormatting sqref="W24:W58">
    <cfRule type="colorScale" priority="7">
      <colorScale>
        <cfvo type="min"/>
        <cfvo type="percentile" val="50"/>
        <cfvo type="max"/>
        <color rgb="FFF8696B"/>
        <color rgb="FFFFEB84"/>
        <color rgb="FF63BE7B"/>
      </colorScale>
    </cfRule>
  </conditionalFormatting>
  <conditionalFormatting sqref="X24:X58">
    <cfRule type="colorScale" priority="6">
      <colorScale>
        <cfvo type="min"/>
        <cfvo type="percentile" val="50"/>
        <cfvo type="max"/>
        <color rgb="FFF8696B"/>
        <color rgb="FFFFEB84"/>
        <color rgb="FF63BE7B"/>
      </colorScale>
    </cfRule>
  </conditionalFormatting>
  <conditionalFormatting sqref="Y24:Y58">
    <cfRule type="colorScale" priority="5">
      <colorScale>
        <cfvo type="min"/>
        <cfvo type="percentile" val="50"/>
        <cfvo type="max"/>
        <color rgb="FFF8696B"/>
        <color rgb="FFFFEB84"/>
        <color rgb="FF63BE7B"/>
      </colorScale>
    </cfRule>
  </conditionalFormatting>
  <conditionalFormatting sqref="Z24:Z58">
    <cfRule type="colorScale" priority="4">
      <colorScale>
        <cfvo type="min"/>
        <cfvo type="percentile" val="50"/>
        <cfvo type="max"/>
        <color rgb="FFF8696B"/>
        <color rgb="FFFFEB84"/>
        <color rgb="FF63BE7B"/>
      </colorScale>
    </cfRule>
  </conditionalFormatting>
  <conditionalFormatting sqref="AA24:AB58 AB59:AB98">
    <cfRule type="colorScale" priority="3">
      <colorScale>
        <cfvo type="min"/>
        <cfvo type="percentile" val="50"/>
        <cfvo type="max"/>
        <color rgb="FFF8696B"/>
        <color rgb="FFFFEB84"/>
        <color rgb="FF63BE7B"/>
      </colorScale>
    </cfRule>
  </conditionalFormatting>
  <conditionalFormatting sqref="D59:D140">
    <cfRule type="colorScale" priority="2">
      <colorScale>
        <cfvo type="min"/>
        <cfvo type="percentile" val="50"/>
        <cfvo type="max"/>
        <color rgb="FFF8696B"/>
        <color rgb="FFFFEB84"/>
        <color rgb="FF63BE7B"/>
      </colorScale>
    </cfRule>
  </conditionalFormatting>
  <conditionalFormatting sqref="E59:AA105 Z106:AA106 E106:Y140">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0"/>
  <sheetViews>
    <sheetView zoomScale="150" zoomScaleNormal="150" workbookViewId="0">
      <pane xSplit="2" ySplit="9" topLeftCell="C106" activePane="bottomRight" state="frozen"/>
      <selection activeCell="AC102" sqref="AC102"/>
      <selection pane="topRight" activeCell="AC102" sqref="AC102"/>
      <selection pane="bottomLeft" activeCell="AC102" sqref="AC102"/>
      <selection pane="bottomRight" activeCell="AE131" sqref="AE131"/>
    </sheetView>
  </sheetViews>
  <sheetFormatPr baseColWidth="10" defaultColWidth="8.83203125" defaultRowHeight="15"/>
  <cols>
    <col width="9.1640625" customWidth="1" style="76"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6">
      <c r="AD2" s="76" t="inlineStr">
        <is>
          <t>Last month</t>
        </is>
      </c>
      <c r="AE2" s="28" t="n">
        <v>44470</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(VLOOKUP($B$59,'Data Core CPI'!$A:$AX,MATCH($E$1,'Data Core CPI'!$A$1:$AX$1,),)-VLOOKUP(EDATE($B$59,-12),'Data Core CPI'!$A:$AX,MATCH($E$1,'Data Core CPI'!$A$1:$AX$1,),))/VLOOKUP(EDATE($B$59,-12),'Data Core CPI'!$A:$AX,MATCH($E$1,'Data Core CPI'!$A$1:$AX$1,),)</f>
        <v/>
      </c>
      <c r="F59" s="20">
        <f>(VLOOKUP(B59,'Data Core CPI'!$A:$AX,MATCH($F$1,'Data Core CPI'!$A$1:$AX$1,),)-VLOOKUP(EDATE(B59,-12),'Data Core CPI'!$A:$AX,MATCH($F$1,'Data Core CPI'!$A$1:$AX$1,),))/VLOOKUP(EDATE(B59,-12),'Data Core CPI'!$A:$AX,MATCH($F$1,'Data Core CPI'!$A$1:$AX$1,),)</f>
        <v/>
      </c>
      <c r="G59" s="20">
        <f>(VLOOKUP(B59,'Data Core CPI'!$A:$AX,MATCH($G$1,'Data Core CPI'!$A$1:$AX$1,),)-VLOOKUP(EDATE(B59,-12),'Data Core CPI'!$A:$AX,MATCH($G$1,'Data Core CPI'!$A$1:$AX$1,),))/VLOOKUP(EDATE(B59,-12),'Data Core CPI'!$A:$AX,MATCH($G$1,'Data Core CPI'!$A$1:$AX$1,),)</f>
        <v/>
      </c>
      <c r="H59" s="20">
        <f>(VLOOKUP(B59,'Data Core CPI'!$A:$AX,MATCH($H$1,'Data Core CPI'!$A$1:$AX$1,),)-VLOOKUP(EDATE(B59,-12),'Data Core CPI'!$A:$AX,MATCH($H$1,'Data Core CPI'!$A$1:$AX$1,),))/VLOOKUP(EDATE(B59,-12),'Data Core CPI'!$A:$AX,MATCH($H$1,'Data Core CPI'!$A$1:$AX$1,),)</f>
        <v/>
      </c>
      <c r="I59" s="20">
        <f>(VLOOKUP(B59,'Data Core CPI'!$A:$AX,MATCH($I$1,'Data Core CPI'!$A$1:$AX$1,),)-VLOOKUP(EDATE(B59,-12),'Data Core CPI'!$A:$AX,MATCH($I$1,'Data Core CPI'!$A$1:$AX$1,),))/VLOOKUP(EDATE(B59,-12),'Data Core CPI'!$A:$AX,MATCH($I$1,'Data Core CPI'!$A$1:$AX$1,),)</f>
        <v/>
      </c>
      <c r="J59" s="20">
        <f>(VLOOKUP(B59,'Data Core CPI'!$A:$AX,MATCH($J$1,'Data Core CPI'!$A$1:$AX$1,),)-VLOOKUP(EDATE(B59,-12),'Data Core CPI'!$A:$AX,MATCH($J$1,'Data Core CPI'!$A$1:$AX$1,),))/VLOOKUP(EDATE(B59,-12),'Data Core CPI'!$A:$AX,MATCH($J$1,'Data Core CPI'!$A$1:$AX$1,),)</f>
        <v/>
      </c>
      <c r="K59" s="20">
        <f>(VLOOKUP(B59,'Data Core CPI'!$A:$AX,MATCH($K$1,'Data Core CPI'!$A$1:$AX$1,),)-VLOOKUP(EDATE(B59,-12),'Data Core CPI'!$A:$AX,MATCH($K$1,'Data Core CPI'!$A$1:$AX$1,),))/VLOOKUP(EDATE(B59,-12),'Data Core CPI'!$A:$AX,MATCH($K$1,'Data Core CPI'!$A$1:$AX$1,),)</f>
        <v/>
      </c>
      <c r="L59" s="20">
        <f>(VLOOKUP(B59,'Data Core CPI'!$A:$AX,MATCH($L$1,'Data Core CPI'!$A$1:$AX$1,),)-VLOOKUP(EDATE(B59,-12),'Data Core CPI'!$A:$AX,MATCH($L$1,'Data Core CPI'!$A$1:$AX$1,),))/VLOOKUP(EDATE(B59,-12),'Data Core CPI'!$A:$AX,MATCH($L$1,'Data Core CPI'!$A$1:$AX$1,),)</f>
        <v/>
      </c>
      <c r="M59" s="20">
        <f>(VLOOKUP(B59,'Data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(VLOOKUP(B59,'Data Core CPI'!$A:$AX,MATCH($W$1,'Data Core CPI'!$A$1:$AX$1,),)-VLOOKUP(EDATE(B59,-12),'Data Core CPI'!$A:$AX,MATCH($W$1,'Data Core CPI'!$A$1:$AX$1,),))/VLOOKUP(EDATE(B59,-12),'Data Core CPI'!$A:$AX,MATCH($W$1,'Data Core CPI'!$A$1:$AX$1,),)</f>
        <v/>
      </c>
      <c r="X59" s="20">
        <f>(VLOOKUP(B59,'Data Core CPI'!$A:$AX,MATCH($X$1,'Data Core CPI'!$A$1:$AX$1,),)-VLOOKUP(EDATE(B59,-12),'Data Core CPI'!$A:$AX,MATCH($X$1,'Data Core CPI'!$A$1:$AX$1,),))/VLOOKUP(EDATE(B59,-12),'Data Core CPI'!$A:$AX,MATCH($X$1,'Data Core CPI'!$A$1:$AX$1,),)</f>
        <v/>
      </c>
      <c r="Y59" s="20">
        <f>(VLOOKUP(B59,'Data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(VLOOKUP(B60,'Data Core CPI'!$A:$AX,MATCH($E$1,'Data Core CPI'!$A$1:$AX$1,),)-VLOOKUP(EDATE(B60,-12),'Data Core CPI'!$A:$AX,MATCH($E$1,'Data Core CPI'!$A$1:$AX$1,),))/VLOOKUP(EDATE(B60,-12),'Data Core CPI'!$A:$AX,MATCH($E$1,'Data Core CPI'!$A$1:$AX$1,),)</f>
        <v/>
      </c>
      <c r="F60" s="20">
        <f>(VLOOKUP(B60,'Data Core CPI'!$A:$AX,MATCH($F$1,'Data Core CPI'!$A$1:$AX$1,),)-VLOOKUP(EDATE(B60,-12),'Data Core CPI'!$A:$AX,MATCH($F$1,'Data Core CPI'!$A$1:$AX$1,),))/VLOOKUP(EDATE(B60,-12),'Data Core CPI'!$A:$AX,MATCH($F$1,'Data Core CPI'!$A$1:$AX$1,),)</f>
        <v/>
      </c>
      <c r="G60" s="20">
        <f>(VLOOKUP(B60,'Data Core CPI'!$A:$AX,MATCH($G$1,'Data Core CPI'!$A$1:$AX$1,),)-VLOOKUP(EDATE(B60,-12),'Data Core CPI'!$A:$AX,MATCH($G$1,'Data Core CPI'!$A$1:$AX$1,),))/VLOOKUP(EDATE(B60,-12),'Data Core CPI'!$A:$AX,MATCH($G$1,'Data Core CPI'!$A$1:$AX$1,),)</f>
        <v/>
      </c>
      <c r="H60" s="20">
        <f>(VLOOKUP(B60,'Data Core CPI'!$A:$AX,MATCH($H$1,'Data Core CPI'!$A$1:$AX$1,),)-VLOOKUP(EDATE(B60,-12),'Data Core CPI'!$A:$AX,MATCH($H$1,'Data Core CPI'!$A$1:$AX$1,),))/VLOOKUP(EDATE(B60,-12),'Data Core CPI'!$A:$AX,MATCH($H$1,'Data Core CPI'!$A$1:$AX$1,),)</f>
        <v/>
      </c>
      <c r="I60" s="20">
        <f>(VLOOKUP(B60,'Data Core CPI'!$A:$AX,MATCH($I$1,'Data Core CPI'!$A$1:$AX$1,),)-VLOOKUP(EDATE(B60,-12),'Data Core CPI'!$A:$AX,MATCH($I$1,'Data Core CPI'!$A$1:$AX$1,),))/VLOOKUP(EDATE(B60,-12),'Data Core CPI'!$A:$AX,MATCH($I$1,'Data Core CPI'!$A$1:$AX$1,),)</f>
        <v/>
      </c>
      <c r="J60" s="20">
        <f>(VLOOKUP(B60,'Data Core CPI'!$A:$AX,MATCH($J$1,'Data Core CPI'!$A$1:$AX$1,),)-VLOOKUP(EDATE(B60,-12),'Data Core CPI'!$A:$AX,MATCH($J$1,'Data Core CPI'!$A$1:$AX$1,),))/VLOOKUP(EDATE(B60,-12),'Data Core CPI'!$A:$AX,MATCH($J$1,'Data Core CPI'!$A$1:$AX$1,),)</f>
        <v/>
      </c>
      <c r="K60" s="20">
        <f>(VLOOKUP(B60,'Data Core CPI'!$A:$AX,MATCH($K$1,'Data Core CPI'!$A$1:$AX$1,),)-VLOOKUP(EDATE(B60,-12),'Data Core CPI'!$A:$AX,MATCH($K$1,'Data Core CPI'!$A$1:$AX$1,),))/VLOOKUP(EDATE(B60,-12),'Data Core CPI'!$A:$AX,MATCH($K$1,'Data Core CPI'!$A$1:$AX$1,),)</f>
        <v/>
      </c>
      <c r="L60" s="20">
        <f>(VLOOKUP(B60,'Data Core CPI'!$A:$AX,MATCH($L$1,'Data Core CPI'!$A$1:$AX$1,),)-VLOOKUP(EDATE(B60,-12),'Data Core CPI'!$A:$AX,MATCH($L$1,'Data Core CPI'!$A$1:$AX$1,),))/VLOOKUP(EDATE(B60,-12),'Data Core CPI'!$A:$AX,MATCH($L$1,'Data Core CPI'!$A$1:$AX$1,),)</f>
        <v/>
      </c>
      <c r="M60" s="20">
        <f>(VLOOKUP(B60,'Data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(VLOOKUP(B60,'Data Core CPI'!$A:$AX,MATCH($W$1,'Data Core CPI'!$A$1:$AX$1,),)-VLOOKUP(EDATE(B60,-12),'Data Core CPI'!$A:$AX,MATCH($W$1,'Data Core CPI'!$A$1:$AX$1,),))/VLOOKUP(EDATE(B60,-12),'Data Core CPI'!$A:$AX,MATCH($W$1,'Data Core CPI'!$A$1:$AX$1,),)</f>
        <v/>
      </c>
      <c r="X60" s="20">
        <f>(VLOOKUP(B60,'Data Core CPI'!$A:$AX,MATCH($X$1,'Data Core CPI'!$A$1:$AX$1,),)-VLOOKUP(EDATE(B60,-12),'Data Core CPI'!$A:$AX,MATCH($X$1,'Data Core CPI'!$A$1:$AX$1,),))/VLOOKUP(EDATE(B60,-12),'Data Core CPI'!$A:$AX,MATCH($X$1,'Data Core CPI'!$A$1:$AX$1,),)</f>
        <v/>
      </c>
      <c r="Y60" s="20">
        <f>(VLOOKUP(B60,'Data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(VLOOKUP(B61,'Data Core CPI'!$A:$AX,MATCH($E$1,'Data Core CPI'!$A$1:$AX$1,),)-VLOOKUP(EDATE(B61,-12),'Data Core CPI'!$A:$AX,MATCH($E$1,'Data Core CPI'!$A$1:$AX$1,),))/VLOOKUP(EDATE(B61,-12),'Data Core CPI'!$A:$AX,MATCH($E$1,'Data Core CPI'!$A$1:$AX$1,),)</f>
        <v/>
      </c>
      <c r="F61" s="20">
        <f>(VLOOKUP(B61,'Data Core CPI'!$A:$AX,MATCH($F$1,'Data Core CPI'!$A$1:$AX$1,),)-VLOOKUP(EDATE(B61,-12),'Data Core CPI'!$A:$AX,MATCH($F$1,'Data Core CPI'!$A$1:$AX$1,),))/VLOOKUP(EDATE(B61,-12),'Data Core CPI'!$A:$AX,MATCH($F$1,'Data Core CPI'!$A$1:$AX$1,),)</f>
        <v/>
      </c>
      <c r="G61" s="20">
        <f>(VLOOKUP(B61,'Data Core CPI'!$A:$AX,MATCH($G$1,'Data Core CPI'!$A$1:$AX$1,),)-VLOOKUP(EDATE(B61,-12),'Data Core CPI'!$A:$AX,MATCH($G$1,'Data Core CPI'!$A$1:$AX$1,),))/VLOOKUP(EDATE(B61,-12),'Data Core CPI'!$A:$AX,MATCH($G$1,'Data Core CPI'!$A$1:$AX$1,),)</f>
        <v/>
      </c>
      <c r="H61" s="20">
        <f>(VLOOKUP(B61,'Data Core CPI'!$A:$AX,MATCH($H$1,'Data Core CPI'!$A$1:$AX$1,),)-VLOOKUP(EDATE(B61,-12),'Data Core CPI'!$A:$AX,MATCH($H$1,'Data Core CPI'!$A$1:$AX$1,),))/VLOOKUP(EDATE(B61,-12),'Data Core CPI'!$A:$AX,MATCH($H$1,'Data Core CPI'!$A$1:$AX$1,),)</f>
        <v/>
      </c>
      <c r="I61" s="20">
        <f>(VLOOKUP(B61,'Data Core CPI'!$A:$AX,MATCH($I$1,'Data Core CPI'!$A$1:$AX$1,),)-VLOOKUP(EDATE(B61,-12),'Data Core CPI'!$A:$AX,MATCH($I$1,'Data Core CPI'!$A$1:$AX$1,),))/VLOOKUP(EDATE(B61,-12),'Data Core CPI'!$A:$AX,MATCH($I$1,'Data Core CPI'!$A$1:$AX$1,),)</f>
        <v/>
      </c>
      <c r="J61" s="20">
        <f>(VLOOKUP(B61,'Data Core CPI'!$A:$AX,MATCH($J$1,'Data Core CPI'!$A$1:$AX$1,),)-VLOOKUP(EDATE(B61,-12),'Data Core CPI'!$A:$AX,MATCH($J$1,'Data Core CPI'!$A$1:$AX$1,),))/VLOOKUP(EDATE(B61,-12),'Data Core CPI'!$A:$AX,MATCH($J$1,'Data Core CPI'!$A$1:$AX$1,),)</f>
        <v/>
      </c>
      <c r="K61" s="20">
        <f>(VLOOKUP(B61,'Data Core CPI'!$A:$AX,MATCH($K$1,'Data Core CPI'!$A$1:$AX$1,),)-VLOOKUP(EDATE(B61,-12),'Data Core CPI'!$A:$AX,MATCH($K$1,'Data Core CPI'!$A$1:$AX$1,),))/VLOOKUP(EDATE(B61,-12),'Data Core CPI'!$A:$AX,MATCH($K$1,'Data Core CPI'!$A$1:$AX$1,),)</f>
        <v/>
      </c>
      <c r="L61" s="20">
        <f>(VLOOKUP(B61,'Data Core CPI'!$A:$AX,MATCH($L$1,'Data Core CPI'!$A$1:$AX$1,),)-VLOOKUP(EDATE(B61,-12),'Data Core CPI'!$A:$AX,MATCH($L$1,'Data Core CPI'!$A$1:$AX$1,),))/VLOOKUP(EDATE(B61,-12),'Data Core CPI'!$A:$AX,MATCH($L$1,'Data Core CPI'!$A$1:$AX$1,),)</f>
        <v/>
      </c>
      <c r="M61" s="20">
        <f>(VLOOKUP(B61,'Data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(VLOOKUP(B61,'Data Core CPI'!$A:$AX,MATCH($W$1,'Data Core CPI'!$A$1:$AX$1,),)-VLOOKUP(EDATE(B61,-12),'Data Core CPI'!$A:$AX,MATCH($W$1,'Data Core CPI'!$A$1:$AX$1,),))/VLOOKUP(EDATE(B61,-12),'Data Core CPI'!$A:$AX,MATCH($W$1,'Data Core CPI'!$A$1:$AX$1,),)</f>
        <v/>
      </c>
      <c r="X61" s="20">
        <f>(VLOOKUP(B61,'Data Core CPI'!$A:$AX,MATCH($X$1,'Data Core CPI'!$A$1:$AX$1,),)-VLOOKUP(EDATE(B61,-12),'Data Core CPI'!$A:$AX,MATCH($X$1,'Data Core CPI'!$A$1:$AX$1,),))/VLOOKUP(EDATE(B61,-12),'Data Core CPI'!$A:$AX,MATCH($X$1,'Data Core CPI'!$A$1:$AX$1,),)</f>
        <v/>
      </c>
      <c r="Y61" s="20">
        <f>(VLOOKUP(B61,'Data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(VLOOKUP(B62,'Data Core CPI'!$A:$AX,MATCH($E$1,'Data Core CPI'!$A$1:$AX$1,),)-VLOOKUP(EDATE(B62,-12),'Data Core CPI'!$A:$AX,MATCH($E$1,'Data Core CPI'!$A$1:$AX$1,),))/VLOOKUP(EDATE(B62,-12),'Data Core CPI'!$A:$AX,MATCH($E$1,'Data Core CPI'!$A$1:$AX$1,),)</f>
        <v/>
      </c>
      <c r="F62" s="20">
        <f>(VLOOKUP(B62,'Data Core CPI'!$A:$AX,MATCH($F$1,'Data Core CPI'!$A$1:$AX$1,),)-VLOOKUP(EDATE(B62,-12),'Data Core CPI'!$A:$AX,MATCH($F$1,'Data Core CPI'!$A$1:$AX$1,),))/VLOOKUP(EDATE(B62,-12),'Data Core CPI'!$A:$AX,MATCH($F$1,'Data Core CPI'!$A$1:$AX$1,),)</f>
        <v/>
      </c>
      <c r="G62" s="20">
        <f>(VLOOKUP(B62,'Data Core CPI'!$A:$AX,MATCH($G$1,'Data Core CPI'!$A$1:$AX$1,),)-VLOOKUP(EDATE(B62,-12),'Data Core CPI'!$A:$AX,MATCH($G$1,'Data Core CPI'!$A$1:$AX$1,),))/VLOOKUP(EDATE(B62,-12),'Data Core CPI'!$A:$AX,MATCH($G$1,'Data Core CPI'!$A$1:$AX$1,),)</f>
        <v/>
      </c>
      <c r="H62" s="20">
        <f>(VLOOKUP(B62,'Data Core CPI'!$A:$AX,MATCH($H$1,'Data Core CPI'!$A$1:$AX$1,),)-VLOOKUP(EDATE(B62,-12),'Data Core CPI'!$A:$AX,MATCH($H$1,'Data Core CPI'!$A$1:$AX$1,),))/VLOOKUP(EDATE(B62,-12),'Data Core CPI'!$A:$AX,MATCH($H$1,'Data Core CPI'!$A$1:$AX$1,),)</f>
        <v/>
      </c>
      <c r="I62" s="20">
        <f>(VLOOKUP(B62,'Data Core CPI'!$A:$AX,MATCH($I$1,'Data Core CPI'!$A$1:$AX$1,),)-VLOOKUP(EDATE(B62,-12),'Data Core CPI'!$A:$AX,MATCH($I$1,'Data Core CPI'!$A$1:$AX$1,),))/VLOOKUP(EDATE(B62,-12),'Data Core CPI'!$A:$AX,MATCH($I$1,'Data Core CPI'!$A$1:$AX$1,),)</f>
        <v/>
      </c>
      <c r="J62" s="20">
        <f>(VLOOKUP(B62,'Data Core CPI'!$A:$AX,MATCH($J$1,'Data Core CPI'!$A$1:$AX$1,),)-VLOOKUP(EDATE(B62,-12),'Data Core CPI'!$A:$AX,MATCH($J$1,'Data Core CPI'!$A$1:$AX$1,),))/VLOOKUP(EDATE(B62,-12),'Data Core CPI'!$A:$AX,MATCH($J$1,'Data Core CPI'!$A$1:$AX$1,),)</f>
        <v/>
      </c>
      <c r="K62" s="20">
        <f>(VLOOKUP(B62,'Data Core CPI'!$A:$AX,MATCH($K$1,'Data Core CPI'!$A$1:$AX$1,),)-VLOOKUP(EDATE(B62,-12),'Data Core CPI'!$A:$AX,MATCH($K$1,'Data Core CPI'!$A$1:$AX$1,),))/VLOOKUP(EDATE(B62,-12),'Data Core CPI'!$A:$AX,MATCH($K$1,'Data Core CPI'!$A$1:$AX$1,),)</f>
        <v/>
      </c>
      <c r="L62" s="20">
        <f>(VLOOKUP(B62,'Data Core CPI'!$A:$AX,MATCH($L$1,'Data Core CPI'!$A$1:$AX$1,),)-VLOOKUP(EDATE(B62,-12),'Data Core CPI'!$A:$AX,MATCH($L$1,'Data Core CPI'!$A$1:$AX$1,),))/VLOOKUP(EDATE(B62,-12),'Data Core CPI'!$A:$AX,MATCH($L$1,'Data Core CPI'!$A$1:$AX$1,),)</f>
        <v/>
      </c>
      <c r="M62" s="20">
        <f>(VLOOKUP(B62,'Data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(VLOOKUP(B62,'Data Core CPI'!$A:$AX,MATCH($W$1,'Data Core CPI'!$A$1:$AX$1,),)-VLOOKUP(EDATE(B62,-12),'Data Core CPI'!$A:$AX,MATCH($W$1,'Data Core CPI'!$A$1:$AX$1,),))/VLOOKUP(EDATE(B62,-12),'Data Core CPI'!$A:$AX,MATCH($W$1,'Data Core CPI'!$A$1:$AX$1,),)</f>
        <v/>
      </c>
      <c r="X62" s="20">
        <f>(VLOOKUP(B62,'Data Core CPI'!$A:$AX,MATCH($X$1,'Data Core CPI'!$A$1:$AX$1,),)-VLOOKUP(EDATE(B62,-12),'Data Core CPI'!$A:$AX,MATCH($X$1,'Data Core CPI'!$A$1:$AX$1,),))/VLOOKUP(EDATE(B62,-12),'Data Core CPI'!$A:$AX,MATCH($X$1,'Data Core CPI'!$A$1:$AX$1,),)</f>
        <v/>
      </c>
      <c r="Y62" s="20">
        <f>(VLOOKUP(B62,'Data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(VLOOKUP(B63,'Data Core CPI'!$A:$AX,MATCH($E$1,'Data Core CPI'!$A$1:$AX$1,),)-VLOOKUP(EDATE(B63,-12),'Data Core CPI'!$A:$AX,MATCH($E$1,'Data Core CPI'!$A$1:$AX$1,),))/VLOOKUP(EDATE(B63,-12),'Data Core CPI'!$A:$AX,MATCH($E$1,'Data Core CPI'!$A$1:$AX$1,),)</f>
        <v/>
      </c>
      <c r="F63" s="20">
        <f>(VLOOKUP(B63,'Data Core CPI'!$A:$AX,MATCH($F$1,'Data Core CPI'!$A$1:$AX$1,),)-VLOOKUP(EDATE(B63,-12),'Data Core CPI'!$A:$AX,MATCH($F$1,'Data Core CPI'!$A$1:$AX$1,),))/VLOOKUP(EDATE(B63,-12),'Data Core CPI'!$A:$AX,MATCH($F$1,'Data Core CPI'!$A$1:$AX$1,),)</f>
        <v/>
      </c>
      <c r="G63" s="20">
        <f>(VLOOKUP(B63,'Data Core CPI'!$A:$AX,MATCH($G$1,'Data Core CPI'!$A$1:$AX$1,),)-VLOOKUP(EDATE(B63,-12),'Data Core CPI'!$A:$AX,MATCH($G$1,'Data Core CPI'!$A$1:$AX$1,),))/VLOOKUP(EDATE(B63,-12),'Data Core CPI'!$A:$AX,MATCH($G$1,'Data Core CPI'!$A$1:$AX$1,),)</f>
        <v/>
      </c>
      <c r="H63" s="20">
        <f>(VLOOKUP(B63,'Data Core CPI'!$A:$AX,MATCH($H$1,'Data Core CPI'!$A$1:$AX$1,),)-VLOOKUP(EDATE(B63,-12),'Data Core CPI'!$A:$AX,MATCH($H$1,'Data Core CPI'!$A$1:$AX$1,),))/VLOOKUP(EDATE(B63,-12),'Data Core CPI'!$A:$AX,MATCH($H$1,'Data Core CPI'!$A$1:$AX$1,),)</f>
        <v/>
      </c>
      <c r="I63" s="20">
        <f>(VLOOKUP(B63,'Data Core CPI'!$A:$AX,MATCH($I$1,'Data Core CPI'!$A$1:$AX$1,),)-VLOOKUP(EDATE(B63,-12),'Data Core CPI'!$A:$AX,MATCH($I$1,'Data Core CPI'!$A$1:$AX$1,),))/VLOOKUP(EDATE(B63,-12),'Data Core CPI'!$A:$AX,MATCH($I$1,'Data Core CPI'!$A$1:$AX$1,),)</f>
        <v/>
      </c>
      <c r="J63" s="20">
        <f>(VLOOKUP(B63,'Data Core CPI'!$A:$AX,MATCH($J$1,'Data Core CPI'!$A$1:$AX$1,),)-VLOOKUP(EDATE(B63,-12),'Data Core CPI'!$A:$AX,MATCH($J$1,'Data Core CPI'!$A$1:$AX$1,),))/VLOOKUP(EDATE(B63,-12),'Data Core CPI'!$A:$AX,MATCH($J$1,'Data Core CPI'!$A$1:$AX$1,),)</f>
        <v/>
      </c>
      <c r="K63" s="20">
        <f>(VLOOKUP(B63,'Data Core CPI'!$A:$AX,MATCH($K$1,'Data Core CPI'!$A$1:$AX$1,),)-VLOOKUP(EDATE(B63,-12),'Data Core CPI'!$A:$AX,MATCH($K$1,'Data Core CPI'!$A$1:$AX$1,),))/VLOOKUP(EDATE(B63,-12),'Data Core CPI'!$A:$AX,MATCH($K$1,'Data Core CPI'!$A$1:$AX$1,),)</f>
        <v/>
      </c>
      <c r="L63" s="20">
        <f>(VLOOKUP(B63,'Data Core CPI'!$A:$AX,MATCH($L$1,'Data Core CPI'!$A$1:$AX$1,),)-VLOOKUP(EDATE(B63,-12),'Data Core CPI'!$A:$AX,MATCH($L$1,'Data Core CPI'!$A$1:$AX$1,),))/VLOOKUP(EDATE(B63,-12),'Data Core CPI'!$A:$AX,MATCH($L$1,'Data Core CPI'!$A$1:$AX$1,),)</f>
        <v/>
      </c>
      <c r="M63" s="20">
        <f>(VLOOKUP(B63,'Data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(VLOOKUP(B63,'Data Core CPI'!$A:$AX,MATCH($W$1,'Data Core CPI'!$A$1:$AX$1,),)-VLOOKUP(EDATE(B63,-12),'Data Core CPI'!$A:$AX,MATCH($W$1,'Data Core CPI'!$A$1:$AX$1,),))/VLOOKUP(EDATE(B63,-12),'Data Core CPI'!$A:$AX,MATCH($W$1,'Data Core CPI'!$A$1:$AX$1,),)</f>
        <v/>
      </c>
      <c r="X63" s="20">
        <f>(VLOOKUP(B63,'Data Core CPI'!$A:$AX,MATCH($X$1,'Data Core CPI'!$A$1:$AX$1,),)-VLOOKUP(EDATE(B63,-12),'Data Core CPI'!$A:$AX,MATCH($X$1,'Data Core CPI'!$A$1:$AX$1,),))/VLOOKUP(EDATE(B63,-12),'Data Core CPI'!$A:$AX,MATCH($X$1,'Data Core CPI'!$A$1:$AX$1,),)</f>
        <v/>
      </c>
      <c r="Y63" s="20">
        <f>(VLOOKUP(B63,'Data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(VLOOKUP(B64,'Data Core CPI'!$A:$AX,MATCH($E$1,'Data Core CPI'!$A$1:$AX$1,),)-VLOOKUP(EDATE(B64,-12),'Data Core CPI'!$A:$AX,MATCH($E$1,'Data Core CPI'!$A$1:$AX$1,),))/VLOOKUP(EDATE(B64,-12),'Data Core CPI'!$A:$AX,MATCH($E$1,'Data Core CPI'!$A$1:$AX$1,),)</f>
        <v/>
      </c>
      <c r="F64" s="20">
        <f>(VLOOKUP(B64,'Data Core CPI'!$A:$AX,MATCH($F$1,'Data Core CPI'!$A$1:$AX$1,),)-VLOOKUP(EDATE(B64,-12),'Data Core CPI'!$A:$AX,MATCH($F$1,'Data Core CPI'!$A$1:$AX$1,),))/VLOOKUP(EDATE(B64,-12),'Data Core CPI'!$A:$AX,MATCH($F$1,'Data Core CPI'!$A$1:$AX$1,),)</f>
        <v/>
      </c>
      <c r="G64" s="20">
        <f>(VLOOKUP(B64,'Data Core CPI'!$A:$AX,MATCH($G$1,'Data Core CPI'!$A$1:$AX$1,),)-VLOOKUP(EDATE(B64,-12),'Data Core CPI'!$A:$AX,MATCH($G$1,'Data Core CPI'!$A$1:$AX$1,),))/VLOOKUP(EDATE(B64,-12),'Data Core CPI'!$A:$AX,MATCH($G$1,'Data Core CPI'!$A$1:$AX$1,),)</f>
        <v/>
      </c>
      <c r="H64" s="20">
        <f>(VLOOKUP(B64,'Data Core CPI'!$A:$AX,MATCH($H$1,'Data Core CPI'!$A$1:$AX$1,),)-VLOOKUP(EDATE(B64,-12),'Data Core CPI'!$A:$AX,MATCH($H$1,'Data Core CPI'!$A$1:$AX$1,),))/VLOOKUP(EDATE(B64,-12),'Data Core CPI'!$A:$AX,MATCH($H$1,'Data Core CPI'!$A$1:$AX$1,),)</f>
        <v/>
      </c>
      <c r="I64" s="20">
        <f>(VLOOKUP(B64,'Data Core CPI'!$A:$AX,MATCH($I$1,'Data Core CPI'!$A$1:$AX$1,),)-VLOOKUP(EDATE(B64,-12),'Data Core CPI'!$A:$AX,MATCH($I$1,'Data Core CPI'!$A$1:$AX$1,),))/VLOOKUP(EDATE(B64,-12),'Data Core CPI'!$A:$AX,MATCH($I$1,'Data Core CPI'!$A$1:$AX$1,),)</f>
        <v/>
      </c>
      <c r="J64" s="20">
        <f>(VLOOKUP(B64,'Data Core CPI'!$A:$AX,MATCH($J$1,'Data Core CPI'!$A$1:$AX$1,),)-VLOOKUP(EDATE(B64,-12),'Data Core CPI'!$A:$AX,MATCH($J$1,'Data Core CPI'!$A$1:$AX$1,),))/VLOOKUP(EDATE(B64,-12),'Data Core CPI'!$A:$AX,MATCH($J$1,'Data Core CPI'!$A$1:$AX$1,),)</f>
        <v/>
      </c>
      <c r="K64" s="20">
        <f>(VLOOKUP(B64,'Data Core CPI'!$A:$AX,MATCH($K$1,'Data Core CPI'!$A$1:$AX$1,),)-VLOOKUP(EDATE(B64,-12),'Data Core CPI'!$A:$AX,MATCH($K$1,'Data Core CPI'!$A$1:$AX$1,),))/VLOOKUP(EDATE(B64,-12),'Data Core CPI'!$A:$AX,MATCH($K$1,'Data Core CPI'!$A$1:$AX$1,),)</f>
        <v/>
      </c>
      <c r="L64" s="20">
        <f>(VLOOKUP(B64,'Data Core CPI'!$A:$AX,MATCH($L$1,'Data Core CPI'!$A$1:$AX$1,),)-VLOOKUP(EDATE(B64,-12),'Data Core CPI'!$A:$AX,MATCH($L$1,'Data Core CPI'!$A$1:$AX$1,),))/VLOOKUP(EDATE(B64,-12),'Data Core CPI'!$A:$AX,MATCH($L$1,'Data Core CPI'!$A$1:$AX$1,),)</f>
        <v/>
      </c>
      <c r="M64" s="20">
        <f>(VLOOKUP(B64,'Data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(VLOOKUP(B64,'Data Core CPI'!$A:$AX,MATCH($W$1,'Data Core CPI'!$A$1:$AX$1,),)-VLOOKUP(EDATE(B64,-12),'Data Core CPI'!$A:$AX,MATCH($W$1,'Data Core CPI'!$A$1:$AX$1,),))/VLOOKUP(EDATE(B64,-12),'Data Core CPI'!$A:$AX,MATCH($W$1,'Data Core CPI'!$A$1:$AX$1,),)</f>
        <v/>
      </c>
      <c r="X64" s="20">
        <f>(VLOOKUP(B64,'Data Core CPI'!$A:$AX,MATCH($X$1,'Data Core CPI'!$A$1:$AX$1,),)-VLOOKUP(EDATE(B64,-12),'Data Core CPI'!$A:$AX,MATCH($X$1,'Data Core CPI'!$A$1:$AX$1,),))/VLOOKUP(EDATE(B64,-12),'Data Core CPI'!$A:$AX,MATCH($X$1,'Data Core CPI'!$A$1:$AX$1,),)</f>
        <v/>
      </c>
      <c r="Y64" s="20">
        <f>(VLOOKUP(B64,'Data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(VLOOKUP(B65,'Data Core CPI'!$A:$AX,MATCH($E$1,'Data Core CPI'!$A$1:$AX$1,),)-VLOOKUP(EDATE(B65,-12),'Data Core CPI'!$A:$AX,MATCH($E$1,'Data Core CPI'!$A$1:$AX$1,),))/VLOOKUP(EDATE(B65,-12),'Data Core CPI'!$A:$AX,MATCH($E$1,'Data Core CPI'!$A$1:$AX$1,),)</f>
        <v/>
      </c>
      <c r="F65" s="20">
        <f>(VLOOKUP(B65,'Data Core CPI'!$A:$AX,MATCH($F$1,'Data Core CPI'!$A$1:$AX$1,),)-VLOOKUP(EDATE(B65,-12),'Data Core CPI'!$A:$AX,MATCH($F$1,'Data Core CPI'!$A$1:$AX$1,),))/VLOOKUP(EDATE(B65,-12),'Data Core CPI'!$A:$AX,MATCH($F$1,'Data Core CPI'!$A$1:$AX$1,),)</f>
        <v/>
      </c>
      <c r="G65" s="20">
        <f>(VLOOKUP(B65,'Data Core CPI'!$A:$AX,MATCH($G$1,'Data Core CPI'!$A$1:$AX$1,),)-VLOOKUP(EDATE(B65,-12),'Data Core CPI'!$A:$AX,MATCH($G$1,'Data Core CPI'!$A$1:$AX$1,),))/VLOOKUP(EDATE(B65,-12),'Data Core CPI'!$A:$AX,MATCH($G$1,'Data Core CPI'!$A$1:$AX$1,),)</f>
        <v/>
      </c>
      <c r="H65" s="20">
        <f>(VLOOKUP(B65,'Data Core CPI'!$A:$AX,MATCH($H$1,'Data Core CPI'!$A$1:$AX$1,),)-VLOOKUP(EDATE(B65,-12),'Data Core CPI'!$A:$AX,MATCH($H$1,'Data Core CPI'!$A$1:$AX$1,),))/VLOOKUP(EDATE(B65,-12),'Data Core CPI'!$A:$AX,MATCH($H$1,'Data Core CPI'!$A$1:$AX$1,),)</f>
        <v/>
      </c>
      <c r="I65" s="20">
        <f>(VLOOKUP(B65,'Data Core CPI'!$A:$AX,MATCH($I$1,'Data Core CPI'!$A$1:$AX$1,),)-VLOOKUP(EDATE(B65,-12),'Data Core CPI'!$A:$AX,MATCH($I$1,'Data Core CPI'!$A$1:$AX$1,),))/VLOOKUP(EDATE(B65,-12),'Data Core CPI'!$A:$AX,MATCH($I$1,'Data Core CPI'!$A$1:$AX$1,),)</f>
        <v/>
      </c>
      <c r="J65" s="20">
        <f>(VLOOKUP(B65,'Data Core CPI'!$A:$AX,MATCH($J$1,'Data Core CPI'!$A$1:$AX$1,),)-VLOOKUP(EDATE(B65,-12),'Data Core CPI'!$A:$AX,MATCH($J$1,'Data Core CPI'!$A$1:$AX$1,),))/VLOOKUP(EDATE(B65,-12),'Data Core CPI'!$A:$AX,MATCH($J$1,'Data Core CPI'!$A$1:$AX$1,),)</f>
        <v/>
      </c>
      <c r="K65" s="20">
        <f>(VLOOKUP(B65,'Data Core CPI'!$A:$AX,MATCH($K$1,'Data Core CPI'!$A$1:$AX$1,),)-VLOOKUP(EDATE(B65,-12),'Data Core CPI'!$A:$AX,MATCH($K$1,'Data Core CPI'!$A$1:$AX$1,),))/VLOOKUP(EDATE(B65,-12),'Data Core CPI'!$A:$AX,MATCH($K$1,'Data Core CPI'!$A$1:$AX$1,),)</f>
        <v/>
      </c>
      <c r="L65" s="20">
        <f>(VLOOKUP(B65,'Data Core CPI'!$A:$AX,MATCH($L$1,'Data Core CPI'!$A$1:$AX$1,),)-VLOOKUP(EDATE(B65,-12),'Data Core CPI'!$A:$AX,MATCH($L$1,'Data Core CPI'!$A$1:$AX$1,),))/VLOOKUP(EDATE(B65,-12),'Data Core CPI'!$A:$AX,MATCH($L$1,'Data Core CPI'!$A$1:$AX$1,),)</f>
        <v/>
      </c>
      <c r="M65" s="20">
        <f>(VLOOKUP(B65,'Data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(VLOOKUP(B65,'Data Core CPI'!$A:$AX,MATCH($W$1,'Data Core CPI'!$A$1:$AX$1,),)-VLOOKUP(EDATE(B65,-12),'Data Core CPI'!$A:$AX,MATCH($W$1,'Data Core CPI'!$A$1:$AX$1,),))/VLOOKUP(EDATE(B65,-12),'Data Core CPI'!$A:$AX,MATCH($W$1,'Data Core CPI'!$A$1:$AX$1,),)</f>
        <v/>
      </c>
      <c r="X65" s="20">
        <f>(VLOOKUP(B65,'Data Core CPI'!$A:$AX,MATCH($X$1,'Data Core CPI'!$A$1:$AX$1,),)-VLOOKUP(EDATE(B65,-12),'Data Core CPI'!$A:$AX,MATCH($X$1,'Data Core CPI'!$A$1:$AX$1,),))/VLOOKUP(EDATE(B65,-12),'Data Core CPI'!$A:$AX,MATCH($X$1,'Data Core CPI'!$A$1:$AX$1,),)</f>
        <v/>
      </c>
      <c r="Y65" s="20">
        <f>(VLOOKUP(B65,'Data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(VLOOKUP(B66,'Data Core CPI'!$A:$AX,MATCH($E$1,'Data Core CPI'!$A$1:$AX$1,),)-VLOOKUP(EDATE(B66,-12),'Data Core CPI'!$A:$AX,MATCH($E$1,'Data Core CPI'!$A$1:$AX$1,),))/VLOOKUP(EDATE(B66,-12),'Data Core CPI'!$A:$AX,MATCH($E$1,'Data Core CPI'!$A$1:$AX$1,),)</f>
        <v/>
      </c>
      <c r="F66" s="20">
        <f>(VLOOKUP(B66,'Data Core CPI'!$A:$AX,MATCH($F$1,'Data Core CPI'!$A$1:$AX$1,),)-VLOOKUP(EDATE(B66,-12),'Data Core CPI'!$A:$AX,MATCH($F$1,'Data Core CPI'!$A$1:$AX$1,),))/VLOOKUP(EDATE(B66,-12),'Data Core CPI'!$A:$AX,MATCH($F$1,'Data Core CPI'!$A$1:$AX$1,),)</f>
        <v/>
      </c>
      <c r="G66" s="20">
        <f>(VLOOKUP(B66,'Data Core CPI'!$A:$AX,MATCH($G$1,'Data Core CPI'!$A$1:$AX$1,),)-VLOOKUP(EDATE(B66,-12),'Data Core CPI'!$A:$AX,MATCH($G$1,'Data Core CPI'!$A$1:$AX$1,),))/VLOOKUP(EDATE(B66,-12),'Data Core CPI'!$A:$AX,MATCH($G$1,'Data Core CPI'!$A$1:$AX$1,),)</f>
        <v/>
      </c>
      <c r="H66" s="20">
        <f>(VLOOKUP(B66,'Data Core CPI'!$A:$AX,MATCH($H$1,'Data Core CPI'!$A$1:$AX$1,),)-VLOOKUP(EDATE(B66,-12),'Data Core CPI'!$A:$AX,MATCH($H$1,'Data Core CPI'!$A$1:$AX$1,),))/VLOOKUP(EDATE(B66,-12),'Data Core CPI'!$A:$AX,MATCH($H$1,'Data Core CPI'!$A$1:$AX$1,),)</f>
        <v/>
      </c>
      <c r="I66" s="20">
        <f>(VLOOKUP(B66,'Data Core CPI'!$A:$AX,MATCH($I$1,'Data Core CPI'!$A$1:$AX$1,),)-VLOOKUP(EDATE(B66,-12),'Data Core CPI'!$A:$AX,MATCH($I$1,'Data Core CPI'!$A$1:$AX$1,),))/VLOOKUP(EDATE(B66,-12),'Data Core CPI'!$A:$AX,MATCH($I$1,'Data Core CPI'!$A$1:$AX$1,),)</f>
        <v/>
      </c>
      <c r="J66" s="20">
        <f>(VLOOKUP(B66,'Data Core CPI'!$A:$AX,MATCH($J$1,'Data Core CPI'!$A$1:$AX$1,),)-VLOOKUP(EDATE(B66,-12),'Data Core CPI'!$A:$AX,MATCH($J$1,'Data Core CPI'!$A$1:$AX$1,),))/VLOOKUP(EDATE(B66,-12),'Data Core CPI'!$A:$AX,MATCH($J$1,'Data Core CPI'!$A$1:$AX$1,),)</f>
        <v/>
      </c>
      <c r="K66" s="20">
        <f>(VLOOKUP(B66,'Data Core CPI'!$A:$AX,MATCH($K$1,'Data Core CPI'!$A$1:$AX$1,),)-VLOOKUP(EDATE(B66,-12),'Data Core CPI'!$A:$AX,MATCH($K$1,'Data Core CPI'!$A$1:$AX$1,),))/VLOOKUP(EDATE(B66,-12),'Data Core CPI'!$A:$AX,MATCH($K$1,'Data Core CPI'!$A$1:$AX$1,),)</f>
        <v/>
      </c>
      <c r="L66" s="20">
        <f>(VLOOKUP(B66,'Data Core CPI'!$A:$AX,MATCH($L$1,'Data Core CPI'!$A$1:$AX$1,),)-VLOOKUP(EDATE(B66,-12),'Data Core CPI'!$A:$AX,MATCH($L$1,'Data Core CPI'!$A$1:$AX$1,),))/VLOOKUP(EDATE(B66,-12),'Data Core CPI'!$A:$AX,MATCH($L$1,'Data Core CPI'!$A$1:$AX$1,),)</f>
        <v/>
      </c>
      <c r="M66" s="20">
        <f>(VLOOKUP(B66,'Data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(VLOOKUP(B66,'Data Core CPI'!$A:$AX,MATCH($W$1,'Data Core CPI'!$A$1:$AX$1,),)-VLOOKUP(EDATE(B66,-12),'Data Core CPI'!$A:$AX,MATCH($W$1,'Data Core CPI'!$A$1:$AX$1,),))/VLOOKUP(EDATE(B66,-12),'Data Core CPI'!$A:$AX,MATCH($W$1,'Data Core CPI'!$A$1:$AX$1,),)</f>
        <v/>
      </c>
      <c r="X66" s="20">
        <f>(VLOOKUP(B66,'Data Core CPI'!$A:$AX,MATCH($X$1,'Data Core CPI'!$A$1:$AX$1,),)-VLOOKUP(EDATE(B66,-12),'Data Core CPI'!$A:$AX,MATCH($X$1,'Data Core CPI'!$A$1:$AX$1,),))/VLOOKUP(EDATE(B66,-12),'Data Core CPI'!$A:$AX,MATCH($X$1,'Data Core CPI'!$A$1:$AX$1,),)</f>
        <v/>
      </c>
      <c r="Y66" s="20">
        <f>(VLOOKUP(B66,'Data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(VLOOKUP(B67,'Data Core CPI'!$A:$AX,MATCH($E$1,'Data Core CPI'!$A$1:$AX$1,),)-VLOOKUP(EDATE(B67,-12),'Data Core CPI'!$A:$AX,MATCH($E$1,'Data Core CPI'!$A$1:$AX$1,),))/VLOOKUP(EDATE(B67,-12),'Data Core CPI'!$A:$AX,MATCH($E$1,'Data Core CPI'!$A$1:$AX$1,),)</f>
        <v/>
      </c>
      <c r="F67" s="20">
        <f>(VLOOKUP(B67,'Data Core CPI'!$A:$AX,MATCH($F$1,'Data Core CPI'!$A$1:$AX$1,),)-VLOOKUP(EDATE(B67,-12),'Data Core CPI'!$A:$AX,MATCH($F$1,'Data Core CPI'!$A$1:$AX$1,),))/VLOOKUP(EDATE(B67,-12),'Data Core CPI'!$A:$AX,MATCH($F$1,'Data Core CPI'!$A$1:$AX$1,),)</f>
        <v/>
      </c>
      <c r="G67" s="20">
        <f>(VLOOKUP(B67,'Data Core CPI'!$A:$AX,MATCH($G$1,'Data Core CPI'!$A$1:$AX$1,),)-VLOOKUP(EDATE(B67,-12),'Data Core CPI'!$A:$AX,MATCH($G$1,'Data Core CPI'!$A$1:$AX$1,),))/VLOOKUP(EDATE(B67,-12),'Data Core CPI'!$A:$AX,MATCH($G$1,'Data Core CPI'!$A$1:$AX$1,),)</f>
        <v/>
      </c>
      <c r="H67" s="20">
        <f>(VLOOKUP(B67,'Data Core CPI'!$A:$AX,MATCH($H$1,'Data Core CPI'!$A$1:$AX$1,),)-VLOOKUP(EDATE(B67,-12),'Data Core CPI'!$A:$AX,MATCH($H$1,'Data Core CPI'!$A$1:$AX$1,),))/VLOOKUP(EDATE(B67,-12),'Data Core CPI'!$A:$AX,MATCH($H$1,'Data Core CPI'!$A$1:$AX$1,),)</f>
        <v/>
      </c>
      <c r="I67" s="20">
        <f>(VLOOKUP(B67,'Data Core CPI'!$A:$AX,MATCH($I$1,'Data Core CPI'!$A$1:$AX$1,),)-VLOOKUP(EDATE(B67,-12),'Data Core CPI'!$A:$AX,MATCH($I$1,'Data Core CPI'!$A$1:$AX$1,),))/VLOOKUP(EDATE(B67,-12),'Data Core CPI'!$A:$AX,MATCH($I$1,'Data Core CPI'!$A$1:$AX$1,),)</f>
        <v/>
      </c>
      <c r="J67" s="20">
        <f>(VLOOKUP(B67,'Data Core CPI'!$A:$AX,MATCH($J$1,'Data Core CPI'!$A$1:$AX$1,),)-VLOOKUP(EDATE(B67,-12),'Data Core CPI'!$A:$AX,MATCH($J$1,'Data Core CPI'!$A$1:$AX$1,),))/VLOOKUP(EDATE(B67,-12),'Data Core CPI'!$A:$AX,MATCH($J$1,'Data Core CPI'!$A$1:$AX$1,),)</f>
        <v/>
      </c>
      <c r="K67" s="20">
        <f>(VLOOKUP(B67,'Data Core CPI'!$A:$AX,MATCH($K$1,'Data Core CPI'!$A$1:$AX$1,),)-VLOOKUP(EDATE(B67,-12),'Data Core CPI'!$A:$AX,MATCH($K$1,'Data Core CPI'!$A$1:$AX$1,),))/VLOOKUP(EDATE(B67,-12),'Data Core CPI'!$A:$AX,MATCH($K$1,'Data Core CPI'!$A$1:$AX$1,),)</f>
        <v/>
      </c>
      <c r="L67" s="20">
        <f>(VLOOKUP(B67,'Data Core CPI'!$A:$AX,MATCH($L$1,'Data Core CPI'!$A$1:$AX$1,),)-VLOOKUP(EDATE(B67,-12),'Data Core CPI'!$A:$AX,MATCH($L$1,'Data Core CPI'!$A$1:$AX$1,),))/VLOOKUP(EDATE(B67,-12),'Data Core CPI'!$A:$AX,MATCH($L$1,'Data Core CPI'!$A$1:$AX$1,),)</f>
        <v/>
      </c>
      <c r="M67" s="20">
        <f>(VLOOKUP(B67,'Data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(VLOOKUP(B67,'Data Core CPI'!$A:$AX,MATCH($W$1,'Data Core CPI'!$A$1:$AX$1,),)-VLOOKUP(EDATE(B67,-12),'Data Core CPI'!$A:$AX,MATCH($W$1,'Data Core CPI'!$A$1:$AX$1,),))/VLOOKUP(EDATE(B67,-12),'Data Core CPI'!$A:$AX,MATCH($W$1,'Data Core CPI'!$A$1:$AX$1,),)</f>
        <v/>
      </c>
      <c r="X67" s="20">
        <f>(VLOOKUP(B67,'Data Core CPI'!$A:$AX,MATCH($X$1,'Data Core CPI'!$A$1:$AX$1,),)-VLOOKUP(EDATE(B67,-12),'Data Core CPI'!$A:$AX,MATCH($X$1,'Data Core CPI'!$A$1:$AX$1,),))/VLOOKUP(EDATE(B67,-12),'Data Core CPI'!$A:$AX,MATCH($X$1,'Data Core CPI'!$A$1:$AX$1,),)</f>
        <v/>
      </c>
      <c r="Y67" s="20">
        <f>(VLOOKUP(B67,'Data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(VLOOKUP(B68,'Data Core CPI'!$A:$AX,MATCH($E$1,'Data Core CPI'!$A$1:$AX$1,),)-VLOOKUP(EDATE(B68,-12),'Data Core CPI'!$A:$AX,MATCH($E$1,'Data Core CPI'!$A$1:$AX$1,),))/VLOOKUP(EDATE(B68,-12),'Data Core CPI'!$A:$AX,MATCH($E$1,'Data Core CPI'!$A$1:$AX$1,),)</f>
        <v/>
      </c>
      <c r="F68" s="20">
        <f>(VLOOKUP(B68,'Data Core CPI'!$A:$AX,MATCH($F$1,'Data Core CPI'!$A$1:$AX$1,),)-VLOOKUP(EDATE(B68,-12),'Data Core CPI'!$A:$AX,MATCH($F$1,'Data Core CPI'!$A$1:$AX$1,),))/VLOOKUP(EDATE(B68,-12),'Data Core CPI'!$A:$AX,MATCH($F$1,'Data Core CPI'!$A$1:$AX$1,),)</f>
        <v/>
      </c>
      <c r="G68" s="20">
        <f>(VLOOKUP(B68,'Data Core CPI'!$A:$AX,MATCH($G$1,'Data Core CPI'!$A$1:$AX$1,),)-VLOOKUP(EDATE(B68,-12),'Data Core CPI'!$A:$AX,MATCH($G$1,'Data Core CPI'!$A$1:$AX$1,),))/VLOOKUP(EDATE(B68,-12),'Data Core CPI'!$A:$AX,MATCH($G$1,'Data Core CPI'!$A$1:$AX$1,),)</f>
        <v/>
      </c>
      <c r="H68" s="20">
        <f>(VLOOKUP(B68,'Data Core CPI'!$A:$AX,MATCH($H$1,'Data Core CPI'!$A$1:$AX$1,),)-VLOOKUP(EDATE(B68,-12),'Data Core CPI'!$A:$AX,MATCH($H$1,'Data Core CPI'!$A$1:$AX$1,),))/VLOOKUP(EDATE(B68,-12),'Data Core CPI'!$A:$AX,MATCH($H$1,'Data Core CPI'!$A$1:$AX$1,),)</f>
        <v/>
      </c>
      <c r="I68" s="20">
        <f>(VLOOKUP(B68,'Data Core CPI'!$A:$AX,MATCH($I$1,'Data Core CPI'!$A$1:$AX$1,),)-VLOOKUP(EDATE(B68,-12),'Data Core CPI'!$A:$AX,MATCH($I$1,'Data Core CPI'!$A$1:$AX$1,),))/VLOOKUP(EDATE(B68,-12),'Data Core CPI'!$A:$AX,MATCH($I$1,'Data Core CPI'!$A$1:$AX$1,),)</f>
        <v/>
      </c>
      <c r="J68" s="20">
        <f>(VLOOKUP(B68,'Data Core CPI'!$A:$AX,MATCH($J$1,'Data Core CPI'!$A$1:$AX$1,),)-VLOOKUP(EDATE(B68,-12),'Data Core CPI'!$A:$AX,MATCH($J$1,'Data Core CPI'!$A$1:$AX$1,),))/VLOOKUP(EDATE(B68,-12),'Data Core CPI'!$A:$AX,MATCH($J$1,'Data Core CPI'!$A$1:$AX$1,),)</f>
        <v/>
      </c>
      <c r="K68" s="20">
        <f>(VLOOKUP(B68,'Data Core CPI'!$A:$AX,MATCH($K$1,'Data Core CPI'!$A$1:$AX$1,),)-VLOOKUP(EDATE(B68,-12),'Data Core CPI'!$A:$AX,MATCH($K$1,'Data Core CPI'!$A$1:$AX$1,),))/VLOOKUP(EDATE(B68,-12),'Data Core CPI'!$A:$AX,MATCH($K$1,'Data Core CPI'!$A$1:$AX$1,),)</f>
        <v/>
      </c>
      <c r="L68" s="20">
        <f>(VLOOKUP(B68,'Data Core CPI'!$A:$AX,MATCH($L$1,'Data Core CPI'!$A$1:$AX$1,),)-VLOOKUP(EDATE(B68,-12),'Data Core CPI'!$A:$AX,MATCH($L$1,'Data Core CPI'!$A$1:$AX$1,),))/VLOOKUP(EDATE(B68,-12),'Data Core CPI'!$A:$AX,MATCH($L$1,'Data Core CPI'!$A$1:$AX$1,),)</f>
        <v/>
      </c>
      <c r="M68" s="20">
        <f>(VLOOKUP(B68,'Data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(VLOOKUP(B68,'Data Core CPI'!$A:$AX,MATCH($W$1,'Data Core CPI'!$A$1:$AX$1,),)-VLOOKUP(EDATE(B68,-12),'Data Core CPI'!$A:$AX,MATCH($W$1,'Data Core CPI'!$A$1:$AX$1,),))/VLOOKUP(EDATE(B68,-12),'Data Core CPI'!$A:$AX,MATCH($W$1,'Data Core CPI'!$A$1:$AX$1,),)</f>
        <v/>
      </c>
      <c r="X68" s="20">
        <f>(VLOOKUP(B68,'Data Core CPI'!$A:$AX,MATCH($X$1,'Data Core CPI'!$A$1:$AX$1,),)-VLOOKUP(EDATE(B68,-12),'Data Core CPI'!$A:$AX,MATCH($X$1,'Data Core CPI'!$A$1:$AX$1,),))/VLOOKUP(EDATE(B68,-12),'Data Core CPI'!$A:$AX,MATCH($X$1,'Data Core CPI'!$A$1:$AX$1,),)</f>
        <v/>
      </c>
      <c r="Y68" s="20">
        <f>(VLOOKUP(B68,'Data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(VLOOKUP(B69,'Data Core CPI'!$A:$AX,MATCH($E$1,'Data Core CPI'!$A$1:$AX$1,),)-VLOOKUP(EDATE(B69,-12),'Data Core CPI'!$A:$AX,MATCH($E$1,'Data Core CPI'!$A$1:$AX$1,),))/VLOOKUP(EDATE(B69,-12),'Data Core CPI'!$A:$AX,MATCH($E$1,'Data Core CPI'!$A$1:$AX$1,),)</f>
        <v/>
      </c>
      <c r="F69" s="20">
        <f>(VLOOKUP(B69,'Data Core CPI'!$A:$AX,MATCH($F$1,'Data Core CPI'!$A$1:$AX$1,),)-VLOOKUP(EDATE(B69,-12),'Data Core CPI'!$A:$AX,MATCH($F$1,'Data Core CPI'!$A$1:$AX$1,),))/VLOOKUP(EDATE(B69,-12),'Data Core CPI'!$A:$AX,MATCH($F$1,'Data Core CPI'!$A$1:$AX$1,),)</f>
        <v/>
      </c>
      <c r="G69" s="20">
        <f>(VLOOKUP(B69,'Data Core CPI'!$A:$AX,MATCH($G$1,'Data Core CPI'!$A$1:$AX$1,),)-VLOOKUP(EDATE(B69,-12),'Data Core CPI'!$A:$AX,MATCH($G$1,'Data Core CPI'!$A$1:$AX$1,),))/VLOOKUP(EDATE(B69,-12),'Data Core CPI'!$A:$AX,MATCH($G$1,'Data Core CPI'!$A$1:$AX$1,),)</f>
        <v/>
      </c>
      <c r="H69" s="20">
        <f>(VLOOKUP(B69,'Data Core CPI'!$A:$AX,MATCH($H$1,'Data Core CPI'!$A$1:$AX$1,),)-VLOOKUP(EDATE(B69,-12),'Data Core CPI'!$A:$AX,MATCH($H$1,'Data Core CPI'!$A$1:$AX$1,),))/VLOOKUP(EDATE(B69,-12),'Data Core CPI'!$A:$AX,MATCH($H$1,'Data Core CPI'!$A$1:$AX$1,),)</f>
        <v/>
      </c>
      <c r="I69" s="20">
        <f>(VLOOKUP(B69,'Data Core CPI'!$A:$AX,MATCH($I$1,'Data Core CPI'!$A$1:$AX$1,),)-VLOOKUP(EDATE(B69,-12),'Data Core CPI'!$A:$AX,MATCH($I$1,'Data Core CPI'!$A$1:$AX$1,),))/VLOOKUP(EDATE(B69,-12),'Data Core CPI'!$A:$AX,MATCH($I$1,'Data Core CPI'!$A$1:$AX$1,),)</f>
        <v/>
      </c>
      <c r="J69" s="20">
        <f>(VLOOKUP(B69,'Data Core CPI'!$A:$AX,MATCH($J$1,'Data Core CPI'!$A$1:$AX$1,),)-VLOOKUP(EDATE(B69,-12),'Data Core CPI'!$A:$AX,MATCH($J$1,'Data Core CPI'!$A$1:$AX$1,),))/VLOOKUP(EDATE(B69,-12),'Data Core CPI'!$A:$AX,MATCH($J$1,'Data Core CPI'!$A$1:$AX$1,),)</f>
        <v/>
      </c>
      <c r="K69" s="20">
        <f>(VLOOKUP(B69,'Data Core CPI'!$A:$AX,MATCH($K$1,'Data Core CPI'!$A$1:$AX$1,),)-VLOOKUP(EDATE(B69,-12),'Data Core CPI'!$A:$AX,MATCH($K$1,'Data Core CPI'!$A$1:$AX$1,),))/VLOOKUP(EDATE(B69,-12),'Data Core CPI'!$A:$AX,MATCH($K$1,'Data Core CPI'!$A$1:$AX$1,),)</f>
        <v/>
      </c>
      <c r="L69" s="20">
        <f>(VLOOKUP(B69,'Data Core CPI'!$A:$AX,MATCH($L$1,'Data Core CPI'!$A$1:$AX$1,),)-VLOOKUP(EDATE(B69,-12),'Data Core CPI'!$A:$AX,MATCH($L$1,'Data Core CPI'!$A$1:$AX$1,),))/VLOOKUP(EDATE(B69,-12),'Data Core CPI'!$A:$AX,MATCH($L$1,'Data Core CPI'!$A$1:$AX$1,),)</f>
        <v/>
      </c>
      <c r="M69" s="20">
        <f>(VLOOKUP(B69,'Data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(VLOOKUP(B69,'Data Core CPI'!$A:$AX,MATCH($W$1,'Data Core CPI'!$A$1:$AX$1,),)-VLOOKUP(EDATE(B69,-12),'Data Core CPI'!$A:$AX,MATCH($W$1,'Data Core CPI'!$A$1:$AX$1,),))/VLOOKUP(EDATE(B69,-12),'Data Core CPI'!$A:$AX,MATCH($W$1,'Data Core CPI'!$A$1:$AX$1,),)</f>
        <v/>
      </c>
      <c r="X69" s="20">
        <f>(VLOOKUP(B69,'Data Core CPI'!$A:$AX,MATCH($X$1,'Data Core CPI'!$A$1:$AX$1,),)-VLOOKUP(EDATE(B69,-12),'Data Core CPI'!$A:$AX,MATCH($X$1,'Data Core CPI'!$A$1:$AX$1,),))/VLOOKUP(EDATE(B69,-12),'Data Core CPI'!$A:$AX,MATCH($X$1,'Data Core CPI'!$A$1:$AX$1,),)</f>
        <v/>
      </c>
      <c r="Y69" s="20">
        <f>(VLOOKUP(B69,'Data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(VLOOKUP(B70,'Data Core CPI'!$A:$AX,MATCH($E$1,'Data Core CPI'!$A$1:$AX$1,),)-VLOOKUP(EDATE(B70,-12),'Data Core CPI'!$A:$AX,MATCH($E$1,'Data Core CPI'!$A$1:$AX$1,),))/VLOOKUP(EDATE(B70,-12),'Data Core CPI'!$A:$AX,MATCH($E$1,'Data Core CPI'!$A$1:$AX$1,),)</f>
        <v/>
      </c>
      <c r="F70" s="20">
        <f>(VLOOKUP(B70,'Data Core CPI'!$A:$AX,MATCH($F$1,'Data Core CPI'!$A$1:$AX$1,),)-VLOOKUP(EDATE(B70,-12),'Data Core CPI'!$A:$AX,MATCH($F$1,'Data Core CPI'!$A$1:$AX$1,),))/VLOOKUP(EDATE(B70,-12),'Data Core CPI'!$A:$AX,MATCH($F$1,'Data Core CPI'!$A$1:$AX$1,),)</f>
        <v/>
      </c>
      <c r="G70" s="20">
        <f>(VLOOKUP(B70,'Data Core CPI'!$A:$AX,MATCH($G$1,'Data Core CPI'!$A$1:$AX$1,),)-VLOOKUP(EDATE(B70,-12),'Data Core CPI'!$A:$AX,MATCH($G$1,'Data Core CPI'!$A$1:$AX$1,),))/VLOOKUP(EDATE(B70,-12),'Data Core CPI'!$A:$AX,MATCH($G$1,'Data Core CPI'!$A$1:$AX$1,),)</f>
        <v/>
      </c>
      <c r="H70" s="20">
        <f>(VLOOKUP(B70,'Data Core CPI'!$A:$AX,MATCH($H$1,'Data Core CPI'!$A$1:$AX$1,),)-VLOOKUP(EDATE(B70,-12),'Data Core CPI'!$A:$AX,MATCH($H$1,'Data Core CPI'!$A$1:$AX$1,),))/VLOOKUP(EDATE(B70,-12),'Data Core CPI'!$A:$AX,MATCH($H$1,'Data Core CPI'!$A$1:$AX$1,),)</f>
        <v/>
      </c>
      <c r="I70" s="20">
        <f>(VLOOKUP(B70,'Data Core CPI'!$A:$AX,MATCH($I$1,'Data Core CPI'!$A$1:$AX$1,),)-VLOOKUP(EDATE(B70,-12),'Data Core CPI'!$A:$AX,MATCH($I$1,'Data Core CPI'!$A$1:$AX$1,),))/VLOOKUP(EDATE(B70,-12),'Data Core CPI'!$A:$AX,MATCH($I$1,'Data Core CPI'!$A$1:$AX$1,),)</f>
        <v/>
      </c>
      <c r="J70" s="20">
        <f>(VLOOKUP(B70,'Data Core CPI'!$A:$AX,MATCH($J$1,'Data Core CPI'!$A$1:$AX$1,),)-VLOOKUP(EDATE(B70,-12),'Data Core CPI'!$A:$AX,MATCH($J$1,'Data Core CPI'!$A$1:$AX$1,),))/VLOOKUP(EDATE(B70,-12),'Data Core CPI'!$A:$AX,MATCH($J$1,'Data Core CPI'!$A$1:$AX$1,),)</f>
        <v/>
      </c>
      <c r="K70" s="20">
        <f>(VLOOKUP(B70,'Data Core CPI'!$A:$AX,MATCH($K$1,'Data Core CPI'!$A$1:$AX$1,),)-VLOOKUP(EDATE(B70,-12),'Data Core CPI'!$A:$AX,MATCH($K$1,'Data Core CPI'!$A$1:$AX$1,),))/VLOOKUP(EDATE(B70,-12),'Data Core CPI'!$A:$AX,MATCH($K$1,'Data Core CPI'!$A$1:$AX$1,),)</f>
        <v/>
      </c>
      <c r="L70" s="20">
        <f>(VLOOKUP(B70,'Data Core CPI'!$A:$AX,MATCH($L$1,'Data Core CPI'!$A$1:$AX$1,),)-VLOOKUP(EDATE(B70,-12),'Data Core CPI'!$A:$AX,MATCH($L$1,'Data Core CPI'!$A$1:$AX$1,),))/VLOOKUP(EDATE(B70,-12),'Data Core CPI'!$A:$AX,MATCH($L$1,'Data Core CPI'!$A$1:$AX$1,),)</f>
        <v/>
      </c>
      <c r="M70" s="20">
        <f>(VLOOKUP(B70,'Data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(VLOOKUP(B70,'Data Core CPI'!$A:$AX,MATCH($W$1,'Data Core CPI'!$A$1:$AX$1,),)-VLOOKUP(EDATE(B70,-12),'Data Core CPI'!$A:$AX,MATCH($W$1,'Data Core CPI'!$A$1:$AX$1,),))/VLOOKUP(EDATE(B70,-12),'Data Core CPI'!$A:$AX,MATCH($W$1,'Data Core CPI'!$A$1:$AX$1,),)</f>
        <v/>
      </c>
      <c r="X70" s="20">
        <f>(VLOOKUP(B70,'Data Core CPI'!$A:$AX,MATCH($X$1,'Data Core CPI'!$A$1:$AX$1,),)-VLOOKUP(EDATE(B70,-12),'Data Core CPI'!$A:$AX,MATCH($X$1,'Data Core CPI'!$A$1:$AX$1,),))/VLOOKUP(EDATE(B70,-12),'Data Core CPI'!$A:$AX,MATCH($X$1,'Data Core CPI'!$A$1:$AX$1,),)</f>
        <v/>
      </c>
      <c r="Y70" s="20">
        <f>(VLOOKUP(B70,'Data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(VLOOKUP(B71,'Data Core CPI'!$A:$AX,MATCH($E$1,'Data Core CPI'!$A$1:$AX$1,),)-VLOOKUP(EDATE(B71,-12),'Data Core CPI'!$A:$AX,MATCH($E$1,'Data Core CPI'!$A$1:$AX$1,),))/VLOOKUP(EDATE(B71,-12),'Data Core CPI'!$A:$AX,MATCH($E$1,'Data Core CPI'!$A$1:$AX$1,),)</f>
        <v/>
      </c>
      <c r="F71" s="20">
        <f>(VLOOKUP(B71,'Data Core CPI'!$A:$AX,MATCH($F$1,'Data Core CPI'!$A$1:$AX$1,),)-VLOOKUP(EDATE(B71,-12),'Data Core CPI'!$A:$AX,MATCH($F$1,'Data Core CPI'!$A$1:$AX$1,),))/VLOOKUP(EDATE(B71,-12),'Data Core CPI'!$A:$AX,MATCH($F$1,'Data Core CPI'!$A$1:$AX$1,),)</f>
        <v/>
      </c>
      <c r="G71" s="20">
        <f>(VLOOKUP(B71,'Data Core CPI'!$A:$AX,MATCH($G$1,'Data Core CPI'!$A$1:$AX$1,),)-VLOOKUP(EDATE(B71,-12),'Data Core CPI'!$A:$AX,MATCH($G$1,'Data Core CPI'!$A$1:$AX$1,),))/VLOOKUP(EDATE(B71,-12),'Data Core CPI'!$A:$AX,MATCH($G$1,'Data Core CPI'!$A$1:$AX$1,),)</f>
        <v/>
      </c>
      <c r="H71" s="20">
        <f>(VLOOKUP(B71,'Data Core CPI'!$A:$AX,MATCH($H$1,'Data Core CPI'!$A$1:$AX$1,),)-VLOOKUP(EDATE(B71,-12),'Data Core CPI'!$A:$AX,MATCH($H$1,'Data Core CPI'!$A$1:$AX$1,),))/VLOOKUP(EDATE(B71,-12),'Data Core CPI'!$A:$AX,MATCH($H$1,'Data Core CPI'!$A$1:$AX$1,),)</f>
        <v/>
      </c>
      <c r="I71" s="20">
        <f>(VLOOKUP(B71,'Data Core CPI'!$A:$AX,MATCH($I$1,'Data Core CPI'!$A$1:$AX$1,),)-VLOOKUP(EDATE(B71,-12),'Data Core CPI'!$A:$AX,MATCH($I$1,'Data Core CPI'!$A$1:$AX$1,),))/VLOOKUP(EDATE(B71,-12),'Data Core CPI'!$A:$AX,MATCH($I$1,'Data Core CPI'!$A$1:$AX$1,),)</f>
        <v/>
      </c>
      <c r="J71" s="20">
        <f>(VLOOKUP(B71,'Data Core CPI'!$A:$AX,MATCH($J$1,'Data Core CPI'!$A$1:$AX$1,),)-VLOOKUP(EDATE(B71,-12),'Data Core CPI'!$A:$AX,MATCH($J$1,'Data Core CPI'!$A$1:$AX$1,),))/VLOOKUP(EDATE(B71,-12),'Data Core CPI'!$A:$AX,MATCH($J$1,'Data Core CPI'!$A$1:$AX$1,),)</f>
        <v/>
      </c>
      <c r="K71" s="20">
        <f>(VLOOKUP(B71,'Data Core CPI'!$A:$AX,MATCH($K$1,'Data Core CPI'!$A$1:$AX$1,),)-VLOOKUP(EDATE(B71,-12),'Data Core CPI'!$A:$AX,MATCH($K$1,'Data Core CPI'!$A$1:$AX$1,),))/VLOOKUP(EDATE(B71,-12),'Data Core CPI'!$A:$AX,MATCH($K$1,'Data Core CPI'!$A$1:$AX$1,),)</f>
        <v/>
      </c>
      <c r="L71" s="20">
        <f>(VLOOKUP(B71,'Data Core CPI'!$A:$AX,MATCH($L$1,'Data Core CPI'!$A$1:$AX$1,),)-VLOOKUP(EDATE(B71,-12),'Data Core CPI'!$A:$AX,MATCH($L$1,'Data Core CPI'!$A$1:$AX$1,),))/VLOOKUP(EDATE(B71,-12),'Data Core CPI'!$A:$AX,MATCH($L$1,'Data Core CPI'!$A$1:$AX$1,),)</f>
        <v/>
      </c>
      <c r="M71" s="20">
        <f>(VLOOKUP(B71,'Data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(VLOOKUP(B71,'Data Core CPI'!$A:$AX,MATCH($W$1,'Data Core CPI'!$A$1:$AX$1,),)-VLOOKUP(EDATE(B71,-12),'Data Core CPI'!$A:$AX,MATCH($W$1,'Data Core CPI'!$A$1:$AX$1,),))/VLOOKUP(EDATE(B71,-12),'Data Core CPI'!$A:$AX,MATCH($W$1,'Data Core CPI'!$A$1:$AX$1,),)</f>
        <v/>
      </c>
      <c r="X71" s="20">
        <f>(VLOOKUP(B71,'Data Core CPI'!$A:$AX,MATCH($X$1,'Data Core CPI'!$A$1:$AX$1,),)-VLOOKUP(EDATE(B71,-12),'Data Core CPI'!$A:$AX,MATCH($X$1,'Data Core CPI'!$A$1:$AX$1,),))/VLOOKUP(EDATE(B71,-12),'Data Core CPI'!$A:$AX,MATCH($X$1,'Data Core CPI'!$A$1:$AX$1,),)</f>
        <v/>
      </c>
      <c r="Y71" s="20">
        <f>(VLOOKUP(B71,'Data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(VLOOKUP(B72,'Data Core CPI'!$A:$AX,MATCH($E$1,'Data Core CPI'!$A$1:$AX$1,),)-VLOOKUP(EDATE(B72,-12),'Data Core CPI'!$A:$AX,MATCH($E$1,'Data Core CPI'!$A$1:$AX$1,),))/VLOOKUP(EDATE(B72,-12),'Data Core CPI'!$A:$AX,MATCH($E$1,'Data Core CPI'!$A$1:$AX$1,),)</f>
        <v/>
      </c>
      <c r="F72" s="20">
        <f>(VLOOKUP(B72,'Data Core CPI'!$A:$AX,MATCH($F$1,'Data Core CPI'!$A$1:$AX$1,),)-VLOOKUP(EDATE(B72,-12),'Data Core CPI'!$A:$AX,MATCH($F$1,'Data Core CPI'!$A$1:$AX$1,),))/VLOOKUP(EDATE(B72,-12),'Data Core CPI'!$A:$AX,MATCH($F$1,'Data Core CPI'!$A$1:$AX$1,),)</f>
        <v/>
      </c>
      <c r="G72" s="20">
        <f>(VLOOKUP(B72,'Data Core CPI'!$A:$AX,MATCH($G$1,'Data Core CPI'!$A$1:$AX$1,),)-VLOOKUP(EDATE(B72,-12),'Data Core CPI'!$A:$AX,MATCH($G$1,'Data Core CPI'!$A$1:$AX$1,),))/VLOOKUP(EDATE(B72,-12),'Data Core CPI'!$A:$AX,MATCH($G$1,'Data Core CPI'!$A$1:$AX$1,),)</f>
        <v/>
      </c>
      <c r="H72" s="20">
        <f>(VLOOKUP(B72,'Data Core CPI'!$A:$AX,MATCH($H$1,'Data Core CPI'!$A$1:$AX$1,),)-VLOOKUP(EDATE(B72,-12),'Data Core CPI'!$A:$AX,MATCH($H$1,'Data Core CPI'!$A$1:$AX$1,),))/VLOOKUP(EDATE(B72,-12),'Data Core CPI'!$A:$AX,MATCH($H$1,'Data Core CPI'!$A$1:$AX$1,),)</f>
        <v/>
      </c>
      <c r="I72" s="20">
        <f>(VLOOKUP(B72,'Data Core CPI'!$A:$AX,MATCH($I$1,'Data Core CPI'!$A$1:$AX$1,),)-VLOOKUP(EDATE(B72,-12),'Data Core CPI'!$A:$AX,MATCH($I$1,'Data Core CPI'!$A$1:$AX$1,),))/VLOOKUP(EDATE(B72,-12),'Data Core CPI'!$A:$AX,MATCH($I$1,'Data Core CPI'!$A$1:$AX$1,),)</f>
        <v/>
      </c>
      <c r="J72" s="20">
        <f>(VLOOKUP(B72,'Data Core CPI'!$A:$AX,MATCH($J$1,'Data Core CPI'!$A$1:$AX$1,),)-VLOOKUP(EDATE(B72,-12),'Data Core CPI'!$A:$AX,MATCH($J$1,'Data Core CPI'!$A$1:$AX$1,),))/VLOOKUP(EDATE(B72,-12),'Data Core CPI'!$A:$AX,MATCH($J$1,'Data Core CPI'!$A$1:$AX$1,),)</f>
        <v/>
      </c>
      <c r="K72" s="20">
        <f>(VLOOKUP(B72,'Data Core CPI'!$A:$AX,MATCH($K$1,'Data Core CPI'!$A$1:$AX$1,),)-VLOOKUP(EDATE(B72,-12),'Data Core CPI'!$A:$AX,MATCH($K$1,'Data Core CPI'!$A$1:$AX$1,),))/VLOOKUP(EDATE(B72,-12),'Data Core CPI'!$A:$AX,MATCH($K$1,'Data Core CPI'!$A$1:$AX$1,),)</f>
        <v/>
      </c>
      <c r="L72" s="20">
        <f>(VLOOKUP(B72,'Data Core CPI'!$A:$AX,MATCH($L$1,'Data Core CPI'!$A$1:$AX$1,),)-VLOOKUP(EDATE(B72,-12),'Data Core CPI'!$A:$AX,MATCH($L$1,'Data Core CPI'!$A$1:$AX$1,),))/VLOOKUP(EDATE(B72,-12),'Data Core CPI'!$A:$AX,MATCH($L$1,'Data Core CPI'!$A$1:$AX$1,),)</f>
        <v/>
      </c>
      <c r="M72" s="20">
        <f>(VLOOKUP(B72,'Data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(VLOOKUP(B72,'Data Core CPI'!$A:$AX,MATCH($W$1,'Data Core CPI'!$A$1:$AX$1,),)-VLOOKUP(EDATE(B72,-12),'Data Core CPI'!$A:$AX,MATCH($W$1,'Data Core CPI'!$A$1:$AX$1,),))/VLOOKUP(EDATE(B72,-12),'Data Core CPI'!$A:$AX,MATCH($W$1,'Data Core CPI'!$A$1:$AX$1,),)</f>
        <v/>
      </c>
      <c r="X72" s="20">
        <f>(VLOOKUP(B72,'Data Core CPI'!$A:$AX,MATCH($X$1,'Data Core CPI'!$A$1:$AX$1,),)-VLOOKUP(EDATE(B72,-12),'Data Core CPI'!$A:$AX,MATCH($X$1,'Data Core CPI'!$A$1:$AX$1,),))/VLOOKUP(EDATE(B72,-12),'Data Core CPI'!$A:$AX,MATCH($X$1,'Data Core CPI'!$A$1:$AX$1,),)</f>
        <v/>
      </c>
      <c r="Y72" s="20">
        <f>(VLOOKUP(B72,'Data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(VLOOKUP(B73,'Data Core CPI'!$A:$AX,MATCH($E$1,'Data Core CPI'!$A$1:$AX$1,),)-VLOOKUP(EDATE(B73,-12),'Data Core CPI'!$A:$AX,MATCH($E$1,'Data Core CPI'!$A$1:$AX$1,),))/VLOOKUP(EDATE(B73,-12),'Data Core CPI'!$A:$AX,MATCH($E$1,'Data Core CPI'!$A$1:$AX$1,),)</f>
        <v/>
      </c>
      <c r="F73" s="20">
        <f>(VLOOKUP(B73,'Data Core CPI'!$A:$AX,MATCH($F$1,'Data Core CPI'!$A$1:$AX$1,),)-VLOOKUP(EDATE(B73,-12),'Data Core CPI'!$A:$AX,MATCH($F$1,'Data Core CPI'!$A$1:$AX$1,),))/VLOOKUP(EDATE(B73,-12),'Data Core CPI'!$A:$AX,MATCH($F$1,'Data Core CPI'!$A$1:$AX$1,),)</f>
        <v/>
      </c>
      <c r="G73" s="20">
        <f>(VLOOKUP(B73,'Data Core CPI'!$A:$AX,MATCH($G$1,'Data Core CPI'!$A$1:$AX$1,),)-VLOOKUP(EDATE(B73,-12),'Data Core CPI'!$A:$AX,MATCH($G$1,'Data Core CPI'!$A$1:$AX$1,),))/VLOOKUP(EDATE(B73,-12),'Data Core CPI'!$A:$AX,MATCH($G$1,'Data Core CPI'!$A$1:$AX$1,),)</f>
        <v/>
      </c>
      <c r="H73" s="20">
        <f>(VLOOKUP(B73,'Data Core CPI'!$A:$AX,MATCH($H$1,'Data Core CPI'!$A$1:$AX$1,),)-VLOOKUP(EDATE(B73,-12),'Data Core CPI'!$A:$AX,MATCH($H$1,'Data Core CPI'!$A$1:$AX$1,),))/VLOOKUP(EDATE(B73,-12),'Data Core CPI'!$A:$AX,MATCH($H$1,'Data Core CPI'!$A$1:$AX$1,),)</f>
        <v/>
      </c>
      <c r="I73" s="20">
        <f>(VLOOKUP(B73,'Data Core CPI'!$A:$AX,MATCH($I$1,'Data Core CPI'!$A$1:$AX$1,),)-VLOOKUP(EDATE(B73,-12),'Data Core CPI'!$A:$AX,MATCH($I$1,'Data Core CPI'!$A$1:$AX$1,),))/VLOOKUP(EDATE(B73,-12),'Data Core CPI'!$A:$AX,MATCH($I$1,'Data Core CPI'!$A$1:$AX$1,),)</f>
        <v/>
      </c>
      <c r="J73" s="20">
        <f>(VLOOKUP(B73,'Data Core CPI'!$A:$AX,MATCH($J$1,'Data Core CPI'!$A$1:$AX$1,),)-VLOOKUP(EDATE(B73,-12),'Data Core CPI'!$A:$AX,MATCH($J$1,'Data Core CPI'!$A$1:$AX$1,),))/VLOOKUP(EDATE(B73,-12),'Data Core CPI'!$A:$AX,MATCH($J$1,'Data Core CPI'!$A$1:$AX$1,),)</f>
        <v/>
      </c>
      <c r="K73" s="20">
        <f>(VLOOKUP(B73,'Data Core CPI'!$A:$AX,MATCH($K$1,'Data Core CPI'!$A$1:$AX$1,),)-VLOOKUP(EDATE(B73,-12),'Data Core CPI'!$A:$AX,MATCH($K$1,'Data Core CPI'!$A$1:$AX$1,),))/VLOOKUP(EDATE(B73,-12),'Data Core CPI'!$A:$AX,MATCH($K$1,'Data Core CPI'!$A$1:$AX$1,),)</f>
        <v/>
      </c>
      <c r="L73" s="20">
        <f>(VLOOKUP(B73,'Data Core CPI'!$A:$AX,MATCH($L$1,'Data Core CPI'!$A$1:$AX$1,),)-VLOOKUP(EDATE(B73,-12),'Data Core CPI'!$A:$AX,MATCH($L$1,'Data Core CPI'!$A$1:$AX$1,),))/VLOOKUP(EDATE(B73,-12),'Data Core CPI'!$A:$AX,MATCH($L$1,'Data Core CPI'!$A$1:$AX$1,),)</f>
        <v/>
      </c>
      <c r="M73" s="20">
        <f>(VLOOKUP(B73,'Data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(VLOOKUP(B73,'Data Core CPI'!$A:$AX,MATCH($W$1,'Data Core CPI'!$A$1:$AX$1,),)-VLOOKUP(EDATE(B73,-12),'Data Core CPI'!$A:$AX,MATCH($W$1,'Data Core CPI'!$A$1:$AX$1,),))/VLOOKUP(EDATE(B73,-12),'Data Core CPI'!$A:$AX,MATCH($W$1,'Data Core CPI'!$A$1:$AX$1,),)</f>
        <v/>
      </c>
      <c r="X73" s="20">
        <f>(VLOOKUP(B73,'Data Core CPI'!$A:$AX,MATCH($X$1,'Data Core CPI'!$A$1:$AX$1,),)-VLOOKUP(EDATE(B73,-12),'Data Core CPI'!$A:$AX,MATCH($X$1,'Data Core CPI'!$A$1:$AX$1,),))/VLOOKUP(EDATE(B73,-12),'Data Core CPI'!$A:$AX,MATCH($X$1,'Data Core CPI'!$A$1:$AX$1,),)</f>
        <v/>
      </c>
      <c r="Y73" s="20">
        <f>(VLOOKUP(B73,'Data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(VLOOKUP(B74,'Data Core CPI'!$A:$AX,MATCH($E$1,'Data Core CPI'!$A$1:$AX$1,),)-VLOOKUP(EDATE(B74,-12),'Data Core CPI'!$A:$AX,MATCH($E$1,'Data Core CPI'!$A$1:$AX$1,),))/VLOOKUP(EDATE(B74,-12),'Data Core CPI'!$A:$AX,MATCH($E$1,'Data Core CPI'!$A$1:$AX$1,),)</f>
        <v/>
      </c>
      <c r="F74" s="20">
        <f>(VLOOKUP(B74,'Data Core CPI'!$A:$AX,MATCH($F$1,'Data Core CPI'!$A$1:$AX$1,),)-VLOOKUP(EDATE(B74,-12),'Data Core CPI'!$A:$AX,MATCH($F$1,'Data Core CPI'!$A$1:$AX$1,),))/VLOOKUP(EDATE(B74,-12),'Data Core CPI'!$A:$AX,MATCH($F$1,'Data Core CPI'!$A$1:$AX$1,),)</f>
        <v/>
      </c>
      <c r="G74" s="20">
        <f>(VLOOKUP(B74,'Data Core CPI'!$A:$AX,MATCH($G$1,'Data Core CPI'!$A$1:$AX$1,),)-VLOOKUP(EDATE(B74,-12),'Data Core CPI'!$A:$AX,MATCH($G$1,'Data Core CPI'!$A$1:$AX$1,),))/VLOOKUP(EDATE(B74,-12),'Data Core CPI'!$A:$AX,MATCH($G$1,'Data Core CPI'!$A$1:$AX$1,),)</f>
        <v/>
      </c>
      <c r="H74" s="20">
        <f>(VLOOKUP(B74,'Data Core CPI'!$A:$AX,MATCH($H$1,'Data Core CPI'!$A$1:$AX$1,),)-VLOOKUP(EDATE(B74,-12),'Data Core CPI'!$A:$AX,MATCH($H$1,'Data Core CPI'!$A$1:$AX$1,),))/VLOOKUP(EDATE(B74,-12),'Data Core CPI'!$A:$AX,MATCH($H$1,'Data Core CPI'!$A$1:$AX$1,),)</f>
        <v/>
      </c>
      <c r="I74" s="20">
        <f>(VLOOKUP(B74,'Data Core CPI'!$A:$AX,MATCH($I$1,'Data Core CPI'!$A$1:$AX$1,),)-VLOOKUP(EDATE(B74,-12),'Data Core CPI'!$A:$AX,MATCH($I$1,'Data Core CPI'!$A$1:$AX$1,),))/VLOOKUP(EDATE(B74,-12),'Data Core CPI'!$A:$AX,MATCH($I$1,'Data Core CPI'!$A$1:$AX$1,),)</f>
        <v/>
      </c>
      <c r="J74" s="20">
        <f>(VLOOKUP(B74,'Data Core CPI'!$A:$AX,MATCH($J$1,'Data Core CPI'!$A$1:$AX$1,),)-VLOOKUP(EDATE(B74,-12),'Data Core CPI'!$A:$AX,MATCH($J$1,'Data Core CPI'!$A$1:$AX$1,),))/VLOOKUP(EDATE(B74,-12),'Data Core CPI'!$A:$AX,MATCH($J$1,'Data Core CPI'!$A$1:$AX$1,),)</f>
        <v/>
      </c>
      <c r="K74" s="20">
        <f>(VLOOKUP(B74,'Data Core CPI'!$A:$AX,MATCH($K$1,'Data Core CPI'!$A$1:$AX$1,),)-VLOOKUP(EDATE(B74,-12),'Data Core CPI'!$A:$AX,MATCH($K$1,'Data Core CPI'!$A$1:$AX$1,),))/VLOOKUP(EDATE(B74,-12),'Data Core CPI'!$A:$AX,MATCH($K$1,'Data Core CPI'!$A$1:$AX$1,),)</f>
        <v/>
      </c>
      <c r="L74" s="20">
        <f>(VLOOKUP(B74,'Data Core CPI'!$A:$AX,MATCH($L$1,'Data Core CPI'!$A$1:$AX$1,),)-VLOOKUP(EDATE(B74,-12),'Data Core CPI'!$A:$AX,MATCH($L$1,'Data Core CPI'!$A$1:$AX$1,),))/VLOOKUP(EDATE(B74,-12),'Data Core CPI'!$A:$AX,MATCH($L$1,'Data Core CPI'!$A$1:$AX$1,),)</f>
        <v/>
      </c>
      <c r="M74" s="20">
        <f>(VLOOKUP(B74,'Data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(VLOOKUP(B74,'Data Core CPI'!$A:$AX,MATCH($W$1,'Data Core CPI'!$A$1:$AX$1,),)-VLOOKUP(EDATE(B74,-12),'Data Core CPI'!$A:$AX,MATCH($W$1,'Data Core CPI'!$A$1:$AX$1,),))/VLOOKUP(EDATE(B74,-12),'Data Core CPI'!$A:$AX,MATCH($W$1,'Data Core CPI'!$A$1:$AX$1,),)</f>
        <v/>
      </c>
      <c r="X74" s="20">
        <f>(VLOOKUP(B74,'Data Core CPI'!$A:$AX,MATCH($X$1,'Data Core CPI'!$A$1:$AX$1,),)-VLOOKUP(EDATE(B74,-12),'Data Core CPI'!$A:$AX,MATCH($X$1,'Data Core CPI'!$A$1:$AX$1,),))/VLOOKUP(EDATE(B74,-12),'Data Core CPI'!$A:$AX,MATCH($X$1,'Data Core CPI'!$A$1:$AX$1,),)</f>
        <v/>
      </c>
      <c r="Y74" s="20">
        <f>(VLOOKUP(B74,'Data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(VLOOKUP(B75,'Data Core CPI'!$A:$AX,MATCH($E$1,'Data Core CPI'!$A$1:$AX$1,),)-VLOOKUP(EDATE(B75,-12),'Data Core CPI'!$A:$AX,MATCH($E$1,'Data Core CPI'!$A$1:$AX$1,),))/VLOOKUP(EDATE(B75,-12),'Data Core CPI'!$A:$AX,MATCH($E$1,'Data Core CPI'!$A$1:$AX$1,),)</f>
        <v/>
      </c>
      <c r="F75" s="20">
        <f>(VLOOKUP(B75,'Data Core CPI'!$A:$AX,MATCH($F$1,'Data Core CPI'!$A$1:$AX$1,),)-VLOOKUP(EDATE(B75,-12),'Data Core CPI'!$A:$AX,MATCH($F$1,'Data Core CPI'!$A$1:$AX$1,),))/VLOOKUP(EDATE(B75,-12),'Data Core CPI'!$A:$AX,MATCH($F$1,'Data Core CPI'!$A$1:$AX$1,),)</f>
        <v/>
      </c>
      <c r="G75" s="20">
        <f>(VLOOKUP(B75,'Data Core CPI'!$A:$AX,MATCH($G$1,'Data Core CPI'!$A$1:$AX$1,),)-VLOOKUP(EDATE(B75,-12),'Data Core CPI'!$A:$AX,MATCH($G$1,'Data Core CPI'!$A$1:$AX$1,),))/VLOOKUP(EDATE(B75,-12),'Data Core CPI'!$A:$AX,MATCH($G$1,'Data Core CPI'!$A$1:$AX$1,),)</f>
        <v/>
      </c>
      <c r="H75" s="20">
        <f>(VLOOKUP(B75,'Data Core CPI'!$A:$AX,MATCH($H$1,'Data Core CPI'!$A$1:$AX$1,),)-VLOOKUP(EDATE(B75,-12),'Data Core CPI'!$A:$AX,MATCH($H$1,'Data Core CPI'!$A$1:$AX$1,),))/VLOOKUP(EDATE(B75,-12),'Data Core CPI'!$A:$AX,MATCH($H$1,'Data Core CPI'!$A$1:$AX$1,),)</f>
        <v/>
      </c>
      <c r="I75" s="20">
        <f>(VLOOKUP(B75,'Data Core CPI'!$A:$AX,MATCH($I$1,'Data Core CPI'!$A$1:$AX$1,),)-VLOOKUP(EDATE(B75,-12),'Data Core CPI'!$A:$AX,MATCH($I$1,'Data Core CPI'!$A$1:$AX$1,),))/VLOOKUP(EDATE(B75,-12),'Data Core CPI'!$A:$AX,MATCH($I$1,'Data Core CPI'!$A$1:$AX$1,),)</f>
        <v/>
      </c>
      <c r="J75" s="20">
        <f>(VLOOKUP(B75,'Data Core CPI'!$A:$AX,MATCH($J$1,'Data Core CPI'!$A$1:$AX$1,),)-VLOOKUP(EDATE(B75,-12),'Data Core CPI'!$A:$AX,MATCH($J$1,'Data Core CPI'!$A$1:$AX$1,),))/VLOOKUP(EDATE(B75,-12),'Data Core CPI'!$A:$AX,MATCH($J$1,'Data Core CPI'!$A$1:$AX$1,),)</f>
        <v/>
      </c>
      <c r="K75" s="20">
        <f>(VLOOKUP(B75,'Data Core CPI'!$A:$AX,MATCH($K$1,'Data Core CPI'!$A$1:$AX$1,),)-VLOOKUP(EDATE(B75,-12),'Data Core CPI'!$A:$AX,MATCH($K$1,'Data Core CPI'!$A$1:$AX$1,),))/VLOOKUP(EDATE(B75,-12),'Data Core CPI'!$A:$AX,MATCH($K$1,'Data Core CPI'!$A$1:$AX$1,),)</f>
        <v/>
      </c>
      <c r="L75" s="20">
        <f>(VLOOKUP(B75,'Data Core CPI'!$A:$AX,MATCH($L$1,'Data Core CPI'!$A$1:$AX$1,),)-VLOOKUP(EDATE(B75,-12),'Data Core CPI'!$A:$AX,MATCH($L$1,'Data Core CPI'!$A$1:$AX$1,),))/VLOOKUP(EDATE(B75,-12),'Data Core CPI'!$A:$AX,MATCH($L$1,'Data Core CPI'!$A$1:$AX$1,),)</f>
        <v/>
      </c>
      <c r="M75" s="20">
        <f>(VLOOKUP(B75,'Data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(VLOOKUP(B75,'Data Core CPI'!$A:$AX,MATCH($W$1,'Data Core CPI'!$A$1:$AX$1,),)-VLOOKUP(EDATE(B75,-12),'Data Core CPI'!$A:$AX,MATCH($W$1,'Data Core CPI'!$A$1:$AX$1,),))/VLOOKUP(EDATE(B75,-12),'Data Core CPI'!$A:$AX,MATCH($W$1,'Data Core CPI'!$A$1:$AX$1,),)</f>
        <v/>
      </c>
      <c r="X75" s="20">
        <f>(VLOOKUP(B75,'Data Core CPI'!$A:$AX,MATCH($X$1,'Data Core CPI'!$A$1:$AX$1,),)-VLOOKUP(EDATE(B75,-12),'Data Core CPI'!$A:$AX,MATCH($X$1,'Data Core CPI'!$A$1:$AX$1,),))/VLOOKUP(EDATE(B75,-12),'Data Core CPI'!$A:$AX,MATCH($X$1,'Data Core CPI'!$A$1:$AX$1,),)</f>
        <v/>
      </c>
      <c r="Y75" s="20">
        <f>(VLOOKUP(B75,'Data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(VLOOKUP(B76,'Data Core CPI'!$A:$AX,MATCH($E$1,'Data Core CPI'!$A$1:$AX$1,),)-VLOOKUP(EDATE(B76,-12),'Data Core CPI'!$A:$AX,MATCH($E$1,'Data Core CPI'!$A$1:$AX$1,),))/VLOOKUP(EDATE(B76,-12),'Data Core CPI'!$A:$AX,MATCH($E$1,'Data Core CPI'!$A$1:$AX$1,),)</f>
        <v/>
      </c>
      <c r="F76" s="20">
        <f>(VLOOKUP(B76,'Data Core CPI'!$A:$AX,MATCH($F$1,'Data Core CPI'!$A$1:$AX$1,),)-VLOOKUP(EDATE(B76,-12),'Data Core CPI'!$A:$AX,MATCH($F$1,'Data Core CPI'!$A$1:$AX$1,),))/VLOOKUP(EDATE(B76,-12),'Data Core CPI'!$A:$AX,MATCH($F$1,'Data Core CPI'!$A$1:$AX$1,),)</f>
        <v/>
      </c>
      <c r="G76" s="20">
        <f>(VLOOKUP(B76,'Data Core CPI'!$A:$AX,MATCH($G$1,'Data Core CPI'!$A$1:$AX$1,),)-VLOOKUP(EDATE(B76,-12),'Data Core CPI'!$A:$AX,MATCH($G$1,'Data Core CPI'!$A$1:$AX$1,),))/VLOOKUP(EDATE(B76,-12),'Data Core CPI'!$A:$AX,MATCH($G$1,'Data Core CPI'!$A$1:$AX$1,),)</f>
        <v/>
      </c>
      <c r="H76" s="20">
        <f>(VLOOKUP(B76,'Data Core CPI'!$A:$AX,MATCH($H$1,'Data Core CPI'!$A$1:$AX$1,),)-VLOOKUP(EDATE(B76,-12),'Data Core CPI'!$A:$AX,MATCH($H$1,'Data Core CPI'!$A$1:$AX$1,),))/VLOOKUP(EDATE(B76,-12),'Data Core CPI'!$A:$AX,MATCH($H$1,'Data Core CPI'!$A$1:$AX$1,),)</f>
        <v/>
      </c>
      <c r="I76" s="20">
        <f>(VLOOKUP(B76,'Data Core CPI'!$A:$AX,MATCH($I$1,'Data Core CPI'!$A$1:$AX$1,),)-VLOOKUP(EDATE(B76,-12),'Data Core CPI'!$A:$AX,MATCH($I$1,'Data Core CPI'!$A$1:$AX$1,),))/VLOOKUP(EDATE(B76,-12),'Data Core CPI'!$A:$AX,MATCH($I$1,'Data Core CPI'!$A$1:$AX$1,),)</f>
        <v/>
      </c>
      <c r="J76" s="20">
        <f>(VLOOKUP(B76,'Data Core CPI'!$A:$AX,MATCH($J$1,'Data Core CPI'!$A$1:$AX$1,),)-VLOOKUP(EDATE(B76,-12),'Data Core CPI'!$A:$AX,MATCH($J$1,'Data Core CPI'!$A$1:$AX$1,),))/VLOOKUP(EDATE(B76,-12),'Data Core CPI'!$A:$AX,MATCH($J$1,'Data Core CPI'!$A$1:$AX$1,),)</f>
        <v/>
      </c>
      <c r="K76" s="20">
        <f>(VLOOKUP(B76,'Data Core CPI'!$A:$AX,MATCH($K$1,'Data Core CPI'!$A$1:$AX$1,),)-VLOOKUP(EDATE(B76,-12),'Data Core CPI'!$A:$AX,MATCH($K$1,'Data Core CPI'!$A$1:$AX$1,),))/VLOOKUP(EDATE(B76,-12),'Data Core CPI'!$A:$AX,MATCH($K$1,'Data Core CPI'!$A$1:$AX$1,),)</f>
        <v/>
      </c>
      <c r="L76" s="20">
        <f>(VLOOKUP(B76,'Data Core CPI'!$A:$AX,MATCH($L$1,'Data Core CPI'!$A$1:$AX$1,),)-VLOOKUP(EDATE(B76,-12),'Data Core CPI'!$A:$AX,MATCH($L$1,'Data Core CPI'!$A$1:$AX$1,),))/VLOOKUP(EDATE(B76,-12),'Data Core CPI'!$A:$AX,MATCH($L$1,'Data Core CPI'!$A$1:$AX$1,),)</f>
        <v/>
      </c>
      <c r="M76" s="20">
        <f>(VLOOKUP(B76,'Data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(VLOOKUP(B76,'Data Core CPI'!$A:$AX,MATCH($W$1,'Data Core CPI'!$A$1:$AX$1,),)-VLOOKUP(EDATE(B76,-12),'Data Core CPI'!$A:$AX,MATCH($W$1,'Data Core CPI'!$A$1:$AX$1,),))/VLOOKUP(EDATE(B76,-12),'Data Core CPI'!$A:$AX,MATCH($W$1,'Data Core CPI'!$A$1:$AX$1,),)</f>
        <v/>
      </c>
      <c r="X76" s="20">
        <f>(VLOOKUP(B76,'Data Core CPI'!$A:$AX,MATCH($X$1,'Data Core CPI'!$A$1:$AX$1,),)-VLOOKUP(EDATE(B76,-12),'Data Core CPI'!$A:$AX,MATCH($X$1,'Data Core CPI'!$A$1:$AX$1,),))/VLOOKUP(EDATE(B76,-12),'Data Core CPI'!$A:$AX,MATCH($X$1,'Data Core CPI'!$A$1:$AX$1,),)</f>
        <v/>
      </c>
      <c r="Y76" s="20">
        <f>(VLOOKUP(B76,'Data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(VLOOKUP(B77,'Data Core CPI'!$A:$AX,MATCH($E$1,'Data Core CPI'!$A$1:$AX$1,),)-VLOOKUP(EDATE(B77,-12),'Data Core CPI'!$A:$AX,MATCH($E$1,'Data Core CPI'!$A$1:$AX$1,),))/VLOOKUP(EDATE(B77,-12),'Data Core CPI'!$A:$AX,MATCH($E$1,'Data Core CPI'!$A$1:$AX$1,),)</f>
        <v/>
      </c>
      <c r="F77" s="20">
        <f>(VLOOKUP(B77,'Data Core CPI'!$A:$AX,MATCH($F$1,'Data Core CPI'!$A$1:$AX$1,),)-VLOOKUP(EDATE(B77,-12),'Data Core CPI'!$A:$AX,MATCH($F$1,'Data Core CPI'!$A$1:$AX$1,),))/VLOOKUP(EDATE(B77,-12),'Data Core CPI'!$A:$AX,MATCH($F$1,'Data Core CPI'!$A$1:$AX$1,),)</f>
        <v/>
      </c>
      <c r="G77" s="20">
        <f>(VLOOKUP(B77,'Data Core CPI'!$A:$AX,MATCH($G$1,'Data Core CPI'!$A$1:$AX$1,),)-VLOOKUP(EDATE(B77,-12),'Data Core CPI'!$A:$AX,MATCH($G$1,'Data Core CPI'!$A$1:$AX$1,),))/VLOOKUP(EDATE(B77,-12),'Data Core CPI'!$A:$AX,MATCH($G$1,'Data Core CPI'!$A$1:$AX$1,),)</f>
        <v/>
      </c>
      <c r="H77" s="20">
        <f>(VLOOKUP(B77,'Data Core CPI'!$A:$AX,MATCH($H$1,'Data Core CPI'!$A$1:$AX$1,),)-VLOOKUP(EDATE(B77,-12),'Data Core CPI'!$A:$AX,MATCH($H$1,'Data Core CPI'!$A$1:$AX$1,),))/VLOOKUP(EDATE(B77,-12),'Data Core CPI'!$A:$AX,MATCH($H$1,'Data Core CPI'!$A$1:$AX$1,),)</f>
        <v/>
      </c>
      <c r="I77" s="20">
        <f>(VLOOKUP(B77,'Data Core CPI'!$A:$AX,MATCH($I$1,'Data Core CPI'!$A$1:$AX$1,),)-VLOOKUP(EDATE(B77,-12),'Data Core CPI'!$A:$AX,MATCH($I$1,'Data Core CPI'!$A$1:$AX$1,),))/VLOOKUP(EDATE(B77,-12),'Data Core CPI'!$A:$AX,MATCH($I$1,'Data Core CPI'!$A$1:$AX$1,),)</f>
        <v/>
      </c>
      <c r="J77" s="20">
        <f>(VLOOKUP(B77,'Data Core CPI'!$A:$AX,MATCH($J$1,'Data Core CPI'!$A$1:$AX$1,),)-VLOOKUP(EDATE(B77,-12),'Data Core CPI'!$A:$AX,MATCH($J$1,'Data Core CPI'!$A$1:$AX$1,),))/VLOOKUP(EDATE(B77,-12),'Data Core CPI'!$A:$AX,MATCH($J$1,'Data Core CPI'!$A$1:$AX$1,),)</f>
        <v/>
      </c>
      <c r="K77" s="20">
        <f>(VLOOKUP(B77,'Data Core CPI'!$A:$AX,MATCH($K$1,'Data Core CPI'!$A$1:$AX$1,),)-VLOOKUP(EDATE(B77,-12),'Data Core CPI'!$A:$AX,MATCH($K$1,'Data Core CPI'!$A$1:$AX$1,),))/VLOOKUP(EDATE(B77,-12),'Data Core CPI'!$A:$AX,MATCH($K$1,'Data Core CPI'!$A$1:$AX$1,),)</f>
        <v/>
      </c>
      <c r="L77" s="20">
        <f>(VLOOKUP(B77,'Data Core CPI'!$A:$AX,MATCH($L$1,'Data Core CPI'!$A$1:$AX$1,),)-VLOOKUP(EDATE(B77,-12),'Data Core CPI'!$A:$AX,MATCH($L$1,'Data Core CPI'!$A$1:$AX$1,),))/VLOOKUP(EDATE(B77,-12),'Data Core CPI'!$A:$AX,MATCH($L$1,'Data Core CPI'!$A$1:$AX$1,),)</f>
        <v/>
      </c>
      <c r="M77" s="20">
        <f>(VLOOKUP(B77,'Data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(VLOOKUP(B77,'Data Core CPI'!$A:$AX,MATCH($W$1,'Data Core CPI'!$A$1:$AX$1,),)-VLOOKUP(EDATE(B77,-12),'Data Core CPI'!$A:$AX,MATCH($W$1,'Data Core CPI'!$A$1:$AX$1,),))/VLOOKUP(EDATE(B77,-12),'Data Core CPI'!$A:$AX,MATCH($W$1,'Data Core CPI'!$A$1:$AX$1,),)</f>
        <v/>
      </c>
      <c r="X77" s="20">
        <f>(VLOOKUP(B77,'Data Core CPI'!$A:$AX,MATCH($X$1,'Data Core CPI'!$A$1:$AX$1,),)-VLOOKUP(EDATE(B77,-12),'Data Core CPI'!$A:$AX,MATCH($X$1,'Data Core CPI'!$A$1:$AX$1,),))/VLOOKUP(EDATE(B77,-12),'Data Core CPI'!$A:$AX,MATCH($X$1,'Data Core CPI'!$A$1:$AX$1,),)</f>
        <v/>
      </c>
      <c r="Y77" s="20">
        <f>(VLOOKUP(B77,'Data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(VLOOKUP(B78,'Data Core CPI'!$A:$AX,MATCH($E$1,'Data Core CPI'!$A$1:$AX$1,),)-VLOOKUP(EDATE(B78,-12),'Data Core CPI'!$A:$AX,MATCH($E$1,'Data Core CPI'!$A$1:$AX$1,),))/VLOOKUP(EDATE(B78,-12),'Data Core CPI'!$A:$AX,MATCH($E$1,'Data Core CPI'!$A$1:$AX$1,),)</f>
        <v/>
      </c>
      <c r="F78" s="20">
        <f>(VLOOKUP(B78,'Data Core CPI'!$A:$AX,MATCH($F$1,'Data Core CPI'!$A$1:$AX$1,),)-VLOOKUP(EDATE(B78,-12),'Data Core CPI'!$A:$AX,MATCH($F$1,'Data Core CPI'!$A$1:$AX$1,),))/VLOOKUP(EDATE(B78,-12),'Data Core CPI'!$A:$AX,MATCH($F$1,'Data Core CPI'!$A$1:$AX$1,),)</f>
        <v/>
      </c>
      <c r="G78" s="20">
        <f>(VLOOKUP(B78,'Data Core CPI'!$A:$AX,MATCH($G$1,'Data Core CPI'!$A$1:$AX$1,),)-VLOOKUP(EDATE(B78,-12),'Data Core CPI'!$A:$AX,MATCH($G$1,'Data Core CPI'!$A$1:$AX$1,),))/VLOOKUP(EDATE(B78,-12),'Data Core CPI'!$A:$AX,MATCH($G$1,'Data Core CPI'!$A$1:$AX$1,),)</f>
        <v/>
      </c>
      <c r="H78" s="20">
        <f>(VLOOKUP(B78,'Data Core CPI'!$A:$AX,MATCH($H$1,'Data Core CPI'!$A$1:$AX$1,),)-VLOOKUP(EDATE(B78,-12),'Data Core CPI'!$A:$AX,MATCH($H$1,'Data Core CPI'!$A$1:$AX$1,),))/VLOOKUP(EDATE(B78,-12),'Data Core CPI'!$A:$AX,MATCH($H$1,'Data Core CPI'!$A$1:$AX$1,),)</f>
        <v/>
      </c>
      <c r="I78" s="20">
        <f>(VLOOKUP(B78,'Data Core CPI'!$A:$AX,MATCH($I$1,'Data Core CPI'!$A$1:$AX$1,),)-VLOOKUP(EDATE(B78,-12),'Data Core CPI'!$A:$AX,MATCH($I$1,'Data Core CPI'!$A$1:$AX$1,),))/VLOOKUP(EDATE(B78,-12),'Data Core CPI'!$A:$AX,MATCH($I$1,'Data Core CPI'!$A$1:$AX$1,),)</f>
        <v/>
      </c>
      <c r="J78" s="20">
        <f>(VLOOKUP(B78,'Data Core CPI'!$A:$AX,MATCH($J$1,'Data Core CPI'!$A$1:$AX$1,),)-VLOOKUP(EDATE(B78,-12),'Data Core CPI'!$A:$AX,MATCH($J$1,'Data Core CPI'!$A$1:$AX$1,),))/VLOOKUP(EDATE(B78,-12),'Data Core CPI'!$A:$AX,MATCH($J$1,'Data Core CPI'!$A$1:$AX$1,),)</f>
        <v/>
      </c>
      <c r="K78" s="20">
        <f>(VLOOKUP(B78,'Data Core CPI'!$A:$AX,MATCH($K$1,'Data Core CPI'!$A$1:$AX$1,),)-VLOOKUP(EDATE(B78,-12),'Data Core CPI'!$A:$AX,MATCH($K$1,'Data Core CPI'!$A$1:$AX$1,),))/VLOOKUP(EDATE(B78,-12),'Data Core CPI'!$A:$AX,MATCH($K$1,'Data Core CPI'!$A$1:$AX$1,),)</f>
        <v/>
      </c>
      <c r="L78" s="20">
        <f>(VLOOKUP(B78,'Data Core CPI'!$A:$AX,MATCH($L$1,'Data Core CPI'!$A$1:$AX$1,),)-VLOOKUP(EDATE(B78,-12),'Data Core CPI'!$A:$AX,MATCH($L$1,'Data Core CPI'!$A$1:$AX$1,),))/VLOOKUP(EDATE(B78,-12),'Data Core CPI'!$A:$AX,MATCH($L$1,'Data Core CPI'!$A$1:$AX$1,),)</f>
        <v/>
      </c>
      <c r="M78" s="20">
        <f>(VLOOKUP(B78,'Data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(VLOOKUP(B78,'Data Core CPI'!$A:$AX,MATCH($W$1,'Data Core CPI'!$A$1:$AX$1,),)-VLOOKUP(EDATE(B78,-12),'Data Core CPI'!$A:$AX,MATCH($W$1,'Data Core CPI'!$A$1:$AX$1,),))/VLOOKUP(EDATE(B78,-12),'Data Core CPI'!$A:$AX,MATCH($W$1,'Data Core CPI'!$A$1:$AX$1,),)</f>
        <v/>
      </c>
      <c r="X78" s="20">
        <f>(VLOOKUP(B78,'Data Core CPI'!$A:$AX,MATCH($X$1,'Data Core CPI'!$A$1:$AX$1,),)-VLOOKUP(EDATE(B78,-12),'Data Core CPI'!$A:$AX,MATCH($X$1,'Data Core CPI'!$A$1:$AX$1,),))/VLOOKUP(EDATE(B78,-12),'Data Core CPI'!$A:$AX,MATCH($X$1,'Data Core CPI'!$A$1:$AX$1,),)</f>
        <v/>
      </c>
      <c r="Y78" s="20">
        <f>(VLOOKUP(B78,'Data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(VLOOKUP(B79,'Data Core CPI'!$A:$AX,MATCH($E$1,'Data Core CPI'!$A$1:$AX$1,),)-VLOOKUP(EDATE(B79,-12),'Data Core CPI'!$A:$AX,MATCH($E$1,'Data Core CPI'!$A$1:$AX$1,),))/VLOOKUP(EDATE(B79,-12),'Data Core CPI'!$A:$AX,MATCH($E$1,'Data Core CPI'!$A$1:$AX$1,),)</f>
        <v/>
      </c>
      <c r="F79" s="20">
        <f>(VLOOKUP(B79,'Data Core CPI'!$A:$AX,MATCH($F$1,'Data Core CPI'!$A$1:$AX$1,),)-VLOOKUP(EDATE(B79,-12),'Data Core CPI'!$A:$AX,MATCH($F$1,'Data Core CPI'!$A$1:$AX$1,),))/VLOOKUP(EDATE(B79,-12),'Data Core CPI'!$A:$AX,MATCH($F$1,'Data Core CPI'!$A$1:$AX$1,),)</f>
        <v/>
      </c>
      <c r="G79" s="20">
        <f>(VLOOKUP(B79,'Data Core CPI'!$A:$AX,MATCH($G$1,'Data Core CPI'!$A$1:$AX$1,),)-VLOOKUP(EDATE(B79,-12),'Data Core CPI'!$A:$AX,MATCH($G$1,'Data Core CPI'!$A$1:$AX$1,),))/VLOOKUP(EDATE(B79,-12),'Data Core CPI'!$A:$AX,MATCH($G$1,'Data Core CPI'!$A$1:$AX$1,),)</f>
        <v/>
      </c>
      <c r="H79" s="20">
        <f>(VLOOKUP(B79,'Data Core CPI'!$A:$AX,MATCH($H$1,'Data Core CPI'!$A$1:$AX$1,),)-VLOOKUP(EDATE(B79,-12),'Data Core CPI'!$A:$AX,MATCH($H$1,'Data Core CPI'!$A$1:$AX$1,),))/VLOOKUP(EDATE(B79,-12),'Data Core CPI'!$A:$AX,MATCH($H$1,'Data Core CPI'!$A$1:$AX$1,),)</f>
        <v/>
      </c>
      <c r="I79" s="20">
        <f>(VLOOKUP(B79,'Data Core CPI'!$A:$AX,MATCH($I$1,'Data Core CPI'!$A$1:$AX$1,),)-VLOOKUP(EDATE(B79,-12),'Data Core CPI'!$A:$AX,MATCH($I$1,'Data Core CPI'!$A$1:$AX$1,),))/VLOOKUP(EDATE(B79,-12),'Data Core CPI'!$A:$AX,MATCH($I$1,'Data Core CPI'!$A$1:$AX$1,),)</f>
        <v/>
      </c>
      <c r="J79" s="20">
        <f>(VLOOKUP(B79,'Data Core CPI'!$A:$AX,MATCH($J$1,'Data Core CPI'!$A$1:$AX$1,),)-VLOOKUP(EDATE(B79,-12),'Data Core CPI'!$A:$AX,MATCH($J$1,'Data Core CPI'!$A$1:$AX$1,),))/VLOOKUP(EDATE(B79,-12),'Data Core CPI'!$A:$AX,MATCH($J$1,'Data Core CPI'!$A$1:$AX$1,),)</f>
        <v/>
      </c>
      <c r="K79" s="20">
        <f>(VLOOKUP(B79,'Data Core CPI'!$A:$AX,MATCH($K$1,'Data Core CPI'!$A$1:$AX$1,),)-VLOOKUP(EDATE(B79,-12),'Data Core CPI'!$A:$AX,MATCH($K$1,'Data Core CPI'!$A$1:$AX$1,),))/VLOOKUP(EDATE(B79,-12),'Data Core CPI'!$A:$AX,MATCH($K$1,'Data Core CPI'!$A$1:$AX$1,),)</f>
        <v/>
      </c>
      <c r="L79" s="20">
        <f>(VLOOKUP(B79,'Data Core CPI'!$A:$AX,MATCH($L$1,'Data Core CPI'!$A$1:$AX$1,),)-VLOOKUP(EDATE(B79,-12),'Data Core CPI'!$A:$AX,MATCH($L$1,'Data Core CPI'!$A$1:$AX$1,),))/VLOOKUP(EDATE(B79,-12),'Data Core CPI'!$A:$AX,MATCH($L$1,'Data Core CPI'!$A$1:$AX$1,),)</f>
        <v/>
      </c>
      <c r="M79" s="20">
        <f>(VLOOKUP(B79,'Data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(VLOOKUP(B79,'Data Core CPI'!$A:$AX,MATCH($W$1,'Data Core CPI'!$A$1:$AX$1,),)-VLOOKUP(EDATE(B79,-12),'Data Core CPI'!$A:$AX,MATCH($W$1,'Data Core CPI'!$A$1:$AX$1,),))/VLOOKUP(EDATE(B79,-12),'Data Core CPI'!$A:$AX,MATCH($W$1,'Data Core CPI'!$A$1:$AX$1,),)</f>
        <v/>
      </c>
      <c r="X79" s="20">
        <f>(VLOOKUP(B79,'Data Core CPI'!$A:$AX,MATCH($X$1,'Data Core CPI'!$A$1:$AX$1,),)-VLOOKUP(EDATE(B79,-12),'Data Core CPI'!$A:$AX,MATCH($X$1,'Data Core CPI'!$A$1:$AX$1,),))/VLOOKUP(EDATE(B79,-12),'Data Core CPI'!$A:$AX,MATCH($X$1,'Data Core CPI'!$A$1:$AX$1,),)</f>
        <v/>
      </c>
      <c r="Y79" s="20">
        <f>(VLOOKUP(B79,'Data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(VLOOKUP(B80,'Data Core CPI'!$A:$AX,MATCH($E$1,'Data Core CPI'!$A$1:$AX$1,),)-VLOOKUP(EDATE(B80,-12),'Data Core CPI'!$A:$AX,MATCH($E$1,'Data Core CPI'!$A$1:$AX$1,),))/VLOOKUP(EDATE(B80,-12),'Data Core CPI'!$A:$AX,MATCH($E$1,'Data Core CPI'!$A$1:$AX$1,),)</f>
        <v/>
      </c>
      <c r="F80" s="20">
        <f>(VLOOKUP(B80,'Data Core CPI'!$A:$AX,MATCH($F$1,'Data Core CPI'!$A$1:$AX$1,),)-VLOOKUP(EDATE(B80,-12),'Data Core CPI'!$A:$AX,MATCH($F$1,'Data Core CPI'!$A$1:$AX$1,),))/VLOOKUP(EDATE(B80,-12),'Data Core CPI'!$A:$AX,MATCH($F$1,'Data Core CPI'!$A$1:$AX$1,),)</f>
        <v/>
      </c>
      <c r="G80" s="20">
        <f>(VLOOKUP(B80,'Data Core CPI'!$A:$AX,MATCH($G$1,'Data Core CPI'!$A$1:$AX$1,),)-VLOOKUP(EDATE(B80,-12),'Data Core CPI'!$A:$AX,MATCH($G$1,'Data Core CPI'!$A$1:$AX$1,),))/VLOOKUP(EDATE(B80,-12),'Data Core CPI'!$A:$AX,MATCH($G$1,'Data Core CPI'!$A$1:$AX$1,),)</f>
        <v/>
      </c>
      <c r="H80" s="20">
        <f>(VLOOKUP(B80,'Data Core CPI'!$A:$AX,MATCH($H$1,'Data Core CPI'!$A$1:$AX$1,),)-VLOOKUP(EDATE(B80,-12),'Data Core CPI'!$A:$AX,MATCH($H$1,'Data Core CPI'!$A$1:$AX$1,),))/VLOOKUP(EDATE(B80,-12),'Data Core CPI'!$A:$AX,MATCH($H$1,'Data Core CPI'!$A$1:$AX$1,),)</f>
        <v/>
      </c>
      <c r="I80" s="20">
        <f>(VLOOKUP(B80,'Data Core CPI'!$A:$AX,MATCH($I$1,'Data Core CPI'!$A$1:$AX$1,),)-VLOOKUP(EDATE(B80,-12),'Data Core CPI'!$A:$AX,MATCH($I$1,'Data Core CPI'!$A$1:$AX$1,),))/VLOOKUP(EDATE(B80,-12),'Data Core CPI'!$A:$AX,MATCH($I$1,'Data Core CPI'!$A$1:$AX$1,),)</f>
        <v/>
      </c>
      <c r="J80" s="20">
        <f>(VLOOKUP(B80,'Data Core CPI'!$A:$AX,MATCH($J$1,'Data Core CPI'!$A$1:$AX$1,),)-VLOOKUP(EDATE(B80,-12),'Data Core CPI'!$A:$AX,MATCH($J$1,'Data Core CPI'!$A$1:$AX$1,),))/VLOOKUP(EDATE(B80,-12),'Data Core CPI'!$A:$AX,MATCH($J$1,'Data Core CPI'!$A$1:$AX$1,),)</f>
        <v/>
      </c>
      <c r="K80" s="20">
        <f>(VLOOKUP(B80,'Data Core CPI'!$A:$AX,MATCH($K$1,'Data Core CPI'!$A$1:$AX$1,),)-VLOOKUP(EDATE(B80,-12),'Data Core CPI'!$A:$AX,MATCH($K$1,'Data Core CPI'!$A$1:$AX$1,),))/VLOOKUP(EDATE(B80,-12),'Data Core CPI'!$A:$AX,MATCH($K$1,'Data Core CPI'!$A$1:$AX$1,),)</f>
        <v/>
      </c>
      <c r="L80" s="20">
        <f>(VLOOKUP(B80,'Data Core CPI'!$A:$AX,MATCH($L$1,'Data Core CPI'!$A$1:$AX$1,),)-VLOOKUP(EDATE(B80,-12),'Data Core CPI'!$A:$AX,MATCH($L$1,'Data Core CPI'!$A$1:$AX$1,),))/VLOOKUP(EDATE(B80,-12),'Data Core CPI'!$A:$AX,MATCH($L$1,'Data Core CPI'!$A$1:$AX$1,),)</f>
        <v/>
      </c>
      <c r="M80" s="20">
        <f>(VLOOKUP(B80,'Data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(VLOOKUP(B80,'Data Core CPI'!$A:$AX,MATCH($W$1,'Data Core CPI'!$A$1:$AX$1,),)-VLOOKUP(EDATE(B80,-12),'Data Core CPI'!$A:$AX,MATCH($W$1,'Data Core CPI'!$A$1:$AX$1,),))/VLOOKUP(EDATE(B80,-12),'Data Core CPI'!$A:$AX,MATCH($W$1,'Data Core CPI'!$A$1:$AX$1,),)</f>
        <v/>
      </c>
      <c r="X80" s="20">
        <f>(VLOOKUP(B80,'Data Core CPI'!$A:$AX,MATCH($X$1,'Data Core CPI'!$A$1:$AX$1,),)-VLOOKUP(EDATE(B80,-12),'Data Core CPI'!$A:$AX,MATCH($X$1,'Data Core CPI'!$A$1:$AX$1,),))/VLOOKUP(EDATE(B80,-12),'Data Core CPI'!$A:$AX,MATCH($X$1,'Data Core CPI'!$A$1:$AX$1,),)</f>
        <v/>
      </c>
      <c r="Y80" s="20">
        <f>(VLOOKUP(B80,'Data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(VLOOKUP(B81,'Data Core CPI'!$A:$AX,MATCH($E$1,'Data Core CPI'!$A$1:$AX$1,),)-VLOOKUP(EDATE(B81,-12),'Data Core CPI'!$A:$AX,MATCH($E$1,'Data Core CPI'!$A$1:$AX$1,),))/VLOOKUP(EDATE(B81,-12),'Data Core CPI'!$A:$AX,MATCH($E$1,'Data Core CPI'!$A$1:$AX$1,),)</f>
        <v/>
      </c>
      <c r="F81" s="20">
        <f>(VLOOKUP(B81,'Data Core CPI'!$A:$AX,MATCH($F$1,'Data Core CPI'!$A$1:$AX$1,),)-VLOOKUP(EDATE(B81,-12),'Data Core CPI'!$A:$AX,MATCH($F$1,'Data Core CPI'!$A$1:$AX$1,),))/VLOOKUP(EDATE(B81,-12),'Data Core CPI'!$A:$AX,MATCH($F$1,'Data Core CPI'!$A$1:$AX$1,),)</f>
        <v/>
      </c>
      <c r="G81" s="20">
        <f>(VLOOKUP(B81,'Data Core CPI'!$A:$AX,MATCH($G$1,'Data Core CPI'!$A$1:$AX$1,),)-VLOOKUP(EDATE(B81,-12),'Data Core CPI'!$A:$AX,MATCH($G$1,'Data Core CPI'!$A$1:$AX$1,),))/VLOOKUP(EDATE(B81,-12),'Data Core CPI'!$A:$AX,MATCH($G$1,'Data Core CPI'!$A$1:$AX$1,),)</f>
        <v/>
      </c>
      <c r="H81" s="20">
        <f>(VLOOKUP(B81,'Data Core CPI'!$A:$AX,MATCH($H$1,'Data Core CPI'!$A$1:$AX$1,),)-VLOOKUP(EDATE(B81,-12),'Data Core CPI'!$A:$AX,MATCH($H$1,'Data Core CPI'!$A$1:$AX$1,),))/VLOOKUP(EDATE(B81,-12),'Data Core CPI'!$A:$AX,MATCH($H$1,'Data Core CPI'!$A$1:$AX$1,),)</f>
        <v/>
      </c>
      <c r="I81" s="20">
        <f>(VLOOKUP(B81,'Data Core CPI'!$A:$AX,MATCH($I$1,'Data Core CPI'!$A$1:$AX$1,),)-VLOOKUP(EDATE(B81,-12),'Data Core CPI'!$A:$AX,MATCH($I$1,'Data Core CPI'!$A$1:$AX$1,),))/VLOOKUP(EDATE(B81,-12),'Data Core CPI'!$A:$AX,MATCH($I$1,'Data Core CPI'!$A$1:$AX$1,),)</f>
        <v/>
      </c>
      <c r="J81" s="20">
        <f>(VLOOKUP(B81,'Data Core CPI'!$A:$AX,MATCH($J$1,'Data Core CPI'!$A$1:$AX$1,),)-VLOOKUP(EDATE(B81,-12),'Data Core CPI'!$A:$AX,MATCH($J$1,'Data Core CPI'!$A$1:$AX$1,),))/VLOOKUP(EDATE(B81,-12),'Data Core CPI'!$A:$AX,MATCH($J$1,'Data Core CPI'!$A$1:$AX$1,),)</f>
        <v/>
      </c>
      <c r="K81" s="20">
        <f>(VLOOKUP(B81,'Data Core CPI'!$A:$AX,MATCH($K$1,'Data Core CPI'!$A$1:$AX$1,),)-VLOOKUP(EDATE(B81,-12),'Data Core CPI'!$A:$AX,MATCH($K$1,'Data Core CPI'!$A$1:$AX$1,),))/VLOOKUP(EDATE(B81,-12),'Data Core CPI'!$A:$AX,MATCH($K$1,'Data Core CPI'!$A$1:$AX$1,),)</f>
        <v/>
      </c>
      <c r="L81" s="20">
        <f>(VLOOKUP(B81,'Data Core CPI'!$A:$AX,MATCH($L$1,'Data Core CPI'!$A$1:$AX$1,),)-VLOOKUP(EDATE(B81,-12),'Data Core CPI'!$A:$AX,MATCH($L$1,'Data Core CPI'!$A$1:$AX$1,),))/VLOOKUP(EDATE(B81,-12),'Data Core CPI'!$A:$AX,MATCH($L$1,'Data Core CPI'!$A$1:$AX$1,),)</f>
        <v/>
      </c>
      <c r="M81" s="20">
        <f>(VLOOKUP(B81,'Data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(VLOOKUP(B81,'Data Core CPI'!$A:$AX,MATCH($W$1,'Data Core CPI'!$A$1:$AX$1,),)-VLOOKUP(EDATE(B81,-12),'Data Core CPI'!$A:$AX,MATCH($W$1,'Data Core CPI'!$A$1:$AX$1,),))/VLOOKUP(EDATE(B81,-12),'Data Core CPI'!$A:$AX,MATCH($W$1,'Data Core CPI'!$A$1:$AX$1,),)</f>
        <v/>
      </c>
      <c r="X81" s="20">
        <f>(VLOOKUP(B81,'Data Core CPI'!$A:$AX,MATCH($X$1,'Data Core CPI'!$A$1:$AX$1,),)-VLOOKUP(EDATE(B81,-12),'Data Core CPI'!$A:$AX,MATCH($X$1,'Data Core CPI'!$A$1:$AX$1,),))/VLOOKUP(EDATE(B81,-12),'Data Core CPI'!$A:$AX,MATCH($X$1,'Data Core CPI'!$A$1:$AX$1,),)</f>
        <v/>
      </c>
      <c r="Y81" s="20">
        <f>(VLOOKUP(B81,'Data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(VLOOKUP(B82,'Data Core CPI'!$A:$AX,MATCH($E$1,'Data Core CPI'!$A$1:$AX$1,),)-VLOOKUP(EDATE(B82,-12),'Data Core CPI'!$A:$AX,MATCH($E$1,'Data Core CPI'!$A$1:$AX$1,),))/VLOOKUP(EDATE(B82,-12),'Data Core CPI'!$A:$AX,MATCH($E$1,'Data Core CPI'!$A$1:$AX$1,),)</f>
        <v/>
      </c>
      <c r="F82" s="20">
        <f>(VLOOKUP(B82,'Data Core CPI'!$A:$AX,MATCH($F$1,'Data Core CPI'!$A$1:$AX$1,),)-VLOOKUP(EDATE(B82,-12),'Data Core CPI'!$A:$AX,MATCH($F$1,'Data Core CPI'!$A$1:$AX$1,),))/VLOOKUP(EDATE(B82,-12),'Data Core CPI'!$A:$AX,MATCH($F$1,'Data Core CPI'!$A$1:$AX$1,),)</f>
        <v/>
      </c>
      <c r="G82" s="20">
        <f>(VLOOKUP(B82,'Data Core CPI'!$A:$AX,MATCH($G$1,'Data Core CPI'!$A$1:$AX$1,),)-VLOOKUP(EDATE(B82,-12),'Data Core CPI'!$A:$AX,MATCH($G$1,'Data Core CPI'!$A$1:$AX$1,),))/VLOOKUP(EDATE(B82,-12),'Data Core CPI'!$A:$AX,MATCH($G$1,'Data Core CPI'!$A$1:$AX$1,),)</f>
        <v/>
      </c>
      <c r="H82" s="20">
        <f>(VLOOKUP(B82,'Data Core CPI'!$A:$AX,MATCH($H$1,'Data Core CPI'!$A$1:$AX$1,),)-VLOOKUP(EDATE(B82,-12),'Data Core CPI'!$A:$AX,MATCH($H$1,'Data Core CPI'!$A$1:$AX$1,),))/VLOOKUP(EDATE(B82,-12),'Data Core CPI'!$A:$AX,MATCH($H$1,'Data Core CPI'!$A$1:$AX$1,),)</f>
        <v/>
      </c>
      <c r="I82" s="20">
        <f>(VLOOKUP(B82,'Data Core CPI'!$A:$AX,MATCH($I$1,'Data Core CPI'!$A$1:$AX$1,),)-VLOOKUP(EDATE(B82,-12),'Data Core CPI'!$A:$AX,MATCH($I$1,'Data Core CPI'!$A$1:$AX$1,),))/VLOOKUP(EDATE(B82,-12),'Data Core CPI'!$A:$AX,MATCH($I$1,'Data Core CPI'!$A$1:$AX$1,),)</f>
        <v/>
      </c>
      <c r="J82" s="20">
        <f>(VLOOKUP(B82,'Data Core CPI'!$A:$AX,MATCH($J$1,'Data Core CPI'!$A$1:$AX$1,),)-VLOOKUP(EDATE(B82,-12),'Data Core CPI'!$A:$AX,MATCH($J$1,'Data Core CPI'!$A$1:$AX$1,),))/VLOOKUP(EDATE(B82,-12),'Data Core CPI'!$A:$AX,MATCH($J$1,'Data Core CPI'!$A$1:$AX$1,),)</f>
        <v/>
      </c>
      <c r="K82" s="20">
        <f>(VLOOKUP(B82,'Data Core CPI'!$A:$AX,MATCH($K$1,'Data Core CPI'!$A$1:$AX$1,),)-VLOOKUP(EDATE(B82,-12),'Data Core CPI'!$A:$AX,MATCH($K$1,'Data Core CPI'!$A$1:$AX$1,),))/VLOOKUP(EDATE(B82,-12),'Data Core CPI'!$A:$AX,MATCH($K$1,'Data Core CPI'!$A$1:$AX$1,),)</f>
        <v/>
      </c>
      <c r="L82" s="20">
        <f>(VLOOKUP(B82,'Data Core CPI'!$A:$AX,MATCH($L$1,'Data Core CPI'!$A$1:$AX$1,),)-VLOOKUP(EDATE(B82,-12),'Data Core CPI'!$A:$AX,MATCH($L$1,'Data Core CPI'!$A$1:$AX$1,),))/VLOOKUP(EDATE(B82,-12),'Data Core CPI'!$A:$AX,MATCH($L$1,'Data Core CPI'!$A$1:$AX$1,),)</f>
        <v/>
      </c>
      <c r="M82" s="20">
        <f>(VLOOKUP(B82,'Data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(VLOOKUP(B82,'Data Core CPI'!$A:$AX,MATCH($W$1,'Data Core CPI'!$A$1:$AX$1,),)-VLOOKUP(EDATE(B82,-12),'Data Core CPI'!$A:$AX,MATCH($W$1,'Data Core CPI'!$A$1:$AX$1,),))/VLOOKUP(EDATE(B82,-12),'Data Core CPI'!$A:$AX,MATCH($W$1,'Data Core CPI'!$A$1:$AX$1,),)</f>
        <v/>
      </c>
      <c r="X82" s="20">
        <f>(VLOOKUP(B82,'Data Core CPI'!$A:$AX,MATCH($X$1,'Data Core CPI'!$A$1:$AX$1,),)-VLOOKUP(EDATE(B82,-12),'Data Core CPI'!$A:$AX,MATCH($X$1,'Data Core CPI'!$A$1:$AX$1,),))/VLOOKUP(EDATE(B82,-12),'Data Core CPI'!$A:$AX,MATCH($X$1,'Data Core CPI'!$A$1:$AX$1,),)</f>
        <v/>
      </c>
      <c r="Y82" s="20">
        <f>(VLOOKUP(B82,'Data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(VLOOKUP(B83,'Data Core CPI'!$A:$AX,MATCH($E$1,'Data Core CPI'!$A$1:$AX$1,),)-VLOOKUP(EDATE(B83,-12),'Data Core CPI'!$A:$AX,MATCH($E$1,'Data Core CPI'!$A$1:$AX$1,),))/VLOOKUP(EDATE(B83,-12),'Data Core CPI'!$A:$AX,MATCH($E$1,'Data Core CPI'!$A$1:$AX$1,),)</f>
        <v/>
      </c>
      <c r="F83" s="20">
        <f>(VLOOKUP(B83,'Data Core CPI'!$A:$AX,MATCH($F$1,'Data Core CPI'!$A$1:$AX$1,),)-VLOOKUP(EDATE(B83,-12),'Data Core CPI'!$A:$AX,MATCH($F$1,'Data Core CPI'!$A$1:$AX$1,),))/VLOOKUP(EDATE(B83,-12),'Data Core CPI'!$A:$AX,MATCH($F$1,'Data Core CPI'!$A$1:$AX$1,),)</f>
        <v/>
      </c>
      <c r="G83" s="20">
        <f>(VLOOKUP(B83,'Data Core CPI'!$A:$AX,MATCH($G$1,'Data Core CPI'!$A$1:$AX$1,),)-VLOOKUP(EDATE(B83,-12),'Data Core CPI'!$A:$AX,MATCH($G$1,'Data Core CPI'!$A$1:$AX$1,),))/VLOOKUP(EDATE(B83,-12),'Data Core CPI'!$A:$AX,MATCH($G$1,'Data Core CPI'!$A$1:$AX$1,),)</f>
        <v/>
      </c>
      <c r="H83" s="20">
        <f>(VLOOKUP(B83,'Data Core CPI'!$A:$AX,MATCH($H$1,'Data Core CPI'!$A$1:$AX$1,),)-VLOOKUP(EDATE(B83,-12),'Data Core CPI'!$A:$AX,MATCH($H$1,'Data Core CPI'!$A$1:$AX$1,),))/VLOOKUP(EDATE(B83,-12),'Data Core CPI'!$A:$AX,MATCH($H$1,'Data Core CPI'!$A$1:$AX$1,),)</f>
        <v/>
      </c>
      <c r="I83" s="20">
        <f>(VLOOKUP(B83,'Data Core CPI'!$A:$AX,MATCH($I$1,'Data Core CPI'!$A$1:$AX$1,),)-VLOOKUP(EDATE(B83,-12),'Data Core CPI'!$A:$AX,MATCH($I$1,'Data Core CPI'!$A$1:$AX$1,),))/VLOOKUP(EDATE(B83,-12),'Data Core CPI'!$A:$AX,MATCH($I$1,'Data Core CPI'!$A$1:$AX$1,),)</f>
        <v/>
      </c>
      <c r="J83" s="20">
        <f>(VLOOKUP(B83,'Data Core CPI'!$A:$AX,MATCH($J$1,'Data Core CPI'!$A$1:$AX$1,),)-VLOOKUP(EDATE(B83,-12),'Data Core CPI'!$A:$AX,MATCH($J$1,'Data Core CPI'!$A$1:$AX$1,),))/VLOOKUP(EDATE(B83,-12),'Data Core CPI'!$A:$AX,MATCH($J$1,'Data Core CPI'!$A$1:$AX$1,),)</f>
        <v/>
      </c>
      <c r="K83" s="20">
        <f>(VLOOKUP(B83,'Data Core CPI'!$A:$AX,MATCH($K$1,'Data Core CPI'!$A$1:$AX$1,),)-VLOOKUP(EDATE(B83,-12),'Data Core CPI'!$A:$AX,MATCH($K$1,'Data Core CPI'!$A$1:$AX$1,),))/VLOOKUP(EDATE(B83,-12),'Data Core CPI'!$A:$AX,MATCH($K$1,'Data Core CPI'!$A$1:$AX$1,),)</f>
        <v/>
      </c>
      <c r="L83" s="20">
        <f>(VLOOKUP(B83,'Data Core CPI'!$A:$AX,MATCH($L$1,'Data Core CPI'!$A$1:$AX$1,),)-VLOOKUP(EDATE(B83,-12),'Data Core CPI'!$A:$AX,MATCH($L$1,'Data Core CPI'!$A$1:$AX$1,),))/VLOOKUP(EDATE(B83,-12),'Data Core CPI'!$A:$AX,MATCH($L$1,'Data Core CPI'!$A$1:$AX$1,),)</f>
        <v/>
      </c>
      <c r="M83" s="20">
        <f>(VLOOKUP(B83,'Data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(VLOOKUP(B83,'Data Core CPI'!$A:$AX,MATCH($W$1,'Data Core CPI'!$A$1:$AX$1,),)-VLOOKUP(EDATE(B83,-12),'Data Core CPI'!$A:$AX,MATCH($W$1,'Data Core CPI'!$A$1:$AX$1,),))/VLOOKUP(EDATE(B83,-12),'Data Core CPI'!$A:$AX,MATCH($W$1,'Data Core CPI'!$A$1:$AX$1,),)</f>
        <v/>
      </c>
      <c r="X83" s="20">
        <f>(VLOOKUP(B83,'Data Core CPI'!$A:$AX,MATCH($X$1,'Data Core CPI'!$A$1:$AX$1,),)-VLOOKUP(EDATE(B83,-12),'Data Core CPI'!$A:$AX,MATCH($X$1,'Data Core CPI'!$A$1:$AX$1,),))/VLOOKUP(EDATE(B83,-12),'Data Core CPI'!$A:$AX,MATCH($X$1,'Data Core CPI'!$A$1:$AX$1,),)</f>
        <v/>
      </c>
      <c r="Y83" s="20">
        <f>(VLOOKUP(B83,'Data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(VLOOKUP(B84,'Data Core CPI'!$A:$AX,MATCH($E$1,'Data Core CPI'!$A$1:$AX$1,),)-VLOOKUP(EDATE(B84,-12),'Data Core CPI'!$A:$AX,MATCH($E$1,'Data Core CPI'!$A$1:$AX$1,),))/VLOOKUP(EDATE(B84,-12),'Data Core CPI'!$A:$AX,MATCH($E$1,'Data Core CPI'!$A$1:$AX$1,),)</f>
        <v/>
      </c>
      <c r="F84" s="20">
        <f>(VLOOKUP(B84,'Data Core CPI'!$A:$AX,MATCH($F$1,'Data Core CPI'!$A$1:$AX$1,),)-VLOOKUP(EDATE(B84,-12),'Data Core CPI'!$A:$AX,MATCH($F$1,'Data Core CPI'!$A$1:$AX$1,),))/VLOOKUP(EDATE(B84,-12),'Data Core CPI'!$A:$AX,MATCH($F$1,'Data Core CPI'!$A$1:$AX$1,),)</f>
        <v/>
      </c>
      <c r="G84" s="20">
        <f>(VLOOKUP(B84,'Data Core CPI'!$A:$AX,MATCH($G$1,'Data Core CPI'!$A$1:$AX$1,),)-VLOOKUP(EDATE(B84,-12),'Data Core CPI'!$A:$AX,MATCH($G$1,'Data Core CPI'!$A$1:$AX$1,),))/VLOOKUP(EDATE(B84,-12),'Data Core CPI'!$A:$AX,MATCH($G$1,'Data Core CPI'!$A$1:$AX$1,),)</f>
        <v/>
      </c>
      <c r="H84" s="20">
        <f>(VLOOKUP(B84,'Data Core CPI'!$A:$AX,MATCH($H$1,'Data Core CPI'!$A$1:$AX$1,),)-VLOOKUP(EDATE(B84,-12),'Data Core CPI'!$A:$AX,MATCH($H$1,'Data Core CPI'!$A$1:$AX$1,),))/VLOOKUP(EDATE(B84,-12),'Data Core CPI'!$A:$AX,MATCH($H$1,'Data Core CPI'!$A$1:$AX$1,),)</f>
        <v/>
      </c>
      <c r="I84" s="20">
        <f>(VLOOKUP(B84,'Data Core CPI'!$A:$AX,MATCH($I$1,'Data Core CPI'!$A$1:$AX$1,),)-VLOOKUP(EDATE(B84,-12),'Data Core CPI'!$A:$AX,MATCH($I$1,'Data Core CPI'!$A$1:$AX$1,),))/VLOOKUP(EDATE(B84,-12),'Data Core CPI'!$A:$AX,MATCH($I$1,'Data Core CPI'!$A$1:$AX$1,),)</f>
        <v/>
      </c>
      <c r="J84" s="20">
        <f>(VLOOKUP(B84,'Data Core CPI'!$A:$AX,MATCH($J$1,'Data Core CPI'!$A$1:$AX$1,),)-VLOOKUP(EDATE(B84,-12),'Data Core CPI'!$A:$AX,MATCH($J$1,'Data Core CPI'!$A$1:$AX$1,),))/VLOOKUP(EDATE(B84,-12),'Data Core CPI'!$A:$AX,MATCH($J$1,'Data Core CPI'!$A$1:$AX$1,),)</f>
        <v/>
      </c>
      <c r="K84" s="20">
        <f>(VLOOKUP(B84,'Data Core CPI'!$A:$AX,MATCH($K$1,'Data Core CPI'!$A$1:$AX$1,),)-VLOOKUP(EDATE(B84,-12),'Data Core CPI'!$A:$AX,MATCH($K$1,'Data Core CPI'!$A$1:$AX$1,),))/VLOOKUP(EDATE(B84,-12),'Data Core CPI'!$A:$AX,MATCH($K$1,'Data Core CPI'!$A$1:$AX$1,),)</f>
        <v/>
      </c>
      <c r="L84" s="20">
        <f>(VLOOKUP(B84,'Data Core CPI'!$A:$AX,MATCH($L$1,'Data Core CPI'!$A$1:$AX$1,),)-VLOOKUP(EDATE(B84,-12),'Data Core CPI'!$A:$AX,MATCH($L$1,'Data Core CPI'!$A$1:$AX$1,),))/VLOOKUP(EDATE(B84,-12),'Data Core CPI'!$A:$AX,MATCH($L$1,'Data Core CPI'!$A$1:$AX$1,),)</f>
        <v/>
      </c>
      <c r="M84" s="20">
        <f>(VLOOKUP(B84,'Data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(VLOOKUP(B84,'Data Core CPI'!$A:$AX,MATCH($W$1,'Data Core CPI'!$A$1:$AX$1,),)-VLOOKUP(EDATE(B84,-12),'Data Core CPI'!$A:$AX,MATCH($W$1,'Data Core CPI'!$A$1:$AX$1,),))/VLOOKUP(EDATE(B84,-12),'Data Core CPI'!$A:$AX,MATCH($W$1,'Data Core CPI'!$A$1:$AX$1,),)</f>
        <v/>
      </c>
      <c r="X84" s="20">
        <f>(VLOOKUP(B84,'Data Core CPI'!$A:$AX,MATCH($X$1,'Data Core CPI'!$A$1:$AX$1,),)-VLOOKUP(EDATE(B84,-12),'Data Core CPI'!$A:$AX,MATCH($X$1,'Data Core CPI'!$A$1:$AX$1,),))/VLOOKUP(EDATE(B84,-12),'Data Core CPI'!$A:$AX,MATCH($X$1,'Data Core CPI'!$A$1:$AX$1,),)</f>
        <v/>
      </c>
      <c r="Y84" s="20">
        <f>(VLOOKUP(B84,'Data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(VLOOKUP(B85,'Data Core CPI'!$A:$AX,MATCH($E$1,'Data Core CPI'!$A$1:$AX$1,),)-VLOOKUP(EDATE(B85,-12),'Data Core CPI'!$A:$AX,MATCH($E$1,'Data Core CPI'!$A$1:$AX$1,),))/VLOOKUP(EDATE(B85,-12),'Data Core CPI'!$A:$AX,MATCH($E$1,'Data Core CPI'!$A$1:$AX$1,),)</f>
        <v/>
      </c>
      <c r="F85" s="20">
        <f>(VLOOKUP(B85,'Data Core CPI'!$A:$AX,MATCH($F$1,'Data Core CPI'!$A$1:$AX$1,),)-VLOOKUP(EDATE(B85,-12),'Data Core CPI'!$A:$AX,MATCH($F$1,'Data Core CPI'!$A$1:$AX$1,),))/VLOOKUP(EDATE(B85,-12),'Data Core CPI'!$A:$AX,MATCH($F$1,'Data Core CPI'!$A$1:$AX$1,),)</f>
        <v/>
      </c>
      <c r="G85" s="20">
        <f>(VLOOKUP(B85,'Data Core CPI'!$A:$AX,MATCH($G$1,'Data Core CPI'!$A$1:$AX$1,),)-VLOOKUP(EDATE(B85,-12),'Data Core CPI'!$A:$AX,MATCH($G$1,'Data Core CPI'!$A$1:$AX$1,),))/VLOOKUP(EDATE(B85,-12),'Data Core CPI'!$A:$AX,MATCH($G$1,'Data Core CPI'!$A$1:$AX$1,),)</f>
        <v/>
      </c>
      <c r="H85" s="20">
        <f>(VLOOKUP(B85,'Data Core CPI'!$A:$AX,MATCH($H$1,'Data Core CPI'!$A$1:$AX$1,),)-VLOOKUP(EDATE(B85,-12),'Data Core CPI'!$A:$AX,MATCH($H$1,'Data Core CPI'!$A$1:$AX$1,),))/VLOOKUP(EDATE(B85,-12),'Data Core CPI'!$A:$AX,MATCH($H$1,'Data Core CPI'!$A$1:$AX$1,),)</f>
        <v/>
      </c>
      <c r="I85" s="20">
        <f>(VLOOKUP(B85,'Data Core CPI'!$A:$AX,MATCH($I$1,'Data Core CPI'!$A$1:$AX$1,),)-VLOOKUP(EDATE(B85,-12),'Data Core CPI'!$A:$AX,MATCH($I$1,'Data Core CPI'!$A$1:$AX$1,),))/VLOOKUP(EDATE(B85,-12),'Data Core CPI'!$A:$AX,MATCH($I$1,'Data Core CPI'!$A$1:$AX$1,),)</f>
        <v/>
      </c>
      <c r="J85" s="20">
        <f>(VLOOKUP(B85,'Data Core CPI'!$A:$AX,MATCH($J$1,'Data Core CPI'!$A$1:$AX$1,),)-VLOOKUP(EDATE(B85,-12),'Data Core CPI'!$A:$AX,MATCH($J$1,'Data Core CPI'!$A$1:$AX$1,),))/VLOOKUP(EDATE(B85,-12),'Data Core CPI'!$A:$AX,MATCH($J$1,'Data Core CPI'!$A$1:$AX$1,),)</f>
        <v/>
      </c>
      <c r="K85" s="20">
        <f>(VLOOKUP(B85,'Data Core CPI'!$A:$AX,MATCH($K$1,'Data Core CPI'!$A$1:$AX$1,),)-VLOOKUP(EDATE(B85,-12),'Data Core CPI'!$A:$AX,MATCH($K$1,'Data Core CPI'!$A$1:$AX$1,),))/VLOOKUP(EDATE(B85,-12),'Data Core CPI'!$A:$AX,MATCH($K$1,'Data Core CPI'!$A$1:$AX$1,),)</f>
        <v/>
      </c>
      <c r="L85" s="20">
        <f>(VLOOKUP(B85,'Data Core CPI'!$A:$AX,MATCH($L$1,'Data Core CPI'!$A$1:$AX$1,),)-VLOOKUP(EDATE(B85,-12),'Data Core CPI'!$A:$AX,MATCH($L$1,'Data Core CPI'!$A$1:$AX$1,),))/VLOOKUP(EDATE(B85,-12),'Data Core CPI'!$A:$AX,MATCH($L$1,'Data Core CPI'!$A$1:$AX$1,),)</f>
        <v/>
      </c>
      <c r="M85" s="20">
        <f>(VLOOKUP(B85,'Data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(VLOOKUP(B85,'Data Core CPI'!$A:$AX,MATCH($W$1,'Data Core CPI'!$A$1:$AX$1,),)-VLOOKUP(EDATE(B85,-12),'Data Core CPI'!$A:$AX,MATCH($W$1,'Data Core CPI'!$A$1:$AX$1,),))/VLOOKUP(EDATE(B85,-12),'Data Core CPI'!$A:$AX,MATCH($W$1,'Data Core CPI'!$A$1:$AX$1,),)</f>
        <v/>
      </c>
      <c r="X85" s="20">
        <f>(VLOOKUP(B85,'Data Core CPI'!$A:$AX,MATCH($X$1,'Data Core CPI'!$A$1:$AX$1,),)-VLOOKUP(EDATE(B85,-12),'Data Core CPI'!$A:$AX,MATCH($X$1,'Data Core CPI'!$A$1:$AX$1,),))/VLOOKUP(EDATE(B85,-12),'Data Core CPI'!$A:$AX,MATCH($X$1,'Data Core CPI'!$A$1:$AX$1,),)</f>
        <v/>
      </c>
      <c r="Y85" s="20">
        <f>(VLOOKUP(B85,'Data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(VLOOKUP(B86,'Data Core CPI'!$A:$AX,MATCH($E$1,'Data Core CPI'!$A$1:$AX$1,),)-VLOOKUP(EDATE(B86,-12),'Data Core CPI'!$A:$AX,MATCH($E$1,'Data Core CPI'!$A$1:$AX$1,),))/VLOOKUP(EDATE(B86,-12),'Data Core CPI'!$A:$AX,MATCH($E$1,'Data Core CPI'!$A$1:$AX$1,),)</f>
        <v/>
      </c>
      <c r="F86" s="20">
        <f>(VLOOKUP(B86,'Data Core CPI'!$A:$AX,MATCH($F$1,'Data Core CPI'!$A$1:$AX$1,),)-VLOOKUP(EDATE(B86,-12),'Data Core CPI'!$A:$AX,MATCH($F$1,'Data Core CPI'!$A$1:$AX$1,),))/VLOOKUP(EDATE(B86,-12),'Data Core CPI'!$A:$AX,MATCH($F$1,'Data Core CPI'!$A$1:$AX$1,),)</f>
        <v/>
      </c>
      <c r="G86" s="20">
        <f>(VLOOKUP(B86,'Data Core CPI'!$A:$AX,MATCH($G$1,'Data Core CPI'!$A$1:$AX$1,),)-VLOOKUP(EDATE(B86,-12),'Data Core CPI'!$A:$AX,MATCH($G$1,'Data Core CPI'!$A$1:$AX$1,),))/VLOOKUP(EDATE(B86,-12),'Data Core CPI'!$A:$AX,MATCH($G$1,'Data Core CPI'!$A$1:$AX$1,),)</f>
        <v/>
      </c>
      <c r="H86" s="20">
        <f>(VLOOKUP(B86,'Data Core CPI'!$A:$AX,MATCH($H$1,'Data Core CPI'!$A$1:$AX$1,),)-VLOOKUP(EDATE(B86,-12),'Data Core CPI'!$A:$AX,MATCH($H$1,'Data Core CPI'!$A$1:$AX$1,),))/VLOOKUP(EDATE(B86,-12),'Data Core CPI'!$A:$AX,MATCH($H$1,'Data Core CPI'!$A$1:$AX$1,),)</f>
        <v/>
      </c>
      <c r="I86" s="20">
        <f>(VLOOKUP(B86,'Data Core CPI'!$A:$AX,MATCH($I$1,'Data Core CPI'!$A$1:$AX$1,),)-VLOOKUP(EDATE(B86,-12),'Data Core CPI'!$A:$AX,MATCH($I$1,'Data Core CPI'!$A$1:$AX$1,),))/VLOOKUP(EDATE(B86,-12),'Data Core CPI'!$A:$AX,MATCH($I$1,'Data Core CPI'!$A$1:$AX$1,),)</f>
        <v/>
      </c>
      <c r="J86" s="20">
        <f>(VLOOKUP(B86,'Data Core CPI'!$A:$AX,MATCH($J$1,'Data Core CPI'!$A$1:$AX$1,),)-VLOOKUP(EDATE(B86,-12),'Data Core CPI'!$A:$AX,MATCH($J$1,'Data Core CPI'!$A$1:$AX$1,),))/VLOOKUP(EDATE(B86,-12),'Data Core CPI'!$A:$AX,MATCH($J$1,'Data Core CPI'!$A$1:$AX$1,),)</f>
        <v/>
      </c>
      <c r="K86" s="20">
        <f>(VLOOKUP(B86,'Data Core CPI'!$A:$AX,MATCH($K$1,'Data Core CPI'!$A$1:$AX$1,),)-VLOOKUP(EDATE(B86,-12),'Data Core CPI'!$A:$AX,MATCH($K$1,'Data Core CPI'!$A$1:$AX$1,),))/VLOOKUP(EDATE(B86,-12),'Data Core CPI'!$A:$AX,MATCH($K$1,'Data Core CPI'!$A$1:$AX$1,),)</f>
        <v/>
      </c>
      <c r="L86" s="20">
        <f>(VLOOKUP(B86,'Data Core CPI'!$A:$AX,MATCH($L$1,'Data Core CPI'!$A$1:$AX$1,),)-VLOOKUP(EDATE(B86,-12),'Data Core CPI'!$A:$AX,MATCH($L$1,'Data Core CPI'!$A$1:$AX$1,),))/VLOOKUP(EDATE(B86,-12),'Data Core CPI'!$A:$AX,MATCH($L$1,'Data Core CPI'!$A$1:$AX$1,),)</f>
        <v/>
      </c>
      <c r="M86" s="20">
        <f>(VLOOKUP(B86,'Data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(VLOOKUP(B86,'Data Core CPI'!$A:$AX,MATCH($W$1,'Data Core CPI'!$A$1:$AX$1,),)-VLOOKUP(EDATE(B86,-12),'Data Core CPI'!$A:$AX,MATCH($W$1,'Data Core CPI'!$A$1:$AX$1,),))/VLOOKUP(EDATE(B86,-12),'Data Core CPI'!$A:$AX,MATCH($W$1,'Data Core CPI'!$A$1:$AX$1,),)</f>
        <v/>
      </c>
      <c r="X86" s="20">
        <f>(VLOOKUP(B86,'Data Core CPI'!$A:$AX,MATCH($X$1,'Data Core CPI'!$A$1:$AX$1,),)-VLOOKUP(EDATE(B86,-12),'Data Core CPI'!$A:$AX,MATCH($X$1,'Data Core CPI'!$A$1:$AX$1,),))/VLOOKUP(EDATE(B86,-12),'Data Core CPI'!$A:$AX,MATCH($X$1,'Data Core CPI'!$A$1:$AX$1,),)</f>
        <v/>
      </c>
      <c r="Y86" s="20">
        <f>(VLOOKUP(B86,'Data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(VLOOKUP(B87,'Data Core CPI'!$A:$AX,MATCH($E$1,'Data Core CPI'!$A$1:$AX$1,),)-VLOOKUP(EDATE(B87,-12),'Data Core CPI'!$A:$AX,MATCH($E$1,'Data Core CPI'!$A$1:$AX$1,),))/VLOOKUP(EDATE(B87,-12),'Data Core CPI'!$A:$AX,MATCH($E$1,'Data Core CPI'!$A$1:$AX$1,),)</f>
        <v/>
      </c>
      <c r="F87" s="20">
        <f>(VLOOKUP(B87,'Data Core CPI'!$A:$AX,MATCH($F$1,'Data Core CPI'!$A$1:$AX$1,),)-VLOOKUP(EDATE(B87,-12),'Data Core CPI'!$A:$AX,MATCH($F$1,'Data Core CPI'!$A$1:$AX$1,),))/VLOOKUP(EDATE(B87,-12),'Data Core CPI'!$A:$AX,MATCH($F$1,'Data Core CPI'!$A$1:$AX$1,),)</f>
        <v/>
      </c>
      <c r="G87" s="20">
        <f>(VLOOKUP(B87,'Data Core CPI'!$A:$AX,MATCH($G$1,'Data Core CPI'!$A$1:$AX$1,),)-VLOOKUP(EDATE(B87,-12),'Data Core CPI'!$A:$AX,MATCH($G$1,'Data Core CPI'!$A$1:$AX$1,),))/VLOOKUP(EDATE(B87,-12),'Data Core CPI'!$A:$AX,MATCH($G$1,'Data Core CPI'!$A$1:$AX$1,),)</f>
        <v/>
      </c>
      <c r="H87" s="20">
        <f>(VLOOKUP(B87,'Data Core CPI'!$A:$AX,MATCH($H$1,'Data Core CPI'!$A$1:$AX$1,),)-VLOOKUP(EDATE(B87,-12),'Data Core CPI'!$A:$AX,MATCH($H$1,'Data Core CPI'!$A$1:$AX$1,),))/VLOOKUP(EDATE(B87,-12),'Data Core CPI'!$A:$AX,MATCH($H$1,'Data Core CPI'!$A$1:$AX$1,),)</f>
        <v/>
      </c>
      <c r="I87" s="20">
        <f>(VLOOKUP(B87,'Data Core CPI'!$A:$AX,MATCH($I$1,'Data Core CPI'!$A$1:$AX$1,),)-VLOOKUP(EDATE(B87,-12),'Data Core CPI'!$A:$AX,MATCH($I$1,'Data Core CPI'!$A$1:$AX$1,),))/VLOOKUP(EDATE(B87,-12),'Data Core CPI'!$A:$AX,MATCH($I$1,'Data Core CPI'!$A$1:$AX$1,),)</f>
        <v/>
      </c>
      <c r="J87" s="20">
        <f>(VLOOKUP(B87,'Data Core CPI'!$A:$AX,MATCH($J$1,'Data Core CPI'!$A$1:$AX$1,),)-VLOOKUP(EDATE(B87,-12),'Data Core CPI'!$A:$AX,MATCH($J$1,'Data Core CPI'!$A$1:$AX$1,),))/VLOOKUP(EDATE(B87,-12),'Data Core CPI'!$A:$AX,MATCH($J$1,'Data Core CPI'!$A$1:$AX$1,),)</f>
        <v/>
      </c>
      <c r="K87" s="20">
        <f>(VLOOKUP(B87,'Data Core CPI'!$A:$AX,MATCH($K$1,'Data Core CPI'!$A$1:$AX$1,),)-VLOOKUP(EDATE(B87,-12),'Data Core CPI'!$A:$AX,MATCH($K$1,'Data Core CPI'!$A$1:$AX$1,),))/VLOOKUP(EDATE(B87,-12),'Data Core CPI'!$A:$AX,MATCH($K$1,'Data Core CPI'!$A$1:$AX$1,),)</f>
        <v/>
      </c>
      <c r="L87" s="20">
        <f>(VLOOKUP(B87,'Data Core CPI'!$A:$AX,MATCH($L$1,'Data Core CPI'!$A$1:$AX$1,),)-VLOOKUP(EDATE(B87,-12),'Data Core CPI'!$A:$AX,MATCH($L$1,'Data Core CPI'!$A$1:$AX$1,),))/VLOOKUP(EDATE(B87,-12),'Data Core CPI'!$A:$AX,MATCH($L$1,'Data Core CPI'!$A$1:$AX$1,),)</f>
        <v/>
      </c>
      <c r="M87" s="20">
        <f>(VLOOKUP(B87,'Data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(VLOOKUP(B87,'Data Core CPI'!$A:$AX,MATCH($W$1,'Data Core CPI'!$A$1:$AX$1,),)-VLOOKUP(EDATE(B87,-12),'Data Core CPI'!$A:$AX,MATCH($W$1,'Data Core CPI'!$A$1:$AX$1,),))/VLOOKUP(EDATE(B87,-12),'Data Core CPI'!$A:$AX,MATCH($W$1,'Data Core CPI'!$A$1:$AX$1,),)</f>
        <v/>
      </c>
      <c r="X87" s="20">
        <f>(VLOOKUP(B87,'Data Core CPI'!$A:$AX,MATCH($X$1,'Data Core CPI'!$A$1:$AX$1,),)-VLOOKUP(EDATE(B87,-12),'Data Core CPI'!$A:$AX,MATCH($X$1,'Data Core CPI'!$A$1:$AX$1,),))/VLOOKUP(EDATE(B87,-12),'Data Core CPI'!$A:$AX,MATCH($X$1,'Data Core CPI'!$A$1:$AX$1,),)</f>
        <v/>
      </c>
      <c r="Y87" s="20">
        <f>(VLOOKUP(B87,'Data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(VLOOKUP(B88,'Data Core CPI'!$A:$AX,MATCH($E$1,'Data Core CPI'!$A$1:$AX$1,),)-VLOOKUP(EDATE(B88,-12),'Data Core CPI'!$A:$AX,MATCH($E$1,'Data Core CPI'!$A$1:$AX$1,),))/VLOOKUP(EDATE(B88,-12),'Data Core CPI'!$A:$AX,MATCH($E$1,'Data Core CPI'!$A$1:$AX$1,),)</f>
        <v/>
      </c>
      <c r="F88" s="20">
        <f>(VLOOKUP(B88,'Data Core CPI'!$A:$AX,MATCH($F$1,'Data Core CPI'!$A$1:$AX$1,),)-VLOOKUP(EDATE(B88,-12),'Data Core CPI'!$A:$AX,MATCH($F$1,'Data Core CPI'!$A$1:$AX$1,),))/VLOOKUP(EDATE(B88,-12),'Data Core CPI'!$A:$AX,MATCH($F$1,'Data Core CPI'!$A$1:$AX$1,),)</f>
        <v/>
      </c>
      <c r="G88" s="20">
        <f>(VLOOKUP(B88,'Data Core CPI'!$A:$AX,MATCH($G$1,'Data Core CPI'!$A$1:$AX$1,),)-VLOOKUP(EDATE(B88,-12),'Data Core CPI'!$A:$AX,MATCH($G$1,'Data Core CPI'!$A$1:$AX$1,),))/VLOOKUP(EDATE(B88,-12),'Data Core CPI'!$A:$AX,MATCH($G$1,'Data Core CPI'!$A$1:$AX$1,),)</f>
        <v/>
      </c>
      <c r="H88" s="20">
        <f>(VLOOKUP(B88,'Data Core CPI'!$A:$AX,MATCH($H$1,'Data Core CPI'!$A$1:$AX$1,),)-VLOOKUP(EDATE(B88,-12),'Data Core CPI'!$A:$AX,MATCH($H$1,'Data Core CPI'!$A$1:$AX$1,),))/VLOOKUP(EDATE(B88,-12),'Data Core CPI'!$A:$AX,MATCH($H$1,'Data Core CPI'!$A$1:$AX$1,),)</f>
        <v/>
      </c>
      <c r="I88" s="20">
        <f>(VLOOKUP(B88,'Data Core CPI'!$A:$AX,MATCH($I$1,'Data Core CPI'!$A$1:$AX$1,),)-VLOOKUP(EDATE(B88,-12),'Data Core CPI'!$A:$AX,MATCH($I$1,'Data Core CPI'!$A$1:$AX$1,),))/VLOOKUP(EDATE(B88,-12),'Data Core CPI'!$A:$AX,MATCH($I$1,'Data Core CPI'!$A$1:$AX$1,),)</f>
        <v/>
      </c>
      <c r="J88" s="20">
        <f>(VLOOKUP(B88,'Data Core CPI'!$A:$AX,MATCH($J$1,'Data Core CPI'!$A$1:$AX$1,),)-VLOOKUP(EDATE(B88,-12),'Data Core CPI'!$A:$AX,MATCH($J$1,'Data Core CPI'!$A$1:$AX$1,),))/VLOOKUP(EDATE(B88,-12),'Data Core CPI'!$A:$AX,MATCH($J$1,'Data Core CPI'!$A$1:$AX$1,),)</f>
        <v/>
      </c>
      <c r="K88" s="20">
        <f>(VLOOKUP(B88,'Data Core CPI'!$A:$AX,MATCH($K$1,'Data Core CPI'!$A$1:$AX$1,),)-VLOOKUP(EDATE(B88,-12),'Data Core CPI'!$A:$AX,MATCH($K$1,'Data Core CPI'!$A$1:$AX$1,),))/VLOOKUP(EDATE(B88,-12),'Data Core CPI'!$A:$AX,MATCH($K$1,'Data Core CPI'!$A$1:$AX$1,),)</f>
        <v/>
      </c>
      <c r="L88" s="20">
        <f>(VLOOKUP(B88,'Data Core CPI'!$A:$AX,MATCH($L$1,'Data Core CPI'!$A$1:$AX$1,),)-VLOOKUP(EDATE(B88,-12),'Data Core CPI'!$A:$AX,MATCH($L$1,'Data Core CPI'!$A$1:$AX$1,),))/VLOOKUP(EDATE(B88,-12),'Data Core CPI'!$A:$AX,MATCH($L$1,'Data Core CPI'!$A$1:$AX$1,),)</f>
        <v/>
      </c>
      <c r="M88" s="20">
        <f>(VLOOKUP(B88,'Data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(VLOOKUP(B88,'Data Core CPI'!$A:$AX,MATCH($W$1,'Data Core CPI'!$A$1:$AX$1,),)-VLOOKUP(EDATE(B88,-12),'Data Core CPI'!$A:$AX,MATCH($W$1,'Data Core CPI'!$A$1:$AX$1,),))/VLOOKUP(EDATE(B88,-12),'Data Core CPI'!$A:$AX,MATCH($W$1,'Data Core CPI'!$A$1:$AX$1,),)</f>
        <v/>
      </c>
      <c r="X88" s="20">
        <f>(VLOOKUP(B88,'Data Core CPI'!$A:$AX,MATCH($X$1,'Data Core CPI'!$A$1:$AX$1,),)-VLOOKUP(EDATE(B88,-12),'Data Core CPI'!$A:$AX,MATCH($X$1,'Data Core CPI'!$A$1:$AX$1,),))/VLOOKUP(EDATE(B88,-12),'Data Core CPI'!$A:$AX,MATCH($X$1,'Data Core CPI'!$A$1:$AX$1,),)</f>
        <v/>
      </c>
      <c r="Y88" s="20">
        <f>(VLOOKUP(B88,'Data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(VLOOKUP(B89,'Data Core CPI'!$A:$AX,MATCH($E$1,'Data Core CPI'!$A$1:$AX$1,),)-VLOOKUP(EDATE(B89,-12),'Data Core CPI'!$A:$AX,MATCH($E$1,'Data Core CPI'!$A$1:$AX$1,),))/VLOOKUP(EDATE(B89,-12),'Data Core CPI'!$A:$AX,MATCH($E$1,'Data Core CPI'!$A$1:$AX$1,),)</f>
        <v/>
      </c>
      <c r="F89" s="20">
        <f>(VLOOKUP(B89,'Data Core CPI'!$A:$AX,MATCH($F$1,'Data Core CPI'!$A$1:$AX$1,),)-VLOOKUP(EDATE(B89,-12),'Data Core CPI'!$A:$AX,MATCH($F$1,'Data Core CPI'!$A$1:$AX$1,),))/VLOOKUP(EDATE(B89,-12),'Data Core CPI'!$A:$AX,MATCH($F$1,'Data Core CPI'!$A$1:$AX$1,),)</f>
        <v/>
      </c>
      <c r="G89" s="20">
        <f>(VLOOKUP(B89,'Data Core CPI'!$A:$AX,MATCH($G$1,'Data Core CPI'!$A$1:$AX$1,),)-VLOOKUP(EDATE(B89,-12),'Data Core CPI'!$A:$AX,MATCH($G$1,'Data Core CPI'!$A$1:$AX$1,),))/VLOOKUP(EDATE(B89,-12),'Data Core CPI'!$A:$AX,MATCH($G$1,'Data Core CPI'!$A$1:$AX$1,),)</f>
        <v/>
      </c>
      <c r="H89" s="20">
        <f>(VLOOKUP(B89,'Data Core CPI'!$A:$AX,MATCH($H$1,'Data Core CPI'!$A$1:$AX$1,),)-VLOOKUP(EDATE(B89,-12),'Data Core CPI'!$A:$AX,MATCH($H$1,'Data Core CPI'!$A$1:$AX$1,),))/VLOOKUP(EDATE(B89,-12),'Data Core CPI'!$A:$AX,MATCH($H$1,'Data Core CPI'!$A$1:$AX$1,),)</f>
        <v/>
      </c>
      <c r="I89" s="20">
        <f>(VLOOKUP(B89,'Data Core CPI'!$A:$AX,MATCH($I$1,'Data Core CPI'!$A$1:$AX$1,),)-VLOOKUP(EDATE(B89,-12),'Data Core CPI'!$A:$AX,MATCH($I$1,'Data Core CPI'!$A$1:$AX$1,),))/VLOOKUP(EDATE(B89,-12),'Data Core CPI'!$A:$AX,MATCH($I$1,'Data Core CPI'!$A$1:$AX$1,),)</f>
        <v/>
      </c>
      <c r="J89" s="20">
        <f>(VLOOKUP(B89,'Data Core CPI'!$A:$AX,MATCH($J$1,'Data Core CPI'!$A$1:$AX$1,),)-VLOOKUP(EDATE(B89,-12),'Data Core CPI'!$A:$AX,MATCH($J$1,'Data Core CPI'!$A$1:$AX$1,),))/VLOOKUP(EDATE(B89,-12),'Data Core CPI'!$A:$AX,MATCH($J$1,'Data Core CPI'!$A$1:$AX$1,),)</f>
        <v/>
      </c>
      <c r="K89" s="20">
        <f>(VLOOKUP(B89,'Data Core CPI'!$A:$AX,MATCH($K$1,'Data Core CPI'!$A$1:$AX$1,),)-VLOOKUP(EDATE(B89,-12),'Data Core CPI'!$A:$AX,MATCH($K$1,'Data Core CPI'!$A$1:$AX$1,),))/VLOOKUP(EDATE(B89,-12),'Data Core CPI'!$A:$AX,MATCH($K$1,'Data Core CPI'!$A$1:$AX$1,),)</f>
        <v/>
      </c>
      <c r="L89" s="20">
        <f>(VLOOKUP(B89,'Data Core CPI'!$A:$AX,MATCH($L$1,'Data Core CPI'!$A$1:$AX$1,),)-VLOOKUP(EDATE(B89,-12),'Data Core CPI'!$A:$AX,MATCH($L$1,'Data Core CPI'!$A$1:$AX$1,),))/VLOOKUP(EDATE(B89,-12),'Data Core CPI'!$A:$AX,MATCH($L$1,'Data Core CPI'!$A$1:$AX$1,),)</f>
        <v/>
      </c>
      <c r="M89" s="20">
        <f>(VLOOKUP(B89,'Data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(VLOOKUP(B89,'Data Core CPI'!$A:$AX,MATCH($W$1,'Data Core CPI'!$A$1:$AX$1,),)-VLOOKUP(EDATE(B89,-12),'Data Core CPI'!$A:$AX,MATCH($W$1,'Data Core CPI'!$A$1:$AX$1,),))/VLOOKUP(EDATE(B89,-12),'Data Core CPI'!$A:$AX,MATCH($W$1,'Data Core CPI'!$A$1:$AX$1,),)</f>
        <v/>
      </c>
      <c r="X89" s="20">
        <f>(VLOOKUP(B89,'Data Core CPI'!$A:$AX,MATCH($X$1,'Data Core CPI'!$A$1:$AX$1,),)-VLOOKUP(EDATE(B89,-12),'Data Core CPI'!$A:$AX,MATCH($X$1,'Data Core CPI'!$A$1:$AX$1,),))/VLOOKUP(EDATE(B89,-12),'Data Core CPI'!$A:$AX,MATCH($X$1,'Data Core CPI'!$A$1:$AX$1,),)</f>
        <v/>
      </c>
      <c r="Y89" s="20">
        <f>(VLOOKUP(B89,'Data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(VLOOKUP(B90,'Data Core CPI'!$A:$AX,MATCH($E$1,'Data Core CPI'!$A$1:$AX$1,),)-VLOOKUP(EDATE(B90,-12),'Data Core CPI'!$A:$AX,MATCH($E$1,'Data Core CPI'!$A$1:$AX$1,),))/VLOOKUP(EDATE(B90,-12),'Data Core CPI'!$A:$AX,MATCH($E$1,'Data Core CPI'!$A$1:$AX$1,),)</f>
        <v/>
      </c>
      <c r="F90" s="20">
        <f>(VLOOKUP(B90,'Data Core CPI'!$A:$AX,MATCH($F$1,'Data Core CPI'!$A$1:$AX$1,),)-VLOOKUP(EDATE(B90,-12),'Data Core CPI'!$A:$AX,MATCH($F$1,'Data Core CPI'!$A$1:$AX$1,),))/VLOOKUP(EDATE(B90,-12),'Data Core CPI'!$A:$AX,MATCH($F$1,'Data Core CPI'!$A$1:$AX$1,),)</f>
        <v/>
      </c>
      <c r="G90" s="20">
        <f>(VLOOKUP(B90,'Data Core CPI'!$A:$AX,MATCH($G$1,'Data Core CPI'!$A$1:$AX$1,),)-VLOOKUP(EDATE(B90,-12),'Data Core CPI'!$A:$AX,MATCH($G$1,'Data Core CPI'!$A$1:$AX$1,),))/VLOOKUP(EDATE(B90,-12),'Data Core CPI'!$A:$AX,MATCH($G$1,'Data Core CPI'!$A$1:$AX$1,),)</f>
        <v/>
      </c>
      <c r="H90" s="20">
        <f>(VLOOKUP(B90,'Data Core CPI'!$A:$AX,MATCH($H$1,'Data Core CPI'!$A$1:$AX$1,),)-VLOOKUP(EDATE(B90,-12),'Data Core CPI'!$A:$AX,MATCH($H$1,'Data Core CPI'!$A$1:$AX$1,),))/VLOOKUP(EDATE(B90,-12),'Data Core CPI'!$A:$AX,MATCH($H$1,'Data Core CPI'!$A$1:$AX$1,),)</f>
        <v/>
      </c>
      <c r="I90" s="20">
        <f>(VLOOKUP(B90,'Data Core CPI'!$A:$AX,MATCH($I$1,'Data Core CPI'!$A$1:$AX$1,),)-VLOOKUP(EDATE(B90,-12),'Data Core CPI'!$A:$AX,MATCH($I$1,'Data Core CPI'!$A$1:$AX$1,),))/VLOOKUP(EDATE(B90,-12),'Data Core CPI'!$A:$AX,MATCH($I$1,'Data Core CPI'!$A$1:$AX$1,),)</f>
        <v/>
      </c>
      <c r="J90" s="20">
        <f>(VLOOKUP(B90,'Data Core CPI'!$A:$AX,MATCH($J$1,'Data Core CPI'!$A$1:$AX$1,),)-VLOOKUP(EDATE(B90,-12),'Data Core CPI'!$A:$AX,MATCH($J$1,'Data Core CPI'!$A$1:$AX$1,),))/VLOOKUP(EDATE(B90,-12),'Data Core CPI'!$A:$AX,MATCH($J$1,'Data Core CPI'!$A$1:$AX$1,),)</f>
        <v/>
      </c>
      <c r="K90" s="20">
        <f>(VLOOKUP(B90,'Data Core CPI'!$A:$AX,MATCH($K$1,'Data Core CPI'!$A$1:$AX$1,),)-VLOOKUP(EDATE(B90,-12),'Data Core CPI'!$A:$AX,MATCH($K$1,'Data Core CPI'!$A$1:$AX$1,),))/VLOOKUP(EDATE(B90,-12),'Data Core CPI'!$A:$AX,MATCH($K$1,'Data Core CPI'!$A$1:$AX$1,),)</f>
        <v/>
      </c>
      <c r="L90" s="20">
        <f>(VLOOKUP(B90,'Data Core CPI'!$A:$AX,MATCH($L$1,'Data Core CPI'!$A$1:$AX$1,),)-VLOOKUP(EDATE(B90,-12),'Data Core CPI'!$A:$AX,MATCH($L$1,'Data Core CPI'!$A$1:$AX$1,),))/VLOOKUP(EDATE(B90,-12),'Data Core CPI'!$A:$AX,MATCH($L$1,'Data Core CPI'!$A$1:$AX$1,),)</f>
        <v/>
      </c>
      <c r="M90" s="20">
        <f>(VLOOKUP(B90,'Data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(VLOOKUP(B90,'Data Core CPI'!$A:$AX,MATCH($W$1,'Data Core CPI'!$A$1:$AX$1,),)-VLOOKUP(EDATE(B90,-12),'Data Core CPI'!$A:$AX,MATCH($W$1,'Data Core CPI'!$A$1:$AX$1,),))/VLOOKUP(EDATE(B90,-12),'Data Core CPI'!$A:$AX,MATCH($W$1,'Data Core CPI'!$A$1:$AX$1,),)</f>
        <v/>
      </c>
      <c r="X90" s="20">
        <f>(VLOOKUP(B90,'Data Core CPI'!$A:$AX,MATCH($X$1,'Data Core CPI'!$A$1:$AX$1,),)-VLOOKUP(EDATE(B90,-12),'Data Core CPI'!$A:$AX,MATCH($X$1,'Data Core CPI'!$A$1:$AX$1,),))/VLOOKUP(EDATE(B90,-12),'Data Core CPI'!$A:$AX,MATCH($X$1,'Data Core CPI'!$A$1:$AX$1,),)</f>
        <v/>
      </c>
      <c r="Y90" s="20">
        <f>(VLOOKUP(B90,'Data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(VLOOKUP(B91,'Data Core CPI'!$A:$AX,MATCH($E$1,'Data Core CPI'!$A$1:$AX$1,),)-VLOOKUP(EDATE(B91,-12),'Data Core CPI'!$A:$AX,MATCH($E$1,'Data Core CPI'!$A$1:$AX$1,),))/VLOOKUP(EDATE(B91,-12),'Data Core CPI'!$A:$AX,MATCH($E$1,'Data Core CPI'!$A$1:$AX$1,),)</f>
        <v/>
      </c>
      <c r="F91" s="20">
        <f>(VLOOKUP(B91,'Data Core CPI'!$A:$AX,MATCH($F$1,'Data Core CPI'!$A$1:$AX$1,),)-VLOOKUP(EDATE(B91,-12),'Data Core CPI'!$A:$AX,MATCH($F$1,'Data Core CPI'!$A$1:$AX$1,),))/VLOOKUP(EDATE(B91,-12),'Data Core CPI'!$A:$AX,MATCH($F$1,'Data Core CPI'!$A$1:$AX$1,),)</f>
        <v/>
      </c>
      <c r="G91" s="20">
        <f>(VLOOKUP(B91,'Data Core CPI'!$A:$AX,MATCH($G$1,'Data Core CPI'!$A$1:$AX$1,),)-VLOOKUP(EDATE(B91,-12),'Data Core CPI'!$A:$AX,MATCH($G$1,'Data Core CPI'!$A$1:$AX$1,),))/VLOOKUP(EDATE(B91,-12),'Data Core CPI'!$A:$AX,MATCH($G$1,'Data Core CPI'!$A$1:$AX$1,),)</f>
        <v/>
      </c>
      <c r="H91" s="20">
        <f>(VLOOKUP(B91,'Data Core CPI'!$A:$AX,MATCH($H$1,'Data Core CPI'!$A$1:$AX$1,),)-VLOOKUP(EDATE(B91,-12),'Data Core CPI'!$A:$AX,MATCH($H$1,'Data Core CPI'!$A$1:$AX$1,),))/VLOOKUP(EDATE(B91,-12),'Data Core CPI'!$A:$AX,MATCH($H$1,'Data Core CPI'!$A$1:$AX$1,),)</f>
        <v/>
      </c>
      <c r="I91" s="20">
        <f>(VLOOKUP(B91,'Data Core CPI'!$A:$AX,MATCH($I$1,'Data Core CPI'!$A$1:$AX$1,),)-VLOOKUP(EDATE(B91,-12),'Data Core CPI'!$A:$AX,MATCH($I$1,'Data Core CPI'!$A$1:$AX$1,),))/VLOOKUP(EDATE(B91,-12),'Data Core CPI'!$A:$AX,MATCH($I$1,'Data Core CPI'!$A$1:$AX$1,),)</f>
        <v/>
      </c>
      <c r="J91" s="20">
        <f>(VLOOKUP(B91,'Data Core CPI'!$A:$AX,MATCH($J$1,'Data Core CPI'!$A$1:$AX$1,),)-VLOOKUP(EDATE(B91,-12),'Data Core CPI'!$A:$AX,MATCH($J$1,'Data Core CPI'!$A$1:$AX$1,),))/VLOOKUP(EDATE(B91,-12),'Data Core CPI'!$A:$AX,MATCH($J$1,'Data Core CPI'!$A$1:$AX$1,),)</f>
        <v/>
      </c>
      <c r="K91" s="20">
        <f>(VLOOKUP(B91,'Data Core CPI'!$A:$AX,MATCH($K$1,'Data Core CPI'!$A$1:$AX$1,),)-VLOOKUP(EDATE(B91,-12),'Data Core CPI'!$A:$AX,MATCH($K$1,'Data Core CPI'!$A$1:$AX$1,),))/VLOOKUP(EDATE(B91,-12),'Data Core CPI'!$A:$AX,MATCH($K$1,'Data Core CPI'!$A$1:$AX$1,),)</f>
        <v/>
      </c>
      <c r="L91" s="20">
        <f>(VLOOKUP(B91,'Data Core CPI'!$A:$AX,MATCH($L$1,'Data Core CPI'!$A$1:$AX$1,),)-VLOOKUP(EDATE(B91,-12),'Data Core CPI'!$A:$AX,MATCH($L$1,'Data Core CPI'!$A$1:$AX$1,),))/VLOOKUP(EDATE(B91,-12),'Data Core CPI'!$A:$AX,MATCH($L$1,'Data Core CPI'!$A$1:$AX$1,),)</f>
        <v/>
      </c>
      <c r="M91" s="20">
        <f>(VLOOKUP(B91,'Data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(VLOOKUP(B91,'Data Core CPI'!$A:$AX,MATCH($W$1,'Data Core CPI'!$A$1:$AX$1,),)-VLOOKUP(EDATE(B91,-12),'Data Core CPI'!$A:$AX,MATCH($W$1,'Data Core CPI'!$A$1:$AX$1,),))/VLOOKUP(EDATE(B91,-12),'Data Core CPI'!$A:$AX,MATCH($W$1,'Data Core CPI'!$A$1:$AX$1,),)</f>
        <v/>
      </c>
      <c r="X91" s="20">
        <f>(VLOOKUP(B91,'Data Core CPI'!$A:$AX,MATCH($X$1,'Data Core CPI'!$A$1:$AX$1,),)-VLOOKUP(EDATE(B91,-12),'Data Core CPI'!$A:$AX,MATCH($X$1,'Data Core CPI'!$A$1:$AX$1,),))/VLOOKUP(EDATE(B91,-12),'Data Core CPI'!$A:$AX,MATCH($X$1,'Data Core CPI'!$A$1:$AX$1,),)</f>
        <v/>
      </c>
      <c r="Y91" s="20">
        <f>(VLOOKUP(B91,'Data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(VLOOKUP(B92,'Data Core CPI'!$A:$AX,MATCH($E$1,'Data Core CPI'!$A$1:$AX$1,),)-VLOOKUP(EDATE(B92,-12),'Data Core CPI'!$A:$AX,MATCH($E$1,'Data Core CPI'!$A$1:$AX$1,),))/VLOOKUP(EDATE(B92,-12),'Data Core CPI'!$A:$AX,MATCH($E$1,'Data Core CPI'!$A$1:$AX$1,),)</f>
        <v/>
      </c>
      <c r="F92" s="20">
        <f>(VLOOKUP(B92,'Data Core CPI'!$A:$AX,MATCH($F$1,'Data Core CPI'!$A$1:$AX$1,),)-VLOOKUP(EDATE(B92,-12),'Data Core CPI'!$A:$AX,MATCH($F$1,'Data Core CPI'!$A$1:$AX$1,),))/VLOOKUP(EDATE(B92,-12),'Data Core CPI'!$A:$AX,MATCH($F$1,'Data Core CPI'!$A$1:$AX$1,),)</f>
        <v/>
      </c>
      <c r="G92" s="20">
        <f>(VLOOKUP(B92,'Data Core CPI'!$A:$AX,MATCH($G$1,'Data Core CPI'!$A$1:$AX$1,),)-VLOOKUP(EDATE(B92,-12),'Data Core CPI'!$A:$AX,MATCH($G$1,'Data Core CPI'!$A$1:$AX$1,),))/VLOOKUP(EDATE(B92,-12),'Data Core CPI'!$A:$AX,MATCH($G$1,'Data Core CPI'!$A$1:$AX$1,),)</f>
        <v/>
      </c>
      <c r="H92" s="20">
        <f>(VLOOKUP(B92,'Data Core CPI'!$A:$AX,MATCH($H$1,'Data Core CPI'!$A$1:$AX$1,),)-VLOOKUP(EDATE(B92,-12),'Data Core CPI'!$A:$AX,MATCH($H$1,'Data Core CPI'!$A$1:$AX$1,),))/VLOOKUP(EDATE(B92,-12),'Data Core CPI'!$A:$AX,MATCH($H$1,'Data Core CPI'!$A$1:$AX$1,),)</f>
        <v/>
      </c>
      <c r="I92" s="20">
        <f>(VLOOKUP(B92,'Data Core CPI'!$A:$AX,MATCH($I$1,'Data Core CPI'!$A$1:$AX$1,),)-VLOOKUP(EDATE(B92,-12),'Data Core CPI'!$A:$AX,MATCH($I$1,'Data Core CPI'!$A$1:$AX$1,),))/VLOOKUP(EDATE(B92,-12),'Data Core CPI'!$A:$AX,MATCH($I$1,'Data Core CPI'!$A$1:$AX$1,),)</f>
        <v/>
      </c>
      <c r="J92" s="20">
        <f>(VLOOKUP(B92,'Data Core CPI'!$A:$AX,MATCH($J$1,'Data Core CPI'!$A$1:$AX$1,),)-VLOOKUP(EDATE(B92,-12),'Data Core CPI'!$A:$AX,MATCH($J$1,'Data Core CPI'!$A$1:$AX$1,),))/VLOOKUP(EDATE(B92,-12),'Data Core CPI'!$A:$AX,MATCH($J$1,'Data Core CPI'!$A$1:$AX$1,),)</f>
        <v/>
      </c>
      <c r="K92" s="20">
        <f>(VLOOKUP(B92,'Data Core CPI'!$A:$AX,MATCH($K$1,'Data Core CPI'!$A$1:$AX$1,),)-VLOOKUP(EDATE(B92,-12),'Data Core CPI'!$A:$AX,MATCH($K$1,'Data Core CPI'!$A$1:$AX$1,),))/VLOOKUP(EDATE(B92,-12),'Data Core CPI'!$A:$AX,MATCH($K$1,'Data Core CPI'!$A$1:$AX$1,),)</f>
        <v/>
      </c>
      <c r="L92" s="20">
        <f>(VLOOKUP(B92,'Data Core CPI'!$A:$AX,MATCH($L$1,'Data Core CPI'!$A$1:$AX$1,),)-VLOOKUP(EDATE(B92,-12),'Data Core CPI'!$A:$AX,MATCH($L$1,'Data Core CPI'!$A$1:$AX$1,),))/VLOOKUP(EDATE(B92,-12),'Data Core CPI'!$A:$AX,MATCH($L$1,'Data Core CPI'!$A$1:$AX$1,),)</f>
        <v/>
      </c>
      <c r="M92" s="20">
        <f>(VLOOKUP(B92,'Data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(VLOOKUP(B92,'Data Core CPI'!$A:$AX,MATCH($W$1,'Data Core CPI'!$A$1:$AX$1,),)-VLOOKUP(EDATE(B92,-12),'Data Core CPI'!$A:$AX,MATCH($W$1,'Data Core CPI'!$A$1:$AX$1,),))/VLOOKUP(EDATE(B92,-12),'Data Core CPI'!$A:$AX,MATCH($W$1,'Data Core CPI'!$A$1:$AX$1,),)</f>
        <v/>
      </c>
      <c r="X92" s="20">
        <f>(VLOOKUP(B92,'Data Core CPI'!$A:$AX,MATCH($X$1,'Data Core CPI'!$A$1:$AX$1,),)-VLOOKUP(EDATE(B92,-12),'Data Core CPI'!$A:$AX,MATCH($X$1,'Data Core CPI'!$A$1:$AX$1,),))/VLOOKUP(EDATE(B92,-12),'Data Core CPI'!$A:$AX,MATCH($X$1,'Data Core CPI'!$A$1:$AX$1,),)</f>
        <v/>
      </c>
      <c r="Y92" s="20">
        <f>(VLOOKUP(B92,'Data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(VLOOKUP(B93,'Data Core CPI'!$A:$AX,MATCH($E$1,'Data Core CPI'!$A$1:$AX$1,),)-VLOOKUP(EDATE(B93,-12),'Data Core CPI'!$A:$AX,MATCH($E$1,'Data Core CPI'!$A$1:$AX$1,),))/VLOOKUP(EDATE(B93,-12),'Data Core CPI'!$A:$AX,MATCH($E$1,'Data Core CPI'!$A$1:$AX$1,),)</f>
        <v/>
      </c>
      <c r="F93" s="20">
        <f>(VLOOKUP(B93,'Data Core CPI'!$A:$AX,MATCH($F$1,'Data Core CPI'!$A$1:$AX$1,),)-VLOOKUP(EDATE(B93,-12),'Data Core CPI'!$A:$AX,MATCH($F$1,'Data Core CPI'!$A$1:$AX$1,),))/VLOOKUP(EDATE(B93,-12),'Data Core CPI'!$A:$AX,MATCH($F$1,'Data Core CPI'!$A$1:$AX$1,),)</f>
        <v/>
      </c>
      <c r="G93" s="20">
        <f>(VLOOKUP(B93,'Data Core CPI'!$A:$AX,MATCH($G$1,'Data Core CPI'!$A$1:$AX$1,),)-VLOOKUP(EDATE(B93,-12),'Data Core CPI'!$A:$AX,MATCH($G$1,'Data Core CPI'!$A$1:$AX$1,),))/VLOOKUP(EDATE(B93,-12),'Data Core CPI'!$A:$AX,MATCH($G$1,'Data Core CPI'!$A$1:$AX$1,),)</f>
        <v/>
      </c>
      <c r="H93" s="20">
        <f>(VLOOKUP(B93,'Data Core CPI'!$A:$AX,MATCH($H$1,'Data Core CPI'!$A$1:$AX$1,),)-VLOOKUP(EDATE(B93,-12),'Data Core CPI'!$A:$AX,MATCH($H$1,'Data Core CPI'!$A$1:$AX$1,),))/VLOOKUP(EDATE(B93,-12),'Data Core CPI'!$A:$AX,MATCH($H$1,'Data Core CPI'!$A$1:$AX$1,),)</f>
        <v/>
      </c>
      <c r="I93" s="20">
        <f>(VLOOKUP(B93,'Data Core CPI'!$A:$AX,MATCH($I$1,'Data Core CPI'!$A$1:$AX$1,),)-VLOOKUP(EDATE(B93,-12),'Data Core CPI'!$A:$AX,MATCH($I$1,'Data Core CPI'!$A$1:$AX$1,),))/VLOOKUP(EDATE(B93,-12),'Data Core CPI'!$A:$AX,MATCH($I$1,'Data Core CPI'!$A$1:$AX$1,),)</f>
        <v/>
      </c>
      <c r="J93" s="20">
        <f>(VLOOKUP(B93,'Data Core CPI'!$A:$AX,MATCH($J$1,'Data Core CPI'!$A$1:$AX$1,),)-VLOOKUP(EDATE(B93,-12),'Data Core CPI'!$A:$AX,MATCH($J$1,'Data Core CPI'!$A$1:$AX$1,),))/VLOOKUP(EDATE(B93,-12),'Data Core CPI'!$A:$AX,MATCH($J$1,'Data Core CPI'!$A$1:$AX$1,),)</f>
        <v/>
      </c>
      <c r="K93" s="20">
        <f>(VLOOKUP(B93,'Data Core CPI'!$A:$AX,MATCH($K$1,'Data Core CPI'!$A$1:$AX$1,),)-VLOOKUP(EDATE(B93,-12),'Data Core CPI'!$A:$AX,MATCH($K$1,'Data Core CPI'!$A$1:$AX$1,),))/VLOOKUP(EDATE(B93,-12),'Data Core CPI'!$A:$AX,MATCH($K$1,'Data Core CPI'!$A$1:$AX$1,),)</f>
        <v/>
      </c>
      <c r="L93" s="20">
        <f>(VLOOKUP(B93,'Data Core CPI'!$A:$AX,MATCH($L$1,'Data Core CPI'!$A$1:$AX$1,),)-VLOOKUP(EDATE(B93,-12),'Data Core CPI'!$A:$AX,MATCH($L$1,'Data Core CPI'!$A$1:$AX$1,),))/VLOOKUP(EDATE(B93,-12),'Data Core CPI'!$A:$AX,MATCH($L$1,'Data Core CPI'!$A$1:$AX$1,),)</f>
        <v/>
      </c>
      <c r="M93" s="20">
        <f>(VLOOKUP(B93,'Data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(VLOOKUP(B93,'Data Core CPI'!$A:$AX,MATCH($W$1,'Data Core CPI'!$A$1:$AX$1,),)-VLOOKUP(EDATE(B93,-12),'Data Core CPI'!$A:$AX,MATCH($W$1,'Data Core CPI'!$A$1:$AX$1,),))/VLOOKUP(EDATE(B93,-12),'Data Core CPI'!$A:$AX,MATCH($W$1,'Data Core CPI'!$A$1:$AX$1,),)</f>
        <v/>
      </c>
      <c r="X93" s="20">
        <f>(VLOOKUP(B93,'Data Core CPI'!$A:$AX,MATCH($X$1,'Data Core CPI'!$A$1:$AX$1,),)-VLOOKUP(EDATE(B93,-12),'Data Core CPI'!$A:$AX,MATCH($X$1,'Data Core CPI'!$A$1:$AX$1,),))/VLOOKUP(EDATE(B93,-12),'Data Core CPI'!$A:$AX,MATCH($X$1,'Data Core CPI'!$A$1:$AX$1,),)</f>
        <v/>
      </c>
      <c r="Y93" s="20">
        <f>(VLOOKUP(B93,'Data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(VLOOKUP(B94,'Data Core CPI'!$A:$AX,MATCH($E$1,'Data Core CPI'!$A$1:$AX$1,),)-VLOOKUP(EDATE(B94,-12),'Data Core CPI'!$A:$AX,MATCH($E$1,'Data Core CPI'!$A$1:$AX$1,),))/VLOOKUP(EDATE(B94,-12),'Data Core CPI'!$A:$AX,MATCH($E$1,'Data Core CPI'!$A$1:$AX$1,),)</f>
        <v/>
      </c>
      <c r="F94" s="20">
        <f>(VLOOKUP(B94,'Data Core CPI'!$A:$AX,MATCH($F$1,'Data Core CPI'!$A$1:$AX$1,),)-VLOOKUP(EDATE(B94,-12),'Data Core CPI'!$A:$AX,MATCH($F$1,'Data Core CPI'!$A$1:$AX$1,),))/VLOOKUP(EDATE(B94,-12),'Data Core CPI'!$A:$AX,MATCH($F$1,'Data Core CPI'!$A$1:$AX$1,),)</f>
        <v/>
      </c>
      <c r="G94" s="20">
        <f>(VLOOKUP(B94,'Data Core CPI'!$A:$AX,MATCH($G$1,'Data Core CPI'!$A$1:$AX$1,),)-VLOOKUP(EDATE(B94,-12),'Data Core CPI'!$A:$AX,MATCH($G$1,'Data Core CPI'!$A$1:$AX$1,),))/VLOOKUP(EDATE(B94,-12),'Data Core CPI'!$A:$AX,MATCH($G$1,'Data Core CPI'!$A$1:$AX$1,),)</f>
        <v/>
      </c>
      <c r="H94" s="20">
        <f>(VLOOKUP(B94,'Data Core CPI'!$A:$AX,MATCH($H$1,'Data Core CPI'!$A$1:$AX$1,),)-VLOOKUP(EDATE(B94,-12),'Data Core CPI'!$A:$AX,MATCH($H$1,'Data Core CPI'!$A$1:$AX$1,),))/VLOOKUP(EDATE(B94,-12),'Data Core CPI'!$A:$AX,MATCH($H$1,'Data Core CPI'!$A$1:$AX$1,),)</f>
        <v/>
      </c>
      <c r="I94" s="20">
        <f>(VLOOKUP(B94,'Data Core CPI'!$A:$AX,MATCH($I$1,'Data Core CPI'!$A$1:$AX$1,),)-VLOOKUP(EDATE(B94,-12),'Data Core CPI'!$A:$AX,MATCH($I$1,'Data Core CPI'!$A$1:$AX$1,),))/VLOOKUP(EDATE(B94,-12),'Data Core CPI'!$A:$AX,MATCH($I$1,'Data Core CPI'!$A$1:$AX$1,),)</f>
        <v/>
      </c>
      <c r="J94" s="20">
        <f>(VLOOKUP(B94,'Data Core CPI'!$A:$AX,MATCH($J$1,'Data Core CPI'!$A$1:$AX$1,),)-VLOOKUP(EDATE(B94,-12),'Data Core CPI'!$A:$AX,MATCH($J$1,'Data Core CPI'!$A$1:$AX$1,),))/VLOOKUP(EDATE(B94,-12),'Data Core CPI'!$A:$AX,MATCH($J$1,'Data Core CPI'!$A$1:$AX$1,),)</f>
        <v/>
      </c>
      <c r="K94" s="20">
        <f>(VLOOKUP(B94,'Data Core CPI'!$A:$AX,MATCH($K$1,'Data Core CPI'!$A$1:$AX$1,),)-VLOOKUP(EDATE(B94,-12),'Data Core CPI'!$A:$AX,MATCH($K$1,'Data Core CPI'!$A$1:$AX$1,),))/VLOOKUP(EDATE(B94,-12),'Data Core CPI'!$A:$AX,MATCH($K$1,'Data Core CPI'!$A$1:$AX$1,),)</f>
        <v/>
      </c>
      <c r="L94" s="20">
        <f>(VLOOKUP(B94,'Data Core CPI'!$A:$AX,MATCH($L$1,'Data Core CPI'!$A$1:$AX$1,),)-VLOOKUP(EDATE(B94,-12),'Data Core CPI'!$A:$AX,MATCH($L$1,'Data Core CPI'!$A$1:$AX$1,),))/VLOOKUP(EDATE(B94,-12),'Data Core CPI'!$A:$AX,MATCH($L$1,'Data Core CPI'!$A$1:$AX$1,),)</f>
        <v/>
      </c>
      <c r="M94" s="20">
        <f>(VLOOKUP(B94,'Data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(VLOOKUP(B94,'Data Core CPI'!$A:$AX,MATCH($W$1,'Data Core CPI'!$A$1:$AX$1,),)-VLOOKUP(EDATE(B94,-12),'Data Core CPI'!$A:$AX,MATCH($W$1,'Data Core CPI'!$A$1:$AX$1,),))/VLOOKUP(EDATE(B94,-12),'Data Core CPI'!$A:$AX,MATCH($W$1,'Data Core CPI'!$A$1:$AX$1,),)</f>
        <v/>
      </c>
      <c r="X94" s="20">
        <f>(VLOOKUP(B94,'Data Core CPI'!$A:$AX,MATCH($X$1,'Data Core CPI'!$A$1:$AX$1,),)-VLOOKUP(EDATE(B94,-12),'Data Core CPI'!$A:$AX,MATCH($X$1,'Data Core CPI'!$A$1:$AX$1,),))/VLOOKUP(EDATE(B94,-12),'Data Core CPI'!$A:$AX,MATCH($X$1,'Data Core CPI'!$A$1:$AX$1,),)</f>
        <v/>
      </c>
      <c r="Y94" s="20">
        <f>(VLOOKUP(B94,'Data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(VLOOKUP(B95,'Data Core CPI'!$A:$AX,MATCH($E$1,'Data Core CPI'!$A$1:$AX$1,),)-VLOOKUP(EDATE(B95,-12),'Data Core CPI'!$A:$AX,MATCH($E$1,'Data Core CPI'!$A$1:$AX$1,),))/VLOOKUP(EDATE(B95,-12),'Data Core CPI'!$A:$AX,MATCH($E$1,'Data Core CPI'!$A$1:$AX$1,),)</f>
        <v/>
      </c>
      <c r="F95" s="20">
        <f>(VLOOKUP(B95,'Data Core CPI'!$A:$AX,MATCH($F$1,'Data Core CPI'!$A$1:$AX$1,),)-VLOOKUP(EDATE(B95,-12),'Data Core CPI'!$A:$AX,MATCH($F$1,'Data Core CPI'!$A$1:$AX$1,),))/VLOOKUP(EDATE(B95,-12),'Data Core CPI'!$A:$AX,MATCH($F$1,'Data Core CPI'!$A$1:$AX$1,),)</f>
        <v/>
      </c>
      <c r="G95" s="20">
        <f>(VLOOKUP(B95,'Data Core CPI'!$A:$AX,MATCH($G$1,'Data Core CPI'!$A$1:$AX$1,),)-VLOOKUP(EDATE(B95,-12),'Data Core CPI'!$A:$AX,MATCH($G$1,'Data Core CPI'!$A$1:$AX$1,),))/VLOOKUP(EDATE(B95,-12),'Data Core CPI'!$A:$AX,MATCH($G$1,'Data Core CPI'!$A$1:$AX$1,),)</f>
        <v/>
      </c>
      <c r="H95" s="20">
        <f>(VLOOKUP(B95,'Data Core CPI'!$A:$AX,MATCH($H$1,'Data Core CPI'!$A$1:$AX$1,),)-VLOOKUP(EDATE(B95,-12),'Data Core CPI'!$A:$AX,MATCH($H$1,'Data Core CPI'!$A$1:$AX$1,),))/VLOOKUP(EDATE(B95,-12),'Data Core CPI'!$A:$AX,MATCH($H$1,'Data Core CPI'!$A$1:$AX$1,),)</f>
        <v/>
      </c>
      <c r="I95" s="20">
        <f>(VLOOKUP(B95,'Data Core CPI'!$A:$AX,MATCH($I$1,'Data Core CPI'!$A$1:$AX$1,),)-VLOOKUP(EDATE(B95,-12),'Data Core CPI'!$A:$AX,MATCH($I$1,'Data Core CPI'!$A$1:$AX$1,),))/VLOOKUP(EDATE(B95,-12),'Data Core CPI'!$A:$AX,MATCH($I$1,'Data Core CPI'!$A$1:$AX$1,),)</f>
        <v/>
      </c>
      <c r="J95" s="20">
        <f>(VLOOKUP(B95,'Data Core CPI'!$A:$AX,MATCH($J$1,'Data Core CPI'!$A$1:$AX$1,),)-VLOOKUP(EDATE(B95,-12),'Data Core CPI'!$A:$AX,MATCH($J$1,'Data Core CPI'!$A$1:$AX$1,),))/VLOOKUP(EDATE(B95,-12),'Data Core CPI'!$A:$AX,MATCH($J$1,'Data Core CPI'!$A$1:$AX$1,),)</f>
        <v/>
      </c>
      <c r="K95" s="20">
        <f>(VLOOKUP(B95,'Data Core CPI'!$A:$AX,MATCH($K$1,'Data Core CPI'!$A$1:$AX$1,),)-VLOOKUP(EDATE(B95,-12),'Data Core CPI'!$A:$AX,MATCH($K$1,'Data Core CPI'!$A$1:$AX$1,),))/VLOOKUP(EDATE(B95,-12),'Data Core CPI'!$A:$AX,MATCH($K$1,'Data Core CPI'!$A$1:$AX$1,),)</f>
        <v/>
      </c>
      <c r="L95" s="20">
        <f>(VLOOKUP(B95,'Data Core CPI'!$A:$AX,MATCH($L$1,'Data Core CPI'!$A$1:$AX$1,),)-VLOOKUP(EDATE(B95,-12),'Data Core CPI'!$A:$AX,MATCH($L$1,'Data Core CPI'!$A$1:$AX$1,),))/VLOOKUP(EDATE(B95,-12),'Data Core CPI'!$A:$AX,MATCH($L$1,'Data Core CPI'!$A$1:$AX$1,),)</f>
        <v/>
      </c>
      <c r="M95" s="20">
        <f>(VLOOKUP(B95,'Data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(VLOOKUP(B95,'Data Core CPI'!$A:$AX,MATCH($W$1,'Data Core CPI'!$A$1:$AX$1,),)-VLOOKUP(EDATE(B95,-12),'Data Core CPI'!$A:$AX,MATCH($W$1,'Data Core CPI'!$A$1:$AX$1,),))/VLOOKUP(EDATE(B95,-12),'Data Core CPI'!$A:$AX,MATCH($W$1,'Data Core CPI'!$A$1:$AX$1,),)</f>
        <v/>
      </c>
      <c r="X95" s="20">
        <f>(VLOOKUP(B95,'Data Core CPI'!$A:$AX,MATCH($X$1,'Data Core CPI'!$A$1:$AX$1,),)-VLOOKUP(EDATE(B95,-12),'Data Core CPI'!$A:$AX,MATCH($X$1,'Data Core CPI'!$A$1:$AX$1,),))/VLOOKUP(EDATE(B95,-12),'Data Core CPI'!$A:$AX,MATCH($X$1,'Data Core CPI'!$A$1:$AX$1,),)</f>
        <v/>
      </c>
      <c r="Y95" s="20">
        <f>(VLOOKUP(B95,'Data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(VLOOKUP(B96,'Data Core CPI'!$A:$AX,MATCH($E$1,'Data Core CPI'!$A$1:$AX$1,),)-VLOOKUP(EDATE(B96,-12),'Data Core CPI'!$A:$AX,MATCH($E$1,'Data Core CPI'!$A$1:$AX$1,),))/VLOOKUP(EDATE(B96,-12),'Data Core CPI'!$A:$AX,MATCH($E$1,'Data Core CPI'!$A$1:$AX$1,),)</f>
        <v/>
      </c>
      <c r="F96" s="20">
        <f>(VLOOKUP(B96,'Data Core CPI'!$A:$AX,MATCH($F$1,'Data Core CPI'!$A$1:$AX$1,),)-VLOOKUP(EDATE(B96,-12),'Data Core CPI'!$A:$AX,MATCH($F$1,'Data Core CPI'!$A$1:$AX$1,),))/VLOOKUP(EDATE(B96,-12),'Data Core CPI'!$A:$AX,MATCH($F$1,'Data Core CPI'!$A$1:$AX$1,),)</f>
        <v/>
      </c>
      <c r="G96" s="20">
        <f>(VLOOKUP(B96,'Data Core CPI'!$A:$AX,MATCH($G$1,'Data Core CPI'!$A$1:$AX$1,),)-VLOOKUP(EDATE(B96,-12),'Data Core CPI'!$A:$AX,MATCH($G$1,'Data Core CPI'!$A$1:$AX$1,),))/VLOOKUP(EDATE(B96,-12),'Data Core CPI'!$A:$AX,MATCH($G$1,'Data Core CPI'!$A$1:$AX$1,),)</f>
        <v/>
      </c>
      <c r="H96" s="20">
        <f>(VLOOKUP(B96,'Data Core CPI'!$A:$AX,MATCH($H$1,'Data Core CPI'!$A$1:$AX$1,),)-VLOOKUP(EDATE(B96,-12),'Data Core CPI'!$A:$AX,MATCH($H$1,'Data Core CPI'!$A$1:$AX$1,),))/VLOOKUP(EDATE(B96,-12),'Data Core CPI'!$A:$AX,MATCH($H$1,'Data Core CPI'!$A$1:$AX$1,),)</f>
        <v/>
      </c>
      <c r="I96" s="20">
        <f>(VLOOKUP(B96,'Data Core CPI'!$A:$AX,MATCH($I$1,'Data Core CPI'!$A$1:$AX$1,),)-VLOOKUP(EDATE(B96,-12),'Data Core CPI'!$A:$AX,MATCH($I$1,'Data Core CPI'!$A$1:$AX$1,),))/VLOOKUP(EDATE(B96,-12),'Data Core CPI'!$A:$AX,MATCH($I$1,'Data Core CPI'!$A$1:$AX$1,),)</f>
        <v/>
      </c>
      <c r="J96" s="20">
        <f>(VLOOKUP(B96,'Data Core CPI'!$A:$AX,MATCH($J$1,'Data Core CPI'!$A$1:$AX$1,),)-VLOOKUP(EDATE(B96,-12),'Data Core CPI'!$A:$AX,MATCH($J$1,'Data Core CPI'!$A$1:$AX$1,),))/VLOOKUP(EDATE(B96,-12),'Data Core CPI'!$A:$AX,MATCH($J$1,'Data Core CPI'!$A$1:$AX$1,),)</f>
        <v/>
      </c>
      <c r="K96" s="20">
        <f>(VLOOKUP(B96,'Data Core CPI'!$A:$AX,MATCH($K$1,'Data Core CPI'!$A$1:$AX$1,),)-VLOOKUP(EDATE(B96,-12),'Data Core CPI'!$A:$AX,MATCH($K$1,'Data Core CPI'!$A$1:$AX$1,),))/VLOOKUP(EDATE(B96,-12),'Data Core CPI'!$A:$AX,MATCH($K$1,'Data Core CPI'!$A$1:$AX$1,),)</f>
        <v/>
      </c>
      <c r="L96" s="20">
        <f>(VLOOKUP(B96,'Data Core CPI'!$A:$AX,MATCH($L$1,'Data Core CPI'!$A$1:$AX$1,),)-VLOOKUP(EDATE(B96,-12),'Data Core CPI'!$A:$AX,MATCH($L$1,'Data Core CPI'!$A$1:$AX$1,),))/VLOOKUP(EDATE(B96,-12),'Data Core CPI'!$A:$AX,MATCH($L$1,'Data Core CPI'!$A$1:$AX$1,),)</f>
        <v/>
      </c>
      <c r="M96" s="20">
        <f>(VLOOKUP(B96,'Data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(VLOOKUP(B96,'Data Core CPI'!$A:$AX,MATCH($W$1,'Data Core CPI'!$A$1:$AX$1,),)-VLOOKUP(EDATE(B96,-12),'Data Core CPI'!$A:$AX,MATCH($W$1,'Data Core CPI'!$A$1:$AX$1,),))/VLOOKUP(EDATE(B96,-12),'Data Core CPI'!$A:$AX,MATCH($W$1,'Data Core CPI'!$A$1:$AX$1,),)</f>
        <v/>
      </c>
      <c r="X96" s="20">
        <f>(VLOOKUP(B96,'Data Core CPI'!$A:$AX,MATCH($X$1,'Data Core CPI'!$A$1:$AX$1,),)-VLOOKUP(EDATE(B96,-12),'Data Core CPI'!$A:$AX,MATCH($X$1,'Data Core CPI'!$A$1:$AX$1,),))/VLOOKUP(EDATE(B96,-12),'Data Core CPI'!$A:$AX,MATCH($X$1,'Data Core CPI'!$A$1:$AX$1,),)</f>
        <v/>
      </c>
      <c r="Y96" s="20">
        <f>(VLOOKUP(B96,'Data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(VLOOKUP(B97,'Data Core CPI'!$A:$AX,MATCH($E$1,'Data Core CPI'!$A$1:$AX$1,),)-VLOOKUP(EDATE(B97,-12),'Data Core CPI'!$A:$AX,MATCH($E$1,'Data Core CPI'!$A$1:$AX$1,),))/VLOOKUP(EDATE(B97,-12),'Data Core CPI'!$A:$AX,MATCH($E$1,'Data Core CPI'!$A$1:$AX$1,),)</f>
        <v/>
      </c>
      <c r="F97" s="20">
        <f>(VLOOKUP(B97,'Data Core CPI'!$A:$AX,MATCH($F$1,'Data Core CPI'!$A$1:$AX$1,),)-VLOOKUP(EDATE(B97,-12),'Data Core CPI'!$A:$AX,MATCH($F$1,'Data Core CPI'!$A$1:$AX$1,),))/VLOOKUP(EDATE(B97,-12),'Data Core CPI'!$A:$AX,MATCH($F$1,'Data Core CPI'!$A$1:$AX$1,),)</f>
        <v/>
      </c>
      <c r="G97" s="20">
        <f>(VLOOKUP(B97,'Data Core CPI'!$A:$AX,MATCH($G$1,'Data Core CPI'!$A$1:$AX$1,),)-VLOOKUP(EDATE(B97,-12),'Data Core CPI'!$A:$AX,MATCH($G$1,'Data Core CPI'!$A$1:$AX$1,),))/VLOOKUP(EDATE(B97,-12),'Data Core CPI'!$A:$AX,MATCH($G$1,'Data Core CPI'!$A$1:$AX$1,),)</f>
        <v/>
      </c>
      <c r="H97" s="20">
        <f>(VLOOKUP(B97,'Data Core CPI'!$A:$AX,MATCH($H$1,'Data Core CPI'!$A$1:$AX$1,),)-VLOOKUP(EDATE(B97,-12),'Data Core CPI'!$A:$AX,MATCH($H$1,'Data Core CPI'!$A$1:$AX$1,),))/VLOOKUP(EDATE(B97,-12),'Data Core CPI'!$A:$AX,MATCH($H$1,'Data Core CPI'!$A$1:$AX$1,),)</f>
        <v/>
      </c>
      <c r="I97" s="20">
        <f>(VLOOKUP(B97,'Data Core CPI'!$A:$AX,MATCH($I$1,'Data Core CPI'!$A$1:$AX$1,),)-VLOOKUP(EDATE(B97,-12),'Data Core CPI'!$A:$AX,MATCH($I$1,'Data Core CPI'!$A$1:$AX$1,),))/VLOOKUP(EDATE(B97,-12),'Data Core CPI'!$A:$AX,MATCH($I$1,'Data Core CPI'!$A$1:$AX$1,),)</f>
        <v/>
      </c>
      <c r="J97" s="20">
        <f>(VLOOKUP(B97,'Data Core CPI'!$A:$AX,MATCH($J$1,'Data Core CPI'!$A$1:$AX$1,),)-VLOOKUP(EDATE(B97,-12),'Data Core CPI'!$A:$AX,MATCH($J$1,'Data Core CPI'!$A$1:$AX$1,),))/VLOOKUP(EDATE(B97,-12),'Data Core CPI'!$A:$AX,MATCH($J$1,'Data Core CPI'!$A$1:$AX$1,),)</f>
        <v/>
      </c>
      <c r="K97" s="20">
        <f>(VLOOKUP(B97,'Data Core CPI'!$A:$AX,MATCH($K$1,'Data Core CPI'!$A$1:$AX$1,),)-VLOOKUP(EDATE(B97,-12),'Data Core CPI'!$A:$AX,MATCH($K$1,'Data Core CPI'!$A$1:$AX$1,),))/VLOOKUP(EDATE(B97,-12),'Data Core CPI'!$A:$AX,MATCH($K$1,'Data Core CPI'!$A$1:$AX$1,),)</f>
        <v/>
      </c>
      <c r="L97" s="20">
        <f>(VLOOKUP(B97,'Data Core CPI'!$A:$AX,MATCH($L$1,'Data Core CPI'!$A$1:$AX$1,),)-VLOOKUP(EDATE(B97,-12),'Data Core CPI'!$A:$AX,MATCH($L$1,'Data Core CPI'!$A$1:$AX$1,),))/VLOOKUP(EDATE(B97,-12),'Data Core CPI'!$A:$AX,MATCH($L$1,'Data Core CPI'!$A$1:$AX$1,),)</f>
        <v/>
      </c>
      <c r="M97" s="20">
        <f>(VLOOKUP(B97,'Data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(VLOOKUP(B97,'Data Core CPI'!$A:$AX,MATCH($W$1,'Data Core CPI'!$A$1:$AX$1,),)-VLOOKUP(EDATE(B97,-12),'Data Core CPI'!$A:$AX,MATCH($W$1,'Data Core CPI'!$A$1:$AX$1,),))/VLOOKUP(EDATE(B97,-12),'Data Core CPI'!$A:$AX,MATCH($W$1,'Data Core CPI'!$A$1:$AX$1,),)</f>
        <v/>
      </c>
      <c r="X97" s="20">
        <f>(VLOOKUP(B97,'Data Core CPI'!$A:$AX,MATCH($X$1,'Data Core CPI'!$A$1:$AX$1,),)-VLOOKUP(EDATE(B97,-12),'Data Core CPI'!$A:$AX,MATCH($X$1,'Data Core CPI'!$A$1:$AX$1,),))/VLOOKUP(EDATE(B97,-12),'Data Core CPI'!$A:$AX,MATCH($X$1,'Data Core CPI'!$A$1:$AX$1,),)</f>
        <v/>
      </c>
      <c r="Y97" s="20">
        <f>(VLOOKUP(B97,'Data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(VLOOKUP(B98,'Data Core CPI'!$A:$AX,MATCH($E$1,'Data Core CPI'!$A$1:$AX$1,),)-VLOOKUP(EDATE(B98,-12),'Data Core CPI'!$A:$AX,MATCH($E$1,'Data Core CPI'!$A$1:$AX$1,),))/VLOOKUP(EDATE(B98,-12),'Data Core CPI'!$A:$AX,MATCH($E$1,'Data Core CPI'!$A$1:$AX$1,),)</f>
        <v/>
      </c>
      <c r="F98" s="20">
        <f>(VLOOKUP(B98,'Data Core CPI'!$A:$AX,MATCH($F$1,'Data Core CPI'!$A$1:$AX$1,),)-VLOOKUP(EDATE(B98,-12),'Data Core CPI'!$A:$AX,MATCH($F$1,'Data Core CPI'!$A$1:$AX$1,),))/VLOOKUP(EDATE(B98,-12),'Data Core CPI'!$A:$AX,MATCH($F$1,'Data Core CPI'!$A$1:$AX$1,),)</f>
        <v/>
      </c>
      <c r="G98" s="20">
        <f>(VLOOKUP(B98,'Data Core CPI'!$A:$AX,MATCH($G$1,'Data Core CPI'!$A$1:$AX$1,),)-VLOOKUP(EDATE(B98,-12),'Data Core CPI'!$A:$AX,MATCH($G$1,'Data Core CPI'!$A$1:$AX$1,),))/VLOOKUP(EDATE(B98,-12),'Data Core CPI'!$A:$AX,MATCH($G$1,'Data Core CPI'!$A$1:$AX$1,),)</f>
        <v/>
      </c>
      <c r="H98" s="20">
        <f>(VLOOKUP(B98,'Data Core CPI'!$A:$AX,MATCH($H$1,'Data Core CPI'!$A$1:$AX$1,),)-VLOOKUP(EDATE(B98,-12),'Data Core CPI'!$A:$AX,MATCH($H$1,'Data Core CPI'!$A$1:$AX$1,),))/VLOOKUP(EDATE(B98,-12),'Data Core CPI'!$A:$AX,MATCH($H$1,'Data Core CPI'!$A$1:$AX$1,),)</f>
        <v/>
      </c>
      <c r="I98" s="20">
        <f>(VLOOKUP(B98,'Data Core CPI'!$A:$AX,MATCH($I$1,'Data Core CPI'!$A$1:$AX$1,),)-VLOOKUP(EDATE(B98,-12),'Data Core CPI'!$A:$AX,MATCH($I$1,'Data Core CPI'!$A$1:$AX$1,),))/VLOOKUP(EDATE(B98,-12),'Data Core CPI'!$A:$AX,MATCH($I$1,'Data Core CPI'!$A$1:$AX$1,),)</f>
        <v/>
      </c>
      <c r="J98" s="20">
        <f>(VLOOKUP(B98,'Data Core CPI'!$A:$AX,MATCH($J$1,'Data Core CPI'!$A$1:$AX$1,),)-VLOOKUP(EDATE(B98,-12),'Data Core CPI'!$A:$AX,MATCH($J$1,'Data Core CPI'!$A$1:$AX$1,),))/VLOOKUP(EDATE(B98,-12),'Data Core CPI'!$A:$AX,MATCH($J$1,'Data Core CPI'!$A$1:$AX$1,),)</f>
        <v/>
      </c>
      <c r="K98" s="20">
        <f>(VLOOKUP(B98,'Data Core CPI'!$A:$AX,MATCH($K$1,'Data Core CPI'!$A$1:$AX$1,),)-VLOOKUP(EDATE(B98,-12),'Data Core CPI'!$A:$AX,MATCH($K$1,'Data Core CPI'!$A$1:$AX$1,),))/VLOOKUP(EDATE(B98,-12),'Data Core CPI'!$A:$AX,MATCH($K$1,'Data Core CPI'!$A$1:$AX$1,),)</f>
        <v/>
      </c>
      <c r="L98" s="20">
        <f>(VLOOKUP(B98,'Data Core CPI'!$A:$AX,MATCH($L$1,'Data Core CPI'!$A$1:$AX$1,),)-VLOOKUP(EDATE(B98,-12),'Data Core CPI'!$A:$AX,MATCH($L$1,'Data Core CPI'!$A$1:$AX$1,),))/VLOOKUP(EDATE(B98,-12),'Data Core CPI'!$A:$AX,MATCH($L$1,'Data Core CPI'!$A$1:$AX$1,),)</f>
        <v/>
      </c>
      <c r="M98" s="20">
        <f>(VLOOKUP(B98,'Data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(VLOOKUP(B98,'Data Core CPI'!$A:$AX,MATCH($W$1,'Data Core CPI'!$A$1:$AX$1,),)-VLOOKUP(EDATE(B98,-12),'Data Core CPI'!$A:$AX,MATCH($W$1,'Data Core CPI'!$A$1:$AX$1,),))/VLOOKUP(EDATE(B98,-12),'Data Core CPI'!$A:$AX,MATCH($W$1,'Data Core CPI'!$A$1:$AX$1,),)</f>
        <v/>
      </c>
      <c r="X98" s="20">
        <f>(VLOOKUP(B98,'Data Core CPI'!$A:$AX,MATCH($X$1,'Data Core CPI'!$A$1:$AX$1,),)-VLOOKUP(EDATE(B98,-12),'Data Core CPI'!$A:$AX,MATCH($X$1,'Data Core CPI'!$A$1:$AX$1,),))/VLOOKUP(EDATE(B98,-12),'Data Core CPI'!$A:$AX,MATCH($X$1,'Data Core CPI'!$A$1:$AX$1,),)</f>
        <v/>
      </c>
      <c r="Y98" s="20">
        <f>(VLOOKUP(B98,'Data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(VLOOKUP(B99,'Data Core CPI'!$A:$AX,MATCH($E$1,'Data Core CPI'!$A$1:$AX$1,),)-VLOOKUP(EDATE(B99,-12),'Data Core CPI'!$A:$AX,MATCH($E$1,'Data Core CPI'!$A$1:$AX$1,),))/VLOOKUP(EDATE(B99,-12),'Data Core CPI'!$A:$AX,MATCH($E$1,'Data Core CPI'!$A$1:$AX$1,),)</f>
        <v/>
      </c>
      <c r="F99" s="20">
        <f>(VLOOKUP(B99,'Data Core CPI'!$A:$AX,MATCH($F$1,'Data Core CPI'!$A$1:$AX$1,),)-VLOOKUP(EDATE(B99,-12),'Data Core CPI'!$A:$AX,MATCH($F$1,'Data Core CPI'!$A$1:$AX$1,),))/VLOOKUP(EDATE(B99,-12),'Data Core CPI'!$A:$AX,MATCH($F$1,'Data Core CPI'!$A$1:$AX$1,),)</f>
        <v/>
      </c>
      <c r="G99" s="20">
        <f>(VLOOKUP(B99,'Data Core CPI'!$A:$AX,MATCH($G$1,'Data Core CPI'!$A$1:$AX$1,),)-VLOOKUP(EDATE(B99,-12),'Data Core CPI'!$A:$AX,MATCH($G$1,'Data Core CPI'!$A$1:$AX$1,),))/VLOOKUP(EDATE(B99,-12),'Data Core CPI'!$A:$AX,MATCH($G$1,'Data Core CPI'!$A$1:$AX$1,),)</f>
        <v/>
      </c>
      <c r="H99" s="20">
        <f>(VLOOKUP(B99,'Data Core CPI'!$A:$AX,MATCH($H$1,'Data Core CPI'!$A$1:$AX$1,),)-VLOOKUP(EDATE(B99,-12),'Data Core CPI'!$A:$AX,MATCH($H$1,'Data Core CPI'!$A$1:$AX$1,),))/VLOOKUP(EDATE(B99,-12),'Data Core CPI'!$A:$AX,MATCH($H$1,'Data Core CPI'!$A$1:$AX$1,),)</f>
        <v/>
      </c>
      <c r="I99" s="20">
        <f>(VLOOKUP(B99,'Data Core CPI'!$A:$AX,MATCH($I$1,'Data Core CPI'!$A$1:$AX$1,),)-VLOOKUP(EDATE(B99,-12),'Data Core CPI'!$A:$AX,MATCH($I$1,'Data Core CPI'!$A$1:$AX$1,),))/VLOOKUP(EDATE(B99,-12),'Data Core CPI'!$A:$AX,MATCH($I$1,'Data Core CPI'!$A$1:$AX$1,),)</f>
        <v/>
      </c>
      <c r="J99" s="20">
        <f>(VLOOKUP(B99,'Data Core CPI'!$A:$AX,MATCH($J$1,'Data Core CPI'!$A$1:$AX$1,),)-VLOOKUP(EDATE(B99,-12),'Data Core CPI'!$A:$AX,MATCH($J$1,'Data Core CPI'!$A$1:$AX$1,),))/VLOOKUP(EDATE(B99,-12),'Data Core CPI'!$A:$AX,MATCH($J$1,'Data Core CPI'!$A$1:$AX$1,),)</f>
        <v/>
      </c>
      <c r="K99" s="20">
        <f>(VLOOKUP(B99,'Data Core CPI'!$A:$AX,MATCH($K$1,'Data Core CPI'!$A$1:$AX$1,),)-VLOOKUP(EDATE(B99,-12),'Data Core CPI'!$A:$AX,MATCH($K$1,'Data Core CPI'!$A$1:$AX$1,),))/VLOOKUP(EDATE(B99,-12),'Data Core CPI'!$A:$AX,MATCH($K$1,'Data Core CPI'!$A$1:$AX$1,),)</f>
        <v/>
      </c>
      <c r="L99" s="20">
        <f>(VLOOKUP(B99,'Data Core CPI'!$A:$AX,MATCH($L$1,'Data Core CPI'!$A$1:$AX$1,),)-VLOOKUP(EDATE(B99,-12),'Data Core CPI'!$A:$AX,MATCH($L$1,'Data Core CPI'!$A$1:$AX$1,),))/VLOOKUP(EDATE(B99,-12),'Data Core CPI'!$A:$AX,MATCH($L$1,'Data Core CPI'!$A$1:$AX$1,),)</f>
        <v/>
      </c>
      <c r="M99" s="20">
        <f>(VLOOKUP(B99,'Data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(VLOOKUP(B99,'Data Core CPI'!$A:$AX,MATCH($W$1,'Data Core CPI'!$A$1:$AX$1,),)-VLOOKUP(EDATE(B99,-12),'Data Core CPI'!$A:$AX,MATCH($W$1,'Data Core CPI'!$A$1:$AX$1,),))/VLOOKUP(EDATE(B99,-12),'Data Core CPI'!$A:$AX,MATCH($W$1,'Data Core CPI'!$A$1:$AX$1,),)</f>
        <v/>
      </c>
      <c r="X99" s="20">
        <f>(VLOOKUP(B99,'Data Core CPI'!$A:$AX,MATCH($X$1,'Data Core CPI'!$A$1:$AX$1,),)-VLOOKUP(EDATE(B99,-12),'Data Core CPI'!$A:$AX,MATCH($X$1,'Data Core CPI'!$A$1:$AX$1,),))/VLOOKUP(EDATE(B99,-12),'Data Core CPI'!$A:$AX,MATCH($X$1,'Data Core CPI'!$A$1:$AX$1,),)</f>
        <v/>
      </c>
      <c r="Y99" s="20">
        <f>(VLOOKUP(B99,'Data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(VLOOKUP(B100,'Data Core CPI'!$A:$AX,MATCH($E$1,'Data Core CPI'!$A$1:$AX$1,),)-VLOOKUP(EDATE(B100,-12),'Data Core CPI'!$A:$AX,MATCH($E$1,'Data Core CPI'!$A$1:$AX$1,),))/VLOOKUP(EDATE(B100,-12),'Data Core CPI'!$A:$AX,MATCH($E$1,'Data Core CPI'!$A$1:$AX$1,),)</f>
        <v/>
      </c>
      <c r="F100" s="20">
        <f>(VLOOKUP(B100,'Data Core CPI'!$A:$AX,MATCH($F$1,'Data Core CPI'!$A$1:$AX$1,),)-VLOOKUP(EDATE(B100,-12),'Data Core CPI'!$A:$AX,MATCH($F$1,'Data Core CPI'!$A$1:$AX$1,),))/VLOOKUP(EDATE(B100,-12),'Data Core CPI'!$A:$AX,MATCH($F$1,'Data Core CPI'!$A$1:$AX$1,),)</f>
        <v/>
      </c>
      <c r="G100" s="20">
        <f>(VLOOKUP(B100,'Data Core CPI'!$A:$AX,MATCH($G$1,'Data Core CPI'!$A$1:$AX$1,),)-VLOOKUP(EDATE(B100,-12),'Data Core CPI'!$A:$AX,MATCH($G$1,'Data Core CPI'!$A$1:$AX$1,),))/VLOOKUP(EDATE(B100,-12),'Data Core CPI'!$A:$AX,MATCH($G$1,'Data Core CPI'!$A$1:$AX$1,),)</f>
        <v/>
      </c>
      <c r="H100" s="20">
        <f>(VLOOKUP(B100,'Data Core CPI'!$A:$AX,MATCH($H$1,'Data Core CPI'!$A$1:$AX$1,),)-VLOOKUP(EDATE(B100,-12),'Data Core CPI'!$A:$AX,MATCH($H$1,'Data Core CPI'!$A$1:$AX$1,),))/VLOOKUP(EDATE(B100,-12),'Data Core CPI'!$A:$AX,MATCH($H$1,'Data Core CPI'!$A$1:$AX$1,),)</f>
        <v/>
      </c>
      <c r="I100" s="20">
        <f>(VLOOKUP(B100,'Data Core CPI'!$A:$AX,MATCH($I$1,'Data Core CPI'!$A$1:$AX$1,),)-VLOOKUP(EDATE(B100,-12),'Data Core CPI'!$A:$AX,MATCH($I$1,'Data Core CPI'!$A$1:$AX$1,),))/VLOOKUP(EDATE(B100,-12),'Data Core CPI'!$A:$AX,MATCH($I$1,'Data Core CPI'!$A$1:$AX$1,),)</f>
        <v/>
      </c>
      <c r="J100" s="20">
        <f>(VLOOKUP(B100,'Data Core CPI'!$A:$AX,MATCH($J$1,'Data Core CPI'!$A$1:$AX$1,),)-VLOOKUP(EDATE(B100,-12),'Data Core CPI'!$A:$AX,MATCH($J$1,'Data Core CPI'!$A$1:$AX$1,),))/VLOOKUP(EDATE(B100,-12),'Data Core CPI'!$A:$AX,MATCH($J$1,'Data Core CPI'!$A$1:$AX$1,),)</f>
        <v/>
      </c>
      <c r="K100" s="20">
        <f>(VLOOKUP(B100,'Data Core CPI'!$A:$AX,MATCH($K$1,'Data Core CPI'!$A$1:$AX$1,),)-VLOOKUP(EDATE(B100,-12),'Data Core CPI'!$A:$AX,MATCH($K$1,'Data Core CPI'!$A$1:$AX$1,),))/VLOOKUP(EDATE(B100,-12),'Data Core CPI'!$A:$AX,MATCH($K$1,'Data Core CPI'!$A$1:$AX$1,),)</f>
        <v/>
      </c>
      <c r="L100" s="20">
        <f>(VLOOKUP(B100,'Data Core CPI'!$A:$AX,MATCH($L$1,'Data Core CPI'!$A$1:$AX$1,),)-VLOOKUP(EDATE(B100,-12),'Data Core CPI'!$A:$AX,MATCH($L$1,'Data Core CPI'!$A$1:$AX$1,),))/VLOOKUP(EDATE(B100,-12),'Data Core CPI'!$A:$AX,MATCH($L$1,'Data Core CPI'!$A$1:$AX$1,),)</f>
        <v/>
      </c>
      <c r="M100" s="20">
        <f>(VLOOKUP(B100,'Data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(VLOOKUP(B100,'Data Core CPI'!$A:$AX,MATCH($W$1,'Data Core CPI'!$A$1:$AX$1,),)-VLOOKUP(EDATE(B100,-12),'Data Core CPI'!$A:$AX,MATCH($W$1,'Data Core CPI'!$A$1:$AX$1,),))/VLOOKUP(EDATE(B100,-12),'Data Core CPI'!$A:$AX,MATCH($W$1,'Data Core CPI'!$A$1:$AX$1,),)</f>
        <v/>
      </c>
      <c r="X100" s="20">
        <f>(VLOOKUP(B100,'Data Core CPI'!$A:$AX,MATCH($X$1,'Data Core CPI'!$A$1:$AX$1,),)-VLOOKUP(EDATE(B100,-12),'Data Core CPI'!$A:$AX,MATCH($X$1,'Data Core CPI'!$A$1:$AX$1,),))/VLOOKUP(EDATE(B100,-12),'Data Core CPI'!$A:$AX,MATCH($X$1,'Data Core CPI'!$A$1:$AX$1,),)</f>
        <v/>
      </c>
      <c r="Y100" s="20">
        <f>(VLOOKUP(B100,'Data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(VLOOKUP(B101,'Data Core CPI'!$A:$AX,MATCH($E$1,'Data Core CPI'!$A$1:$AX$1,),)-VLOOKUP(EDATE(B101,-12),'Data Core CPI'!$A:$AX,MATCH($E$1,'Data Core CPI'!$A$1:$AX$1,),))/VLOOKUP(EDATE(B101,-12),'Data Core CPI'!$A:$AX,MATCH($E$1,'Data Core CPI'!$A$1:$AX$1,),)</f>
        <v/>
      </c>
      <c r="F101" s="20">
        <f>(VLOOKUP(B101,'Data Core CPI'!$A:$AX,MATCH($F$1,'Data Core CPI'!$A$1:$AX$1,),)-VLOOKUP(EDATE(B101,-12),'Data Core CPI'!$A:$AX,MATCH($F$1,'Data Core CPI'!$A$1:$AX$1,),))/VLOOKUP(EDATE(B101,-12),'Data Core CPI'!$A:$AX,MATCH($F$1,'Data Core CPI'!$A$1:$AX$1,),)</f>
        <v/>
      </c>
      <c r="G101" s="20">
        <f>(VLOOKUP(B101,'Data Core CPI'!$A:$AX,MATCH($G$1,'Data Core CPI'!$A$1:$AX$1,),)-VLOOKUP(EDATE(B101,-12),'Data Core CPI'!$A:$AX,MATCH($G$1,'Data Core CPI'!$A$1:$AX$1,),))/VLOOKUP(EDATE(B101,-12),'Data Core CPI'!$A:$AX,MATCH($G$1,'Data Core CPI'!$A$1:$AX$1,),)</f>
        <v/>
      </c>
      <c r="H101" s="20">
        <f>(VLOOKUP(B101,'Data Core CPI'!$A:$AX,MATCH($H$1,'Data Core CPI'!$A$1:$AX$1,),)-VLOOKUP(EDATE(B101,-12),'Data Core CPI'!$A:$AX,MATCH($H$1,'Data Core CPI'!$A$1:$AX$1,),))/VLOOKUP(EDATE(B101,-12),'Data Core CPI'!$A:$AX,MATCH($H$1,'Data Core CPI'!$A$1:$AX$1,),)</f>
        <v/>
      </c>
      <c r="I101" s="20">
        <f>(VLOOKUP(B101,'Data Core CPI'!$A:$AX,MATCH($I$1,'Data Core CPI'!$A$1:$AX$1,),)-VLOOKUP(EDATE(B101,-12),'Data Core CPI'!$A:$AX,MATCH($I$1,'Data Core CPI'!$A$1:$AX$1,),))/VLOOKUP(EDATE(B101,-12),'Data Core CPI'!$A:$AX,MATCH($I$1,'Data Core CPI'!$A$1:$AX$1,),)</f>
        <v/>
      </c>
      <c r="J101" s="20">
        <f>(VLOOKUP(B101,'Data Core CPI'!$A:$AX,MATCH($J$1,'Data Core CPI'!$A$1:$AX$1,),)-VLOOKUP(EDATE(B101,-12),'Data Core CPI'!$A:$AX,MATCH($J$1,'Data Core CPI'!$A$1:$AX$1,),))/VLOOKUP(EDATE(B101,-12),'Data Core CPI'!$A:$AX,MATCH($J$1,'Data Core CPI'!$A$1:$AX$1,),)</f>
        <v/>
      </c>
      <c r="K101" s="20">
        <f>(VLOOKUP(B101,'Data Core CPI'!$A:$AX,MATCH($K$1,'Data Core CPI'!$A$1:$AX$1,),)-VLOOKUP(EDATE(B101,-12),'Data Core CPI'!$A:$AX,MATCH($K$1,'Data Core CPI'!$A$1:$AX$1,),))/VLOOKUP(EDATE(B101,-12),'Data Core CPI'!$A:$AX,MATCH($K$1,'Data Core CPI'!$A$1:$AX$1,),)</f>
        <v/>
      </c>
      <c r="L101" s="20">
        <f>(VLOOKUP(B101,'Data Core CPI'!$A:$AX,MATCH($L$1,'Data Core CPI'!$A$1:$AX$1,),)-VLOOKUP(EDATE(B101,-12),'Data Core CPI'!$A:$AX,MATCH($L$1,'Data Core CPI'!$A$1:$AX$1,),))/VLOOKUP(EDATE(B101,-12),'Data Core CPI'!$A:$AX,MATCH($L$1,'Data Core CPI'!$A$1:$AX$1,),)</f>
        <v/>
      </c>
      <c r="M101" s="20">
        <f>(VLOOKUP(B101,'Data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(VLOOKUP(B101,'Data Core CPI'!$A:$AX,MATCH($W$1,'Data Core CPI'!$A$1:$AX$1,),)-VLOOKUP(EDATE(B101,-12),'Data Core CPI'!$A:$AX,MATCH($W$1,'Data Core CPI'!$A$1:$AX$1,),))/VLOOKUP(EDATE(B101,-12),'Data Core CPI'!$A:$AX,MATCH($W$1,'Data Core CPI'!$A$1:$AX$1,),)</f>
        <v/>
      </c>
      <c r="X101" s="20">
        <f>(VLOOKUP(B101,'Data Core CPI'!$A:$AX,MATCH($X$1,'Data Core CPI'!$A$1:$AX$1,),)-VLOOKUP(EDATE(B101,-12),'Data Core CPI'!$A:$AX,MATCH($X$1,'Data Core CPI'!$A$1:$AX$1,),))/VLOOKUP(EDATE(B101,-12),'Data Core CPI'!$A:$AX,MATCH($X$1,'Data Core CPI'!$A$1:$AX$1,),)</f>
        <v/>
      </c>
      <c r="Y101" s="20">
        <f>(VLOOKUP(B101,'Data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(VLOOKUP(B102,'Data Core CPI'!$A:$AX,MATCH($E$1,'Data Core CPI'!$A$1:$AX$1,),)-VLOOKUP(EDATE(B102,-12),'Data Core CPI'!$A:$AX,MATCH($E$1,'Data Core CPI'!$A$1:$AX$1,),))/VLOOKUP(EDATE(B102,-12),'Data Core CPI'!$A:$AX,MATCH($E$1,'Data Core CPI'!$A$1:$AX$1,),)</f>
        <v/>
      </c>
      <c r="F102" s="20">
        <f>(VLOOKUP(B102,'Data Core CPI'!$A:$AX,MATCH($F$1,'Data Core CPI'!$A$1:$AX$1,),)-VLOOKUP(EDATE(B102,-12),'Data Core CPI'!$A:$AX,MATCH($F$1,'Data Core CPI'!$A$1:$AX$1,),))/VLOOKUP(EDATE(B102,-12),'Data Core CPI'!$A:$AX,MATCH($F$1,'Data Core CPI'!$A$1:$AX$1,),)</f>
        <v/>
      </c>
      <c r="G102" s="20">
        <f>(VLOOKUP(B102,'Data Core CPI'!$A:$AX,MATCH($G$1,'Data Core CPI'!$A$1:$AX$1,),)-VLOOKUP(EDATE(B102,-12),'Data Core CPI'!$A:$AX,MATCH($G$1,'Data Core CPI'!$A$1:$AX$1,),))/VLOOKUP(EDATE(B102,-12),'Data Core CPI'!$A:$AX,MATCH($G$1,'Data Core CPI'!$A$1:$AX$1,),)</f>
        <v/>
      </c>
      <c r="H102" s="20">
        <f>(VLOOKUP(B102,'Data Core CPI'!$A:$AX,MATCH($H$1,'Data Core CPI'!$A$1:$AX$1,),)-VLOOKUP(EDATE(B102,-12),'Data Core CPI'!$A:$AX,MATCH($H$1,'Data Core CPI'!$A$1:$AX$1,),))/VLOOKUP(EDATE(B102,-12),'Data Core CPI'!$A:$AX,MATCH($H$1,'Data Core CPI'!$A$1:$AX$1,),)</f>
        <v/>
      </c>
      <c r="I102" s="20">
        <f>(VLOOKUP(B102,'Data Core CPI'!$A:$AX,MATCH($I$1,'Data Core CPI'!$A$1:$AX$1,),)-VLOOKUP(EDATE(B102,-12),'Data Core CPI'!$A:$AX,MATCH($I$1,'Data Core CPI'!$A$1:$AX$1,),))/VLOOKUP(EDATE(B102,-12),'Data Core CPI'!$A:$AX,MATCH($I$1,'Data Core CPI'!$A$1:$AX$1,),)</f>
        <v/>
      </c>
      <c r="J102" s="20">
        <f>(VLOOKUP(B102,'Data Core CPI'!$A:$AX,MATCH($J$1,'Data Core CPI'!$A$1:$AX$1,),)-VLOOKUP(EDATE(B102,-12),'Data Core CPI'!$A:$AX,MATCH($J$1,'Data Core CPI'!$A$1:$AX$1,),))/VLOOKUP(EDATE(B102,-12),'Data Core CPI'!$A:$AX,MATCH($J$1,'Data Core CPI'!$A$1:$AX$1,),)</f>
        <v/>
      </c>
      <c r="K102" s="20">
        <f>(VLOOKUP(B102,'Data Core CPI'!$A:$AX,MATCH($K$1,'Data Core CPI'!$A$1:$AX$1,),)-VLOOKUP(EDATE(B102,-12),'Data Core CPI'!$A:$AX,MATCH($K$1,'Data Core CPI'!$A$1:$AX$1,),))/VLOOKUP(EDATE(B102,-12),'Data Core CPI'!$A:$AX,MATCH($K$1,'Data Core CPI'!$A$1:$AX$1,),)</f>
        <v/>
      </c>
      <c r="L102" s="20">
        <f>(VLOOKUP(B102,'Data Core CPI'!$A:$AX,MATCH($L$1,'Data Core CPI'!$A$1:$AX$1,),)-VLOOKUP(EDATE(B102,-12),'Data Core CPI'!$A:$AX,MATCH($L$1,'Data Core CPI'!$A$1:$AX$1,),))/VLOOKUP(EDATE(B102,-12),'Data Core CPI'!$A:$AX,MATCH($L$1,'Data Core CPI'!$A$1:$AX$1,),)</f>
        <v/>
      </c>
      <c r="M102" s="20">
        <f>(VLOOKUP(B102,'Data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(VLOOKUP(B102,'Data Core CPI'!$A:$AX,MATCH($W$1,'Data Core CPI'!$A$1:$AX$1,),)-VLOOKUP(EDATE(B102,-12),'Data Core CPI'!$A:$AX,MATCH($W$1,'Data Core CPI'!$A$1:$AX$1,),))/VLOOKUP(EDATE(B102,-12),'Data Core CPI'!$A:$AX,MATCH($W$1,'Data Core CPI'!$A$1:$AX$1,),)</f>
        <v/>
      </c>
      <c r="X102" s="20">
        <f>(VLOOKUP(B102,'Data Core CPI'!$A:$AX,MATCH($X$1,'Data Core CPI'!$A$1:$AX$1,),)-VLOOKUP(EDATE(B102,-12),'Data Core CPI'!$A:$AX,MATCH($X$1,'Data Core CPI'!$A$1:$AX$1,),))/VLOOKUP(EDATE(B102,-12),'Data Core CPI'!$A:$AX,MATCH($X$1,'Data Core CPI'!$A$1:$AX$1,),)</f>
        <v/>
      </c>
      <c r="Y102" s="20">
        <f>(VLOOKUP(B102,'Data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(VLOOKUP(B103,'Data Core CPI'!$A:$AX,MATCH($E$1,'Data Core CPI'!$A$1:$AX$1,),)-VLOOKUP(EDATE(B103,-12),'Data Core CPI'!$A:$AX,MATCH($E$1,'Data Core CPI'!$A$1:$AX$1,),))/VLOOKUP(EDATE(B103,-12),'Data Core CPI'!$A:$AX,MATCH($E$1,'Data Core CPI'!$A$1:$AX$1,),)</f>
        <v/>
      </c>
      <c r="F103" s="20">
        <f>(VLOOKUP(B103,'Data Core CPI'!$A:$AX,MATCH($F$1,'Data Core CPI'!$A$1:$AX$1,),)-VLOOKUP(EDATE(B103,-12),'Data Core CPI'!$A:$AX,MATCH($F$1,'Data Core CPI'!$A$1:$AX$1,),))/VLOOKUP(EDATE(B103,-12),'Data Core CPI'!$A:$AX,MATCH($F$1,'Data Core CPI'!$A$1:$AX$1,),)</f>
        <v/>
      </c>
      <c r="G103" s="20">
        <f>(VLOOKUP(B103,'Data Core CPI'!$A:$AX,MATCH($G$1,'Data Core CPI'!$A$1:$AX$1,),)-VLOOKUP(EDATE(B103,-12),'Data Core CPI'!$A:$AX,MATCH($G$1,'Data Core CPI'!$A$1:$AX$1,),))/VLOOKUP(EDATE(B103,-12),'Data Core CPI'!$A:$AX,MATCH($G$1,'Data Core CPI'!$A$1:$AX$1,),)</f>
        <v/>
      </c>
      <c r="H103" s="20">
        <f>(VLOOKUP(B103,'Data Core CPI'!$A:$AX,MATCH($H$1,'Data Core CPI'!$A$1:$AX$1,),)-VLOOKUP(EDATE(B103,-12),'Data Core CPI'!$A:$AX,MATCH($H$1,'Data Core CPI'!$A$1:$AX$1,),))/VLOOKUP(EDATE(B103,-12),'Data Core CPI'!$A:$AX,MATCH($H$1,'Data Core CPI'!$A$1:$AX$1,),)</f>
        <v/>
      </c>
      <c r="I103" s="20">
        <f>(VLOOKUP(B103,'Data Core CPI'!$A:$AX,MATCH($I$1,'Data Core CPI'!$A$1:$AX$1,),)-VLOOKUP(EDATE(B103,-12),'Data Core CPI'!$A:$AX,MATCH($I$1,'Data Core CPI'!$A$1:$AX$1,),))/VLOOKUP(EDATE(B103,-12),'Data Core CPI'!$A:$AX,MATCH($I$1,'Data Core CPI'!$A$1:$AX$1,),)</f>
        <v/>
      </c>
      <c r="J103" s="20">
        <f>(VLOOKUP(B103,'Data Core CPI'!$A:$AX,MATCH($J$1,'Data Core CPI'!$A$1:$AX$1,),)-VLOOKUP(EDATE(B103,-12),'Data Core CPI'!$A:$AX,MATCH($J$1,'Data Core CPI'!$A$1:$AX$1,),))/VLOOKUP(EDATE(B103,-12),'Data Core CPI'!$A:$AX,MATCH($J$1,'Data Core CPI'!$A$1:$AX$1,),)</f>
        <v/>
      </c>
      <c r="K103" s="20">
        <f>(VLOOKUP(B103,'Data Core CPI'!$A:$AX,MATCH($K$1,'Data Core CPI'!$A$1:$AX$1,),)-VLOOKUP(EDATE(B103,-12),'Data Core CPI'!$A:$AX,MATCH($K$1,'Data Core CPI'!$A$1:$AX$1,),))/VLOOKUP(EDATE(B103,-12),'Data Core CPI'!$A:$AX,MATCH($K$1,'Data Core CPI'!$A$1:$AX$1,),)</f>
        <v/>
      </c>
      <c r="L103" s="20">
        <f>(VLOOKUP(B103,'Data Core CPI'!$A:$AX,MATCH($L$1,'Data Core CPI'!$A$1:$AX$1,),)-VLOOKUP(EDATE(B103,-12),'Data Core CPI'!$A:$AX,MATCH($L$1,'Data Core CPI'!$A$1:$AX$1,),))/VLOOKUP(EDATE(B103,-12),'Data Core CPI'!$A:$AX,MATCH($L$1,'Data Core CPI'!$A$1:$AX$1,),)</f>
        <v/>
      </c>
      <c r="M103" s="20">
        <f>(VLOOKUP(B103,'Data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(VLOOKUP(B103,'Data Core CPI'!$A:$AX,MATCH($W$1,'Data Core CPI'!$A$1:$AX$1,),)-VLOOKUP(EDATE(B103,-12),'Data Core CPI'!$A:$AX,MATCH($W$1,'Data Core CPI'!$A$1:$AX$1,),))/VLOOKUP(EDATE(B103,-12),'Data Core CPI'!$A:$AX,MATCH($W$1,'Data Core CPI'!$A$1:$AX$1,),)</f>
        <v/>
      </c>
      <c r="X103" s="20">
        <f>(VLOOKUP(B103,'Data Core CPI'!$A:$AX,MATCH($X$1,'Data Core CPI'!$A$1:$AX$1,),)-VLOOKUP(EDATE(B103,-12),'Data Core CPI'!$A:$AX,MATCH($X$1,'Data Core CPI'!$A$1:$AX$1,),))/VLOOKUP(EDATE(B103,-12),'Data Core CPI'!$A:$AX,MATCH($X$1,'Data Core CPI'!$A$1:$AX$1,),)</f>
        <v/>
      </c>
      <c r="Y103" s="20">
        <f>(VLOOKUP(B103,'Data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(VLOOKUP(B104,'Data Core CPI'!$A:$AX,MATCH($E$1,'Data Core CPI'!$A$1:$AX$1,),)-VLOOKUP(EDATE(B104,-12),'Data Core CPI'!$A:$AX,MATCH($E$1,'Data Core CPI'!$A$1:$AX$1,),))/VLOOKUP(EDATE(B104,-12),'Data Core CPI'!$A:$AX,MATCH($E$1,'Data Core CPI'!$A$1:$AX$1,),)</f>
        <v/>
      </c>
      <c r="F104" s="20">
        <f>(VLOOKUP(B104,'Data Core CPI'!$A:$AX,MATCH($F$1,'Data Core CPI'!$A$1:$AX$1,),)-VLOOKUP(EDATE(B104,-12),'Data Core CPI'!$A:$AX,MATCH($F$1,'Data Core CPI'!$A$1:$AX$1,),))/VLOOKUP(EDATE(B104,-12),'Data Core CPI'!$A:$AX,MATCH($F$1,'Data Core CPI'!$A$1:$AX$1,),)</f>
        <v/>
      </c>
      <c r="G104" s="20">
        <f>(VLOOKUP(B104,'Data Core CPI'!$A:$AX,MATCH($G$1,'Data Core CPI'!$A$1:$AX$1,),)-VLOOKUP(EDATE(B104,-12),'Data Core CPI'!$A:$AX,MATCH($G$1,'Data Core CPI'!$A$1:$AX$1,),))/VLOOKUP(EDATE(B104,-12),'Data Core CPI'!$A:$AX,MATCH($G$1,'Data Core CPI'!$A$1:$AX$1,),)</f>
        <v/>
      </c>
      <c r="H104" s="20">
        <f>(VLOOKUP(B104,'Data Core CPI'!$A:$AX,MATCH($H$1,'Data Core CPI'!$A$1:$AX$1,),)-VLOOKUP(EDATE(B104,-12),'Data Core CPI'!$A:$AX,MATCH($H$1,'Data Core CPI'!$A$1:$AX$1,),))/VLOOKUP(EDATE(B104,-12),'Data Core CPI'!$A:$AX,MATCH($H$1,'Data Core CPI'!$A$1:$AX$1,),)</f>
        <v/>
      </c>
      <c r="I104" s="20">
        <f>(VLOOKUP(B104,'Data Core CPI'!$A:$AX,MATCH($I$1,'Data Core CPI'!$A$1:$AX$1,),)-VLOOKUP(EDATE(B104,-12),'Data Core CPI'!$A:$AX,MATCH($I$1,'Data Core CPI'!$A$1:$AX$1,),))/VLOOKUP(EDATE(B104,-12),'Data Core CPI'!$A:$AX,MATCH($I$1,'Data Core CPI'!$A$1:$AX$1,),)</f>
        <v/>
      </c>
      <c r="J104" s="20">
        <f>(VLOOKUP(B104,'Data Core CPI'!$A:$AX,MATCH($J$1,'Data Core CPI'!$A$1:$AX$1,),)-VLOOKUP(EDATE(B104,-12),'Data Core CPI'!$A:$AX,MATCH($J$1,'Data Core CPI'!$A$1:$AX$1,),))/VLOOKUP(EDATE(B104,-12),'Data Core CPI'!$A:$AX,MATCH($J$1,'Data Core CPI'!$A$1:$AX$1,),)</f>
        <v/>
      </c>
      <c r="K104" s="20">
        <f>(VLOOKUP(B104,'Data Core CPI'!$A:$AX,MATCH($K$1,'Data Core CPI'!$A$1:$AX$1,),)-VLOOKUP(EDATE(B104,-12),'Data Core CPI'!$A:$AX,MATCH($K$1,'Data Core CPI'!$A$1:$AX$1,),))/VLOOKUP(EDATE(B104,-12),'Data Core CPI'!$A:$AX,MATCH($K$1,'Data Core CPI'!$A$1:$AX$1,),)</f>
        <v/>
      </c>
      <c r="L104" s="20">
        <f>(VLOOKUP(B104,'Data Core CPI'!$A:$AX,MATCH($L$1,'Data Core CPI'!$A$1:$AX$1,),)-VLOOKUP(EDATE(B104,-12),'Data Core CPI'!$A:$AX,MATCH($L$1,'Data Core CPI'!$A$1:$AX$1,),))/VLOOKUP(EDATE(B104,-12),'Data Core CPI'!$A:$AX,MATCH($L$1,'Data Core CPI'!$A$1:$AX$1,),)</f>
        <v/>
      </c>
      <c r="M104" s="20">
        <f>(VLOOKUP(B104,'Data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(VLOOKUP(B104,'Data Core CPI'!$A:$AX,MATCH($W$1,'Data Core CPI'!$A$1:$AX$1,),)-VLOOKUP(EDATE(B104,-12),'Data Core CPI'!$A:$AX,MATCH($W$1,'Data Core CPI'!$A$1:$AX$1,),))/VLOOKUP(EDATE(B104,-12),'Data Core CPI'!$A:$AX,MATCH($W$1,'Data Core CPI'!$A$1:$AX$1,),)</f>
        <v/>
      </c>
      <c r="X104" s="20">
        <f>(VLOOKUP(B104,'Data Core CPI'!$A:$AX,MATCH($X$1,'Data Core CPI'!$A$1:$AX$1,),)-VLOOKUP(EDATE(B104,-12),'Data Core CPI'!$A:$AX,MATCH($X$1,'Data Core CPI'!$A$1:$AX$1,),))/VLOOKUP(EDATE(B104,-12),'Data Core CPI'!$A:$AX,MATCH($X$1,'Data Core CPI'!$A$1:$AX$1,),)</f>
        <v/>
      </c>
      <c r="Y104" s="20">
        <f>(VLOOKUP(B104,'Data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(VLOOKUP(B105,'Data Core CPI'!$A:$AX,MATCH($E$1,'Data Core CPI'!$A$1:$AX$1,),)-VLOOKUP(EDATE(B105,-12),'Data Core CPI'!$A:$AX,MATCH($E$1,'Data Core CPI'!$A$1:$AX$1,),))/VLOOKUP(EDATE(B105,-12),'Data Core CPI'!$A:$AX,MATCH($E$1,'Data Core CPI'!$A$1:$AX$1,),)</f>
        <v/>
      </c>
      <c r="F105" s="20">
        <f>(VLOOKUP(B105,'Data Core CPI'!$A:$AX,MATCH($F$1,'Data Core CPI'!$A$1:$AX$1,),)-VLOOKUP(EDATE(B105,-12),'Data Core CPI'!$A:$AX,MATCH($F$1,'Data Core CPI'!$A$1:$AX$1,),))/VLOOKUP(EDATE(B105,-12),'Data Core CPI'!$A:$AX,MATCH($F$1,'Data Core CPI'!$A$1:$AX$1,),)</f>
        <v/>
      </c>
      <c r="G105" s="20">
        <f>(VLOOKUP(B105,'Data Core CPI'!$A:$AX,MATCH($G$1,'Data Core CPI'!$A$1:$AX$1,),)-VLOOKUP(EDATE(B105,-12),'Data Core CPI'!$A:$AX,MATCH($G$1,'Data Core CPI'!$A$1:$AX$1,),))/VLOOKUP(EDATE(B105,-12),'Data Core CPI'!$A:$AX,MATCH($G$1,'Data Core CPI'!$A$1:$AX$1,),)</f>
        <v/>
      </c>
      <c r="H105" s="20">
        <f>(VLOOKUP(B105,'Data Core CPI'!$A:$AX,MATCH($H$1,'Data Core CPI'!$A$1:$AX$1,),)-VLOOKUP(EDATE(B105,-12),'Data Core CPI'!$A:$AX,MATCH($H$1,'Data Core CPI'!$A$1:$AX$1,),))/VLOOKUP(EDATE(B105,-12),'Data Core CPI'!$A:$AX,MATCH($H$1,'Data Core CPI'!$A$1:$AX$1,),)</f>
        <v/>
      </c>
      <c r="I105" s="20">
        <f>(VLOOKUP(B105,'Data Core CPI'!$A:$AX,MATCH($I$1,'Data Core CPI'!$A$1:$AX$1,),)-VLOOKUP(EDATE(B105,-12),'Data Core CPI'!$A:$AX,MATCH($I$1,'Data Core CPI'!$A$1:$AX$1,),))/VLOOKUP(EDATE(B105,-12),'Data Core CPI'!$A:$AX,MATCH($I$1,'Data Core CPI'!$A$1:$AX$1,),)</f>
        <v/>
      </c>
      <c r="J105" s="20">
        <f>(VLOOKUP(B105,'Data Core CPI'!$A:$AX,MATCH($J$1,'Data Core CPI'!$A$1:$AX$1,),)-VLOOKUP(EDATE(B105,-12),'Data Core CPI'!$A:$AX,MATCH($J$1,'Data Core CPI'!$A$1:$AX$1,),))/VLOOKUP(EDATE(B105,-12),'Data Core CPI'!$A:$AX,MATCH($J$1,'Data Core CPI'!$A$1:$AX$1,),)</f>
        <v/>
      </c>
      <c r="K105" s="20">
        <f>(VLOOKUP(B105,'Data Core CPI'!$A:$AX,MATCH($K$1,'Data Core CPI'!$A$1:$AX$1,),)-VLOOKUP(EDATE(B105,-12),'Data Core CPI'!$A:$AX,MATCH($K$1,'Data Core CPI'!$A$1:$AX$1,),))/VLOOKUP(EDATE(B105,-12),'Data Core CPI'!$A:$AX,MATCH($K$1,'Data Core CPI'!$A$1:$AX$1,),)</f>
        <v/>
      </c>
      <c r="L105" s="20">
        <f>(VLOOKUP(B105,'Data Core CPI'!$A:$AX,MATCH($L$1,'Data Core CPI'!$A$1:$AX$1,),)-VLOOKUP(EDATE(B105,-12),'Data Core CPI'!$A:$AX,MATCH($L$1,'Data Core CPI'!$A$1:$AX$1,),))/VLOOKUP(EDATE(B105,-12),'Data Core CPI'!$A:$AX,MATCH($L$1,'Data Core CPI'!$A$1:$AX$1,),)</f>
        <v/>
      </c>
      <c r="M105" s="20">
        <f>(VLOOKUP(B105,'Data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(VLOOKUP(B105,'Data Core CPI'!$A:$AX,MATCH($W$1,'Data Core CPI'!$A$1:$AX$1,),)-VLOOKUP(EDATE(B105,-12),'Data Core CPI'!$A:$AX,MATCH($W$1,'Data Core CPI'!$A$1:$AX$1,),))/VLOOKUP(EDATE(B105,-12),'Data Core CPI'!$A:$AX,MATCH($W$1,'Data Core CPI'!$A$1:$AX$1,),)</f>
        <v/>
      </c>
      <c r="X105" s="20">
        <f>(VLOOKUP(B105,'Data Core CPI'!$A:$AX,MATCH($X$1,'Data Core CPI'!$A$1:$AX$1,),)-VLOOKUP(EDATE(B105,-12),'Data Core CPI'!$A:$AX,MATCH($X$1,'Data Core CPI'!$A$1:$AX$1,),))/VLOOKUP(EDATE(B105,-12),'Data Core CPI'!$A:$AX,MATCH($X$1,'Data Core CPI'!$A$1:$AX$1,),)</f>
        <v/>
      </c>
      <c r="Y105" s="20">
        <f>(VLOOKUP(B105,'Data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(VLOOKUP(B106,'Data Core CPI'!$A:$AX,MATCH($E$1,'Data Core CPI'!$A$1:$AX$1,),)-VLOOKUP(EDATE(B106,-12),'Data Core CPI'!$A:$AX,MATCH($E$1,'Data Core CPI'!$A$1:$AX$1,),))/VLOOKUP(EDATE(B106,-12),'Data Core CPI'!$A:$AX,MATCH($E$1,'Data Core CPI'!$A$1:$AX$1,),)</f>
        <v/>
      </c>
      <c r="F106" s="20">
        <f>(VLOOKUP(B106,'Data Core CPI'!$A:$AX,MATCH($F$1,'Data Core CPI'!$A$1:$AX$1,),)-VLOOKUP(EDATE(B106,-12),'Data Core CPI'!$A:$AX,MATCH($F$1,'Data Core CPI'!$A$1:$AX$1,),))/VLOOKUP(EDATE(B106,-12),'Data Core CPI'!$A:$AX,MATCH($F$1,'Data Core CPI'!$A$1:$AX$1,),)</f>
        <v/>
      </c>
      <c r="G106" s="20">
        <f>(VLOOKUP(B106,'Data Core CPI'!$A:$AX,MATCH($G$1,'Data Core CPI'!$A$1:$AX$1,),)-VLOOKUP(EDATE(B106,-12),'Data Core CPI'!$A:$AX,MATCH($G$1,'Data Core CPI'!$A$1:$AX$1,),))/VLOOKUP(EDATE(B106,-12),'Data Core CPI'!$A:$AX,MATCH($G$1,'Data Core CPI'!$A$1:$AX$1,),)</f>
        <v/>
      </c>
      <c r="H106" s="20">
        <f>(VLOOKUP(B106,'Data Core CPI'!$A:$AX,MATCH($H$1,'Data Core CPI'!$A$1:$AX$1,),)-VLOOKUP(EDATE(B106,-12),'Data Core CPI'!$A:$AX,MATCH($H$1,'Data Core CPI'!$A$1:$AX$1,),))/VLOOKUP(EDATE(B106,-12),'Data Core CPI'!$A:$AX,MATCH($H$1,'Data Core CPI'!$A$1:$AX$1,),)</f>
        <v/>
      </c>
      <c r="I106" s="20">
        <f>(VLOOKUP(B106,'Data Core CPI'!$A:$AX,MATCH($I$1,'Data Core CPI'!$A$1:$AX$1,),)-VLOOKUP(EDATE(B106,-12),'Data Core CPI'!$A:$AX,MATCH($I$1,'Data Core CPI'!$A$1:$AX$1,),))/VLOOKUP(EDATE(B106,-12),'Data Core CPI'!$A:$AX,MATCH($I$1,'Data Core CPI'!$A$1:$AX$1,),)</f>
        <v/>
      </c>
      <c r="J106" s="20">
        <f>(VLOOKUP(B106,'Data Core CPI'!$A:$AX,MATCH($J$1,'Data Core CPI'!$A$1:$AX$1,),)-VLOOKUP(EDATE(B106,-12),'Data Core CPI'!$A:$AX,MATCH($J$1,'Data Core CPI'!$A$1:$AX$1,),))/VLOOKUP(EDATE(B106,-12),'Data Core CPI'!$A:$AX,MATCH($J$1,'Data Core CPI'!$A$1:$AX$1,),)</f>
        <v/>
      </c>
      <c r="K106" s="20">
        <f>(VLOOKUP(B106,'Data Core CPI'!$A:$AX,MATCH($K$1,'Data Core CPI'!$A$1:$AX$1,),)-VLOOKUP(EDATE(B106,-12),'Data Core CPI'!$A:$AX,MATCH($K$1,'Data Core CPI'!$A$1:$AX$1,),))/VLOOKUP(EDATE(B106,-12),'Data Core CPI'!$A:$AX,MATCH($K$1,'Data Core CPI'!$A$1:$AX$1,),)</f>
        <v/>
      </c>
      <c r="L106" s="20">
        <f>(VLOOKUP(B106,'Data Core CPI'!$A:$AX,MATCH($L$1,'Data Core CPI'!$A$1:$AX$1,),)-VLOOKUP(EDATE(B106,-12),'Data Core CPI'!$A:$AX,MATCH($L$1,'Data Core CPI'!$A$1:$AX$1,),))/VLOOKUP(EDATE(B106,-12),'Data Core CPI'!$A:$AX,MATCH($L$1,'Data Core CPI'!$A$1:$AX$1,),)</f>
        <v/>
      </c>
      <c r="M106" s="20">
        <f>(VLOOKUP(B106,'Data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(VLOOKUP(B106,'Data Core CPI'!$A:$AX,MATCH($W$1,'Data Core CPI'!$A$1:$AX$1,),)-VLOOKUP(EDATE(B106,-12),'Data Core CPI'!$A:$AX,MATCH($W$1,'Data Core CPI'!$A$1:$AX$1,),))/VLOOKUP(EDATE(B106,-12),'Data Core CPI'!$A:$AX,MATCH($W$1,'Data Core CPI'!$A$1:$AX$1,),)</f>
        <v/>
      </c>
      <c r="X106" s="20">
        <f>(VLOOKUP(B106,'Data Core CPI'!$A:$AX,MATCH($X$1,'Data Core CPI'!$A$1:$AX$1,),)-VLOOKUP(EDATE(B106,-12),'Data Core CPI'!$A:$AX,MATCH($X$1,'Data Core CPI'!$A$1:$AX$1,),))/VLOOKUP(EDATE(B106,-12),'Data Core CPI'!$A:$AX,MATCH($X$1,'Data Core CPI'!$A$1:$AX$1,),)</f>
        <v/>
      </c>
      <c r="Y106" s="20">
        <f>(VLOOKUP(B106,'Data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(VLOOKUP(B107,'Data Core CPI'!$A:$AX,MATCH($E$1,'Data Core CPI'!$A$1:$AX$1,),)-VLOOKUP(EDATE(B107,-12),'Data Core CPI'!$A:$AX,MATCH($E$1,'Data Core CPI'!$A$1:$AX$1,),))/VLOOKUP(EDATE(B107,-12),'Data Core CPI'!$A:$AX,MATCH($E$1,'Data Core CPI'!$A$1:$AX$1,),)</f>
        <v/>
      </c>
      <c r="F107" s="20">
        <f>(VLOOKUP(B107,'Data Core CPI'!$A:$AX,MATCH($F$1,'Data Core CPI'!$A$1:$AX$1,),)-VLOOKUP(EDATE(B107,-12),'Data Core CPI'!$A:$AX,MATCH($F$1,'Data Core CPI'!$A$1:$AX$1,),))/VLOOKUP(EDATE(B107,-12),'Data Core CPI'!$A:$AX,MATCH($F$1,'Data Core CPI'!$A$1:$AX$1,),)</f>
        <v/>
      </c>
      <c r="G107" s="20">
        <f>(VLOOKUP(B107,'Data Core CPI'!$A:$AX,MATCH($G$1,'Data Core CPI'!$A$1:$AX$1,),)-VLOOKUP(EDATE(B107,-12),'Data Core CPI'!$A:$AX,MATCH($G$1,'Data Core CPI'!$A$1:$AX$1,),))/VLOOKUP(EDATE(B107,-12),'Data Core CPI'!$A:$AX,MATCH($G$1,'Data Core CPI'!$A$1:$AX$1,),)</f>
        <v/>
      </c>
      <c r="H107" s="20">
        <f>(VLOOKUP(B107,'Data Core CPI'!$A:$AX,MATCH($H$1,'Data Core CPI'!$A$1:$AX$1,),)-VLOOKUP(EDATE(B107,-12),'Data Core CPI'!$A:$AX,MATCH($H$1,'Data Core CPI'!$A$1:$AX$1,),))/VLOOKUP(EDATE(B107,-12),'Data Core CPI'!$A:$AX,MATCH($H$1,'Data Core CPI'!$A$1:$AX$1,),)</f>
        <v/>
      </c>
      <c r="I107" s="20">
        <f>(VLOOKUP(B107,'Data Core CPI'!$A:$AX,MATCH($I$1,'Data Core CPI'!$A$1:$AX$1,),)-VLOOKUP(EDATE(B107,-12),'Data Core CPI'!$A:$AX,MATCH($I$1,'Data Core CPI'!$A$1:$AX$1,),))/VLOOKUP(EDATE(B107,-12),'Data Core CPI'!$A:$AX,MATCH($I$1,'Data Core CPI'!$A$1:$AX$1,),)</f>
        <v/>
      </c>
      <c r="J107" s="20">
        <f>(VLOOKUP(B107,'Data Core CPI'!$A:$AX,MATCH($J$1,'Data Core CPI'!$A$1:$AX$1,),)-VLOOKUP(EDATE(B107,-12),'Data Core CPI'!$A:$AX,MATCH($J$1,'Data Core CPI'!$A$1:$AX$1,),))/VLOOKUP(EDATE(B107,-12),'Data Core CPI'!$A:$AX,MATCH($J$1,'Data Core CPI'!$A$1:$AX$1,),)</f>
        <v/>
      </c>
      <c r="K107" s="20">
        <f>(VLOOKUP(B107,'Data Core CPI'!$A:$AX,MATCH($K$1,'Data Core CPI'!$A$1:$AX$1,),)-VLOOKUP(EDATE(B107,-12),'Data Core CPI'!$A:$AX,MATCH($K$1,'Data Core CPI'!$A$1:$AX$1,),))/VLOOKUP(EDATE(B107,-12),'Data Core CPI'!$A:$AX,MATCH($K$1,'Data Core CPI'!$A$1:$AX$1,),)</f>
        <v/>
      </c>
      <c r="L107" s="20">
        <f>(VLOOKUP(B107,'Data Core CPI'!$A:$AX,MATCH($L$1,'Data Core CPI'!$A$1:$AX$1,),)-VLOOKUP(EDATE(B107,-12),'Data Core CPI'!$A:$AX,MATCH($L$1,'Data Core CPI'!$A$1:$AX$1,),))/VLOOKUP(EDATE(B107,-12),'Data Core CPI'!$A:$AX,MATCH($L$1,'Data Core CPI'!$A$1:$AX$1,),)</f>
        <v/>
      </c>
      <c r="M107" s="20">
        <f>(VLOOKUP(B107,'Data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(VLOOKUP(B107,'Data Core CPI'!$A:$AX,MATCH($W$1,'Data Core CPI'!$A$1:$AX$1,),)-VLOOKUP(EDATE(B107,-12),'Data Core CPI'!$A:$AX,MATCH($W$1,'Data Core CPI'!$A$1:$AX$1,),))/VLOOKUP(EDATE(B107,-12),'Data Core CPI'!$A:$AX,MATCH($W$1,'Data Core CPI'!$A$1:$AX$1,),)</f>
        <v/>
      </c>
      <c r="X107" s="20">
        <f>(VLOOKUP(B107,'Data Core CPI'!$A:$AX,MATCH($X$1,'Data Core CPI'!$A$1:$AX$1,),)-VLOOKUP(EDATE(B107,-12),'Data Core CPI'!$A:$AX,MATCH($X$1,'Data Core CPI'!$A$1:$AX$1,),))/VLOOKUP(EDATE(B107,-12),'Data Core CPI'!$A:$AX,MATCH($X$1,'Data Core CPI'!$A$1:$AX$1,),)</f>
        <v/>
      </c>
      <c r="Y107" s="20">
        <f>(VLOOKUP(B107,'Data Core CPI'!$A:$AX,MATCH($Y$1,'Data Core CPI'!$A$1:$AX$1,),)-VLOOKUP(EDATE(B107,-12),'Data Core CPI'!$A:$AX,MATCH($Y$1,'Data Core CPI'!$A$1:$AX$1,),))/VLOOKUP(EDATE(B107,-12),'Data Core CPI'!$A:$AX,MATCH($Y$1,'Data Core CPI'!$A$1:$AX$1,),)</f>
        <v/>
      </c>
    </row>
    <row r="108" customFormat="1" s="76">
      <c r="B108" s="15" t="n">
        <v>43497</v>
      </c>
      <c r="C108" s="20">
        <f>(VLOOKUP(B108,'Data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(VLOOKUP(B108,'Data Core CPI'!$A:$AX,MATCH($E$1,'Data Core CPI'!$A$1:$AX$1,),)-VLOOKUP(EDATE(B108,-12),'Data Core CPI'!$A:$AX,MATCH($E$1,'Data Core CPI'!$A$1:$AX$1,),))/VLOOKUP(EDATE(B108,-12),'Data Core CPI'!$A:$AX,MATCH($E$1,'Data Core CPI'!$A$1:$AX$1,),)</f>
        <v/>
      </c>
      <c r="F108" s="20">
        <f>(VLOOKUP(B108,'Data Core CPI'!$A:$AX,MATCH($F$1,'Data Core CPI'!$A$1:$AX$1,),)-VLOOKUP(EDATE(B108,-12),'Data Core CPI'!$A:$AX,MATCH($F$1,'Data Core CPI'!$A$1:$AX$1,),))/VLOOKUP(EDATE(B108,-12),'Data Core CPI'!$A:$AX,MATCH($F$1,'Data Core CPI'!$A$1:$AX$1,),)</f>
        <v/>
      </c>
      <c r="G108" s="20">
        <f>(VLOOKUP(B108,'Data Core CPI'!$A:$AX,MATCH($G$1,'Data Core CPI'!$A$1:$AX$1,),)-VLOOKUP(EDATE(B108,-12),'Data Core CPI'!$A:$AX,MATCH($G$1,'Data Core CPI'!$A$1:$AX$1,),))/VLOOKUP(EDATE(B108,-12),'Data Core CPI'!$A:$AX,MATCH($G$1,'Data Core CPI'!$A$1:$AX$1,),)</f>
        <v/>
      </c>
      <c r="H108" s="20">
        <f>(VLOOKUP(B108,'Data Core CPI'!$A:$AX,MATCH($H$1,'Data Core CPI'!$A$1:$AX$1,),)-VLOOKUP(EDATE(B108,-12),'Data Core CPI'!$A:$AX,MATCH($H$1,'Data Core CPI'!$A$1:$AX$1,),))/VLOOKUP(EDATE(B108,-12),'Data Core CPI'!$A:$AX,MATCH($H$1,'Data Core CPI'!$A$1:$AX$1,),)</f>
        <v/>
      </c>
      <c r="I108" s="20">
        <f>(VLOOKUP(B108,'Data Core CPI'!$A:$AX,MATCH($I$1,'Data Core CPI'!$A$1:$AX$1,),)-VLOOKUP(EDATE(B108,-12),'Data Core CPI'!$A:$AX,MATCH($I$1,'Data Core CPI'!$A$1:$AX$1,),))/VLOOKUP(EDATE(B108,-12),'Data Core CPI'!$A:$AX,MATCH($I$1,'Data Core CPI'!$A$1:$AX$1,),)</f>
        <v/>
      </c>
      <c r="J108" s="20">
        <f>(VLOOKUP(B108,'Data Core CPI'!$A:$AX,MATCH($J$1,'Data Core CPI'!$A$1:$AX$1,),)-VLOOKUP(EDATE(B108,-12),'Data Core CPI'!$A:$AX,MATCH($J$1,'Data Core CPI'!$A$1:$AX$1,),))/VLOOKUP(EDATE(B108,-12),'Data Core CPI'!$A:$AX,MATCH($J$1,'Data Core CPI'!$A$1:$AX$1,),)</f>
        <v/>
      </c>
      <c r="K108" s="20">
        <f>(VLOOKUP(B108,'Data Core CPI'!$A:$AX,MATCH($K$1,'Data Core CPI'!$A$1:$AX$1,),)-VLOOKUP(EDATE(B108,-12),'Data Core CPI'!$A:$AX,MATCH($K$1,'Data Core CPI'!$A$1:$AX$1,),))/VLOOKUP(EDATE(B108,-12),'Data Core CPI'!$A:$AX,MATCH($K$1,'Data Core CPI'!$A$1:$AX$1,),)</f>
        <v/>
      </c>
      <c r="L108" s="20">
        <f>(VLOOKUP(B108,'Data Core CPI'!$A:$AX,MATCH($L$1,'Data Core CPI'!$A$1:$AX$1,),)-VLOOKUP(EDATE(B108,-12),'Data Core CPI'!$A:$AX,MATCH($L$1,'Data Core CPI'!$A$1:$AX$1,),))/VLOOKUP(EDATE(B108,-12),'Data Core CPI'!$A:$AX,MATCH($L$1,'Data Core CPI'!$A$1:$AX$1,),)</f>
        <v/>
      </c>
      <c r="M108" s="20">
        <f>(VLOOKUP(B108,'Data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(VLOOKUP(B108,'Data Core CPI'!$A:$AX,MATCH($W$1,'Data Core CPI'!$A$1:$AX$1,),)-VLOOKUP(EDATE(B108,-12),'Data Core CPI'!$A:$AX,MATCH($W$1,'Data Core CPI'!$A$1:$AX$1,),))/VLOOKUP(EDATE(B108,-12),'Data Core CPI'!$A:$AX,MATCH($W$1,'Data Core CPI'!$A$1:$AX$1,),)</f>
        <v/>
      </c>
      <c r="X108" s="20">
        <f>(VLOOKUP(B108,'Data Core CPI'!$A:$AX,MATCH($X$1,'Data Core CPI'!$A$1:$AX$1,),)-VLOOKUP(EDATE(B108,-12),'Data Core CPI'!$A:$AX,MATCH($X$1,'Data Core CPI'!$A$1:$AX$1,),))/VLOOKUP(EDATE(B108,-12),'Data Core CPI'!$A:$AX,MATCH($X$1,'Data Core CPI'!$A$1:$AX$1,),)</f>
        <v/>
      </c>
      <c r="Y108" s="20">
        <f>(VLOOKUP(B108,'Data Core CPI'!$A:$AX,MATCH($Y$1,'Data Core CPI'!$A$1:$AX$1,),)-VLOOKUP(EDATE(B108,-12),'Data Core CPI'!$A:$AX,MATCH($Y$1,'Data Core CPI'!$A$1:$AX$1,),))/VLOOKUP(EDATE(B108,-12),'Data Core CPI'!$A:$AX,MATCH($Y$1,'Data Core CPI'!$A$1:$AX$1,),)</f>
        <v/>
      </c>
    </row>
    <row r="109" customFormat="1" s="76">
      <c r="B109" s="15" t="n">
        <v>43525</v>
      </c>
      <c r="C109" s="20">
        <f>(VLOOKUP(B109,'Data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(VLOOKUP(B109,'Data Core CPI'!$A:$AX,MATCH($E$1,'Data Core CPI'!$A$1:$AX$1,),)-VLOOKUP(EDATE(B109,-12),'Data Core CPI'!$A:$AX,MATCH($E$1,'Data Core CPI'!$A$1:$AX$1,),))/VLOOKUP(EDATE(B109,-12),'Data Core CPI'!$A:$AX,MATCH($E$1,'Data Core CPI'!$A$1:$AX$1,),)</f>
        <v/>
      </c>
      <c r="F109" s="20">
        <f>(VLOOKUP(B109,'Data Core CPI'!$A:$AX,MATCH($F$1,'Data Core CPI'!$A$1:$AX$1,),)-VLOOKUP(EDATE(B109,-12),'Data Core CPI'!$A:$AX,MATCH($F$1,'Data Core CPI'!$A$1:$AX$1,),))/VLOOKUP(EDATE(B109,-12),'Data Core CPI'!$A:$AX,MATCH($F$1,'Data Core CPI'!$A$1:$AX$1,),)</f>
        <v/>
      </c>
      <c r="G109" s="20">
        <f>(VLOOKUP(B109,'Data Core CPI'!$A:$AX,MATCH($G$1,'Data Core CPI'!$A$1:$AX$1,),)-VLOOKUP(EDATE(B109,-12),'Data Core CPI'!$A:$AX,MATCH($G$1,'Data Core CPI'!$A$1:$AX$1,),))/VLOOKUP(EDATE(B109,-12),'Data Core CPI'!$A:$AX,MATCH($G$1,'Data Core CPI'!$A$1:$AX$1,),)</f>
        <v/>
      </c>
      <c r="H109" s="20">
        <f>(VLOOKUP(B109,'Data Core CPI'!$A:$AX,MATCH($H$1,'Data Core CPI'!$A$1:$AX$1,),)-VLOOKUP(EDATE(B109,-12),'Data Core CPI'!$A:$AX,MATCH($H$1,'Data Core CPI'!$A$1:$AX$1,),))/VLOOKUP(EDATE(B109,-12),'Data Core CPI'!$A:$AX,MATCH($H$1,'Data Core CPI'!$A$1:$AX$1,),)</f>
        <v/>
      </c>
      <c r="I109" s="20">
        <f>(VLOOKUP(B109,'Data Core CPI'!$A:$AX,MATCH($I$1,'Data Core CPI'!$A$1:$AX$1,),)-VLOOKUP(EDATE(B109,-12),'Data Core CPI'!$A:$AX,MATCH($I$1,'Data Core CPI'!$A$1:$AX$1,),))/VLOOKUP(EDATE(B109,-12),'Data Core CPI'!$A:$AX,MATCH($I$1,'Data Core CPI'!$A$1:$AX$1,),)</f>
        <v/>
      </c>
      <c r="J109" s="20">
        <f>(VLOOKUP(B109,'Data Core CPI'!$A:$AX,MATCH($J$1,'Data Core CPI'!$A$1:$AX$1,),)-VLOOKUP(EDATE(B109,-12),'Data Core CPI'!$A:$AX,MATCH($J$1,'Data Core CPI'!$A$1:$AX$1,),))/VLOOKUP(EDATE(B109,-12),'Data Core CPI'!$A:$AX,MATCH($J$1,'Data Core CPI'!$A$1:$AX$1,),)</f>
        <v/>
      </c>
      <c r="K109" s="20">
        <f>(VLOOKUP(B109,'Data Core CPI'!$A:$AX,MATCH($K$1,'Data Core CPI'!$A$1:$AX$1,),)-VLOOKUP(EDATE(B109,-12),'Data Core CPI'!$A:$AX,MATCH($K$1,'Data Core CPI'!$A$1:$AX$1,),))/VLOOKUP(EDATE(B109,-12),'Data Core CPI'!$A:$AX,MATCH($K$1,'Data Core CPI'!$A$1:$AX$1,),)</f>
        <v/>
      </c>
      <c r="L109" s="20">
        <f>(VLOOKUP(B109,'Data Core CPI'!$A:$AX,MATCH($L$1,'Data Core CPI'!$A$1:$AX$1,),)-VLOOKUP(EDATE(B109,-12),'Data Core CPI'!$A:$AX,MATCH($L$1,'Data Core CPI'!$A$1:$AX$1,),))/VLOOKUP(EDATE(B109,-12),'Data Core CPI'!$A:$AX,MATCH($L$1,'Data Core CPI'!$A$1:$AX$1,),)</f>
        <v/>
      </c>
      <c r="M109" s="20">
        <f>(VLOOKUP(B109,'Data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(VLOOKUP(B109,'Data Core CPI'!$A:$AX,MATCH($W$1,'Data Core CPI'!$A$1:$AX$1,),)-VLOOKUP(EDATE(B109,-12),'Data Core CPI'!$A:$AX,MATCH($W$1,'Data Core CPI'!$A$1:$AX$1,),))/VLOOKUP(EDATE(B109,-12),'Data Core CPI'!$A:$AX,MATCH($W$1,'Data Core CPI'!$A$1:$AX$1,),)</f>
        <v/>
      </c>
      <c r="X109" s="20">
        <f>(VLOOKUP(B109,'Data Core CPI'!$A:$AX,MATCH($X$1,'Data Core CPI'!$A$1:$AX$1,),)-VLOOKUP(EDATE(B109,-12),'Data Core CPI'!$A:$AX,MATCH($X$1,'Data Core CPI'!$A$1:$AX$1,),))/VLOOKUP(EDATE(B109,-12),'Data Core CPI'!$A:$AX,MATCH($X$1,'Data Core CPI'!$A$1:$AX$1,),)</f>
        <v/>
      </c>
      <c r="Y109" s="20">
        <f>(VLOOKUP(B109,'Data Core CPI'!$A:$AX,MATCH($Y$1,'Data Core CPI'!$A$1:$AX$1,),)-VLOOKUP(EDATE(B109,-12),'Data Core CPI'!$A:$AX,MATCH($Y$1,'Data Core CPI'!$A$1:$AX$1,),))/VLOOKUP(EDATE(B109,-12),'Data Core CPI'!$A:$AX,MATCH($Y$1,'Data Core CPI'!$A$1:$AX$1,),)</f>
        <v/>
      </c>
    </row>
    <row r="110" customFormat="1" s="76">
      <c r="B110" s="15" t="n">
        <v>43556</v>
      </c>
      <c r="C110" s="20">
        <f>(VLOOKUP(B110,'Data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(VLOOKUP(B110,'Data Core CPI'!$A:$AX,MATCH($E$1,'Data Core CPI'!$A$1:$AX$1,),)-VLOOKUP(EDATE(B110,-12),'Data Core CPI'!$A:$AX,MATCH($E$1,'Data Core CPI'!$A$1:$AX$1,),))/VLOOKUP(EDATE(B110,-12),'Data Core CPI'!$A:$AX,MATCH($E$1,'Data Core CPI'!$A$1:$AX$1,),)</f>
        <v/>
      </c>
      <c r="F110" s="20">
        <f>(VLOOKUP(B110,'Data Core CPI'!$A:$AX,MATCH($F$1,'Data Core CPI'!$A$1:$AX$1,),)-VLOOKUP(EDATE(B110,-12),'Data Core CPI'!$A:$AX,MATCH($F$1,'Data Core CPI'!$A$1:$AX$1,),))/VLOOKUP(EDATE(B110,-12),'Data Core CPI'!$A:$AX,MATCH($F$1,'Data Core CPI'!$A$1:$AX$1,),)</f>
        <v/>
      </c>
      <c r="G110" s="20">
        <f>(VLOOKUP(B110,'Data Core CPI'!$A:$AX,MATCH($G$1,'Data Core CPI'!$A$1:$AX$1,),)-VLOOKUP(EDATE(B110,-12),'Data Core CPI'!$A:$AX,MATCH($G$1,'Data Core CPI'!$A$1:$AX$1,),))/VLOOKUP(EDATE(B110,-12),'Data Core CPI'!$A:$AX,MATCH($G$1,'Data Core CPI'!$A$1:$AX$1,),)</f>
        <v/>
      </c>
      <c r="H110" s="20">
        <f>(VLOOKUP(B110,'Data Core CPI'!$A:$AX,MATCH($H$1,'Data Core CPI'!$A$1:$AX$1,),)-VLOOKUP(EDATE(B110,-12),'Data Core CPI'!$A:$AX,MATCH($H$1,'Data Core CPI'!$A$1:$AX$1,),))/VLOOKUP(EDATE(B110,-12),'Data Core CPI'!$A:$AX,MATCH($H$1,'Data Core CPI'!$A$1:$AX$1,),)</f>
        <v/>
      </c>
      <c r="I110" s="20">
        <f>(VLOOKUP(B110,'Data Core CPI'!$A:$AX,MATCH($I$1,'Data Core CPI'!$A$1:$AX$1,),)-VLOOKUP(EDATE(B110,-12),'Data Core CPI'!$A:$AX,MATCH($I$1,'Data Core CPI'!$A$1:$AX$1,),))/VLOOKUP(EDATE(B110,-12),'Data Core CPI'!$A:$AX,MATCH($I$1,'Data Core CPI'!$A$1:$AX$1,),)</f>
        <v/>
      </c>
      <c r="J110" s="20">
        <f>(VLOOKUP(B110,'Data Core CPI'!$A:$AX,MATCH($J$1,'Data Core CPI'!$A$1:$AX$1,),)-VLOOKUP(EDATE(B110,-12),'Data Core CPI'!$A:$AX,MATCH($J$1,'Data Core CPI'!$A$1:$AX$1,),))/VLOOKUP(EDATE(B110,-12),'Data Core CPI'!$A:$AX,MATCH($J$1,'Data Core CPI'!$A$1:$AX$1,),)</f>
        <v/>
      </c>
      <c r="K110" s="20">
        <f>(VLOOKUP(B110,'Data Core CPI'!$A:$AX,MATCH($K$1,'Data Core CPI'!$A$1:$AX$1,),)-VLOOKUP(EDATE(B110,-12),'Data Core CPI'!$A:$AX,MATCH($K$1,'Data Core CPI'!$A$1:$AX$1,),))/VLOOKUP(EDATE(B110,-12),'Data Core CPI'!$A:$AX,MATCH($K$1,'Data Core CPI'!$A$1:$AX$1,),)</f>
        <v/>
      </c>
      <c r="L110" s="20">
        <f>(VLOOKUP(B110,'Data Core CPI'!$A:$AX,MATCH($L$1,'Data Core CPI'!$A$1:$AX$1,),)-VLOOKUP(EDATE(B110,-12),'Data Core CPI'!$A:$AX,MATCH($L$1,'Data Core CPI'!$A$1:$AX$1,),))/VLOOKUP(EDATE(B110,-12),'Data Core CPI'!$A:$AX,MATCH($L$1,'Data Core CPI'!$A$1:$AX$1,),)</f>
        <v/>
      </c>
      <c r="M110" s="20">
        <f>(VLOOKUP(B110,'Data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(VLOOKUP(B110,'Data Core CPI'!$A:$AX,MATCH($W$1,'Data Core CPI'!$A$1:$AX$1,),)-VLOOKUP(EDATE(B110,-12),'Data Core CPI'!$A:$AX,MATCH($W$1,'Data Core CPI'!$A$1:$AX$1,),))/VLOOKUP(EDATE(B110,-12),'Data Core CPI'!$A:$AX,MATCH($W$1,'Data Core CPI'!$A$1:$AX$1,),)</f>
        <v/>
      </c>
      <c r="X110" s="20">
        <f>(VLOOKUP(B110,'Data Core CPI'!$A:$AX,MATCH($X$1,'Data Core CPI'!$A$1:$AX$1,),)-VLOOKUP(EDATE(B110,-12),'Data Core CPI'!$A:$AX,MATCH($X$1,'Data Core CPI'!$A$1:$AX$1,),))/VLOOKUP(EDATE(B110,-12),'Data Core CPI'!$A:$AX,MATCH($X$1,'Data Core CPI'!$A$1:$AX$1,),)</f>
        <v/>
      </c>
      <c r="Y110" s="20">
        <f>(VLOOKUP(B110,'Data Core CPI'!$A:$AX,MATCH($Y$1,'Data Core CPI'!$A$1:$AX$1,),)-VLOOKUP(EDATE(B110,-12),'Data Core CPI'!$A:$AX,MATCH($Y$1,'Data Core CPI'!$A$1:$AX$1,),))/VLOOKUP(EDATE(B110,-12),'Data Core CPI'!$A:$AX,MATCH($Y$1,'Data Core CPI'!$A$1:$AX$1,),)</f>
        <v/>
      </c>
    </row>
    <row r="111" customFormat="1" s="76">
      <c r="B111" s="15" t="n">
        <v>43586</v>
      </c>
      <c r="C111" s="20">
        <f>(VLOOKUP(B111,'Data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(VLOOKUP(B111,'Data Core CPI'!$A:$AX,MATCH($E$1,'Data Core CPI'!$A$1:$AX$1,),)-VLOOKUP(EDATE(B111,-12),'Data Core CPI'!$A:$AX,MATCH($E$1,'Data Core CPI'!$A$1:$AX$1,),))/VLOOKUP(EDATE(B111,-12),'Data Core CPI'!$A:$AX,MATCH($E$1,'Data Core CPI'!$A$1:$AX$1,),)</f>
        <v/>
      </c>
      <c r="F111" s="20">
        <f>(VLOOKUP(B111,'Data Core CPI'!$A:$AX,MATCH($F$1,'Data Core CPI'!$A$1:$AX$1,),)-VLOOKUP(EDATE(B111,-12),'Data Core CPI'!$A:$AX,MATCH($F$1,'Data Core CPI'!$A$1:$AX$1,),))/VLOOKUP(EDATE(B111,-12),'Data Core CPI'!$A:$AX,MATCH($F$1,'Data Core CPI'!$A$1:$AX$1,),)</f>
        <v/>
      </c>
      <c r="G111" s="20">
        <f>(VLOOKUP(B111,'Data Core CPI'!$A:$AX,MATCH($G$1,'Data Core CPI'!$A$1:$AX$1,),)-VLOOKUP(EDATE(B111,-12),'Data Core CPI'!$A:$AX,MATCH($G$1,'Data Core CPI'!$A$1:$AX$1,),))/VLOOKUP(EDATE(B111,-12),'Data Core CPI'!$A:$AX,MATCH($G$1,'Data Core CPI'!$A$1:$AX$1,),)</f>
        <v/>
      </c>
      <c r="H111" s="20">
        <f>(VLOOKUP(B111,'Data Core CPI'!$A:$AX,MATCH($H$1,'Data Core CPI'!$A$1:$AX$1,),)-VLOOKUP(EDATE(B111,-12),'Data Core CPI'!$A:$AX,MATCH($H$1,'Data Core CPI'!$A$1:$AX$1,),))/VLOOKUP(EDATE(B111,-12),'Data Core CPI'!$A:$AX,MATCH($H$1,'Data Core CPI'!$A$1:$AX$1,),)</f>
        <v/>
      </c>
      <c r="I111" s="20">
        <f>(VLOOKUP(B111,'Data Core CPI'!$A:$AX,MATCH($I$1,'Data Core CPI'!$A$1:$AX$1,),)-VLOOKUP(EDATE(B111,-12),'Data Core CPI'!$A:$AX,MATCH($I$1,'Data Core CPI'!$A$1:$AX$1,),))/VLOOKUP(EDATE(B111,-12),'Data Core CPI'!$A:$AX,MATCH($I$1,'Data Core CPI'!$A$1:$AX$1,),)</f>
        <v/>
      </c>
      <c r="J111" s="20">
        <f>(VLOOKUP(B111,'Data Core CPI'!$A:$AX,MATCH($J$1,'Data Core CPI'!$A$1:$AX$1,),)-VLOOKUP(EDATE(B111,-12),'Data Core CPI'!$A:$AX,MATCH($J$1,'Data Core CPI'!$A$1:$AX$1,),))/VLOOKUP(EDATE(B111,-12),'Data Core CPI'!$A:$AX,MATCH($J$1,'Data Core CPI'!$A$1:$AX$1,),)</f>
        <v/>
      </c>
      <c r="K111" s="20">
        <f>(VLOOKUP(B111,'Data Core CPI'!$A:$AX,MATCH($K$1,'Data Core CPI'!$A$1:$AX$1,),)-VLOOKUP(EDATE(B111,-12),'Data Core CPI'!$A:$AX,MATCH($K$1,'Data Core CPI'!$A$1:$AX$1,),))/VLOOKUP(EDATE(B111,-12),'Data Core CPI'!$A:$AX,MATCH($K$1,'Data Core CPI'!$A$1:$AX$1,),)</f>
        <v/>
      </c>
      <c r="L111" s="20">
        <f>(VLOOKUP(B111,'Data Core CPI'!$A:$AX,MATCH($L$1,'Data Core CPI'!$A$1:$AX$1,),)-VLOOKUP(EDATE(B111,-12),'Data Core CPI'!$A:$AX,MATCH($L$1,'Data Core CPI'!$A$1:$AX$1,),))/VLOOKUP(EDATE(B111,-12),'Data Core CPI'!$A:$AX,MATCH($L$1,'Data Core CPI'!$A$1:$AX$1,),)</f>
        <v/>
      </c>
      <c r="M111" s="20">
        <f>(VLOOKUP(B111,'Data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(VLOOKUP(B111,'Data Core CPI'!$A:$AX,MATCH($W$1,'Data Core CPI'!$A$1:$AX$1,),)-VLOOKUP(EDATE(B111,-12),'Data Core CPI'!$A:$AX,MATCH($W$1,'Data Core CPI'!$A$1:$AX$1,),))/VLOOKUP(EDATE(B111,-12),'Data Core CPI'!$A:$AX,MATCH($W$1,'Data Core CPI'!$A$1:$AX$1,),)</f>
        <v/>
      </c>
      <c r="X111" s="20">
        <f>(VLOOKUP(B111,'Data Core CPI'!$A:$AX,MATCH($X$1,'Data Core CPI'!$A$1:$AX$1,),)-VLOOKUP(EDATE(B111,-12),'Data Core CPI'!$A:$AX,MATCH($X$1,'Data Core CPI'!$A$1:$AX$1,),))/VLOOKUP(EDATE(B111,-12),'Data Core CPI'!$A:$AX,MATCH($X$1,'Data Core CPI'!$A$1:$AX$1,),)</f>
        <v/>
      </c>
      <c r="Y111" s="20">
        <f>(VLOOKUP(B111,'Data Core CPI'!$A:$AX,MATCH($Y$1,'Data Core CPI'!$A$1:$AX$1,),)-VLOOKUP(EDATE(B111,-12),'Data Core CPI'!$A:$AX,MATCH($Y$1,'Data Core CPI'!$A$1:$AX$1,),))/VLOOKUP(EDATE(B111,-12),'Data Core CPI'!$A:$AX,MATCH($Y$1,'Data Core CPI'!$A$1:$AX$1,),)</f>
        <v/>
      </c>
    </row>
    <row r="112" customFormat="1" s="76">
      <c r="B112" s="15" t="n">
        <v>43617</v>
      </c>
      <c r="C112" s="20">
        <f>(VLOOKUP(B112,'Data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(VLOOKUP(B112,'Data Core CPI'!$A:$AX,MATCH($E$1,'Data Core CPI'!$A$1:$AX$1,),)-VLOOKUP(EDATE(B112,-12),'Data Core CPI'!$A:$AX,MATCH($E$1,'Data Core CPI'!$A$1:$AX$1,),))/VLOOKUP(EDATE(B112,-12),'Data Core CPI'!$A:$AX,MATCH($E$1,'Data Core CPI'!$A$1:$AX$1,),)</f>
        <v/>
      </c>
      <c r="F112" s="20">
        <f>(VLOOKUP(B112,'Data Core CPI'!$A:$AX,MATCH($F$1,'Data Core CPI'!$A$1:$AX$1,),)-VLOOKUP(EDATE(B112,-12),'Data Core CPI'!$A:$AX,MATCH($F$1,'Data Core CPI'!$A$1:$AX$1,),))/VLOOKUP(EDATE(B112,-12),'Data Core CPI'!$A:$AX,MATCH($F$1,'Data Core CPI'!$A$1:$AX$1,),)</f>
        <v/>
      </c>
      <c r="G112" s="20">
        <f>(VLOOKUP(B112,'Data Core CPI'!$A:$AX,MATCH($G$1,'Data Core CPI'!$A$1:$AX$1,),)-VLOOKUP(EDATE(B112,-12),'Data Core CPI'!$A:$AX,MATCH($G$1,'Data Core CPI'!$A$1:$AX$1,),))/VLOOKUP(EDATE(B112,-12),'Data Core CPI'!$A:$AX,MATCH($G$1,'Data Core CPI'!$A$1:$AX$1,),)</f>
        <v/>
      </c>
      <c r="H112" s="20">
        <f>(VLOOKUP(B112,'Data Core CPI'!$A:$AX,MATCH($H$1,'Data Core CPI'!$A$1:$AX$1,),)-VLOOKUP(EDATE(B112,-12),'Data Core CPI'!$A:$AX,MATCH($H$1,'Data Core CPI'!$A$1:$AX$1,),))/VLOOKUP(EDATE(B112,-12),'Data Core CPI'!$A:$AX,MATCH($H$1,'Data Core CPI'!$A$1:$AX$1,),)</f>
        <v/>
      </c>
      <c r="I112" s="20">
        <f>(VLOOKUP(B112,'Data Core CPI'!$A:$AX,MATCH($I$1,'Data Core CPI'!$A$1:$AX$1,),)-VLOOKUP(EDATE(B112,-12),'Data Core CPI'!$A:$AX,MATCH($I$1,'Data Core CPI'!$A$1:$AX$1,),))/VLOOKUP(EDATE(B112,-12),'Data Core CPI'!$A:$AX,MATCH($I$1,'Data Core CPI'!$A$1:$AX$1,),)</f>
        <v/>
      </c>
      <c r="J112" s="20">
        <f>(VLOOKUP(B112,'Data Core CPI'!$A:$AX,MATCH($J$1,'Data Core CPI'!$A$1:$AX$1,),)-VLOOKUP(EDATE(B112,-12),'Data Core CPI'!$A:$AX,MATCH($J$1,'Data Core CPI'!$A$1:$AX$1,),))/VLOOKUP(EDATE(B112,-12),'Data Core CPI'!$A:$AX,MATCH($J$1,'Data Core CPI'!$A$1:$AX$1,),)</f>
        <v/>
      </c>
      <c r="K112" s="20">
        <f>(VLOOKUP(B112,'Data Core CPI'!$A:$AX,MATCH($K$1,'Data Core CPI'!$A$1:$AX$1,),)-VLOOKUP(EDATE(B112,-12),'Data Core CPI'!$A:$AX,MATCH($K$1,'Data Core CPI'!$A$1:$AX$1,),))/VLOOKUP(EDATE(B112,-12),'Data Core CPI'!$A:$AX,MATCH($K$1,'Data Core CPI'!$A$1:$AX$1,),)</f>
        <v/>
      </c>
      <c r="L112" s="20">
        <f>(VLOOKUP(B112,'Data Core CPI'!$A:$AX,MATCH($L$1,'Data Core CPI'!$A$1:$AX$1,),)-VLOOKUP(EDATE(B112,-12),'Data Core CPI'!$A:$AX,MATCH($L$1,'Data Core CPI'!$A$1:$AX$1,),))/VLOOKUP(EDATE(B112,-12),'Data Core CPI'!$A:$AX,MATCH($L$1,'Data Core CPI'!$A$1:$AX$1,),)</f>
        <v/>
      </c>
      <c r="M112" s="20">
        <f>(VLOOKUP(B112,'Data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(VLOOKUP(B112,'Data Core CPI'!$A:$AX,MATCH($W$1,'Data Core CPI'!$A$1:$AX$1,),)-VLOOKUP(EDATE(B112,-12),'Data Core CPI'!$A:$AX,MATCH($W$1,'Data Core CPI'!$A$1:$AX$1,),))/VLOOKUP(EDATE(B112,-12),'Data Core CPI'!$A:$AX,MATCH($W$1,'Data Core CPI'!$A$1:$AX$1,),)</f>
        <v/>
      </c>
      <c r="X112" s="20">
        <f>(VLOOKUP(B112,'Data Core CPI'!$A:$AX,MATCH($X$1,'Data Core CPI'!$A$1:$AX$1,),)-VLOOKUP(EDATE(B112,-12),'Data Core CPI'!$A:$AX,MATCH($X$1,'Data Core CPI'!$A$1:$AX$1,),))/VLOOKUP(EDATE(B112,-12),'Data Core CPI'!$A:$AX,MATCH($X$1,'Data Core CPI'!$A$1:$AX$1,),)</f>
        <v/>
      </c>
      <c r="Y112" s="20">
        <f>(VLOOKUP(B112,'Data Core CPI'!$A:$AX,MATCH($Y$1,'Data Core CPI'!$A$1:$AX$1,),)-VLOOKUP(EDATE(B112,-12),'Data Core CPI'!$A:$AX,MATCH($Y$1,'Data Core CPI'!$A$1:$AX$1,),))/VLOOKUP(EDATE(B112,-12),'Data Core CPI'!$A:$AX,MATCH($Y$1,'Data Core CPI'!$A$1:$AX$1,),)</f>
        <v/>
      </c>
    </row>
    <row r="113" customFormat="1" s="76">
      <c r="B113" s="15" t="n">
        <v>43647</v>
      </c>
      <c r="C113" s="20">
        <f>(VLOOKUP(B113,'Data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(VLOOKUP(B113,'Data Core CPI'!$A:$AX,MATCH($E$1,'Data Core CPI'!$A$1:$AX$1,),)-VLOOKUP(EDATE(B113,-12),'Data Core CPI'!$A:$AX,MATCH($E$1,'Data Core CPI'!$A$1:$AX$1,),))/VLOOKUP(EDATE(B113,-12),'Data Core CPI'!$A:$AX,MATCH($E$1,'Data Core CPI'!$A$1:$AX$1,),)</f>
        <v/>
      </c>
      <c r="F113" s="20">
        <f>(VLOOKUP(B113,'Data Core CPI'!$A:$AX,MATCH($F$1,'Data Core CPI'!$A$1:$AX$1,),)-VLOOKUP(EDATE(B113,-12),'Data Core CPI'!$A:$AX,MATCH($F$1,'Data Core CPI'!$A$1:$AX$1,),))/VLOOKUP(EDATE(B113,-12),'Data Core CPI'!$A:$AX,MATCH($F$1,'Data Core CPI'!$A$1:$AX$1,),)</f>
        <v/>
      </c>
      <c r="G113" s="20">
        <f>(VLOOKUP(B113,'Data Core CPI'!$A:$AX,MATCH($G$1,'Data Core CPI'!$A$1:$AX$1,),)-VLOOKUP(EDATE(B113,-12),'Data Core CPI'!$A:$AX,MATCH($G$1,'Data Core CPI'!$A$1:$AX$1,),))/VLOOKUP(EDATE(B113,-12),'Data Core CPI'!$A:$AX,MATCH($G$1,'Data Core CPI'!$A$1:$AX$1,),)</f>
        <v/>
      </c>
      <c r="H113" s="20">
        <f>(VLOOKUP(B113,'Data Core CPI'!$A:$AX,MATCH($H$1,'Data Core CPI'!$A$1:$AX$1,),)-VLOOKUP(EDATE(B113,-12),'Data Core CPI'!$A:$AX,MATCH($H$1,'Data Core CPI'!$A$1:$AX$1,),))/VLOOKUP(EDATE(B113,-12),'Data Core CPI'!$A:$AX,MATCH($H$1,'Data Core CPI'!$A$1:$AX$1,),)</f>
        <v/>
      </c>
      <c r="I113" s="20">
        <f>(VLOOKUP(B113,'Data Core CPI'!$A:$AX,MATCH($I$1,'Data Core CPI'!$A$1:$AX$1,),)-VLOOKUP(EDATE(B113,-12),'Data Core CPI'!$A:$AX,MATCH($I$1,'Data Core CPI'!$A$1:$AX$1,),))/VLOOKUP(EDATE(B113,-12),'Data Core CPI'!$A:$AX,MATCH($I$1,'Data Core CPI'!$A$1:$AX$1,),)</f>
        <v/>
      </c>
      <c r="J113" s="20">
        <f>(VLOOKUP(B113,'Data Core CPI'!$A:$AX,MATCH($J$1,'Data Core CPI'!$A$1:$AX$1,),)-VLOOKUP(EDATE(B113,-12),'Data Core CPI'!$A:$AX,MATCH($J$1,'Data Core CPI'!$A$1:$AX$1,),))/VLOOKUP(EDATE(B113,-12),'Data Core CPI'!$A:$AX,MATCH($J$1,'Data Core CPI'!$A$1:$AX$1,),)</f>
        <v/>
      </c>
      <c r="K113" s="20">
        <f>(VLOOKUP(B113,'Data Core CPI'!$A:$AX,MATCH($K$1,'Data Core CPI'!$A$1:$AX$1,),)-VLOOKUP(EDATE(B113,-12),'Data Core CPI'!$A:$AX,MATCH($K$1,'Data Core CPI'!$A$1:$AX$1,),))/VLOOKUP(EDATE(B113,-12),'Data Core CPI'!$A:$AX,MATCH($K$1,'Data Core CPI'!$A$1:$AX$1,),)</f>
        <v/>
      </c>
      <c r="L113" s="20">
        <f>(VLOOKUP(B113,'Data Core CPI'!$A:$AX,MATCH($L$1,'Data Core CPI'!$A$1:$AX$1,),)-VLOOKUP(EDATE(B113,-12),'Data Core CPI'!$A:$AX,MATCH($L$1,'Data Core CPI'!$A$1:$AX$1,),))/VLOOKUP(EDATE(B113,-12),'Data Core CPI'!$A:$AX,MATCH($L$1,'Data Core CPI'!$A$1:$AX$1,),)</f>
        <v/>
      </c>
      <c r="M113" s="20">
        <f>(VLOOKUP(B113,'Data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(VLOOKUP(B113,'Data Core CPI'!$A:$AX,MATCH($W$1,'Data Core CPI'!$A$1:$AX$1,),)-VLOOKUP(EDATE(B113,-12),'Data Core CPI'!$A:$AX,MATCH($W$1,'Data Core CPI'!$A$1:$AX$1,),))/VLOOKUP(EDATE(B113,-12),'Data Core CPI'!$A:$AX,MATCH($W$1,'Data Core CPI'!$A$1:$AX$1,),)</f>
        <v/>
      </c>
      <c r="X113" s="20">
        <f>(VLOOKUP(B113,'Data Core CPI'!$A:$AX,MATCH($X$1,'Data Core CPI'!$A$1:$AX$1,),)-VLOOKUP(EDATE(B113,-12),'Data Core CPI'!$A:$AX,MATCH($X$1,'Data Core CPI'!$A$1:$AX$1,),))/VLOOKUP(EDATE(B113,-12),'Data Core CPI'!$A:$AX,MATCH($X$1,'Data Core CPI'!$A$1:$AX$1,),)</f>
        <v/>
      </c>
      <c r="Y113" s="20">
        <f>(VLOOKUP(B113,'Data Core CPI'!$A:$AX,MATCH($Y$1,'Data Core CPI'!$A$1:$AX$1,),)-VLOOKUP(EDATE(B113,-12),'Data Core CPI'!$A:$AX,MATCH($Y$1,'Data Core CPI'!$A$1:$AX$1,),))/VLOOKUP(EDATE(B113,-12),'Data Core CPI'!$A:$AX,MATCH($Y$1,'Data Core CPI'!$A$1:$AX$1,),)</f>
        <v/>
      </c>
    </row>
    <row r="114" customFormat="1" s="76">
      <c r="B114" s="15" t="n">
        <v>43678</v>
      </c>
      <c r="C114" s="20">
        <f>(VLOOKUP(B114,'Data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(VLOOKUP(B114,'Data Core CPI'!$A:$AX,MATCH($E$1,'Data Core CPI'!$A$1:$AX$1,),)-VLOOKUP(EDATE(B114,-12),'Data Core CPI'!$A:$AX,MATCH($E$1,'Data Core CPI'!$A$1:$AX$1,),))/VLOOKUP(EDATE(B114,-12),'Data Core CPI'!$A:$AX,MATCH($E$1,'Data Core CPI'!$A$1:$AX$1,),)</f>
        <v/>
      </c>
      <c r="F114" s="20">
        <f>(VLOOKUP(B114,'Data Core CPI'!$A:$AX,MATCH($F$1,'Data Core CPI'!$A$1:$AX$1,),)-VLOOKUP(EDATE(B114,-12),'Data Core CPI'!$A:$AX,MATCH($F$1,'Data Core CPI'!$A$1:$AX$1,),))/VLOOKUP(EDATE(B114,-12),'Data Core CPI'!$A:$AX,MATCH($F$1,'Data Core CPI'!$A$1:$AX$1,),)</f>
        <v/>
      </c>
      <c r="G114" s="20">
        <f>(VLOOKUP(B114,'Data Core CPI'!$A:$AX,MATCH($G$1,'Data Core CPI'!$A$1:$AX$1,),)-VLOOKUP(EDATE(B114,-12),'Data Core CPI'!$A:$AX,MATCH($G$1,'Data Core CPI'!$A$1:$AX$1,),))/VLOOKUP(EDATE(B114,-12),'Data Core CPI'!$A:$AX,MATCH($G$1,'Data Core CPI'!$A$1:$AX$1,),)</f>
        <v/>
      </c>
      <c r="H114" s="20">
        <f>(VLOOKUP(B114,'Data Core CPI'!$A:$AX,MATCH($H$1,'Data Core CPI'!$A$1:$AX$1,),)-VLOOKUP(EDATE(B114,-12),'Data Core CPI'!$A:$AX,MATCH($H$1,'Data Core CPI'!$A$1:$AX$1,),))/VLOOKUP(EDATE(B114,-12),'Data Core CPI'!$A:$AX,MATCH($H$1,'Data Core CPI'!$A$1:$AX$1,),)</f>
        <v/>
      </c>
      <c r="I114" s="20">
        <f>(VLOOKUP(B114,'Data Core CPI'!$A:$AX,MATCH($I$1,'Data Core CPI'!$A$1:$AX$1,),)-VLOOKUP(EDATE(B114,-12),'Data Core CPI'!$A:$AX,MATCH($I$1,'Data Core CPI'!$A$1:$AX$1,),))/VLOOKUP(EDATE(B114,-12),'Data Core CPI'!$A:$AX,MATCH($I$1,'Data Core CPI'!$A$1:$AX$1,),)</f>
        <v/>
      </c>
      <c r="J114" s="20">
        <f>(VLOOKUP(B114,'Data Core CPI'!$A:$AX,MATCH($J$1,'Data Core CPI'!$A$1:$AX$1,),)-VLOOKUP(EDATE(B114,-12),'Data Core CPI'!$A:$AX,MATCH($J$1,'Data Core CPI'!$A$1:$AX$1,),))/VLOOKUP(EDATE(B114,-12),'Data Core CPI'!$A:$AX,MATCH($J$1,'Data Core CPI'!$A$1:$AX$1,),)</f>
        <v/>
      </c>
      <c r="K114" s="20">
        <f>(VLOOKUP(B114,'Data Core CPI'!$A:$AX,MATCH($K$1,'Data Core CPI'!$A$1:$AX$1,),)-VLOOKUP(EDATE(B114,-12),'Data Core CPI'!$A:$AX,MATCH($K$1,'Data Core CPI'!$A$1:$AX$1,),))/VLOOKUP(EDATE(B114,-12),'Data Core CPI'!$A:$AX,MATCH($K$1,'Data Core CPI'!$A$1:$AX$1,),)</f>
        <v/>
      </c>
      <c r="L114" s="20">
        <f>(VLOOKUP(B114,'Data Core CPI'!$A:$AX,MATCH($L$1,'Data Core CPI'!$A$1:$AX$1,),)-VLOOKUP(EDATE(B114,-12),'Data Core CPI'!$A:$AX,MATCH($L$1,'Data Core CPI'!$A$1:$AX$1,),))/VLOOKUP(EDATE(B114,-12),'Data Core CPI'!$A:$AX,MATCH($L$1,'Data Core CPI'!$A$1:$AX$1,),)</f>
        <v/>
      </c>
      <c r="M114" s="20">
        <f>(VLOOKUP(B114,'Data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(VLOOKUP(B114,'Data Core CPI'!$A:$AX,MATCH($W$1,'Data Core CPI'!$A$1:$AX$1,),)-VLOOKUP(EDATE(B114,-12),'Data Core CPI'!$A:$AX,MATCH($W$1,'Data Core CPI'!$A$1:$AX$1,),))/VLOOKUP(EDATE(B114,-12),'Data Core CPI'!$A:$AX,MATCH($W$1,'Data Core CPI'!$A$1:$AX$1,),)</f>
        <v/>
      </c>
      <c r="X114" s="20">
        <f>(VLOOKUP(B114,'Data Core CPI'!$A:$AX,MATCH($X$1,'Data Core CPI'!$A$1:$AX$1,),)-VLOOKUP(EDATE(B114,-12),'Data Core CPI'!$A:$AX,MATCH($X$1,'Data Core CPI'!$A$1:$AX$1,),))/VLOOKUP(EDATE(B114,-12),'Data Core CPI'!$A:$AX,MATCH($X$1,'Data Core CPI'!$A$1:$AX$1,),)</f>
        <v/>
      </c>
      <c r="Y114" s="20">
        <f>(VLOOKUP(B114,'Data Core CPI'!$A:$AX,MATCH($Y$1,'Data Core CPI'!$A$1:$AX$1,),)-VLOOKUP(EDATE(B114,-12),'Data Core CPI'!$A:$AX,MATCH($Y$1,'Data Core CPI'!$A$1:$AX$1,),))/VLOOKUP(EDATE(B114,-12),'Data Core CPI'!$A:$AX,MATCH($Y$1,'Data Core CPI'!$A$1:$AX$1,),)</f>
        <v/>
      </c>
    </row>
    <row r="115" customFormat="1" s="76">
      <c r="B115" s="15" t="n">
        <v>43709</v>
      </c>
      <c r="C115" s="20">
        <f>(VLOOKUP(B115,'Data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(VLOOKUP(B115,'Data Core CPI'!$A:$AX,MATCH($E$1,'Data Core CPI'!$A$1:$AX$1,),)-VLOOKUP(EDATE(B115,-12),'Data Core CPI'!$A:$AX,MATCH($E$1,'Data Core CPI'!$A$1:$AX$1,),))/VLOOKUP(EDATE(B115,-12),'Data Core CPI'!$A:$AX,MATCH($E$1,'Data Core CPI'!$A$1:$AX$1,),)</f>
        <v/>
      </c>
      <c r="F115" s="20">
        <f>(VLOOKUP(B115,'Data Core CPI'!$A:$AX,MATCH($F$1,'Data Core CPI'!$A$1:$AX$1,),)-VLOOKUP(EDATE(B115,-12),'Data Core CPI'!$A:$AX,MATCH($F$1,'Data Core CPI'!$A$1:$AX$1,),))/VLOOKUP(EDATE(B115,-12),'Data Core CPI'!$A:$AX,MATCH($F$1,'Data Core CPI'!$A$1:$AX$1,),)</f>
        <v/>
      </c>
      <c r="G115" s="20">
        <f>(VLOOKUP(B115,'Data Core CPI'!$A:$AX,MATCH($G$1,'Data Core CPI'!$A$1:$AX$1,),)-VLOOKUP(EDATE(B115,-12),'Data Core CPI'!$A:$AX,MATCH($G$1,'Data Core CPI'!$A$1:$AX$1,),))/VLOOKUP(EDATE(B115,-12),'Data Core CPI'!$A:$AX,MATCH($G$1,'Data Core CPI'!$A$1:$AX$1,),)</f>
        <v/>
      </c>
      <c r="H115" s="20">
        <f>(VLOOKUP(B115,'Data Core CPI'!$A:$AX,MATCH($H$1,'Data Core CPI'!$A$1:$AX$1,),)-VLOOKUP(EDATE(B115,-12),'Data Core CPI'!$A:$AX,MATCH($H$1,'Data Core CPI'!$A$1:$AX$1,),))/VLOOKUP(EDATE(B115,-12),'Data Core CPI'!$A:$AX,MATCH($H$1,'Data Core CPI'!$A$1:$AX$1,),)</f>
        <v/>
      </c>
      <c r="I115" s="20">
        <f>(VLOOKUP(B115,'Data Core CPI'!$A:$AX,MATCH($I$1,'Data Core CPI'!$A$1:$AX$1,),)-VLOOKUP(EDATE(B115,-12),'Data Core CPI'!$A:$AX,MATCH($I$1,'Data Core CPI'!$A$1:$AX$1,),))/VLOOKUP(EDATE(B115,-12),'Data Core CPI'!$A:$AX,MATCH($I$1,'Data Core CPI'!$A$1:$AX$1,),)</f>
        <v/>
      </c>
      <c r="J115" s="20">
        <f>(VLOOKUP(B115,'Data Core CPI'!$A:$AX,MATCH($J$1,'Data Core CPI'!$A$1:$AX$1,),)-VLOOKUP(EDATE(B115,-12),'Data Core CPI'!$A:$AX,MATCH($J$1,'Data Core CPI'!$A$1:$AX$1,),))/VLOOKUP(EDATE(B115,-12),'Data Core CPI'!$A:$AX,MATCH($J$1,'Data Core CPI'!$A$1:$AX$1,),)</f>
        <v/>
      </c>
      <c r="K115" s="20">
        <f>(VLOOKUP(B115,'Data Core CPI'!$A:$AX,MATCH($K$1,'Data Core CPI'!$A$1:$AX$1,),)-VLOOKUP(EDATE(B115,-12),'Data Core CPI'!$A:$AX,MATCH($K$1,'Data Core CPI'!$A$1:$AX$1,),))/VLOOKUP(EDATE(B115,-12),'Data Core CPI'!$A:$AX,MATCH($K$1,'Data Core CPI'!$A$1:$AX$1,),)</f>
        <v/>
      </c>
      <c r="L115" s="20">
        <f>(VLOOKUP(B115,'Data Core CPI'!$A:$AX,MATCH($L$1,'Data Core CPI'!$A$1:$AX$1,),)-VLOOKUP(EDATE(B115,-12),'Data Core CPI'!$A:$AX,MATCH($L$1,'Data Core CPI'!$A$1:$AX$1,),))/VLOOKUP(EDATE(B115,-12),'Data Core CPI'!$A:$AX,MATCH($L$1,'Data Core CPI'!$A$1:$AX$1,),)</f>
        <v/>
      </c>
      <c r="M115" s="20">
        <f>(VLOOKUP(B115,'Data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(VLOOKUP(B115,'Data Core CPI'!$A:$AX,MATCH($W$1,'Data Core CPI'!$A$1:$AX$1,),)-VLOOKUP(EDATE(B115,-12),'Data Core CPI'!$A:$AX,MATCH($W$1,'Data Core CPI'!$A$1:$AX$1,),))/VLOOKUP(EDATE(B115,-12),'Data Core CPI'!$A:$AX,MATCH($W$1,'Data Core CPI'!$A$1:$AX$1,),)</f>
        <v/>
      </c>
      <c r="X115" s="20">
        <f>(VLOOKUP(B115,'Data Core CPI'!$A:$AX,MATCH($X$1,'Data Core CPI'!$A$1:$AX$1,),)-VLOOKUP(EDATE(B115,-12),'Data Core CPI'!$A:$AX,MATCH($X$1,'Data Core CPI'!$A$1:$AX$1,),))/VLOOKUP(EDATE(B115,-12),'Data Core CPI'!$A:$AX,MATCH($X$1,'Data Core CPI'!$A$1:$AX$1,),)</f>
        <v/>
      </c>
      <c r="Y115" s="20">
        <f>(VLOOKUP(B115,'Data Core CPI'!$A:$AX,MATCH($Y$1,'Data Core CPI'!$A$1:$AX$1,),)-VLOOKUP(EDATE(B115,-12),'Data Core CPI'!$A:$AX,MATCH($Y$1,'Data Core CPI'!$A$1:$AX$1,),))/VLOOKUP(EDATE(B115,-12),'Data Core CPI'!$A:$AX,MATCH($Y$1,'Data Core CPI'!$A$1:$AX$1,),)</f>
        <v/>
      </c>
    </row>
    <row r="116" customFormat="1" s="76">
      <c r="B116" s="15" t="n">
        <v>43739</v>
      </c>
      <c r="C116" s="20">
        <f>(VLOOKUP(B116,'Data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(VLOOKUP(B116,'Data Core CPI'!$A:$AX,MATCH($E$1,'Data Core CPI'!$A$1:$AX$1,),)-VLOOKUP(EDATE(B116,-12),'Data Core CPI'!$A:$AX,MATCH($E$1,'Data Core CPI'!$A$1:$AX$1,),))/VLOOKUP(EDATE(B116,-12),'Data Core CPI'!$A:$AX,MATCH($E$1,'Data Core CPI'!$A$1:$AX$1,),)</f>
        <v/>
      </c>
      <c r="F116" s="20">
        <f>(VLOOKUP(B116,'Data Core CPI'!$A:$AX,MATCH($F$1,'Data Core CPI'!$A$1:$AX$1,),)-VLOOKUP(EDATE(B116,-12),'Data Core CPI'!$A:$AX,MATCH($F$1,'Data Core CPI'!$A$1:$AX$1,),))/VLOOKUP(EDATE(B116,-12),'Data Core CPI'!$A:$AX,MATCH($F$1,'Data Core CPI'!$A$1:$AX$1,),)</f>
        <v/>
      </c>
      <c r="G116" s="20">
        <f>(VLOOKUP(B116,'Data Core CPI'!$A:$AX,MATCH($G$1,'Data Core CPI'!$A$1:$AX$1,),)-VLOOKUP(EDATE(B116,-12),'Data Core CPI'!$A:$AX,MATCH($G$1,'Data Core CPI'!$A$1:$AX$1,),))/VLOOKUP(EDATE(B116,-12),'Data Core CPI'!$A:$AX,MATCH($G$1,'Data Core CPI'!$A$1:$AX$1,),)</f>
        <v/>
      </c>
      <c r="H116" s="20">
        <f>(VLOOKUP(B116,'Data Core CPI'!$A:$AX,MATCH($H$1,'Data Core CPI'!$A$1:$AX$1,),)-VLOOKUP(EDATE(B116,-12),'Data Core CPI'!$A:$AX,MATCH($H$1,'Data Core CPI'!$A$1:$AX$1,),))/VLOOKUP(EDATE(B116,-12),'Data Core CPI'!$A:$AX,MATCH($H$1,'Data Core CPI'!$A$1:$AX$1,),)</f>
        <v/>
      </c>
      <c r="I116" s="20">
        <f>(VLOOKUP(B116,'Data Core CPI'!$A:$AX,MATCH($I$1,'Data Core CPI'!$A$1:$AX$1,),)-VLOOKUP(EDATE(B116,-12),'Data Core CPI'!$A:$AX,MATCH($I$1,'Data Core CPI'!$A$1:$AX$1,),))/VLOOKUP(EDATE(B116,-12),'Data Core CPI'!$A:$AX,MATCH($I$1,'Data Core CPI'!$A$1:$AX$1,),)</f>
        <v/>
      </c>
      <c r="J116" s="20">
        <f>(VLOOKUP(B116,'Data Core CPI'!$A:$AX,MATCH($J$1,'Data Core CPI'!$A$1:$AX$1,),)-VLOOKUP(EDATE(B116,-12),'Data Core CPI'!$A:$AX,MATCH($J$1,'Data Core CPI'!$A$1:$AX$1,),))/VLOOKUP(EDATE(B116,-12),'Data Core CPI'!$A:$AX,MATCH($J$1,'Data Core CPI'!$A$1:$AX$1,),)</f>
        <v/>
      </c>
      <c r="K116" s="20">
        <f>(VLOOKUP(B116,'Data Core CPI'!$A:$AX,MATCH($K$1,'Data Core CPI'!$A$1:$AX$1,),)-VLOOKUP(EDATE(B116,-12),'Data Core CPI'!$A:$AX,MATCH($K$1,'Data Core CPI'!$A$1:$AX$1,),))/VLOOKUP(EDATE(B116,-12),'Data Core CPI'!$A:$AX,MATCH($K$1,'Data Core CPI'!$A$1:$AX$1,),)</f>
        <v/>
      </c>
      <c r="L116" s="20">
        <f>(VLOOKUP(B116,'Data Core CPI'!$A:$AX,MATCH($L$1,'Data Core CPI'!$A$1:$AX$1,),)-VLOOKUP(EDATE(B116,-12),'Data Core CPI'!$A:$AX,MATCH($L$1,'Data Core CPI'!$A$1:$AX$1,),))/VLOOKUP(EDATE(B116,-12),'Data Core CPI'!$A:$AX,MATCH($L$1,'Data Core CPI'!$A$1:$AX$1,),)</f>
        <v/>
      </c>
      <c r="M116" s="20">
        <f>(VLOOKUP(B116,'Data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(VLOOKUP(B116,'Data Core CPI'!$A:$AX,MATCH($W$1,'Data Core CPI'!$A$1:$AX$1,),)-VLOOKUP(EDATE(B116,-12),'Data Core CPI'!$A:$AX,MATCH($W$1,'Data Core CPI'!$A$1:$AX$1,),))/VLOOKUP(EDATE(B116,-12),'Data Core CPI'!$A:$AX,MATCH($W$1,'Data Core CPI'!$A$1:$AX$1,),)</f>
        <v/>
      </c>
      <c r="X116" s="20">
        <f>(VLOOKUP(B116,'Data Core CPI'!$A:$AX,MATCH($X$1,'Data Core CPI'!$A$1:$AX$1,),)-VLOOKUP(EDATE(B116,-12),'Data Core CPI'!$A:$AX,MATCH($X$1,'Data Core CPI'!$A$1:$AX$1,),))/VLOOKUP(EDATE(B116,-12),'Data Core CPI'!$A:$AX,MATCH($X$1,'Data Core CPI'!$A$1:$AX$1,),)</f>
        <v/>
      </c>
      <c r="Y116" s="20">
        <f>(VLOOKUP(B116,'Data Core CPI'!$A:$AX,MATCH($Y$1,'Data Core CPI'!$A$1:$AX$1,),)-VLOOKUP(EDATE(B116,-12),'Data Core CPI'!$A:$AX,MATCH($Y$1,'Data Core CPI'!$A$1:$AX$1,),))/VLOOKUP(EDATE(B116,-12),'Data Core CPI'!$A:$AX,MATCH($Y$1,'Data Core CPI'!$A$1:$AX$1,),)</f>
        <v/>
      </c>
    </row>
    <row r="117" customFormat="1" s="76">
      <c r="B117" s="15" t="n">
        <v>43770</v>
      </c>
      <c r="C117" s="20">
        <f>(VLOOKUP(B117,'Data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(VLOOKUP(B117,'Data Core CPI'!$A:$AX,MATCH($E$1,'Data Core CPI'!$A$1:$AX$1,),)-VLOOKUP(EDATE(B117,-12),'Data Core CPI'!$A:$AX,MATCH($E$1,'Data Core CPI'!$A$1:$AX$1,),))/VLOOKUP(EDATE(B117,-12),'Data Core CPI'!$A:$AX,MATCH($E$1,'Data Core CPI'!$A$1:$AX$1,),)</f>
        <v/>
      </c>
      <c r="F117" s="20">
        <f>(VLOOKUP(B117,'Data Core CPI'!$A:$AX,MATCH($F$1,'Data Core CPI'!$A$1:$AX$1,),)-VLOOKUP(EDATE(B117,-12),'Data Core CPI'!$A:$AX,MATCH($F$1,'Data Core CPI'!$A$1:$AX$1,),))/VLOOKUP(EDATE(B117,-12),'Data Core CPI'!$A:$AX,MATCH($F$1,'Data Core CPI'!$A$1:$AX$1,),)</f>
        <v/>
      </c>
      <c r="G117" s="20">
        <f>(VLOOKUP(B117,'Data Core CPI'!$A:$AX,MATCH($G$1,'Data Core CPI'!$A$1:$AX$1,),)-VLOOKUP(EDATE(B117,-12),'Data Core CPI'!$A:$AX,MATCH($G$1,'Data Core CPI'!$A$1:$AX$1,),))/VLOOKUP(EDATE(B117,-12),'Data Core CPI'!$A:$AX,MATCH($G$1,'Data Core CPI'!$A$1:$AX$1,),)</f>
        <v/>
      </c>
      <c r="H117" s="20">
        <f>(VLOOKUP(B117,'Data Core CPI'!$A:$AX,MATCH($H$1,'Data Core CPI'!$A$1:$AX$1,),)-VLOOKUP(EDATE(B117,-12),'Data Core CPI'!$A:$AX,MATCH($H$1,'Data Core CPI'!$A$1:$AX$1,),))/VLOOKUP(EDATE(B117,-12),'Data Core CPI'!$A:$AX,MATCH($H$1,'Data Core CPI'!$A$1:$AX$1,),)</f>
        <v/>
      </c>
      <c r="I117" s="20">
        <f>(VLOOKUP(B117,'Data Core CPI'!$A:$AX,MATCH($I$1,'Data Core CPI'!$A$1:$AX$1,),)-VLOOKUP(EDATE(B117,-12),'Data Core CPI'!$A:$AX,MATCH($I$1,'Data Core CPI'!$A$1:$AX$1,),))/VLOOKUP(EDATE(B117,-12),'Data Core CPI'!$A:$AX,MATCH($I$1,'Data Core CPI'!$A$1:$AX$1,),)</f>
        <v/>
      </c>
      <c r="J117" s="20">
        <f>(VLOOKUP(B117,'Data Core CPI'!$A:$AX,MATCH($J$1,'Data Core CPI'!$A$1:$AX$1,),)-VLOOKUP(EDATE(B117,-12),'Data Core CPI'!$A:$AX,MATCH($J$1,'Data Core CPI'!$A$1:$AX$1,),))/VLOOKUP(EDATE(B117,-12),'Data Core CPI'!$A:$AX,MATCH($J$1,'Data Core CPI'!$A$1:$AX$1,),)</f>
        <v/>
      </c>
      <c r="K117" s="20">
        <f>(VLOOKUP(B117,'Data Core CPI'!$A:$AX,MATCH($K$1,'Data Core CPI'!$A$1:$AX$1,),)-VLOOKUP(EDATE(B117,-12),'Data Core CPI'!$A:$AX,MATCH($K$1,'Data Core CPI'!$A$1:$AX$1,),))/VLOOKUP(EDATE(B117,-12),'Data Core CPI'!$A:$AX,MATCH($K$1,'Data Core CPI'!$A$1:$AX$1,),)</f>
        <v/>
      </c>
      <c r="L117" s="20">
        <f>(VLOOKUP(B117,'Data Core CPI'!$A:$AX,MATCH($L$1,'Data Core CPI'!$A$1:$AX$1,),)-VLOOKUP(EDATE(B117,-12),'Data Core CPI'!$A:$AX,MATCH($L$1,'Data Core CPI'!$A$1:$AX$1,),))/VLOOKUP(EDATE(B117,-12),'Data Core CPI'!$A:$AX,MATCH($L$1,'Data Core CPI'!$A$1:$AX$1,),)</f>
        <v/>
      </c>
      <c r="M117" s="20">
        <f>(VLOOKUP(B117,'Data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(VLOOKUP(B117,'Data Core CPI'!$A:$AX,MATCH($W$1,'Data Core CPI'!$A$1:$AX$1,),)-VLOOKUP(EDATE(B117,-12),'Data Core CPI'!$A:$AX,MATCH($W$1,'Data Core CPI'!$A$1:$AX$1,),))/VLOOKUP(EDATE(B117,-12),'Data Core CPI'!$A:$AX,MATCH($W$1,'Data Core CPI'!$A$1:$AX$1,),)</f>
        <v/>
      </c>
      <c r="X117" s="20">
        <f>(VLOOKUP(B117,'Data Core CPI'!$A:$AX,MATCH($X$1,'Data Core CPI'!$A$1:$AX$1,),)-VLOOKUP(EDATE(B117,-12),'Data Core CPI'!$A:$AX,MATCH($X$1,'Data Core CPI'!$A$1:$AX$1,),))/VLOOKUP(EDATE(B117,-12),'Data Core CPI'!$A:$AX,MATCH($X$1,'Data Core CPI'!$A$1:$AX$1,),)</f>
        <v/>
      </c>
      <c r="Y117" s="20">
        <f>(VLOOKUP(B117,'Data Core CPI'!$A:$AX,MATCH($Y$1,'Data Core CPI'!$A$1:$AX$1,),)-VLOOKUP(EDATE(B117,-12),'Data Core CPI'!$A:$AX,MATCH($Y$1,'Data Core CPI'!$A$1:$AX$1,),))/VLOOKUP(EDATE(B117,-12),'Data Core CPI'!$A:$AX,MATCH($Y$1,'Data Core CPI'!$A$1:$AX$1,),)</f>
        <v/>
      </c>
    </row>
    <row r="118" customFormat="1" s="76">
      <c r="B118" s="15" t="n">
        <v>43800</v>
      </c>
      <c r="C118" s="20">
        <f>(VLOOKUP(B118,'Data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(VLOOKUP(B118,'Data Core CPI'!$A:$AX,MATCH($E$1,'Data Core CPI'!$A$1:$AX$1,),)-VLOOKUP(EDATE(B118,-12),'Data Core CPI'!$A:$AX,MATCH($E$1,'Data Core CPI'!$A$1:$AX$1,),))/VLOOKUP(EDATE(B118,-12),'Data Core CPI'!$A:$AX,MATCH($E$1,'Data Core CPI'!$A$1:$AX$1,),)</f>
        <v/>
      </c>
      <c r="F118" s="20">
        <f>(VLOOKUP(B118,'Data Core CPI'!$A:$AX,MATCH($F$1,'Data Core CPI'!$A$1:$AX$1,),)-VLOOKUP(EDATE(B118,-12),'Data Core CPI'!$A:$AX,MATCH($F$1,'Data Core CPI'!$A$1:$AX$1,),))/VLOOKUP(EDATE(B118,-12),'Data Core CPI'!$A:$AX,MATCH($F$1,'Data Core CPI'!$A$1:$AX$1,),)</f>
        <v/>
      </c>
      <c r="G118" s="20">
        <f>(VLOOKUP(B118,'Data Core CPI'!$A:$AX,MATCH($G$1,'Data Core CPI'!$A$1:$AX$1,),)-VLOOKUP(EDATE(B118,-12),'Data Core CPI'!$A:$AX,MATCH($G$1,'Data Core CPI'!$A$1:$AX$1,),))/VLOOKUP(EDATE(B118,-12),'Data Core CPI'!$A:$AX,MATCH($G$1,'Data Core CPI'!$A$1:$AX$1,),)</f>
        <v/>
      </c>
      <c r="H118" s="20">
        <f>(VLOOKUP(B118,'Data Core CPI'!$A:$AX,MATCH($H$1,'Data Core CPI'!$A$1:$AX$1,),)-VLOOKUP(EDATE(B118,-12),'Data Core CPI'!$A:$AX,MATCH($H$1,'Data Core CPI'!$A$1:$AX$1,),))/VLOOKUP(EDATE(B118,-12),'Data Core CPI'!$A:$AX,MATCH($H$1,'Data Core CPI'!$A$1:$AX$1,),)</f>
        <v/>
      </c>
      <c r="I118" s="20">
        <f>(VLOOKUP(B118,'Data Core CPI'!$A:$AX,MATCH($I$1,'Data Core CPI'!$A$1:$AX$1,),)-VLOOKUP(EDATE(B118,-12),'Data Core CPI'!$A:$AX,MATCH($I$1,'Data Core CPI'!$A$1:$AX$1,),))/VLOOKUP(EDATE(B118,-12),'Data Core CPI'!$A:$AX,MATCH($I$1,'Data Core CPI'!$A$1:$AX$1,),)</f>
        <v/>
      </c>
      <c r="J118" s="20">
        <f>(VLOOKUP(B118,'Data Core CPI'!$A:$AX,MATCH($J$1,'Data Core CPI'!$A$1:$AX$1,),)-VLOOKUP(EDATE(B118,-12),'Data Core CPI'!$A:$AX,MATCH($J$1,'Data Core CPI'!$A$1:$AX$1,),))/VLOOKUP(EDATE(B118,-12),'Data Core CPI'!$A:$AX,MATCH($J$1,'Data Core CPI'!$A$1:$AX$1,),)</f>
        <v/>
      </c>
      <c r="K118" s="20">
        <f>(VLOOKUP(B118,'Data Core CPI'!$A:$AX,MATCH($K$1,'Data Core CPI'!$A$1:$AX$1,),)-VLOOKUP(EDATE(B118,-12),'Data Core CPI'!$A:$AX,MATCH($K$1,'Data Core CPI'!$A$1:$AX$1,),))/VLOOKUP(EDATE(B118,-12),'Data Core CPI'!$A:$AX,MATCH($K$1,'Data Core CPI'!$A$1:$AX$1,),)</f>
        <v/>
      </c>
      <c r="L118" s="20">
        <f>(VLOOKUP(B118,'Data Core CPI'!$A:$AX,MATCH($L$1,'Data Core CPI'!$A$1:$AX$1,),)-VLOOKUP(EDATE(B118,-12),'Data Core CPI'!$A:$AX,MATCH($L$1,'Data Core CPI'!$A$1:$AX$1,),))/VLOOKUP(EDATE(B118,-12),'Data Core CPI'!$A:$AX,MATCH($L$1,'Data Core CPI'!$A$1:$AX$1,),)</f>
        <v/>
      </c>
      <c r="M118" s="20">
        <f>(VLOOKUP(B118,'Data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(VLOOKUP(B118,'Data Core CPI'!$A:$AX,MATCH($W$1,'Data Core CPI'!$A$1:$AX$1,),)-VLOOKUP(EDATE(B118,-12),'Data Core CPI'!$A:$AX,MATCH($W$1,'Data Core CPI'!$A$1:$AX$1,),))/VLOOKUP(EDATE(B118,-12),'Data Core CPI'!$A:$AX,MATCH($W$1,'Data Core CPI'!$A$1:$AX$1,),)</f>
        <v/>
      </c>
      <c r="X118" s="20">
        <f>(VLOOKUP(B118,'Data Core CPI'!$A:$AX,MATCH($X$1,'Data Core CPI'!$A$1:$AX$1,),)-VLOOKUP(EDATE(B118,-12),'Data Core CPI'!$A:$AX,MATCH($X$1,'Data Core CPI'!$A$1:$AX$1,),))/VLOOKUP(EDATE(B118,-12),'Data Core CPI'!$A:$AX,MATCH($X$1,'Data Core CPI'!$A$1:$AX$1,),)</f>
        <v/>
      </c>
      <c r="Y118" s="20">
        <f>(VLOOKUP(B118,'Data Core CPI'!$A:$AX,MATCH($Y$1,'Data Core CPI'!$A$1:$AX$1,),)-VLOOKUP(EDATE(B118,-12),'Data Core CPI'!$A:$AX,MATCH($Y$1,'Data Core CPI'!$A$1:$AX$1,),))/VLOOKUP(EDATE(B118,-12),'Data Core CPI'!$A:$AX,MATCH($Y$1,'Data Core CPI'!$A$1:$AX$1,),)</f>
        <v/>
      </c>
    </row>
    <row r="119" customFormat="1" s="76">
      <c r="B119" s="15" t="n">
        <v>43831</v>
      </c>
      <c r="C119" s="20">
        <f>(VLOOKUP(B119,'Data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(VLOOKUP(B119,'Data Core CPI'!$A:$AX,MATCH($E$1,'Data Core CPI'!$A$1:$AX$1,),)-VLOOKUP(EDATE(B119,-12),'Data Core CPI'!$A:$AX,MATCH($E$1,'Data Core CPI'!$A$1:$AX$1,),))/VLOOKUP(EDATE(B119,-12),'Data Core CPI'!$A:$AX,MATCH($E$1,'Data Core CPI'!$A$1:$AX$1,),)</f>
        <v/>
      </c>
      <c r="F119" s="20">
        <f>(VLOOKUP(B119,'Data Core CPI'!$A:$AX,MATCH($F$1,'Data Core CPI'!$A$1:$AX$1,),)-VLOOKUP(EDATE(B119,-12),'Data Core CPI'!$A:$AX,MATCH($F$1,'Data Core CPI'!$A$1:$AX$1,),))/VLOOKUP(EDATE(B119,-12),'Data Core CPI'!$A:$AX,MATCH($F$1,'Data Core CPI'!$A$1:$AX$1,),)</f>
        <v/>
      </c>
      <c r="G119" s="20">
        <f>(VLOOKUP(B119,'Data Core CPI'!$A:$AX,MATCH($G$1,'Data Core CPI'!$A$1:$AX$1,),)-VLOOKUP(EDATE(B119,-12),'Data Core CPI'!$A:$AX,MATCH($G$1,'Data Core CPI'!$A$1:$AX$1,),))/VLOOKUP(EDATE(B119,-12),'Data Core CPI'!$A:$AX,MATCH($G$1,'Data Core CPI'!$A$1:$AX$1,),)</f>
        <v/>
      </c>
      <c r="H119" s="20">
        <f>(VLOOKUP(B119,'Data Core CPI'!$A:$AX,MATCH($H$1,'Data Core CPI'!$A$1:$AX$1,),)-VLOOKUP(EDATE(B119,-12),'Data Core CPI'!$A:$AX,MATCH($H$1,'Data Core CPI'!$A$1:$AX$1,),))/VLOOKUP(EDATE(B119,-12),'Data Core CPI'!$A:$AX,MATCH($H$1,'Data Core CPI'!$A$1:$AX$1,),)</f>
        <v/>
      </c>
      <c r="I119" s="20">
        <f>(VLOOKUP(B119,'Data Core CPI'!$A:$AX,MATCH($I$1,'Data Core CPI'!$A$1:$AX$1,),)-VLOOKUP(EDATE(B119,-12),'Data Core CPI'!$A:$AX,MATCH($I$1,'Data Core CPI'!$A$1:$AX$1,),))/VLOOKUP(EDATE(B119,-12),'Data Core CPI'!$A:$AX,MATCH($I$1,'Data Core CPI'!$A$1:$AX$1,),)</f>
        <v/>
      </c>
      <c r="J119" s="20">
        <f>(VLOOKUP(B119,'Data Core CPI'!$A:$AX,MATCH($J$1,'Data Core CPI'!$A$1:$AX$1,),)-VLOOKUP(EDATE(B119,-12),'Data Core CPI'!$A:$AX,MATCH($J$1,'Data Core CPI'!$A$1:$AX$1,),))/VLOOKUP(EDATE(B119,-12),'Data Core CPI'!$A:$AX,MATCH($J$1,'Data Core CPI'!$A$1:$AX$1,),)</f>
        <v/>
      </c>
      <c r="K119" s="20">
        <f>(VLOOKUP(B119,'Data Core CPI'!$A:$AX,MATCH($K$1,'Data Core CPI'!$A$1:$AX$1,),)-VLOOKUP(EDATE(B119,-12),'Data Core CPI'!$A:$AX,MATCH($K$1,'Data Core CPI'!$A$1:$AX$1,),))/VLOOKUP(EDATE(B119,-12),'Data Core CPI'!$A:$AX,MATCH($K$1,'Data Core CPI'!$A$1:$AX$1,),)</f>
        <v/>
      </c>
      <c r="L119" s="20">
        <f>(VLOOKUP(B119,'Data Core CPI'!$A:$AX,MATCH($L$1,'Data Core CPI'!$A$1:$AX$1,),)-VLOOKUP(EDATE(B119,-12),'Data Core CPI'!$A:$AX,MATCH($L$1,'Data Core CPI'!$A$1:$AX$1,),))/VLOOKUP(EDATE(B119,-12),'Data Core CPI'!$A:$AX,MATCH($L$1,'Data Core CPI'!$A$1:$AX$1,),)</f>
        <v/>
      </c>
      <c r="M119" s="20">
        <f>(VLOOKUP(B119,'Data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(VLOOKUP(B119,'Data Core CPI'!$A:$AX,MATCH($W$1,'Data Core CPI'!$A$1:$AX$1,),)-VLOOKUP(EDATE(B119,-12),'Data Core CPI'!$A:$AX,MATCH($W$1,'Data Core CPI'!$A$1:$AX$1,),))/VLOOKUP(EDATE(B119,-12),'Data Core CPI'!$A:$AX,MATCH($W$1,'Data Core CPI'!$A$1:$AX$1,),)</f>
        <v/>
      </c>
      <c r="X119" s="20">
        <f>(VLOOKUP(B119,'Data Core CPI'!$A:$AX,MATCH($X$1,'Data Core CPI'!$A$1:$AX$1,),)-VLOOKUP(EDATE(B119,-12),'Data Core CPI'!$A:$AX,MATCH($X$1,'Data Core CPI'!$A$1:$AX$1,),))/VLOOKUP(EDATE(B119,-12),'Data Core CPI'!$A:$AX,MATCH($X$1,'Data Core CPI'!$A$1:$AX$1,),)</f>
        <v/>
      </c>
      <c r="Y119" s="20">
        <f>(VLOOKUP(B119,'Data Core CPI'!$A:$AX,MATCH($Y$1,'Data Core CPI'!$A$1:$AX$1,),)-VLOOKUP(EDATE(B119,-12),'Data Core CPI'!$A:$AX,MATCH($Y$1,'Data Core CPI'!$A$1:$AX$1,),))/VLOOKUP(EDATE(B119,-12),'Data Core CPI'!$A:$AX,MATCH($Y$1,'Data Core CPI'!$A$1:$AX$1,),)</f>
        <v/>
      </c>
    </row>
    <row r="120" customFormat="1" s="76">
      <c r="B120" s="15" t="n">
        <v>43862</v>
      </c>
      <c r="C120" s="20">
        <f>(VLOOKUP(B120,'Data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(VLOOKUP(B120,'Data Core CPI'!$A:$AX,MATCH($E$1,'Data Core CPI'!$A$1:$AX$1,),)-VLOOKUP(EDATE(B120,-12),'Data Core CPI'!$A:$AX,MATCH($E$1,'Data Core CPI'!$A$1:$AX$1,),))/VLOOKUP(EDATE(B120,-12),'Data Core CPI'!$A:$AX,MATCH($E$1,'Data Core CPI'!$A$1:$AX$1,),)</f>
        <v/>
      </c>
      <c r="F120" s="20">
        <f>(VLOOKUP(B120,'Data Core CPI'!$A:$AX,MATCH($F$1,'Data Core CPI'!$A$1:$AX$1,),)-VLOOKUP(EDATE(B120,-12),'Data Core CPI'!$A:$AX,MATCH($F$1,'Data Core CPI'!$A$1:$AX$1,),))/VLOOKUP(EDATE(B120,-12),'Data Core CPI'!$A:$AX,MATCH($F$1,'Data Core CPI'!$A$1:$AX$1,),)</f>
        <v/>
      </c>
      <c r="G120" s="20">
        <f>(VLOOKUP(B120,'Data Core CPI'!$A:$AX,MATCH($G$1,'Data Core CPI'!$A$1:$AX$1,),)-VLOOKUP(EDATE(B120,-12),'Data Core CPI'!$A:$AX,MATCH($G$1,'Data Core CPI'!$A$1:$AX$1,),))/VLOOKUP(EDATE(B120,-12),'Data Core CPI'!$A:$AX,MATCH($G$1,'Data Core CPI'!$A$1:$AX$1,),)</f>
        <v/>
      </c>
      <c r="H120" s="20">
        <f>(VLOOKUP(B120,'Data Core CPI'!$A:$AX,MATCH($H$1,'Data Core CPI'!$A$1:$AX$1,),)-VLOOKUP(EDATE(B120,-12),'Data Core CPI'!$A:$AX,MATCH($H$1,'Data Core CPI'!$A$1:$AX$1,),))/VLOOKUP(EDATE(B120,-12),'Data Core CPI'!$A:$AX,MATCH($H$1,'Data Core CPI'!$A$1:$AX$1,),)</f>
        <v/>
      </c>
      <c r="I120" s="20">
        <f>(VLOOKUP(B120,'Data Core CPI'!$A:$AX,MATCH($I$1,'Data Core CPI'!$A$1:$AX$1,),)-VLOOKUP(EDATE(B120,-12),'Data Core CPI'!$A:$AX,MATCH($I$1,'Data Core CPI'!$A$1:$AX$1,),))/VLOOKUP(EDATE(B120,-12),'Data Core CPI'!$A:$AX,MATCH($I$1,'Data Core CPI'!$A$1:$AX$1,),)</f>
        <v/>
      </c>
      <c r="J120" s="20">
        <f>(VLOOKUP(B120,'Data Core CPI'!$A:$AX,MATCH($J$1,'Data Core CPI'!$A$1:$AX$1,),)-VLOOKUP(EDATE(B120,-12),'Data Core CPI'!$A:$AX,MATCH($J$1,'Data Core CPI'!$A$1:$AX$1,),))/VLOOKUP(EDATE(B120,-12),'Data Core CPI'!$A:$AX,MATCH($J$1,'Data Core CPI'!$A$1:$AX$1,),)</f>
        <v/>
      </c>
      <c r="K120" s="20">
        <f>(VLOOKUP(B120,'Data Core CPI'!$A:$AX,MATCH($K$1,'Data Core CPI'!$A$1:$AX$1,),)-VLOOKUP(EDATE(B120,-12),'Data Core CPI'!$A:$AX,MATCH($K$1,'Data Core CPI'!$A$1:$AX$1,),))/VLOOKUP(EDATE(B120,-12),'Data Core CPI'!$A:$AX,MATCH($K$1,'Data Core CPI'!$A$1:$AX$1,),)</f>
        <v/>
      </c>
      <c r="L120" s="20">
        <f>(VLOOKUP(B120,'Data Core CPI'!$A:$AX,MATCH($L$1,'Data Core CPI'!$A$1:$AX$1,),)-VLOOKUP(EDATE(B120,-12),'Data Core CPI'!$A:$AX,MATCH($L$1,'Data Core CPI'!$A$1:$AX$1,),))/VLOOKUP(EDATE(B120,-12),'Data Core CPI'!$A:$AX,MATCH($L$1,'Data Core CPI'!$A$1:$AX$1,),)</f>
        <v/>
      </c>
      <c r="M120" s="20">
        <f>(VLOOKUP(B120,'Data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(VLOOKUP(B120,'Data Core CPI'!$A:$AX,MATCH($W$1,'Data Core CPI'!$A$1:$AX$1,),)-VLOOKUP(EDATE(B120,-12),'Data Core CPI'!$A:$AX,MATCH($W$1,'Data Core CPI'!$A$1:$AX$1,),))/VLOOKUP(EDATE(B120,-12),'Data Core CPI'!$A:$AX,MATCH($W$1,'Data Core CPI'!$A$1:$AX$1,),)</f>
        <v/>
      </c>
      <c r="X120" s="20">
        <f>(VLOOKUP(B120,'Data Core CPI'!$A:$AX,MATCH($X$1,'Data Core CPI'!$A$1:$AX$1,),)-VLOOKUP(EDATE(B120,-12),'Data Core CPI'!$A:$AX,MATCH($X$1,'Data Core CPI'!$A$1:$AX$1,),))/VLOOKUP(EDATE(B120,-12),'Data Core CPI'!$A:$AX,MATCH($X$1,'Data Core CPI'!$A$1:$AX$1,),)</f>
        <v/>
      </c>
      <c r="Y120" s="20">
        <f>(VLOOKUP(B120,'Data Core CPI'!$A:$AX,MATCH($Y$1,'Data Core CPI'!$A$1:$AX$1,),)-VLOOKUP(EDATE(B120,-12),'Data Core CPI'!$A:$AX,MATCH($Y$1,'Data Core CPI'!$A$1:$AX$1,),))/VLOOKUP(EDATE(B120,-12),'Data Core CPI'!$A:$AX,MATCH($Y$1,'Data Core CPI'!$A$1:$AX$1,),)</f>
        <v/>
      </c>
    </row>
    <row r="121" customFormat="1" s="76">
      <c r="B121" s="15" t="n">
        <v>43891</v>
      </c>
      <c r="C121" s="20">
        <f>(VLOOKUP(B121,'Data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(VLOOKUP(B121,'Data Core CPI'!$A:$AX,MATCH($E$1,'Data Core CPI'!$A$1:$AX$1,),)-VLOOKUP(EDATE(B121,-12),'Data Core CPI'!$A:$AX,MATCH($E$1,'Data Core CPI'!$A$1:$AX$1,),))/VLOOKUP(EDATE(B121,-12),'Data Core CPI'!$A:$AX,MATCH($E$1,'Data Core CPI'!$A$1:$AX$1,),)</f>
        <v/>
      </c>
      <c r="F121" s="20">
        <f>(VLOOKUP(B121,'Data Core CPI'!$A:$AX,MATCH($F$1,'Data Core CPI'!$A$1:$AX$1,),)-VLOOKUP(EDATE(B121,-12),'Data Core CPI'!$A:$AX,MATCH($F$1,'Data Core CPI'!$A$1:$AX$1,),))/VLOOKUP(EDATE(B121,-12),'Data Core CPI'!$A:$AX,MATCH($F$1,'Data Core CPI'!$A$1:$AX$1,),)</f>
        <v/>
      </c>
      <c r="G121" s="20">
        <f>(VLOOKUP(B121,'Data Core CPI'!$A:$AX,MATCH($G$1,'Data Core CPI'!$A$1:$AX$1,),)-VLOOKUP(EDATE(B121,-12),'Data Core CPI'!$A:$AX,MATCH($G$1,'Data Core CPI'!$A$1:$AX$1,),))/VLOOKUP(EDATE(B121,-12),'Data Core CPI'!$A:$AX,MATCH($G$1,'Data Core CPI'!$A$1:$AX$1,),)</f>
        <v/>
      </c>
      <c r="H121" s="20">
        <f>(VLOOKUP(B121,'Data Core CPI'!$A:$AX,MATCH($H$1,'Data Core CPI'!$A$1:$AX$1,),)-VLOOKUP(EDATE(B121,-12),'Data Core CPI'!$A:$AX,MATCH($H$1,'Data Core CPI'!$A$1:$AX$1,),))/VLOOKUP(EDATE(B121,-12),'Data Core CPI'!$A:$AX,MATCH($H$1,'Data Core CPI'!$A$1:$AX$1,),)</f>
        <v/>
      </c>
      <c r="I121" s="20">
        <f>(VLOOKUP(B121,'Data Core CPI'!$A:$AX,MATCH($I$1,'Data Core CPI'!$A$1:$AX$1,),)-VLOOKUP(EDATE(B121,-12),'Data Core CPI'!$A:$AX,MATCH($I$1,'Data Core CPI'!$A$1:$AX$1,),))/VLOOKUP(EDATE(B121,-12),'Data Core CPI'!$A:$AX,MATCH($I$1,'Data Core CPI'!$A$1:$AX$1,),)</f>
        <v/>
      </c>
      <c r="J121" s="20">
        <f>(VLOOKUP(B121,'Data Core CPI'!$A:$AX,MATCH($J$1,'Data Core CPI'!$A$1:$AX$1,),)-VLOOKUP(EDATE(B121,-12),'Data Core CPI'!$A:$AX,MATCH($J$1,'Data Core CPI'!$A$1:$AX$1,),))/VLOOKUP(EDATE(B121,-12),'Data Core CPI'!$A:$AX,MATCH($J$1,'Data Core CPI'!$A$1:$AX$1,),)</f>
        <v/>
      </c>
      <c r="K121" s="20">
        <f>(VLOOKUP(B121,'Data Core CPI'!$A:$AX,MATCH($K$1,'Data Core CPI'!$A$1:$AX$1,),)-VLOOKUP(EDATE(B121,-12),'Data Core CPI'!$A:$AX,MATCH($K$1,'Data Core CPI'!$A$1:$AX$1,),))/VLOOKUP(EDATE(B121,-12),'Data Core CPI'!$A:$AX,MATCH($K$1,'Data Core CPI'!$A$1:$AX$1,),)</f>
        <v/>
      </c>
      <c r="L121" s="20">
        <f>(VLOOKUP(B121,'Data Core CPI'!$A:$AX,MATCH($L$1,'Data Core CPI'!$A$1:$AX$1,),)-VLOOKUP(EDATE(B121,-12),'Data Core CPI'!$A:$AX,MATCH($L$1,'Data Core CPI'!$A$1:$AX$1,),))/VLOOKUP(EDATE(B121,-12),'Data Core CPI'!$A:$AX,MATCH($L$1,'Data Core CPI'!$A$1:$AX$1,),)</f>
        <v/>
      </c>
      <c r="M121" s="20">
        <f>(VLOOKUP(B121,'Data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(VLOOKUP(B121,'Data Core CPI'!$A:$AX,MATCH($W$1,'Data Core CPI'!$A$1:$AX$1,),)-VLOOKUP(EDATE(B121,-12),'Data Core CPI'!$A:$AX,MATCH($W$1,'Data Core CPI'!$A$1:$AX$1,),))/VLOOKUP(EDATE(B121,-12),'Data Core CPI'!$A:$AX,MATCH($W$1,'Data Core CPI'!$A$1:$AX$1,),)</f>
        <v/>
      </c>
      <c r="X121" s="20">
        <f>(VLOOKUP(B121,'Data Core CPI'!$A:$AX,MATCH($X$1,'Data Core CPI'!$A$1:$AX$1,),)-VLOOKUP(EDATE(B121,-12),'Data Core CPI'!$A:$AX,MATCH($X$1,'Data Core CPI'!$A$1:$AX$1,),))/VLOOKUP(EDATE(B121,-12),'Data Core CPI'!$A:$AX,MATCH($X$1,'Data Core CPI'!$A$1:$AX$1,),)</f>
        <v/>
      </c>
      <c r="Y121" s="20">
        <f>(VLOOKUP(B121,'Data Core CPI'!$A:$AX,MATCH($Y$1,'Data Core CPI'!$A$1:$AX$1,),)-VLOOKUP(EDATE(B121,-12),'Data Core CPI'!$A:$AX,MATCH($Y$1,'Data Core CPI'!$A$1:$AX$1,),))/VLOOKUP(EDATE(B121,-12),'Data Core CPI'!$A:$AX,MATCH($Y$1,'Data Core CPI'!$A$1:$AX$1,),)</f>
        <v/>
      </c>
    </row>
    <row r="122" customFormat="1" s="76">
      <c r="B122" s="15" t="n">
        <v>43922</v>
      </c>
      <c r="C122" s="20">
        <f>(VLOOKUP(B122,'Data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(VLOOKUP(B122,'Data Core CPI'!$A:$AX,MATCH($E$1,'Data Core CPI'!$A$1:$AX$1,),)-VLOOKUP(EDATE(B122,-12),'Data Core CPI'!$A:$AX,MATCH($E$1,'Data Core CPI'!$A$1:$AX$1,),))/VLOOKUP(EDATE(B122,-12),'Data Core CPI'!$A:$AX,MATCH($E$1,'Data Core CPI'!$A$1:$AX$1,),)</f>
        <v/>
      </c>
      <c r="F122" s="20">
        <f>(VLOOKUP(B122,'Data Core CPI'!$A:$AX,MATCH($F$1,'Data Core CPI'!$A$1:$AX$1,),)-VLOOKUP(EDATE(B122,-12),'Data Core CPI'!$A:$AX,MATCH($F$1,'Data Core CPI'!$A$1:$AX$1,),))/VLOOKUP(EDATE(B122,-12),'Data Core CPI'!$A:$AX,MATCH($F$1,'Data Core CPI'!$A$1:$AX$1,),)</f>
        <v/>
      </c>
      <c r="G122" s="20">
        <f>(VLOOKUP(B122,'Data Core CPI'!$A:$AX,MATCH($G$1,'Data Core CPI'!$A$1:$AX$1,),)-VLOOKUP(EDATE(B122,-12),'Data Core CPI'!$A:$AX,MATCH($G$1,'Data Core CPI'!$A$1:$AX$1,),))/VLOOKUP(EDATE(B122,-12),'Data Core CPI'!$A:$AX,MATCH($G$1,'Data Core CPI'!$A$1:$AX$1,),)</f>
        <v/>
      </c>
      <c r="H122" s="20">
        <f>(VLOOKUP(B122,'Data Core CPI'!$A:$AX,MATCH($H$1,'Data Core CPI'!$A$1:$AX$1,),)-VLOOKUP(EDATE(B122,-12),'Data Core CPI'!$A:$AX,MATCH($H$1,'Data Core CPI'!$A$1:$AX$1,),))/VLOOKUP(EDATE(B122,-12),'Data Core CPI'!$A:$AX,MATCH($H$1,'Data Core CPI'!$A$1:$AX$1,),)</f>
        <v/>
      </c>
      <c r="I122" s="20">
        <f>(VLOOKUP(B122,'Data Core CPI'!$A:$AX,MATCH($I$1,'Data Core CPI'!$A$1:$AX$1,),)-VLOOKUP(EDATE(B122,-12),'Data Core CPI'!$A:$AX,MATCH($I$1,'Data Core CPI'!$A$1:$AX$1,),))/VLOOKUP(EDATE(B122,-12),'Data Core CPI'!$A:$AX,MATCH($I$1,'Data Core CPI'!$A$1:$AX$1,),)</f>
        <v/>
      </c>
      <c r="J122" s="20">
        <f>(VLOOKUP(B122,'Data Core CPI'!$A:$AX,MATCH($J$1,'Data Core CPI'!$A$1:$AX$1,),)-VLOOKUP(EDATE(B122,-12),'Data Core CPI'!$A:$AX,MATCH($J$1,'Data Core CPI'!$A$1:$AX$1,),))/VLOOKUP(EDATE(B122,-12),'Data Core CPI'!$A:$AX,MATCH($J$1,'Data Core CPI'!$A$1:$AX$1,),)</f>
        <v/>
      </c>
      <c r="K122" s="20">
        <f>(VLOOKUP(B122,'Data Core CPI'!$A:$AX,MATCH($K$1,'Data Core CPI'!$A$1:$AX$1,),)-VLOOKUP(EDATE(B122,-12),'Data Core CPI'!$A:$AX,MATCH($K$1,'Data Core CPI'!$A$1:$AX$1,),))/VLOOKUP(EDATE(B122,-12),'Data Core CPI'!$A:$AX,MATCH($K$1,'Data Core CPI'!$A$1:$AX$1,),)</f>
        <v/>
      </c>
      <c r="L122" s="20">
        <f>(VLOOKUP(B122,'Data Core CPI'!$A:$AX,MATCH($L$1,'Data Core CPI'!$A$1:$AX$1,),)-VLOOKUP(EDATE(B122,-12),'Data Core CPI'!$A:$AX,MATCH($L$1,'Data Core CPI'!$A$1:$AX$1,),))/VLOOKUP(EDATE(B122,-12),'Data Core CPI'!$A:$AX,MATCH($L$1,'Data Core CPI'!$A$1:$AX$1,),)</f>
        <v/>
      </c>
      <c r="M122" s="20">
        <f>(VLOOKUP(B122,'Data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(VLOOKUP(B122,'Data Core CPI'!$A:$AX,MATCH($W$1,'Data Core CPI'!$A$1:$AX$1,),)-VLOOKUP(EDATE(B122,-12),'Data Core CPI'!$A:$AX,MATCH($W$1,'Data Core CPI'!$A$1:$AX$1,),))/VLOOKUP(EDATE(B122,-12),'Data Core CPI'!$A:$AX,MATCH($W$1,'Data Core CPI'!$A$1:$AX$1,),)</f>
        <v/>
      </c>
      <c r="X122" s="20">
        <f>(VLOOKUP(B122,'Data Core CPI'!$A:$AX,MATCH($X$1,'Data Core CPI'!$A$1:$AX$1,),)-VLOOKUP(EDATE(B122,-12),'Data Core CPI'!$A:$AX,MATCH($X$1,'Data Core CPI'!$A$1:$AX$1,),))/VLOOKUP(EDATE(B122,-12),'Data Core CPI'!$A:$AX,MATCH($X$1,'Data Core CPI'!$A$1:$AX$1,),)</f>
        <v/>
      </c>
      <c r="Y122" s="20">
        <f>(VLOOKUP(B122,'Data Core CPI'!$A:$AX,MATCH($Y$1,'Data Core CPI'!$A$1:$AX$1,),)-VLOOKUP(EDATE(B122,-12),'Data Core CPI'!$A:$AX,MATCH($Y$1,'Data Core CPI'!$A$1:$AX$1,),))/VLOOKUP(EDATE(B122,-12),'Data Core CPI'!$A:$AX,MATCH($Y$1,'Data Core CPI'!$A$1:$AX$1,),)</f>
        <v/>
      </c>
    </row>
    <row r="123" customFormat="1" s="76">
      <c r="B123" s="15" t="n">
        <v>43952</v>
      </c>
      <c r="C123" s="20">
        <f>(VLOOKUP(B123,'Data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(VLOOKUP(B123,'Data Core CPI'!$A:$AX,MATCH($E$1,'Data Core CPI'!$A$1:$AX$1,),)-VLOOKUP(EDATE(B123,-12),'Data Core CPI'!$A:$AX,MATCH($E$1,'Data Core CPI'!$A$1:$AX$1,),))/VLOOKUP(EDATE(B123,-12),'Data Core CPI'!$A:$AX,MATCH($E$1,'Data Core CPI'!$A$1:$AX$1,),)</f>
        <v/>
      </c>
      <c r="F123" s="20">
        <f>(VLOOKUP(B123,'Data Core CPI'!$A:$AX,MATCH($F$1,'Data Core CPI'!$A$1:$AX$1,),)-VLOOKUP(EDATE(B123,-12),'Data Core CPI'!$A:$AX,MATCH($F$1,'Data Core CPI'!$A$1:$AX$1,),))/VLOOKUP(EDATE(B123,-12),'Data Core CPI'!$A:$AX,MATCH($F$1,'Data Core CPI'!$A$1:$AX$1,),)</f>
        <v/>
      </c>
      <c r="G123" s="20">
        <f>(VLOOKUP(B123,'Data Core CPI'!$A:$AX,MATCH($G$1,'Data Core CPI'!$A$1:$AX$1,),)-VLOOKUP(EDATE(B123,-12),'Data Core CPI'!$A:$AX,MATCH($G$1,'Data Core CPI'!$A$1:$AX$1,),))/VLOOKUP(EDATE(B123,-12),'Data Core CPI'!$A:$AX,MATCH($G$1,'Data Core CPI'!$A$1:$AX$1,),)</f>
        <v/>
      </c>
      <c r="H123" s="20">
        <f>(VLOOKUP(B123,'Data Core CPI'!$A:$AX,MATCH($H$1,'Data Core CPI'!$A$1:$AX$1,),)-VLOOKUP(EDATE(B123,-12),'Data Core CPI'!$A:$AX,MATCH($H$1,'Data Core CPI'!$A$1:$AX$1,),))/VLOOKUP(EDATE(B123,-12),'Data Core CPI'!$A:$AX,MATCH($H$1,'Data Core CPI'!$A$1:$AX$1,),)</f>
        <v/>
      </c>
      <c r="I123" s="20">
        <f>(VLOOKUP(B123,'Data Core CPI'!$A:$AX,MATCH($I$1,'Data Core CPI'!$A$1:$AX$1,),)-VLOOKUP(EDATE(B123,-12),'Data Core CPI'!$A:$AX,MATCH($I$1,'Data Core CPI'!$A$1:$AX$1,),))/VLOOKUP(EDATE(B123,-12),'Data Core CPI'!$A:$AX,MATCH($I$1,'Data Core CPI'!$A$1:$AX$1,),)</f>
        <v/>
      </c>
      <c r="J123" s="20">
        <f>(VLOOKUP(B123,'Data Core CPI'!$A:$AX,MATCH($J$1,'Data Core CPI'!$A$1:$AX$1,),)-VLOOKUP(EDATE(B123,-12),'Data Core CPI'!$A:$AX,MATCH($J$1,'Data Core CPI'!$A$1:$AX$1,),))/VLOOKUP(EDATE(B123,-12),'Data Core CPI'!$A:$AX,MATCH($J$1,'Data Core CPI'!$A$1:$AX$1,),)</f>
        <v/>
      </c>
      <c r="K123" s="20">
        <f>(VLOOKUP(B123,'Data Core CPI'!$A:$AX,MATCH($K$1,'Data Core CPI'!$A$1:$AX$1,),)-VLOOKUP(EDATE(B123,-12),'Data Core CPI'!$A:$AX,MATCH($K$1,'Data Core CPI'!$A$1:$AX$1,),))/VLOOKUP(EDATE(B123,-12),'Data Core CPI'!$A:$AX,MATCH($K$1,'Data Core CPI'!$A$1:$AX$1,),)</f>
        <v/>
      </c>
      <c r="L123" s="20">
        <f>(VLOOKUP(B123,'Data Core CPI'!$A:$AX,MATCH($L$1,'Data Core CPI'!$A$1:$AX$1,),)-VLOOKUP(EDATE(B123,-12),'Data Core CPI'!$A:$AX,MATCH($L$1,'Data Core CPI'!$A$1:$AX$1,),))/VLOOKUP(EDATE(B123,-12),'Data Core CPI'!$A:$AX,MATCH($L$1,'Data Core CPI'!$A$1:$AX$1,),)</f>
        <v/>
      </c>
      <c r="M123" s="20">
        <f>(VLOOKUP(B123,'Data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(VLOOKUP(B123,'Data Core CPI'!$A:$AX,MATCH($W$1,'Data Core CPI'!$A$1:$AX$1,),)-VLOOKUP(EDATE(B123,-12),'Data Core CPI'!$A:$AX,MATCH($W$1,'Data Core CPI'!$A$1:$AX$1,),))/VLOOKUP(EDATE(B123,-12),'Data Core CPI'!$A:$AX,MATCH($W$1,'Data Core CPI'!$A$1:$AX$1,),)</f>
        <v/>
      </c>
      <c r="X123" s="20">
        <f>(VLOOKUP(B123,'Data Core CPI'!$A:$AX,MATCH($X$1,'Data Core CPI'!$A$1:$AX$1,),)-VLOOKUP(EDATE(B123,-12),'Data Core CPI'!$A:$AX,MATCH($X$1,'Data Core CPI'!$A$1:$AX$1,),))/VLOOKUP(EDATE(B123,-12),'Data Core CPI'!$A:$AX,MATCH($X$1,'Data Core CPI'!$A$1:$AX$1,),)</f>
        <v/>
      </c>
      <c r="Y123" s="20">
        <f>(VLOOKUP(B123,'Data Core CPI'!$A:$AX,MATCH($Y$1,'Data Core CPI'!$A$1:$AX$1,),)-VLOOKUP(EDATE(B123,-12),'Data Core CPI'!$A:$AX,MATCH($Y$1,'Data Core CPI'!$A$1:$AX$1,),))/VLOOKUP(EDATE(B123,-12),'Data Core CPI'!$A:$AX,MATCH($Y$1,'Data Core CPI'!$A$1:$AX$1,),)</f>
        <v/>
      </c>
    </row>
    <row r="124" customFormat="1" s="76">
      <c r="B124" s="15" t="n">
        <v>43983</v>
      </c>
      <c r="C124" s="20">
        <f>(VLOOKUP(B124,'Data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(VLOOKUP(B124,'Data Core CPI'!$A:$AX,MATCH($E$1,'Data Core CPI'!$A$1:$AX$1,),)-VLOOKUP(EDATE(B124,-12),'Data Core CPI'!$A:$AX,MATCH($E$1,'Data Core CPI'!$A$1:$AX$1,),))/VLOOKUP(EDATE(B124,-12),'Data Core CPI'!$A:$AX,MATCH($E$1,'Data Core CPI'!$A$1:$AX$1,),)</f>
        <v/>
      </c>
      <c r="F124" s="20">
        <f>(VLOOKUP(B124,'Data Core CPI'!$A:$AX,MATCH($F$1,'Data Core CPI'!$A$1:$AX$1,),)-VLOOKUP(EDATE(B124,-12),'Data Core CPI'!$A:$AX,MATCH($F$1,'Data Core CPI'!$A$1:$AX$1,),))/VLOOKUP(EDATE(B124,-12),'Data Core CPI'!$A:$AX,MATCH($F$1,'Data Core CPI'!$A$1:$AX$1,),)</f>
        <v/>
      </c>
      <c r="G124" s="20">
        <f>(VLOOKUP(B124,'Data Core CPI'!$A:$AX,MATCH($G$1,'Data Core CPI'!$A$1:$AX$1,),)-VLOOKUP(EDATE(B124,-12),'Data Core CPI'!$A:$AX,MATCH($G$1,'Data Core CPI'!$A$1:$AX$1,),))/VLOOKUP(EDATE(B124,-12),'Data Core CPI'!$A:$AX,MATCH($G$1,'Data Core CPI'!$A$1:$AX$1,),)</f>
        <v/>
      </c>
      <c r="H124" s="20">
        <f>(VLOOKUP(B124,'Data Core CPI'!$A:$AX,MATCH($H$1,'Data Core CPI'!$A$1:$AX$1,),)-VLOOKUP(EDATE(B124,-12),'Data Core CPI'!$A:$AX,MATCH($H$1,'Data Core CPI'!$A$1:$AX$1,),))/VLOOKUP(EDATE(B124,-12),'Data Core CPI'!$A:$AX,MATCH($H$1,'Data Core CPI'!$A$1:$AX$1,),)</f>
        <v/>
      </c>
      <c r="I124" s="20">
        <f>(VLOOKUP(B124,'Data Core CPI'!$A:$AX,MATCH($I$1,'Data Core CPI'!$A$1:$AX$1,),)-VLOOKUP(EDATE(B124,-12),'Data Core CPI'!$A:$AX,MATCH($I$1,'Data Core CPI'!$A$1:$AX$1,),))/VLOOKUP(EDATE(B124,-12),'Data Core CPI'!$A:$AX,MATCH($I$1,'Data Core CPI'!$A$1:$AX$1,),)</f>
        <v/>
      </c>
      <c r="J124" s="20">
        <f>(VLOOKUP(B124,'Data Core CPI'!$A:$AX,MATCH($J$1,'Data Core CPI'!$A$1:$AX$1,),)-VLOOKUP(EDATE(B124,-12),'Data Core CPI'!$A:$AX,MATCH($J$1,'Data Core CPI'!$A$1:$AX$1,),))/VLOOKUP(EDATE(B124,-12),'Data Core CPI'!$A:$AX,MATCH($J$1,'Data Core CPI'!$A$1:$AX$1,),)</f>
        <v/>
      </c>
      <c r="K124" s="20">
        <f>(VLOOKUP(B124,'Data Core CPI'!$A:$AX,MATCH($K$1,'Data Core CPI'!$A$1:$AX$1,),)-VLOOKUP(EDATE(B124,-12),'Data Core CPI'!$A:$AX,MATCH($K$1,'Data Core CPI'!$A$1:$AX$1,),))/VLOOKUP(EDATE(B124,-12),'Data Core CPI'!$A:$AX,MATCH($K$1,'Data Core CPI'!$A$1:$AX$1,),)</f>
        <v/>
      </c>
      <c r="L124" s="20">
        <f>(VLOOKUP(B124,'Data Core CPI'!$A:$AX,MATCH($L$1,'Data Core CPI'!$A$1:$AX$1,),)-VLOOKUP(EDATE(B124,-12),'Data Core CPI'!$A:$AX,MATCH($L$1,'Data Core CPI'!$A$1:$AX$1,),))/VLOOKUP(EDATE(B124,-12),'Data Core CPI'!$A:$AX,MATCH($L$1,'Data Core CPI'!$A$1:$AX$1,),)</f>
        <v/>
      </c>
      <c r="M124" s="20">
        <f>(VLOOKUP(B124,'Data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(VLOOKUP(B124,'Data Core CPI'!$A:$AX,MATCH($W$1,'Data Core CPI'!$A$1:$AX$1,),)-VLOOKUP(EDATE(B124,-12),'Data Core CPI'!$A:$AX,MATCH($W$1,'Data Core CPI'!$A$1:$AX$1,),))/VLOOKUP(EDATE(B124,-12),'Data Core CPI'!$A:$AX,MATCH($W$1,'Data Core CPI'!$A$1:$AX$1,),)</f>
        <v/>
      </c>
      <c r="X124" s="20">
        <f>(VLOOKUP(B124,'Data Core CPI'!$A:$AX,MATCH($X$1,'Data Core CPI'!$A$1:$AX$1,),)-VLOOKUP(EDATE(B124,-12),'Data Core CPI'!$A:$AX,MATCH($X$1,'Data Core CPI'!$A$1:$AX$1,),))/VLOOKUP(EDATE(B124,-12),'Data Core CPI'!$A:$AX,MATCH($X$1,'Data Core CPI'!$A$1:$AX$1,),)</f>
        <v/>
      </c>
      <c r="Y124" s="20">
        <f>(VLOOKUP(B124,'Data Core CPI'!$A:$AX,MATCH($Y$1,'Data Core CPI'!$A$1:$AX$1,),)-VLOOKUP(EDATE(B124,-12),'Data Core CPI'!$A:$AX,MATCH($Y$1,'Data Core CPI'!$A$1:$AX$1,),))/VLOOKUP(EDATE(B124,-12),'Data Core CPI'!$A:$AX,MATCH($Y$1,'Data Core CPI'!$A$1:$AX$1,),)</f>
        <v/>
      </c>
    </row>
    <row r="125" customFormat="1" s="76">
      <c r="B125" s="15" t="n">
        <v>44013</v>
      </c>
      <c r="C125" s="20">
        <f>(VLOOKUP(B125,'Data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(VLOOKUP(B125,'Data Core CPI'!$A:$AX,MATCH($E$1,'Data Core CPI'!$A$1:$AX$1,),)-VLOOKUP(EDATE(B125,-12),'Data Core CPI'!$A:$AX,MATCH($E$1,'Data Core CPI'!$A$1:$AX$1,),))/VLOOKUP(EDATE(B125,-12),'Data Core CPI'!$A:$AX,MATCH($E$1,'Data Core CPI'!$A$1:$AX$1,),)</f>
        <v/>
      </c>
      <c r="F125" s="20">
        <f>(VLOOKUP(B125,'Data Core CPI'!$A:$AX,MATCH($F$1,'Data Core CPI'!$A$1:$AX$1,),)-VLOOKUP(EDATE(B125,-12),'Data Core CPI'!$A:$AX,MATCH($F$1,'Data Core CPI'!$A$1:$AX$1,),))/VLOOKUP(EDATE(B125,-12),'Data Core CPI'!$A:$AX,MATCH($F$1,'Data Core CPI'!$A$1:$AX$1,),)</f>
        <v/>
      </c>
      <c r="G125" s="20">
        <f>(VLOOKUP(B125,'Data Core CPI'!$A:$AX,MATCH($G$1,'Data Core CPI'!$A$1:$AX$1,),)-VLOOKUP(EDATE(B125,-12),'Data Core CPI'!$A:$AX,MATCH($G$1,'Data Core CPI'!$A$1:$AX$1,),))/VLOOKUP(EDATE(B125,-12),'Data Core CPI'!$A:$AX,MATCH($G$1,'Data Core CPI'!$A$1:$AX$1,),)</f>
        <v/>
      </c>
      <c r="H125" s="20">
        <f>(VLOOKUP(B125,'Data Core CPI'!$A:$AX,MATCH($H$1,'Data Core CPI'!$A$1:$AX$1,),)-VLOOKUP(EDATE(B125,-12),'Data Core CPI'!$A:$AX,MATCH($H$1,'Data Core CPI'!$A$1:$AX$1,),))/VLOOKUP(EDATE(B125,-12),'Data Core CPI'!$A:$AX,MATCH($H$1,'Data Core CPI'!$A$1:$AX$1,),)</f>
        <v/>
      </c>
      <c r="I125" s="20">
        <f>(VLOOKUP(B125,'Data Core CPI'!$A:$AX,MATCH($I$1,'Data Core CPI'!$A$1:$AX$1,),)-VLOOKUP(EDATE(B125,-12),'Data Core CPI'!$A:$AX,MATCH($I$1,'Data Core CPI'!$A$1:$AX$1,),))/VLOOKUP(EDATE(B125,-12),'Data Core CPI'!$A:$AX,MATCH($I$1,'Data Core CPI'!$A$1:$AX$1,),)</f>
        <v/>
      </c>
      <c r="J125" s="20">
        <f>(VLOOKUP(B125,'Data Core CPI'!$A:$AX,MATCH($J$1,'Data Core CPI'!$A$1:$AX$1,),)-VLOOKUP(EDATE(B125,-12),'Data Core CPI'!$A:$AX,MATCH($J$1,'Data Core CPI'!$A$1:$AX$1,),))/VLOOKUP(EDATE(B125,-12),'Data Core CPI'!$A:$AX,MATCH($J$1,'Data Core CPI'!$A$1:$AX$1,),)</f>
        <v/>
      </c>
      <c r="K125" s="20">
        <f>(VLOOKUP(B125,'Data Core CPI'!$A:$AX,MATCH($K$1,'Data Core CPI'!$A$1:$AX$1,),)-VLOOKUP(EDATE(B125,-12),'Data Core CPI'!$A:$AX,MATCH($K$1,'Data Core CPI'!$A$1:$AX$1,),))/VLOOKUP(EDATE(B125,-12),'Data Core CPI'!$A:$AX,MATCH($K$1,'Data Core CPI'!$A$1:$AX$1,),)</f>
        <v/>
      </c>
      <c r="L125" s="20">
        <f>(VLOOKUP(B125,'Data Core CPI'!$A:$AX,MATCH($L$1,'Data Core CPI'!$A$1:$AX$1,),)-VLOOKUP(EDATE(B125,-12),'Data Core CPI'!$A:$AX,MATCH($L$1,'Data Core CPI'!$A$1:$AX$1,),))/VLOOKUP(EDATE(B125,-12),'Data Core CPI'!$A:$AX,MATCH($L$1,'Data Core CPI'!$A$1:$AX$1,),)</f>
        <v/>
      </c>
      <c r="M125" s="20">
        <f>(VLOOKUP(B125,'Data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(VLOOKUP(B125,'Data Core CPI'!$A:$AX,MATCH($W$1,'Data Core CPI'!$A$1:$AX$1,),)-VLOOKUP(EDATE(B125,-12),'Data Core CPI'!$A:$AX,MATCH($W$1,'Data Core CPI'!$A$1:$AX$1,),))/VLOOKUP(EDATE(B125,-12),'Data Core CPI'!$A:$AX,MATCH($W$1,'Data Core CPI'!$A$1:$AX$1,),)</f>
        <v/>
      </c>
      <c r="X125" s="20">
        <f>(VLOOKUP(B125,'Data Core CPI'!$A:$AX,MATCH($X$1,'Data Core CPI'!$A$1:$AX$1,),)-VLOOKUP(EDATE(B125,-12),'Data Core CPI'!$A:$AX,MATCH($X$1,'Data Core CPI'!$A$1:$AX$1,),))/VLOOKUP(EDATE(B125,-12),'Data Core CPI'!$A:$AX,MATCH($X$1,'Data Core CPI'!$A$1:$AX$1,),)</f>
        <v/>
      </c>
      <c r="Y125" s="20">
        <f>(VLOOKUP(B125,'Data Core CPI'!$A:$AX,MATCH($Y$1,'Data Core CPI'!$A$1:$AX$1,),)-VLOOKUP(EDATE(B125,-12),'Data Core CPI'!$A:$AX,MATCH($Y$1,'Data Core CPI'!$A$1:$AX$1,),))/VLOOKUP(EDATE(B125,-12),'Data Core CPI'!$A:$AX,MATCH($Y$1,'Data Core CPI'!$A$1:$AX$1,),)</f>
        <v/>
      </c>
    </row>
    <row r="126" customFormat="1" s="76">
      <c r="B126" s="15" t="n">
        <v>44044</v>
      </c>
      <c r="C126" s="20">
        <f>(VLOOKUP(B126,'Data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(VLOOKUP(B126,'Data Core CPI'!$A:$AX,MATCH($E$1,'Data Core CPI'!$A$1:$AX$1,),)-VLOOKUP(EDATE(B126,-12),'Data Core CPI'!$A:$AX,MATCH($E$1,'Data Core CPI'!$A$1:$AX$1,),))/VLOOKUP(EDATE(B126,-12),'Data Core CPI'!$A:$AX,MATCH($E$1,'Data Core CPI'!$A$1:$AX$1,),)</f>
        <v/>
      </c>
      <c r="F126" s="20">
        <f>(VLOOKUP(B126,'Data Core CPI'!$A:$AX,MATCH($F$1,'Data Core CPI'!$A$1:$AX$1,),)-VLOOKUP(EDATE(B126,-12),'Data Core CPI'!$A:$AX,MATCH($F$1,'Data Core CPI'!$A$1:$AX$1,),))/VLOOKUP(EDATE(B126,-12),'Data Core CPI'!$A:$AX,MATCH($F$1,'Data Core CPI'!$A$1:$AX$1,),)</f>
        <v/>
      </c>
      <c r="G126" s="20">
        <f>(VLOOKUP(B126,'Data Core CPI'!$A:$AX,MATCH($G$1,'Data Core CPI'!$A$1:$AX$1,),)-VLOOKUP(EDATE(B126,-12),'Data Core CPI'!$A:$AX,MATCH($G$1,'Data Core CPI'!$A$1:$AX$1,),))/VLOOKUP(EDATE(B126,-12),'Data Core CPI'!$A:$AX,MATCH($G$1,'Data Core CPI'!$A$1:$AX$1,),)</f>
        <v/>
      </c>
      <c r="H126" s="20">
        <f>(VLOOKUP(B126,'Data Core CPI'!$A:$AX,MATCH($H$1,'Data Core CPI'!$A$1:$AX$1,),)-VLOOKUP(EDATE(B126,-12),'Data Core CPI'!$A:$AX,MATCH($H$1,'Data Core CPI'!$A$1:$AX$1,),))/VLOOKUP(EDATE(B126,-12),'Data Core CPI'!$A:$AX,MATCH($H$1,'Data Core CPI'!$A$1:$AX$1,),)</f>
        <v/>
      </c>
      <c r="I126" s="20">
        <f>(VLOOKUP(B126,'Data Core CPI'!$A:$AX,MATCH($I$1,'Data Core CPI'!$A$1:$AX$1,),)-VLOOKUP(EDATE(B126,-12),'Data Core CPI'!$A:$AX,MATCH($I$1,'Data Core CPI'!$A$1:$AX$1,),))/VLOOKUP(EDATE(B126,-12),'Data Core CPI'!$A:$AX,MATCH($I$1,'Data Core CPI'!$A$1:$AX$1,),)</f>
        <v/>
      </c>
      <c r="J126" s="20">
        <f>(VLOOKUP(B126,'Data Core CPI'!$A:$AX,MATCH($J$1,'Data Core CPI'!$A$1:$AX$1,),)-VLOOKUP(EDATE(B126,-12),'Data Core CPI'!$A:$AX,MATCH($J$1,'Data Core CPI'!$A$1:$AX$1,),))/VLOOKUP(EDATE(B126,-12),'Data Core CPI'!$A:$AX,MATCH($J$1,'Data Core CPI'!$A$1:$AX$1,),)</f>
        <v/>
      </c>
      <c r="K126" s="20">
        <f>(VLOOKUP(B126,'Data Core CPI'!$A:$AX,MATCH($K$1,'Data Core CPI'!$A$1:$AX$1,),)-VLOOKUP(EDATE(B126,-12),'Data Core CPI'!$A:$AX,MATCH($K$1,'Data Core CPI'!$A$1:$AX$1,),))/VLOOKUP(EDATE(B126,-12),'Data Core CPI'!$A:$AX,MATCH($K$1,'Data Core CPI'!$A$1:$AX$1,),)</f>
        <v/>
      </c>
      <c r="L126" s="20">
        <f>(VLOOKUP(B126,'Data Core CPI'!$A:$AX,MATCH($L$1,'Data Core CPI'!$A$1:$AX$1,),)-VLOOKUP(EDATE(B126,-12),'Data Core CPI'!$A:$AX,MATCH($L$1,'Data Core CPI'!$A$1:$AX$1,),))/VLOOKUP(EDATE(B126,-12),'Data Core CPI'!$A:$AX,MATCH($L$1,'Data Core CPI'!$A$1:$AX$1,),)</f>
        <v/>
      </c>
      <c r="M126" s="20">
        <f>(VLOOKUP(B126,'Data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(VLOOKUP(B126,'Data Core CPI'!$A:$AX,MATCH($W$1,'Data Core CPI'!$A$1:$AX$1,),)-VLOOKUP(EDATE(B126,-12),'Data Core CPI'!$A:$AX,MATCH($W$1,'Data Core CPI'!$A$1:$AX$1,),))/VLOOKUP(EDATE(B126,-12),'Data Core CPI'!$A:$AX,MATCH($W$1,'Data Core CPI'!$A$1:$AX$1,),)</f>
        <v/>
      </c>
      <c r="X126" s="20">
        <f>(VLOOKUP(B126,'Data Core CPI'!$A:$AX,MATCH($X$1,'Data Core CPI'!$A$1:$AX$1,),)-VLOOKUP(EDATE(B126,-12),'Data Core CPI'!$A:$AX,MATCH($X$1,'Data Core CPI'!$A$1:$AX$1,),))/VLOOKUP(EDATE(B126,-12),'Data Core CPI'!$A:$AX,MATCH($X$1,'Data Core CPI'!$A$1:$AX$1,),)</f>
        <v/>
      </c>
      <c r="Y126" s="20">
        <f>(VLOOKUP(B126,'Data Core CPI'!$A:$AX,MATCH($Y$1,'Data Core CPI'!$A$1:$AX$1,),)-VLOOKUP(EDATE(B126,-12),'Data Core CPI'!$A:$AX,MATCH($Y$1,'Data Core CPI'!$A$1:$AX$1,),))/VLOOKUP(EDATE(B126,-12),'Data Core CPI'!$A:$AX,MATCH($Y$1,'Data Core CPI'!$A$1:$AX$1,),)</f>
        <v/>
      </c>
    </row>
    <row r="127" customFormat="1" s="76">
      <c r="B127" s="15" t="n">
        <v>44075</v>
      </c>
      <c r="C127" s="20">
        <f>(VLOOKUP(B127,'Data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(VLOOKUP(B127,'Data Core CPI'!$A:$AX,MATCH($E$1,'Data Core CPI'!$A$1:$AX$1,),)-VLOOKUP(EDATE(B127,-12),'Data Core CPI'!$A:$AX,MATCH($E$1,'Data Core CPI'!$A$1:$AX$1,),))/VLOOKUP(EDATE(B127,-12),'Data Core CPI'!$A:$AX,MATCH($E$1,'Data Core CPI'!$A$1:$AX$1,),)</f>
        <v/>
      </c>
      <c r="F127" s="20">
        <f>(VLOOKUP(B127,'Data Core CPI'!$A:$AX,MATCH($F$1,'Data Core CPI'!$A$1:$AX$1,),)-VLOOKUP(EDATE(B127,-12),'Data Core CPI'!$A:$AX,MATCH($F$1,'Data Core CPI'!$A$1:$AX$1,),))/VLOOKUP(EDATE(B127,-12),'Data Core CPI'!$A:$AX,MATCH($F$1,'Data Core CPI'!$A$1:$AX$1,),)</f>
        <v/>
      </c>
      <c r="G127" s="20">
        <f>(VLOOKUP(B127,'Data Core CPI'!$A:$AX,MATCH($G$1,'Data Core CPI'!$A$1:$AX$1,),)-VLOOKUP(EDATE(B127,-12),'Data Core CPI'!$A:$AX,MATCH($G$1,'Data Core CPI'!$A$1:$AX$1,),))/VLOOKUP(EDATE(B127,-12),'Data Core CPI'!$A:$AX,MATCH($G$1,'Data Core CPI'!$A$1:$AX$1,),)</f>
        <v/>
      </c>
      <c r="H127" s="20">
        <f>(VLOOKUP(B127,'Data Core CPI'!$A:$AX,MATCH($H$1,'Data Core CPI'!$A$1:$AX$1,),)-VLOOKUP(EDATE(B127,-12),'Data Core CPI'!$A:$AX,MATCH($H$1,'Data Core CPI'!$A$1:$AX$1,),))/VLOOKUP(EDATE(B127,-12),'Data Core CPI'!$A:$AX,MATCH($H$1,'Data Core CPI'!$A$1:$AX$1,),)</f>
        <v/>
      </c>
      <c r="I127" s="20">
        <f>(VLOOKUP(B127,'Data Core CPI'!$A:$AX,MATCH($I$1,'Data Core CPI'!$A$1:$AX$1,),)-VLOOKUP(EDATE(B127,-12),'Data Core CPI'!$A:$AX,MATCH($I$1,'Data Core CPI'!$A$1:$AX$1,),))/VLOOKUP(EDATE(B127,-12),'Data Core CPI'!$A:$AX,MATCH($I$1,'Data Core CPI'!$A$1:$AX$1,),)</f>
        <v/>
      </c>
      <c r="J127" s="20">
        <f>(VLOOKUP(B127,'Data Core CPI'!$A:$AX,MATCH($J$1,'Data Core CPI'!$A$1:$AX$1,),)-VLOOKUP(EDATE(B127,-12),'Data Core CPI'!$A:$AX,MATCH($J$1,'Data Core CPI'!$A$1:$AX$1,),))/VLOOKUP(EDATE(B127,-12),'Data Core CPI'!$A:$AX,MATCH($J$1,'Data Core CPI'!$A$1:$AX$1,),)</f>
        <v/>
      </c>
      <c r="K127" s="20">
        <f>(VLOOKUP(B127,'Data Core CPI'!$A:$AX,MATCH($K$1,'Data Core CPI'!$A$1:$AX$1,),)-VLOOKUP(EDATE(B127,-12),'Data Core CPI'!$A:$AX,MATCH($K$1,'Data Core CPI'!$A$1:$AX$1,),))/VLOOKUP(EDATE(B127,-12),'Data Core CPI'!$A:$AX,MATCH($K$1,'Data Core CPI'!$A$1:$AX$1,),)</f>
        <v/>
      </c>
      <c r="L127" s="20">
        <f>(VLOOKUP(B127,'Data Core CPI'!$A:$AX,MATCH($L$1,'Data Core CPI'!$A$1:$AX$1,),)-VLOOKUP(EDATE(B127,-12),'Data Core CPI'!$A:$AX,MATCH($L$1,'Data Core CPI'!$A$1:$AX$1,),))/VLOOKUP(EDATE(B127,-12),'Data Core CPI'!$A:$AX,MATCH($L$1,'Data Core CPI'!$A$1:$AX$1,),)</f>
        <v/>
      </c>
      <c r="M127" s="20">
        <f>(VLOOKUP(B127,'Data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(VLOOKUP(B127,'Data Core CPI'!$A:$AX,MATCH($W$1,'Data Core CPI'!$A$1:$AX$1,),)-VLOOKUP(EDATE(B127,-12),'Data Core CPI'!$A:$AX,MATCH($W$1,'Data Core CPI'!$A$1:$AX$1,),))/VLOOKUP(EDATE(B127,-12),'Data Core CPI'!$A:$AX,MATCH($W$1,'Data Core CPI'!$A$1:$AX$1,),)</f>
        <v/>
      </c>
      <c r="X127" s="20">
        <f>(VLOOKUP(B127,'Data Core CPI'!$A:$AX,MATCH($X$1,'Data Core CPI'!$A$1:$AX$1,),)-VLOOKUP(EDATE(B127,-12),'Data Core CPI'!$A:$AX,MATCH($X$1,'Data Core CPI'!$A$1:$AX$1,),))/VLOOKUP(EDATE(B127,-12),'Data Core CPI'!$A:$AX,MATCH($X$1,'Data Core CPI'!$A$1:$AX$1,),)</f>
        <v/>
      </c>
      <c r="Y127" s="20">
        <f>(VLOOKUP(B127,'Data Core CPI'!$A:$AX,MATCH($Y$1,'Data Core CPI'!$A$1:$AX$1,),)-VLOOKUP(EDATE(B127,-12),'Data Core CPI'!$A:$AX,MATCH($Y$1,'Data Core CPI'!$A$1:$AX$1,),))/VLOOKUP(EDATE(B127,-12),'Data Core CPI'!$A:$AX,MATCH($Y$1,'Data Core CPI'!$A$1:$AX$1,),)</f>
        <v/>
      </c>
    </row>
    <row r="128" customFormat="1" s="76">
      <c r="B128" s="15" t="n">
        <v>44105</v>
      </c>
      <c r="C128" s="20">
        <f>(VLOOKUP(B128,'Data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(VLOOKUP(B128,'Data Core CPI'!$A:$AX,MATCH($E$1,'Data Core CPI'!$A$1:$AX$1,),)-VLOOKUP(EDATE(B128,-12),'Data Core CPI'!$A:$AX,MATCH($E$1,'Data Core CPI'!$A$1:$AX$1,),))/VLOOKUP(EDATE(B128,-12),'Data Core CPI'!$A:$AX,MATCH($E$1,'Data Core CPI'!$A$1:$AX$1,),)</f>
        <v/>
      </c>
      <c r="F128" s="20">
        <f>(VLOOKUP(B128,'Data Core CPI'!$A:$AX,MATCH($F$1,'Data Core CPI'!$A$1:$AX$1,),)-VLOOKUP(EDATE(B128,-12),'Data Core CPI'!$A:$AX,MATCH($F$1,'Data Core CPI'!$A$1:$AX$1,),))/VLOOKUP(EDATE(B128,-12),'Data Core CPI'!$A:$AX,MATCH($F$1,'Data Core CPI'!$A$1:$AX$1,),)</f>
        <v/>
      </c>
      <c r="G128" s="20">
        <f>(VLOOKUP(B128,'Data Core CPI'!$A:$AX,MATCH($G$1,'Data Core CPI'!$A$1:$AX$1,),)-VLOOKUP(EDATE(B128,-12),'Data Core CPI'!$A:$AX,MATCH($G$1,'Data Core CPI'!$A$1:$AX$1,),))/VLOOKUP(EDATE(B128,-12),'Data Core CPI'!$A:$AX,MATCH($G$1,'Data Core CPI'!$A$1:$AX$1,),)</f>
        <v/>
      </c>
      <c r="H128" s="20">
        <f>(VLOOKUP(B128,'Data Core CPI'!$A:$AX,MATCH($H$1,'Data Core CPI'!$A$1:$AX$1,),)-VLOOKUP(EDATE(B128,-12),'Data Core CPI'!$A:$AX,MATCH($H$1,'Data Core CPI'!$A$1:$AX$1,),))/VLOOKUP(EDATE(B128,-12),'Data Core CPI'!$A:$AX,MATCH($H$1,'Data Core CPI'!$A$1:$AX$1,),)</f>
        <v/>
      </c>
      <c r="I128" s="20">
        <f>(VLOOKUP(B128,'Data Core CPI'!$A:$AX,MATCH($I$1,'Data Core CPI'!$A$1:$AX$1,),)-VLOOKUP(EDATE(B128,-12),'Data Core CPI'!$A:$AX,MATCH($I$1,'Data Core CPI'!$A$1:$AX$1,),))/VLOOKUP(EDATE(B128,-12),'Data Core CPI'!$A:$AX,MATCH($I$1,'Data Core CPI'!$A$1:$AX$1,),)</f>
        <v/>
      </c>
      <c r="J128" s="20">
        <f>(VLOOKUP(B128,'Data Core CPI'!$A:$AX,MATCH($J$1,'Data Core CPI'!$A$1:$AX$1,),)-VLOOKUP(EDATE(B128,-12),'Data Core CPI'!$A:$AX,MATCH($J$1,'Data Core CPI'!$A$1:$AX$1,),))/VLOOKUP(EDATE(B128,-12),'Data Core CPI'!$A:$AX,MATCH($J$1,'Data Core CPI'!$A$1:$AX$1,),)</f>
        <v/>
      </c>
      <c r="K128" s="20">
        <f>(VLOOKUP(B128,'Data Core CPI'!$A:$AX,MATCH($K$1,'Data Core CPI'!$A$1:$AX$1,),)-VLOOKUP(EDATE(B128,-12),'Data Core CPI'!$A:$AX,MATCH($K$1,'Data Core CPI'!$A$1:$AX$1,),))/VLOOKUP(EDATE(B128,-12),'Data Core CPI'!$A:$AX,MATCH($K$1,'Data Core CPI'!$A$1:$AX$1,),)</f>
        <v/>
      </c>
      <c r="L128" s="20">
        <f>(VLOOKUP(B128,'Data Core CPI'!$A:$AX,MATCH($L$1,'Data Core CPI'!$A$1:$AX$1,),)-VLOOKUP(EDATE(B128,-12),'Data Core CPI'!$A:$AX,MATCH($L$1,'Data Core CPI'!$A$1:$AX$1,),))/VLOOKUP(EDATE(B128,-12),'Data Core CPI'!$A:$AX,MATCH($L$1,'Data Core CPI'!$A$1:$AX$1,),)</f>
        <v/>
      </c>
      <c r="M128" s="20">
        <f>(VLOOKUP(B128,'Data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(VLOOKUP(B128,'Data Core CPI'!$A:$AX,MATCH($W$1,'Data Core CPI'!$A$1:$AX$1,),)-VLOOKUP(EDATE(B128,-12),'Data Core CPI'!$A:$AX,MATCH($W$1,'Data Core CPI'!$A$1:$AX$1,),))/VLOOKUP(EDATE(B128,-12),'Data Core CPI'!$A:$AX,MATCH($W$1,'Data Core CPI'!$A$1:$AX$1,),)</f>
        <v/>
      </c>
      <c r="X128" s="20">
        <f>(VLOOKUP(B128,'Data Core CPI'!$A:$AX,MATCH($X$1,'Data Core CPI'!$A$1:$AX$1,),)-VLOOKUP(EDATE(B128,-12),'Data Core CPI'!$A:$AX,MATCH($X$1,'Data Core CPI'!$A$1:$AX$1,),))/VLOOKUP(EDATE(B128,-12),'Data Core CPI'!$A:$AX,MATCH($X$1,'Data Core CPI'!$A$1:$AX$1,),)</f>
        <v/>
      </c>
      <c r="Y128" s="20">
        <f>(VLOOKUP(B128,'Data Core CPI'!$A:$AX,MATCH($Y$1,'Data Core CPI'!$A$1:$AX$1,),)-VLOOKUP(EDATE(B128,-12),'Data Core CPI'!$A:$AX,MATCH($Y$1,'Data Core CPI'!$A$1:$AX$1,),))/VLOOKUP(EDATE(B128,-12),'Data Core CPI'!$A:$AX,MATCH($Y$1,'Data Core CPI'!$A$1:$AX$1,),)</f>
        <v/>
      </c>
    </row>
    <row r="129" customFormat="1" s="76">
      <c r="B129" s="15" t="n">
        <v>44136</v>
      </c>
      <c r="C129" s="20">
        <f>(VLOOKUP(B129,'Data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(VLOOKUP(B129,'Data Core CPI'!$A:$AX,MATCH($E$1,'Data Core CPI'!$A$1:$AX$1,),)-VLOOKUP(EDATE(B129,-12),'Data Core CPI'!$A:$AX,MATCH($E$1,'Data Core CPI'!$A$1:$AX$1,),))/VLOOKUP(EDATE(B129,-12),'Data Core CPI'!$A:$AX,MATCH($E$1,'Data Core CPI'!$A$1:$AX$1,),)</f>
        <v/>
      </c>
      <c r="F129" s="20">
        <f>(VLOOKUP(B129,'Data Core CPI'!$A:$AX,MATCH($F$1,'Data Core CPI'!$A$1:$AX$1,),)-VLOOKUP(EDATE(B129,-12),'Data Core CPI'!$A:$AX,MATCH($F$1,'Data Core CPI'!$A$1:$AX$1,),))/VLOOKUP(EDATE(B129,-12),'Data Core CPI'!$A:$AX,MATCH($F$1,'Data Core CPI'!$A$1:$AX$1,),)</f>
        <v/>
      </c>
      <c r="G129" s="20">
        <f>(VLOOKUP(B129,'Data Core CPI'!$A:$AX,MATCH($G$1,'Data Core CPI'!$A$1:$AX$1,),)-VLOOKUP(EDATE(B129,-12),'Data Core CPI'!$A:$AX,MATCH($G$1,'Data Core CPI'!$A$1:$AX$1,),))/VLOOKUP(EDATE(B129,-12),'Data Core CPI'!$A:$AX,MATCH($G$1,'Data Core CPI'!$A$1:$AX$1,),)</f>
        <v/>
      </c>
      <c r="H129" s="20">
        <f>(VLOOKUP(B129,'Data Core CPI'!$A:$AX,MATCH($H$1,'Data Core CPI'!$A$1:$AX$1,),)-VLOOKUP(EDATE(B129,-12),'Data Core CPI'!$A:$AX,MATCH($H$1,'Data Core CPI'!$A$1:$AX$1,),))/VLOOKUP(EDATE(B129,-12),'Data Core CPI'!$A:$AX,MATCH($H$1,'Data Core CPI'!$A$1:$AX$1,),)</f>
        <v/>
      </c>
      <c r="I129" s="20">
        <f>(VLOOKUP(B129,'Data Core CPI'!$A:$AX,MATCH($I$1,'Data Core CPI'!$A$1:$AX$1,),)-VLOOKUP(EDATE(B129,-12),'Data Core CPI'!$A:$AX,MATCH($I$1,'Data Core CPI'!$A$1:$AX$1,),))/VLOOKUP(EDATE(B129,-12),'Data Core CPI'!$A:$AX,MATCH($I$1,'Data Core CPI'!$A$1:$AX$1,),)</f>
        <v/>
      </c>
      <c r="J129" s="20">
        <f>(VLOOKUP(B129,'Data Core CPI'!$A:$AX,MATCH($J$1,'Data Core CPI'!$A$1:$AX$1,),)-VLOOKUP(EDATE(B129,-12),'Data Core CPI'!$A:$AX,MATCH($J$1,'Data Core CPI'!$A$1:$AX$1,),))/VLOOKUP(EDATE(B129,-12),'Data Core CPI'!$A:$AX,MATCH($J$1,'Data Core CPI'!$A$1:$AX$1,),)</f>
        <v/>
      </c>
      <c r="K129" s="20">
        <f>(VLOOKUP(B129,'Data Core CPI'!$A:$AX,MATCH($K$1,'Data Core CPI'!$A$1:$AX$1,),)-VLOOKUP(EDATE(B129,-12),'Data Core CPI'!$A:$AX,MATCH($K$1,'Data Core CPI'!$A$1:$AX$1,),))/VLOOKUP(EDATE(B129,-12),'Data Core CPI'!$A:$AX,MATCH($K$1,'Data Core CPI'!$A$1:$AX$1,),)</f>
        <v/>
      </c>
      <c r="L129" s="20">
        <f>(VLOOKUP(B129,'Data Core CPI'!$A:$AX,MATCH($L$1,'Data Core CPI'!$A$1:$AX$1,),)-VLOOKUP(EDATE(B129,-12),'Data Core CPI'!$A:$AX,MATCH($L$1,'Data Core CPI'!$A$1:$AX$1,),))/VLOOKUP(EDATE(B129,-12),'Data Core CPI'!$A:$AX,MATCH($L$1,'Data Core CPI'!$A$1:$AX$1,),)</f>
        <v/>
      </c>
      <c r="M129" s="20">
        <f>(VLOOKUP(B129,'Data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(VLOOKUP(B129,'Data Core CPI'!$A:$AX,MATCH($W$1,'Data Core CPI'!$A$1:$AX$1,),)-VLOOKUP(EDATE(B129,-12),'Data Core CPI'!$A:$AX,MATCH($W$1,'Data Core CPI'!$A$1:$AX$1,),))/VLOOKUP(EDATE(B129,-12),'Data Core CPI'!$A:$AX,MATCH($W$1,'Data Core CPI'!$A$1:$AX$1,),)</f>
        <v/>
      </c>
      <c r="X129" s="20">
        <f>(VLOOKUP(B129,'Data Core CPI'!$A:$AX,MATCH($X$1,'Data Core CPI'!$A$1:$AX$1,),)-VLOOKUP(EDATE(B129,-12),'Data Core CPI'!$A:$AX,MATCH($X$1,'Data Core CPI'!$A$1:$AX$1,),))/VLOOKUP(EDATE(B129,-12),'Data Core CPI'!$A:$AX,MATCH($X$1,'Data Core CPI'!$A$1:$AX$1,),)</f>
        <v/>
      </c>
      <c r="Y129" s="20">
        <f>(VLOOKUP(B129,'Data Core CPI'!$A:$AX,MATCH($Y$1,'Data Core CPI'!$A$1:$AX$1,),)-VLOOKUP(EDATE(B129,-12),'Data Core CPI'!$A:$AX,MATCH($Y$1,'Data Core CPI'!$A$1:$AX$1,),))/VLOOKUP(EDATE(B129,-12),'Data Core CPI'!$A:$AX,MATCH($Y$1,'Data Core CPI'!$A$1:$AX$1,),)</f>
        <v/>
      </c>
    </row>
    <row r="130" customFormat="1" s="76">
      <c r="B130" s="15" t="n">
        <v>44166</v>
      </c>
      <c r="C130" s="20">
        <f>(VLOOKUP(B130,'Data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(VLOOKUP(B130,'Data Core CPI'!$A:$AX,MATCH($E$1,'Data Core CPI'!$A$1:$AX$1,),)-VLOOKUP(EDATE(B130,-12),'Data Core CPI'!$A:$AX,MATCH($E$1,'Data Core CPI'!$A$1:$AX$1,),))/VLOOKUP(EDATE(B130,-12),'Data Core CPI'!$A:$AX,MATCH($E$1,'Data Core CPI'!$A$1:$AX$1,),)</f>
        <v/>
      </c>
      <c r="F130" s="20">
        <f>(VLOOKUP(B130,'Data Core CPI'!$A:$AX,MATCH($F$1,'Data Core CPI'!$A$1:$AX$1,),)-VLOOKUP(EDATE(B130,-12),'Data Core CPI'!$A:$AX,MATCH($F$1,'Data Core CPI'!$A$1:$AX$1,),))/VLOOKUP(EDATE(B130,-12),'Data Core CPI'!$A:$AX,MATCH($F$1,'Data Core CPI'!$A$1:$AX$1,),)</f>
        <v/>
      </c>
      <c r="G130" s="20">
        <f>(VLOOKUP(B130,'Data Core CPI'!$A:$AX,MATCH($G$1,'Data Core CPI'!$A$1:$AX$1,),)-VLOOKUP(EDATE(B130,-12),'Data Core CPI'!$A:$AX,MATCH($G$1,'Data Core CPI'!$A$1:$AX$1,),))/VLOOKUP(EDATE(B130,-12),'Data Core CPI'!$A:$AX,MATCH($G$1,'Data Core CPI'!$A$1:$AX$1,),)</f>
        <v/>
      </c>
      <c r="H130" s="20">
        <f>(VLOOKUP(B130,'Data Core CPI'!$A:$AX,MATCH($H$1,'Data Core CPI'!$A$1:$AX$1,),)-VLOOKUP(EDATE(B130,-12),'Data Core CPI'!$A:$AX,MATCH($H$1,'Data Core CPI'!$A$1:$AX$1,),))/VLOOKUP(EDATE(B130,-12),'Data Core CPI'!$A:$AX,MATCH($H$1,'Data Core CPI'!$A$1:$AX$1,),)</f>
        <v/>
      </c>
      <c r="I130" s="20">
        <f>(VLOOKUP(B130,'Data Core CPI'!$A:$AX,MATCH($I$1,'Data Core CPI'!$A$1:$AX$1,),)-VLOOKUP(EDATE(B130,-12),'Data Core CPI'!$A:$AX,MATCH($I$1,'Data Core CPI'!$A$1:$AX$1,),))/VLOOKUP(EDATE(B130,-12),'Data Core CPI'!$A:$AX,MATCH($I$1,'Data Core CPI'!$A$1:$AX$1,),)</f>
        <v/>
      </c>
      <c r="J130" s="20">
        <f>(VLOOKUP(B130,'Data Core CPI'!$A:$AX,MATCH($J$1,'Data Core CPI'!$A$1:$AX$1,),)-VLOOKUP(EDATE(B130,-12),'Data Core CPI'!$A:$AX,MATCH($J$1,'Data Core CPI'!$A$1:$AX$1,),))/VLOOKUP(EDATE(B130,-12),'Data Core CPI'!$A:$AX,MATCH($J$1,'Data Core CPI'!$A$1:$AX$1,),)</f>
        <v/>
      </c>
      <c r="K130" s="20">
        <f>(VLOOKUP(B130,'Data Core CPI'!$A:$AX,MATCH($K$1,'Data Core CPI'!$A$1:$AX$1,),)-VLOOKUP(EDATE(B130,-12),'Data Core CPI'!$A:$AX,MATCH($K$1,'Data Core CPI'!$A$1:$AX$1,),))/VLOOKUP(EDATE(B130,-12),'Data Core CPI'!$A:$AX,MATCH($K$1,'Data Core CPI'!$A$1:$AX$1,),)</f>
        <v/>
      </c>
      <c r="L130" s="20">
        <f>(VLOOKUP(B130,'Data Core CPI'!$A:$AX,MATCH($L$1,'Data Core CPI'!$A$1:$AX$1,),)-VLOOKUP(EDATE(B130,-12),'Data Core CPI'!$A:$AX,MATCH($L$1,'Data Core CPI'!$A$1:$AX$1,),))/VLOOKUP(EDATE(B130,-12),'Data Core CPI'!$A:$AX,MATCH($L$1,'Data Core CPI'!$A$1:$AX$1,),)</f>
        <v/>
      </c>
      <c r="M130" s="20">
        <f>(VLOOKUP(B130,'Data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(VLOOKUP(B130,'Data Core CPI'!$A:$AX,MATCH($W$1,'Data Core CPI'!$A$1:$AX$1,),)-VLOOKUP(EDATE(B130,-12),'Data Core CPI'!$A:$AX,MATCH($W$1,'Data Core CPI'!$A$1:$AX$1,),))/VLOOKUP(EDATE(B130,-12),'Data Core CPI'!$A:$AX,MATCH($W$1,'Data Core CPI'!$A$1:$AX$1,),)</f>
        <v/>
      </c>
      <c r="X130" s="20">
        <f>(VLOOKUP(B130,'Data Core CPI'!$A:$AX,MATCH($X$1,'Data Core CPI'!$A$1:$AX$1,),)-VLOOKUP(EDATE(B130,-12),'Data Core CPI'!$A:$AX,MATCH($X$1,'Data Core CPI'!$A$1:$AX$1,),))/VLOOKUP(EDATE(B130,-12),'Data Core CPI'!$A:$AX,MATCH($X$1,'Data Core CPI'!$A$1:$AX$1,),)</f>
        <v/>
      </c>
      <c r="Y130" s="20">
        <f>(VLOOKUP(B130,'Data Core CPI'!$A:$AX,MATCH($Y$1,'Data Core CPI'!$A$1:$AX$1,),)-VLOOKUP(EDATE(B130,-12),'Data Core CPI'!$A:$AX,MATCH($Y$1,'Data Core CPI'!$A$1:$AX$1,),))/VLOOKUP(EDATE(B130,-12),'Data Core CPI'!$A:$AX,MATCH($Y$1,'Data Core CPI'!$A$1:$AX$1,),)</f>
        <v/>
      </c>
    </row>
    <row r="131" customFormat="1" s="76">
      <c r="B131" s="15" t="n">
        <v>44197</v>
      </c>
      <c r="C131" s="20">
        <f>(VLOOKUP(B131,'Data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(VLOOKUP(B131,'Data Core CPI'!$A:$AX,MATCH($E$1,'Data Core CPI'!$A$1:$AX$1,),)-VLOOKUP(EDATE(B131,-12),'Data Core CPI'!$A:$AX,MATCH($E$1,'Data Core CPI'!$A$1:$AX$1,),))/VLOOKUP(EDATE(B131,-12),'Data Core CPI'!$A:$AX,MATCH($E$1,'Data Core CPI'!$A$1:$AX$1,),)</f>
        <v/>
      </c>
      <c r="F131" s="20">
        <f>(VLOOKUP(B131,'Data Core CPI'!$A:$AX,MATCH($F$1,'Data Core CPI'!$A$1:$AX$1,),)-VLOOKUP(EDATE(B131,-12),'Data Core CPI'!$A:$AX,MATCH($F$1,'Data Core CPI'!$A$1:$AX$1,),))/VLOOKUP(EDATE(B131,-12),'Data Core CPI'!$A:$AX,MATCH($F$1,'Data Core CPI'!$A$1:$AX$1,),)</f>
        <v/>
      </c>
      <c r="G131" s="20">
        <f>(VLOOKUP(B131,'Data Core CPI'!$A:$AX,MATCH($G$1,'Data Core CPI'!$A$1:$AX$1,),)-VLOOKUP(EDATE(B131,-12),'Data Core CPI'!$A:$AX,MATCH($G$1,'Data Core CPI'!$A$1:$AX$1,),))/VLOOKUP(EDATE(B131,-12),'Data Core CPI'!$A:$AX,MATCH($G$1,'Data Core CPI'!$A$1:$AX$1,),)</f>
        <v/>
      </c>
      <c r="H131" s="20">
        <f>(VLOOKUP(B131,'Data Core CPI'!$A:$AX,MATCH($H$1,'Data Core CPI'!$A$1:$AX$1,),)-VLOOKUP(EDATE(B131,-12),'Data Core CPI'!$A:$AX,MATCH($H$1,'Data Core CPI'!$A$1:$AX$1,),))/VLOOKUP(EDATE(B131,-12),'Data Core CPI'!$A:$AX,MATCH($H$1,'Data Core CPI'!$A$1:$AX$1,),)</f>
        <v/>
      </c>
      <c r="I131" s="20">
        <f>(VLOOKUP(B131,'Data Core CPI'!$A:$AX,MATCH($I$1,'Data Core CPI'!$A$1:$AX$1,),)-VLOOKUP(EDATE(B131,-12),'Data Core CPI'!$A:$AX,MATCH($I$1,'Data Core CPI'!$A$1:$AX$1,),))/VLOOKUP(EDATE(B131,-12),'Data Core CPI'!$A:$AX,MATCH($I$1,'Data Core CPI'!$A$1:$AX$1,),)</f>
        <v/>
      </c>
      <c r="J131" s="20">
        <f>(VLOOKUP(B131,'Data Core CPI'!$A:$AX,MATCH($J$1,'Data Core CPI'!$A$1:$AX$1,),)-VLOOKUP(EDATE(B131,-12),'Data Core CPI'!$A:$AX,MATCH($J$1,'Data Core CPI'!$A$1:$AX$1,),))/VLOOKUP(EDATE(B131,-12),'Data Core CPI'!$A:$AX,MATCH($J$1,'Data Core CPI'!$A$1:$AX$1,),)</f>
        <v/>
      </c>
      <c r="K131" s="20">
        <f>(VLOOKUP(B131,'Data Core CPI'!$A:$AX,MATCH($K$1,'Data Core CPI'!$A$1:$AX$1,),)-VLOOKUP(EDATE(B131,-12),'Data Core CPI'!$A:$AX,MATCH($K$1,'Data Core CPI'!$A$1:$AX$1,),))/VLOOKUP(EDATE(B131,-12),'Data Core CPI'!$A:$AX,MATCH($K$1,'Data Core CPI'!$A$1:$AX$1,),)</f>
        <v/>
      </c>
      <c r="L131" s="20">
        <f>(VLOOKUP(B131,'Data Core CPI'!$A:$AX,MATCH($L$1,'Data Core CPI'!$A$1:$AX$1,),)-VLOOKUP(EDATE(B131,-12),'Data Core CPI'!$A:$AX,MATCH($L$1,'Data Core CPI'!$A$1:$AX$1,),))/VLOOKUP(EDATE(B131,-12),'Data Core CPI'!$A:$AX,MATCH($L$1,'Data Core CPI'!$A$1:$AX$1,),)</f>
        <v/>
      </c>
      <c r="M131" s="20">
        <f>(VLOOKUP(B131,'Data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(VLOOKUP(B131,'Data Core CPI'!$A:$AX,MATCH($W$1,'Data Core CPI'!$A$1:$AX$1,),)-VLOOKUP(EDATE(B131,-12),'Data Core CPI'!$A:$AX,MATCH($W$1,'Data Core CPI'!$A$1:$AX$1,),))/VLOOKUP(EDATE(B131,-12),'Data Core CPI'!$A:$AX,MATCH($W$1,'Data Core CPI'!$A$1:$AX$1,),)</f>
        <v/>
      </c>
      <c r="X131" s="20">
        <f>(VLOOKUP(B131,'Data Core CPI'!$A:$AX,MATCH($X$1,'Data Core CPI'!$A$1:$AX$1,),)-VLOOKUP(EDATE(B131,-12),'Data Core CPI'!$A:$AX,MATCH($X$1,'Data Core CPI'!$A$1:$AX$1,),))/VLOOKUP(EDATE(B131,-12),'Data Core CPI'!$A:$AX,MATCH($X$1,'Data Core CPI'!$A$1:$AX$1,),)</f>
        <v/>
      </c>
      <c r="Y131" s="20">
        <f>(VLOOKUP(B131,'Data Core CPI'!$A:$AX,MATCH($Y$1,'Data Core CPI'!$A$1:$AX$1,),)-VLOOKUP(EDATE(B131,-12),'Data Core CPI'!$A:$AX,MATCH($Y$1,'Data Core CPI'!$A$1:$AX$1,),))/VLOOKUP(EDATE(B131,-12),'Data Core CPI'!$A:$AX,MATCH($Y$1,'Data Core CPI'!$A$1:$AX$1,),)</f>
        <v/>
      </c>
    </row>
    <row r="132" customFormat="1" s="76">
      <c r="B132" s="15" t="n">
        <v>44228</v>
      </c>
      <c r="C132" s="20">
        <f>(VLOOKUP(B132,'Data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(VLOOKUP(B132,'Data Core CPI'!$A:$AX,MATCH($E$1,'Data Core CPI'!$A$1:$AX$1,),)-VLOOKUP(EDATE(B132,-12),'Data Core CPI'!$A:$AX,MATCH($E$1,'Data Core CPI'!$A$1:$AX$1,),))/VLOOKUP(EDATE(B132,-12),'Data Core CPI'!$A:$AX,MATCH($E$1,'Data Core CPI'!$A$1:$AX$1,),)</f>
        <v/>
      </c>
      <c r="F132" s="20">
        <f>(VLOOKUP(B132,'Data Core CPI'!$A:$AX,MATCH($F$1,'Data Core CPI'!$A$1:$AX$1,),)-VLOOKUP(EDATE(B132,-12),'Data Core CPI'!$A:$AX,MATCH($F$1,'Data Core CPI'!$A$1:$AX$1,),))/VLOOKUP(EDATE(B132,-12),'Data Core CPI'!$A:$AX,MATCH($F$1,'Data Core CPI'!$A$1:$AX$1,),)</f>
        <v/>
      </c>
      <c r="G132" s="20">
        <f>(VLOOKUP(B132,'Data Core CPI'!$A:$AX,MATCH($G$1,'Data Core CPI'!$A$1:$AX$1,),)-VLOOKUP(EDATE(B132,-12),'Data Core CPI'!$A:$AX,MATCH($G$1,'Data Core CPI'!$A$1:$AX$1,),))/VLOOKUP(EDATE(B132,-12),'Data Core CPI'!$A:$AX,MATCH($G$1,'Data Core CPI'!$A$1:$AX$1,),)</f>
        <v/>
      </c>
      <c r="H132" s="20">
        <f>(VLOOKUP(B132,'Data Core CPI'!$A:$AX,MATCH($H$1,'Data Core CPI'!$A$1:$AX$1,),)-VLOOKUP(EDATE(B132,-12),'Data Core CPI'!$A:$AX,MATCH($H$1,'Data Core CPI'!$A$1:$AX$1,),))/VLOOKUP(EDATE(B132,-12),'Data Core CPI'!$A:$AX,MATCH($H$1,'Data Core CPI'!$A$1:$AX$1,),)</f>
        <v/>
      </c>
      <c r="I132" s="20">
        <f>(VLOOKUP(B132,'Data Core CPI'!$A:$AX,MATCH($I$1,'Data Core CPI'!$A$1:$AX$1,),)-VLOOKUP(EDATE(B132,-12),'Data Core CPI'!$A:$AX,MATCH($I$1,'Data Core CPI'!$A$1:$AX$1,),))/VLOOKUP(EDATE(B132,-12),'Data Core CPI'!$A:$AX,MATCH($I$1,'Data Core CPI'!$A$1:$AX$1,),)</f>
        <v/>
      </c>
      <c r="J132" s="20">
        <f>(VLOOKUP(B132,'Data Core CPI'!$A:$AX,MATCH($J$1,'Data Core CPI'!$A$1:$AX$1,),)-VLOOKUP(EDATE(B132,-12),'Data Core CPI'!$A:$AX,MATCH($J$1,'Data Core CPI'!$A$1:$AX$1,),))/VLOOKUP(EDATE(B132,-12),'Data Core CPI'!$A:$AX,MATCH($J$1,'Data Core CPI'!$A$1:$AX$1,),)</f>
        <v/>
      </c>
      <c r="K132" s="20">
        <f>(VLOOKUP(B132,'Data Core CPI'!$A:$AX,MATCH($K$1,'Data Core CPI'!$A$1:$AX$1,),)-VLOOKUP(EDATE(B132,-12),'Data Core CPI'!$A:$AX,MATCH($K$1,'Data Core CPI'!$A$1:$AX$1,),))/VLOOKUP(EDATE(B132,-12),'Data Core CPI'!$A:$AX,MATCH($K$1,'Data Core CPI'!$A$1:$AX$1,),)</f>
        <v/>
      </c>
      <c r="L132" s="20">
        <f>(VLOOKUP(B132,'Data Core CPI'!$A:$AX,MATCH($L$1,'Data Core CPI'!$A$1:$AX$1,),)-VLOOKUP(EDATE(B132,-12),'Data Core CPI'!$A:$AX,MATCH($L$1,'Data Core CPI'!$A$1:$AX$1,),))/VLOOKUP(EDATE(B132,-12),'Data Core CPI'!$A:$AX,MATCH($L$1,'Data Core CPI'!$A$1:$AX$1,),)</f>
        <v/>
      </c>
      <c r="M132" s="20">
        <f>(VLOOKUP(B132,'Data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(VLOOKUP(B132,'Data Core CPI'!$A:$AX,MATCH($W$1,'Data Core CPI'!$A$1:$AX$1,),)-VLOOKUP(EDATE(B132,-12),'Data Core CPI'!$A:$AX,MATCH($W$1,'Data Core CPI'!$A$1:$AX$1,),))/VLOOKUP(EDATE(B132,-12),'Data Core CPI'!$A:$AX,MATCH($W$1,'Data Core CPI'!$A$1:$AX$1,),)</f>
        <v/>
      </c>
      <c r="X132" s="20">
        <f>(VLOOKUP(B132,'Data Core CPI'!$A:$AX,MATCH($X$1,'Data Core CPI'!$A$1:$AX$1,),)-VLOOKUP(EDATE(B132,-12),'Data Core CPI'!$A:$AX,MATCH($X$1,'Data Core CPI'!$A$1:$AX$1,),))/VLOOKUP(EDATE(B132,-12),'Data Core CPI'!$A:$AX,MATCH($X$1,'Data Core CPI'!$A$1:$AX$1,),)</f>
        <v/>
      </c>
      <c r="Y132" s="20">
        <f>(VLOOKUP(B132,'Data Core CPI'!$A:$AX,MATCH($Y$1,'Data Core CPI'!$A$1:$AX$1,),)-VLOOKUP(EDATE(B132,-12),'Data Core CPI'!$A:$AX,MATCH($Y$1,'Data Core CPI'!$A$1:$AX$1,),))/VLOOKUP(EDATE(B132,-12),'Data Core CPI'!$A:$AX,MATCH($Y$1,'Data Core CPI'!$A$1:$AX$1,),)</f>
        <v/>
      </c>
    </row>
    <row r="133" customFormat="1" s="76">
      <c r="B133" s="15" t="n">
        <v>44256</v>
      </c>
      <c r="C133" s="20">
        <f>(VLOOKUP(B133,'Data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(VLOOKUP(B133,'Data Core CPI'!$A:$AX,MATCH($E$1,'Data Core CPI'!$A$1:$AX$1,),)-VLOOKUP(EDATE(B133,-12),'Data Core CPI'!$A:$AX,MATCH($E$1,'Data Core CPI'!$A$1:$AX$1,),))/VLOOKUP(EDATE(B133,-12),'Data Core CPI'!$A:$AX,MATCH($E$1,'Data Core CPI'!$A$1:$AX$1,),)</f>
        <v/>
      </c>
      <c r="F133" s="20">
        <f>(VLOOKUP(B133,'Data Core CPI'!$A:$AX,MATCH($F$1,'Data Core CPI'!$A$1:$AX$1,),)-VLOOKUP(EDATE(B133,-12),'Data Core CPI'!$A:$AX,MATCH($F$1,'Data Core CPI'!$A$1:$AX$1,),))/VLOOKUP(EDATE(B133,-12),'Data Core CPI'!$A:$AX,MATCH($F$1,'Data Core CPI'!$A$1:$AX$1,),)</f>
        <v/>
      </c>
      <c r="G133" s="20">
        <f>(VLOOKUP(B133,'Data Core CPI'!$A:$AX,MATCH($G$1,'Data Core CPI'!$A$1:$AX$1,),)-VLOOKUP(EDATE(B133,-12),'Data Core CPI'!$A:$AX,MATCH($G$1,'Data Core CPI'!$A$1:$AX$1,),))/VLOOKUP(EDATE(B133,-12),'Data Core CPI'!$A:$AX,MATCH($G$1,'Data Core CPI'!$A$1:$AX$1,),)</f>
        <v/>
      </c>
      <c r="H133" s="20">
        <f>(VLOOKUP(B133,'Data Core CPI'!$A:$AX,MATCH($H$1,'Data Core CPI'!$A$1:$AX$1,),)-VLOOKUP(EDATE(B133,-12),'Data Core CPI'!$A:$AX,MATCH($H$1,'Data Core CPI'!$A$1:$AX$1,),))/VLOOKUP(EDATE(B133,-12),'Data Core CPI'!$A:$AX,MATCH($H$1,'Data Core CPI'!$A$1:$AX$1,),)</f>
        <v/>
      </c>
      <c r="I133" s="20">
        <f>(VLOOKUP(B133,'Data Core CPI'!$A:$AX,MATCH($I$1,'Data Core CPI'!$A$1:$AX$1,),)-VLOOKUP(EDATE(B133,-12),'Data Core CPI'!$A:$AX,MATCH($I$1,'Data Core CPI'!$A$1:$AX$1,),))/VLOOKUP(EDATE(B133,-12),'Data Core CPI'!$A:$AX,MATCH($I$1,'Data Core CPI'!$A$1:$AX$1,),)</f>
        <v/>
      </c>
      <c r="J133" s="20">
        <f>(VLOOKUP(B133,'Data Core CPI'!$A:$AX,MATCH($J$1,'Data Core CPI'!$A$1:$AX$1,),)-VLOOKUP(EDATE(B133,-12),'Data Core CPI'!$A:$AX,MATCH($J$1,'Data Core CPI'!$A$1:$AX$1,),))/VLOOKUP(EDATE(B133,-12),'Data Core CPI'!$A:$AX,MATCH($J$1,'Data Core CPI'!$A$1:$AX$1,),)</f>
        <v/>
      </c>
      <c r="K133" s="20">
        <f>(VLOOKUP(B133,'Data Core CPI'!$A:$AX,MATCH($K$1,'Data Core CPI'!$A$1:$AX$1,),)-VLOOKUP(EDATE(B133,-12),'Data Core CPI'!$A:$AX,MATCH($K$1,'Data Core CPI'!$A$1:$AX$1,),))/VLOOKUP(EDATE(B133,-12),'Data Core CPI'!$A:$AX,MATCH($K$1,'Data Core CPI'!$A$1:$AX$1,),)</f>
        <v/>
      </c>
      <c r="L133" s="20">
        <f>(VLOOKUP(B133,'Data Core CPI'!$A:$AX,MATCH($L$1,'Data Core CPI'!$A$1:$AX$1,),)-VLOOKUP(EDATE(B133,-12),'Data Core CPI'!$A:$AX,MATCH($L$1,'Data Core CPI'!$A$1:$AX$1,),))/VLOOKUP(EDATE(B133,-12),'Data Core CPI'!$A:$AX,MATCH($L$1,'Data Core CPI'!$A$1:$AX$1,),)</f>
        <v/>
      </c>
      <c r="M133" s="20">
        <f>(VLOOKUP(B133,'Data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(VLOOKUP(B133,'Data Core CPI'!$A:$AX,MATCH($W$1,'Data Core CPI'!$A$1:$AX$1,),)-VLOOKUP(EDATE(B133,-12),'Data Core CPI'!$A:$AX,MATCH($W$1,'Data Core CPI'!$A$1:$AX$1,),))/VLOOKUP(EDATE(B133,-12),'Data Core CPI'!$A:$AX,MATCH($W$1,'Data Core CPI'!$A$1:$AX$1,),)</f>
        <v/>
      </c>
      <c r="X133" s="20">
        <f>(VLOOKUP(B133,'Data Core CPI'!$A:$AX,MATCH($X$1,'Data Core CPI'!$A$1:$AX$1,),)-VLOOKUP(EDATE(B133,-12),'Data Core CPI'!$A:$AX,MATCH($X$1,'Data Core CPI'!$A$1:$AX$1,),))/VLOOKUP(EDATE(B133,-12),'Data Core CPI'!$A:$AX,MATCH($X$1,'Data Core CPI'!$A$1:$AX$1,),)</f>
        <v/>
      </c>
      <c r="Y133" s="20">
        <f>(VLOOKUP(B133,'Data Core CPI'!$A:$AX,MATCH($Y$1,'Data Core CPI'!$A$1:$AX$1,),)-VLOOKUP(EDATE(B133,-12),'Data Core CPI'!$A:$AX,MATCH($Y$1,'Data Core CPI'!$A$1:$AX$1,),))/VLOOKUP(EDATE(B133,-12),'Data Core CPI'!$A:$AX,MATCH($Y$1,'Data Core CPI'!$A$1:$AX$1,),)</f>
        <v/>
      </c>
    </row>
    <row r="134" customFormat="1" s="76">
      <c r="B134" s="15" t="n">
        <v>44287</v>
      </c>
      <c r="C134" s="20">
        <f>(VLOOKUP(B134,'Data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(VLOOKUP(B134,'Data Core CPI'!$A:$AX,MATCH($E$1,'Data Core CPI'!$A$1:$AX$1,),)-VLOOKUP(EDATE(B134,-12),'Data Core CPI'!$A:$AX,MATCH($E$1,'Data Core CPI'!$A$1:$AX$1,),))/VLOOKUP(EDATE(B134,-12),'Data Core CPI'!$A:$AX,MATCH($E$1,'Data Core CPI'!$A$1:$AX$1,),)</f>
        <v/>
      </c>
      <c r="F134" s="20">
        <f>(VLOOKUP(B134,'Data Core CPI'!$A:$AX,MATCH($F$1,'Data Core CPI'!$A$1:$AX$1,),)-VLOOKUP(EDATE(B134,-12),'Data Core CPI'!$A:$AX,MATCH($F$1,'Data Core CPI'!$A$1:$AX$1,),))/VLOOKUP(EDATE(B134,-12),'Data Core CPI'!$A:$AX,MATCH($F$1,'Data Core CPI'!$A$1:$AX$1,),)</f>
        <v/>
      </c>
      <c r="G134" s="20">
        <f>(VLOOKUP(B134,'Data Core CPI'!$A:$AX,MATCH($G$1,'Data Core CPI'!$A$1:$AX$1,),)-VLOOKUP(EDATE(B134,-12),'Data Core CPI'!$A:$AX,MATCH($G$1,'Data Core CPI'!$A$1:$AX$1,),))/VLOOKUP(EDATE(B134,-12),'Data Core CPI'!$A:$AX,MATCH($G$1,'Data Core CPI'!$A$1:$AX$1,),)</f>
        <v/>
      </c>
      <c r="H134" s="20">
        <f>(VLOOKUP(B134,'Data Core CPI'!$A:$AX,MATCH($H$1,'Data Core CPI'!$A$1:$AX$1,),)-VLOOKUP(EDATE(B134,-12),'Data Core CPI'!$A:$AX,MATCH($H$1,'Data Core CPI'!$A$1:$AX$1,),))/VLOOKUP(EDATE(B134,-12),'Data Core CPI'!$A:$AX,MATCH($H$1,'Data Core CPI'!$A$1:$AX$1,),)</f>
        <v/>
      </c>
      <c r="I134" s="20">
        <f>(VLOOKUP(B134,'Data Core CPI'!$A:$AX,MATCH($I$1,'Data Core CPI'!$A$1:$AX$1,),)-VLOOKUP(EDATE(B134,-12),'Data Core CPI'!$A:$AX,MATCH($I$1,'Data Core CPI'!$A$1:$AX$1,),))/VLOOKUP(EDATE(B134,-12),'Data Core CPI'!$A:$AX,MATCH($I$1,'Data Core CPI'!$A$1:$AX$1,),)</f>
        <v/>
      </c>
      <c r="J134" s="20">
        <f>(VLOOKUP(B134,'Data Core CPI'!$A:$AX,MATCH($J$1,'Data Core CPI'!$A$1:$AX$1,),)-VLOOKUP(EDATE(B134,-12),'Data Core CPI'!$A:$AX,MATCH($J$1,'Data Core CPI'!$A$1:$AX$1,),))/VLOOKUP(EDATE(B134,-12),'Data Core CPI'!$A:$AX,MATCH($J$1,'Data Core CPI'!$A$1:$AX$1,),)</f>
        <v/>
      </c>
      <c r="K134" s="20">
        <f>(VLOOKUP(B134,'Data Core CPI'!$A:$AX,MATCH($K$1,'Data Core CPI'!$A$1:$AX$1,),)-VLOOKUP(EDATE(B134,-12),'Data Core CPI'!$A:$AX,MATCH($K$1,'Data Core CPI'!$A$1:$AX$1,),))/VLOOKUP(EDATE(B134,-12),'Data Core CPI'!$A:$AX,MATCH($K$1,'Data Core CPI'!$A$1:$AX$1,),)</f>
        <v/>
      </c>
      <c r="L134" s="20">
        <f>(VLOOKUP(B134,'Data Core CPI'!$A:$AX,MATCH($L$1,'Data Core CPI'!$A$1:$AX$1,),)-VLOOKUP(EDATE(B134,-12),'Data Core CPI'!$A:$AX,MATCH($L$1,'Data Core CPI'!$A$1:$AX$1,),))/VLOOKUP(EDATE(B134,-12),'Data Core CPI'!$A:$AX,MATCH($L$1,'Data Core CPI'!$A$1:$AX$1,),)</f>
        <v/>
      </c>
      <c r="M134" s="20">
        <f>(VLOOKUP(B134,'Data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(VLOOKUP(B134,'Data Core CPI'!$A:$AX,MATCH($W$1,'Data Core CPI'!$A$1:$AX$1,),)-VLOOKUP(EDATE(B134,-12),'Data Core CPI'!$A:$AX,MATCH($W$1,'Data Core CPI'!$A$1:$AX$1,),))/VLOOKUP(EDATE(B134,-12),'Data Core CPI'!$A:$AX,MATCH($W$1,'Data Core CPI'!$A$1:$AX$1,),)</f>
        <v/>
      </c>
      <c r="X134" s="20">
        <f>(VLOOKUP(B134,'Data Core CPI'!$A:$AX,MATCH($X$1,'Data Core CPI'!$A$1:$AX$1,),)-VLOOKUP(EDATE(B134,-12),'Data Core CPI'!$A:$AX,MATCH($X$1,'Data Core CPI'!$A$1:$AX$1,),))/VLOOKUP(EDATE(B134,-12),'Data Core CPI'!$A:$AX,MATCH($X$1,'Data Core CPI'!$A$1:$AX$1,),)</f>
        <v/>
      </c>
      <c r="Y134" s="20">
        <f>(VLOOKUP(B134,'Data Core CPI'!$A:$AX,MATCH($Y$1,'Data Core CPI'!$A$1:$AX$1,),)-VLOOKUP(EDATE(B134,-12),'Data Core CPI'!$A:$AX,MATCH($Y$1,'Data Core CPI'!$A$1:$AX$1,),))/VLOOKUP(EDATE(B134,-12),'Data Core CPI'!$A:$AX,MATCH($Y$1,'Data Core CPI'!$A$1:$AX$1,),)</f>
        <v/>
      </c>
    </row>
    <row r="135" customFormat="1" s="76">
      <c r="B135" s="15" t="n">
        <v>44317</v>
      </c>
      <c r="C135" s="20">
        <f>(VLOOKUP(B135,'Data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(VLOOKUP(B135,'Data Core CPI'!$A:$AX,MATCH($E$1,'Data Core CPI'!$A$1:$AX$1,),)-VLOOKUP(EDATE(B135,-12),'Data Core CPI'!$A:$AX,MATCH($E$1,'Data Core CPI'!$A$1:$AX$1,),))/VLOOKUP(EDATE(B135,-12),'Data Core CPI'!$A:$AX,MATCH($E$1,'Data Core CPI'!$A$1:$AX$1,),)</f>
        <v/>
      </c>
      <c r="F135" s="20">
        <f>(VLOOKUP(B135,'Data Core CPI'!$A:$AX,MATCH($F$1,'Data Core CPI'!$A$1:$AX$1,),)-VLOOKUP(EDATE(B135,-12),'Data Core CPI'!$A:$AX,MATCH($F$1,'Data Core CPI'!$A$1:$AX$1,),))/VLOOKUP(EDATE(B135,-12),'Data Core CPI'!$A:$AX,MATCH($F$1,'Data Core CPI'!$A$1:$AX$1,),)</f>
        <v/>
      </c>
      <c r="G135" s="20">
        <f>(VLOOKUP(B135,'Data Core CPI'!$A:$AX,MATCH($G$1,'Data Core CPI'!$A$1:$AX$1,),)-VLOOKUP(EDATE(B135,-12),'Data Core CPI'!$A:$AX,MATCH($G$1,'Data Core CPI'!$A$1:$AX$1,),))/VLOOKUP(EDATE(B135,-12),'Data Core CPI'!$A:$AX,MATCH($G$1,'Data Core CPI'!$A$1:$AX$1,),)</f>
        <v/>
      </c>
      <c r="H135" s="20">
        <f>(VLOOKUP(B135,'Data Core CPI'!$A:$AX,MATCH($H$1,'Data Core CPI'!$A$1:$AX$1,),)-VLOOKUP(EDATE(B135,-12),'Data Core CPI'!$A:$AX,MATCH($H$1,'Data Core CPI'!$A$1:$AX$1,),))/VLOOKUP(EDATE(B135,-12),'Data Core CPI'!$A:$AX,MATCH($H$1,'Data Core CPI'!$A$1:$AX$1,),)</f>
        <v/>
      </c>
      <c r="I135" s="20">
        <f>(VLOOKUP(B135,'Data Core CPI'!$A:$AX,MATCH($I$1,'Data Core CPI'!$A$1:$AX$1,),)-VLOOKUP(EDATE(B135,-12),'Data Core CPI'!$A:$AX,MATCH($I$1,'Data Core CPI'!$A$1:$AX$1,),))/VLOOKUP(EDATE(B135,-12),'Data Core CPI'!$A:$AX,MATCH($I$1,'Data Core CPI'!$A$1:$AX$1,),)</f>
        <v/>
      </c>
      <c r="J135" s="20">
        <f>(VLOOKUP(B135,'Data Core CPI'!$A:$AX,MATCH($J$1,'Data Core CPI'!$A$1:$AX$1,),)-VLOOKUP(EDATE(B135,-12),'Data Core CPI'!$A:$AX,MATCH($J$1,'Data Core CPI'!$A$1:$AX$1,),))/VLOOKUP(EDATE(B135,-12),'Data Core CPI'!$A:$AX,MATCH($J$1,'Data Core CPI'!$A$1:$AX$1,),)</f>
        <v/>
      </c>
      <c r="K135" s="20">
        <f>(VLOOKUP(B135,'Data Core CPI'!$A:$AX,MATCH($K$1,'Data Core CPI'!$A$1:$AX$1,),)-VLOOKUP(EDATE(B135,-12),'Data Core CPI'!$A:$AX,MATCH($K$1,'Data Core CPI'!$A$1:$AX$1,),))/VLOOKUP(EDATE(B135,-12),'Data Core CPI'!$A:$AX,MATCH($K$1,'Data Core CPI'!$A$1:$AX$1,),)</f>
        <v/>
      </c>
      <c r="L135" s="20">
        <f>(VLOOKUP(B135,'Data Core CPI'!$A:$AX,MATCH($L$1,'Data Core CPI'!$A$1:$AX$1,),)-VLOOKUP(EDATE(B135,-12),'Data Core CPI'!$A:$AX,MATCH($L$1,'Data Core CPI'!$A$1:$AX$1,),))/VLOOKUP(EDATE(B135,-12),'Data Core CPI'!$A:$AX,MATCH($L$1,'Data Core CPI'!$A$1:$AX$1,),)</f>
        <v/>
      </c>
      <c r="M135" s="20">
        <f>(VLOOKUP(B135,'Data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(VLOOKUP(B135,'Data Core CPI'!$A:$AX,MATCH($W$1,'Data Core CPI'!$A$1:$AX$1,),)-VLOOKUP(EDATE(B135,-12),'Data Core CPI'!$A:$AX,MATCH($W$1,'Data Core CPI'!$A$1:$AX$1,),))/VLOOKUP(EDATE(B135,-12),'Data Core CPI'!$A:$AX,MATCH($W$1,'Data Core CPI'!$A$1:$AX$1,),)</f>
        <v/>
      </c>
      <c r="X135" s="20">
        <f>(VLOOKUP(B135,'Data Core CPI'!$A:$AX,MATCH($X$1,'Data Core CPI'!$A$1:$AX$1,),)-VLOOKUP(EDATE(B135,-12),'Data Core CPI'!$A:$AX,MATCH($X$1,'Data Core CPI'!$A$1:$AX$1,),))/VLOOKUP(EDATE(B135,-12),'Data Core CPI'!$A:$AX,MATCH($X$1,'Data Core CPI'!$A$1:$AX$1,),)</f>
        <v/>
      </c>
      <c r="Y135" s="20">
        <f>(VLOOKUP(B135,'Data Core CPI'!$A:$AX,MATCH($Y$1,'Data Core CPI'!$A$1:$AX$1,),)-VLOOKUP(EDATE(B135,-12),'Data Core CPI'!$A:$AX,MATCH($Y$1,'Data Core CPI'!$A$1:$AX$1,),))/VLOOKUP(EDATE(B135,-12),'Data Core CPI'!$A:$AX,MATCH($Y$1,'Data Core CPI'!$A$1:$AX$1,),)</f>
        <v/>
      </c>
    </row>
    <row r="136" customFormat="1" s="76">
      <c r="B136" s="15" t="n">
        <v>44348</v>
      </c>
      <c r="C136" s="20">
        <f>(VLOOKUP(B136,'Data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(VLOOKUP(B136,'Data Core CPI'!$A:$AX,MATCH($E$1,'Data Core CPI'!$A$1:$AX$1,),)-VLOOKUP(EDATE(B136,-12),'Data Core CPI'!$A:$AX,MATCH($E$1,'Data Core CPI'!$A$1:$AX$1,),))/VLOOKUP(EDATE(B136,-12),'Data Core CPI'!$A:$AX,MATCH($E$1,'Data Core CPI'!$A$1:$AX$1,),)</f>
        <v/>
      </c>
      <c r="F136" s="20">
        <f>(VLOOKUP(B136,'Data Core CPI'!$A:$AX,MATCH($F$1,'Data Core CPI'!$A$1:$AX$1,),)-VLOOKUP(EDATE(B136,-12),'Data Core CPI'!$A:$AX,MATCH($F$1,'Data Core CPI'!$A$1:$AX$1,),))/VLOOKUP(EDATE(B136,-12),'Data Core CPI'!$A:$AX,MATCH($F$1,'Data Core CPI'!$A$1:$AX$1,),)</f>
        <v/>
      </c>
      <c r="G136" s="20">
        <f>(VLOOKUP(B136,'Data Core CPI'!$A:$AX,MATCH($G$1,'Data Core CPI'!$A$1:$AX$1,),)-VLOOKUP(EDATE(B136,-12),'Data Core CPI'!$A:$AX,MATCH($G$1,'Data Core CPI'!$A$1:$AX$1,),))/VLOOKUP(EDATE(B136,-12),'Data Core CPI'!$A:$AX,MATCH($G$1,'Data Core CPI'!$A$1:$AX$1,),)</f>
        <v/>
      </c>
      <c r="H136" s="20">
        <f>(VLOOKUP(B136,'Data Core CPI'!$A:$AX,MATCH($H$1,'Data Core CPI'!$A$1:$AX$1,),)-VLOOKUP(EDATE(B136,-12),'Data Core CPI'!$A:$AX,MATCH($H$1,'Data Core CPI'!$A$1:$AX$1,),))/VLOOKUP(EDATE(B136,-12),'Data Core CPI'!$A:$AX,MATCH($H$1,'Data Core CPI'!$A$1:$AX$1,),)</f>
        <v/>
      </c>
      <c r="I136" s="20">
        <f>(VLOOKUP(B136,'Data Core CPI'!$A:$AX,MATCH($I$1,'Data Core CPI'!$A$1:$AX$1,),)-VLOOKUP(EDATE(B136,-12),'Data Core CPI'!$A:$AX,MATCH($I$1,'Data Core CPI'!$A$1:$AX$1,),))/VLOOKUP(EDATE(B136,-12),'Data Core CPI'!$A:$AX,MATCH($I$1,'Data Core CPI'!$A$1:$AX$1,),)</f>
        <v/>
      </c>
      <c r="J136" s="20">
        <f>(VLOOKUP(B136,'Data Core CPI'!$A:$AX,MATCH($J$1,'Data Core CPI'!$A$1:$AX$1,),)-VLOOKUP(EDATE(B136,-12),'Data Core CPI'!$A:$AX,MATCH($J$1,'Data Core CPI'!$A$1:$AX$1,),))/VLOOKUP(EDATE(B136,-12),'Data Core CPI'!$A:$AX,MATCH($J$1,'Data Core CPI'!$A$1:$AX$1,),)</f>
        <v/>
      </c>
      <c r="K136" s="20">
        <f>(VLOOKUP(B136,'Data Core CPI'!$A:$AX,MATCH($K$1,'Data Core CPI'!$A$1:$AX$1,),)-VLOOKUP(EDATE(B136,-12),'Data Core CPI'!$A:$AX,MATCH($K$1,'Data Core CPI'!$A$1:$AX$1,),))/VLOOKUP(EDATE(B136,-12),'Data Core CPI'!$A:$AX,MATCH($K$1,'Data Core CPI'!$A$1:$AX$1,),)</f>
        <v/>
      </c>
      <c r="L136" s="20">
        <f>(VLOOKUP(B136,'Data Core CPI'!$A:$AX,MATCH($L$1,'Data Core CPI'!$A$1:$AX$1,),)-VLOOKUP(EDATE(B136,-12),'Data Core CPI'!$A:$AX,MATCH($L$1,'Data Core CPI'!$A$1:$AX$1,),))/VLOOKUP(EDATE(B136,-12),'Data Core CPI'!$A:$AX,MATCH($L$1,'Data Core CPI'!$A$1:$AX$1,),)</f>
        <v/>
      </c>
      <c r="M136" s="20">
        <f>(VLOOKUP(B136,'Data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(VLOOKUP(B136,'Data Core CPI'!$A:$AX,MATCH($W$1,'Data Core CPI'!$A$1:$AX$1,),)-VLOOKUP(EDATE(B136,-12),'Data Core CPI'!$A:$AX,MATCH($W$1,'Data Core CPI'!$A$1:$AX$1,),))/VLOOKUP(EDATE(B136,-12),'Data Core CPI'!$A:$AX,MATCH($W$1,'Data Core CPI'!$A$1:$AX$1,),)</f>
        <v/>
      </c>
      <c r="X136" s="20">
        <f>(VLOOKUP(B136,'Data Core CPI'!$A:$AX,MATCH($X$1,'Data Core CPI'!$A$1:$AX$1,),)-VLOOKUP(EDATE(B136,-12),'Data Core CPI'!$A:$AX,MATCH($X$1,'Data Core CPI'!$A$1:$AX$1,),))/VLOOKUP(EDATE(B136,-12),'Data Core CPI'!$A:$AX,MATCH($X$1,'Data Core CPI'!$A$1:$AX$1,),)</f>
        <v/>
      </c>
      <c r="Y136" s="20">
        <f>(VLOOKUP(B136,'Data Core CPI'!$A:$AX,MATCH($Y$1,'Data Core CPI'!$A$1:$AX$1,),)-VLOOKUP(EDATE(B136,-12),'Data Core CPI'!$A:$AX,MATCH($Y$1,'Data Core CPI'!$A$1:$AX$1,),))/VLOOKUP(EDATE(B136,-12),'Data Core CPI'!$A:$AX,MATCH($Y$1,'Data Core CPI'!$A$1:$AX$1,),)</f>
        <v/>
      </c>
    </row>
    <row r="137" customFormat="1" s="76">
      <c r="B137" s="15" t="n">
        <v>44378</v>
      </c>
      <c r="C137" s="20">
        <f>(VLOOKUP(B137,'Data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(VLOOKUP(B137,'Data Core CPI'!$A:$AX,MATCH($E$1,'Data Core CPI'!$A$1:$AX$1,),)-VLOOKUP(EDATE(B137,-12),'Data Core CPI'!$A:$AX,MATCH($E$1,'Data Core CPI'!$A$1:$AX$1,),))/VLOOKUP(EDATE(B137,-12),'Data Core CPI'!$A:$AX,MATCH($E$1,'Data Core CPI'!$A$1:$AX$1,),)</f>
        <v/>
      </c>
      <c r="F137" s="20">
        <f>(VLOOKUP(B137,'Data Core CPI'!$A:$AX,MATCH($F$1,'Data Core CPI'!$A$1:$AX$1,),)-VLOOKUP(EDATE(B137,-12),'Data Core CPI'!$A:$AX,MATCH($F$1,'Data Core CPI'!$A$1:$AX$1,),))/VLOOKUP(EDATE(B137,-12),'Data Core CPI'!$A:$AX,MATCH($F$1,'Data Core CPI'!$A$1:$AX$1,),)</f>
        <v/>
      </c>
      <c r="G137" s="20">
        <f>(VLOOKUP(B137,'Data Core CPI'!$A:$AX,MATCH($G$1,'Data Core CPI'!$A$1:$AX$1,),)-VLOOKUP(EDATE(B137,-12),'Data Core CPI'!$A:$AX,MATCH($G$1,'Data Core CPI'!$A$1:$AX$1,),))/VLOOKUP(EDATE(B137,-12),'Data Core CPI'!$A:$AX,MATCH($G$1,'Data Core CPI'!$A$1:$AX$1,),)</f>
        <v/>
      </c>
      <c r="H137" s="20">
        <f>(VLOOKUP(B137,'Data Core CPI'!$A:$AX,MATCH($H$1,'Data Core CPI'!$A$1:$AX$1,),)-VLOOKUP(EDATE(B137,-12),'Data Core CPI'!$A:$AX,MATCH($H$1,'Data Core CPI'!$A$1:$AX$1,),))/VLOOKUP(EDATE(B137,-12),'Data Core CPI'!$A:$AX,MATCH($H$1,'Data Core CPI'!$A$1:$AX$1,),)</f>
        <v/>
      </c>
      <c r="I137" s="20">
        <f>(VLOOKUP(B137,'Data Core CPI'!$A:$AX,MATCH($I$1,'Data Core CPI'!$A$1:$AX$1,),)-VLOOKUP(EDATE(B137,-12),'Data Core CPI'!$A:$AX,MATCH($I$1,'Data Core CPI'!$A$1:$AX$1,),))/VLOOKUP(EDATE(B137,-12),'Data Core CPI'!$A:$AX,MATCH($I$1,'Data Core CPI'!$A$1:$AX$1,),)</f>
        <v/>
      </c>
      <c r="J137" s="20">
        <f>(VLOOKUP(B137,'Data Core CPI'!$A:$AX,MATCH($J$1,'Data Core CPI'!$A$1:$AX$1,),)-VLOOKUP(EDATE(B137,-12),'Data Core CPI'!$A:$AX,MATCH($J$1,'Data Core CPI'!$A$1:$AX$1,),))/VLOOKUP(EDATE(B137,-12),'Data Core CPI'!$A:$AX,MATCH($J$1,'Data Core CPI'!$A$1:$AX$1,),)</f>
        <v/>
      </c>
      <c r="K137" s="20">
        <f>(VLOOKUP(B137,'Data Core CPI'!$A:$AX,MATCH($K$1,'Data Core CPI'!$A$1:$AX$1,),)-VLOOKUP(EDATE(B137,-12),'Data Core CPI'!$A:$AX,MATCH($K$1,'Data Core CPI'!$A$1:$AX$1,),))/VLOOKUP(EDATE(B137,-12),'Data Core CPI'!$A:$AX,MATCH($K$1,'Data Core CPI'!$A$1:$AX$1,),)</f>
        <v/>
      </c>
      <c r="L137" s="20">
        <f>(VLOOKUP(B137,'Data Core CPI'!$A:$AX,MATCH($L$1,'Data Core CPI'!$A$1:$AX$1,),)-VLOOKUP(EDATE(B137,-12),'Data Core CPI'!$A:$AX,MATCH($L$1,'Data Core CPI'!$A$1:$AX$1,),))/VLOOKUP(EDATE(B137,-12),'Data Core CPI'!$A:$AX,MATCH($L$1,'Data Core CPI'!$A$1:$AX$1,),)</f>
        <v/>
      </c>
      <c r="M137" s="20">
        <f>(VLOOKUP(B137,'Data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(VLOOKUP(B137,'Data Core CPI'!$A:$AX,MATCH($W$1,'Data Core CPI'!$A$1:$AX$1,),)-VLOOKUP(EDATE(B137,-12),'Data Core CPI'!$A:$AX,MATCH($W$1,'Data Core CPI'!$A$1:$AX$1,),))/VLOOKUP(EDATE(B137,-12),'Data Core CPI'!$A:$AX,MATCH($W$1,'Data Core CPI'!$A$1:$AX$1,),)</f>
        <v/>
      </c>
      <c r="X137" s="20">
        <f>(VLOOKUP(B137,'Data Core CPI'!$A:$AX,MATCH($X$1,'Data Core CPI'!$A$1:$AX$1,),)-VLOOKUP(EDATE(B137,-12),'Data Core CPI'!$A:$AX,MATCH($X$1,'Data Core CPI'!$A$1:$AX$1,),))/VLOOKUP(EDATE(B137,-12),'Data Core CPI'!$A:$AX,MATCH($X$1,'Data Core CPI'!$A$1:$AX$1,),)</f>
        <v/>
      </c>
      <c r="Y137" s="20">
        <f>(VLOOKUP(B137,'Data Core CPI'!$A:$AX,MATCH($Y$1,'Data Core CPI'!$A$1:$AX$1,),)-VLOOKUP(EDATE(B137,-12),'Data Core CPI'!$A:$AX,MATCH($Y$1,'Data Core CPI'!$A$1:$AX$1,),))/VLOOKUP(EDATE(B137,-12),'Data Core CPI'!$A:$AX,MATCH($Y$1,'Data Core CPI'!$A$1:$AX$1,),)</f>
        <v/>
      </c>
    </row>
    <row r="138" customFormat="1" s="76">
      <c r="B138" s="15" t="n">
        <v>44409</v>
      </c>
      <c r="C138" s="20">
        <f>(VLOOKUP(B138,'Data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(VLOOKUP(B138,'Data Core CPI'!$A:$AX,MATCH($E$1,'Data Core CPI'!$A$1:$AX$1,),)-VLOOKUP(EDATE(B138,-12),'Data Core CPI'!$A:$AX,MATCH($E$1,'Data Core CPI'!$A$1:$AX$1,),))/VLOOKUP(EDATE(B138,-12),'Data Core CPI'!$A:$AX,MATCH($E$1,'Data Core CPI'!$A$1:$AX$1,),)</f>
        <v/>
      </c>
      <c r="F138" s="20">
        <f>(VLOOKUP(B138,'Data Core CPI'!$A:$AX,MATCH($F$1,'Data Core CPI'!$A$1:$AX$1,),)-VLOOKUP(EDATE(B138,-12),'Data Core CPI'!$A:$AX,MATCH($F$1,'Data Core CPI'!$A$1:$AX$1,),))/VLOOKUP(EDATE(B138,-12),'Data Core CPI'!$A:$AX,MATCH($F$1,'Data Core CPI'!$A$1:$AX$1,),)</f>
        <v/>
      </c>
      <c r="G138" s="20">
        <f>(VLOOKUP(B138,'Data Core CPI'!$A:$AX,MATCH($G$1,'Data Core CPI'!$A$1:$AX$1,),)-VLOOKUP(EDATE(B138,-12),'Data Core CPI'!$A:$AX,MATCH($G$1,'Data Core CPI'!$A$1:$AX$1,),))/VLOOKUP(EDATE(B138,-12),'Data Core CPI'!$A:$AX,MATCH($G$1,'Data Core CPI'!$A$1:$AX$1,),)</f>
        <v/>
      </c>
      <c r="H138" s="20">
        <f>(VLOOKUP(B138,'Data Core CPI'!$A:$AX,MATCH($H$1,'Data Core CPI'!$A$1:$AX$1,),)-VLOOKUP(EDATE(B138,-12),'Data Core CPI'!$A:$AX,MATCH($H$1,'Data Core CPI'!$A$1:$AX$1,),))/VLOOKUP(EDATE(B138,-12),'Data Core CPI'!$A:$AX,MATCH($H$1,'Data Core CPI'!$A$1:$AX$1,),)</f>
        <v/>
      </c>
      <c r="I138" s="20">
        <f>(VLOOKUP(B138,'Data Core CPI'!$A:$AX,MATCH($I$1,'Data Core CPI'!$A$1:$AX$1,),)-VLOOKUP(EDATE(B138,-12),'Data Core CPI'!$A:$AX,MATCH($I$1,'Data Core CPI'!$A$1:$AX$1,),))/VLOOKUP(EDATE(B138,-12),'Data Core CPI'!$A:$AX,MATCH($I$1,'Data Core CPI'!$A$1:$AX$1,),)</f>
        <v/>
      </c>
      <c r="J138" s="20">
        <f>(VLOOKUP(B138,'Data Core CPI'!$A:$AX,MATCH($J$1,'Data Core CPI'!$A$1:$AX$1,),)-VLOOKUP(EDATE(B138,-12),'Data Core CPI'!$A:$AX,MATCH($J$1,'Data Core CPI'!$A$1:$AX$1,),))/VLOOKUP(EDATE(B138,-12),'Data Core CPI'!$A:$AX,MATCH($J$1,'Data Core CPI'!$A$1:$AX$1,),)</f>
        <v/>
      </c>
      <c r="K138" s="20">
        <f>(VLOOKUP(B138,'Data Core CPI'!$A:$AX,MATCH($K$1,'Data Core CPI'!$A$1:$AX$1,),)-VLOOKUP(EDATE(B138,-12),'Data Core CPI'!$A:$AX,MATCH($K$1,'Data Core CPI'!$A$1:$AX$1,),))/VLOOKUP(EDATE(B138,-12),'Data Core CPI'!$A:$AX,MATCH($K$1,'Data Core CPI'!$A$1:$AX$1,),)</f>
        <v/>
      </c>
      <c r="L138" s="20">
        <f>(VLOOKUP(B138,'Data Core CPI'!$A:$AX,MATCH($L$1,'Data Core CPI'!$A$1:$AX$1,),)-VLOOKUP(EDATE(B138,-12),'Data Core CPI'!$A:$AX,MATCH($L$1,'Data Core CPI'!$A$1:$AX$1,),))/VLOOKUP(EDATE(B138,-12),'Data Core CPI'!$A:$AX,MATCH($L$1,'Data Core CPI'!$A$1:$AX$1,),)</f>
        <v/>
      </c>
      <c r="M138" s="20">
        <f>(VLOOKUP(B138,'Data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(VLOOKUP(B138,'Data Core CPI'!$A:$AX,MATCH($W$1,'Data Core CPI'!$A$1:$AX$1,),)-VLOOKUP(EDATE(B138,-12),'Data Core CPI'!$A:$AX,MATCH($W$1,'Data Core CPI'!$A$1:$AX$1,),))/VLOOKUP(EDATE(B138,-12),'Data Core CPI'!$A:$AX,MATCH($W$1,'Data Core CPI'!$A$1:$AX$1,),)</f>
        <v/>
      </c>
      <c r="X138" s="20">
        <f>(VLOOKUP(B138,'Data Core CPI'!$A:$AX,MATCH($X$1,'Data Core CPI'!$A$1:$AX$1,),)-VLOOKUP(EDATE(B138,-12),'Data Core CPI'!$A:$AX,MATCH($X$1,'Data Core CPI'!$A$1:$AX$1,),))/VLOOKUP(EDATE(B138,-12),'Data Core CPI'!$A:$AX,MATCH($X$1,'Data Core CPI'!$A$1:$AX$1,),)</f>
        <v/>
      </c>
      <c r="Y138" s="20">
        <f>(VLOOKUP(B138,'Data Core CPI'!$A:$AX,MATCH($Y$1,'Data Core CPI'!$A$1:$AX$1,),)-VLOOKUP(EDATE(B138,-12),'Data Core CPI'!$A:$AX,MATCH($Y$1,'Data Core CPI'!$A$1:$AX$1,),))/VLOOKUP(EDATE(B138,-12),'Data Core CPI'!$A:$AX,MATCH($Y$1,'Data Core CPI'!$A$1:$AX$1,),)</f>
        <v/>
      </c>
    </row>
    <row r="139" customFormat="1" s="76">
      <c r="B139" s="15" t="n">
        <v>44440</v>
      </c>
      <c r="C139" s="20">
        <f>(VLOOKUP(B139,'Data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(VLOOKUP(B139,'Data Core CPI'!$A:$AX,MATCH($E$1,'Data Core CPI'!$A$1:$AX$1,),)-VLOOKUP(EDATE(B139,-12),'Data Core CPI'!$A:$AX,MATCH($E$1,'Data Core CPI'!$A$1:$AX$1,),))/VLOOKUP(EDATE(B139,-12),'Data Core CPI'!$A:$AX,MATCH($E$1,'Data Core CPI'!$A$1:$AX$1,),)</f>
        <v/>
      </c>
      <c r="F139" s="20">
        <f>(VLOOKUP(B139,'Data Core CPI'!$A:$AX,MATCH($F$1,'Data Core CPI'!$A$1:$AX$1,),)-VLOOKUP(EDATE(B139,-12),'Data Core CPI'!$A:$AX,MATCH($F$1,'Data Core CPI'!$A$1:$AX$1,),))/VLOOKUP(EDATE(B139,-12),'Data Core CPI'!$A:$AX,MATCH($F$1,'Data Core CPI'!$A$1:$AX$1,),)</f>
        <v/>
      </c>
      <c r="G139" s="20">
        <f>(VLOOKUP(B139,'Data Core CPI'!$A:$AX,MATCH($G$1,'Data Core CPI'!$A$1:$AX$1,),)-VLOOKUP(EDATE(B139,-12),'Data Core CPI'!$A:$AX,MATCH($G$1,'Data Core CPI'!$A$1:$AX$1,),))/VLOOKUP(EDATE(B139,-12),'Data Core CPI'!$A:$AX,MATCH($G$1,'Data Core CPI'!$A$1:$AX$1,),)</f>
        <v/>
      </c>
      <c r="H139" s="20">
        <f>(VLOOKUP(B139,'Data Core CPI'!$A:$AX,MATCH($H$1,'Data Core CPI'!$A$1:$AX$1,),)-VLOOKUP(EDATE(B139,-12),'Data Core CPI'!$A:$AX,MATCH($H$1,'Data Core CPI'!$A$1:$AX$1,),))/VLOOKUP(EDATE(B139,-12),'Data Core CPI'!$A:$AX,MATCH($H$1,'Data Core CPI'!$A$1:$AX$1,),)</f>
        <v/>
      </c>
      <c r="I139" s="20">
        <f>(VLOOKUP(B139,'Data Core CPI'!$A:$AX,MATCH($I$1,'Data Core CPI'!$A$1:$AX$1,),)-VLOOKUP(EDATE(B139,-12),'Data Core CPI'!$A:$AX,MATCH($I$1,'Data Core CPI'!$A$1:$AX$1,),))/VLOOKUP(EDATE(B139,-12),'Data Core CPI'!$A:$AX,MATCH($I$1,'Data Core CPI'!$A$1:$AX$1,),)</f>
        <v/>
      </c>
      <c r="J139" s="20">
        <f>(VLOOKUP(B139,'Data Core CPI'!$A:$AX,MATCH($J$1,'Data Core CPI'!$A$1:$AX$1,),)-VLOOKUP(EDATE(B139,-12),'Data Core CPI'!$A:$AX,MATCH($J$1,'Data Core CPI'!$A$1:$AX$1,),))/VLOOKUP(EDATE(B139,-12),'Data Core CPI'!$A:$AX,MATCH($J$1,'Data Core CPI'!$A$1:$AX$1,),)</f>
        <v/>
      </c>
      <c r="K139" s="20">
        <f>(VLOOKUP(B139,'Data Core CPI'!$A:$AX,MATCH($K$1,'Data Core CPI'!$A$1:$AX$1,),)-VLOOKUP(EDATE(B139,-12),'Data Core CPI'!$A:$AX,MATCH($K$1,'Data Core CPI'!$A$1:$AX$1,),))/VLOOKUP(EDATE(B139,-12),'Data Core CPI'!$A:$AX,MATCH($K$1,'Data Core CPI'!$A$1:$AX$1,),)</f>
        <v/>
      </c>
      <c r="L139" s="20">
        <f>(VLOOKUP(B139,'Data Core CPI'!$A:$AX,MATCH($L$1,'Data Core CPI'!$A$1:$AX$1,),)-VLOOKUP(EDATE(B139,-12),'Data Core CPI'!$A:$AX,MATCH($L$1,'Data Core CPI'!$A$1:$AX$1,),))/VLOOKUP(EDATE(B139,-12),'Data Core CPI'!$A:$AX,MATCH($L$1,'Data Core CPI'!$A$1:$AX$1,),)</f>
        <v/>
      </c>
      <c r="M139" s="20">
        <f>(VLOOKUP(B139,'Data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(VLOOKUP(B139,'Data Core CPI'!$A:$AX,MATCH($W$1,'Data Core CPI'!$A$1:$AX$1,),)-VLOOKUP(EDATE(B139,-12),'Data Core CPI'!$A:$AX,MATCH($W$1,'Data Core CPI'!$A$1:$AX$1,),))/VLOOKUP(EDATE(B139,-12),'Data Core CPI'!$A:$AX,MATCH($W$1,'Data Core CPI'!$A$1:$AX$1,),)</f>
        <v/>
      </c>
      <c r="X139" s="20">
        <f>(VLOOKUP(B139,'Data Core CPI'!$A:$AX,MATCH($X$1,'Data Core CPI'!$A$1:$AX$1,),)-VLOOKUP(EDATE(B139,-12),'Data Core CPI'!$A:$AX,MATCH($X$1,'Data Core CPI'!$A$1:$AX$1,),))/VLOOKUP(EDATE(B139,-12),'Data Core CPI'!$A:$AX,MATCH($X$1,'Data Core CPI'!$A$1:$AX$1,),)</f>
        <v/>
      </c>
      <c r="Y139" s="20">
        <f>(VLOOKUP(B139,'Data Core CPI'!$A:$AX,MATCH($Y$1,'Data Core CPI'!$A$1:$AX$1,),)-VLOOKUP(EDATE(B139,-12),'Data Core CPI'!$A:$AX,MATCH($Y$1,'Data Core CPI'!$A$1:$AX$1,),))/VLOOKUP(EDATE(B139,-12),'Data Core CPI'!$A:$AX,MATCH($Y$1,'Data Core CPI'!$A$1:$AX$1,),)</f>
        <v/>
      </c>
    </row>
    <row r="140" customFormat="1" s="76">
      <c r="B140" s="15" t="n">
        <v>44470</v>
      </c>
      <c r="C140" s="20">
        <f>(VLOOKUP(B140,'Data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(VLOOKUP(B140,'Data Core CPI'!$A:$AX,MATCH($E$1,'Data Core CPI'!$A$1:$AX$1,),)-VLOOKUP(EDATE(B140,-12),'Data Core CPI'!$A:$AX,MATCH($E$1,'Data Core CPI'!$A$1:$AX$1,),))/VLOOKUP(EDATE(B140,-12),'Data Core CPI'!$A:$AX,MATCH($E$1,'Data Core CPI'!$A$1:$AX$1,),)</f>
        <v/>
      </c>
      <c r="F140" s="20">
        <f>(VLOOKUP(B140,'Data Core CPI'!$A:$AX,MATCH($F$1,'Data Core CPI'!$A$1:$AX$1,),)-VLOOKUP(EDATE(B140,-12),'Data Core CPI'!$A:$AX,MATCH($F$1,'Data Core CPI'!$A$1:$AX$1,),))/VLOOKUP(EDATE(B140,-12),'Data Core CPI'!$A:$AX,MATCH($F$1,'Data Core CPI'!$A$1:$AX$1,),)</f>
        <v/>
      </c>
      <c r="G140" s="20">
        <f>(VLOOKUP(B140,'Data Core CPI'!$A:$AX,MATCH($G$1,'Data Core CPI'!$A$1:$AX$1,),)-VLOOKUP(EDATE(B140,-12),'Data Core CPI'!$A:$AX,MATCH($G$1,'Data Core CPI'!$A$1:$AX$1,),))/VLOOKUP(EDATE(B140,-12),'Data Core CPI'!$A:$AX,MATCH($G$1,'Data Core CPI'!$A$1:$AX$1,),)</f>
        <v/>
      </c>
      <c r="H140" s="20">
        <f>(VLOOKUP(B140,'Data Core CPI'!$A:$AX,MATCH($H$1,'Data Core CPI'!$A$1:$AX$1,),)-VLOOKUP(EDATE(B140,-12),'Data Core CPI'!$A:$AX,MATCH($H$1,'Data Core CPI'!$A$1:$AX$1,),))/VLOOKUP(EDATE(B140,-12),'Data Core CPI'!$A:$AX,MATCH($H$1,'Data Core CPI'!$A$1:$AX$1,),)</f>
        <v/>
      </c>
      <c r="I140" s="20">
        <f>(VLOOKUP(B140,'Data Core CPI'!$A:$AX,MATCH($I$1,'Data Core CPI'!$A$1:$AX$1,),)-VLOOKUP(EDATE(B140,-12),'Data Core CPI'!$A:$AX,MATCH($I$1,'Data Core CPI'!$A$1:$AX$1,),))/VLOOKUP(EDATE(B140,-12),'Data Core CPI'!$A:$AX,MATCH($I$1,'Data Core CPI'!$A$1:$AX$1,),)</f>
        <v/>
      </c>
      <c r="J140" s="20">
        <f>(VLOOKUP(B140,'Data Core CPI'!$A:$AX,MATCH($J$1,'Data Core CPI'!$A$1:$AX$1,),)-VLOOKUP(EDATE(B140,-12),'Data Core CPI'!$A:$AX,MATCH($J$1,'Data Core CPI'!$A$1:$AX$1,),))/VLOOKUP(EDATE(B140,-12),'Data Core CPI'!$A:$AX,MATCH($J$1,'Data Core CPI'!$A$1:$AX$1,),)</f>
        <v/>
      </c>
      <c r="K140" s="20">
        <f>(VLOOKUP(B140,'Data Core CPI'!$A:$AX,MATCH($K$1,'Data Core CPI'!$A$1:$AX$1,),)-VLOOKUP(EDATE(B140,-12),'Data Core CPI'!$A:$AX,MATCH($K$1,'Data Core CPI'!$A$1:$AX$1,),))/VLOOKUP(EDATE(B140,-12),'Data Core CPI'!$A:$AX,MATCH($K$1,'Data Core CPI'!$A$1:$AX$1,),)</f>
        <v/>
      </c>
      <c r="L140" s="20">
        <f>(VLOOKUP(B140,'Data Core CPI'!$A:$AX,MATCH($L$1,'Data Core CPI'!$A$1:$AX$1,),)-VLOOKUP(EDATE(B140,-12),'Data Core CPI'!$A:$AX,MATCH($L$1,'Data Core CPI'!$A$1:$AX$1,),))/VLOOKUP(EDATE(B140,-12),'Data Core CPI'!$A:$AX,MATCH($L$1,'Data Core CPI'!$A$1:$AX$1,),)</f>
        <v/>
      </c>
      <c r="M140" s="20">
        <f>(VLOOKUP(B140,'Data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(VLOOKUP(B140,'Data Core CPI'!$A:$AX,MATCH($W$1,'Data Core CPI'!$A$1:$AX$1,),)-VLOOKUP(EDATE(B140,-12),'Data Core CPI'!$A:$AX,MATCH($W$1,'Data Core CPI'!$A$1:$AX$1,),))/VLOOKUP(EDATE(B140,-12),'Data Core CPI'!$A:$AX,MATCH($W$1,'Data Core CPI'!$A$1:$AX$1,),)</f>
        <v/>
      </c>
      <c r="X140" s="20">
        <f>(VLOOKUP(B140,'Data Core CPI'!$A:$AX,MATCH($X$1,'Data Core CPI'!$A$1:$AX$1,),)-VLOOKUP(EDATE(B140,-12),'Data Core CPI'!$A:$AX,MATCH($X$1,'Data Core CPI'!$A$1:$AX$1,),))/VLOOKUP(EDATE(B140,-12),'Data Core CPI'!$A:$AX,MATCH($X$1,'Data Core CPI'!$A$1:$AX$1,),)</f>
        <v/>
      </c>
      <c r="Y140" s="20">
        <f>(VLOOKUP(B140,'Data Core CPI'!$A:$AX,MATCH($Y$1,'Data Core CPI'!$A$1:$AX$1,),)-VLOOKUP(EDATE(B140,-12),'Data Core CPI'!$A:$AX,MATCH($Y$1,'Data Core CPI'!$A$1:$AX$1,),))/VLOOKUP(EDATE(B140,-12),'Data Core CPI'!$A:$AX,MATCH($Y$1,'Data Core CPI'!$A$1:$AX$1,),)</f>
        <v/>
      </c>
    </row>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sheetData>
  <conditionalFormatting sqref="D24:D58">
    <cfRule type="colorScale" priority="26">
      <colorScale>
        <cfvo type="min"/>
        <cfvo type="percentile" val="50"/>
        <cfvo type="max"/>
        <color rgb="FFF8696B"/>
        <color rgb="FFFFEB84"/>
        <color rgb="FF63BE7B"/>
      </colorScale>
    </cfRule>
  </conditionalFormatting>
  <conditionalFormatting sqref="E24:E58">
    <cfRule type="colorScale" priority="25">
      <colorScale>
        <cfvo type="min"/>
        <cfvo type="percentile" val="50"/>
        <cfvo type="max"/>
        <color rgb="FFF8696B"/>
        <color rgb="FFFFEB84"/>
        <color rgb="FF63BE7B"/>
      </colorScale>
    </cfRule>
  </conditionalFormatting>
  <conditionalFormatting sqref="F24:F58">
    <cfRule type="colorScale" priority="24">
      <colorScale>
        <cfvo type="min"/>
        <cfvo type="percentile" val="50"/>
        <cfvo type="max"/>
        <color rgb="FFF8696B"/>
        <color rgb="FFFFEB84"/>
        <color rgb="FF63BE7B"/>
      </colorScale>
    </cfRule>
  </conditionalFormatting>
  <conditionalFormatting sqref="G24:G58">
    <cfRule type="colorScale" priority="23">
      <colorScale>
        <cfvo type="min"/>
        <cfvo type="percentile" val="50"/>
        <cfvo type="max"/>
        <color rgb="FFF8696B"/>
        <color rgb="FFFFEB84"/>
        <color rgb="FF63BE7B"/>
      </colorScale>
    </cfRule>
  </conditionalFormatting>
  <conditionalFormatting sqref="H24:H58">
    <cfRule type="colorScale" priority="22">
      <colorScale>
        <cfvo type="min"/>
        <cfvo type="percentile" val="50"/>
        <cfvo type="max"/>
        <color rgb="FFF8696B"/>
        <color rgb="FFFFEB84"/>
        <color rgb="FF63BE7B"/>
      </colorScale>
    </cfRule>
  </conditionalFormatting>
  <conditionalFormatting sqref="I24:I58">
    <cfRule type="colorScale" priority="21">
      <colorScale>
        <cfvo type="min"/>
        <cfvo type="percentile" val="50"/>
        <cfvo type="max"/>
        <color rgb="FFF8696B"/>
        <color rgb="FFFFEB84"/>
        <color rgb="FF63BE7B"/>
      </colorScale>
    </cfRule>
  </conditionalFormatting>
  <conditionalFormatting sqref="J24:J58">
    <cfRule type="colorScale" priority="20">
      <colorScale>
        <cfvo type="min"/>
        <cfvo type="percentile" val="50"/>
        <cfvo type="max"/>
        <color rgb="FFF8696B"/>
        <color rgb="FFFFEB84"/>
        <color rgb="FF63BE7B"/>
      </colorScale>
    </cfRule>
  </conditionalFormatting>
  <conditionalFormatting sqref="K24:K58">
    <cfRule type="colorScale" priority="19">
      <colorScale>
        <cfvo type="min"/>
        <cfvo type="percentile" val="50"/>
        <cfvo type="max"/>
        <color rgb="FFF8696B"/>
        <color rgb="FFFFEB84"/>
        <color rgb="FF63BE7B"/>
      </colorScale>
    </cfRule>
  </conditionalFormatting>
  <conditionalFormatting sqref="L24:L58">
    <cfRule type="colorScale" priority="18">
      <colorScale>
        <cfvo type="min"/>
        <cfvo type="percentile" val="50"/>
        <cfvo type="max"/>
        <color rgb="FFF8696B"/>
        <color rgb="FFFFEB84"/>
        <color rgb="FF63BE7B"/>
      </colorScale>
    </cfRule>
  </conditionalFormatting>
  <conditionalFormatting sqref="M24:M58">
    <cfRule type="colorScale" priority="17">
      <colorScale>
        <cfvo type="min"/>
        <cfvo type="percentile" val="50"/>
        <cfvo type="max"/>
        <color rgb="FFF8696B"/>
        <color rgb="FFFFEB84"/>
        <color rgb="FF63BE7B"/>
      </colorScale>
    </cfRule>
  </conditionalFormatting>
  <conditionalFormatting sqref="N24:N58">
    <cfRule type="colorScale" priority="16">
      <colorScale>
        <cfvo type="min"/>
        <cfvo type="percentile" val="50"/>
        <cfvo type="max"/>
        <color rgb="FFF8696B"/>
        <color rgb="FFFFEB84"/>
        <color rgb="FF63BE7B"/>
      </colorScale>
    </cfRule>
  </conditionalFormatting>
  <conditionalFormatting sqref="O24:O58">
    <cfRule type="colorScale" priority="15">
      <colorScale>
        <cfvo type="min"/>
        <cfvo type="percentile" val="50"/>
        <cfvo type="max"/>
        <color rgb="FFF8696B"/>
        <color rgb="FFFFEB84"/>
        <color rgb="FF63BE7B"/>
      </colorScale>
    </cfRule>
  </conditionalFormatting>
  <conditionalFormatting sqref="P24:P58">
    <cfRule type="colorScale" priority="14">
      <colorScale>
        <cfvo type="min"/>
        <cfvo type="percentile" val="50"/>
        <cfvo type="max"/>
        <color rgb="FFF8696B"/>
        <color rgb="FFFFEB84"/>
        <color rgb="FF63BE7B"/>
      </colorScale>
    </cfRule>
  </conditionalFormatting>
  <conditionalFormatting sqref="Q24:Q58">
    <cfRule type="colorScale" priority="13">
      <colorScale>
        <cfvo type="min"/>
        <cfvo type="percentile" val="50"/>
        <cfvo type="max"/>
        <color rgb="FFF8696B"/>
        <color rgb="FFFFEB84"/>
        <color rgb="FF63BE7B"/>
      </colorScale>
    </cfRule>
  </conditionalFormatting>
  <conditionalFormatting sqref="R24:R58">
    <cfRule type="colorScale" priority="12">
      <colorScale>
        <cfvo type="min"/>
        <cfvo type="percentile" val="50"/>
        <cfvo type="max"/>
        <color rgb="FFF8696B"/>
        <color rgb="FFFFEB84"/>
        <color rgb="FF63BE7B"/>
      </colorScale>
    </cfRule>
  </conditionalFormatting>
  <conditionalFormatting sqref="S24:S58">
    <cfRule type="colorScale" priority="11">
      <colorScale>
        <cfvo type="min"/>
        <cfvo type="percentile" val="50"/>
        <cfvo type="max"/>
        <color rgb="FFF8696B"/>
        <color rgb="FFFFEB84"/>
        <color rgb="FF63BE7B"/>
      </colorScale>
    </cfRule>
  </conditionalFormatting>
  <conditionalFormatting sqref="T24:T58">
    <cfRule type="colorScale" priority="10">
      <colorScale>
        <cfvo type="min"/>
        <cfvo type="percentile" val="50"/>
        <cfvo type="max"/>
        <color rgb="FFF8696B"/>
        <color rgb="FFFFEB84"/>
        <color rgb="FF63BE7B"/>
      </colorScale>
    </cfRule>
  </conditionalFormatting>
  <conditionalFormatting sqref="U24:U58">
    <cfRule type="colorScale" priority="9">
      <colorScale>
        <cfvo type="min"/>
        <cfvo type="percentile" val="50"/>
        <cfvo type="max"/>
        <color rgb="FFF8696B"/>
        <color rgb="FFFFEB84"/>
        <color rgb="FF63BE7B"/>
      </colorScale>
    </cfRule>
  </conditionalFormatting>
  <conditionalFormatting sqref="V24:V58">
    <cfRule type="colorScale" priority="8">
      <colorScale>
        <cfvo type="min"/>
        <cfvo type="percentile" val="50"/>
        <cfvo type="max"/>
        <color rgb="FFF8696B"/>
        <color rgb="FFFFEB84"/>
        <color rgb="FF63BE7B"/>
      </colorScale>
    </cfRule>
  </conditionalFormatting>
  <conditionalFormatting sqref="W24:W58">
    <cfRule type="colorScale" priority="7">
      <colorScale>
        <cfvo type="min"/>
        <cfvo type="percentile" val="50"/>
        <cfvo type="max"/>
        <color rgb="FFF8696B"/>
        <color rgb="FFFFEB84"/>
        <color rgb="FF63BE7B"/>
      </colorScale>
    </cfRule>
  </conditionalFormatting>
  <conditionalFormatting sqref="X24:X58">
    <cfRule type="colorScale" priority="6">
      <colorScale>
        <cfvo type="min"/>
        <cfvo type="percentile" val="50"/>
        <cfvo type="max"/>
        <color rgb="FFF8696B"/>
        <color rgb="FFFFEB84"/>
        <color rgb="FF63BE7B"/>
      </colorScale>
    </cfRule>
  </conditionalFormatting>
  <conditionalFormatting sqref="Y24:Y58">
    <cfRule type="colorScale" priority="5">
      <colorScale>
        <cfvo type="min"/>
        <cfvo type="percentile" val="50"/>
        <cfvo type="max"/>
        <color rgb="FFF8696B"/>
        <color rgb="FFFFEB84"/>
        <color rgb="FF63BE7B"/>
      </colorScale>
    </cfRule>
  </conditionalFormatting>
  <conditionalFormatting sqref="Z24:Z58">
    <cfRule type="colorScale" priority="4">
      <colorScale>
        <cfvo type="min"/>
        <cfvo type="percentile" val="50"/>
        <cfvo type="max"/>
        <color rgb="FFF8696B"/>
        <color rgb="FFFFEB84"/>
        <color rgb="FF63BE7B"/>
      </colorScale>
    </cfRule>
  </conditionalFormatting>
  <conditionalFormatting sqref="AA24:AB58 AB59:AB98">
    <cfRule type="colorScale" priority="3">
      <colorScale>
        <cfvo type="min"/>
        <cfvo type="percentile" val="50"/>
        <cfvo type="max"/>
        <color rgb="FFF8696B"/>
        <color rgb="FFFFEB84"/>
        <color rgb="FF63BE7B"/>
      </colorScale>
    </cfRule>
  </conditionalFormatting>
  <conditionalFormatting sqref="C24:C140">
    <cfRule type="colorScale" priority="28">
      <colorScale>
        <cfvo type="min"/>
        <cfvo type="percentile" val="50"/>
        <cfvo type="max"/>
        <color rgb="FFF8696B"/>
        <color rgb="FFFFEB84"/>
        <color rgb="FF63BE7B"/>
      </colorScale>
    </cfRule>
  </conditionalFormatting>
  <conditionalFormatting sqref="D59:D140">
    <cfRule type="colorScale" priority="29">
      <colorScale>
        <cfvo type="min"/>
        <cfvo type="percentile" val="50"/>
        <cfvo type="max"/>
        <color rgb="FFF8696B"/>
        <color rgb="FFFFEB84"/>
        <color rgb="FF63BE7B"/>
      </colorScale>
    </cfRule>
  </conditionalFormatting>
  <conditionalFormatting sqref="E59:AA105 Z106:AA106 E106:Y140">
    <cfRule type="colorScale" priority="30">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zoomScale="140" zoomScaleNormal="140" workbookViewId="0">
      <pane ySplit="2" topLeftCell="A800" activePane="bottomLeft" state="frozen"/>
      <selection pane="bottomLeft" activeCell="M166" sqref="M166"/>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JPN</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Table143454[[#Headers],[JPN]]</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Row],[JPN]]-#REF!)/#REF!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Row],[JPN]]-#REF!)/#REF!</f>
        <v/>
      </c>
      <c r="E4" s="35">
        <f>(Table143454[[#This Row],[JPN]]-#REF!)/#REF!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Row],[JPN]]-#REF!)/#REF!</f>
        <v/>
      </c>
      <c r="E5" s="35">
        <f>(Table143454[[#This Row],[JPN]]-#REF!)/#REF!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Row],[JPN]]-#REF!)/#REF!</f>
        <v/>
      </c>
      <c r="E6" s="35">
        <f>(Table143454[[#This Row],[JPN]]-#REF!)/#REF!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Row],[JPN]]-#REF!)/#REF!</f>
        <v/>
      </c>
      <c r="E7" s="35">
        <f>(Table143454[[#This Row],[JPN]]-#REF!)/#REF!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Row],[JPN]]-#REF!)/#REF!</f>
        <v/>
      </c>
      <c r="E8" s="35">
        <f>(Table143454[[#This Row],[JPN]]-#REF!)/#REF!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Row],[JPN]]-#REF!)/#REF!</f>
        <v/>
      </c>
      <c r="E9" s="35">
        <f>(Table143454[[#This Row],[JPN]]-#REF!)/#REF!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Row],[JPN]]-#REF!)/#REF!</f>
        <v/>
      </c>
      <c r="E10" s="35">
        <f>(Table143454[[#This Row],[JPN]]-#REF!)/#REF!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Row],[JPN]]-#REF!)/#REF!</f>
        <v/>
      </c>
      <c r="E11" s="35">
        <f>(Table143454[[#This Row],[JPN]]-#REF!)/#REF!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Row],[JPN]]-#REF!)/#REF!</f>
        <v/>
      </c>
      <c r="E12" s="35">
        <f>(Table143454[[#This Row],[JPN]]-#REF!)/#REF!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Row],[JPN]]-#REF!)/#REF!</f>
        <v/>
      </c>
      <c r="E13" s="35">
        <f>(Table143454[[#This Row],[JPN]]-#REF!)/#REF!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Row],[JPN]]-B2)/B2</f>
        <v/>
      </c>
      <c r="E14" s="35">
        <f>(Table143454[[#This Row],[JPN]]-B2)/B2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Row],[JPN]]-B3)/B3</f>
        <v/>
      </c>
      <c r="E15" s="35">
        <f>(Table143454[[#This Row],[JPN]]-B3)/B3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Row],[JPN]]-B4)/B4</f>
        <v/>
      </c>
      <c r="E16" s="35">
        <f>(Table143454[[#This Row],[JPN]]-B4)/B4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Row],[JPN]]-B5)/B5</f>
        <v/>
      </c>
      <c r="E17" s="35">
        <f>(Table143454[[#This Row],[JPN]]-B5)/B5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Row],[JPN]]-B6)/B6</f>
        <v/>
      </c>
      <c r="E18" s="35">
        <f>(Table143454[[#This Row],[JPN]]-B6)/B6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Row],[JPN]]-B7)/B7</f>
        <v/>
      </c>
      <c r="E19" s="35">
        <f>(Table143454[[#This Row],[JPN]]-B7)/B7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Row],[JPN]]-B8)/B8</f>
        <v/>
      </c>
      <c r="E20" s="35">
        <f>(Table143454[[#This Row],[JPN]]-B8)/B8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Row],[JPN]]-B9)/B9</f>
        <v/>
      </c>
      <c r="E21" s="35">
        <f>(Table143454[[#This Row],[JPN]]-B9)/B9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Row],[JPN]]-B10)/B10</f>
        <v/>
      </c>
      <c r="E22" s="35">
        <f>(Table143454[[#This Row],[JPN]]-B10)/B10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Row],[JPN]]-B11)/B11</f>
        <v/>
      </c>
      <c r="E23" s="35">
        <f>(Table143454[[#This Row],[JPN]]-B11)/B11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Row],[JPN]]-B12)/B12</f>
        <v/>
      </c>
      <c r="E24" s="35">
        <f>(Table143454[[#This Row],[JPN]]-B12)/B12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Row],[JPN]]-B13)/B13</f>
        <v/>
      </c>
      <c r="E25" s="35">
        <f>(Table143454[[#This Row],[JPN]]-B13)/B13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Row],[JPN]]-B14)/B14</f>
        <v/>
      </c>
      <c r="E26" s="35">
        <f>(Table143454[[#This Row],[JPN]]-B14)/B14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Row],[JPN]]-B15)/B15</f>
        <v/>
      </c>
      <c r="E27" s="35">
        <f>(Table143454[[#This Row],[JPN]]-B15)/B15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Row],[JPN]]-B16)/B16</f>
        <v/>
      </c>
      <c r="E28" s="35">
        <f>(Table143454[[#This Row],[JPN]]-B16)/B16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Row],[JPN]]-B17)/B17</f>
        <v/>
      </c>
      <c r="E29" s="35">
        <f>(Table143454[[#This Row],[JPN]]-B17)/B17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Row],[JPN]]-B18)/B18</f>
        <v/>
      </c>
      <c r="E30" s="35">
        <f>(Table143454[[#This Row],[JPN]]-B18)/B18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Row],[JPN]]-B19)/B19</f>
        <v/>
      </c>
      <c r="E31" s="35">
        <f>(Table143454[[#This Row],[JPN]]-B19)/B19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Row],[JPN]]-B20)/B20</f>
        <v/>
      </c>
      <c r="E32" s="35">
        <f>(Table143454[[#This Row],[JPN]]-B20)/B20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Row],[JPN]]-B21)/B21</f>
        <v/>
      </c>
      <c r="E33" s="35">
        <f>(Table143454[[#This Row],[JPN]]-B21)/B21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Row],[JPN]]-B22)/B22</f>
        <v/>
      </c>
      <c r="E34" s="35">
        <f>(Table143454[[#This Row],[JPN]]-B22)/B22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Row],[JPN]]-B23)/B23</f>
        <v/>
      </c>
      <c r="E35" s="35">
        <f>(Table143454[[#This Row],[JPN]]-B23)/B23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Row],[JPN]]-B24)/B24</f>
        <v/>
      </c>
      <c r="E36" s="35">
        <f>(Table143454[[#This Row],[JPN]]-B24)/B24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Row],[JPN]]-B25)/B25</f>
        <v/>
      </c>
      <c r="E37" s="35">
        <f>(Table143454[[#This Row],[JPN]]-B25)/B25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Row],[JPN]]-B26)/B26</f>
        <v/>
      </c>
      <c r="E38" s="35">
        <f>(Table143454[[#This Row],[JPN]]-B26)/B26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Row],[JPN]]-B27)/B27</f>
        <v/>
      </c>
      <c r="E39" s="35">
        <f>(Table143454[[#This Row],[JPN]]-B27)/B27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Row],[JPN]]-B28)/B28</f>
        <v/>
      </c>
      <c r="E40" s="35">
        <f>(Table143454[[#This Row],[JPN]]-B28)/B28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Row],[JPN]]-B29)/B29</f>
        <v/>
      </c>
      <c r="E41" s="35">
        <f>(Table143454[[#This Row],[JPN]]-B29)/B29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Row],[JPN]]-B30)/B30</f>
        <v/>
      </c>
      <c r="E42" s="35">
        <f>(Table143454[[#This Row],[JPN]]-B30)/B30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Row],[JPN]]-B31)/B31</f>
        <v/>
      </c>
      <c r="E43" s="35">
        <f>(Table143454[[#This Row],[JPN]]-B31)/B31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Row],[JPN]]-B32)/B32</f>
        <v/>
      </c>
      <c r="E44" s="35">
        <f>(Table143454[[#This Row],[JPN]]-B32)/B32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Row],[JPN]]-B33)/B33</f>
        <v/>
      </c>
      <c r="E45" s="35">
        <f>(Table143454[[#This Row],[JPN]]-B33)/B33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Row],[JPN]]-B34)/B34</f>
        <v/>
      </c>
      <c r="E46" s="35">
        <f>(Table143454[[#This Row],[JPN]]-B34)/B34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Row],[JPN]]-B35)/B35</f>
        <v/>
      </c>
      <c r="E47" s="35">
        <f>(Table143454[[#This Row],[JPN]]-B35)/B35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Row],[JPN]]-B36)/B36</f>
        <v/>
      </c>
      <c r="E48" s="35">
        <f>(Table143454[[#This Row],[JPN]]-B36)/B36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Row],[JPN]]-B37)/B37</f>
        <v/>
      </c>
      <c r="E49" s="35">
        <f>(Table143454[[#This Row],[JPN]]-B37)/B37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Row],[JPN]]-B38)/B38</f>
        <v/>
      </c>
      <c r="E50" s="35">
        <f>(Table143454[[#This Row],[JPN]]-B38)/B38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Row],[JPN]]-B39)/B39</f>
        <v/>
      </c>
      <c r="E51" s="35">
        <f>(Table143454[[#This Row],[JPN]]-B39)/B39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Row],[JPN]]-B40)/B40</f>
        <v/>
      </c>
      <c r="E52" s="35">
        <f>(Table143454[[#This Row],[JPN]]-B40)/B40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Row],[JPN]]-B41)/B41</f>
        <v/>
      </c>
      <c r="E53" s="35">
        <f>(Table143454[[#This Row],[JPN]]-B41)/B41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Row],[JPN]]-B42)/B42</f>
        <v/>
      </c>
      <c r="E54" s="35">
        <f>(Table143454[[#This Row],[JPN]]-B42)/B42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Row],[JPN]]-B43)/B43</f>
        <v/>
      </c>
      <c r="E55" s="35">
        <f>(Table143454[[#This Row],[JPN]]-B43)/B43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Row],[JPN]]-B44)/B44</f>
        <v/>
      </c>
      <c r="E56" s="35">
        <f>(Table143454[[#This Row],[JPN]]-B44)/B44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Row],[JPN]]-B45)/B45</f>
        <v/>
      </c>
      <c r="E57" s="35">
        <f>(Table143454[[#This Row],[JPN]]-B45)/B45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Row],[JPN]]-B46)/B46</f>
        <v/>
      </c>
      <c r="E58" s="35">
        <f>(Table143454[[#This Row],[JPN]]-B46)/B46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Row],[JPN]]-B47)/B47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Row],[JPN]]-B48)/B48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Row],[JPN]]-B49)/B49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Row],[JPN]]-B50)/B50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Row],[JPN]]-B51)/B51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Row],[JPN]]-B52)/B52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Row],[JPN]]-B53)/B53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Row],[JPN]]-B54)/B54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Row],[JPN]]-B55)/B55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Row],[JPN]]-B56)/B56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Row],[JPN]]-B57)/B57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Row],[JPN]]-B58)/B58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Row],[JPN]]-B59)/B59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Row],[JPN]]-B60)/B60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Row],[JPN]]-B61)/B61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Row],[JPN]]-B62)/B62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Row],[JPN]]-B63)/B63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Row],[JPN]]-B64)/B64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Row],[JPN]]-B65)/B65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Row],[JPN]]-B66)/B66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Row],[JPN]]-B67)/B67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Row],[JPN]]-B68)/B68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Row],[JPN]]-B69)/B69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Row],[JPN]]-B70)/B70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Row],[JPN]]-B71)/B71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Row],[JPN]]-B72)/B72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Row],[JPN]]-B73)/B73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Row],[JPN]]-B74)/B74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Row],[JPN]]-B75)/B75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Row],[JPN]]-B76)/B76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Row],[JPN]]-B77)/B77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Row],[JPN]]-B78)/B78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Row],[JPN]]-B79)/B79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Row],[JPN]]-B80)/B80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Row],[JPN]]-B81)/B81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Row],[JPN]]-B82)/B82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Row],[JPN]]-B83)/B83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Row],[JPN]]-B84)/B84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Row],[JPN]]-B85)/B85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Row],[JPN]]-B86)/B86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Row],[JPN]]-B87)/B87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Row],[JPN]]-B88)/B88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Row],[JPN]]-B89)/B89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Row],[JPN]]-B90)/B90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Row],[JPN]]-B91)/B91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Row],[JPN]]-B92)/B92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Row],[JPN]]-B93)/B93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Row],[JPN]]-B94)/B94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Row],[JPN]]-B95)/B95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Row],[JPN]]-B96)/B96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Row],[JPN]]-B97)/B97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Row],[JPN]]-B98)/B98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Row],[JPN]]-B99)/B99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Row],[JPN]]-B100)/B100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Row],[JPN]]-B101)/B101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Row],[JPN]]-B102)/B102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Row],[JPN]]-B103)/B103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Row],[JPN]]-B104)/B104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Row],[JPN]]-B105)/B105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Row],[JPN]]-B106)/B106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Row],[JPN]]-B107)/B107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Row],[JPN]]-B108)/B108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Row],[JPN]]-B109)/B109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Row],[JPN]]-B110)/B110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Row],[JPN]]-B111)/B111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Row],[JPN]]-B112)/B112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Row],[JPN]]-B113)/B113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Row],[JPN]]-B114)/B114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Row],[JPN]]-B115)/B115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Row],[JPN]]-B116)/B116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Row],[JPN]]-B117)/B117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Row],[JPN]]-B118)/B118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Row],[JPN]]-B119)/B119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Row],[JPN]]-B120)/B120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Row],[JPN]]-B121)/B121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Row],[JPN]]-B122)/B122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Row],[JPN]]-B123)/B123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Row],[JPN]]-B124)/B124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Row],[JPN]]-B125)/B125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Row],[JPN]]-B126)/B126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Row],[JPN]]-B127)/B127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Row],[JPN]]-B128)/B128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Row],[JPN]]-B129)/B129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Row],[JPN]]-B130)/B130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Row],[JPN]]-B131)/B131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Row],[JPN]]-B132)/B132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Row],[JPN]]-B133)/B133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Row],[JPN]]-B134)/B134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Row],[JPN]]-B135)/B135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Row],[JPN]]-B136)/B136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Row],[JPN]]-B137)/B137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Row],[JPN]]-B138)/B138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Row],[JPN]]-B139)/B139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Row],[JPN]]-B140)/B140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Row],[JPN]]-B141)/B141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Row],[JPN]]-B142)/B142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Row],[JPN]]-B143)/B143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Row],[JPN]]-B144)/B144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Row],[JPN]]-B145)/B145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Row],[JPN]]-B146)/B146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Row],[JPN]]-B147)/B147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Row],[JPN]]-B148)/B148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Row],[JPN]]-B149)/B149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Row],[JPN]]-B150)/B150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Row],[JPN]]-B151)/B151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Row],[JPN]]-B152)/B152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Row],[JPN]]-B153)/B153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Row],[JPN]]-B154)/B154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Row],[JPN]]-B155)/B155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Row],[JPN]]-B156)/B156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Row],[JPN]]-B157)/B157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Row],[JPN]]-B158)/B158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Row],[JPN]]-B159)/B159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Row],[JPN]]-B160)/B160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Row],[JPN]]-B161)/B161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Row],[JPN]]-B162)/B162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Row],[JPN]]-B163)/B163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Row],[JPN]]-B164)/B164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Row],[JPN]]-B165)/B165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Row],[JPN]]-B166)/B166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Row],[JPN]]-B167)/B167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Row],[JPN]]-B168)/B168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Row],[JPN]]-B169)/B169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Row],[JPN]]-B170)/B170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Row],[JPN]]-B171)/B171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Row],[JPN]]-B172)/B172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Row],[JPN]]-B173)/B173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Row],[JPN]]-B174)/B174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Row],[JPN]]-B175)/B175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Row],[JPN]]-B176)/B176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Row],[JPN]]-B177)/B177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Row],[JPN]]-B178)/B178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Row],[JPN]]-B179)/B179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Row],[JPN]]-B180)/B180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Row],[JPN]]-B181)/B181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Row],[JPN]]-B182)/B182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Row],[JPN]]-B183)/B183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Row],[JPN]]-B184)/B184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Row],[JPN]]-B185)/B185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Row],[JPN]]-B186)/B186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Row],[JPN]]-B187)/B187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Row],[JPN]]-B188)/B188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Row],[JPN]]-B189)/B189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Row],[JPN]]-B190)/B190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Row],[JPN]]-B191)/B191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Row],[JPN]]-B192)/B192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Row],[JPN]]-B193)/B193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Row],[JPN]]-B194)/B194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Row],[JPN]]-B195)/B195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Row],[JPN]]-B196)/B196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Row],[JPN]]-B197)/B197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Row],[JPN]]-B198)/B198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Row],[JPN]]-B199)/B199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Row],[JPN]]-B200)/B200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Row],[JPN]]-B201)/B201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Row],[JPN]]-B202)/B202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Row],[JPN]]-B203)/B203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Row],[JPN]]-B204)/B204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Row],[JPN]]-B205)/B205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Row],[JPN]]-B206)/B206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Row],[JPN]]-B207)/B207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Row],[JPN]]-B208)/B208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Row],[JPN]]-B209)/B209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Row],[JPN]]-B210)/B210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Row],[JPN]]-B211)/B211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Row],[JPN]]-B212)/B212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Row],[JPN]]-B213)/B213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Row],[JPN]]-B214)/B214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Row],[JPN]]-B215)/B215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Row],[JPN]]-B216)/B216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Row],[JPN]]-B217)/B217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Row],[JPN]]-B218)/B218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Row],[JPN]]-B219)/B219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Row],[JPN]]-B220)/B220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Row],[JPN]]-B221)/B221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Row],[JPN]]-B222)/B222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Row],[JPN]]-B223)/B223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Row],[JPN]]-B224)/B224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Row],[JPN]]-B225)/B225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Row],[JPN]]-B226)/B226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Row],[JPN]]-B227)/B227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Row],[JPN]]-B228)/B228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Row],[JPN]]-B229)/B229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Row],[JPN]]-B230)/B230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Row],[JPN]]-B231)/B231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Row],[JPN]]-B232)/B232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Row],[JPN]]-B233)/B233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Row],[JPN]]-B234)/B234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Row],[JPN]]-B235)/B235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Row],[JPN]]-B236)/B236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Row],[JPN]]-B237)/B237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Row],[JPN]]-B238)/B238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Row],[JPN]]-B239)/B239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Row],[JPN]]-B240)/B240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Row],[JPN]]-B241)/B241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Row],[JPN]]-B242)/B242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Row],[JPN]]-B243)/B243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Row],[JPN]]-B244)/B244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Row],[JPN]]-B245)/B245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Row],[JPN]]-B246)/B246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Row],[JPN]]-B247)/B247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Row],[JPN]]-B248)/B248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Row],[JPN]]-B249)/B249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Row],[JPN]]-B250)/B250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Row],[JPN]]-B251)/B251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Row],[JPN]]-B252)/B252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Row],[JPN]]-B253)/B253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Row],[JPN]]-B254)/B254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Row],[JPN]]-B255)/B255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Row],[JPN]]-B256)/B256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Row],[JPN]]-B257)/B257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Row],[JPN]]-B258)/B258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Row],[JPN]]-B259)/B259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Row],[JPN]]-B260)/B260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Row],[JPN]]-B261)/B261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Row],[JPN]]-B262)/B262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Row],[JPN]]-B263)/B263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Row],[JPN]]-B264)/B264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Row],[JPN]]-B265)/B265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Row],[JPN]]-B266)/B266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Row],[JPN]]-B267)/B267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Row],[JPN]]-B268)/B268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Row],[JPN]]-B269)/B269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Row],[JPN]]-B270)/B270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Row],[JPN]]-B271)/B271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Row],[JPN]]-B272)/B272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Row],[JPN]]-B273)/B273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Row],[JPN]]-B274)/B274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Row],[JPN]]-B275)/B275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Row],[JPN]]-B276)/B276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Row],[JPN]]-B277)/B277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Row],[JPN]]-B278)/B278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Row],[JPN]]-B279)/B279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Row],[JPN]]-B280)/B280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Row],[JPN]]-B281)/B281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Row],[JPN]]-B282)/B282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Row],[JPN]]-B283)/B283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Row],[JPN]]-B284)/B284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Row],[JPN]]-B285)/B285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Row],[JPN]]-B286)/B286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Row],[JPN]]-B287)/B287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Row],[JPN]]-B288)/B288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Row],[JPN]]-B289)/B289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Row],[JPN]]-B290)/B290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Row],[JPN]]-B291)/B291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Row],[JPN]]-B292)/B292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Row],[JPN]]-B293)/B293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Row],[JPN]]-B294)/B294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Row],[JPN]]-B295)/B295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Row],[JPN]]-B296)/B296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Row],[JPN]]-B297)/B297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Row],[JPN]]-B298)/B298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Row],[JPN]]-B299)/B299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Row],[JPN]]-B300)/B300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Row],[JPN]]-B301)/B301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Row],[JPN]]-B302)/B302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Row],[JPN]]-B303)/B303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Row],[JPN]]-B304)/B304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Row],[JPN]]-B305)/B305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Row],[JPN]]-B306)/B306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Row],[JPN]]-B307)/B307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Row],[JPN]]-B308)/B308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Row],[JPN]]-B309)/B309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Row],[JPN]]-B310)/B310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Row],[JPN]]-B311)/B311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Row],[JPN]]-B312)/B312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Row],[JPN]]-B313)/B313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Row],[JPN]]-B314)/B314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Row],[JPN]]-B315)/B315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Row],[JPN]]-B316)/B316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Row],[JPN]]-B317)/B317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Row],[JPN]]-B318)/B318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Row],[JPN]]-B319)/B319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Row],[JPN]]-B320)/B320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Row],[JPN]]-B321)/B321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Row],[JPN]]-B322)/B322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Row],[JPN]]-B323)/B323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Row],[JPN]]-B324)/B324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Row],[JPN]]-B325)/B325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Row],[JPN]]-B326)/B326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Row],[JPN]]-B327)/B327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Row],[JPN]]-B328)/B328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Row],[JPN]]-B329)/B329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Row],[JPN]]-B330)/B330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Row],[JPN]]-B331)/B331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Row],[JPN]]-B332)/B332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Row],[JPN]]-B333)/B333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Row],[JPN]]-B334)/B334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Row],[JPN]]-B335)/B335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Row],[JPN]]-B336)/B336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Row],[JPN]]-B337)/B337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Row],[JPN]]-B338)/B338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Row],[JPN]]-B339)/B339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Row],[JPN]]-B340)/B340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Row],[JPN]]-B341)/B341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Row],[JPN]]-B342)/B342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Row],[JPN]]-B343)/B343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Row],[JPN]]-B344)/B344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Row],[JPN]]-B345)/B345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Row],[JPN]]-B346)/B346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Row],[JPN]]-B347)/B347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Row],[JPN]]-B348)/B348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Row],[JPN]]-B349)/B349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Row],[JPN]]-B350)/B350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Row],[JPN]]-B351)/B351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Row],[JPN]]-B352)/B352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Row],[JPN]]-B353)/B353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Row],[JPN]]-B354)/B354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Row],[JPN]]-B355)/B355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Row],[JPN]]-B356)/B356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Row],[JPN]]-B357)/B357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Row],[JPN]]-B358)/B358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Row],[JPN]]-B359)/B359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Row],[JPN]]-B360)/B360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Row],[JPN]]-B361)/B361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Row],[JPN]]-B362)/B362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Row],[JPN]]-B363)/B363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Row],[JPN]]-B364)/B364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Row],[JPN]]-B365)/B365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Row],[JPN]]-B366)/B366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Row],[JPN]]-B367)/B367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Row],[JPN]]-B368)/B368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Row],[JPN]]-B369)/B369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Row],[JPN]]-B370)/B370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Row],[JPN]]-B371)/B371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Row],[JPN]]-B372)/B372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Row],[JPN]]-B373)/B373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Row],[JPN]]-B374)/B374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Row],[JPN]]-B375)/B375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Row],[JPN]]-B376)/B376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Row],[JPN]]-B377)/B377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Row],[JPN]]-B378)/B378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Row],[JPN]]-B379)/B379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Row],[JPN]]-B380)/B380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Row],[JPN]]-B381)/B381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Row],[JPN]]-B382)/B382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Row],[JPN]]-B383)/B383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Row],[JPN]]-B384)/B384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Row],[JPN]]-B385)/B385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Row],[JPN]]-B386)/B386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Row],[JPN]]-B387)/B387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Row],[JPN]]-B388)/B388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Row],[JPN]]-B389)/B389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Row],[JPN]]-B390)/B390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Row],[JPN]]-B391)/B391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Row],[JPN]]-B392)/B392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Row],[JPN]]-B393)/B393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Row],[JPN]]-B394)/B394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Row],[JPN]]-B395)/B395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Row],[JPN]]-B396)/B396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Row],[JPN]]-B397)/B397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Row],[JPN]]-B398)/B398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Row],[JPN]]-B399)/B399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Row],[JPN]]-B400)/B400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Row],[JPN]]-B401)/B401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Row],[JPN]]-B402)/B402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Row],[JPN]]-B403)/B403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Row],[JPN]]-B404)/B404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Row],[JPN]]-B405)/B405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Row],[JPN]]-B406)/B406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Row],[JPN]]-B407)/B407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Row],[JPN]]-B408)/B408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Row],[JPN]]-B409)/B409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Row],[JPN]]-B410)/B410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Row],[JPN]]-B411)/B411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Row],[JPN]]-B412)/B412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Row],[JPN]]-B413)/B413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Row],[JPN]]-B414)/B414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Row],[JPN]]-B415)/B415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Row],[JPN]]-B416)/B416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Row],[JPN]]-B417)/B417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Row],[JPN]]-B418)/B418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Row],[JPN]]-B419)/B419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Row],[JPN]]-B420)/B420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Row],[JPN]]-B421)/B421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Row],[JPN]]-B422)/B422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Row],[JPN]]-B423)/B423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Row],[JPN]]-B424)/B424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Row],[JPN]]-B425)/B425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Row],[JPN]]-B426)/B426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Row],[JPN]]-B427)/B427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Row],[JPN]]-B428)/B428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Row],[JPN]]-B429)/B429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Row],[JPN]]-B430)/B430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Row],[JPN]]-B431)/B431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Row],[JPN]]-B432)/B432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Row],[JPN]]-B433)/B433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Row],[JPN]]-B434)/B434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Row],[JPN]]-B435)/B435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Row],[JPN]]-B436)/B436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Row],[JPN]]-B437)/B437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Row],[JPN]]-B438)/B438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Row],[JPN]]-B439)/B439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Row],[JPN]]-B440)/B440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Row],[JPN]]-B441)/B441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Row],[JPN]]-B442)/B442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Row],[JPN]]-B443)/B443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Row],[JPN]]-B444)/B444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Row],[JPN]]-B445)/B445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Row],[JPN]]-B446)/B446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Row],[JPN]]-B447)/B447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Row],[JPN]]-B448)/B448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Row],[JPN]]-B449)/B449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Row],[JPN]]-B450)/B450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Row],[JPN]]-B451)/B451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Row],[JPN]]-B452)/B452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Row],[JPN]]-B453)/B453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Row],[JPN]]-B454)/B454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Row],[JPN]]-B455)/B455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Row],[JPN]]-B456)/B456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Row],[JPN]]-B457)/B457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Row],[JPN]]-B458)/B458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Row],[JPN]]-B459)/B459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Row],[JPN]]-B460)/B460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Row],[JPN]]-B461)/B461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Row],[JPN]]-B462)/B462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Row],[JPN]]-B463)/B463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Row],[JPN]]-B464)/B464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Row],[JPN]]-B465)/B465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Row],[JPN]]-B466)/B466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Row],[JPN]]-B467)/B467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Row],[JPN]]-B468)/B468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Row],[JPN]]-B469)/B469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Row],[JPN]]-B470)/B470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Row],[JPN]]-B471)/B471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Row],[JPN]]-B472)/B472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Row],[JPN]]-B473)/B473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Row],[JPN]]-B474)/B474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Row],[JPN]]-B475)/B475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Row],[JPN]]-B476)/B476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Row],[JPN]]-B477)/B477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Row],[JPN]]-B478)/B478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Row],[JPN]]-B479)/B479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Row],[JPN]]-B480)/B480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Row],[JPN]]-B481)/B481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Row],[JPN]]-B482)/B482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Row],[JPN]]-B483)/B483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Row],[JPN]]-B484)/B484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Row],[JPN]]-B485)/B485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Row],[JPN]]-B486)/B486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Row],[JPN]]-B487)/B487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Row],[JPN]]-B488)/B488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Row],[JPN]]-B489)/B489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Row],[JPN]]-B490)/B490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Row],[JPN]]-B491)/B491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Row],[JPN]]-B492)/B492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Row],[JPN]]-B493)/B493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Row],[JPN]]-B494)/B494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Row],[JPN]]-B495)/B495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Row],[JPN]]-B496)/B496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Row],[JPN]]-B497)/B497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Row],[JPN]]-B498)/B498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Row],[JPN]]-B499)/B499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Row],[JPN]]-B500)/B500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Row],[JPN]]-B501)/B501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Row],[JPN]]-B502)/B502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Row],[JPN]]-B503)/B503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Row],[JPN]]-B504)/B504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Row],[JPN]]-B505)/B505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Row],[JPN]]-B506)/B506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Row],[JPN]]-B507)/B507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Row],[JPN]]-B508)/B508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Row],[JPN]]-B509)/B509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Row],[JPN]]-B510)/B510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Row],[JPN]]-B511)/B511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Row],[JPN]]-B512)/B512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Row],[JPN]]-B513)/B513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Row],[JPN]]-B514)/B514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Row],[JPN]]-B515)/B515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Row],[JPN]]-B516)/B516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Row],[JPN]]-B517)/B517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Row],[JPN]]-B518)/B518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Row],[JPN]]-B519)/B519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Row],[JPN]]-B520)/B520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Row],[JPN]]-B521)/B521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Row],[JPN]]-B522)/B522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Row],[JPN]]-B523)/B523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Row],[JPN]]-B524)/B524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Row],[JPN]]-B525)/B525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Row],[JPN]]-B526)/B526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Row],[JPN]]-B527)/B527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Row],[JPN]]-B528)/B528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Row],[JPN]]-B529)/B529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Row],[JPN]]-B530)/B530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Row],[JPN]]-B531)/B531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Row],[JPN]]-B532)/B532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Row],[JPN]]-B533)/B533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Row],[JPN]]-B534)/B534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Row],[JPN]]-B535)/B535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Row],[JPN]]-B536)/B536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Row],[JPN]]-B537)/B537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Row],[JPN]]-B538)/B538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Row],[JPN]]-B539)/B539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Row],[JPN]]-B540)/B540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Row],[JPN]]-B541)/B541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Row],[JPN]]-B542)/B542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Row],[JPN]]-B543)/B543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Row],[JPN]]-B544)/B544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Row],[JPN]]-B545)/B545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Row],[JPN]]-B546)/B546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Row],[JPN]]-B547)/B547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Row],[JPN]]-B548)/B548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Row],[JPN]]-B549)/B549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Row],[JPN]]-B550)/B550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Row],[JPN]]-B551)/B551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Row],[JPN]]-B552)/B552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Row],[JPN]]-B553)/B553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Row],[JPN]]-B554)/B554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Row],[JPN]]-B555)/B555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Row],[JPN]]-B556)/B556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Row],[JPN]]-B557)/B557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Row],[JPN]]-B558)/B558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Row],[JPN]]-B559)/B559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Row],[JPN]]-B560)/B560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Row],[JPN]]-B561)/B561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Row],[JPN]]-B562)/B562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Row],[JPN]]-B563)/B563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Row],[JPN]]-B564)/B564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Row],[JPN]]-B565)/B565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Row],[JPN]]-B566)/B566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Row],[JPN]]-B567)/B567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Row],[JPN]]-B568)/B568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Row],[JPN]]-B569)/B569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Row],[JPN]]-B570)/B570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Row],[JPN]]-B571)/B571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Row],[JPN]]-B572)/B572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Row],[JPN]]-B573)/B573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Row],[JPN]]-B574)/B574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Row],[JPN]]-B575)/B575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Row],[JPN]]-B576)/B576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Row],[JPN]]-B577)/B577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Row],[JPN]]-B578)/B578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Row],[JPN]]-B579)/B579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Row],[JPN]]-B580)/B580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Row],[JPN]]-B581)/B581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Row],[JPN]]-B582)/B582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Row],[JPN]]-B583)/B583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Row],[JPN]]-B584)/B584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Row],[JPN]]-B585)/B585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Row],[JPN]]-B586)/B586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Row],[JPN]]-B587)/B587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Row],[JPN]]-B588)/B588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Row],[JPN]]-B589)/B589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Row],[JPN]]-B590)/B590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Row],[JPN]]-B591)/B591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Row],[JPN]]-B592)/B592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Row],[JPN]]-B593)/B593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Row],[JPN]]-B594)/B594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Row],[JPN]]-B595)/B595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Row],[JPN]]-B596)/B596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Row],[JPN]]-B597)/B597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Row],[JPN]]-B598)/B598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Row],[JPN]]-B599)/B599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Row],[JPN]]-B600)/B600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Row],[JPN]]-B601)/B601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Row],[JPN]]-B602)/B602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Row],[JPN]]-B603)/B603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Row],[JPN]]-B604)/B604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Row],[JPN]]-B605)/B605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Row],[JPN]]-B606)/B606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Row],[JPN]]-B607)/B607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Row],[JPN]]-B608)/B608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Row],[JPN]]-B609)/B609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Row],[JPN]]-B610)/B610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Row],[JPN]]-B611)/B611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Row],[JPN]]-B612)/B612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Row],[JPN]]-B613)/B613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Row],[JPN]]-B614)/B614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Row],[JPN]]-B615)/B615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Row],[JPN]]-B616)/B616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Row],[JPN]]-B617)/B617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Row],[JPN]]-B618)/B618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Row],[JPN]]-B619)/B619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Row],[JPN]]-B620)/B620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Row],[JPN]]-B621)/B621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Row],[JPN]]-B622)/B622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Row],[JPN]]-B623)/B623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Row],[JPN]]-B624)/B624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Row],[JPN]]-B625)/B625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Row],[JPN]]-B626)/B626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Row],[JPN]]-B627)/B627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Row],[JPN]]-B628)/B628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Row],[JPN]]-B629)/B629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Row],[JPN]]-B630)/B630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Row],[JPN]]-B631)/B631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Row],[JPN]]-B632)/B632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Row],[JPN]]-B633)/B633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Row],[JPN]]-B634)/B634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Row],[JPN]]-B635)/B635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Row],[JPN]]-B636)/B636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Row],[JPN]]-B637)/B637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Row],[JPN]]-B638)/B638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Row],[JPN]]-B639)/B639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Row],[JPN]]-B640)/B640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Row],[JPN]]-B641)/B641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Row],[JPN]]-B642)/B642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Row],[JPN]]-B643)/B643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Row],[JPN]]-B644)/B644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Row],[JPN]]-B645)/B645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Row],[JPN]]-B646)/B646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Row],[JPN]]-B647)/B647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Row],[JPN]]-B648)/B648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Row],[JPN]]-B649)/B649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Row],[JPN]]-B650)/B650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Row],[JPN]]-B651)/B651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Row],[JPN]]-B652)/B652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Row],[JPN]]-B653)/B653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Row],[JPN]]-B654)/B654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Row],[JPN]]-B655)/B655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Row],[JPN]]-B656)/B656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Row],[JPN]]-B657)/B657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Row],[JPN]]-B658)/B658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Row],[JPN]]-B659)/B659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Row],[JPN]]-B660)/B660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Row],[JPN]]-B661)/B661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Row],[JPN]]-B662)/B662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Row],[JPN]]-B663)/B663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Row],[JPN]]-B664)/B664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Row],[JPN]]-B665)/B665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Row],[JPN]]-B666)/B666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Row],[JPN]]-B667)/B667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Row],[JPN]]-B668)/B668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Row],[JPN]]-B669)/B669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Row],[JPN]]-B670)/B670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Row],[JPN]]-B671)/B671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Row],[JPN]]-B672)/B672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Row],[JPN]]-B673)/B673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Row],[JPN]]-B674)/B674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Row],[JPN]]-B675)/B675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Row],[JPN]]-B676)/B676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Row],[JPN]]-B677)/B677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Row],[JPN]]-B678)/B678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Row],[JPN]]-B679)/B679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Row],[JPN]]-B680)/B680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Row],[JPN]]-B681)/B681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Row],[JPN]]-B682)/B682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Row],[JPN]]-B683)/B683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Row],[JPN]]-B684)/B684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Row],[JPN]]-B685)/B685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Row],[JPN]]-B686)/B686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Row],[JPN]]-B687)/B687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Row],[JPN]]-B688)/B688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Row],[JPN]]-B689)/B689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Row],[JPN]]-B690)/B690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Row],[JPN]]-B691)/B691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Row],[JPN]]-B692)/B692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Row],[JPN]]-B693)/B693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Row],[JPN]]-B694)/B694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Row],[JPN]]-B695)/B695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Row],[JPN]]-B696)/B696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Row],[JPN]]-B697)/B697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Row],[JPN]]-B698)/B698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Row],[JPN]]-B699)/B699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Row],[JPN]]-B700)/B700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Row],[JPN]]-B701)/B701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Row],[JPN]]-B702)/B702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Row],[JPN]]-B703)/B703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Row],[JPN]]-B704)/B704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Row],[JPN]]-B705)/B705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Row],[JPN]]-B706)/B706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Row],[JPN]]-B707)/B707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Row],[JPN]]-B708)/B708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Row],[JPN]]-B709)/B709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Row],[JPN]]-B710)/B710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Row],[JPN]]-B711)/B711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Row],[JPN]]-B712)/B712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Row],[JPN]]-B713)/B713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Row],[JPN]]-B714)/B714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Row],[JPN]]-B715)/B715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Row],[JPN]]-B716)/B716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Row],[JPN]]-B717)/B717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Row],[JPN]]-B718)/B718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Row],[JPN]]-B719)/B719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Row],[JPN]]-B720)/B720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Row],[JPN]]-B721)/B721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Row],[JPN]]-B722)/B722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Row],[JPN]]-B723)/B723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Row],[JPN]]-B724)/B724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Row],[JPN]]-B725)/B725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Row],[JPN]]-B726)/B726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Row],[JPN]]-B727)/B727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Row],[JPN]]-B728)/B728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Row],[JPN]]-B729)/B729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Row],[JPN]]-B730)/B730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Row],[JPN]]-B731)/B731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Row],[JPN]]-B732)/B732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Row],[JPN]]-B733)/B733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Row],[JPN]]-B734)/B734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Row],[JPN]]-B735)/B735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Row],[JPN]]-B736)/B736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Row],[JPN]]-B737)/B737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Row],[JPN]]-B738)/B738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Row],[JPN]]-B739)/B739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Row],[JPN]]-B740)/B740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Row],[JPN]]-B741)/B741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Row],[JPN]]-B742)/B742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Row],[JPN]]-B743)/B743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Row],[JPN]]-B744)/B744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Row],[JPN]]-B745)/B745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Row],[JPN]]-B746)/B746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Row],[JPN]]-B747)/B747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Row],[JPN]]-B748)/B748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Row],[JPN]]-B749)/B749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Row],[JPN]]-B750)/B750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Row],[JPN]]-B751)/B751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Row],[JPN]]-B752)/B752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Row],[JPN]]-B753)/B753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Row],[JPN]]-B754)/B754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Row],[JPN]]-B755)/B755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Row],[JPN]]-B756)/B756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Row],[JPN]]-B757)/B757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Row],[JPN]]-B758)/B758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Row],[JPN]]-B759)/B759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Row],[JPN]]-B760)/B760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Row],[JPN]]-B761)/B761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Row],[JPN]]-B762)/B762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Row],[JPN]]-B763)/B763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Row],[JPN]]-B764)/B764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Row],[JPN]]-B765)/B765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Row],[JPN]]-B766)/B766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Row],[JPN]]-B767)/B767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Row],[JPN]]-B768)/B768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Row],[JPN]]-B769)/B769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Row],[JPN]]-B770)/B770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Row],[JPN]]-B771)/B771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Row],[JPN]]-B772)/B772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Row],[JPN]]-B773)/B773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Row],[JPN]]-B774)/B774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Row],[JPN]]-B775)/B775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Row],[JPN]]-B776)/B776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Row],[JPN]]-B777)/B777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Row],[JPN]]-B778)/B778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Row],[JPN]]-B779)/B779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Row],[JPN]]-B780)/B780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Row],[JPN]]-B781)/B781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Row],[JPN]]-B782)/B782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Row],[JPN]]-B783)/B783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Row],[JPN]]-B784)/B784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Row],[JPN]]-B785)/B785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Row],[JPN]]-B786)/B786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Row],[JPN]]-B787)/B787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Row],[JPN]]-B788)/B788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Row],[JPN]]-B789)/B789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Row],[JPN]]-B790)/B790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Row],[JPN]]-B791)/B791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Row],[JPN]]-B792)/B792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Row],[JPN]]-B793)/B793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Row],[JPN]]-B794)/B794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Row],[JPN]]-B795)/B795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Row],[JPN]]-B796)/B796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Row],[JPN]]-B797)/B797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Row],[JPN]]-B798)/B798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Row],[JPN]]-B799)/B799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Row],[JPN]]-B800)/B800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Row],[JPN]]-B801)/B801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Row],[JPN]]-B802)/B802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Row],[JPN]]-B803)/B803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Row],[JPN]]-B804)/B804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Row],[JPN]]-B805)/B805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Row],[JPN]]-B806)/B806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Row],[JPN]]-B807)/B807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Row],[JPN]]-B808)/B808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Row],[JPN]]-B809)/B809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Row],[JPN]]-B810)/B810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Row],[JPN]]-B811)/B811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Row],[JPN]]-B812)/B812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Row],[JPN]]-B813)/B813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Row],[JPN]]-B814)/B814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Row],[JPN]]-B815)/B815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Row],[JPN]]-B816)/B816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Row],[JPN]]-B817)/B817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Row],[JPN]]-B818)/B818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Row],[JPN]]-B819)/B819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Row],[JPN]]-B820)/B820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Row],[JPN]]-B821)/B821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Row],[JPN]]-B822)/B822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Row],[JPN]]-B823)/B823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Row],[JPN]]-B824)/B824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Row],[JPN]]-B825)/B825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Row],[JPN]]-B826)/B826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Row],[JPN]]-B827)/B827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Row],[JPN]]-B828)/B828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Row],[JPN]]-B829)/B829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Row],[JPN]]-B830)/B830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Row],[JPN]]-B831)/B831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Row],[JPN]]-B832)/B832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Row],[JPN]]-B833)/B833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Row],[JPN]]-B834)/B834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Row],[JPN]]-B835)/B835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Row],[JPN]]-B836)/B836</f>
        <v/>
      </c>
      <c r="F848" s="34">
        <f>VLOOKUP(Table143454[[#This Row],[Date]],'Data Core CPI'!$A:$AX,MATCH($B$2,'Data Core CPI'!$B$1:$AX$1,0),FALSE)</f>
        <v/>
      </c>
      <c r="G848" s="35">
        <f>(F848/F847)-1</f>
        <v/>
      </c>
      <c r="H848" s="35">
        <f>((1+G848)^12)-1</f>
        <v/>
      </c>
      <c r="I848" s="35">
        <f>(Table143454[[#This Row],[Core CPI]]-F836)/F836</f>
        <v/>
      </c>
    </row>
    <row r="849" customFormat="1" s="26">
      <c r="A849" s="31" t="n"/>
      <c r="B849" s="29" t="n"/>
      <c r="C849" s="30" t="n"/>
      <c r="D849" s="30" t="n"/>
      <c r="E849" s="30" t="n"/>
      <c r="F849" s="31" t="n"/>
      <c r="G849" s="31" t="n"/>
      <c r="H849" s="31" t="n"/>
      <c r="I849" s="31" t="n"/>
    </row>
    <row r="850" customFormat="1" s="26">
      <c r="A850" s="31" t="n"/>
      <c r="B850" s="29" t="n"/>
      <c r="C850" s="30" t="n"/>
      <c r="D850" s="30" t="n"/>
      <c r="E850" s="30" t="n"/>
      <c r="F850" s="31" t="n"/>
      <c r="G850" s="31" t="n"/>
      <c r="H850" s="31" t="n"/>
      <c r="I850" s="31" t="n"/>
    </row>
    <row r="851" customFormat="1" s="26">
      <c r="A851" s="31" t="n"/>
      <c r="B851" s="29" t="n"/>
      <c r="C851" s="30" t="n"/>
      <c r="D851" s="30" t="n"/>
      <c r="E851" s="30" t="n"/>
      <c r="F851" s="31" t="n"/>
      <c r="G851" s="31" t="n"/>
      <c r="H851" s="31" t="n"/>
      <c r="I851" s="31" t="n"/>
    </row>
    <row r="852" customFormat="1" s="26">
      <c r="A852" s="31" t="n"/>
      <c r="B852" s="29" t="n"/>
      <c r="C852" s="30" t="n"/>
      <c r="D852" s="30" t="n"/>
      <c r="E852" s="30" t="n"/>
      <c r="F852" s="31" t="n"/>
      <c r="G852" s="31" t="n"/>
      <c r="H852" s="31" t="n"/>
      <c r="I852" s="31" t="n"/>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48">
    <cfRule type="colorScale" priority="2">
      <colorScale>
        <cfvo type="min"/>
        <cfvo type="percentile" val="50"/>
        <cfvo type="max"/>
        <color rgb="FFF8696B"/>
        <color rgb="FFFFEB84"/>
        <color rgb="FF63BE7B"/>
      </colorScale>
    </cfRule>
  </conditionalFormatting>
  <conditionalFormatting sqref="I707:I84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2021-12-20T14:47:14Z</dcterms:modified>
  <cp:lastModifiedBy>Mark Mukherjee</cp:lastModifiedBy>
</cp:coreProperties>
</file>