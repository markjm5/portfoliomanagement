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pt idx="151">
                  <v>0.8020760800915099</v>
                </pt>
                <pt idx="152">
                  <v>0.8345249299174994</v>
                </pt>
                <pt idx="153">
                  <v>0.855148128806572</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pt idx="151">
                  <v>0.6792106187836587</v>
                </pt>
                <pt idx="152">
                  <v>0.696682308264875</v>
                </pt>
                <pt idx="153">
                  <v>0.7171898621855685</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332466</colOff>
      <row>810</row>
      <rowOff>81643</rowOff>
    </from>
    <to>
      <col>23</col>
      <colOff>99786</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69849</rowOff>
    </from>
    <to>
      <col>23</col>
      <colOff>108857</colOff>
      <row>860</row>
      <rowOff>45357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60" headerRowCount="1" totalsRowShown="0" headerRowDxfId="11" dataDxfId="9" headerRowBorderDxfId="10">
  <autoFilter ref="A2:I860"/>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8" defaultColWidth="9.1796875" defaultRowHeight="14.5"/>
  <cols>
    <col width="9.1796875" customWidth="1" style="78" min="1" max="1"/>
    <col width="12.81640625" customWidth="1" style="78" min="2" max="10"/>
    <col width="9.1796875" customWidth="1" style="78" min="11" max="14"/>
    <col width="19.1796875" customWidth="1" style="78" min="15" max="16"/>
    <col width="9.1796875" customWidth="1" style="78" min="17" max="34"/>
    <col width="9.1796875" customWidth="1" style="78" min="35"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8" t="inlineStr">
        <is>
          <t>CPI yoy</t>
        </is>
      </c>
      <c r="O14" s="69" t="inlineStr">
        <is>
          <t>AFG</t>
        </is>
      </c>
      <c r="P14" s="69" t="inlineStr">
        <is>
          <t>Afghanistan</t>
        </is>
      </c>
    </row>
    <row r="15">
      <c r="B15" s="78" t="inlineStr">
        <is>
          <t>Total</t>
        </is>
      </c>
      <c r="G15" s="78" t="inlineStr">
        <is>
          <t>In Data</t>
        </is>
      </c>
      <c r="O15" s="69" t="inlineStr">
        <is>
          <t>AFRI</t>
        </is>
      </c>
      <c r="P15" s="69" t="inlineStr">
        <is>
          <t>Africa</t>
        </is>
      </c>
    </row>
    <row r="16" ht="15.75" customHeight="1" s="70">
      <c r="B16" s="78" t="inlineStr">
        <is>
          <t>Select 2015 =100</t>
        </is>
      </c>
      <c r="G16" s="77" t="inlineStr">
        <is>
          <t>Manually or create macro</t>
        </is>
      </c>
      <c r="O16" s="69" t="inlineStr">
        <is>
          <t>AGO</t>
        </is>
      </c>
      <c r="P16" s="69" t="inlineStr">
        <is>
          <t>Angola</t>
        </is>
      </c>
    </row>
    <row r="17" ht="15.75" customHeight="1" s="70">
      <c r="B17" s="78" t="inlineStr">
        <is>
          <t>Countries</t>
        </is>
      </c>
      <c r="G17" s="77" t="n"/>
      <c r="O17" s="69" t="inlineStr">
        <is>
          <t>AIA</t>
        </is>
      </c>
      <c r="P17" s="69" t="inlineStr">
        <is>
          <t>Anguilla</t>
        </is>
      </c>
    </row>
    <row r="18" ht="15.75" customHeight="1" s="70">
      <c r="B18" s="78" t="inlineStr">
        <is>
          <t>Download</t>
        </is>
      </c>
      <c r="G18" s="90" t="n"/>
      <c r="O18" s="69" t="inlineStr">
        <is>
          <t>ALB</t>
        </is>
      </c>
      <c r="P18" s="69" t="inlineStr">
        <is>
          <t>Albania</t>
        </is>
      </c>
    </row>
    <row r="19" ht="15.75" customHeight="1" s="70">
      <c r="B19" s="78" t="inlineStr">
        <is>
          <t>Start Jan 1949</t>
        </is>
      </c>
      <c r="G19" s="77" t="n"/>
      <c r="O19" s="69" t="inlineStr">
        <is>
          <t>AND</t>
        </is>
      </c>
      <c r="P19" s="69" t="inlineStr">
        <is>
          <t>Andorra</t>
        </is>
      </c>
    </row>
    <row r="20" ht="15.75" customHeight="1" s="70">
      <c r="G20" s="77" t="n"/>
      <c r="O20" s="69" t="inlineStr">
        <is>
          <t>ANT</t>
        </is>
      </c>
      <c r="P20" s="69" t="inlineStr">
        <is>
          <t>Netherlands Antilles</t>
        </is>
      </c>
    </row>
    <row r="21" ht="15.75" customHeight="1" s="70">
      <c r="B21" s="88" t="inlineStr">
        <is>
          <t>https://data.oecd.org/price/inflation-cpi.htm#indicator-chart</t>
        </is>
      </c>
      <c r="G21" s="77" t="inlineStr">
        <is>
          <t>Core CPI</t>
        </is>
      </c>
      <c r="O21" s="69" t="inlineStr">
        <is>
          <t>ARE</t>
        </is>
      </c>
      <c r="P21" s="69" t="inlineStr">
        <is>
          <t>United Arab Emirates</t>
        </is>
      </c>
    </row>
    <row r="22" ht="15.75" customHeight="1" s="70">
      <c r="B22" s="78" t="inlineStr">
        <is>
          <t>Total less food, less energy</t>
        </is>
      </c>
      <c r="G22" s="77" t="inlineStr">
        <is>
          <t>In Data Core CPI</t>
        </is>
      </c>
      <c r="O22" s="69" t="inlineStr">
        <is>
          <t>ARG</t>
        </is>
      </c>
      <c r="P22" s="69" t="inlineStr">
        <is>
          <t>Argentina</t>
        </is>
      </c>
    </row>
    <row r="23" ht="15.75" customHeight="1" s="70">
      <c r="B23" s="78" t="inlineStr">
        <is>
          <t>Select 2015 =100</t>
        </is>
      </c>
      <c r="G23" s="77" t="inlineStr">
        <is>
          <t>Manually or create macro</t>
        </is>
      </c>
      <c r="O23" s="69" t="inlineStr">
        <is>
          <t>ASIA</t>
        </is>
      </c>
      <c r="P23" s="69" t="inlineStr">
        <is>
          <t>Asia</t>
        </is>
      </c>
    </row>
    <row r="24" ht="15.75" customHeight="1" s="70">
      <c r="B24" s="78" t="inlineStr">
        <is>
          <t>Countries</t>
        </is>
      </c>
      <c r="G24" s="77" t="n"/>
      <c r="O24" s="69" t="inlineStr">
        <is>
          <t>ASM</t>
        </is>
      </c>
      <c r="P24" s="69" t="inlineStr">
        <is>
          <t>American Samoa</t>
        </is>
      </c>
    </row>
    <row r="25" ht="15.75" customHeight="1" s="70">
      <c r="B25" s="78" t="inlineStr">
        <is>
          <t>Download</t>
        </is>
      </c>
      <c r="G25" s="77" t="n"/>
      <c r="O25" s="69" t="inlineStr">
        <is>
          <t>ATG</t>
        </is>
      </c>
      <c r="P25" s="69" t="inlineStr">
        <is>
          <t>Antigua and Barbuda</t>
        </is>
      </c>
    </row>
    <row r="26" ht="15.75" customHeight="1" s="70">
      <c r="B26" s="78" t="inlineStr">
        <is>
          <t>Start Janv 1955</t>
        </is>
      </c>
      <c r="G26" s="77" t="n"/>
      <c r="O26" s="69" t="inlineStr">
        <is>
          <t>AUS</t>
        </is>
      </c>
      <c r="P26" s="69" t="inlineStr">
        <is>
          <t>Australia</t>
        </is>
      </c>
    </row>
    <row r="27" ht="15.75" customHeight="1" s="70">
      <c r="B27" s="78"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80"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8" defaultColWidth="9.1796875" defaultRowHeight="14.5"/>
  <cols>
    <col width="11.1796875" customWidth="1" style="78" min="1" max="1"/>
    <col width="9.1796875" customWidth="1" style="78" min="2" max="4"/>
    <col width="10.6328125" bestFit="1" customWidth="1" style="78" min="5" max="5"/>
    <col width="9.1796875" customWidth="1" style="78" min="6" max="23"/>
    <col width="9.1796875" customWidth="1" style="78" min="24"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16.04743</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7.065012</v>
      </c>
      <c r="AN254" t="n">
        <v>5.112273</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16.1135</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7.091128</v>
      </c>
      <c r="AN255" t="n">
        <v>5.130321</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16.19832</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7.129383</v>
      </c>
      <c r="AN256" t="n">
        <v>5.15624</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16.32228</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7.18027</v>
      </c>
      <c r="AN257" t="n">
        <v>5.187389</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16.35083</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7.190868</v>
      </c>
      <c r="AN258" t="n">
        <v>5.197157</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16.40746</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7.215272</v>
      </c>
      <c r="AN259" t="n">
        <v>5.213956</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16.46866</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7.247443</v>
      </c>
      <c r="AN260" t="n">
        <v>5.234601</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16.46861</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7.254827</v>
      </c>
      <c r="AN261" t="n">
        <v>5.248024</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16.55779</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7.294432</v>
      </c>
      <c r="AN262" t="n">
        <v>5.270436</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16.66404</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7.345214</v>
      </c>
      <c r="AN263" t="n">
        <v>5.304797</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16.73858</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7.378414</v>
      </c>
      <c r="AN264" t="n">
        <v>5.334694</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16.82037</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7.41659</v>
      </c>
      <c r="AN265" t="n">
        <v>5.361762</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16.8945</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7.459872</v>
      </c>
      <c r="AN266" t="n">
        <v>5.411423</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16.95499</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7.48894</v>
      </c>
      <c r="AN267" t="n">
        <v>5.442627</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17.0118</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7.51947</v>
      </c>
      <c r="AN268" t="n">
        <v>5.474751</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17.11727</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7.570083</v>
      </c>
      <c r="AN269" t="n">
        <v>5.524831</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17.19463</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7.6029</v>
      </c>
      <c r="AN270" t="n">
        <v>5.553681</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17.2911</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7.642856</v>
      </c>
      <c r="AN271" t="n">
        <v>5.577617</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17.34524</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7.677444</v>
      </c>
      <c r="AN272" t="n">
        <v>5.610971</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17.38059</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7.70003</v>
      </c>
      <c r="AN273" t="n">
        <v>5.628078</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17.44892</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7.73696</v>
      </c>
      <c r="AN274" t="n">
        <v>5.659747</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17.50995</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7.771778</v>
      </c>
      <c r="AN275" t="n">
        <v>5.695924</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17.51519</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7.784238</v>
      </c>
      <c r="AN276" t="n">
        <v>5.72717</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17.5872</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7.817432</v>
      </c>
      <c r="AN277" t="n">
        <v>5.753979</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17.63424</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7.842946</v>
      </c>
      <c r="AN278" t="n">
        <v>5.788744</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17.72252</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7.882207</v>
      </c>
      <c r="AN279" t="n">
        <v>5.81644</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17.79329</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7.917878</v>
      </c>
      <c r="AN280" t="n">
        <v>5.845876</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17.87172</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7.955311</v>
      </c>
      <c r="AN281" t="n">
        <v>5.873955</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17.92572</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7.983258</v>
      </c>
      <c r="AN282" t="n">
        <v>5.904349</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17.98003</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8.013004</v>
      </c>
      <c r="AN283" t="n">
        <v>5.938671</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18.06987</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8.056630999999999</v>
      </c>
      <c r="AN284" t="n">
        <v>5.974673</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18.14322</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8.090192</v>
      </c>
      <c r="AN285" t="n">
        <v>5.99938</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18.2329</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8.134809000000001</v>
      </c>
      <c r="AN286" t="n">
        <v>6.051917</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18.34331</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8.184383</v>
      </c>
      <c r="AN287" t="n">
        <v>6.103194</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18.39672</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8.208652000000001</v>
      </c>
      <c r="AN288" t="n">
        <v>6.13547</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18.47009</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8.244115000000001</v>
      </c>
      <c r="AN289" t="n">
        <v>6.169014</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18.56741</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8.297033000000001</v>
      </c>
      <c r="AN290" t="n">
        <v>6.219288</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18.69829</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8.352917</v>
      </c>
      <c r="AN291" t="n">
        <v>6.257937</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18.88961</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8.430986000000001</v>
      </c>
      <c r="AN292" t="n">
        <v>6.302705</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19.07236</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8.519795</v>
      </c>
      <c r="AN293" t="n">
        <v>6.366173</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19.24111</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8.596640000000001</v>
      </c>
      <c r="AN294" t="n">
        <v>6.430134</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19.3623</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8.656504999999999</v>
      </c>
      <c r="AN295" t="n">
        <v>6.484359</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19.44835</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8.706536</v>
      </c>
      <c r="AN296" t="n">
        <v>6.515521</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19.66945</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8.801704000000001</v>
      </c>
      <c r="AN297" t="n">
        <v>6.550221</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19.79926</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8.878679</v>
      </c>
      <c r="AN298" t="n">
        <v>6.611904</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19.97519</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8.973678</v>
      </c>
      <c r="AN299" t="n">
        <v>6.698718</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20.13853</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9.051282</v>
      </c>
      <c r="AN300" t="n">
        <v>6.771388</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20.35387</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9.160907</v>
      </c>
      <c r="AN301" t="n">
        <v>6.843518</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20.6552</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9.304541</v>
      </c>
      <c r="AN302" t="n">
        <v>6.931602</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20.97953</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9.443339999999999</v>
      </c>
      <c r="AN303" t="n">
        <v>7.016824</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21.21454</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9.560605000000001</v>
      </c>
      <c r="AN304" t="n">
        <v>7.11587</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21.45098</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9.675551</v>
      </c>
      <c r="AN305" t="n">
        <v>7.220943</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21.6881</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9.777666999999999</v>
      </c>
      <c r="AN306" t="n">
        <v>7.298045</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21.86697</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9.854979999999999</v>
      </c>
      <c r="AN307" t="n">
        <v>7.360898</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22.09452</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9.966875</v>
      </c>
      <c r="AN308" t="n">
        <v>7.43432</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22.32072</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10.06819</v>
      </c>
      <c r="AN309" t="n">
        <v>7.495699</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22.59148</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10.19588</v>
      </c>
      <c r="AN310" t="n">
        <v>7.600151</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22.88391</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10.3318</v>
      </c>
      <c r="AN311" t="n">
        <v>7.699503</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23.10166</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10.44325</v>
      </c>
      <c r="AN312" t="n">
        <v>7.801973</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23.26445</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10.51969</v>
      </c>
      <c r="AN313" t="n">
        <v>7.865554</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23.45977</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10.62869</v>
      </c>
      <c r="AN314" t="n">
        <v>7.976846</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23.6471</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10.71444</v>
      </c>
      <c r="AN315" t="n">
        <v>8.057316999999999</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23.78437</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10.78855</v>
      </c>
      <c r="AN316" t="n">
        <v>8.136588</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24.02359</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10.90458</v>
      </c>
      <c r="AN317" t="n">
        <v>8.249914</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24.24063</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11.00438</v>
      </c>
      <c r="AN318" t="n">
        <v>8.351428</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24.42831</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11.08821</v>
      </c>
      <c r="AN319" t="n">
        <v>8.423785000000001</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24.62526</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11.17914</v>
      </c>
      <c r="AN320" t="n">
        <v>8.472648</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24.67756</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11.21386</v>
      </c>
      <c r="AN321" t="n">
        <v>8.509864</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24.87975</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11.31664</v>
      </c>
      <c r="AN322" t="n">
        <v>8.592204000000001</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25.06886</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11.4134</v>
      </c>
      <c r="AN323" t="n">
        <v>8.656655000000001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25.22365</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11.48287</v>
      </c>
      <c r="AN324" t="n">
        <v>8.72288</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25.33366</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11.54519</v>
      </c>
      <c r="AN325" t="n">
        <v>8.796526</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25.50967</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11.65538</v>
      </c>
      <c r="AN326" t="n">
        <v>8.908016</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25.68547</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11.73941</v>
      </c>
      <c r="AN327" t="n">
        <v>8.993687</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25.80035</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11.81269</v>
      </c>
      <c r="AN328" t="n">
        <v>9.090085999999999</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26.04865</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11.92798</v>
      </c>
      <c r="AN329" t="n">
        <v>9.196629</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26.23741</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12.02183</v>
      </c>
      <c r="AN330" t="n">
        <v>9.290663</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26.34948</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12.07537</v>
      </c>
      <c r="AN331" t="n">
        <v>9.331395000000001</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26.47524</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12.14644</v>
      </c>
      <c r="AN332" t="n">
        <v>9.373678999999999</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26.59349</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12.20809</v>
      </c>
      <c r="AN333" t="n">
        <v>9.447521999999999</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26.82461</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12.33341</v>
      </c>
      <c r="AN334" t="n">
        <v>9.550962999999999</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27.04059</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12.47781</v>
      </c>
      <c r="AN335" t="n">
        <v>9.674395000000001</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27.17233</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12.56675</v>
      </c>
      <c r="AN336" t="n">
        <v>9.773737000000001</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27.30938</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12.65226</v>
      </c>
      <c r="AN337" t="n">
        <v>9.843517</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27.53694</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12.78191</v>
      </c>
      <c r="AN338" t="n">
        <v>9.968484</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27.79341</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12.90894</v>
      </c>
      <c r="AN339" t="n">
        <v>10.06546</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27.98692</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13.02239</v>
      </c>
      <c r="AN340" t="n">
        <v>10.17314</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28.28711</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13.17506</v>
      </c>
      <c r="AN341" t="n">
        <v>10.30599</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28.4782</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13.26712</v>
      </c>
      <c r="AN342" t="n">
        <v>10.38686</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28.63089</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13.35431</v>
      </c>
      <c r="AN343" t="n">
        <v>10.47798</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28.73188</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13.43507</v>
      </c>
      <c r="AN344" t="n">
        <v>10.55255</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28.8267</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13.50863</v>
      </c>
      <c r="AN345" t="n">
        <v>10.62932</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29.00543</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13.61789</v>
      </c>
      <c r="AN346" t="n">
        <v>10.73588</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29.14289</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13.71887</v>
      </c>
      <c r="AN347" t="n">
        <v>10.84783</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29.22512</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13.78699</v>
      </c>
      <c r="AN348" t="n">
        <v>10.93758</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29.31147</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13.85284</v>
      </c>
      <c r="AN349" t="n">
        <v>11.01027</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29.48963</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13.96959</v>
      </c>
      <c r="AN350" t="n">
        <v>11.11461</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29.67806</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14.07567</v>
      </c>
      <c r="AN351" t="n">
        <v>11.20686</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29.90536</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14.1881</v>
      </c>
      <c r="AN352" t="n">
        <v>11.29732</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30.15725</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14.32726</v>
      </c>
      <c r="AN353" t="n">
        <v>11.42705</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30.39723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14.45039</v>
      </c>
      <c r="AN354" t="n">
        <v>11.52236</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30.61501</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14.56606</v>
      </c>
      <c r="AN355" t="n">
        <v>11.61115</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30.80597</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14.68502</v>
      </c>
      <c r="AN356" t="n">
        <v>11.70124</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30.92519</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14.75768</v>
      </c>
      <c r="AN357" t="n">
        <v>11.7684</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31.13396</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14.87591</v>
      </c>
      <c r="AN358" t="n">
        <v>11.86682</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31.35417</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15.00806</v>
      </c>
      <c r="AN359" t="n">
        <v>11.97435</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31.45868</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15.07513</v>
      </c>
      <c r="AN360" t="n">
        <v>12.0595</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31.57845</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15.14656</v>
      </c>
      <c r="AN361" t="n">
        <v>12.13731</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31.86091</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15.30976</v>
      </c>
      <c r="AN362" t="n">
        <v>12.28743</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32.12904</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15.44575</v>
      </c>
      <c r="AN363" t="n">
        <v>12.38593</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32.4342</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15.59797</v>
      </c>
      <c r="AN364" t="n">
        <v>12.50518</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32.78598</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15.78623</v>
      </c>
      <c r="AN365" t="n">
        <v>12.65613</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33.12462</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15.95806</v>
      </c>
      <c r="AN366" t="n">
        <v>12.77575</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33.4227</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16.13367</v>
      </c>
      <c r="AN367" t="n">
        <v>12.95664</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33.83095</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16.36158</v>
      </c>
      <c r="AN368" t="n">
        <v>13.19475</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34.03246</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16.47844</v>
      </c>
      <c r="AN369" t="n">
        <v>13.31287</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34.41388</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16.67322</v>
      </c>
      <c r="AN370" t="n">
        <v>13.48623</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34.72208</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16.8694</v>
      </c>
      <c r="AN371" t="n">
        <v>13.67665</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34.97642</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17.01585</v>
      </c>
      <c r="AN372" t="n">
        <v>13.82446</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35.29586</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17.19761</v>
      </c>
      <c r="AN373" t="n">
        <v>13.98256</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35.80952</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17.5195</v>
      </c>
      <c r="AN374" t="n">
        <v>14.29237</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36.27785</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17.79296</v>
      </c>
      <c r="AN375" t="n">
        <v>14.55114</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36.69539</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18.01011</v>
      </c>
      <c r="AN376" t="n">
        <v>14.70305</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37.18539</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18.26525</v>
      </c>
      <c r="AN377" t="n">
        <v>14.92743</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37.52184</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18.44077</v>
      </c>
      <c r="AN378" t="n">
        <v>15.05609</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37.843</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18.62166</v>
      </c>
      <c r="AN379" t="n">
        <v>15.19606</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37.9827</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18.73857</v>
      </c>
      <c r="AN380" t="n">
        <v>15.34752</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38.19735</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18.87389</v>
      </c>
      <c r="AN381" t="n">
        <v>15.46696</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38.54839</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19.06374</v>
      </c>
      <c r="AN382" t="n">
        <v>15.62767</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38.86146</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19.25895</v>
      </c>
      <c r="AN383" t="n">
        <v>15.79862</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39.18344</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19.42869</v>
      </c>
      <c r="AN384" t="n">
        <v>15.96132</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39.42735</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19.60169</v>
      </c>
      <c r="AN385" t="n">
        <v>16.10864</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39.81602</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19.85173</v>
      </c>
      <c r="AN386" t="n">
        <v>16.34022</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40.17668</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20.04188</v>
      </c>
      <c r="AN387" t="n">
        <v>16.50917</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40.49835</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20.22558</v>
      </c>
      <c r="AN388" t="n">
        <v>16.69588</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40.87522</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20.43221</v>
      </c>
      <c r="AN389" t="n">
        <v>16.89584</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41.21731</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20.6099</v>
      </c>
      <c r="AN390" t="n">
        <v>17.04191</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41.53265</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20.78495</v>
      </c>
      <c r="AN391" t="n">
        <v>17.18657</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41.87041</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20.98513</v>
      </c>
      <c r="AN392" t="n">
        <v>17.35456</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42.12307</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21.13039</v>
      </c>
      <c r="AN393" t="n">
        <v>17.48245</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42.54037</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21.36284</v>
      </c>
      <c r="AN394" t="n">
        <v>17.67673</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42.78046</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21.5363</v>
      </c>
      <c r="AN395" t="n">
        <v>17.87368</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43.00422</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21.67248</v>
      </c>
      <c r="AN396" t="n">
        <v>18.04921</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43.17388</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21.79856</v>
      </c>
      <c r="AN397" t="n">
        <v>18.17402</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43.40186</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22.01286</v>
      </c>
      <c r="AN398" t="n">
        <v>18.41349</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43.57425</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22.15378</v>
      </c>
      <c r="AN399" t="n">
        <v>18.5442</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43.68169</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22.27795</v>
      </c>
      <c r="AN400" t="n">
        <v>18.6963</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43.97271</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22.50752</v>
      </c>
      <c r="AN401" t="n">
        <v>18.88748</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44.34604</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22.75439</v>
      </c>
      <c r="AN402" t="n">
        <v>19.04467</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44.75986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23.01535</v>
      </c>
      <c r="AN403" t="n">
        <v>19.21352</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44.90807</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23.18903</v>
      </c>
      <c r="AN404" t="n">
        <v>19.31501</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45.07848</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23.4404</v>
      </c>
      <c r="AN405" t="n">
        <v>19.40783</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45.31176</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23.65447</v>
      </c>
      <c r="AN406" t="n">
        <v>19.54584</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45.53325</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23.88598</v>
      </c>
      <c r="AN407" t="n">
        <v>19.72622</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45.56479</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24.01482</v>
      </c>
      <c r="AN408" t="n">
        <v>19.8702</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45.54398</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24.26018</v>
      </c>
      <c r="AN409" t="n">
        <v>20.01823</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45.70303</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24.52176</v>
      </c>
      <c r="AN410" t="n">
        <v>20.22637</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45.79879</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24.66067</v>
      </c>
      <c r="AN411" t="n">
        <v>20.35719</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45.92576</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24.81398</v>
      </c>
      <c r="AN412" t="n">
        <v>20.49009</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46.25554</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25.08438</v>
      </c>
      <c r="AN413" t="n">
        <v>20.68002</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46.53855</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25.28451</v>
      </c>
      <c r="AN414" t="n">
        <v>20.78371</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46.65556</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25.41729</v>
      </c>
      <c r="AN415" t="n">
        <v>20.89396</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46.8315</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25.60042</v>
      </c>
      <c r="AN416" t="n">
        <v>21.02121</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46.9669</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25.7603</v>
      </c>
      <c r="AN417" t="n">
        <v>21.15926</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47.25891</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25.9842</v>
      </c>
      <c r="AN418" t="n">
        <v>21.34743</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47.49525</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26.21547</v>
      </c>
      <c r="AN419" t="n">
        <v>21.55304</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47.59346</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26.41418</v>
      </c>
      <c r="AN420" t="n">
        <v>21.72106</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47.64744</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26.57911</v>
      </c>
      <c r="AN421" t="n">
        <v>21.8779</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47.90865</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26.82326</v>
      </c>
      <c r="AN422" t="n">
        <v>22.07081</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48.17271</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27.03091</v>
      </c>
      <c r="AN423" t="n">
        <v>22.20899</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48.29859</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27.19276</v>
      </c>
      <c r="AN424" t="n">
        <v>22.37245</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48.53672</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27.41589</v>
      </c>
      <c r="AN425" t="n">
        <v>22.57775</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48.71754</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27.58054</v>
      </c>
      <c r="AN426" t="n">
        <v>22.71479</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48.81734</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27.7386</v>
      </c>
      <c r="AN427" t="n">
        <v>22.90459</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48.95531</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27.88338</v>
      </c>
      <c r="AN428" t="n">
        <v>22.97875</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49.04832</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28.00315</v>
      </c>
      <c r="AN429" t="n">
        <v>23.09814</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49.33342</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28.20928</v>
      </c>
      <c r="AN430" t="n">
        <v>23.21384</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49.56477</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28.4308</v>
      </c>
      <c r="AN431" t="n">
        <v>23.42941</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49.60242</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28.55137</v>
      </c>
      <c r="AN432" t="n">
        <v>23.57764</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49.65456</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28.68193</v>
      </c>
      <c r="AN433" t="n">
        <v>23.67611</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49.83222</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28.94313</v>
      </c>
      <c r="AN434" t="n">
        <v>23.93344</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50.0548</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29.14738</v>
      </c>
      <c r="AN435" t="n">
        <v>24.13799</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50.28593</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29.36797</v>
      </c>
      <c r="AN436" t="n">
        <v>24.36934</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50.59442</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29.59771</v>
      </c>
      <c r="AN437" t="n">
        <v>24.55306</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50.76371</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29.73953</v>
      </c>
      <c r="AN438" t="n">
        <v>24.66701</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50.88863</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29.83474</v>
      </c>
      <c r="AN439" t="n">
        <v>24.70998</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50.97606</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29.95733</v>
      </c>
      <c r="AN440" t="n">
        <v>24.75212</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51.01068</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30.06611</v>
      </c>
      <c r="AN441" t="n">
        <v>24.80071</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51.12335</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30.25458</v>
      </c>
      <c r="AN442" t="n">
        <v>24.96583</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51.35409</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30.50918</v>
      </c>
      <c r="AN443" t="n">
        <v>25.17052</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51.42931</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30.68493</v>
      </c>
      <c r="AN444" t="n">
        <v>25.35322</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51.55557</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30.90778</v>
      </c>
      <c r="AN445" t="n">
        <v>25.4583</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51.70811</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31.18108</v>
      </c>
      <c r="AN446" t="n">
        <v>25.64055</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51.65273</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31.2417</v>
      </c>
      <c r="AN447" t="n">
        <v>25.69446</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51.54634</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31.28572</v>
      </c>
      <c r="AN448" t="n">
        <v>25.75423</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51.582</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31.41899</v>
      </c>
      <c r="AN449" t="n">
        <v>25.8559</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51.71359</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31.59198</v>
      </c>
      <c r="AN450" t="n">
        <v>25.91912</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51.84293</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31.79937</v>
      </c>
      <c r="AN451" t="n">
        <v>26.00895</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51.81673</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31.91542</v>
      </c>
      <c r="AN452" t="n">
        <v>26.01647</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51.85759</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32.10582</v>
      </c>
      <c r="AN453" t="n">
        <v>26.05314</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52.0579</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32.37844</v>
      </c>
      <c r="AN454" t="n">
        <v>26.20177</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52.11869</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32.62674</v>
      </c>
      <c r="AN455" t="n">
        <v>26.36271</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52.16386</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32.82998</v>
      </c>
      <c r="AN456" t="n">
        <v>26.45246</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52.21061</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33.07985</v>
      </c>
      <c r="AN457" t="n">
        <v>26.54357</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52.4589</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33.36856</v>
      </c>
      <c r="AN458" t="n">
        <v>26.72995</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52.61172</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33.58221</v>
      </c>
      <c r="AN459" t="n">
        <v>26.84517</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52.78343</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33.82553</v>
      </c>
      <c r="AN460" t="n">
        <v>26.97182</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53.09562</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34.17374</v>
      </c>
      <c r="AN461" t="n">
        <v>27.1288</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53.2391</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34.42852</v>
      </c>
      <c r="AN462" t="n">
        <v>27.23801</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53.35873</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34.6387</v>
      </c>
      <c r="AN463" t="n">
        <v>27.28823</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53.42033</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34.87594</v>
      </c>
      <c r="AN464" t="n">
        <v>27.35693</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53.59231</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35.17578</v>
      </c>
      <c r="AN465" t="n">
        <v>27.43164</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53.83344</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35.50434</v>
      </c>
      <c r="AN466" t="n">
        <v>27.55503</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53.97671</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35.86795</v>
      </c>
      <c r="AN467" t="n">
        <v>27.75075</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54.01252</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36.16459</v>
      </c>
      <c r="AN468" t="n">
        <v>27.90477</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54.01971</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36.73671</v>
      </c>
      <c r="AN469" t="n">
        <v>28.15457</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54.12123</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37.08947</v>
      </c>
      <c r="AN470" t="n">
        <v>28.32843</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54.23739</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37.34431</v>
      </c>
      <c r="AN471" t="n">
        <v>28.46248</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54.43727</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37.62512</v>
      </c>
      <c r="AN472" t="n">
        <v>28.65125</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54.70782</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37.9049</v>
      </c>
      <c r="AN473" t="n">
        <v>28.87087</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54.87435</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38.07173</v>
      </c>
      <c r="AN474" t="n">
        <v>28.99705</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55.02731</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38.22288</v>
      </c>
      <c r="AN475" t="n">
        <v>29.09572</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55.16756</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38.38269</v>
      </c>
      <c r="AN476" t="n">
        <v>29.1884</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55.35089</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38.54805</v>
      </c>
      <c r="AN477" t="n">
        <v>29.32435</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55.65428</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38.80995</v>
      </c>
      <c r="AN478" t="n">
        <v>29.54665</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55.86299</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39.02347</v>
      </c>
      <c r="AN479" t="n">
        <v>29.75922</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55.94039</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39.16557</v>
      </c>
      <c r="AN480" t="n">
        <v>29.97149</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55.99878</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39.29513</v>
      </c>
      <c r="AN481" t="n">
        <v>30.10529</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56.25366</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39.55938</v>
      </c>
      <c r="AN482" t="n">
        <v>30.37869</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56.43967</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39.73898</v>
      </c>
      <c r="AN483" t="n">
        <v>30.57276</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56.71628</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39.96836</v>
      </c>
      <c r="AN484" t="n">
        <v>30.75174</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57.16945</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40.34737</v>
      </c>
      <c r="AN485" t="n">
        <v>31.04944</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57.47633</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40.58513</v>
      </c>
      <c r="AN486" t="n">
        <v>31.20393</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57.59148</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40.70888</v>
      </c>
      <c r="AN487" t="n">
        <v>31.32028</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57.66923</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40.84639</v>
      </c>
      <c r="AN488" t="n">
        <v>31.44623</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57.73479</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40.95477</v>
      </c>
      <c r="AN489" t="n">
        <v>31.5736</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57.97203</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41.20396</v>
      </c>
      <c r="AN490" t="n">
        <v>31.8348</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58.27983</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41.50459</v>
      </c>
      <c r="AN491" t="n">
        <v>32.12183</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58.33441</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41.62316</v>
      </c>
      <c r="AN492" t="n">
        <v>32.31147</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58.43995</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41.79269</v>
      </c>
      <c r="AN493" t="n">
        <v>32.46917</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58.8953</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42.23236</v>
      </c>
      <c r="AN494" t="n">
        <v>32.72487</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59.16741</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42.49056</v>
      </c>
      <c r="AN495" t="n">
        <v>32.96925</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59.4078</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42.745</v>
      </c>
      <c r="AN496" t="n">
        <v>33.17568</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59.68669</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43.03249</v>
      </c>
      <c r="AN497" t="n">
        <v>33.51077</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59.8864</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43.23692</v>
      </c>
      <c r="AN498" t="n">
        <v>33.70332</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60.07016</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43.4164</v>
      </c>
      <c r="AN499" t="n">
        <v>33.81254</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60.18978</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43.55017</v>
      </c>
      <c r="AN500" t="n">
        <v>33.87407</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60.61405</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43.8784</v>
      </c>
      <c r="AN501" t="n">
        <v>34.11201</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61.05145</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44.29549</v>
      </c>
      <c r="AN502" t="n">
        <v>34.51339</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61.4932</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44.70895</v>
      </c>
      <c r="AN503" t="n">
        <v>34.89684</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61.59107</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44.8839</v>
      </c>
      <c r="AN504" t="n">
        <v>35.05252</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61.60088</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44.99024</v>
      </c>
      <c r="AN505" t="n">
        <v>35.13734</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61.99753</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45.37364</v>
      </c>
      <c r="AN506" t="n">
        <v>35.42715</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62.10678</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45.55883</v>
      </c>
      <c r="AN507" t="n">
        <v>35.68866</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62.26791</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45.75365</v>
      </c>
      <c r="AN508" t="n">
        <v>35.88287</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62.51464</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46.01487</v>
      </c>
      <c r="AN509" t="n">
        <v>36.24464</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62.75569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46.22927</v>
      </c>
      <c r="AN510" t="n">
        <v>36.45634</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62.91544</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46.40466</v>
      </c>
      <c r="AN511" t="n">
        <v>36.68038</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63.04853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46.55589</v>
      </c>
      <c r="AN512" t="n">
        <v>36.88198</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63.22552</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46.74035</v>
      </c>
      <c r="AN513" t="n">
        <v>37.07757</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63.41931</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46.99178</v>
      </c>
      <c r="AN514" t="n">
        <v>37.35799</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63.73759</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47.31903</v>
      </c>
      <c r="AN515" t="n">
        <v>37.78462</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63.93329</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47.58316</v>
      </c>
      <c r="AN516" t="n">
        <v>38.07516</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63.92926</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47.70299</v>
      </c>
      <c r="AN517" t="n">
        <v>38.24273</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64.03189</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47.93568</v>
      </c>
      <c r="AN518" t="n">
        <v>38.58257</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64.24337</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48.17246</v>
      </c>
      <c r="AN519" t="n">
        <v>38.88063</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64.5491</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48.46628</v>
      </c>
      <c r="AN520" t="n">
        <v>39.15726</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64.80528</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48.69933</v>
      </c>
      <c r="AN521" t="n">
        <v>39.4106</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64.93989000000001</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48.82261</v>
      </c>
      <c r="AN522" t="n">
        <v>39.56354</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65.08968</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48.94313</v>
      </c>
      <c r="AN523" t="n">
        <v>39.63521</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65.09587999999999</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48.98866</v>
      </c>
      <c r="AN524" t="n">
        <v>39.69502</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65.23406</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49.15618</v>
      </c>
      <c r="AN525" t="n">
        <v>39.86303</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65.41025</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49.42007</v>
      </c>
      <c r="AN526" t="n">
        <v>40.18857</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65.57574</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49.65517</v>
      </c>
      <c r="AN527" t="n">
        <v>40.49083</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65.69387</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49.82107</v>
      </c>
      <c r="AN528" t="n">
        <v>40.74686</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65.6998</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49.91042</v>
      </c>
      <c r="AN529" t="n">
        <v>40.88562</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66.01888</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50.24135</v>
      </c>
      <c r="AN530" t="n">
        <v>41.29514</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66.26652</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50.47456</v>
      </c>
      <c r="AN531" t="n">
        <v>41.56712</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66.47984</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50.71725</v>
      </c>
      <c r="AN532" t="n">
        <v>41.85768</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66.71729000000001</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50.95417</v>
      </c>
      <c r="AN533" t="n">
        <v>42.10609</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66.81672</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51.09549</v>
      </c>
      <c r="AN534" t="n">
        <v>42.30464</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66.91064</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51.19906</v>
      </c>
      <c r="AN535" t="n">
        <v>42.42755</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66.98434</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51.33188</v>
      </c>
      <c r="AN536" t="n">
        <v>42.64312</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67.13373</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51.49648</v>
      </c>
      <c r="AN537" t="n">
        <v>42.8012</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67.25082</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51.69319</v>
      </c>
      <c r="AN538" t="n">
        <v>43.06998</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67.41733000000001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51.92827</v>
      </c>
      <c r="AN539" t="n">
        <v>43.36646</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67.41936</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52.047</v>
      </c>
      <c r="AN540" t="n">
        <v>43.61857</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67.45489000000001</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52.16157</v>
      </c>
      <c r="AN541" t="n">
        <v>43.81586</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67.62648</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52.37996</v>
      </c>
      <c r="AN542" t="n">
        <v>44.07847</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67.82805</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52.62128</v>
      </c>
      <c r="AN543" t="n">
        <v>44.42636</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68.04104</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52.87065</v>
      </c>
      <c r="AN544" t="n">
        <v>44.70392</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68.17424</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53.3014</v>
      </c>
      <c r="AN545" t="n">
        <v>45.51435</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68.27458</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53.51726</v>
      </c>
      <c r="AN546" t="n">
        <v>45.92426</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68.37090999999999</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53.63834</v>
      </c>
      <c r="AN547" t="n">
        <v>46.03986</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68.42310000000001</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53.77006</v>
      </c>
      <c r="AN548" t="n">
        <v>46.20037</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68.67086</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54.01575</v>
      </c>
      <c r="AN549" t="n">
        <v>46.43938</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68.81480000000001</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54.25771</v>
      </c>
      <c r="AN550" t="n">
        <v>46.77602</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68.89028999999999</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54.4764</v>
      </c>
      <c r="AN551" t="n">
        <v>47.14018</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68.95872</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54.67275</v>
      </c>
      <c r="AN552" t="n">
        <v>47.49862</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68.99384000000001</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54.88736</v>
      </c>
      <c r="AN553" t="n">
        <v>47.94534</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69.20211</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55.2427</v>
      </c>
      <c r="AN554" t="n">
        <v>48.28996</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69.42551</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55.60442</v>
      </c>
      <c r="AN555" t="n">
        <v>48.66981</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69.61709999999999</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55.99067</v>
      </c>
      <c r="AN556" t="n">
        <v>49.01683</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69.83659</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56.47512</v>
      </c>
      <c r="AN557" t="n">
        <v>49.37408</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69.99303999999999</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56.76591</v>
      </c>
      <c r="AN558" t="n">
        <v>49.61496</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70.10109</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56.97828</v>
      </c>
      <c r="AN559" t="n">
        <v>49.80294</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70.05992000000001</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57.07351</v>
      </c>
      <c r="AN560" t="n">
        <v>49.89425</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70.21702999999999</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57.31102</v>
      </c>
      <c r="AN561" t="n">
        <v>50.14951</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70.40129</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57.67471</v>
      </c>
      <c r="AN562" t="n">
        <v>50.60144</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70.48172</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57.92866</v>
      </c>
      <c r="AN563" t="n">
        <v>50.89409</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70.46872</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58.10989</v>
      </c>
      <c r="AN564" t="n">
        <v>51.17941</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70.51013</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58.34969</v>
      </c>
      <c r="AN565" t="n">
        <v>51.48568</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70.75227</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58.77183</v>
      </c>
      <c r="AN566" t="n">
        <v>51.90717</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70.95737</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59.0761</v>
      </c>
      <c r="AN567" t="n">
        <v>52.27078</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71.23988</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59.45436</v>
      </c>
      <c r="AN568" t="n">
        <v>52.65137</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71.50158999999999</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59.85798</v>
      </c>
      <c r="AN569" t="n">
        <v>53.04628</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71.66176</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60.11553</v>
      </c>
      <c r="AN570" t="n">
        <v>53.33801</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71.67457</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60.22333</v>
      </c>
      <c r="AN571" t="n">
        <v>53.48371</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71.70058</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60.33715</v>
      </c>
      <c r="AN572" t="n">
        <v>53.52909</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71.78402</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60.53271</v>
      </c>
      <c r="AN573" t="n">
        <v>53.77888</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71.98542</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60.85018</v>
      </c>
      <c r="AN574" t="n">
        <v>54.15324</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72.15255999999999</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61.14484</v>
      </c>
      <c r="AN575" t="n">
        <v>54.51738</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72.21544</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61.3428</v>
      </c>
      <c r="AN576" t="n">
        <v>54.79055</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72.28400999999999</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61.57695</v>
      </c>
      <c r="AN577" t="n">
        <v>55.08905</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72.47171</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61.90761</v>
      </c>
      <c r="AN578" t="n">
        <v>55.49646</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72.60371000000001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62.15927</v>
      </c>
      <c r="AN579" t="n">
        <v>55.76454</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72.73515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62.39882</v>
      </c>
      <c r="AN580" t="n">
        <v>56.05007</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73.00142</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62.73749</v>
      </c>
      <c r="AN581" t="n">
        <v>56.36675</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73.06507999999999</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62.91026</v>
      </c>
      <c r="AN582" t="n">
        <v>56.68218</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73.13294999999999</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63.05853</v>
      </c>
      <c r="AN583" t="n">
        <v>56.86388</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73.18996</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63.24086</v>
      </c>
      <c r="AN584" t="n">
        <v>57.20927</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73.32186</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63.50266</v>
      </c>
      <c r="AN585" t="n">
        <v>57.58949</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73.49744</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63.85202</v>
      </c>
      <c r="AN586" t="n">
        <v>58.03878</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73.63124999999999</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64.16773999999999</v>
      </c>
      <c r="AN587" t="n">
        <v>58.50097</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73.55853</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64.33089</v>
      </c>
      <c r="AN588" t="n">
        <v>58.94241</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73.51725</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64.53216999999999</v>
      </c>
      <c r="AN589" t="n">
        <v>59.3199</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73.56905999999999</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64.82258</v>
      </c>
      <c r="AN590" t="n">
        <v>59.62682</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73.69772</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65.09425</v>
      </c>
      <c r="AN591" t="n">
        <v>59.94874</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73.84032000000001</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65.33595</v>
      </c>
      <c r="AN592" t="n">
        <v>60.23649</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73.98202999999999</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65.60368</v>
      </c>
      <c r="AN593" t="n">
        <v>60.58865</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74.13496000000001</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65.80524</v>
      </c>
      <c r="AN594" t="n">
        <v>60.83814</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74.15352</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65.90009000000001</v>
      </c>
      <c r="AN595" t="n">
        <v>60.96813</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74.13475</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65.98157999999999</v>
      </c>
      <c r="AN596" t="n">
        <v>61.10607</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74.17559</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66.11118999999999</v>
      </c>
      <c r="AN597" t="n">
        <v>61.27438</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74.3009</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66.41296</v>
      </c>
      <c r="AN598" t="n">
        <v>61.66482</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74.47638000000001</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66.72763</v>
      </c>
      <c r="AN599" t="n">
        <v>61.99284</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74.47545</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66.87217</v>
      </c>
      <c r="AN600" t="n">
        <v>62.23822</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74.43595999999999</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67.00498</v>
      </c>
      <c r="AN601" t="n">
        <v>62.49207</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74.45365</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67.19183</v>
      </c>
      <c r="AN602" t="n">
        <v>62.67356</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74.50533</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67.34904</v>
      </c>
      <c r="AN603" t="n">
        <v>62.90888</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74.70119</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67.62744000000001</v>
      </c>
      <c r="AN604" t="n">
        <v>63.27009</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75.13625999999999</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68.07634</v>
      </c>
      <c r="AN605" t="n">
        <v>63.68977</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75.16764000000001</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68.17855</v>
      </c>
      <c r="AN606" t="n">
        <v>63.87955</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75.14492</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68.23457000000001</v>
      </c>
      <c r="AN607" t="n">
        <v>64.02184</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75.24457</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68.39888999999999</v>
      </c>
      <c r="AN608" t="n">
        <v>64.21657</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75.39362</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68.63840999999999</v>
      </c>
      <c r="AN609" t="n">
        <v>64.49438000000001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75.63575</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68.99617000000001</v>
      </c>
      <c r="AN610" t="n">
        <v>64.90486</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75.74284</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69.26092</v>
      </c>
      <c r="AN611" t="n">
        <v>65.28927</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75.74092</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69.39832</v>
      </c>
      <c r="AN612" t="n">
        <v>65.62015</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75.78313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69.62656</v>
      </c>
      <c r="AN613" t="n">
        <v>66.13925999999999</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75.87597</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69.84925</v>
      </c>
      <c r="AN614" t="n">
        <v>66.35666999999999</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76.15022999999999</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70.18059</v>
      </c>
      <c r="AN615" t="n">
        <v>66.67843000000001</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76.57476</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70.60827999999999</v>
      </c>
      <c r="AN616" t="n">
        <v>67.01291999999999</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76.63636</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70.74406</v>
      </c>
      <c r="AN617" t="n">
        <v>67.22047000000001</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76.74064</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70.88704</v>
      </c>
      <c r="AN618" t="n">
        <v>67.43822</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77.02251</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71.14973000000001</v>
      </c>
      <c r="AN619" t="n">
        <v>67.66168999999999</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77.11197</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71.32848</v>
      </c>
      <c r="AN620" t="n">
        <v>67.80701999999999</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77.13468</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71.42014</v>
      </c>
      <c r="AN621" t="n">
        <v>67.92440999999999</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77.44028</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71.79329</v>
      </c>
      <c r="AN622" t="n">
        <v>68.3683</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77.52114</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71.96198</v>
      </c>
      <c r="AN623" t="n">
        <v>68.58512</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77.57362000000001</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72.11378000000001</v>
      </c>
      <c r="AN624" t="n">
        <v>68.91142000000001</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77.62903</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72.24748</v>
      </c>
      <c r="AN625" t="n">
        <v>69.15492</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77.81341</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72.48981000000001</v>
      </c>
      <c r="AN626" t="n">
        <v>69.19150999999999</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78.0553</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72.74466</v>
      </c>
      <c r="AN627" t="n">
        <v>69.52018</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78.19158</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73.03506</v>
      </c>
      <c r="AN628" t="n">
        <v>69.96728</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78.50987000000001</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73.52802</v>
      </c>
      <c r="AN629" t="n">
        <v>70.74657999999999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78.84357</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73.9165</v>
      </c>
      <c r="AN630" t="n">
        <v>71.30737000000001</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78.93080999999999</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74.06184</v>
      </c>
      <c r="AN631" t="n">
        <v>71.54512</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78.73769</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73.96214000000001</v>
      </c>
      <c r="AN632" t="n">
        <v>71.56142</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78.77357000000001</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74.07836</v>
      </c>
      <c r="AN633" t="n">
        <v>71.7248</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78.98305000000001</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74.4158</v>
      </c>
      <c r="AN634" t="n">
        <v>72.17237</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78.82276</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74.46796000000001</v>
      </c>
      <c r="AN635" t="n">
        <v>72.50530999999999</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78.65210999999999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74.44918</v>
      </c>
      <c r="AN636" t="n">
        <v>72.71572999999999</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78.57212</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74.49681</v>
      </c>
      <c r="AN637" t="n">
        <v>73.10568000000001</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78.69195000000001</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74.75098</v>
      </c>
      <c r="AN638" t="n">
        <v>73.45995000000001</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78.88916</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74.94996999999999</v>
      </c>
      <c r="AN639" t="n">
        <v>73.6837</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79.23608</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75.31103</v>
      </c>
      <c r="AN640" t="n">
        <v>74.02112</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79.57658000000001</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75.70238999999999</v>
      </c>
      <c r="AN641" t="n">
        <v>74.38213</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79.65816</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75.80962</v>
      </c>
      <c r="AN642" t="n">
        <v>74.53452</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79.68114</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75.84129</v>
      </c>
      <c r="AN643" t="n">
        <v>74.52930000000001</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79.70672999999999</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75.86297</v>
      </c>
      <c r="AN644" t="n">
        <v>74.49666999999999</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79.91916999999999</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76.08311</v>
      </c>
      <c r="AN645" t="n">
        <v>74.6621</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80.02424999999999</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76.29839</v>
      </c>
      <c r="AN646" t="n">
        <v>74.9953</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80.10423</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76.47861</v>
      </c>
      <c r="AN647" t="n">
        <v>75.28225999999999</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80.10505999999999</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76.56067</v>
      </c>
      <c r="AN648" t="n">
        <v>75.39951000000001</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80.09842999999999</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76.62730000000001</v>
      </c>
      <c r="AN649" t="n">
        <v>75.70408999999999</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80.28236</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76.87278000000001</v>
      </c>
      <c r="AN650" t="n">
        <v>75.86578</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80.70837</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77.26707</v>
      </c>
      <c r="AN651" t="n">
        <v>76.21529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81.07986</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77.67751</v>
      </c>
      <c r="AN652" t="n">
        <v>76.58333</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81.00797</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77.67614</v>
      </c>
      <c r="AN653" t="n">
        <v>76.70638</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80.95132</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77.63629</v>
      </c>
      <c r="AN654" t="n">
        <v>76.71893</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80.99894</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77.66296</v>
      </c>
      <c r="AN655" t="n">
        <v>76.77415999999999</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81.03966</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77.65424</v>
      </c>
      <c r="AN656" t="n">
        <v>76.67413000000001</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81.27647</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77.86393</v>
      </c>
      <c r="AN657" t="n">
        <v>76.80213000000001</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81.47103</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78.11194999999999</v>
      </c>
      <c r="AN658" t="n">
        <v>77.05862</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81.43908999999999</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78.15356</v>
      </c>
      <c r="AN659" t="n">
        <v>77.21217</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81.27952999999999</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78.10168</v>
      </c>
      <c r="AN660" t="n">
        <v>77.31419</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81.33193</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78.17789999999999</v>
      </c>
      <c r="AN661" t="n">
        <v>77.50427999999999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81.51075</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78.36826000000001</v>
      </c>
      <c r="AN662" t="n">
        <v>77.50463000000001</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81.82102</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78.65774999999999</v>
      </c>
      <c r="AN663" t="n">
        <v>77.70959000000001</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82.20995000000001</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79.05116</v>
      </c>
      <c r="AN664" t="n">
        <v>78.04514</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82.43325</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79.30534</v>
      </c>
      <c r="AN665" t="n">
        <v>78.37952</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82.80427</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79.62757999999999</v>
      </c>
      <c r="AN666" t="n">
        <v>78.67765</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82.98143</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79.77395</v>
      </c>
      <c r="AN667" t="n">
        <v>78.71701</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82.87137</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79.69014</v>
      </c>
      <c r="AN668" t="n">
        <v>78.61997</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82.94893999999999</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79.80736</v>
      </c>
      <c r="AN669" t="n">
        <v>78.76962</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83.07040000000001</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79.97398</v>
      </c>
      <c r="AN670" t="n">
        <v>78.88276</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83.4053</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80.34502999999999</v>
      </c>
      <c r="AN671" t="n">
        <v>79.20994</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83.42534000000001</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80.40593</v>
      </c>
      <c r="AN672" t="n">
        <v>79.29716000000001</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83.32613000000001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80.34286</v>
      </c>
      <c r="AN673" t="n">
        <v>79.52338</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83.28391000000001</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80.34153999999999</v>
      </c>
      <c r="AN674" t="n">
        <v>79.28792</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83.62193000000001</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80.63902</v>
      </c>
      <c r="AN675" t="n">
        <v>79.54816</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84.13597</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81.11257000000001</v>
      </c>
      <c r="AN676" t="n">
        <v>79.93987</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84.49015</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81.47852</v>
      </c>
      <c r="AN677" t="n">
        <v>80.19958</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84.51815000000001</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81.52786999999999</v>
      </c>
      <c r="AN678" t="n">
        <v>80.40223</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84.51819</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81.53368</v>
      </c>
      <c r="AN679" t="n">
        <v>80.45480000000001</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84.78046999999999</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81.72663</v>
      </c>
      <c r="AN680" t="n">
        <v>80.45361</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85.09389</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81.99458</v>
      </c>
      <c r="AN681" t="n">
        <v>80.63701</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85.76723</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82.59087</v>
      </c>
      <c r="AN682" t="n">
        <v>80.94604</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85.87475999999999</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82.76217</v>
      </c>
      <c r="AN683" t="n">
        <v>81.1973</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85.41424000000001</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82.46536999999999</v>
      </c>
      <c r="AN684" t="n">
        <v>81.17952</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85.32207</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82.43528000000001</v>
      </c>
      <c r="AN685" t="n">
        <v>81.37415</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85.6656</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82.73039</v>
      </c>
      <c r="AN686" t="n">
        <v>81.29156</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85.80161</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82.87109</v>
      </c>
      <c r="AN687" t="n">
        <v>81.5181</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86.14652</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83.20956</v>
      </c>
      <c r="AN688" t="n">
        <v>81.77667</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86.6935</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83.75184</v>
      </c>
      <c r="AN689" t="n">
        <v>82.26394999999999</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87.051</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84.07196</v>
      </c>
      <c r="AN690" t="n">
        <v>82.58772</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87.17565</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84.17175</v>
      </c>
      <c r="AN691" t="n">
        <v>82.67225999999999</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87.32607</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84.31081</v>
      </c>
      <c r="AN692" t="n">
        <v>82.72443</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87.54083</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84.51006</v>
      </c>
      <c r="AN693" t="n">
        <v>82.81816000000001</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87.25297</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84.39228</v>
      </c>
      <c r="AN694" t="n">
        <v>82.88673</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86.96314</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84.2176</v>
      </c>
      <c r="AN695" t="n">
        <v>82.97915999999999</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86.86718999999999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84.19461</v>
      </c>
      <c r="AN696" t="n">
        <v>83.12872</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87.06093</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84.3784</v>
      </c>
      <c r="AN697" t="n">
        <v>83.37344</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87.12939</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84.45855</v>
      </c>
      <c r="AN698" t="n">
        <v>83.26681000000001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87.43432</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84.74525</v>
      </c>
      <c r="AN699" t="n">
        <v>83.52059</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88.01342</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85.29398</v>
      </c>
      <c r="AN700" t="n">
        <v>83.94253</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88.47784</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85.77513999999999</v>
      </c>
      <c r="AN701" t="n">
        <v>84.42461</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88.87205</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86.08587</v>
      </c>
      <c r="AN702" t="n">
        <v>84.61193</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88.97315999999999</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86.17242</v>
      </c>
      <c r="AN703" t="n">
        <v>84.68424</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88.95911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86.15965</v>
      </c>
      <c r="AN704" t="n">
        <v>84.56465</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88.96422</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86.18097</v>
      </c>
      <c r="AN705" t="n">
        <v>84.63974</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89.13585</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86.4302</v>
      </c>
      <c r="AN706" t="n">
        <v>84.91607999999999</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89.32589</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86.71831</v>
      </c>
      <c r="AN707" t="n">
        <v>85.3625</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89.73220999999999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87.15379</v>
      </c>
      <c r="AN708" t="n">
        <v>85.88193</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89.8305</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87.29454</v>
      </c>
      <c r="AN709" t="n">
        <v>86.20415</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90.02185</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87.51802000000001</v>
      </c>
      <c r="AN710" t="n">
        <v>86.20282</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90.25076</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87.78570999999999</v>
      </c>
      <c r="AN711" t="n">
        <v>86.57074</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90.8777</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88.41007999999999</v>
      </c>
      <c r="AN712" t="n">
        <v>87.14297000000001</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91.26978</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88.85323</v>
      </c>
      <c r="AN713" t="n">
        <v>87.54971</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91.9706</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89.49249</v>
      </c>
      <c r="AN714" t="n">
        <v>88.11221</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92.66956</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90.06999</v>
      </c>
      <c r="AN715" t="n">
        <v>88.38906</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93.03997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90.40646</v>
      </c>
      <c r="AN716" t="n">
        <v>88.49392</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92.88372</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90.29746</v>
      </c>
      <c r="AN717" t="n">
        <v>88.46271</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92.81841</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90.33920999999999</v>
      </c>
      <c r="AN718" t="n">
        <v>88.62026</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92.21407000000001</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90.00629000000001</v>
      </c>
      <c r="AN719" t="n">
        <v>88.74603</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91.03037</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89.17117</v>
      </c>
      <c r="AN720" t="n">
        <v>88.49677</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90.43398000000001</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88.70595</v>
      </c>
      <c r="AN721" t="n">
        <v>88.31077999999999</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90.47346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88.71677</v>
      </c>
      <c r="AN722" t="n">
        <v>88.01761999999999</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90.83848999999999</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89.03117</v>
      </c>
      <c r="AN723" t="n">
        <v>88.33437000000001</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91.00848000000001</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89.26715</v>
      </c>
      <c r="AN724" t="n">
        <v>88.53399</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91.18785</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89.48392</v>
      </c>
      <c r="AN725" t="n">
        <v>88.768</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91.37823</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89.63874</v>
      </c>
      <c r="AN726" t="n">
        <v>88.93011</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91.85247</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90.00405000000001</v>
      </c>
      <c r="AN727" t="n">
        <v>89.07436</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91.69036</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89.87206</v>
      </c>
      <c r="AN728" t="n">
        <v>88.85898</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91.9251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90.05817</v>
      </c>
      <c r="AN729" t="n">
        <v>89.02276000000001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91.90652</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90.09522</v>
      </c>
      <c r="AN730" t="n">
        <v>88.99558</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91.92325</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90.19862000000001</v>
      </c>
      <c r="AN731" t="n">
        <v>89.24252</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91.96964</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90.31180000000001</v>
      </c>
      <c r="AN732" t="n">
        <v>89.43033</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91.95792</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90.33360999999999</v>
      </c>
      <c r="AN733" t="n">
        <v>89.66564</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92.09023000000001</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90.53287</v>
      </c>
      <c r="AN734" t="n">
        <v>89.60256</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92.203</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90.70489999999999</v>
      </c>
      <c r="AN735" t="n">
        <v>89.91467</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92.55137000000001</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91.09533999999999</v>
      </c>
      <c r="AN736" t="n">
        <v>90.42534000000001</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92.73293</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91.33232</v>
      </c>
      <c r="AN737" t="n">
        <v>90.81271</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92.79929</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91.38236000000001</v>
      </c>
      <c r="AN738" t="n">
        <v>90.89152</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92.7287</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91.31853</v>
      </c>
      <c r="AN739" t="n">
        <v>90.87085999999999</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92.70209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91.28821000000001</v>
      </c>
      <c r="AN740" t="n">
        <v>90.76154</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92.84554</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91.42245</v>
      </c>
      <c r="AN741" t="n">
        <v>90.90161000000001</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92.88057999999999</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91.56367</v>
      </c>
      <c r="AN742" t="n">
        <v>91.05504999999999</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93.03924000000001</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91.80485</v>
      </c>
      <c r="AN743" t="n">
        <v>91.38157</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93.06416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91.86976</v>
      </c>
      <c r="AN744" t="n">
        <v>91.52794</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93.28331</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92.11067</v>
      </c>
      <c r="AN745" t="n">
        <v>91.94857</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93.52336</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92.38375000000001</v>
      </c>
      <c r="AN746" t="n">
        <v>91.98379</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93.91658</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92.76106</v>
      </c>
      <c r="AN747" t="n">
        <v>92.38361</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94.62773</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93.42644</v>
      </c>
      <c r="AN748" t="n">
        <v>93.01155</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95.0881</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93.88213</v>
      </c>
      <c r="AN749" t="n">
        <v>93.47333999999999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95.38236999999999</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94.15958000000001</v>
      </c>
      <c r="AN750" t="n">
        <v>93.73264</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95.30801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94.05953</v>
      </c>
      <c r="AN751" t="n">
        <v>93.61105000000001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95.36716</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94.09858</v>
      </c>
      <c r="AN752" t="n">
        <v>93.49724000000001</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95.62041000000001</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94.31535</v>
      </c>
      <c r="AN753" t="n">
        <v>93.68716000000001</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95.76461</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94.50864</v>
      </c>
      <c r="AN754" t="n">
        <v>94.00402</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95.72454999999999</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94.63338</v>
      </c>
      <c r="AN755" t="n">
        <v>94.44902999999999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95.6504</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94.69878</v>
      </c>
      <c r="AN756" t="n">
        <v>94.7272</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95.59784999999999</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94.73659000000001</v>
      </c>
      <c r="AN757" t="n">
        <v>94.96178</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95.83488</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94.96373</v>
      </c>
      <c r="AN758" t="n">
        <v>94.9179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96.24966999999999</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95.34893</v>
      </c>
      <c r="AN759" t="n">
        <v>95.35693000000001</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96.86163000000001</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95.89901</v>
      </c>
      <c r="AN760" t="n">
        <v>95.92072</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97.10621999999999</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96.19488</v>
      </c>
      <c r="AN761" t="n">
        <v>96.34116</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96.99926000000001</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96.10314</v>
      </c>
      <c r="AN762" t="n">
        <v>96.29875</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96.81757</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95.94123</v>
      </c>
      <c r="AN763" t="n">
        <v>96.13478000000001</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96.70851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95.8695</v>
      </c>
      <c r="AN764" t="n">
        <v>96.07745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97.16502</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96.25624000000001</v>
      </c>
      <c r="AN765" t="n">
        <v>96.39995</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97.43622999999999</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96.60019</v>
      </c>
      <c r="AN766" t="n">
        <v>96.71108</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97.46142999999999</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96.74897</v>
      </c>
      <c r="AN767" t="n">
        <v>97.07966999999999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97.16145</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96.53415</v>
      </c>
      <c r="AN768" t="n">
        <v>97.05215</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96.50063</v>
      </c>
      <c r="AN769" t="n">
        <v>97.23954999999999</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97.16451000000001</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96.60456000000001</v>
      </c>
      <c r="AN770" t="n">
        <v>97.05167</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97.72847</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97.08098</v>
      </c>
      <c r="AN771" t="n">
        <v>97.36259</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98.0226</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97.41134</v>
      </c>
      <c r="AN772" t="n">
        <v>97.84107</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97.96229</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97.41379000000001</v>
      </c>
      <c r="AN773" t="n">
        <v>97.86788</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98.13213</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97.53903</v>
      </c>
      <c r="AN774" t="n">
        <v>98.00318</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98.28272</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97.67519</v>
      </c>
      <c r="AN775" t="n">
        <v>98.10745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98.36184</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97.75485</v>
      </c>
      <c r="AN776" t="n">
        <v>98.13341</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97.8939</v>
      </c>
      <c r="AN777" t="n">
        <v>98.24160000000001</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98.64404</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98.04588</v>
      </c>
      <c r="AN778" t="n">
        <v>98.36812</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98.47887</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98.00973</v>
      </c>
      <c r="AN779" t="n">
        <v>98.47534</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98.36593999999999</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97.94826999999999</v>
      </c>
      <c r="AN780" t="n">
        <v>98.43008</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98.45834000000001</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98.08009</v>
      </c>
      <c r="AN781" t="n">
        <v>98.69882</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98.54788000000001</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98.20399999999999</v>
      </c>
      <c r="AN782" t="n">
        <v>98.45793</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98.49357999999999</v>
      </c>
      <c r="AN783" t="n">
        <v>98.71875</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99.34859</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98.95058</v>
      </c>
      <c r="AN784" t="n">
        <v>99.10898</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99.82794</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99.39270999999999</v>
      </c>
      <c r="AN785" t="n">
        <v>99.35629</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100.0805</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99.58134</v>
      </c>
      <c r="AN786" t="n">
        <v>99.34714</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100.2135</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99.69785</v>
      </c>
      <c r="AN787" t="n">
        <v>99.46773</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100.1846</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99.68523999999999</v>
      </c>
      <c r="AN788" t="n">
        <v>99.37478</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99.68980999999999</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100.2133</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99.77009</v>
      </c>
      <c r="AN790" t="n">
        <v>99.46375</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100.0267</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99.73228</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99.63871</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99.46247</v>
      </c>
      <c r="AN792" t="n">
        <v>99.50273</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99.30656999999999</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99.19141</v>
      </c>
      <c r="AN793" t="n">
        <v>99.36805</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98.80452</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98.77997999999999</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99.19659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99.13104</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99.68871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99.63363</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100.2675</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100.5119</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100.3979</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100.4856</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100.3647</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100.471</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100.2398</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100.3201</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100.0518</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100.2621</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99.86382</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100.1463</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99.74644000000001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100.0505</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100.1828</v>
      </c>
      <c r="AN807" t="n">
        <v>99.92010000000001</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100.2746</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100.5687</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100.6008</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100.8898</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100.9578</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101.1771</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101.4068</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101.0689</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101.3611</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101.1586</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101.4843</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101.8733</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101.3255</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101.8082</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101.4427</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102.0261</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101.7046</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102.4103</v>
      </c>
      <c r="AN818" t="n">
        <v>102.1466</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102.0079</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102.7383</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102.1416</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102.9405</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102.4766</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103.3076</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102.5541</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103.3748</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102.6136</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103.4064</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102.5699</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103.3953</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102.8653</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103.6701</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104.0058</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103.1702</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103.1999</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104.2637</v>
      </c>
      <c r="AN828" t="n">
        <v>104.3387</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103.2959</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104.4179</v>
      </c>
      <c r="AN829" t="n">
        <v>104.6624</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103.5746</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103.9205</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105.0097</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104.1839</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105.2924</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104.4835</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105.6559</v>
      </c>
      <c r="AN833" t="n">
        <v>105.7084</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104.9036</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106.0753</v>
      </c>
      <c r="AN834" t="n">
        <v>106.308</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105.0148</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106.2915</v>
      </c>
      <c r="AN835" t="n">
        <v>106.6777</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105.0899</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106.3817</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105.2963</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106.6735</v>
      </c>
      <c r="AN837" t="n">
        <v>107.2316</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105.3433</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107.0361</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105.5288</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107.3775</v>
      </c>
      <c r="AN839" t="n">
        <v>108.4912</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105.2107</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107.0857</v>
      </c>
      <c r="AN840" t="n">
        <v>108.1196</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104.9921</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106.9152</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104.9651</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106.8684</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105.3207</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107.2075</v>
      </c>
      <c r="AN843" t="n">
        <v>107.9524</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105.8083</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107.6952</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106.3485</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108.2826</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106.5436</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108.4788</v>
      </c>
      <c r="AN846" t="n">
        <v>109.4805</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106.5723</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108.5057</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108.678</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106.8069</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106.7962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108.8335</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106.9762</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109.1496</v>
      </c>
      <c r="AN851" t="n">
        <v>110.306</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106.8811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109.1168</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106.9123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109.2336</v>
      </c>
      <c r="AN853" t="n">
        <v>110.5402</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107.0725</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109.4137</v>
      </c>
      <c r="AN854" t="n">
        <v>110.3863</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107.2895</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109.6484</v>
      </c>
      <c r="AN855" t="n">
        <v>110.6029</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107.1486</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109.5821</v>
      </c>
      <c r="AN856" t="n">
        <v>110.7303</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106.7371</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109.2107</v>
      </c>
      <c r="AN857" t="n">
        <v>110.8976</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106.7283</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109.2484</v>
      </c>
      <c r="AN858" t="n">
        <v>110.9725</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107.1558</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109.6861</v>
      </c>
      <c r="AN859" t="n">
        <v>111.4063</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107.4751</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109.9868</v>
      </c>
      <c r="AN860" t="n">
        <v>111.4057</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107.6488</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110.1634</v>
      </c>
      <c r="AN861" t="n">
        <v>111.3894</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107.6455</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110.2526</v>
      </c>
      <c r="AN862" t="n">
        <v>111.4102</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107.6974</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110.4406</v>
      </c>
      <c r="AN863" t="n">
        <v>111.7572</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107.5511</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110.3972</v>
      </c>
      <c r="AN864" t="n">
        <v>111.7789</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107.6713</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110.5919</v>
      </c>
      <c r="AN865" t="n">
        <v>112.1685</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108.137</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111.1173</v>
      </c>
      <c r="AN866" t="n">
        <v>112.6776</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108.5805</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111.5633</v>
      </c>
      <c r="AN867" t="n">
        <v>113.0128</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109.185</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112.206</v>
      </c>
      <c r="AN868" t="n">
        <v>113.6567</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109.7802</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112.8543</v>
      </c>
      <c r="AN869" t="n">
        <v>114.3837</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110.4588</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113.4585</v>
      </c>
      <c r="AN870" t="n">
        <v>114.8128</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111.1627</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114.1223</v>
      </c>
      <c r="AN871" t="n">
        <v>115.3107</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111.6527</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114.6442</v>
      </c>
      <c r="AN872" t="n">
        <v>115.819</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111.9075</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114.9583</v>
      </c>
      <c r="AN873" t="n">
        <v>116.3023</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112.1344</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115.3214</v>
      </c>
      <c r="AN874" t="n">
        <v>116.6719</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112.88</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116.223</v>
      </c>
      <c r="AN875" t="n">
        <v>117.7933</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113.3254</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116.8729</v>
      </c>
      <c r="AN876" t="n">
        <v>118.6441</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113.6557</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117.8448</v>
      </c>
      <c r="AN877" t="n">
        <v>120.8487</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114.4229</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119.0986</v>
      </c>
      <c r="AN878" t="n">
        <v>122.6928</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115.3836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120.2209</v>
      </c>
      <c r="AN879" t="n">
        <v>124.131</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116.8929</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122.0486</v>
      </c>
      <c r="AN880" t="n">
        <v>126.8827</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117.624</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123.2252</v>
      </c>
      <c r="AN881" t="n">
        <v>128.865</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118.7309</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124.4181</v>
      </c>
      <c r="AN882" t="n">
        <v>130.2693</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119.9063</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125.8421</v>
      </c>
      <c r="AN883" t="n">
        <v>131.9973</v>
      </c>
      <c r="AO883" t="n">
        <v>131.7053</v>
      </c>
      <c r="AP883" t="n">
        <v>114.0029</v>
      </c>
      <c r="AR883" t="n">
        <v>110.6078</v>
      </c>
      <c r="AS883" t="n">
        <v>125.9648</v>
      </c>
      <c r="AT883" t="n">
        <v>118.27</v>
      </c>
      <c r="AU883" t="n">
        <v>118.3836</v>
      </c>
      <c r="AV883" t="n">
        <v>375.271</v>
      </c>
      <c r="AW883" t="n">
        <v>125.0168</v>
      </c>
      <c r="AX883" t="n">
        <v>140.8349</v>
      </c>
    </row>
    <row r="884">
      <c r="A884" s="92"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131.0148</v>
      </c>
      <c r="U884" t="n">
        <v>120.1525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126.3849</v>
      </c>
      <c r="AN884" t="n">
        <v>133.0171</v>
      </c>
      <c r="AO884" t="n">
        <v>132.3565</v>
      </c>
      <c r="AP884" t="n">
        <v>113.9551</v>
      </c>
      <c r="AR884" t="n">
        <v>111.1678</v>
      </c>
      <c r="AS884" t="n">
        <v>127.0048</v>
      </c>
      <c r="AT884" t="n">
        <v>119.41</v>
      </c>
      <c r="AU884" t="n">
        <v>118.4889</v>
      </c>
      <c r="AV884" t="n">
        <v>384.1472</v>
      </c>
      <c r="AW884" t="n">
        <v>125.002</v>
      </c>
      <c r="AX884" t="n">
        <v>143.1304</v>
      </c>
    </row>
    <row r="885">
      <c r="A885" s="92"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T885" t="n">
        <v>131.3629</v>
      </c>
      <c r="U885" t="n">
        <v>120.3213</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126.7539</v>
      </c>
      <c r="AN885" t="n">
        <v>133.8809</v>
      </c>
      <c r="AO885" t="n">
        <v>133.4147</v>
      </c>
      <c r="AP885" t="n">
        <v>113.6058</v>
      </c>
      <c r="AR885" t="n">
        <v>111.5929</v>
      </c>
      <c r="AS885" t="n">
        <v>127.9837</v>
      </c>
      <c r="AT885" t="n">
        <v>119.44</v>
      </c>
      <c r="AU885" t="n">
        <v>120.5729</v>
      </c>
      <c r="AV885" t="n">
        <v>389.7577</v>
      </c>
      <c r="AW885" t="n">
        <v>124.9577</v>
      </c>
      <c r="AX885" t="n">
        <v>143.5355</v>
      </c>
    </row>
    <row r="886">
      <c r="A886" s="92" t="n">
        <v>44805</v>
      </c>
      <c r="B886" t="n">
        <v>123.8108</v>
      </c>
      <c r="C886" t="n">
        <v>124.1198</v>
      </c>
      <c r="D886" t="n">
        <v>147.7996</v>
      </c>
      <c r="E886" t="n">
        <v>120.6479</v>
      </c>
      <c r="F886" t="n">
        <v>104.8348</v>
      </c>
      <c r="G886" t="n">
        <v>138.1007</v>
      </c>
      <c r="H886" t="n">
        <v>115.3387</v>
      </c>
      <c r="I886" t="n">
        <v>143.3309</v>
      </c>
      <c r="K886" t="n">
        <v>138.5</v>
      </c>
      <c r="L886" t="n">
        <v>121.1202</v>
      </c>
      <c r="M886" t="n">
        <v>116.4</v>
      </c>
      <c r="N886" t="n">
        <v>119.26</v>
      </c>
      <c r="O886" t="n">
        <v>117.221</v>
      </c>
      <c r="P886" t="n">
        <v>144.2244</v>
      </c>
      <c r="Q886" t="n">
        <v>121.56</v>
      </c>
      <c r="R886" t="n">
        <v>114.92</v>
      </c>
      <c r="S886" t="n">
        <v>112.74</v>
      </c>
      <c r="T886" t="n">
        <v>132.2385</v>
      </c>
      <c r="U886" t="n">
        <v>120.7457</v>
      </c>
      <c r="V886" t="n">
        <v>122.3</v>
      </c>
      <c r="W886" t="n">
        <v>114.371</v>
      </c>
      <c r="X886" t="n">
        <v>143.5973</v>
      </c>
      <c r="Y886" t="n">
        <v>125.2999</v>
      </c>
      <c r="Z886" t="n">
        <v>144.6611</v>
      </c>
      <c r="AA886" t="n">
        <v>113.4314</v>
      </c>
      <c r="AB886" t="n">
        <v>129.8096</v>
      </c>
      <c r="AC886" t="n">
        <v>107.8629</v>
      </c>
      <c r="AD886" t="n">
        <v>114.2</v>
      </c>
      <c r="AF886" t="n">
        <v>114.8313</v>
      </c>
      <c r="AG886" t="n">
        <v>147.0213</v>
      </c>
      <c r="AH886" t="n">
        <v>117</v>
      </c>
      <c r="AI886" t="n">
        <v>139.1322</v>
      </c>
      <c r="AJ886" t="n">
        <v>142.1158</v>
      </c>
      <c r="AK886" t="n">
        <v>126.89</v>
      </c>
      <c r="AL886" t="n">
        <v>125.6</v>
      </c>
      <c r="AM886" t="n">
        <v>127.4843</v>
      </c>
      <c r="AN886" t="n">
        <v>135.3524</v>
      </c>
      <c r="AO886" t="n">
        <v>135.5311</v>
      </c>
      <c r="AP886" t="n">
        <v>114.9991</v>
      </c>
      <c r="AR886" t="n">
        <v>111.8937</v>
      </c>
      <c r="AS886" t="n">
        <v>129.1461</v>
      </c>
      <c r="AT886" t="n">
        <v>118.34</v>
      </c>
      <c r="AU886" t="n">
        <v>122.2962</v>
      </c>
      <c r="AV886" t="n">
        <v>401.7461</v>
      </c>
      <c r="AW886" t="n">
        <v>125.2265</v>
      </c>
      <c r="AX886" t="n">
        <v>143.6705</v>
      </c>
    </row>
    <row r="887">
      <c r="A887" s="92" t="n">
        <v>44835</v>
      </c>
      <c r="B887" t="n">
        <v>125.0002</v>
      </c>
      <c r="C887" t="n">
        <v>127.0633</v>
      </c>
      <c r="D887" t="n">
        <v>148.6718</v>
      </c>
      <c r="E887" t="n">
        <v>121.517</v>
      </c>
      <c r="F887" t="n">
        <v>104.8911</v>
      </c>
      <c r="G887" t="n">
        <v>138.8198</v>
      </c>
      <c r="H887" t="n">
        <v>115.4502</v>
      </c>
      <c r="I887" t="n">
        <v>144.3559</v>
      </c>
      <c r="K887" t="n">
        <v>136.5</v>
      </c>
      <c r="L887" t="n">
        <v>122.2204</v>
      </c>
      <c r="M887" t="n">
        <v>117.6</v>
      </c>
      <c r="N887" t="n">
        <v>121.03</v>
      </c>
      <c r="O887" t="n">
        <v>117.615</v>
      </c>
      <c r="P887" t="n">
        <v>142.635</v>
      </c>
      <c r="Q887" t="n">
        <v>123.26</v>
      </c>
      <c r="R887" t="n">
        <v>115.99</v>
      </c>
      <c r="S887" t="n">
        <v>113.9</v>
      </c>
      <c r="T887" t="n">
        <v>133.3301</v>
      </c>
      <c r="U887" t="n">
        <v>121.6712</v>
      </c>
      <c r="V887" t="n">
        <v>124.3</v>
      </c>
      <c r="W887" t="n">
        <v>113.0521</v>
      </c>
      <c r="X887" t="n">
        <v>146.4841</v>
      </c>
      <c r="Y887" t="n">
        <v>125.1666</v>
      </c>
      <c r="Z887" t="n">
        <v>145.9832</v>
      </c>
      <c r="AA887" t="n">
        <v>115.2255</v>
      </c>
      <c r="AB887" t="n">
        <v>130.6771</v>
      </c>
      <c r="AC887" t="n">
        <v>108.4677</v>
      </c>
      <c r="AD887" t="n">
        <v>118.1</v>
      </c>
      <c r="AF887" t="n">
        <v>115.1264</v>
      </c>
      <c r="AG887" t="n">
        <v>148.7797</v>
      </c>
      <c r="AH887" t="n">
        <v>118.02</v>
      </c>
      <c r="AI887" t="n">
        <v>140.2357</v>
      </c>
      <c r="AJ887" t="n">
        <v>142.9201</v>
      </c>
      <c r="AK887" t="n">
        <v>128.25</v>
      </c>
      <c r="AL887" t="n">
        <v>126</v>
      </c>
      <c r="AM887" t="n">
        <v>128.6289</v>
      </c>
      <c r="AN887" t="n">
        <v>137.4765</v>
      </c>
      <c r="AO887" t="n">
        <v>137.9731</v>
      </c>
      <c r="AP887" t="n">
        <v>116.4272</v>
      </c>
      <c r="AR887" t="n">
        <v>112.1114</v>
      </c>
      <c r="AS887" t="n">
        <v>130.7367</v>
      </c>
      <c r="AT887" t="n">
        <v>119.24</v>
      </c>
      <c r="AU887" t="n">
        <v>122.5611</v>
      </c>
      <c r="AV887" t="n">
        <v>415.9871</v>
      </c>
      <c r="AW887" t="n">
        <v>125.7344</v>
      </c>
      <c r="AX887" t="n">
        <v>144.0756</v>
      </c>
    </row>
    <row r="888">
      <c r="A888" s="92" t="n">
        <v>44866</v>
      </c>
      <c r="C888" t="n">
        <v>126.7758</v>
      </c>
      <c r="F888" t="n">
        <v>104.8951</v>
      </c>
      <c r="G888" t="n">
        <v>140.1709</v>
      </c>
      <c r="P888" t="n">
        <v>143.8655</v>
      </c>
      <c r="X888" t="n">
        <v>149.1488</v>
      </c>
      <c r="Y888" t="n">
        <v>125.2776</v>
      </c>
      <c r="AB888" t="n">
        <v>131.0355</v>
      </c>
      <c r="AF888" t="n">
        <v>115.0105</v>
      </c>
      <c r="AH888" t="n">
        <v>117.78</v>
      </c>
      <c r="AI888" t="n">
        <v>141.8275</v>
      </c>
      <c r="AT888" t="n">
        <v>120.27</v>
      </c>
      <c r="AV888" t="n">
        <v>427.9832</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75" activePane="bottomRight" state="frozen"/>
      <selection activeCell="M12" sqref="M12"/>
      <selection pane="topRight" activeCell="M12" sqref="M12"/>
      <selection pane="bottomLeft" activeCell="M12" sqref="M12"/>
      <selection pane="bottomRight" activeCell="M12" sqref="M12"/>
    </sheetView>
  </sheetViews>
  <sheetFormatPr baseColWidth="8" defaultColWidth="9.1796875" defaultRowHeight="14.5"/>
  <cols>
    <col width="11.1796875" customWidth="1" style="78" min="1" max="1"/>
    <col width="9.1796875" customWidth="1" style="78" min="2" max="4"/>
    <col width="10.6328125" bestFit="1" customWidth="1" style="78" min="5" max="5"/>
    <col width="9.1796875" customWidth="1" style="78" min="6" max="23"/>
    <col width="9.1796875" customWidth="1" style="78" min="24"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16.48034</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7.299655</v>
      </c>
      <c r="AN254" t="n">
        <v>5.306849</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16.53805</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7.325459</v>
      </c>
      <c r="AN255" t="n">
        <v>5.331428</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16.64602</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7.372642</v>
      </c>
      <c r="AN256" t="n">
        <v>5.354007</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16.74188</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7.414459</v>
      </c>
      <c r="AN257" t="n">
        <v>5.378763</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16.80499</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7.442649</v>
      </c>
      <c r="AN258" t="n">
        <v>5.390378</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16.89009</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7.478735</v>
      </c>
      <c r="AN259" t="n">
        <v>5.400546</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16.92895</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7.496533</v>
      </c>
      <c r="AN260" t="n">
        <v>5.405903</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16.95092</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7.507717</v>
      </c>
      <c r="AN261" t="n">
        <v>5.413563</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17.06785</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7.559093</v>
      </c>
      <c r="AN262" t="n">
        <v>5.438591</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17.1925</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7.614357</v>
      </c>
      <c r="AN263" t="n">
        <v>5.464414</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17.29362</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7.6589</v>
      </c>
      <c r="AN264" t="n">
        <v>5.495811</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17.37681</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7.69473</v>
      </c>
      <c r="AN265" t="n">
        <v>5.522952</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17.45572</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7.739437</v>
      </c>
      <c r="AN266" t="n">
        <v>5.574712</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17.49338</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7.762776</v>
      </c>
      <c r="AN267" t="n">
        <v>5.609276</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17.55244</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7.793954</v>
      </c>
      <c r="AN268" t="n">
        <v>5.639635</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17.6656</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7.848771</v>
      </c>
      <c r="AN269" t="n">
        <v>5.693007</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17.77001</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7.894775</v>
      </c>
      <c r="AN270" t="n">
        <v>5.727198</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17.84413</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7.92573</v>
      </c>
      <c r="AN271" t="n">
        <v>5.746545</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17.90675</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7.969015</v>
      </c>
      <c r="AN272" t="n">
        <v>5.790739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17.92377</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7.987721</v>
      </c>
      <c r="AN273" t="n">
        <v>5.813388</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18.01077</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8.031945</v>
      </c>
      <c r="AN274" t="n">
        <v>5.846514</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18.07949</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8.070855</v>
      </c>
      <c r="AN275" t="n">
        <v>5.884824</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18.11987</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8.097225999999999</v>
      </c>
      <c r="AN276" t="n">
        <v>5.917069</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18.16805</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8.119816999999999</v>
      </c>
      <c r="AN277" t="n">
        <v>5.93708</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18.21603</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8.146338999999999</v>
      </c>
      <c r="AN278" t="n">
        <v>5.971947</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18.28754</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8.179171999999999</v>
      </c>
      <c r="AN279" t="n">
        <v>5.999665</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18.35647</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8.216388</v>
      </c>
      <c r="AN280" t="n">
        <v>6.033716</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18.44161</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8.259171</v>
      </c>
      <c r="AN281" t="n">
        <v>6.069431</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18.51917</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8.295299</v>
      </c>
      <c r="AN282" t="n">
        <v>6.097088</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18.57513</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8.328849</v>
      </c>
      <c r="AN283" t="n">
        <v>6.134299</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18.65316</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8.370138000000001</v>
      </c>
      <c r="AN284" t="n">
        <v>6.17508</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18.72872</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8.402663</v>
      </c>
      <c r="AN285" t="n">
        <v>6.194723</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18.79519</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8.437984</v>
      </c>
      <c r="AN286" t="n">
        <v>6.24111</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18.91196</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8.490252</v>
      </c>
      <c r="AN287" t="n">
        <v>6.295197</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18.97554</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8.519074</v>
      </c>
      <c r="AN288" t="n">
        <v>6.330534</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19.04503</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8.553046</v>
      </c>
      <c r="AN289" t="n">
        <v>6.359712</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19.09019</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8.585245</v>
      </c>
      <c r="AN290" t="n">
        <v>6.403293</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19.16945</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8.623537000000001</v>
      </c>
      <c r="AN291" t="n">
        <v>6.440968</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19.30546</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8.682133</v>
      </c>
      <c r="AN292" t="n">
        <v>6.484497</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19.47523</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8.760519</v>
      </c>
      <c r="AN293" t="n">
        <v>6.539529</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19.62202</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8.82973</v>
      </c>
      <c r="AN294" t="n">
        <v>6.602952</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19.71548</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8.880286</v>
      </c>
      <c r="AN295" t="n">
        <v>6.654758</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19.80532</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8.925129</v>
      </c>
      <c r="AN296" t="n">
        <v>6.684304</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19.89419</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8.973753</v>
      </c>
      <c r="AN297" t="n">
        <v>6.722745</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20.05008</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9.070961</v>
      </c>
      <c r="AN298" t="n">
        <v>6.80503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20.21973</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9.162717000000001</v>
      </c>
      <c r="AN299" t="n">
        <v>6.87943</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20.34859</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9.22343</v>
      </c>
      <c r="AN300" t="n">
        <v>6.932183</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20.4951</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9.313938</v>
      </c>
      <c r="AN301" t="n">
        <v>6.997097</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20.66522</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9.40282</v>
      </c>
      <c r="AN302" t="n">
        <v>7.069339</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20.89835</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9.508245000000001</v>
      </c>
      <c r="AN303" t="n">
        <v>7.143261</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21.08294</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9.614723</v>
      </c>
      <c r="AN304" t="n">
        <v>7.24731</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21.35765</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9.74245</v>
      </c>
      <c r="AN305" t="n">
        <v>7.358152</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21.60408</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9.849501999999999</v>
      </c>
      <c r="AN306" t="n">
        <v>7.439601</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21.81934</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9.944976</v>
      </c>
      <c r="AN307" t="n">
        <v>7.512492</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22.05022</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10.05856</v>
      </c>
      <c r="AN308" t="n">
        <v>7.578053</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22.25439</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10.14929</v>
      </c>
      <c r="AN309" t="n">
        <v>7.633533</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22.51565</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10.27542</v>
      </c>
      <c r="AN310" t="n">
        <v>7.739545</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22.83828</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10.42599</v>
      </c>
      <c r="AN311" t="n">
        <v>7.84138</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23.07464</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10.54529</v>
      </c>
      <c r="AN312" t="n">
        <v>7.941604</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23.17867</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10.60805</v>
      </c>
      <c r="AN313" t="n">
        <v>8.007088</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23.34677</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10.71019</v>
      </c>
      <c r="AN314" t="n">
        <v>8.102734999999999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23.53484</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10.79137</v>
      </c>
      <c r="AN315" t="n">
        <v>8.175673</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23.66879</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10.86973</v>
      </c>
      <c r="AN316" t="n">
        <v>8.256098</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23.97047</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11.00602</v>
      </c>
      <c r="AN317" t="n">
        <v>8.366732000000001</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24.19297</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11.10507</v>
      </c>
      <c r="AN318" t="n">
        <v>8.480159</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24.33048</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11.17574</v>
      </c>
      <c r="AN319" t="n">
        <v>8.554252</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24.46177</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11.24135</v>
      </c>
      <c r="AN320" t="n">
        <v>8.603275999999999</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24.53761</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11.28061</v>
      </c>
      <c r="AN321" t="n">
        <v>8.638116999999999</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24.74585</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11.38778</v>
      </c>
      <c r="AN322" t="n">
        <v>8.720468</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24.91869</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11.48389</v>
      </c>
      <c r="AN323" t="n">
        <v>8.793013</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25.09295</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11.56185</v>
      </c>
      <c r="AN324" t="n">
        <v>8.860462999999999</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25.18813</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11.62234</v>
      </c>
      <c r="AN325" t="n">
        <v>8.92327</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25.39561</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11.72495</v>
      </c>
      <c r="AN326" t="n">
        <v>9.005887</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25.58161</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11.81155</v>
      </c>
      <c r="AN327" t="n">
        <v>9.083304</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25.7529</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11.90591</v>
      </c>
      <c r="AN328" t="n">
        <v>9.170104</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26.00883</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12.02319</v>
      </c>
      <c r="AN329" t="n">
        <v>9.259646</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26.18812</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12.1186</v>
      </c>
      <c r="AN330" t="n">
        <v>9.360677000000001</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26.29201</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12.18771</v>
      </c>
      <c r="AN331" t="n">
        <v>9.436035</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26.45275</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12.27556</v>
      </c>
      <c r="AN332" t="n">
        <v>9.500657</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26.56058</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12.33349</v>
      </c>
      <c r="AN333" t="n">
        <v>9.563985000000001</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26.79688</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12.46452</v>
      </c>
      <c r="AN334" t="n">
        <v>9.662940000000001</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26.98082</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12.59856</v>
      </c>
      <c r="AN335" t="n">
        <v>9.766239000000001</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27.16272</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12.7127</v>
      </c>
      <c r="AN336" t="n">
        <v>9.860707</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27.24908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12.78034</v>
      </c>
      <c r="AN337" t="n">
        <v>9.921492000000001</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27.46277</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12.89981</v>
      </c>
      <c r="AN338" t="n">
        <v>10.0509</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27.64341</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13.00285</v>
      </c>
      <c r="AN339" t="n">
        <v>10.15397</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27.83017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13.11201</v>
      </c>
      <c r="AN340" t="n">
        <v>10.25935</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28.11788</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13.26211</v>
      </c>
      <c r="AN341" t="n">
        <v>10.39753</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28.31032</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13.35415</v>
      </c>
      <c r="AN342" t="n">
        <v>10.47363</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28.46709</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13.44329</v>
      </c>
      <c r="AN343" t="n">
        <v>10.55477</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28.56204</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13.51363</v>
      </c>
      <c r="AN344" t="n">
        <v>10.619</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28.67923</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13.57958</v>
      </c>
      <c r="AN345" t="n">
        <v>10.67838</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28.88874</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13.69693</v>
      </c>
      <c r="AN346" t="n">
        <v>10.78148</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29.0362</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13.81475</v>
      </c>
      <c r="AN347" t="n">
        <v>10.92179</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29.15594</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13.91168</v>
      </c>
      <c r="AN348" t="n">
        <v>11.04444</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29.27149</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13.99767</v>
      </c>
      <c r="AN349" t="n">
        <v>11.13328</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29.41961</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14.1125</v>
      </c>
      <c r="AN350" t="n">
        <v>11.24903</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29.56206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14.20587</v>
      </c>
      <c r="AN351" t="n">
        <v>11.34502</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29.78012</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14.31794</v>
      </c>
      <c r="AN352" t="n">
        <v>11.44345</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30.04238</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14.4591</v>
      </c>
      <c r="AN353" t="n">
        <v>11.57651</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30.26452</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14.5803</v>
      </c>
      <c r="AN354" t="n">
        <v>11.67956</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30.46746</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14.70511</v>
      </c>
      <c r="AN355" t="n">
        <v>11.7972</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30.62297</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14.79911</v>
      </c>
      <c r="AN356" t="n">
        <v>11.86562</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30.75886</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14.88271</v>
      </c>
      <c r="AN357" t="n">
        <v>11.94578</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31.02483</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15.03489</v>
      </c>
      <c r="AN358" t="n">
        <v>12.07147</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31.249</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15.18107</v>
      </c>
      <c r="AN359" t="n">
        <v>12.21289</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31.43033</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15.28615</v>
      </c>
      <c r="AN360" t="n">
        <v>12.31143</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31.53051</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15.35636</v>
      </c>
      <c r="AN361" t="n">
        <v>12.39763</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31.74152</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15.48775</v>
      </c>
      <c r="AN362" t="n">
        <v>12.53651</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31.9519</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15.60155</v>
      </c>
      <c r="AN363" t="n">
        <v>12.62164</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32.2132</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15.7391</v>
      </c>
      <c r="AN364" t="n">
        <v>12.73033</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32.50544</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15.90484</v>
      </c>
      <c r="AN365" t="n">
        <v>12.88785</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32.77135</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16.05273</v>
      </c>
      <c r="AN366" t="n">
        <v>13.00262</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32.99387</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16.20947</v>
      </c>
      <c r="AN367" t="n">
        <v>13.17754</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33.32766</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16.3988</v>
      </c>
      <c r="AN368" t="n">
        <v>13.39509</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33.527</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16.51456</v>
      </c>
      <c r="AN369" t="n">
        <v>13.51755</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33.89772</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16.70696</v>
      </c>
      <c r="AN370" t="n">
        <v>13.7027</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34.21995</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16.91468</v>
      </c>
      <c r="AN371" t="n">
        <v>13.92014</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34.53803</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17.10717</v>
      </c>
      <c r="AN372" t="n">
        <v>14.10925</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34.81307</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17.26923</v>
      </c>
      <c r="AN373" t="n">
        <v>14.25713</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35.24473</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17.55107</v>
      </c>
      <c r="AN374" t="n">
        <v>14.52185</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35.60431</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17.77942</v>
      </c>
      <c r="AN375" t="n">
        <v>14.78311</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35.97572</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17.97565</v>
      </c>
      <c r="AN376" t="n">
        <v>14.92441</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36.48168</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18.2366</v>
      </c>
      <c r="AN377" t="n">
        <v>15.16447</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36.85869</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18.40959</v>
      </c>
      <c r="AN378" t="n">
        <v>15.247</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37.16948</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18.60155</v>
      </c>
      <c r="AN379" t="n">
        <v>15.41043</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37.27174</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18.6973</v>
      </c>
      <c r="AN380" t="n">
        <v>15.55998</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37.44247</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18.81705</v>
      </c>
      <c r="AN381" t="n">
        <v>15.69924</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37.84171</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19.03553</v>
      </c>
      <c r="AN382" t="n">
        <v>15.88763</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38.21486</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19.26139</v>
      </c>
      <c r="AN383" t="n">
        <v>16.0774</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38.56911</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19.44905</v>
      </c>
      <c r="AN384" t="n">
        <v>16.23887</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38.78389</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19.6117</v>
      </c>
      <c r="AN385" t="n">
        <v>16.36016</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39.06429</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19.79969</v>
      </c>
      <c r="AN386" t="n">
        <v>16.54592</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39.29443</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19.94116</v>
      </c>
      <c r="AN387" t="n">
        <v>16.70488</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39.5327</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20.0885</v>
      </c>
      <c r="AN388" t="n">
        <v>16.85779</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39.95658</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20.32047</v>
      </c>
      <c r="AN389" t="n">
        <v>17.08006</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40.37728</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20.53612</v>
      </c>
      <c r="AN390" t="n">
        <v>17.22853</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40.68781</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20.72351</v>
      </c>
      <c r="AN391" t="n">
        <v>17.38051</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41.04878</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20.90462</v>
      </c>
      <c r="AN392" t="n">
        <v>17.47328</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41.30146</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21.04926</v>
      </c>
      <c r="AN393" t="n">
        <v>17.58871</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41.77312</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21.30976</v>
      </c>
      <c r="AN394" t="n">
        <v>17.79055</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42.07493</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21.52073</v>
      </c>
      <c r="AN395" t="n">
        <v>18.01887</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42.33728</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21.68301</v>
      </c>
      <c r="AN396" t="n">
        <v>18.20948</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42.49672</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21.80421</v>
      </c>
      <c r="AN397" t="n">
        <v>18.3304</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42.66517</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21.98323</v>
      </c>
      <c r="AN398" t="n">
        <v>18.542</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42.85289</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22.12792</v>
      </c>
      <c r="AN399" t="n">
        <v>18.67012</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43.0261</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22.28396</v>
      </c>
      <c r="AN400" t="n">
        <v>18.82362</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43.40324</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22.55054</v>
      </c>
      <c r="AN401" t="n">
        <v>19.01333</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43.78611</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22.80571</v>
      </c>
      <c r="AN402" t="n">
        <v>19.16035</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44.11346</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23.05633</v>
      </c>
      <c r="AN403" t="n">
        <v>19.33544</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44.2615</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23.21623</v>
      </c>
      <c r="AN404" t="n">
        <v>19.42175</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44.42324</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23.43928</v>
      </c>
      <c r="AN405" t="n">
        <v>19.51662</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44.63828</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23.66327</v>
      </c>
      <c r="AN406" t="n">
        <v>19.67678</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44.89155</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23.90212</v>
      </c>
      <c r="AN407" t="n">
        <v>19.85212</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44.98032</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24.07286</v>
      </c>
      <c r="AN408" t="n">
        <v>20.01296</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44.97302</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24.27864</v>
      </c>
      <c r="AN409" t="n">
        <v>20.1428</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45.13012</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24.56482</v>
      </c>
      <c r="AN410" t="n">
        <v>20.34309</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45.28949</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24.74557</v>
      </c>
      <c r="AN411" t="n">
        <v>20.50375</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45.464</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24.93128</v>
      </c>
      <c r="AN412" t="n">
        <v>20.66697</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45.7741</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25.18854</v>
      </c>
      <c r="AN413" t="n">
        <v>20.86267</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45.97231</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25.36169</v>
      </c>
      <c r="AN414" t="n">
        <v>20.9793</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46.10788</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25.51719</v>
      </c>
      <c r="AN415" t="n">
        <v>21.10611</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46.32318</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25.7112</v>
      </c>
      <c r="AN416" t="n">
        <v>21.23987</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46.45144</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25.86606</v>
      </c>
      <c r="AN417" t="n">
        <v>21.35776</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46.80147</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26.11765</v>
      </c>
      <c r="AN418" t="n">
        <v>21.52987</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47.1007</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26.38639</v>
      </c>
      <c r="AN419" t="n">
        <v>21.75536</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47.30502</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26.62847</v>
      </c>
      <c r="AN420" t="n">
        <v>21.94001</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47.35879</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26.77734</v>
      </c>
      <c r="AN421" t="n">
        <v>22.07094</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47.51718</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26.9577</v>
      </c>
      <c r="AN422" t="n">
        <v>22.23589</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47.68362</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27.11848</v>
      </c>
      <c r="AN423" t="n">
        <v>22.3649</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47.85254</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27.28888</v>
      </c>
      <c r="AN424" t="n">
        <v>22.50622</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48.12325</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27.50294</v>
      </c>
      <c r="AN425" t="n">
        <v>22.69053</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48.37818</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27.68612</v>
      </c>
      <c r="AN426" t="n">
        <v>22.81245</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48.49791</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27.86265</v>
      </c>
      <c r="AN427" t="n">
        <v>23.019</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48.61761</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27.98483</v>
      </c>
      <c r="AN428" t="n">
        <v>23.07016</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48.75536</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28.11848</v>
      </c>
      <c r="AN429" t="n">
        <v>23.19315</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49.08982</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28.38011</v>
      </c>
      <c r="AN430" t="n">
        <v>23.3742</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49.36343</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28.63346</v>
      </c>
      <c r="AN431" t="n">
        <v>23.60151</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49.4881</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28.79214</v>
      </c>
      <c r="AN432" t="n">
        <v>23.76119</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49.58006</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28.94115</v>
      </c>
      <c r="AN433" t="n">
        <v>23.89152</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49.70608</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29.15893</v>
      </c>
      <c r="AN434" t="n">
        <v>24.11823</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49.92591</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29.34814</v>
      </c>
      <c r="AN435" t="n">
        <v>24.28969</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50.15623</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29.5672</v>
      </c>
      <c r="AN436" t="n">
        <v>24.48671</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50.43659</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29.77892</v>
      </c>
      <c r="AN437" t="n">
        <v>24.67183</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50.6324</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29.94826</v>
      </c>
      <c r="AN438" t="n">
        <v>24.81237</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50.74516</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30.08482</v>
      </c>
      <c r="AN439" t="n">
        <v>24.94687</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50.8461</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30.22494</v>
      </c>
      <c r="AN440" t="n">
        <v>25.01851</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50.94333</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30.36267</v>
      </c>
      <c r="AN441" t="n">
        <v>25.07411</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51.14667</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30.58932</v>
      </c>
      <c r="AN442" t="n">
        <v>25.21606</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51.44104</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30.9024</v>
      </c>
      <c r="AN443" t="n">
        <v>25.48202</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51.61563</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31.15451</v>
      </c>
      <c r="AN444" t="n">
        <v>25.70951</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51.68677</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31.34721</v>
      </c>
      <c r="AN445" t="n">
        <v>25.84414</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51.81219</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31.59642</v>
      </c>
      <c r="AN446" t="n">
        <v>26.04847</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51.94663</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31.76077</v>
      </c>
      <c r="AN447" t="n">
        <v>26.15117</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52.09406</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31.94795</v>
      </c>
      <c r="AN448" t="n">
        <v>26.27114</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52.33412</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32.17891</v>
      </c>
      <c r="AN449" t="n">
        <v>26.4119</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52.47776</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32.34223</v>
      </c>
      <c r="AN450" t="n">
        <v>26.49001</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52.55114</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32.53204</v>
      </c>
      <c r="AN451" t="n">
        <v>26.60731</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52.66866</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32.72902</v>
      </c>
      <c r="AN452" t="n">
        <v>26.65678</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52.74063</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32.94386</v>
      </c>
      <c r="AN453" t="n">
        <v>26.70707</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52.98698</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33.2359</v>
      </c>
      <c r="AN454" t="n">
        <v>26.84819</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53.20974</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33.58328</v>
      </c>
      <c r="AN455" t="n">
        <v>27.07196</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53.35351</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33.85259</v>
      </c>
      <c r="AN456" t="n">
        <v>27.22103</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53.41679</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34.10663</v>
      </c>
      <c r="AN457" t="n">
        <v>27.32766</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53.55417</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34.35059</v>
      </c>
      <c r="AN458" t="n">
        <v>27.48771</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53.68805</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34.56199</v>
      </c>
      <c r="AN459" t="n">
        <v>27.62664</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53.90803</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34.8229</v>
      </c>
      <c r="AN460" t="n">
        <v>27.74222</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54.22779</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35.17808</v>
      </c>
      <c r="AN461" t="n">
        <v>27.93331</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54.32217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35.39315</v>
      </c>
      <c r="AN462" t="n">
        <v>27.99965</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54.38742</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35.61724</v>
      </c>
      <c r="AN463" t="n">
        <v>28.11718</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54.49032</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35.88825</v>
      </c>
      <c r="AN464" t="n">
        <v>28.191</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54.65315</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36.17083</v>
      </c>
      <c r="AN465" t="n">
        <v>28.25117</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54.92053</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36.54058</v>
      </c>
      <c r="AN466" t="n">
        <v>28.41595</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55.18128</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36.97746</v>
      </c>
      <c r="AN467" t="n">
        <v>28.62522</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55.33583</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37.41028</v>
      </c>
      <c r="AN468" t="n">
        <v>28.86503</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55.31916</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38.00171</v>
      </c>
      <c r="AN469" t="n">
        <v>29.13955</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55.44535</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38.33364</v>
      </c>
      <c r="AN470" t="n">
        <v>29.29682</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55.58253</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38.61644</v>
      </c>
      <c r="AN471" t="n">
        <v>29.43658</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55.86433</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38.95185</v>
      </c>
      <c r="AN472" t="n">
        <v>29.62348</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56.13775</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39.24426</v>
      </c>
      <c r="AN473" t="n">
        <v>29.87652</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56.29591</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39.42677</v>
      </c>
      <c r="AN474" t="n">
        <v>30.03472</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56.39864</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39.56153</v>
      </c>
      <c r="AN475" t="n">
        <v>30.15611</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56.51558</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39.70623</v>
      </c>
      <c r="AN476" t="n">
        <v>30.28153</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56.69758</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39.86699</v>
      </c>
      <c r="AN477" t="n">
        <v>30.42907</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57.01303</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40.14715</v>
      </c>
      <c r="AN478" t="n">
        <v>30.67583</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57.34844</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40.44128</v>
      </c>
      <c r="AN479" t="n">
        <v>30.94855</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57.5196</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40.62781</v>
      </c>
      <c r="AN480" t="n">
        <v>31.16172</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57.59882</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40.76217</v>
      </c>
      <c r="AN481" t="n">
        <v>31.30423</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57.79638</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40.996</v>
      </c>
      <c r="AN482" t="n">
        <v>31.57446</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58.00441</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41.1904</v>
      </c>
      <c r="AN483" t="n">
        <v>31.77066</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58.27141</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41.42433</v>
      </c>
      <c r="AN484" t="n">
        <v>31.94897</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58.65943</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41.75785</v>
      </c>
      <c r="AN485" t="n">
        <v>32.26148</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58.85823</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41.94184</v>
      </c>
      <c r="AN486" t="n">
        <v>32.41553</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58.95816</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42.0654</v>
      </c>
      <c r="AN487" t="n">
        <v>32.55018</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59.09775</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42.23411</v>
      </c>
      <c r="AN488" t="n">
        <v>32.68651</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59.19928</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42.3572</v>
      </c>
      <c r="AN489" t="n">
        <v>32.81131</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59.47857</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42.63105</v>
      </c>
      <c r="AN490" t="n">
        <v>33.04189</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59.80989</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42.95686</v>
      </c>
      <c r="AN491" t="n">
        <v>33.32881</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59.98176</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43.1498</v>
      </c>
      <c r="AN492" t="n">
        <v>33.55241</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60.07384</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43.31219</v>
      </c>
      <c r="AN493" t="n">
        <v>33.69688</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60.29423</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43.63091</v>
      </c>
      <c r="AN494" t="n">
        <v>33.9408</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60.58297</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43.89377</v>
      </c>
      <c r="AN495" t="n">
        <v>34.17959</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60.96077</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44.22317</v>
      </c>
      <c r="AN496" t="n">
        <v>34.43215</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61.31637</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44.55593</v>
      </c>
      <c r="AN497" t="n">
        <v>34.80184</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61.47992</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44.74884</v>
      </c>
      <c r="AN498" t="n">
        <v>34.99596</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61.6424</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44.93328</v>
      </c>
      <c r="AN499" t="n">
        <v>35.15239</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61.83326</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45.12091</v>
      </c>
      <c r="AN500" t="n">
        <v>35.26174</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62.11396</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45.35972</v>
      </c>
      <c r="AN501" t="n">
        <v>35.43733</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62.44323</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45.71767</v>
      </c>
      <c r="AN502" t="n">
        <v>35.80605</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62.7456</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46.05231</v>
      </c>
      <c r="AN503" t="n">
        <v>36.15219</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62.89696</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46.28107</v>
      </c>
      <c r="AN504" t="n">
        <v>36.35914</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62.95678</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46.42225</v>
      </c>
      <c r="AN505" t="n">
        <v>36.47233</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63.31607</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46.80253</v>
      </c>
      <c r="AN506" t="n">
        <v>36.75004</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63.62836</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47.10661</v>
      </c>
      <c r="AN507" t="n">
        <v>37.03131</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63.91059</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47.38342</v>
      </c>
      <c r="AN508" t="n">
        <v>37.25802</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64.12035</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47.63033</v>
      </c>
      <c r="AN509" t="n">
        <v>37.55827</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64.30809000000001</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47.83442</v>
      </c>
      <c r="AN510" t="n">
        <v>37.78809</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64.43974</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48.00386</v>
      </c>
      <c r="AN511" t="n">
        <v>38.02472</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64.62182</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48.19232</v>
      </c>
      <c r="AN512" t="n">
        <v>38.2226</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64.82178</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48.38486</v>
      </c>
      <c r="AN513" t="n">
        <v>38.38206</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65.09842999999999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48.69925</v>
      </c>
      <c r="AN514" t="n">
        <v>38.70553</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65.44691</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49.06136</v>
      </c>
      <c r="AN515" t="n">
        <v>39.15176</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65.65594</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49.32352</v>
      </c>
      <c r="AN516" t="n">
        <v>39.43269</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65.70211999999999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49.46946</v>
      </c>
      <c r="AN517" t="n">
        <v>39.63321</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65.85988999999999</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49.72931</v>
      </c>
      <c r="AN518" t="n">
        <v>39.97634</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66.13731</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50.00148</v>
      </c>
      <c r="AN519" t="n">
        <v>40.26013</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66.48735000000001</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50.32718</v>
      </c>
      <c r="AN520" t="n">
        <v>40.54774</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66.77715999999999</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50.60122</v>
      </c>
      <c r="AN521" t="n">
        <v>40.88114</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66.90137</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50.757</v>
      </c>
      <c r="AN522" t="n">
        <v>41.08432</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67.01494</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50.89396</v>
      </c>
      <c r="AN523" t="n">
        <v>41.2411</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67.10381</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51.02279</v>
      </c>
      <c r="AN524" t="n">
        <v>41.42123</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67.25536</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51.19645</v>
      </c>
      <c r="AN525" t="n">
        <v>41.6185</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67.45337000000001</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51.49128</v>
      </c>
      <c r="AN526" t="n">
        <v>41.98808</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67.70908</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51.80404</v>
      </c>
      <c r="AN527" t="n">
        <v>42.31952</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67.89024999999999</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52.02726</v>
      </c>
      <c r="AN528" t="n">
        <v>42.60225</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67.88515</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52.11422</v>
      </c>
      <c r="AN529" t="n">
        <v>42.73704</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68.11948</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52.39511</v>
      </c>
      <c r="AN530" t="n">
        <v>43.1231</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68.47078999999999</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52.71067</v>
      </c>
      <c r="AN531" t="n">
        <v>43.45152</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68.70471000000001</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52.97477</v>
      </c>
      <c r="AN532" t="n">
        <v>43.72417</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68.96862</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53.24434</v>
      </c>
      <c r="AN533" t="n">
        <v>44.01404</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69.02930000000001</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53.36893</v>
      </c>
      <c r="AN534" t="n">
        <v>44.23281</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69.12312</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53.49797</v>
      </c>
      <c r="AN535" t="n">
        <v>44.42303</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69.22875999999999</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53.64799</v>
      </c>
      <c r="AN536" t="n">
        <v>44.66483</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69.42014</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53.86334</v>
      </c>
      <c r="AN537" t="n">
        <v>44.91048</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69.5771</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54.09488</v>
      </c>
      <c r="AN538" t="n">
        <v>45.21762</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69.77791999999999</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54.36185</v>
      </c>
      <c r="AN539" t="n">
        <v>45.5273</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69.90401</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54.54932</v>
      </c>
      <c r="AN540" t="n">
        <v>45.77487</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69.91709</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54.63597</v>
      </c>
      <c r="AN541" t="n">
        <v>45.95692</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69.97454</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54.80286</v>
      </c>
      <c r="AN542" t="n">
        <v>46.1976</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70.22411</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55.07294</v>
      </c>
      <c r="AN543" t="n">
        <v>46.56597</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70.50968</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55.37589</v>
      </c>
      <c r="AN544" t="n">
        <v>46.85884</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70.68107999999999</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55.7863</v>
      </c>
      <c r="AN545" t="n">
        <v>47.5678</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70.79918000000001</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56.02137</v>
      </c>
      <c r="AN546" t="n">
        <v>47.97997</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70.84932000000001</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56.15453</v>
      </c>
      <c r="AN547" t="n">
        <v>48.17569</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70.87304</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56.28304</v>
      </c>
      <c r="AN548" t="n">
        <v>48.41109</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71.07347</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56.52171</v>
      </c>
      <c r="AN549" t="n">
        <v>48.71131</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71.27728</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56.8147</v>
      </c>
      <c r="AN550" t="n">
        <v>49.09079</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71.43647</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57.0755</v>
      </c>
      <c r="AN551" t="n">
        <v>49.43519</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71.54541</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57.27976</v>
      </c>
      <c r="AN552" t="n">
        <v>49.7691</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71.53703</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57.44299</v>
      </c>
      <c r="AN553" t="n">
        <v>50.16621</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71.70251</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57.75925</v>
      </c>
      <c r="AN554" t="n">
        <v>50.44164</v>
      </c>
      <c r="AO554" t="n">
        <v>35.66955</v>
      </c>
      <c r="AP554" t="n">
        <v>60.6588</v>
      </c>
      <c r="AQ554" t="n">
        <v/>
      </c>
      <c r="AR554" t="n">
        <v/>
      </c>
      <c r="AS554" t="n">
        <v>39.7237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72.02795999999999</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58.13501</v>
      </c>
      <c r="AN555" t="n">
        <v>50.79118</v>
      </c>
      <c r="AO555" t="n">
        <v>36.53556</v>
      </c>
      <c r="AP555" t="n">
        <v>61.06004</v>
      </c>
      <c r="AQ555" t="n">
        <v/>
      </c>
      <c r="AR555" t="n">
        <v/>
      </c>
      <c r="AS555" t="n">
        <v>40.07172</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72.31744</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58.57732</v>
      </c>
      <c r="AN556" t="n">
        <v>51.13847</v>
      </c>
      <c r="AO556" t="n">
        <v>37.30144</v>
      </c>
      <c r="AP556" t="n">
        <v>61.32335</v>
      </c>
      <c r="AQ556" t="n">
        <v/>
      </c>
      <c r="AR556" t="n">
        <v/>
      </c>
      <c r="AS556" t="n">
        <v>40.421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72.53165</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59.06356</v>
      </c>
      <c r="AN557" t="n">
        <v>51.53998</v>
      </c>
      <c r="AO557" t="n">
        <v>38.05984</v>
      </c>
      <c r="AP557" t="n">
        <v>61.65908</v>
      </c>
      <c r="AQ557" t="n">
        <v/>
      </c>
      <c r="AR557" t="n">
        <v/>
      </c>
      <c r="AS557" t="n">
        <v>40.7784</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72.61072</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59.30426</v>
      </c>
      <c r="AN558" t="n">
        <v>51.75079</v>
      </c>
      <c r="AO558" t="n">
        <v>38.83019</v>
      </c>
      <c r="AP558" t="n">
        <v>61.94107</v>
      </c>
      <c r="AQ558" t="n">
        <v/>
      </c>
      <c r="AR558" t="n">
        <v/>
      </c>
      <c r="AS558" t="n">
        <v>41.04458</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72.69302</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59.51252</v>
      </c>
      <c r="AN559" t="n">
        <v>52.0048</v>
      </c>
      <c r="AO559" t="n">
        <v>39.36586</v>
      </c>
      <c r="AP559" t="n">
        <v>62.22195</v>
      </c>
      <c r="AQ559" t="n">
        <v/>
      </c>
      <c r="AR559" t="n">
        <v/>
      </c>
      <c r="AS559" t="n">
        <v>41.40691</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72.74251</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59.67853</v>
      </c>
      <c r="AN560" t="n">
        <v>52.18365</v>
      </c>
      <c r="AO560" t="n">
        <v>39.94819</v>
      </c>
      <c r="AP560" t="n">
        <v>62.39085</v>
      </c>
      <c r="AQ560" t="n">
        <v/>
      </c>
      <c r="AR560" t="n">
        <v/>
      </c>
      <c r="AS560" t="n">
        <v>41.82827</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72.93213</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59.95278</v>
      </c>
      <c r="AN561" t="n">
        <v>52.51359</v>
      </c>
      <c r="AO561" t="n">
        <v>40.50564</v>
      </c>
      <c r="AP561" t="n">
        <v>62.41392</v>
      </c>
      <c r="AQ561" t="n">
        <v/>
      </c>
      <c r="AR561" t="n">
        <v/>
      </c>
      <c r="AS561" t="n">
        <v>41.86262</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73.18888</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60.35471</v>
      </c>
      <c r="AN562" t="n">
        <v>52.99152</v>
      </c>
      <c r="AO562" t="n">
        <v>41.58431</v>
      </c>
      <c r="AP562" t="n">
        <v>62.61631</v>
      </c>
      <c r="AQ562" t="n">
        <v/>
      </c>
      <c r="AR562" t="n">
        <v/>
      </c>
      <c r="AS562" t="n">
        <v>41.80945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73.32877000000001</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60.64655</v>
      </c>
      <c r="AN563" t="n">
        <v>53.28721</v>
      </c>
      <c r="AO563" t="n">
        <v>42.20481</v>
      </c>
      <c r="AP563" t="n">
        <v>62.86375</v>
      </c>
      <c r="AQ563" t="n">
        <v/>
      </c>
      <c r="AR563" t="n">
        <v/>
      </c>
      <c r="AS563" t="n">
        <v>42.01561</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73.43143999999999</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60.86985</v>
      </c>
      <c r="AN564" t="n">
        <v>53.55716</v>
      </c>
      <c r="AO564" t="n">
        <v>42.75037</v>
      </c>
      <c r="AP564" t="n">
        <v>62.94784</v>
      </c>
      <c r="AQ564" t="n">
        <v/>
      </c>
      <c r="AR564" t="n">
        <v/>
      </c>
      <c r="AS564" t="n">
        <v>42.27242</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73.39596</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61.03405</v>
      </c>
      <c r="AN565" t="n">
        <v>53.82087</v>
      </c>
      <c r="AO565" t="n">
        <v>43.38856</v>
      </c>
      <c r="AP565" t="n">
        <v>62.85086</v>
      </c>
      <c r="AQ565" t="n">
        <v/>
      </c>
      <c r="AR565" t="n">
        <v/>
      </c>
      <c r="AS565" t="n">
        <v>42.72855</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79.25691999999999</v>
      </c>
      <c r="M566" t="n">
        <v>70.50178</v>
      </c>
      <c r="N566" t="n">
        <v>75.09999999999999</v>
      </c>
      <c r="O566" t="n">
        <v>67.77866</v>
      </c>
      <c r="P566" t="n">
        <v/>
      </c>
      <c r="Q566" t="n">
        <v/>
      </c>
      <c r="R566" t="n">
        <v>76.47322</v>
      </c>
      <c r="S566" t="n">
        <v>78.98232</v>
      </c>
      <c r="T566" t="n">
        <v/>
      </c>
      <c r="U566" t="n">
        <v>73.61211</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61.44418</v>
      </c>
      <c r="AN566" t="n">
        <v>54.34598</v>
      </c>
      <c r="AO566" t="n">
        <v>44.80677</v>
      </c>
      <c r="AP566" t="n">
        <v>63.18909</v>
      </c>
      <c r="AQ566" t="n">
        <v/>
      </c>
      <c r="AR566" t="n">
        <v/>
      </c>
      <c r="AS566" t="n">
        <v>42.9929</v>
      </c>
      <c r="AT566" t="n">
        <v/>
      </c>
      <c r="AU566" t="n">
        <v>87.13131</v>
      </c>
      <c r="AV566" t="n">
        <v>1.276997</v>
      </c>
      <c r="AW566" t="n">
        <v>67.45196</v>
      </c>
      <c r="AX566" t="n">
        <v/>
      </c>
    </row>
    <row r="567">
      <c r="A567" s="92" t="n">
        <v>35096</v>
      </c>
      <c r="B567" t="n">
        <v>72.10608000000001</v>
      </c>
      <c r="C567" t="n">
        <v>72.61372</v>
      </c>
      <c r="D567" t="n">
        <v/>
      </c>
      <c r="E567" t="n">
        <v>72.78736000000001</v>
      </c>
      <c r="F567" t="n">
        <v>92.92871</v>
      </c>
      <c r="G567" t="n">
        <v/>
      </c>
      <c r="H567" t="n">
        <v/>
      </c>
      <c r="I567" t="n">
        <v>28.3256</v>
      </c>
      <c r="J567" t="n">
        <v>20.7722</v>
      </c>
      <c r="K567" t="n">
        <v>70.59999999999999</v>
      </c>
      <c r="L567" t="n">
        <v>79.73492</v>
      </c>
      <c r="M567" t="n">
        <v>70.87696</v>
      </c>
      <c r="N567" t="n">
        <v>75.42</v>
      </c>
      <c r="O567" t="n">
        <v>68.11682999999999</v>
      </c>
      <c r="P567" t="n">
        <v/>
      </c>
      <c r="Q567" t="n">
        <v/>
      </c>
      <c r="R567" t="n">
        <v>76.77973</v>
      </c>
      <c r="S567" t="n">
        <v>79.28183</v>
      </c>
      <c r="T567" t="n">
        <v/>
      </c>
      <c r="U567" t="n">
        <v>73.88540999999999</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61.77941</v>
      </c>
      <c r="AN567" t="n">
        <v>54.72449</v>
      </c>
      <c r="AO567" t="n">
        <v>45.42454</v>
      </c>
      <c r="AP567" t="n">
        <v>63.5455</v>
      </c>
      <c r="AQ567" t="n">
        <v/>
      </c>
      <c r="AR567" t="n">
        <v/>
      </c>
      <c r="AS567" t="n">
        <v>43.27084</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79.61899</v>
      </c>
      <c r="M568" t="n">
        <v>71.29232</v>
      </c>
      <c r="N568" t="n">
        <v>75.69</v>
      </c>
      <c r="O568" t="n">
        <v>68.44645</v>
      </c>
      <c r="P568" t="n">
        <v/>
      </c>
      <c r="Q568" t="n">
        <v/>
      </c>
      <c r="R568" t="n">
        <v>76.70310000000001</v>
      </c>
      <c r="S568" t="n">
        <v>79.72586</v>
      </c>
      <c r="T568" t="n">
        <v/>
      </c>
      <c r="U568" t="n">
        <v>74.15188000000001</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62.1521</v>
      </c>
      <c r="AN568" t="n">
        <v>55.05227</v>
      </c>
      <c r="AO568" t="n">
        <v>45.84209</v>
      </c>
      <c r="AP568" t="n">
        <v>63.86546</v>
      </c>
      <c r="AQ568" t="n">
        <v/>
      </c>
      <c r="AR568" t="n">
        <v/>
      </c>
      <c r="AS568" t="n">
        <v>43.49769</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79.48595</v>
      </c>
      <c r="M569" t="n">
        <v>71.39163000000001</v>
      </c>
      <c r="N569" t="n">
        <v>75.72</v>
      </c>
      <c r="O569" t="n">
        <v>68.69970000000001</v>
      </c>
      <c r="P569" t="n">
        <v/>
      </c>
      <c r="Q569" t="n">
        <v/>
      </c>
      <c r="R569" t="n">
        <v>76.77973</v>
      </c>
      <c r="S569" t="n">
        <v>79.78857000000001</v>
      </c>
      <c r="T569" t="n">
        <v/>
      </c>
      <c r="U569" t="n">
        <v>74.25964</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62.42032</v>
      </c>
      <c r="AN569" t="n">
        <v>55.35118</v>
      </c>
      <c r="AO569" t="n">
        <v>46.55197</v>
      </c>
      <c r="AP569" t="n">
        <v>64.03263</v>
      </c>
      <c r="AQ569" t="n">
        <v/>
      </c>
      <c r="AR569" t="n">
        <v/>
      </c>
      <c r="AS569" t="n">
        <v>43.66358</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79.67018</v>
      </c>
      <c r="M570" t="n">
        <v>71.68228999999999</v>
      </c>
      <c r="N570" t="n">
        <v>75.88</v>
      </c>
      <c r="O570" t="n">
        <v>68.82724</v>
      </c>
      <c r="P570" t="n">
        <v/>
      </c>
      <c r="Q570" t="n">
        <v/>
      </c>
      <c r="R570" t="n">
        <v>76.85635000000001</v>
      </c>
      <c r="S570" t="n">
        <v>79.86305</v>
      </c>
      <c r="T570" t="n">
        <v/>
      </c>
      <c r="U570" t="n">
        <v>74.36677</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62.64095</v>
      </c>
      <c r="AN570" t="n">
        <v>55.62996</v>
      </c>
      <c r="AO570" t="n">
        <v>47.26125</v>
      </c>
      <c r="AP570" t="n">
        <v>64.11351999999999</v>
      </c>
      <c r="AQ570" t="n">
        <v/>
      </c>
      <c r="AR570" t="n">
        <v/>
      </c>
      <c r="AS570" t="n">
        <v>43.79954</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79.87202000000001</v>
      </c>
      <c r="M571" t="n">
        <v>71.68449</v>
      </c>
      <c r="N571" t="n">
        <v>76</v>
      </c>
      <c r="O571" t="n">
        <v>68.97459000000001</v>
      </c>
      <c r="P571" t="n">
        <v/>
      </c>
      <c r="Q571" t="n">
        <v/>
      </c>
      <c r="R571" t="n">
        <v>76.85635000000001</v>
      </c>
      <c r="S571" t="n">
        <v>79.91694</v>
      </c>
      <c r="T571" t="n">
        <v/>
      </c>
      <c r="U571" t="n">
        <v>74.42913</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62.82853</v>
      </c>
      <c r="AN571" t="n">
        <v>55.8929</v>
      </c>
      <c r="AO571" t="n">
        <v>47.93607</v>
      </c>
      <c r="AP571" t="n">
        <v>64.40806000000001</v>
      </c>
      <c r="AQ571" t="n">
        <v/>
      </c>
      <c r="AR571" t="n">
        <v/>
      </c>
      <c r="AS571" t="n">
        <v>44.15631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79.98303</v>
      </c>
      <c r="M572" t="n">
        <v>71.32831</v>
      </c>
      <c r="N572" t="n">
        <v>76.04000000000001</v>
      </c>
      <c r="O572" t="n">
        <v>69.08492</v>
      </c>
      <c r="P572" t="n">
        <v/>
      </c>
      <c r="Q572" t="n">
        <v/>
      </c>
      <c r="R572" t="n">
        <v>76.85635000000001</v>
      </c>
      <c r="S572" t="n">
        <v>79.77069</v>
      </c>
      <c r="T572" t="n">
        <v/>
      </c>
      <c r="U572" t="n">
        <v>74.44983999999999</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62.96983</v>
      </c>
      <c r="AN572" t="n">
        <v>56.04053</v>
      </c>
      <c r="AO572" t="n">
        <v>48.48316</v>
      </c>
      <c r="AP572" t="n">
        <v>64.45661</v>
      </c>
      <c r="AQ572" t="n">
        <v/>
      </c>
      <c r="AR572" t="n">
        <v/>
      </c>
      <c r="AS572" t="n">
        <v>44.1918</v>
      </c>
      <c r="AT572" t="n">
        <v/>
      </c>
      <c r="AU572" t="n">
        <v>86.63200000000001</v>
      </c>
      <c r="AV572" t="n">
        <v>1.644669</v>
      </c>
      <c r="AW572" t="n">
        <v>68.31883999999999</v>
      </c>
      <c r="AX572" t="n">
        <v/>
      </c>
    </row>
    <row r="573">
      <c r="A573" s="92" t="n">
        <v>35278</v>
      </c>
      <c r="B573" t="n">
        <v>73.66679000000001</v>
      </c>
      <c r="C573" t="n">
        <v>73.52036</v>
      </c>
      <c r="D573" t="n">
        <v/>
      </c>
      <c r="E573" t="n">
        <v>73.46154</v>
      </c>
      <c r="F573" t="n">
        <v>93.17529</v>
      </c>
      <c r="G573" t="n">
        <v/>
      </c>
      <c r="H573" t="n">
        <v/>
      </c>
      <c r="I573" t="n">
        <v>32.29037</v>
      </c>
      <c r="J573" t="n">
        <v>22.02958</v>
      </c>
      <c r="K573" t="n">
        <v>73</v>
      </c>
      <c r="L573" t="n">
        <v>80.08672</v>
      </c>
      <c r="M573" t="n">
        <v>71.54988</v>
      </c>
      <c r="N573" t="n">
        <v>76.12</v>
      </c>
      <c r="O573" t="n">
        <v>69.15456</v>
      </c>
      <c r="P573" t="n">
        <v/>
      </c>
      <c r="Q573" t="n">
        <v/>
      </c>
      <c r="R573" t="n">
        <v>76.85635000000001</v>
      </c>
      <c r="S573" t="n">
        <v>79.82838</v>
      </c>
      <c r="T573" t="n">
        <v/>
      </c>
      <c r="U573" t="n">
        <v>74.54233000000001</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63.17831</v>
      </c>
      <c r="AN573" t="n">
        <v>56.32676</v>
      </c>
      <c r="AO573" t="n">
        <v>48.93254</v>
      </c>
      <c r="AP573" t="n">
        <v>64.61154000000001</v>
      </c>
      <c r="AQ573" t="n">
        <v/>
      </c>
      <c r="AR573" t="n">
        <v/>
      </c>
      <c r="AS573" t="n">
        <v>44.29049</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80.06480000000001</v>
      </c>
      <c r="M574" t="n">
        <v>71.88976</v>
      </c>
      <c r="N574" t="n">
        <v>76.25</v>
      </c>
      <c r="O574" t="n">
        <v>69.28879999999999</v>
      </c>
      <c r="P574" t="n">
        <v/>
      </c>
      <c r="Q574" t="n">
        <v/>
      </c>
      <c r="R574" t="n">
        <v>77.00961</v>
      </c>
      <c r="S574" t="n">
        <v>79.97362</v>
      </c>
      <c r="T574" t="n">
        <v/>
      </c>
      <c r="U574" t="n">
        <v>74.79170999999999</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63.55819</v>
      </c>
      <c r="AN574" t="n">
        <v>56.7706</v>
      </c>
      <c r="AO574" t="n">
        <v>49.75962</v>
      </c>
      <c r="AP574" t="n">
        <v>64.73705</v>
      </c>
      <c r="AQ574" t="n">
        <v/>
      </c>
      <c r="AR574" t="n">
        <v/>
      </c>
      <c r="AS574" t="n">
        <v>44.37339</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79.99511</v>
      </c>
      <c r="M575" t="n">
        <v>71.89636</v>
      </c>
      <c r="N575" t="n">
        <v>76.31</v>
      </c>
      <c r="O575" t="n">
        <v>69.42533</v>
      </c>
      <c r="P575" t="n">
        <v/>
      </c>
      <c r="Q575" t="n">
        <v/>
      </c>
      <c r="R575" t="n">
        <v>77.08624</v>
      </c>
      <c r="S575" t="n">
        <v>80.07841999999999</v>
      </c>
      <c r="T575" t="n">
        <v/>
      </c>
      <c r="U575" t="n">
        <v>74.9599</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63.86634</v>
      </c>
      <c r="AN575" t="n">
        <v>57.14133</v>
      </c>
      <c r="AO575" t="n">
        <v>50.55375</v>
      </c>
      <c r="AP575" t="n">
        <v>65.02025</v>
      </c>
      <c r="AQ575" t="n">
        <v/>
      </c>
      <c r="AR575" t="n">
        <v/>
      </c>
      <c r="AS575" t="n">
        <v>44.63462</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79.91446000000001</v>
      </c>
      <c r="M576" t="n">
        <v>72.14484</v>
      </c>
      <c r="N576" t="n">
        <v>76.26000000000001</v>
      </c>
      <c r="O576" t="n">
        <v>69.46144</v>
      </c>
      <c r="P576" t="n">
        <v/>
      </c>
      <c r="Q576" t="n">
        <v/>
      </c>
      <c r="R576" t="n">
        <v>76.85635000000001</v>
      </c>
      <c r="S576" t="n">
        <v>79.84988</v>
      </c>
      <c r="T576" t="n">
        <v/>
      </c>
      <c r="U576" t="n">
        <v>75.0206</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64.04864999999999</v>
      </c>
      <c r="AN576" t="n">
        <v>57.37968</v>
      </c>
      <c r="AO576" t="n">
        <v>50.92361</v>
      </c>
      <c r="AP576" t="n">
        <v>65.33843</v>
      </c>
      <c r="AQ576" t="n">
        <v/>
      </c>
      <c r="AR576" t="n">
        <v/>
      </c>
      <c r="AS576" t="n">
        <v>44.80684</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75.01073</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64.24969</v>
      </c>
      <c r="AN577" t="n">
        <v>57.70541</v>
      </c>
      <c r="AO577" t="n">
        <v>51.2729</v>
      </c>
      <c r="AP577" t="n">
        <v>65.14426</v>
      </c>
      <c r="AQ577" t="n">
        <v/>
      </c>
      <c r="AR577" t="n">
        <v/>
      </c>
      <c r="AS577" t="n">
        <v>45.05581</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75.09995000000001</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64.50257999999999</v>
      </c>
      <c r="AN578" t="n">
        <v>58.02324</v>
      </c>
      <c r="AO578" t="n">
        <v>52.71978</v>
      </c>
      <c r="AP578" t="n">
        <v>66.89525999999999</v>
      </c>
      <c r="AQ578" t="n">
        <v/>
      </c>
      <c r="AR578" t="n">
        <v/>
      </c>
      <c r="AS578" t="n">
        <v>45.58829</v>
      </c>
      <c r="AT578" t="n">
        <v/>
      </c>
      <c r="AU578" t="n">
        <v>86.55828</v>
      </c>
      <c r="AV578" t="n">
        <v>2.265178</v>
      </c>
      <c r="AW578" t="n">
        <v>69.14445000000001</v>
      </c>
      <c r="AX578" t="n">
        <v/>
      </c>
    </row>
    <row r="579">
      <c r="A579" s="92"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75.33051</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64.80611</v>
      </c>
      <c r="AN579" t="n">
        <v>58.33655</v>
      </c>
      <c r="AO579" t="n">
        <v>53.55004</v>
      </c>
      <c r="AP579" t="n">
        <v>67.18827</v>
      </c>
      <c r="AQ579" t="n">
        <v/>
      </c>
      <c r="AR579" t="n">
        <v/>
      </c>
      <c r="AS579" t="n">
        <v>45.77141</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75.60803</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65.16564</v>
      </c>
      <c r="AN580" t="n">
        <v>58.69103</v>
      </c>
      <c r="AO580" t="n">
        <v>54.21034</v>
      </c>
      <c r="AP580" t="n">
        <v>67.41275</v>
      </c>
      <c r="AQ580" t="n">
        <v/>
      </c>
      <c r="AR580" t="n">
        <v/>
      </c>
      <c r="AS580" t="n">
        <v>46.02324</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75.90026</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65.51447</v>
      </c>
      <c r="AN581" t="n">
        <v>58.97426</v>
      </c>
      <c r="AO581" t="n">
        <v>54.7433</v>
      </c>
      <c r="AP581" t="n">
        <v>67.56408999999999</v>
      </c>
      <c r="AQ581" t="n">
        <v/>
      </c>
      <c r="AR581" t="n">
        <v/>
      </c>
      <c r="AS581" t="n">
        <v>46.41224</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75.95820000000001</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65.70779</v>
      </c>
      <c r="AN582" t="n">
        <v>59.3026</v>
      </c>
      <c r="AO582" t="n">
        <v>55.05904</v>
      </c>
      <c r="AP582" t="n">
        <v>67.74442999999999</v>
      </c>
      <c r="AQ582" t="n">
        <v/>
      </c>
      <c r="AR582" t="n">
        <v/>
      </c>
      <c r="AS582" t="n">
        <v>46.6925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75.95075</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65.82102</v>
      </c>
      <c r="AN583" t="n">
        <v>59.49134</v>
      </c>
      <c r="AO583" t="n">
        <v>55.46077</v>
      </c>
      <c r="AP583" t="n">
        <v>67.81332</v>
      </c>
      <c r="AQ583" t="n">
        <v/>
      </c>
      <c r="AR583" t="n">
        <v/>
      </c>
      <c r="AS583" t="n">
        <v>46.77241</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76.04646</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66.05132999999999</v>
      </c>
      <c r="AN584" t="n">
        <v>59.89203</v>
      </c>
      <c r="AO584" t="n">
        <v>56.05446</v>
      </c>
      <c r="AP584" t="n">
        <v>67.90568</v>
      </c>
      <c r="AQ584" t="n">
        <v/>
      </c>
      <c r="AR584" t="n">
        <v/>
      </c>
      <c r="AS584" t="n">
        <v>47.00934</v>
      </c>
      <c r="AT584" t="n">
        <v/>
      </c>
      <c r="AU584" t="n">
        <v>86.68897</v>
      </c>
      <c r="AV584" t="n">
        <v>3.001509</v>
      </c>
      <c r="AW584" t="n">
        <v>69.97005</v>
      </c>
      <c r="AX584" t="n">
        <v/>
      </c>
    </row>
    <row r="585">
      <c r="A585" s="92"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76.10603</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66.2713</v>
      </c>
      <c r="AN585" t="n">
        <v>60.31334</v>
      </c>
      <c r="AO585" t="n">
        <v>56.52243</v>
      </c>
      <c r="AP585" t="n">
        <v>68.03052</v>
      </c>
      <c r="AQ585" t="n">
        <v/>
      </c>
      <c r="AR585" t="n">
        <v/>
      </c>
      <c r="AS585" t="n">
        <v>47.40461</v>
      </c>
      <c r="AT585" t="n">
        <v/>
      </c>
      <c r="AU585" t="n">
        <v>86.67222</v>
      </c>
      <c r="AV585" t="n">
        <v>3.199145</v>
      </c>
      <c r="AW585" t="n">
        <v>70.01133</v>
      </c>
      <c r="AX585" t="n">
        <v/>
      </c>
    </row>
    <row r="586">
      <c r="A586" s="92"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76.34314999999999</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66.68275</v>
      </c>
      <c r="AN586" t="n">
        <v>60.84188</v>
      </c>
      <c r="AO586" t="n">
        <v>57.41847</v>
      </c>
      <c r="AP586" t="n">
        <v>68.12954999999999</v>
      </c>
      <c r="AQ586" t="n">
        <v/>
      </c>
      <c r="AR586" t="n">
        <v/>
      </c>
      <c r="AS586" t="n">
        <v>47.60928</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76.56076</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67.05302</v>
      </c>
      <c r="AN587" t="n">
        <v>61.27335</v>
      </c>
      <c r="AO587" t="n">
        <v>57.89471</v>
      </c>
      <c r="AP587" t="n">
        <v>68.2037</v>
      </c>
      <c r="AQ587" t="n">
        <v/>
      </c>
      <c r="AR587" t="n">
        <v/>
      </c>
      <c r="AS587" t="n">
        <v>47.98969</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76.58671</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67.24395</v>
      </c>
      <c r="AN588" t="n">
        <v>61.66352</v>
      </c>
      <c r="AO588" t="n">
        <v>58.40643</v>
      </c>
      <c r="AP588" t="n">
        <v>68.30253999999999</v>
      </c>
      <c r="AQ588" t="n">
        <v/>
      </c>
      <c r="AR588" t="n">
        <v/>
      </c>
      <c r="AS588" t="n">
        <v>48.29131</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76.58336</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67.42455</v>
      </c>
      <c r="AN589" t="n">
        <v>62.02179</v>
      </c>
      <c r="AO589" t="n">
        <v>58.7656</v>
      </c>
      <c r="AP589" t="n">
        <v>68.34408999999999</v>
      </c>
      <c r="AQ589" t="n">
        <v/>
      </c>
      <c r="AR589" t="n">
        <v/>
      </c>
      <c r="AS589" t="n">
        <v>48.4861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76.57015</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67.65376000000001</v>
      </c>
      <c r="AN590" t="n">
        <v>62.24746</v>
      </c>
      <c r="AO590" t="n">
        <v>60.44121</v>
      </c>
      <c r="AP590" t="n">
        <v>68.30607999999999</v>
      </c>
      <c r="AQ590" t="n">
        <v/>
      </c>
      <c r="AR590" t="n">
        <v/>
      </c>
      <c r="AS590" t="n">
        <v>49.52403</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76.87152</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68.03416</v>
      </c>
      <c r="AN591" t="n">
        <v>62.6573</v>
      </c>
      <c r="AO591" t="n">
        <v>61.86592</v>
      </c>
      <c r="AP591" t="n">
        <v>68.18689000000001</v>
      </c>
      <c r="AQ591" t="n">
        <v/>
      </c>
      <c r="AR591" t="n">
        <v/>
      </c>
      <c r="AS591" t="n">
        <v>49.81808</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77.08790999999999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68.37015</v>
      </c>
      <c r="AN592" t="n">
        <v>63.0306</v>
      </c>
      <c r="AO592" t="n">
        <v>62.34479</v>
      </c>
      <c r="AP592" t="n">
        <v>68.38985</v>
      </c>
      <c r="AQ592" t="n">
        <v/>
      </c>
      <c r="AR592" t="n">
        <v/>
      </c>
      <c r="AS592" t="n">
        <v>50.08618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v>
      </c>
      <c r="N593" t="n">
        <v>78.09999999999999</v>
      </c>
      <c r="O593" t="n">
        <v>72.11969000000001</v>
      </c>
      <c r="P593" t="n">
        <v>61.6933</v>
      </c>
      <c r="Q593" t="n">
        <v/>
      </c>
      <c r="R593" t="n">
        <v>78.92527</v>
      </c>
      <c r="S593" t="n">
        <v>81.21044000000001</v>
      </c>
      <c r="T593" t="n">
        <v/>
      </c>
      <c r="U593" t="n">
        <v>77.25573</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68.66905</v>
      </c>
      <c r="AN593" t="n">
        <v>63.402</v>
      </c>
      <c r="AO593" t="n">
        <v>62.776</v>
      </c>
      <c r="AP593" t="n">
        <v>68.89360000000001</v>
      </c>
      <c r="AQ593" t="n">
        <v/>
      </c>
      <c r="AR593" t="n">
        <v/>
      </c>
      <c r="AS593" t="n">
        <v>50.23363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77.33237</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68.85439</v>
      </c>
      <c r="AN594" t="n">
        <v>63.71776</v>
      </c>
      <c r="AO594" t="n">
        <v>63.04836</v>
      </c>
      <c r="AP594" t="n">
        <v>69.39008</v>
      </c>
      <c r="AQ594" t="n">
        <v/>
      </c>
      <c r="AR594" t="n">
        <v/>
      </c>
      <c r="AS594" t="n">
        <v>50.37275</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77.31798000000001</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68.97268</v>
      </c>
      <c r="AN595" t="n">
        <v>63.96841</v>
      </c>
      <c r="AO595" t="n">
        <v>63.39754</v>
      </c>
      <c r="AP595" t="n">
        <v>69.50899</v>
      </c>
      <c r="AQ595" t="n">
        <v/>
      </c>
      <c r="AR595" t="n">
        <v/>
      </c>
      <c r="AS595" t="n">
        <v>50.46551</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77.34698</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69.10771</v>
      </c>
      <c r="AN596" t="n">
        <v>64.1583</v>
      </c>
      <c r="AO596" t="n">
        <v>63.98481</v>
      </c>
      <c r="AP596" t="n">
        <v>69.6482</v>
      </c>
      <c r="AQ596" t="n">
        <v/>
      </c>
      <c r="AR596" t="n">
        <v/>
      </c>
      <c r="AS596" t="n">
        <v>50.60836</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77.49397</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69.35205999999999</v>
      </c>
      <c r="AN597" t="n">
        <v>64.48788</v>
      </c>
      <c r="AO597" t="n">
        <v>64.42780999999999</v>
      </c>
      <c r="AP597" t="n">
        <v>69.53458000000001</v>
      </c>
      <c r="AQ597" t="n">
        <v/>
      </c>
      <c r="AR597" t="n">
        <v/>
      </c>
      <c r="AS597" t="n">
        <v>50.62509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77.67084</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69.71672</v>
      </c>
      <c r="AN598" t="n">
        <v>64.99173</v>
      </c>
      <c r="AO598" t="n">
        <v>64.8772</v>
      </c>
      <c r="AP598" t="n">
        <v>69.62558</v>
      </c>
      <c r="AQ598" t="n">
        <v/>
      </c>
      <c r="AR598" t="n">
        <v/>
      </c>
      <c r="AS598" t="n">
        <v>50.83286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77.80141</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70.01007</v>
      </c>
      <c r="AN599" t="n">
        <v>65.36021</v>
      </c>
      <c r="AO599" t="n">
        <v>65.26353</v>
      </c>
      <c r="AP599" t="n">
        <v>69.96149</v>
      </c>
      <c r="AQ599" t="n">
        <v/>
      </c>
      <c r="AR599" t="n">
        <v/>
      </c>
      <c r="AS599" t="n">
        <v>51.21339</v>
      </c>
      <c r="AT599" t="n">
        <v/>
      </c>
      <c r="AU599" t="n">
        <v>86.98721</v>
      </c>
      <c r="AV599" t="n">
        <v>6.752163</v>
      </c>
      <c r="AW599" t="n">
        <v>72.11662</v>
      </c>
      <c r="AX599" t="n">
        <v/>
      </c>
    </row>
    <row r="600">
      <c r="A600" s="92"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77.83499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70.18546000000001</v>
      </c>
      <c r="AN600" t="n">
        <v>65.63824</v>
      </c>
      <c r="AO600" t="n">
        <v>65.43858</v>
      </c>
      <c r="AP600" t="n">
        <v>70.47472</v>
      </c>
      <c r="AQ600" t="n">
        <v/>
      </c>
      <c r="AR600" t="n">
        <v/>
      </c>
      <c r="AS600" t="n">
        <v>51.43509</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77.86199999999999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70.37059000000001</v>
      </c>
      <c r="AN601" t="n">
        <v>65.94517</v>
      </c>
      <c r="AO601" t="n">
        <v>65.57971000000001</v>
      </c>
      <c r="AP601" t="n">
        <v>70.5924</v>
      </c>
      <c r="AQ601" t="n">
        <v/>
      </c>
      <c r="AR601" t="n">
        <v/>
      </c>
      <c r="AS601" t="n">
        <v>51.62616</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77.82172</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70.51221</v>
      </c>
      <c r="AN602" t="n">
        <v>66.03158999999999</v>
      </c>
      <c r="AO602" t="n">
        <v>67.08834</v>
      </c>
      <c r="AP602" t="n">
        <v>70.32362000000001</v>
      </c>
      <c r="AQ602" t="n">
        <v/>
      </c>
      <c r="AR602" t="n">
        <v/>
      </c>
      <c r="AS602" t="n">
        <v>52.40601</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77.9558</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70.74634</v>
      </c>
      <c r="AN603" t="n">
        <v>66.33646</v>
      </c>
      <c r="AO603" t="n">
        <v>67.7517</v>
      </c>
      <c r="AP603" t="n">
        <v>70.28124</v>
      </c>
      <c r="AQ603" t="n">
        <v/>
      </c>
      <c r="AR603" t="n">
        <v/>
      </c>
      <c r="AS603" t="n">
        <v>53.16505</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78.15282999999999</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71.04667000000001</v>
      </c>
      <c r="AN604" t="n">
        <v>66.65466000000001</v>
      </c>
      <c r="AO604" t="n">
        <v>68.28919999999999</v>
      </c>
      <c r="AP604" t="n">
        <v>70.46825</v>
      </c>
      <c r="AQ604" t="n">
        <v/>
      </c>
      <c r="AR604" t="n">
        <v/>
      </c>
      <c r="AS604" t="n">
        <v>53.50789</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78.38985</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71.36229</v>
      </c>
      <c r="AN605" t="n">
        <v>66.97462</v>
      </c>
      <c r="AO605" t="n">
        <v>68.88853</v>
      </c>
      <c r="AP605" t="n">
        <v>70.93565</v>
      </c>
      <c r="AQ605" t="n">
        <v/>
      </c>
      <c r="AR605" t="n">
        <v/>
      </c>
      <c r="AS605" t="n">
        <v>53.9437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78.38373</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71.48354</v>
      </c>
      <c r="AN606" t="n">
        <v>67.26903</v>
      </c>
      <c r="AO606" t="n">
        <v>69.40424</v>
      </c>
      <c r="AP606" t="n">
        <v>71.39143</v>
      </c>
      <c r="AQ606" t="n">
        <v/>
      </c>
      <c r="AR606" t="n">
        <v/>
      </c>
      <c r="AS606" t="n">
        <v>54.28009</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78.40169</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71.62724</v>
      </c>
      <c r="AN607" t="n">
        <v>67.54900000000001</v>
      </c>
      <c r="AO607" t="n">
        <v>69.89146</v>
      </c>
      <c r="AP607" t="n">
        <v>71.49442000000001</v>
      </c>
      <c r="AQ607" t="n">
        <v/>
      </c>
      <c r="AR607" t="n">
        <v/>
      </c>
      <c r="AS607" t="n">
        <v>54.56737</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83.24325</v>
      </c>
      <c r="M608" t="n">
        <v>75.73947</v>
      </c>
      <c r="N608" t="n">
        <v>79.3</v>
      </c>
      <c r="O608" t="n">
        <v>74.52316999999999</v>
      </c>
      <c r="P608" t="n">
        <v>66.00673</v>
      </c>
      <c r="Q608" t="n">
        <v/>
      </c>
      <c r="R608" t="n">
        <v>79.69154</v>
      </c>
      <c r="S608" t="n">
        <v>81.54819000000001</v>
      </c>
      <c r="T608" t="n">
        <v/>
      </c>
      <c r="U608" t="n">
        <v>78.43120999999999</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71.76481</v>
      </c>
      <c r="AN608" t="n">
        <v>67.75158</v>
      </c>
      <c r="AO608" t="n">
        <v>70.31798000000001</v>
      </c>
      <c r="AP608" t="n">
        <v>71.56522</v>
      </c>
      <c r="AQ608" t="n">
        <v/>
      </c>
      <c r="AR608" t="n">
        <v/>
      </c>
      <c r="AS608" t="n">
        <v>55.78005</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78.49242</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71.94806</v>
      </c>
      <c r="AN609" t="n">
        <v>68.07096</v>
      </c>
      <c r="AO609" t="n">
        <v>70.74726</v>
      </c>
      <c r="AP609" t="n">
        <v>71.3035</v>
      </c>
      <c r="AQ609" t="n">
        <v/>
      </c>
      <c r="AR609" t="n">
        <v/>
      </c>
      <c r="AS609" t="n">
        <v>56.1909</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78.69875</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72.30401999999999</v>
      </c>
      <c r="AN610" t="n">
        <v>68.52155</v>
      </c>
      <c r="AO610" t="n">
        <v>71.39201</v>
      </c>
      <c r="AP610" t="n">
        <v>71.32422</v>
      </c>
      <c r="AQ610" t="n">
        <v/>
      </c>
      <c r="AR610" t="n">
        <v/>
      </c>
      <c r="AS610" t="n">
        <v>56.49866</v>
      </c>
      <c r="AT610" t="n">
        <v/>
      </c>
      <c r="AU610" t="n">
        <v>87.44965999999999</v>
      </c>
      <c r="AV610" t="n">
        <v>10.88232</v>
      </c>
      <c r="AW610" t="n">
        <v>73.35503</v>
      </c>
      <c r="AX610" t="n">
        <v/>
      </c>
    </row>
    <row r="611">
      <c r="A611" s="92"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78.85808</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72.60464</v>
      </c>
      <c r="AN611" t="n">
        <v>68.90218</v>
      </c>
      <c r="AO611" t="n">
        <v>71.89246</v>
      </c>
      <c r="AP611" t="n">
        <v>71.79733</v>
      </c>
      <c r="AQ611" t="n">
        <v/>
      </c>
      <c r="AR611" t="n">
        <v/>
      </c>
      <c r="AS611" t="n">
        <v>56.85463</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83.03713999999999</v>
      </c>
      <c r="M612" t="n">
        <v>76.62748999999999</v>
      </c>
      <c r="N612" t="n">
        <v>79.47</v>
      </c>
      <c r="O612" t="n">
        <v>74.70544</v>
      </c>
      <c r="P612" t="n">
        <v>66.51752</v>
      </c>
      <c r="Q612" t="n">
        <v/>
      </c>
      <c r="R612" t="n">
        <v>80.38117</v>
      </c>
      <c r="S612" t="n">
        <v>81.61257000000001</v>
      </c>
      <c r="T612" t="n">
        <v/>
      </c>
      <c r="U612" t="n">
        <v>78.89462</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72.75721</v>
      </c>
      <c r="AN612" t="n">
        <v>69.19374999999999</v>
      </c>
      <c r="AO612" t="n">
        <v>72.21002</v>
      </c>
      <c r="AP612" t="n">
        <v>72.39867</v>
      </c>
      <c r="AQ612" t="n">
        <v/>
      </c>
      <c r="AR612" t="n">
        <v/>
      </c>
      <c r="AS612" t="n">
        <v>57.06262</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78.86700999999999</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72.92908</v>
      </c>
      <c r="AN613" t="n">
        <v>69.63348000000001</v>
      </c>
      <c r="AO613" t="n">
        <v>72.5312</v>
      </c>
      <c r="AP613" t="n">
        <v>72.50597</v>
      </c>
      <c r="AQ613" t="n">
        <v/>
      </c>
      <c r="AR613" t="n">
        <v/>
      </c>
      <c r="AS613" t="n">
        <v>57.21823</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78.8643</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73.08767</v>
      </c>
      <c r="AN614" t="n">
        <v>69.72783</v>
      </c>
      <c r="AO614" t="n">
        <v>74.17377999999999</v>
      </c>
      <c r="AP614" t="n">
        <v>72.21867</v>
      </c>
      <c r="AQ614" t="n">
        <v/>
      </c>
      <c r="AR614" t="n">
        <v/>
      </c>
      <c r="AS614" t="n">
        <v>57.98988</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79.0498</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73.34065</v>
      </c>
      <c r="AN615" t="n">
        <v>69.97911999999999</v>
      </c>
      <c r="AO615" t="n">
        <v>74.69619</v>
      </c>
      <c r="AP615" t="n">
        <v>71.91276000000001</v>
      </c>
      <c r="AQ615" t="n">
        <v/>
      </c>
      <c r="AR615" t="n">
        <v/>
      </c>
      <c r="AS615" t="n">
        <v>59.81953</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79.33681</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73.66597</v>
      </c>
      <c r="AN616" t="n">
        <v>70.23075</v>
      </c>
      <c r="AO616" t="n">
        <v>75.32839</v>
      </c>
      <c r="AP616" t="n">
        <v>72.11604</v>
      </c>
      <c r="AQ616" t="n">
        <v/>
      </c>
      <c r="AR616" t="n">
        <v/>
      </c>
      <c r="AS616" t="n">
        <v>60.17075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79.48239</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73.88489</v>
      </c>
      <c r="AN617" t="n">
        <v>70.48163</v>
      </c>
      <c r="AO617" t="n">
        <v>75.49326000000001</v>
      </c>
      <c r="AP617" t="n">
        <v>72.77066000000001</v>
      </c>
      <c r="AQ617" t="n">
        <v/>
      </c>
      <c r="AR617" t="n">
        <v/>
      </c>
      <c r="AS617" t="n">
        <v>60.41621</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79.51891000000001</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73.99290000000001</v>
      </c>
      <c r="AN618" t="n">
        <v>70.66784</v>
      </c>
      <c r="AO618" t="n">
        <v>75.9659</v>
      </c>
      <c r="AP618" t="n">
        <v>73.40035</v>
      </c>
      <c r="AQ618" t="n">
        <v/>
      </c>
      <c r="AR618" t="n">
        <v/>
      </c>
      <c r="AS618" t="n">
        <v>60.53083</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79.55289</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74.09319000000001</v>
      </c>
      <c r="AN619" t="n">
        <v>70.85647</v>
      </c>
      <c r="AO619" t="n">
        <v>76.24009</v>
      </c>
      <c r="AP619" t="n">
        <v>73.5797</v>
      </c>
      <c r="AQ619" t="n">
        <v/>
      </c>
      <c r="AR619" t="n">
        <v/>
      </c>
      <c r="AS619" t="n">
        <v>60.6702</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79.59972</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74.25172999999999</v>
      </c>
      <c r="AN620" t="n">
        <v>70.96701</v>
      </c>
      <c r="AO620" t="n">
        <v>76.82747000000001</v>
      </c>
      <c r="AP620" t="n">
        <v>73.70491</v>
      </c>
      <c r="AQ620" t="n">
        <v/>
      </c>
      <c r="AR620" t="n">
        <v/>
      </c>
      <c r="AS620" t="n">
        <v>60.89047</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79.74845000000001</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74.453</v>
      </c>
      <c r="AN621" t="n">
        <v>71.21276</v>
      </c>
      <c r="AO621" t="n">
        <v>76.97548999999999</v>
      </c>
      <c r="AP621" t="n">
        <v>73.42644</v>
      </c>
      <c r="AQ621" t="n">
        <v/>
      </c>
      <c r="AR621" t="n">
        <v/>
      </c>
      <c r="AS621" t="n">
        <v>60.93502</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79.89478</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74.70439</v>
      </c>
      <c r="AN622" t="n">
        <v>71.53082999999999</v>
      </c>
      <c r="AO622" t="n">
        <v>77.48669</v>
      </c>
      <c r="AP622" t="n">
        <v>73.58132000000001</v>
      </c>
      <c r="AQ622" t="n">
        <v/>
      </c>
      <c r="AR622" t="n">
        <v/>
      </c>
      <c r="AS622" t="n">
        <v>61.04264</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80.03489999999999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74.90853</v>
      </c>
      <c r="AN623" t="n">
        <v>71.7693</v>
      </c>
      <c r="AO623" t="n">
        <v>77.977</v>
      </c>
      <c r="AP623" t="n">
        <v>74.0164</v>
      </c>
      <c r="AQ623" t="n">
        <v/>
      </c>
      <c r="AR623" t="n">
        <v/>
      </c>
      <c r="AS623" t="n">
        <v>61.18202</v>
      </c>
      <c r="AT623" t="n">
        <v>68.60114</v>
      </c>
      <c r="AU623" t="n">
        <v>87.88195</v>
      </c>
      <c r="AV623" t="n">
        <v>16.97454</v>
      </c>
      <c r="AW623" t="n">
        <v>75.46033</v>
      </c>
      <c r="AX623" t="n">
        <v/>
      </c>
    </row>
    <row r="624">
      <c r="A624" s="92"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80.08005</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75.05728999999999</v>
      </c>
      <c r="AN624" t="n">
        <v>72.01994000000001</v>
      </c>
      <c r="AO624" t="n">
        <v>78.29087</v>
      </c>
      <c r="AP624" t="n">
        <v>74.65994000000001</v>
      </c>
      <c r="AQ624" t="n">
        <v/>
      </c>
      <c r="AR624" t="n">
        <v/>
      </c>
      <c r="AS624" t="n">
        <v>61.396</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80.13755</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75.19235999999999</v>
      </c>
      <c r="AN625" t="n">
        <v>72.35767</v>
      </c>
      <c r="AO625" t="n">
        <v>78.35281000000001</v>
      </c>
      <c r="AP625" t="n">
        <v>74.73256000000001</v>
      </c>
      <c r="AQ625" t="n">
        <v/>
      </c>
      <c r="AR625" t="n">
        <v/>
      </c>
      <c r="AS625" t="n">
        <v>61.42685</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80.15405</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75.30389</v>
      </c>
      <c r="AN626" t="n">
        <v>72.34045999999999</v>
      </c>
      <c r="AO626" t="n">
        <v>79.16033</v>
      </c>
      <c r="AP626" t="n">
        <v>74.67858</v>
      </c>
      <c r="AQ626" t="n">
        <v/>
      </c>
      <c r="AR626" t="n">
        <v/>
      </c>
      <c r="AS626" t="n">
        <v>62.28761</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80.41912000000001</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75.59086000000001</v>
      </c>
      <c r="AN627" t="n">
        <v>72.63412</v>
      </c>
      <c r="AO627" t="n">
        <v>79.37531</v>
      </c>
      <c r="AP627" t="n">
        <v>74.50776999999999</v>
      </c>
      <c r="AQ627" t="n">
        <v/>
      </c>
      <c r="AR627" t="n">
        <v/>
      </c>
      <c r="AS627" t="n">
        <v>63.97026</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83.7717</v>
      </c>
      <c r="M628" t="n">
        <v>78.89872</v>
      </c>
      <c r="N628" t="n">
        <v>80.73</v>
      </c>
      <c r="O628" t="n">
        <v>78.42749999999999</v>
      </c>
      <c r="P628" t="n">
        <v>70.66068</v>
      </c>
      <c r="Q628" t="n">
        <v/>
      </c>
      <c r="R628" t="n">
        <v>83.82004000000001</v>
      </c>
      <c r="S628" t="n">
        <v>82.64632</v>
      </c>
      <c r="T628" t="n">
        <v/>
      </c>
      <c r="U628" t="n">
        <v>80.68686</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75.94168999999999</v>
      </c>
      <c r="AN628" t="n">
        <v>73.00005</v>
      </c>
      <c r="AO628" t="n">
        <v>79.70437</v>
      </c>
      <c r="AP628" t="n">
        <v>74.67035</v>
      </c>
      <c r="AQ628" t="n">
        <v/>
      </c>
      <c r="AR628" t="n">
        <v/>
      </c>
      <c r="AS628" t="n">
        <v>64.49088</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80.88861</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76.2984</v>
      </c>
      <c r="AN629" t="n">
        <v>73.60308999999999</v>
      </c>
      <c r="AO629" t="n">
        <v>79.98827</v>
      </c>
      <c r="AP629" t="n">
        <v>75.31898</v>
      </c>
      <c r="AQ629" t="n">
        <v/>
      </c>
      <c r="AR629" t="n">
        <v/>
      </c>
      <c r="AS629" t="n">
        <v>64.65369</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80.92879000000001</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76.46105</v>
      </c>
      <c r="AN630" t="n">
        <v>73.97492</v>
      </c>
      <c r="AO630" t="n">
        <v>80.80582</v>
      </c>
      <c r="AP630" t="n">
        <v>75.95868</v>
      </c>
      <c r="AQ630" t="n">
        <v/>
      </c>
      <c r="AR630" t="n">
        <v/>
      </c>
      <c r="AS630" t="n">
        <v>64.59304</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81.06535</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76.66370999999999</v>
      </c>
      <c r="AN631" t="n">
        <v>74.27248</v>
      </c>
      <c r="AO631" t="n">
        <v>80.89815</v>
      </c>
      <c r="AP631" t="n">
        <v>76.12029</v>
      </c>
      <c r="AQ631" t="n">
        <v/>
      </c>
      <c r="AR631" t="n">
        <v/>
      </c>
      <c r="AS631" t="n">
        <v>64.55576000000001</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81.133</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76.78986</v>
      </c>
      <c r="AN632" t="n">
        <v>74.45032</v>
      </c>
      <c r="AO632" t="n">
        <v>81.32021</v>
      </c>
      <c r="AP632" t="n">
        <v>76.15554</v>
      </c>
      <c r="AQ632" t="n">
        <v/>
      </c>
      <c r="AR632" t="n">
        <v/>
      </c>
      <c r="AS632" t="n">
        <v>64.98849</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81.29031999999999</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77.01336999999999</v>
      </c>
      <c r="AN633" t="n">
        <v>74.8008</v>
      </c>
      <c r="AO633" t="n">
        <v>81.49388999999999</v>
      </c>
      <c r="AP633" t="n">
        <v>75.98350000000001</v>
      </c>
      <c r="AQ633" t="n">
        <v/>
      </c>
      <c r="AR633" t="n">
        <v/>
      </c>
      <c r="AS633" t="n">
        <v>65.14968</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81.42509</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77.29152999999999</v>
      </c>
      <c r="AN634" t="n">
        <v>75.20071</v>
      </c>
      <c r="AO634" t="n">
        <v>81.44893</v>
      </c>
      <c r="AP634" t="n">
        <v>76.18223</v>
      </c>
      <c r="AQ634" t="n">
        <v/>
      </c>
      <c r="AR634" t="n">
        <v/>
      </c>
      <c r="AS634" t="n">
        <v>65.41052000000001</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81.56124</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77.53382999999999</v>
      </c>
      <c r="AN635" t="n">
        <v>75.55786000000001</v>
      </c>
      <c r="AO635" t="n">
        <v>81.67228</v>
      </c>
      <c r="AP635" t="n">
        <v>76.77217</v>
      </c>
      <c r="AQ635" t="n">
        <v/>
      </c>
      <c r="AR635" t="n">
        <v/>
      </c>
      <c r="AS635" t="n">
        <v>65.60766</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81.66639000000001</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77.71366</v>
      </c>
      <c r="AN636" t="n">
        <v>75.80540000000001</v>
      </c>
      <c r="AO636" t="n">
        <v>81.74338</v>
      </c>
      <c r="AP636" t="n">
        <v>77.43877000000001</v>
      </c>
      <c r="AQ636" t="n">
        <v/>
      </c>
      <c r="AR636" t="n">
        <v/>
      </c>
      <c r="AS636" t="n">
        <v>65.72254</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81.71973</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77.83292</v>
      </c>
      <c r="AN637" t="n">
        <v>76.19085</v>
      </c>
      <c r="AO637" t="n">
        <v>81.82984</v>
      </c>
      <c r="AP637" t="n">
        <v>77.51703999999999</v>
      </c>
      <c r="AQ637" t="n">
        <v/>
      </c>
      <c r="AR637" t="n">
        <v/>
      </c>
      <c r="AS637" t="n">
        <v>65.94710000000001</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81.69110999999999</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77.88836999999999</v>
      </c>
      <c r="AN638" t="n">
        <v>76.27115000000001</v>
      </c>
      <c r="AO638" t="n">
        <v>82.57222</v>
      </c>
      <c r="AP638" t="n">
        <v>77.7002</v>
      </c>
      <c r="AQ638" t="n">
        <v/>
      </c>
      <c r="AR638" t="n">
        <v/>
      </c>
      <c r="AS638" t="n">
        <v>66.46393999999999</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80.37616</v>
      </c>
      <c r="N639" t="n">
        <v>82.3</v>
      </c>
      <c r="O639" t="n">
        <v>79.77621000000001</v>
      </c>
      <c r="P639" t="n">
        <v>72.76064</v>
      </c>
      <c r="Q639" t="n">
        <v/>
      </c>
      <c r="R639" t="n">
        <v>84.63120000000001</v>
      </c>
      <c r="S639" t="n">
        <v>83.90591000000001</v>
      </c>
      <c r="T639" t="n">
        <v/>
      </c>
      <c r="U639" t="n">
        <v>81.97841</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78.16669</v>
      </c>
      <c r="AN639" t="n">
        <v>76.51819</v>
      </c>
      <c r="AO639" t="n">
        <v>82.67886</v>
      </c>
      <c r="AP639" t="n">
        <v>77.59012</v>
      </c>
      <c r="AQ639" t="n">
        <v/>
      </c>
      <c r="AR639" t="n">
        <v/>
      </c>
      <c r="AS639" t="n">
        <v>66.5848</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82.24111000000001</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78.49118</v>
      </c>
      <c r="AN640" t="n">
        <v>76.90523</v>
      </c>
      <c r="AO640" t="n">
        <v>82.76456</v>
      </c>
      <c r="AP640" t="n">
        <v>77.99853</v>
      </c>
      <c r="AQ640" t="n">
        <v/>
      </c>
      <c r="AR640" t="n">
        <v/>
      </c>
      <c r="AS640" t="n">
        <v>66.71802</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82.42097</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78.76886</v>
      </c>
      <c r="AN641" t="n">
        <v>77.20728</v>
      </c>
      <c r="AO641" t="n">
        <v>83.00753</v>
      </c>
      <c r="AP641" t="n">
        <v>78.78399</v>
      </c>
      <c r="AQ641" t="n">
        <v/>
      </c>
      <c r="AR641" t="n">
        <v/>
      </c>
      <c r="AS641" t="n">
        <v>66.72443</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82.48251</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78.89577</v>
      </c>
      <c r="AN642" t="n">
        <v>77.49966000000001</v>
      </c>
      <c r="AO642" t="n">
        <v>83.17386999999999</v>
      </c>
      <c r="AP642" t="n">
        <v>79.41113</v>
      </c>
      <c r="AQ642" t="n">
        <v/>
      </c>
      <c r="AR642" t="n">
        <v/>
      </c>
      <c r="AS642" t="n">
        <v>66.88758</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82.50481000000001</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78.97427</v>
      </c>
      <c r="AN643" t="n">
        <v>77.68789</v>
      </c>
      <c r="AO643" t="n">
        <v>83.27987</v>
      </c>
      <c r="AP643" t="n">
        <v>79.74171</v>
      </c>
      <c r="AQ643" t="n">
        <v/>
      </c>
      <c r="AR643" t="n">
        <v/>
      </c>
      <c r="AS643" t="n">
        <v>66.98246</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82.55674999999999</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79.02236000000001</v>
      </c>
      <c r="AN644" t="n">
        <v>77.69166</v>
      </c>
      <c r="AO644" t="n">
        <v>83.48952</v>
      </c>
      <c r="AP644" t="n">
        <v>79.90765</v>
      </c>
      <c r="AQ644" t="n">
        <v/>
      </c>
      <c r="AR644" t="n">
        <v/>
      </c>
      <c r="AS644" t="n">
        <v>67.24318</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82.79163</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79.26736</v>
      </c>
      <c r="AN645" t="n">
        <v>77.95048</v>
      </c>
      <c r="AO645" t="n">
        <v>83.48566</v>
      </c>
      <c r="AP645" t="n">
        <v>79.9594</v>
      </c>
      <c r="AQ645" t="n">
        <v/>
      </c>
      <c r="AR645" t="n">
        <v/>
      </c>
      <c r="AS645" t="n">
        <v>67.83163999999999</v>
      </c>
      <c r="AT645" t="n">
        <v>78.66131</v>
      </c>
      <c r="AU645" t="n">
        <v>90.48909</v>
      </c>
      <c r="AV645" t="n">
        <v>34.46078</v>
      </c>
      <c r="AW645" t="n">
        <v>78.84531</v>
      </c>
      <c r="AX645" t="n">
        <v>58.45253</v>
      </c>
    </row>
    <row r="646">
      <c r="A646" s="92"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82.89156</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79.46366999999999</v>
      </c>
      <c r="AN646" t="n">
        <v>78.22787</v>
      </c>
      <c r="AO646" t="n">
        <v>83.41613</v>
      </c>
      <c r="AP646" t="n">
        <v>80.07594</v>
      </c>
      <c r="AQ646" t="n">
        <v/>
      </c>
      <c r="AR646" t="n">
        <v/>
      </c>
      <c r="AS646" t="n">
        <v>67.94604</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83.01161999999999</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79.67792</v>
      </c>
      <c r="AN647" t="n">
        <v>78.52657000000001</v>
      </c>
      <c r="AO647" t="n">
        <v>83.26102</v>
      </c>
      <c r="AP647" t="n">
        <v>80.69319</v>
      </c>
      <c r="AQ647" t="n">
        <v/>
      </c>
      <c r="AR647" t="n">
        <v/>
      </c>
      <c r="AS647" t="n">
        <v>68.02930000000001</v>
      </c>
      <c r="AT647" t="n">
        <v>79.57133</v>
      </c>
      <c r="AU647" t="n">
        <v>91.70887999999999</v>
      </c>
      <c r="AV647" t="n">
        <v>36.4469</v>
      </c>
      <c r="AW647" t="n">
        <v>79.17555</v>
      </c>
      <c r="AX647" t="n">
        <v>59.69387</v>
      </c>
    </row>
    <row r="648">
      <c r="A648" s="92"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83.03152</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79.76786</v>
      </c>
      <c r="AN648" t="n">
        <v>78.71831</v>
      </c>
      <c r="AO648" t="n">
        <v>83.21625</v>
      </c>
      <c r="AP648" t="n">
        <v>81.32974</v>
      </c>
      <c r="AQ648" t="n">
        <v/>
      </c>
      <c r="AR648" t="n">
        <v/>
      </c>
      <c r="AS648" t="n">
        <v>68.2007</v>
      </c>
      <c r="AT648" t="n">
        <v>79.66133000000001</v>
      </c>
      <c r="AU648" t="n">
        <v>91.79935999999999</v>
      </c>
      <c r="AV648" t="n">
        <v>37.25331</v>
      </c>
      <c r="AW648" t="n">
        <v>79.17555</v>
      </c>
      <c r="AX648" t="n">
        <v>60.48522</v>
      </c>
    </row>
    <row r="649">
      <c r="A649" s="92"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83.07451</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79.84833</v>
      </c>
      <c r="AN649" t="n">
        <v>79.03413999999999</v>
      </c>
      <c r="AO649" t="n">
        <v>83.25214</v>
      </c>
      <c r="AP649" t="n">
        <v>81.50278</v>
      </c>
      <c r="AQ649" t="n">
        <v/>
      </c>
      <c r="AR649" t="n">
        <v/>
      </c>
      <c r="AS649" t="n">
        <v>69.03328999999999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83.00318</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79.8385</v>
      </c>
      <c r="AN650" t="n">
        <v>78.86041</v>
      </c>
      <c r="AO650" t="n">
        <v>83.4101</v>
      </c>
      <c r="AP650" t="n">
        <v>81.25149</v>
      </c>
      <c r="AQ650" t="n">
        <v/>
      </c>
      <c r="AR650" t="n">
        <v/>
      </c>
      <c r="AS650" t="n">
        <v>70.91121</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83.23474</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80.06961</v>
      </c>
      <c r="AN651" t="n">
        <v>79.11109</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83.44439</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80.33862000000001</v>
      </c>
      <c r="AN652" t="n">
        <v>79.39891</v>
      </c>
      <c r="AO652" t="n">
        <v>83.59559</v>
      </c>
      <c r="AP652" t="n">
        <v>81.16042</v>
      </c>
      <c r="AQ652" t="n">
        <v/>
      </c>
      <c r="AR652" t="n">
        <v/>
      </c>
      <c r="AS652" t="n">
        <v>71.81403</v>
      </c>
      <c r="AT652" t="n">
        <v>81.56135999999999</v>
      </c>
      <c r="AU652" t="n">
        <v>91.88314</v>
      </c>
      <c r="AV652" t="n">
        <v>39.13914</v>
      </c>
      <c r="AW652" t="n">
        <v>79.67091000000001</v>
      </c>
      <c r="AX652" t="n">
        <v>61.43695</v>
      </c>
    </row>
    <row r="653">
      <c r="A653" s="92"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83.53804</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80.52068</v>
      </c>
      <c r="AN653" t="n">
        <v>79.68532</v>
      </c>
      <c r="AO653" t="n">
        <v>83.70824</v>
      </c>
      <c r="AP653" t="n">
        <v>81.87278000000001</v>
      </c>
      <c r="AQ653" t="n">
        <v/>
      </c>
      <c r="AR653" t="n">
        <v/>
      </c>
      <c r="AS653" t="n">
        <v>72.22516</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83.62478</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80.62029</v>
      </c>
      <c r="AN654" t="n">
        <v>79.81664000000001</v>
      </c>
      <c r="AO654" t="n">
        <v>83.75626</v>
      </c>
      <c r="AP654" t="n">
        <v>82.41633</v>
      </c>
      <c r="AQ654" t="n">
        <v/>
      </c>
      <c r="AR654" t="n">
        <v/>
      </c>
      <c r="AS654" t="n">
        <v>72.29783</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83.58114999999999</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80.61919</v>
      </c>
      <c r="AN655" t="n">
        <v>79.93568</v>
      </c>
      <c r="AO655" t="n">
        <v>83.74945</v>
      </c>
      <c r="AP655" t="n">
        <v>82.5104</v>
      </c>
      <c r="AQ655" t="n">
        <v/>
      </c>
      <c r="AR655" t="n">
        <v/>
      </c>
      <c r="AS655" t="n">
        <v>72.65244</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83.64919999999999</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80.63284</v>
      </c>
      <c r="AN656" t="n">
        <v>79.84654</v>
      </c>
      <c r="AO656" t="n">
        <v>83.74627</v>
      </c>
      <c r="AP656" t="n">
        <v>82.34829999999999</v>
      </c>
      <c r="AQ656" t="n">
        <v/>
      </c>
      <c r="AR656" t="n">
        <v/>
      </c>
      <c r="AS656" t="n">
        <v>72.8967</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83.79118</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80.78413999999999</v>
      </c>
      <c r="AN657" t="n">
        <v>80.03072</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2"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83.84972999999999</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80.92628000000001</v>
      </c>
      <c r="AN658" t="n">
        <v>80.2715</v>
      </c>
      <c r="AO658" t="n">
        <v>83.79436</v>
      </c>
      <c r="AP658" t="n">
        <v>82.2868</v>
      </c>
      <c r="AQ658" t="n">
        <v/>
      </c>
      <c r="AR658" t="n">
        <v/>
      </c>
      <c r="AS658" t="n">
        <v>73.95959000000001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84.05029</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81.14715</v>
      </c>
      <c r="AN659" t="n">
        <v>80.49007</v>
      </c>
      <c r="AO659" t="n">
        <v>83.85711999999999</v>
      </c>
      <c r="AP659" t="n">
        <v>82.90345000000001</v>
      </c>
      <c r="AQ659" t="n">
        <v/>
      </c>
      <c r="AR659" t="n">
        <v/>
      </c>
      <c r="AS659" t="n">
        <v>74.12339</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83.94374000000001</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81.11188</v>
      </c>
      <c r="AN660" t="n">
        <v>80.58922</v>
      </c>
      <c r="AO660" t="n">
        <v>83.88509000000001</v>
      </c>
      <c r="AP660" t="n">
        <v>83.38279</v>
      </c>
      <c r="AQ660" t="n">
        <v/>
      </c>
      <c r="AR660" t="n">
        <v/>
      </c>
      <c r="AS660" t="n">
        <v>74.16986</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83.97629999999999</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81.16641</v>
      </c>
      <c r="AN661" t="n">
        <v>80.81854</v>
      </c>
      <c r="AO661" t="n">
        <v>83.96249</v>
      </c>
      <c r="AP661" t="n">
        <v>83.48016</v>
      </c>
      <c r="AQ661" t="n">
        <v/>
      </c>
      <c r="AR661" t="n">
        <v/>
      </c>
      <c r="AS661" t="n">
        <v>74.27643</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83.92673000000001</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81.13114</v>
      </c>
      <c r="AN662" t="n">
        <v>80.61114999999999</v>
      </c>
      <c r="AO662" t="n">
        <v>84.13305</v>
      </c>
      <c r="AP662" t="n">
        <v>83.25106</v>
      </c>
      <c r="AQ662" t="n">
        <v/>
      </c>
      <c r="AR662" t="n">
        <v/>
      </c>
      <c r="AS662" t="n">
        <v>76.51142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84.21132</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81.39122</v>
      </c>
      <c r="AN663" t="n">
        <v>80.86417</v>
      </c>
      <c r="AO663" t="n">
        <v>84.10809</v>
      </c>
      <c r="AP663" t="n">
        <v>83.08082</v>
      </c>
      <c r="AQ663" t="n">
        <v/>
      </c>
      <c r="AR663" t="n">
        <v/>
      </c>
      <c r="AS663" t="n">
        <v>77.38591</v>
      </c>
      <c r="AT663" t="n">
        <v>84.62141</v>
      </c>
      <c r="AU663" t="n">
        <v>91.33691</v>
      </c>
      <c r="AV663" t="n">
        <v>43.38353</v>
      </c>
      <c r="AW663" t="n">
        <v>80.45524</v>
      </c>
      <c r="AX663" t="n">
        <v>59.49866</v>
      </c>
    </row>
    <row r="664">
      <c r="A664" s="92"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84.60636</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81.78431999999999</v>
      </c>
      <c r="AN664" t="n">
        <v>81.17497</v>
      </c>
      <c r="AO664" t="n">
        <v>84.13198</v>
      </c>
      <c r="AP664" t="n">
        <v>83.17162</v>
      </c>
      <c r="AQ664" t="n">
        <v/>
      </c>
      <c r="AR664" t="n">
        <v/>
      </c>
      <c r="AS664" t="n">
        <v>77.59028000000001</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82.0341</v>
      </c>
      <c r="AN665" t="n">
        <v>81.5269</v>
      </c>
      <c r="AO665" t="n">
        <v>84.41049</v>
      </c>
      <c r="AP665" t="n">
        <v>83.88229</v>
      </c>
      <c r="AQ665" t="n">
        <v/>
      </c>
      <c r="AR665" t="n">
        <v/>
      </c>
      <c r="AS665" t="n">
        <v>77.78180999999999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84.83785</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82.12756</v>
      </c>
      <c r="AN666" t="n">
        <v>81.72651</v>
      </c>
      <c r="AO666" t="n">
        <v>85.29643</v>
      </c>
      <c r="AP666" t="n">
        <v>84.50551</v>
      </c>
      <c r="AQ666" t="n">
        <v/>
      </c>
      <c r="AR666" t="n">
        <v/>
      </c>
      <c r="AS666" t="n">
        <v>77.93449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84.88132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82.19537</v>
      </c>
      <c r="AN667" t="n">
        <v>81.82574</v>
      </c>
      <c r="AO667" t="n">
        <v>85.56451</v>
      </c>
      <c r="AP667" t="n">
        <v>84.82065</v>
      </c>
      <c r="AQ667" t="n">
        <v/>
      </c>
      <c r="AR667" t="n">
        <v/>
      </c>
      <c r="AS667" t="n">
        <v>77.95953</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84.88446999999999</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82.1696</v>
      </c>
      <c r="AN668" t="n">
        <v>81.70692</v>
      </c>
      <c r="AO668" t="n">
        <v>85.78176000000001</v>
      </c>
      <c r="AP668" t="n">
        <v>84.41705</v>
      </c>
      <c r="AQ668" t="n">
        <v/>
      </c>
      <c r="AR668" t="n">
        <v/>
      </c>
      <c r="AS668" t="n">
        <v>78.21079</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85.00103</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82.28677999999999</v>
      </c>
      <c r="AN669" t="n">
        <v>81.88160999999999</v>
      </c>
      <c r="AO669" t="n">
        <v>85.71391</v>
      </c>
      <c r="AP669" t="n">
        <v>84.10692</v>
      </c>
      <c r="AQ669" t="n">
        <v/>
      </c>
      <c r="AR669" t="n">
        <v/>
      </c>
      <c r="AS669" t="n">
        <v>78.24023</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85.16659</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82.49464</v>
      </c>
      <c r="AN670" t="n">
        <v>82.07164</v>
      </c>
      <c r="AO670" t="n">
        <v>85.79342</v>
      </c>
      <c r="AP670" t="n">
        <v>84.19833</v>
      </c>
      <c r="AQ670" t="n">
        <v/>
      </c>
      <c r="AR670" t="n">
        <v/>
      </c>
      <c r="AS670" t="n">
        <v>78.40746</v>
      </c>
      <c r="AT670" t="n">
        <v>86.69144</v>
      </c>
      <c r="AU670" t="n">
        <v>92.26515999999999</v>
      </c>
      <c r="AV670" t="n">
        <v>45.76105</v>
      </c>
      <c r="AW670" t="n">
        <v>81.48724</v>
      </c>
      <c r="AX670" t="n">
        <v>59.93671</v>
      </c>
    </row>
    <row r="671">
      <c r="A671" s="92"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85.34832</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82.72741000000001</v>
      </c>
      <c r="AN671" t="n">
        <v>82.27543</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85.31636</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82.75344</v>
      </c>
      <c r="AN672" t="n">
        <v>82.40526</v>
      </c>
      <c r="AO672" t="n">
        <v>86.00569</v>
      </c>
      <c r="AP672" t="n">
        <v>85.59204</v>
      </c>
      <c r="AQ672" t="n">
        <v/>
      </c>
      <c r="AR672" t="n">
        <v/>
      </c>
      <c r="AS672" t="n">
        <v>78.70480999999999</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85.42843000000001</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82.85437</v>
      </c>
      <c r="AN673" t="n">
        <v>82.76374</v>
      </c>
      <c r="AO673" t="n">
        <v>85.98604</v>
      </c>
      <c r="AP673" t="n">
        <v>85.66261</v>
      </c>
      <c r="AQ673" t="n">
        <v/>
      </c>
      <c r="AR673" t="n">
        <v/>
      </c>
      <c r="AS673" t="n">
        <v>78.84994</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85.35796999999999</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82.81102</v>
      </c>
      <c r="AN674" t="n">
        <v>82.33855</v>
      </c>
      <c r="AO674" t="n">
        <v>86.03776000000001</v>
      </c>
      <c r="AP674" t="n">
        <v>85.45480999999999</v>
      </c>
      <c r="AQ674" t="n">
        <v/>
      </c>
      <c r="AR674" t="n">
        <v/>
      </c>
      <c r="AS674" t="n">
        <v>79.96397</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85.66284</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83.05607000000001</v>
      </c>
      <c r="AN675" t="n">
        <v>82.49249</v>
      </c>
      <c r="AO675" t="n">
        <v>85.95672</v>
      </c>
      <c r="AP675" t="n">
        <v>85.32951</v>
      </c>
      <c r="AQ675" t="n">
        <v/>
      </c>
      <c r="AR675" t="n">
        <v/>
      </c>
      <c r="AS675" t="n">
        <v>80.24548</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86.06480000000001</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83.44157</v>
      </c>
      <c r="AN676" t="n">
        <v>82.81498000000001</v>
      </c>
      <c r="AO676" t="n">
        <v>85.97848999999999</v>
      </c>
      <c r="AP676" t="n">
        <v>85.49160999999999</v>
      </c>
      <c r="AQ676" t="n">
        <v/>
      </c>
      <c r="AR676" t="n">
        <v/>
      </c>
      <c r="AS676" t="n">
        <v>80.17398</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86.13102000000001</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83.58081</v>
      </c>
      <c r="AN677" t="n">
        <v>82.99099</v>
      </c>
      <c r="AO677" t="n">
        <v>86.18508</v>
      </c>
      <c r="AP677" t="n">
        <v>86.10202</v>
      </c>
      <c r="AQ677" t="n">
        <v/>
      </c>
      <c r="AR677" t="n">
        <v/>
      </c>
      <c r="AS677" t="n">
        <v>80.20439</v>
      </c>
      <c r="AT677" t="n">
        <v>87.39146</v>
      </c>
      <c r="AU677" t="n">
        <v>91.98702</v>
      </c>
      <c r="AV677" t="n">
        <v>47.50946</v>
      </c>
      <c r="AW677" t="n">
        <v>82.93205</v>
      </c>
      <c r="AX677" t="n">
        <v>61.01096</v>
      </c>
    </row>
    <row r="678">
      <c r="A678" s="92"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86.18792999999999</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83.6835</v>
      </c>
      <c r="AN678" t="n">
        <v>83.26456</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86.1349</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83.67946999999999</v>
      </c>
      <c r="AN679" t="n">
        <v>83.32639</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86.19754</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83.67778</v>
      </c>
      <c r="AN680" t="n">
        <v>83.22179</v>
      </c>
      <c r="AO680" t="n">
        <v>86.48367</v>
      </c>
      <c r="AP680" t="n">
        <v>86.68658000000001</v>
      </c>
      <c r="AQ680" t="n">
        <v/>
      </c>
      <c r="AR680" t="n">
        <v/>
      </c>
      <c r="AS680" t="n">
        <v>80.17931</v>
      </c>
      <c r="AT680" t="n">
        <v>88.49148</v>
      </c>
      <c r="AU680" t="n">
        <v>91.18276</v>
      </c>
      <c r="AV680" t="n">
        <v>48.64511</v>
      </c>
      <c r="AW680" t="n">
        <v>82.89078000000001</v>
      </c>
      <c r="AX680" t="n">
        <v>61.02852</v>
      </c>
    </row>
    <row r="681">
      <c r="A681" s="92"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86.3184</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83.80521</v>
      </c>
      <c r="AN681" t="n">
        <v>83.41809000000001</v>
      </c>
      <c r="AO681" t="n">
        <v>86.43774000000001</v>
      </c>
      <c r="AP681" t="n">
        <v>86.59069</v>
      </c>
      <c r="AQ681" t="n">
        <v/>
      </c>
      <c r="AR681" t="n">
        <v/>
      </c>
      <c r="AS681" t="n">
        <v>80.19582</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86.40055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83.94365999999999</v>
      </c>
      <c r="AN682" t="n">
        <v>83.54824000000001</v>
      </c>
      <c r="AO682" t="n">
        <v>86.58011999999999</v>
      </c>
      <c r="AP682" t="n">
        <v>86.73248</v>
      </c>
      <c r="AQ682" t="n">
        <v/>
      </c>
      <c r="AR682" t="n">
        <v/>
      </c>
      <c r="AS682" t="n">
        <v>80.18371</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86.64586</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84.2239</v>
      </c>
      <c r="AN683" t="n">
        <v>83.81464</v>
      </c>
      <c r="AO683" t="n">
        <v>86.71597</v>
      </c>
      <c r="AP683" t="n">
        <v>87.3158</v>
      </c>
      <c r="AQ683" t="n">
        <v/>
      </c>
      <c r="AR683" t="n">
        <v/>
      </c>
      <c r="AS683" t="n">
        <v>80.44337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86.64336</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84.27406000000001</v>
      </c>
      <c r="AN684" t="n">
        <v>83.93208</v>
      </c>
      <c r="AO684" t="n">
        <v>86.64456</v>
      </c>
      <c r="AP684" t="n">
        <v>87.88359</v>
      </c>
      <c r="AQ684" t="n">
        <v/>
      </c>
      <c r="AR684" t="n">
        <v/>
      </c>
      <c r="AS684" t="n">
        <v>80.52657000000001</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86.70677000000001</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84.35495</v>
      </c>
      <c r="AN685" t="n">
        <v>84.16906</v>
      </c>
      <c r="AO685" t="n">
        <v>86.65483</v>
      </c>
      <c r="AP685" t="n">
        <v>87.87967999999999</v>
      </c>
      <c r="AQ685" t="n">
        <v/>
      </c>
      <c r="AR685" t="n">
        <v/>
      </c>
      <c r="AS685" t="n">
        <v>80.68848</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86.61906</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84.25118000000001</v>
      </c>
      <c r="AN686" t="n">
        <v>83.76273999999999</v>
      </c>
      <c r="AO686" t="n">
        <v>86.67681</v>
      </c>
      <c r="AP686" t="n">
        <v>87.36493</v>
      </c>
      <c r="AQ686" t="n">
        <v/>
      </c>
      <c r="AR686" t="n">
        <v/>
      </c>
      <c r="AS686" t="n">
        <v>82.11623</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86.93057</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84.50244000000001</v>
      </c>
      <c r="AN687" t="n">
        <v>83.92496</v>
      </c>
      <c r="AO687" t="n">
        <v>86.58987</v>
      </c>
      <c r="AP687" t="n">
        <v>87.49923</v>
      </c>
      <c r="AQ687" t="n">
        <v/>
      </c>
      <c r="AR687" t="n">
        <v/>
      </c>
      <c r="AS687" t="n">
        <v>82.61742</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87.33978</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84.89919</v>
      </c>
      <c r="AN688" t="n">
        <v>84.18886999999999</v>
      </c>
      <c r="AO688" t="n">
        <v>86.58987</v>
      </c>
      <c r="AP688" t="n">
        <v>88.99464</v>
      </c>
      <c r="AQ688" t="n">
        <v/>
      </c>
      <c r="AR688" t="n">
        <v/>
      </c>
      <c r="AS688" t="n">
        <v>82.58846</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87.54387</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85.17256</v>
      </c>
      <c r="AN689" t="n">
        <v>84.54425000000001</v>
      </c>
      <c r="AO689" t="n">
        <v>86.58987</v>
      </c>
      <c r="AP689" t="n">
        <v>89.28259</v>
      </c>
      <c r="AQ689" t="n">
        <v/>
      </c>
      <c r="AR689" t="n">
        <v/>
      </c>
      <c r="AS689" t="n">
        <v>82.70035</v>
      </c>
      <c r="AT689" t="n">
        <v>88.93147999999999</v>
      </c>
      <c r="AU689" t="n">
        <v>92.65388</v>
      </c>
      <c r="AV689" t="n">
        <v>51.79063</v>
      </c>
      <c r="AW689" t="n">
        <v>84.83095</v>
      </c>
      <c r="AX689" t="n">
        <v>61.57197</v>
      </c>
    </row>
    <row r="690">
      <c r="A690" s="92"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87.63355</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85.30586</v>
      </c>
      <c r="AN690" t="n">
        <v>84.75998</v>
      </c>
      <c r="AO690" t="n">
        <v>86.58987</v>
      </c>
      <c r="AP690" t="n">
        <v>89.43124</v>
      </c>
      <c r="AQ690" t="n">
        <v/>
      </c>
      <c r="AR690" t="n">
        <v/>
      </c>
      <c r="AS690" t="n">
        <v>82.77834</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87.70775999999999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85.39587</v>
      </c>
      <c r="AN691" t="n">
        <v>84.89917</v>
      </c>
      <c r="AO691" t="n">
        <v>86.67681</v>
      </c>
      <c r="AP691" t="n">
        <v>89.3124</v>
      </c>
      <c r="AQ691" t="n">
        <v/>
      </c>
      <c r="AR691" t="n">
        <v/>
      </c>
      <c r="AS691" t="n">
        <v>82.82719</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87.76915</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85.42712</v>
      </c>
      <c r="AN692" t="n">
        <v>84.82401</v>
      </c>
      <c r="AO692" t="n">
        <v>87.19843</v>
      </c>
      <c r="AP692" t="n">
        <v>89.00735</v>
      </c>
      <c r="AQ692" t="n">
        <v/>
      </c>
      <c r="AR692" t="n">
        <v/>
      </c>
      <c r="AS692" t="n">
        <v>83.10756000000001</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87.95263</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85.58018</v>
      </c>
      <c r="AN693" t="n">
        <v>84.92731000000001</v>
      </c>
      <c r="AO693" t="n">
        <v>87.19843</v>
      </c>
      <c r="AP693" t="n">
        <v>88.6301</v>
      </c>
      <c r="AQ693" t="n">
        <v/>
      </c>
      <c r="AR693" t="n">
        <v/>
      </c>
      <c r="AS693" t="n">
        <v>83.38702000000001</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88.11732000000001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85.80163</v>
      </c>
      <c r="AN694" t="n">
        <v>85.16157</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88.29899</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86.03328</v>
      </c>
      <c r="AN695" t="n">
        <v>85.4552</v>
      </c>
      <c r="AO695" t="n">
        <v>87.28537</v>
      </c>
      <c r="AP695" t="n">
        <v>89.9064</v>
      </c>
      <c r="AQ695" t="n">
        <v/>
      </c>
      <c r="AR695" t="n">
        <v/>
      </c>
      <c r="AS695" t="n">
        <v>83.62103999999999</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88.26347</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86.05562</v>
      </c>
      <c r="AN696" t="n">
        <v>85.58347000000001</v>
      </c>
      <c r="AO696" t="n">
        <v>87.28537</v>
      </c>
      <c r="AP696" t="n">
        <v>90.00664</v>
      </c>
      <c r="AQ696" t="n">
        <v/>
      </c>
      <c r="AR696" t="n">
        <v/>
      </c>
      <c r="AS696" t="n">
        <v>83.88562</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88.32058000000001</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86.12345000000001</v>
      </c>
      <c r="AN697" t="n">
        <v>85.84325</v>
      </c>
      <c r="AO697" t="n">
        <v>87.28537</v>
      </c>
      <c r="AP697" t="n">
        <v>90.06729</v>
      </c>
      <c r="AQ697" t="n">
        <v/>
      </c>
      <c r="AR697" t="n">
        <v/>
      </c>
      <c r="AS697" t="n">
        <v>83.87497999999999</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88.31926</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86.10429999999999</v>
      </c>
      <c r="AN698" t="n">
        <v>85.50852</v>
      </c>
      <c r="AO698" t="n">
        <v>87.28537</v>
      </c>
      <c r="AP698" t="n">
        <v>89.27776</v>
      </c>
      <c r="AQ698" t="n">
        <v/>
      </c>
      <c r="AR698" t="n">
        <v/>
      </c>
      <c r="AS698" t="n">
        <v>84.92572</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88.65488000000001</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86.40127</v>
      </c>
      <c r="AN699" t="n">
        <v>85.7692</v>
      </c>
      <c r="AO699" t="n">
        <v>87.28537</v>
      </c>
      <c r="AP699" t="n">
        <v>89.37974</v>
      </c>
      <c r="AQ699" t="n">
        <v/>
      </c>
      <c r="AR699" t="n">
        <v/>
      </c>
      <c r="AS699" t="n">
        <v>85.17778</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88.94906</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86.74739</v>
      </c>
      <c r="AN700" t="n">
        <v>86.16164000000001</v>
      </c>
      <c r="AO700" t="n">
        <v>87.37231</v>
      </c>
      <c r="AP700" t="n">
        <v>90.86806</v>
      </c>
      <c r="AQ700" t="n">
        <v/>
      </c>
      <c r="AR700" t="n">
        <v/>
      </c>
      <c r="AS700" t="n">
        <v>85.16701999999999</v>
      </c>
      <c r="AT700" t="n">
        <v>90.0715</v>
      </c>
      <c r="AU700" t="n">
        <v>94.12166000000001</v>
      </c>
      <c r="AV700" t="n">
        <v>56.04319</v>
      </c>
      <c r="AW700" t="n">
        <v>86.65678</v>
      </c>
      <c r="AX700" t="n">
        <v>64.43473</v>
      </c>
    </row>
    <row r="701">
      <c r="A701" s="92"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89.1601</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87.03013</v>
      </c>
      <c r="AN701" t="n">
        <v>86.58165</v>
      </c>
      <c r="AO701" t="n">
        <v>87.54619</v>
      </c>
      <c r="AP701" t="n">
        <v>91.64733</v>
      </c>
      <c r="AQ701" t="n">
        <v/>
      </c>
      <c r="AR701" t="n">
        <v/>
      </c>
      <c r="AS701" t="n">
        <v>85.20905</v>
      </c>
      <c r="AT701" t="n">
        <v>90.49151000000001</v>
      </c>
      <c r="AU701" t="n">
        <v>94.54389</v>
      </c>
      <c r="AV701" t="n">
        <v>56.87246</v>
      </c>
      <c r="AW701" t="n">
        <v>86.81694</v>
      </c>
      <c r="AX701" t="n">
        <v>64.72020000000001</v>
      </c>
    </row>
    <row r="702">
      <c r="A702" s="92"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89.22104</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87.12703999999999</v>
      </c>
      <c r="AN702" t="n">
        <v>86.78227</v>
      </c>
      <c r="AO702" t="n">
        <v>87.72006</v>
      </c>
      <c r="AP702" t="n">
        <v>91.72938000000001</v>
      </c>
      <c r="AQ702" t="n">
        <v/>
      </c>
      <c r="AR702" t="n">
        <v/>
      </c>
      <c r="AS702" t="n">
        <v>85.04337</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89.25112</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87.18078</v>
      </c>
      <c r="AN703" t="n">
        <v>86.86360000000001</v>
      </c>
      <c r="AO703" t="n">
        <v>87.89394</v>
      </c>
      <c r="AP703" t="n">
        <v>91.72313</v>
      </c>
      <c r="AQ703" t="n">
        <v/>
      </c>
      <c r="AR703" t="n">
        <v/>
      </c>
      <c r="AS703" t="n">
        <v>85.39122999999999</v>
      </c>
      <c r="AT703" t="n">
        <v>91.73153000000001</v>
      </c>
      <c r="AU703" t="n">
        <v>94.86224</v>
      </c>
      <c r="AV703" t="n">
        <v>58.10616</v>
      </c>
      <c r="AW703" t="n">
        <v>86.88422</v>
      </c>
      <c r="AX703" t="n">
        <v>65.25467</v>
      </c>
    </row>
    <row r="704">
      <c r="A704" s="92"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89.33058</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87.20365</v>
      </c>
      <c r="AN704" t="n">
        <v>86.72006</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2"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89.52508</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87.34987</v>
      </c>
      <c r="AN705" t="n">
        <v>86.84166999999999</v>
      </c>
      <c r="AO705" t="n">
        <v>87.807</v>
      </c>
      <c r="AP705" t="n">
        <v>90.72926</v>
      </c>
      <c r="AQ705" t="n">
        <v/>
      </c>
      <c r="AR705" t="n">
        <v/>
      </c>
      <c r="AS705" t="n">
        <v>85.57732</v>
      </c>
      <c r="AT705" t="n">
        <v>92.15154</v>
      </c>
      <c r="AU705" t="n">
        <v>94.74496000000001</v>
      </c>
      <c r="AV705" t="n">
        <v>57.16251</v>
      </c>
      <c r="AW705" t="n">
        <v>87.14718999999999</v>
      </c>
      <c r="AX705" t="n">
        <v>66.08727</v>
      </c>
    </row>
    <row r="706">
      <c r="A706" s="92"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89.64841</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87.5153</v>
      </c>
      <c r="AN706" t="n">
        <v>86.98717000000001</v>
      </c>
      <c r="AO706" t="n">
        <v>87.89394</v>
      </c>
      <c r="AP706" t="n">
        <v>91.39718999999999</v>
      </c>
      <c r="AQ706" t="n">
        <v/>
      </c>
      <c r="AR706" t="n">
        <v/>
      </c>
      <c r="AS706" t="n">
        <v>85.72863</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89.84711</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87.7711</v>
      </c>
      <c r="AN707" t="n">
        <v>87.27446999999999</v>
      </c>
      <c r="AO707" t="n">
        <v>88.06780999999999</v>
      </c>
      <c r="AP707" t="n">
        <v>91.91892</v>
      </c>
      <c r="AQ707" t="n">
        <v/>
      </c>
      <c r="AR707" t="n">
        <v/>
      </c>
      <c r="AS707" t="n">
        <v>85.86494</v>
      </c>
      <c r="AT707" t="n">
        <v>92.38154</v>
      </c>
      <c r="AU707" t="n">
        <v>96.31326</v>
      </c>
      <c r="AV707" t="n">
        <v>58.2328</v>
      </c>
      <c r="AW707" t="n">
        <v>87.64543999999999</v>
      </c>
      <c r="AX707" t="n">
        <v>66.87553</v>
      </c>
    </row>
    <row r="708">
      <c r="A708" s="92"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89.90589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87.89024000000001</v>
      </c>
      <c r="AN708" t="n">
        <v>87.47628</v>
      </c>
      <c r="AO708" t="n">
        <v>88.15475000000001</v>
      </c>
      <c r="AP708" t="n">
        <v>92.05638</v>
      </c>
      <c r="AQ708" t="n">
        <v/>
      </c>
      <c r="AR708" t="n">
        <v/>
      </c>
      <c r="AS708" t="n">
        <v>86.17829999999999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89.99284</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87.99187999999999</v>
      </c>
      <c r="AN709" t="n">
        <v>87.77365</v>
      </c>
      <c r="AO709" t="n">
        <v>88.32862</v>
      </c>
      <c r="AP709" t="n">
        <v>92.09866</v>
      </c>
      <c r="AQ709" t="n">
        <v/>
      </c>
      <c r="AR709" t="n">
        <v/>
      </c>
      <c r="AS709" t="n">
        <v>86.29253</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89.99302</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87.98182</v>
      </c>
      <c r="AN710" t="n">
        <v>87.3734</v>
      </c>
      <c r="AO710" t="n">
        <v>88.76331</v>
      </c>
      <c r="AP710" t="n">
        <v>91.49068</v>
      </c>
      <c r="AQ710" t="n">
        <v/>
      </c>
      <c r="AR710" t="n">
        <v/>
      </c>
      <c r="AS710" t="n">
        <v>87.30719000000001</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90.23206999999999</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88.21975999999999</v>
      </c>
      <c r="AN711" t="n">
        <v>87.61659</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90.6101</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88.66052000000001</v>
      </c>
      <c r="AN712" t="n">
        <v>88.12221</v>
      </c>
      <c r="AO712" t="n">
        <v>89.11105999999999</v>
      </c>
      <c r="AP712" t="n">
        <v>93.09363</v>
      </c>
      <c r="AQ712" t="n">
        <v/>
      </c>
      <c r="AR712" t="n">
        <v/>
      </c>
      <c r="AS712" t="n">
        <v>87.94288</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90.68543</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88.86398</v>
      </c>
      <c r="AN713" t="n">
        <v>88.4315</v>
      </c>
      <c r="AO713" t="n">
        <v>89.37187</v>
      </c>
      <c r="AP713" t="n">
        <v>93.27171</v>
      </c>
      <c r="AQ713" t="n">
        <v/>
      </c>
      <c r="AR713" t="n">
        <v/>
      </c>
      <c r="AS713" t="n">
        <v>87.93286999999999</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90.81946000000001</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89.06102</v>
      </c>
      <c r="AN714" t="n">
        <v>88.77011</v>
      </c>
      <c r="AO714" t="n">
        <v>89.54575</v>
      </c>
      <c r="AP714" t="n">
        <v>93.38849999999999</v>
      </c>
      <c r="AQ714" t="n">
        <v/>
      </c>
      <c r="AR714" t="n">
        <v/>
      </c>
      <c r="AS714" t="n">
        <v>88.02843</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90.95281</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89.20644</v>
      </c>
      <c r="AN715" t="n">
        <v>88.90282000000001</v>
      </c>
      <c r="AO715" t="n">
        <v>89.80656</v>
      </c>
      <c r="AP715" t="n">
        <v>93.43518</v>
      </c>
      <c r="AQ715" t="n">
        <v/>
      </c>
      <c r="AR715" t="n">
        <v/>
      </c>
      <c r="AS715" t="n">
        <v>88.21069</v>
      </c>
      <c r="AT715" t="n">
        <v>95.37159</v>
      </c>
      <c r="AU715" t="n">
        <v>97.08401000000001</v>
      </c>
      <c r="AV715" t="n">
        <v>62.40775</v>
      </c>
      <c r="AW715" t="n">
        <v>88.98085</v>
      </c>
      <c r="AX715" t="n">
        <v>70.55280999999999</v>
      </c>
    </row>
    <row r="716">
      <c r="A716" s="92"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91.10104</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89.30669</v>
      </c>
      <c r="AN716" t="n">
        <v>88.81295</v>
      </c>
      <c r="AO716" t="n">
        <v>89.98044</v>
      </c>
      <c r="AP716" t="n">
        <v>92.75852</v>
      </c>
      <c r="AQ716" t="n">
        <v/>
      </c>
      <c r="AR716" t="n">
        <v/>
      </c>
      <c r="AS716" t="n">
        <v>88.52616999999999</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91.32601</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89.51125</v>
      </c>
      <c r="AN717" t="n">
        <v>89.03668999999999</v>
      </c>
      <c r="AO717" t="n">
        <v>90.06738</v>
      </c>
      <c r="AP717" t="n">
        <v>92.46898</v>
      </c>
      <c r="AQ717" t="n">
        <v/>
      </c>
      <c r="AR717" t="n">
        <v/>
      </c>
      <c r="AS717" t="n">
        <v>89.02225</v>
      </c>
      <c r="AT717" t="n">
        <v>95.23159</v>
      </c>
      <c r="AU717" t="n">
        <v>97.01363000000001</v>
      </c>
      <c r="AV717" t="n">
        <v>61.72554</v>
      </c>
      <c r="AW717" t="n">
        <v>89.36187</v>
      </c>
      <c r="AX717" t="n">
        <v>71.32451</v>
      </c>
    </row>
    <row r="718">
      <c r="A718" s="92"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91.42435</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89.69246</v>
      </c>
      <c r="AN718" t="n">
        <v>89.17957</v>
      </c>
      <c r="AO718" t="n">
        <v>90.32819000000001</v>
      </c>
      <c r="AP718" t="n">
        <v>93.44363</v>
      </c>
      <c r="AQ718" t="n">
        <v/>
      </c>
      <c r="AR718" t="n">
        <v/>
      </c>
      <c r="AS718" t="n">
        <v>89.77735</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91.48647</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89.86659</v>
      </c>
      <c r="AN719" t="n">
        <v>89.46951</v>
      </c>
      <c r="AO719" t="n">
        <v>90.50207</v>
      </c>
      <c r="AP719" t="n">
        <v>93.79783999999999</v>
      </c>
      <c r="AQ719" t="n">
        <v/>
      </c>
      <c r="AR719" t="n">
        <v/>
      </c>
      <c r="AS719" t="n">
        <v>90.31925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91.42364999999999</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89.88283</v>
      </c>
      <c r="AN720" t="n">
        <v>89.55687</v>
      </c>
      <c r="AO720" t="n">
        <v>90.589</v>
      </c>
      <c r="AP720" t="n">
        <v>93.65906</v>
      </c>
      <c r="AQ720" t="n">
        <v/>
      </c>
      <c r="AR720" t="n">
        <v/>
      </c>
      <c r="AS720" t="n">
        <v>90.91001</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91.34665</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89.84961</v>
      </c>
      <c r="AN721" t="n">
        <v>89.67178</v>
      </c>
      <c r="AO721" t="n">
        <v>90.67594</v>
      </c>
      <c r="AP721" t="n">
        <v>93.58955</v>
      </c>
      <c r="AQ721" t="n">
        <v/>
      </c>
      <c r="AR721" t="n">
        <v/>
      </c>
      <c r="AS721" t="n">
        <v>90.97387999999999</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91.25233</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89.72187</v>
      </c>
      <c r="AN722" t="n">
        <v>89.18791</v>
      </c>
      <c r="AO722" t="n">
        <v>90.84981999999999</v>
      </c>
      <c r="AP722" t="n">
        <v>93.07315</v>
      </c>
      <c r="AQ722" t="n">
        <v/>
      </c>
      <c r="AR722" t="n">
        <v/>
      </c>
      <c r="AS722" t="n">
        <v>91.55365</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91.59569999999999</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90.00248999999999</v>
      </c>
      <c r="AN723" t="n">
        <v>89.4473</v>
      </c>
      <c r="AO723" t="n">
        <v>91.02369</v>
      </c>
      <c r="AP723" t="n">
        <v>92.99898</v>
      </c>
      <c r="AQ723" t="n">
        <v/>
      </c>
      <c r="AR723" t="n">
        <v/>
      </c>
      <c r="AS723" t="n">
        <v>91.57375</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91.91027</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90.34116</v>
      </c>
      <c r="AN724" t="n">
        <v>89.75639</v>
      </c>
      <c r="AO724" t="n">
        <v>91.37144000000001</v>
      </c>
      <c r="AP724" t="n">
        <v>94.25078000000001</v>
      </c>
      <c r="AQ724" t="n">
        <v/>
      </c>
      <c r="AR724" t="n">
        <v/>
      </c>
      <c r="AS724" t="n">
        <v>91.39099</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92.11253000000001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90.58804000000001</v>
      </c>
      <c r="AN725" t="n">
        <v>90.07859999999999</v>
      </c>
      <c r="AO725" t="n">
        <v>91.71919</v>
      </c>
      <c r="AP725" t="n">
        <v>94.53225999999999</v>
      </c>
      <c r="AQ725" t="n">
        <v/>
      </c>
      <c r="AR725" t="n">
        <v/>
      </c>
      <c r="AS725" t="n">
        <v>91.49927</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92.14346</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90.661</v>
      </c>
      <c r="AN726" t="n">
        <v>90.25333000000001</v>
      </c>
      <c r="AO726" t="n">
        <v>91.98</v>
      </c>
      <c r="AP726" t="n">
        <v>94.34395000000001</v>
      </c>
      <c r="AQ726" t="n">
        <v/>
      </c>
      <c r="AR726" t="n">
        <v/>
      </c>
      <c r="AS726" t="n">
        <v>91.43977</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92.1692</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90.70542</v>
      </c>
      <c r="AN727" t="n">
        <v>90.28595</v>
      </c>
      <c r="AO727" t="n">
        <v>92.24081</v>
      </c>
      <c r="AP727" t="n">
        <v>94.4289</v>
      </c>
      <c r="AQ727" t="n">
        <v/>
      </c>
      <c r="AR727" t="n">
        <v/>
      </c>
      <c r="AS727" t="n">
        <v>91.80124000000001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92.18951</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90.72086</v>
      </c>
      <c r="AN728" t="n">
        <v>90.25314</v>
      </c>
      <c r="AO728" t="n">
        <v>92.58857</v>
      </c>
      <c r="AP728" t="n">
        <v>94.11360999999999</v>
      </c>
      <c r="AQ728" t="n">
        <v/>
      </c>
      <c r="AR728" t="n">
        <v/>
      </c>
      <c r="AS728" t="n">
        <v>92.06448</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92.35039999999999</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90.84917</v>
      </c>
      <c r="AN729" t="n">
        <v>90.44208999999999</v>
      </c>
      <c r="AO729" t="n">
        <v>92.58857</v>
      </c>
      <c r="AP729" t="n">
        <v>93.65940999999999</v>
      </c>
      <c r="AQ729" t="n">
        <v/>
      </c>
      <c r="AR729" t="n">
        <v/>
      </c>
      <c r="AS729" t="n">
        <v>92.17175</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92.44971</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90.99894</v>
      </c>
      <c r="AN730" t="n">
        <v>90.51527</v>
      </c>
      <c r="AO730" t="n">
        <v>92.76244</v>
      </c>
      <c r="AP730" t="n">
        <v>94.08273</v>
      </c>
      <c r="AQ730" t="n">
        <v/>
      </c>
      <c r="AR730" t="n">
        <v/>
      </c>
      <c r="AS730" t="n">
        <v>92.20854</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92.58976</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91.21523000000001</v>
      </c>
      <c r="AN731" t="n">
        <v>90.79608</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92.49046</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91.18736</v>
      </c>
      <c r="AN732" t="n">
        <v>90.82764</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92.51712000000001</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91.21735</v>
      </c>
      <c r="AN733" t="n">
        <v>91.07807</v>
      </c>
      <c r="AO733" t="n">
        <v>92.76244</v>
      </c>
      <c r="AP733" t="n">
        <v>94.46084999999999</v>
      </c>
      <c r="AQ733" t="n">
        <v/>
      </c>
      <c r="AR733" t="n">
        <v/>
      </c>
      <c r="AS733" t="n">
        <v>92.56077999999999</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92.31973000000001</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91.07738000000001</v>
      </c>
      <c r="AN734" t="n">
        <v>90.60599999999999</v>
      </c>
      <c r="AO734" t="n">
        <v>93.02325</v>
      </c>
      <c r="AP734" t="n">
        <v>93.50288</v>
      </c>
      <c r="AQ734" t="n">
        <v/>
      </c>
      <c r="AR734" t="n">
        <v/>
      </c>
      <c r="AS734" t="n">
        <v>92.80809000000001</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92.56734</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91.30286</v>
      </c>
      <c r="AN735" t="n">
        <v>90.87011</v>
      </c>
      <c r="AO735" t="n">
        <v>93.02325</v>
      </c>
      <c r="AP735" t="n">
        <v>93.53779</v>
      </c>
      <c r="AQ735" t="n">
        <v/>
      </c>
      <c r="AR735" t="n">
        <v/>
      </c>
      <c r="AS735" t="n">
        <v>92.75891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92.75697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91.55377</v>
      </c>
      <c r="AN736" t="n">
        <v>91.26875</v>
      </c>
      <c r="AO736" t="n">
        <v>93.19713</v>
      </c>
      <c r="AP736" t="n">
        <v>94.73126000000001</v>
      </c>
      <c r="AQ736" t="n">
        <v/>
      </c>
      <c r="AR736" t="n">
        <v/>
      </c>
      <c r="AS736" t="n">
        <v>92.74011</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92.79615</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91.68615</v>
      </c>
      <c r="AN737" t="n">
        <v>91.56328999999999</v>
      </c>
      <c r="AO737" t="n">
        <v>93.37101</v>
      </c>
      <c r="AP737" t="n">
        <v>94.92223</v>
      </c>
      <c r="AQ737" t="n">
        <v/>
      </c>
      <c r="AR737" t="n">
        <v/>
      </c>
      <c r="AS737" t="n">
        <v>92.79458</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92.81567</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91.76611</v>
      </c>
      <c r="AN738" t="n">
        <v>91.73998</v>
      </c>
      <c r="AO738" t="n">
        <v>93.45795</v>
      </c>
      <c r="AP738" t="n">
        <v>95.04839</v>
      </c>
      <c r="AQ738" t="n">
        <v/>
      </c>
      <c r="AR738" t="n">
        <v/>
      </c>
      <c r="AS738" t="n">
        <v>92.7469</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92.83868</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91.80305</v>
      </c>
      <c r="AN739" t="n">
        <v>91.80459999999999</v>
      </c>
      <c r="AO739" t="n">
        <v>93.63182</v>
      </c>
      <c r="AP739" t="n">
        <v>95.14834999999999</v>
      </c>
      <c r="AQ739" t="n">
        <v/>
      </c>
      <c r="AR739" t="n">
        <v/>
      </c>
      <c r="AS739" t="n">
        <v>92.83499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92.82585</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91.77325999999999</v>
      </c>
      <c r="AN740" t="n">
        <v>91.68554</v>
      </c>
      <c r="AO740" t="n">
        <v>93.71876</v>
      </c>
      <c r="AP740" t="n">
        <v>95.26298</v>
      </c>
      <c r="AQ740" t="n">
        <v/>
      </c>
      <c r="AR740" t="n">
        <v/>
      </c>
      <c r="AS740" t="n">
        <v>92.90794</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92.99195</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91.89601</v>
      </c>
      <c r="AN741" t="n">
        <v>91.86615999999999</v>
      </c>
      <c r="AO741" t="n">
        <v>93.63182</v>
      </c>
      <c r="AP741" t="n">
        <v>94.88905</v>
      </c>
      <c r="AQ741" t="n">
        <v/>
      </c>
      <c r="AR741" t="n">
        <v/>
      </c>
      <c r="AS741" t="n">
        <v>92.95429</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93.04173</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91.99572000000001</v>
      </c>
      <c r="AN742" t="n">
        <v>91.90062</v>
      </c>
      <c r="AO742" t="n">
        <v>93.80569</v>
      </c>
      <c r="AP742" t="n">
        <v>95.20441</v>
      </c>
      <c r="AQ742" t="n">
        <v/>
      </c>
      <c r="AR742" t="n">
        <v/>
      </c>
      <c r="AS742" t="n">
        <v>92.97958</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93.17133</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92.1739</v>
      </c>
      <c r="AN743" t="n">
        <v>92.14725</v>
      </c>
      <c r="AO743" t="n">
        <v>93.97957</v>
      </c>
      <c r="AP743" t="n">
        <v>95.72555</v>
      </c>
      <c r="AQ743" t="n">
        <v/>
      </c>
      <c r="AR743" t="n">
        <v/>
      </c>
      <c r="AS743" t="n">
        <v>93.0652</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93.14333999999999</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92.19732999999999</v>
      </c>
      <c r="AN744" t="n">
        <v>92.23631</v>
      </c>
      <c r="AO744" t="n">
        <v>93.97957</v>
      </c>
      <c r="AP744" t="n">
        <v>95.85306</v>
      </c>
      <c r="AQ744" t="n">
        <v/>
      </c>
      <c r="AR744" t="n">
        <v/>
      </c>
      <c r="AS744" t="n">
        <v>93.05614</v>
      </c>
      <c r="AT744" t="n">
        <v>96.93162</v>
      </c>
      <c r="AU744" t="n">
        <v>97.63357999999999</v>
      </c>
      <c r="AV744" t="n">
        <v>70.70453999999999</v>
      </c>
      <c r="AW744" t="n">
        <v>91.67397</v>
      </c>
      <c r="AX744" t="n">
        <v>79.57608999999999</v>
      </c>
    </row>
    <row r="745">
      <c r="A745" s="92"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93.16414</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92.24536999999999</v>
      </c>
      <c r="AN745" t="n">
        <v>92.44417</v>
      </c>
      <c r="AO745" t="n">
        <v>94.06650999999999</v>
      </c>
      <c r="AP745" t="n">
        <v>95.86958</v>
      </c>
      <c r="AQ745" t="n">
        <v/>
      </c>
      <c r="AR745" t="n">
        <v/>
      </c>
      <c r="AS745" t="n">
        <v>93.0937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93.08983000000001</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92.16141</v>
      </c>
      <c r="AN746" t="n">
        <v>92.03971</v>
      </c>
      <c r="AO746" t="n">
        <v>94.41426</v>
      </c>
      <c r="AP746" t="n">
        <v>96.09336</v>
      </c>
      <c r="AQ746" t="n">
        <v/>
      </c>
      <c r="AR746" t="n">
        <v/>
      </c>
      <c r="AS746" t="n">
        <v>93.69342</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93.40212</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92.43952</v>
      </c>
      <c r="AN747" t="n">
        <v>92.32953999999999</v>
      </c>
      <c r="AO747" t="n">
        <v>94.5012</v>
      </c>
      <c r="AP747" t="n">
        <v>95.94314</v>
      </c>
      <c r="AQ747" t="n">
        <v/>
      </c>
      <c r="AR747" t="n">
        <v/>
      </c>
      <c r="AS747" t="n">
        <v>93.82216</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93.69105999999999</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92.7851</v>
      </c>
      <c r="AN748" t="n">
        <v>92.84518</v>
      </c>
      <c r="AO748" t="n">
        <v>94.93588</v>
      </c>
      <c r="AP748" t="n">
        <v>97.69423</v>
      </c>
      <c r="AQ748" t="n">
        <v/>
      </c>
      <c r="AR748" t="n">
        <v/>
      </c>
      <c r="AS748" t="n">
        <v>94.09892000000001</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93.8541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93.03664999999999</v>
      </c>
      <c r="AN749" t="n">
        <v>93.29433</v>
      </c>
      <c r="AO749" t="n">
        <v>95.28363</v>
      </c>
      <c r="AP749" t="n">
        <v>98.08015</v>
      </c>
      <c r="AQ749" t="n">
        <v/>
      </c>
      <c r="AR749" t="n">
        <v/>
      </c>
      <c r="AS749" t="n">
        <v>94.44292</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93.99961999999999</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93.22015</v>
      </c>
      <c r="AN750" t="n">
        <v>93.46449</v>
      </c>
      <c r="AO750" t="n">
        <v>95.63139</v>
      </c>
      <c r="AP750" t="n">
        <v>98.0351</v>
      </c>
      <c r="AQ750" t="n">
        <v/>
      </c>
      <c r="AR750" t="n">
        <v/>
      </c>
      <c r="AS750" t="n">
        <v>94.61345</v>
      </c>
      <c r="AT750" t="n">
        <v>97.59162999999999</v>
      </c>
      <c r="AU750" t="n">
        <v>99.40965</v>
      </c>
      <c r="AV750" t="n">
        <v>73.43337</v>
      </c>
      <c r="AW750" t="n">
        <v>92.68823</v>
      </c>
      <c r="AX750" t="n">
        <v>81.35175</v>
      </c>
    </row>
    <row r="751">
      <c r="A751" s="92"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94.07031000000001</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93.29877</v>
      </c>
      <c r="AN751" t="n">
        <v>93.55925999999999</v>
      </c>
      <c r="AO751" t="n">
        <v>95.71832000000001</v>
      </c>
      <c r="AP751" t="n">
        <v>97.90518</v>
      </c>
      <c r="AQ751" t="n">
        <v/>
      </c>
      <c r="AR751" t="n">
        <v/>
      </c>
      <c r="AS751" t="n">
        <v>94.6698</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94.1198</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93.30389</v>
      </c>
      <c r="AN752" t="n">
        <v>93.40277</v>
      </c>
      <c r="AO752" t="n">
        <v>95.80526</v>
      </c>
      <c r="AP752" t="n">
        <v>97.67258</v>
      </c>
      <c r="AQ752" t="n">
        <v/>
      </c>
      <c r="AR752" t="n">
        <v/>
      </c>
      <c r="AS752" t="n">
        <v>94.89225999999999</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94.42411</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93.54422</v>
      </c>
      <c r="AN753" t="n">
        <v>93.65728</v>
      </c>
      <c r="AO753" t="n">
        <v>95.97913</v>
      </c>
      <c r="AP753" t="n">
        <v>97.02602</v>
      </c>
      <c r="AQ753" t="n">
        <v/>
      </c>
      <c r="AR753" t="n">
        <v/>
      </c>
      <c r="AS753" t="n">
        <v>94.85424</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94.53898</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93.71886000000001</v>
      </c>
      <c r="AN754" t="n">
        <v>93.86718999999999</v>
      </c>
      <c r="AO754" t="n">
        <v>96.15300999999999</v>
      </c>
      <c r="AP754" t="n">
        <v>98.02254000000001</v>
      </c>
      <c r="AQ754" t="n">
        <v/>
      </c>
      <c r="AR754" t="n">
        <v/>
      </c>
      <c r="AS754" t="n">
        <v>95.23107</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94.68048</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93.94833</v>
      </c>
      <c r="AN755" t="n">
        <v>94.25194999999999</v>
      </c>
      <c r="AO755" t="n">
        <v>96.41383</v>
      </c>
      <c r="AP755" t="n">
        <v>98.57178999999999</v>
      </c>
      <c r="AQ755" t="n">
        <v/>
      </c>
      <c r="AR755" t="n">
        <v/>
      </c>
      <c r="AS755" t="n">
        <v>95.36623</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94.66951</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94.00657</v>
      </c>
      <c r="AN756" t="n">
        <v>94.39824</v>
      </c>
      <c r="AO756" t="n">
        <v>96.67464</v>
      </c>
      <c r="AP756" t="n">
        <v>98.44849000000001</v>
      </c>
      <c r="AQ756" t="n">
        <v/>
      </c>
      <c r="AR756" t="n">
        <v/>
      </c>
      <c r="AS756" t="n">
        <v>95.86848000000001</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94.7253</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94.07896</v>
      </c>
      <c r="AN757" t="n">
        <v>94.60832000000001</v>
      </c>
      <c r="AO757" t="n">
        <v>96.84851</v>
      </c>
      <c r="AP757" t="n">
        <v>98.44859</v>
      </c>
      <c r="AQ757" t="n">
        <v/>
      </c>
      <c r="AR757" t="n">
        <v/>
      </c>
      <c r="AS757" t="n">
        <v>95.95207000000001</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94.6767</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93.994</v>
      </c>
      <c r="AN758" t="n">
        <v>94.12151</v>
      </c>
      <c r="AO758" t="n">
        <v>96.67464</v>
      </c>
      <c r="AP758" t="n">
        <v>98.22649</v>
      </c>
      <c r="AQ758" t="n">
        <v/>
      </c>
      <c r="AR758" t="n">
        <v/>
      </c>
      <c r="AS758" t="n">
        <v>96.44503</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94.96158</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94.24656</v>
      </c>
      <c r="AN759" t="n">
        <v>94.36427</v>
      </c>
      <c r="AO759" t="n">
        <v>96.93545</v>
      </c>
      <c r="AP759" t="n">
        <v>98.13732</v>
      </c>
      <c r="AQ759" t="n">
        <v/>
      </c>
      <c r="AR759" t="n">
        <v/>
      </c>
      <c r="AS759" t="n">
        <v>96.63503</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95.33399</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94.61497</v>
      </c>
      <c r="AN760" t="n">
        <v>94.89326</v>
      </c>
      <c r="AO760" t="n">
        <v>97.19626</v>
      </c>
      <c r="AP760" t="n">
        <v>99.3659</v>
      </c>
      <c r="AQ760" t="n">
        <v/>
      </c>
      <c r="AR760" t="n">
        <v/>
      </c>
      <c r="AS760" t="n">
        <v>96.87348</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95.55088000000001</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94.91388000000001</v>
      </c>
      <c r="AN761" t="n">
        <v>95.29987</v>
      </c>
      <c r="AO761" t="n">
        <v>97.71789</v>
      </c>
      <c r="AP761" t="n">
        <v>99.54424</v>
      </c>
      <c r="AQ761" t="n">
        <v/>
      </c>
      <c r="AR761" t="n">
        <v/>
      </c>
      <c r="AS761" t="n">
        <v>97.34944</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95.62743</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95.03036</v>
      </c>
      <c r="AN762" t="n">
        <v>95.46872999999999</v>
      </c>
      <c r="AO762" t="n">
        <v>97.71789</v>
      </c>
      <c r="AP762" t="n">
        <v>99.38571</v>
      </c>
      <c r="AQ762" t="n">
        <v/>
      </c>
      <c r="AR762" t="n">
        <v/>
      </c>
      <c r="AS762" t="n">
        <v>97.41827000000001</v>
      </c>
      <c r="AT762" t="n">
        <v>98.54164</v>
      </c>
      <c r="AU762" t="n">
        <v>100.6764</v>
      </c>
      <c r="AV762" t="n">
        <v>80.11247</v>
      </c>
      <c r="AW762" t="n">
        <v>94.78032</v>
      </c>
      <c r="AX762" t="n">
        <v>84.97792</v>
      </c>
    </row>
    <row r="763">
      <c r="A763" s="92"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95.65689999999999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95.07174000000001</v>
      </c>
      <c r="AN763" t="n">
        <v>95.50792</v>
      </c>
      <c r="AO763" t="n">
        <v>97.80482000000001</v>
      </c>
      <c r="AP763" t="n">
        <v>99.25691</v>
      </c>
      <c r="AQ763" t="n">
        <v/>
      </c>
      <c r="AR763" t="n">
        <v/>
      </c>
      <c r="AS763" t="n">
        <v>97.49627</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95.65738</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95.05423999999999</v>
      </c>
      <c r="AN764" t="n">
        <v>95.44237</v>
      </c>
      <c r="AO764" t="n">
        <v>97.89176</v>
      </c>
      <c r="AP764" t="n">
        <v>98.92004</v>
      </c>
      <c r="AQ764" t="n">
        <v/>
      </c>
      <c r="AR764" t="n">
        <v/>
      </c>
      <c r="AS764" t="n">
        <v>97.67341999999999</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95.85271</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95.19248</v>
      </c>
      <c r="AN765" t="n">
        <v>95.58548999999999</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95.95408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95.35605</v>
      </c>
      <c r="AN766" t="n">
        <v>95.73981999999999</v>
      </c>
      <c r="AO766" t="n">
        <v>97.80482000000001</v>
      </c>
      <c r="AP766" t="n">
        <v>99.09838999999999</v>
      </c>
      <c r="AQ766" t="n">
        <v/>
      </c>
      <c r="AR766" t="n">
        <v/>
      </c>
      <c r="AS766" t="n">
        <v>98.07997</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96.11897999999999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95.58681</v>
      </c>
      <c r="AN767" t="n">
        <v>96.08815</v>
      </c>
      <c r="AO767" t="n">
        <v>98.06564</v>
      </c>
      <c r="AP767" t="n">
        <v>99.50461</v>
      </c>
      <c r="AQ767" t="n">
        <v/>
      </c>
      <c r="AR767" t="n">
        <v/>
      </c>
      <c r="AS767" t="n">
        <v>98.45947</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96.09643</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95.59557</v>
      </c>
      <c r="AN768" t="n">
        <v>96.14806</v>
      </c>
      <c r="AO768" t="n">
        <v>98.15257</v>
      </c>
      <c r="AP768" t="n">
        <v>99.48479</v>
      </c>
      <c r="AQ768" t="n">
        <v/>
      </c>
      <c r="AR768" t="n">
        <v/>
      </c>
      <c r="AS768" t="n">
        <v>98.51991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96.09054</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95.59934</v>
      </c>
      <c r="AN769" t="n">
        <v>96.31216000000001</v>
      </c>
      <c r="AO769" t="n">
        <v>98.06564</v>
      </c>
      <c r="AP769" t="n">
        <v>99.61359</v>
      </c>
      <c r="AQ769" t="n">
        <v/>
      </c>
      <c r="AR769" t="n">
        <v/>
      </c>
      <c r="AS769" t="n">
        <v>98.4817</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95.99867999999999</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95.49991</v>
      </c>
      <c r="AN770" t="n">
        <v>95.74093000000001</v>
      </c>
      <c r="AO770" t="n">
        <v>97.9787</v>
      </c>
      <c r="AP770" t="n">
        <v>97.89954</v>
      </c>
      <c r="AQ770" t="n">
        <v/>
      </c>
      <c r="AR770" t="n">
        <v/>
      </c>
      <c r="AS770" t="n">
        <v>98.74507</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96.29671</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95.76804</v>
      </c>
      <c r="AN771" t="n">
        <v>95.97722</v>
      </c>
      <c r="AO771" t="n">
        <v>97.89176</v>
      </c>
      <c r="AP771" t="n">
        <v>97.67165</v>
      </c>
      <c r="AQ771" t="n">
        <v/>
      </c>
      <c r="AR771" t="n">
        <v/>
      </c>
      <c r="AS771" t="n">
        <v>98.76954000000001</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96.65971</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96.14885</v>
      </c>
      <c r="AN772" t="n">
        <v>96.57495</v>
      </c>
      <c r="AO772" t="n">
        <v>98.15257</v>
      </c>
      <c r="AP772" t="n">
        <v>99.72257999999999</v>
      </c>
      <c r="AQ772" t="n">
        <v/>
      </c>
      <c r="AR772" t="n">
        <v/>
      </c>
      <c r="AS772" t="n">
        <v>98.89127000000001</v>
      </c>
      <c r="AT772" t="n">
        <v>98.10164</v>
      </c>
      <c r="AU772" t="n">
        <v>100.1804</v>
      </c>
      <c r="AV772" t="n">
        <v>82.85765000000001</v>
      </c>
      <c r="AW772" t="n">
        <v>96.20448</v>
      </c>
      <c r="AX772" t="n">
        <v>89.25841</v>
      </c>
    </row>
    <row r="773">
      <c r="A773" s="92"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96.70193999999999</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96.29537000000001</v>
      </c>
      <c r="AN773" t="n">
        <v>96.7338</v>
      </c>
      <c r="AO773" t="n">
        <v>98.76114</v>
      </c>
      <c r="AP773" t="n">
        <v>99.85138000000001</v>
      </c>
      <c r="AQ773" t="n">
        <v/>
      </c>
      <c r="AR773" t="n">
        <v/>
      </c>
      <c r="AS773" t="n">
        <v>99.00235000000001</v>
      </c>
      <c r="AT773" t="n">
        <v>98.99165000000001</v>
      </c>
      <c r="AU773" t="n">
        <v>100.0028</v>
      </c>
      <c r="AV773" t="n">
        <v>84.04232</v>
      </c>
      <c r="AW773" t="n">
        <v>96.28044</v>
      </c>
      <c r="AX773" t="n">
        <v>89.42482</v>
      </c>
    </row>
    <row r="774">
      <c r="A774" s="92"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96.84307</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96.47032</v>
      </c>
      <c r="AN774" t="n">
        <v>97.01984</v>
      </c>
      <c r="AO774" t="n">
        <v>98.6742</v>
      </c>
      <c r="AP774" t="n">
        <v>99.92074</v>
      </c>
      <c r="AQ774" t="n">
        <v/>
      </c>
      <c r="AR774" t="n">
        <v/>
      </c>
      <c r="AS774" t="n">
        <v>99.05135</v>
      </c>
      <c r="AT774" t="n">
        <v>99.30166</v>
      </c>
      <c r="AU774" t="n">
        <v>100.1435</v>
      </c>
      <c r="AV774" t="n">
        <v>85.07993</v>
      </c>
      <c r="AW774" t="n">
        <v>96.37372999999999</v>
      </c>
      <c r="AX774" t="n">
        <v>89.47017</v>
      </c>
    </row>
    <row r="775">
      <c r="A775" s="92"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96.88683</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96.51909999999999</v>
      </c>
      <c r="AN775" t="n">
        <v>97.06358</v>
      </c>
      <c r="AO775" t="n">
        <v>98.6742</v>
      </c>
      <c r="AP775" t="n">
        <v>99.89100999999999</v>
      </c>
      <c r="AQ775" t="n">
        <v/>
      </c>
      <c r="AR775" t="n">
        <v/>
      </c>
      <c r="AS775" t="n">
        <v>98.95350999999999</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96.94508</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96.55132</v>
      </c>
      <c r="AN776" t="n">
        <v>97.02571</v>
      </c>
      <c r="AO776" t="n">
        <v>99.28277</v>
      </c>
      <c r="AP776" t="n">
        <v>99.37581</v>
      </c>
      <c r="AQ776" t="n">
        <v/>
      </c>
      <c r="AR776" t="n">
        <v/>
      </c>
      <c r="AS776" t="n">
        <v>98.98560000000001</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97.17735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96.71284</v>
      </c>
      <c r="AN777" t="n">
        <v>97.18968</v>
      </c>
      <c r="AO777" t="n">
        <v>99.19582</v>
      </c>
      <c r="AP777" t="n">
        <v>98.46428</v>
      </c>
      <c r="AQ777" t="n">
        <v/>
      </c>
      <c r="AR777" t="n">
        <v/>
      </c>
      <c r="AS777" t="n">
        <v>99.04895</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97.29446</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96.88467</v>
      </c>
      <c r="AN778" t="n">
        <v>97.33009</v>
      </c>
      <c r="AO778" t="n">
        <v>99.10889</v>
      </c>
      <c r="AP778" t="n">
        <v>99.43525</v>
      </c>
      <c r="AQ778" t="n">
        <v/>
      </c>
      <c r="AR778" t="n">
        <v/>
      </c>
      <c r="AS778" t="n">
        <v>99.03413999999999</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97.41916999999999</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97.08705999999999</v>
      </c>
      <c r="AN779" t="n">
        <v>97.55175</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97.44829</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97.13155999999999</v>
      </c>
      <c r="AN780" t="n">
        <v>97.62014000000001</v>
      </c>
      <c r="AO780" t="n">
        <v>99.36971</v>
      </c>
      <c r="AP780" t="n">
        <v>99.46496999999999</v>
      </c>
      <c r="AQ780" t="n">
        <v/>
      </c>
      <c r="AR780" t="n">
        <v/>
      </c>
      <c r="AS780" t="n">
        <v>99.20899</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98.10759</v>
      </c>
      <c r="N781" t="n">
        <v>98.95999999999999</v>
      </c>
      <c r="O781" t="n">
        <v>100.3238</v>
      </c>
      <c r="P781" t="n">
        <v>97.8466</v>
      </c>
      <c r="Q781" t="n">
        <v/>
      </c>
      <c r="R781" t="n">
        <v>98.66903000000001</v>
      </c>
      <c r="S781" t="n">
        <v>99.13145</v>
      </c>
      <c r="T781" t="n">
        <v/>
      </c>
      <c r="U781" t="n">
        <v>97.425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97.13927</v>
      </c>
      <c r="AN781" t="n">
        <v>97.71622000000001</v>
      </c>
      <c r="AO781" t="n">
        <v>99.28277</v>
      </c>
      <c r="AP781" t="n">
        <v>99.81175</v>
      </c>
      <c r="AQ781" t="n">
        <v/>
      </c>
      <c r="AR781" t="n">
        <v/>
      </c>
      <c r="AS781" t="n">
        <v>99.18707999999999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97.31931</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97.02724000000001</v>
      </c>
      <c r="AN782" t="n">
        <v>97.17722999999999</v>
      </c>
      <c r="AO782" t="n">
        <v>98.84808</v>
      </c>
      <c r="AP782" t="n">
        <v>97.97880000000001</v>
      </c>
      <c r="AQ782" t="n">
        <v/>
      </c>
      <c r="AR782" t="n">
        <v/>
      </c>
      <c r="AS782" t="n">
        <v>99.19632</v>
      </c>
      <c r="AT782" t="n">
        <v>97.70162999999999</v>
      </c>
      <c r="AU782" t="n">
        <v>99.19517999999999</v>
      </c>
      <c r="AV782" t="n">
        <v>88.34799</v>
      </c>
      <c r="AW782" t="n">
        <v>97.16013</v>
      </c>
      <c r="AX782" t="n">
        <v>91.86148</v>
      </c>
    </row>
    <row r="783">
      <c r="A783" s="92"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97.64691000000001</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97.32607</v>
      </c>
      <c r="AN783" t="n">
        <v>97.53021</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97.99254999999999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97.71832999999999</v>
      </c>
      <c r="AN784" t="n">
        <v>98.07961</v>
      </c>
      <c r="AO784" t="n">
        <v>99.28277</v>
      </c>
      <c r="AP784" t="n">
        <v>99.53433</v>
      </c>
      <c r="AQ784" t="n">
        <v/>
      </c>
      <c r="AR784" t="n">
        <v/>
      </c>
      <c r="AS784" t="n">
        <v>99.20483</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98.41811</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98.18362</v>
      </c>
      <c r="AN785" t="n">
        <v>98.47507</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98.8888</v>
      </c>
      <c r="N786" t="n">
        <v>99.25</v>
      </c>
      <c r="O786" t="n">
        <v>100.245</v>
      </c>
      <c r="P786" t="n">
        <v>99.03847</v>
      </c>
      <c r="Q786" t="n">
        <v/>
      </c>
      <c r="R786" t="n">
        <v>99.31999999999999</v>
      </c>
      <c r="S786" t="n">
        <v>99.72169</v>
      </c>
      <c r="T786" t="n">
        <v/>
      </c>
      <c r="U786" t="n">
        <v>98.554</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98.33401000000001</v>
      </c>
      <c r="AN786" t="n">
        <v>98.54778</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98.61243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98.40566</v>
      </c>
      <c r="AN787" t="n">
        <v>98.68795</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98.62033</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98.40322</v>
      </c>
      <c r="AN788" t="n">
        <v>98.5949</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98.80321000000001</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98.54525</v>
      </c>
      <c r="AN789" t="n">
        <v>98.80706000000001</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98.86944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98.64549</v>
      </c>
      <c r="AN790" t="n">
        <v>98.79216</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99.036</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98.87560000000001</v>
      </c>
      <c r="AN791" t="n">
        <v>99.01121999999999</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98.97658</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98.85674</v>
      </c>
      <c r="AN792" t="n">
        <v>99.02122</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98.93068</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98.84469</v>
      </c>
      <c r="AN793" t="n">
        <v>99.20184</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98.81649</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98.73555</v>
      </c>
      <c r="AN794" t="n">
        <v>98.56338</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99.17348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99.03677999999999</v>
      </c>
      <c r="AN795" t="n">
        <v>98.85402999999999</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99.54611</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99.43188000000001</v>
      </c>
      <c r="AN796" t="n">
        <v>99.29425000000001</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99.87322</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99.81022</v>
      </c>
      <c r="AN797" t="n">
        <v>99.81285</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100.2627</v>
      </c>
      <c r="N798" t="n">
        <v>100.52</v>
      </c>
      <c r="O798" t="n">
        <v>100.6874</v>
      </c>
      <c r="P798" t="n">
        <v>100.1736</v>
      </c>
      <c r="Q798" t="n">
        <v/>
      </c>
      <c r="R798" t="n">
        <v>99.73</v>
      </c>
      <c r="S798" t="n">
        <v>100.2969</v>
      </c>
      <c r="T798" t="n">
        <v/>
      </c>
      <c r="U798" t="n">
        <v>99.99196999999999</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99.98341000000001</v>
      </c>
      <c r="AN798" t="n">
        <v>100.0851</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100.0561</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100.064</v>
      </c>
      <c r="AN799" t="n">
        <v>100.1802</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100.1095</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100.1015</v>
      </c>
      <c r="AN800" t="n">
        <v>100.1507</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100.3069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100.3856</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100.4499</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100.4521</v>
      </c>
      <c r="AN802" t="n">
        <v>100.4453</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v>
      </c>
      <c r="N803" t="n">
        <v>100.87</v>
      </c>
      <c r="O803" t="n">
        <v>100.7841</v>
      </c>
      <c r="P803" t="n">
        <v>100.6844</v>
      </c>
      <c r="Q803" t="n">
        <v/>
      </c>
      <c r="R803" t="n">
        <v>100.66</v>
      </c>
      <c r="S803" t="n">
        <v>100.1009</v>
      </c>
      <c r="T803" t="n">
        <v/>
      </c>
      <c r="U803" t="n">
        <v>100.6248</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100.7237</v>
      </c>
      <c r="AN803" t="n">
        <v>100.7911</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100.5239</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100.6764</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100.5278</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100.7161</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100.481</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100.6466</v>
      </c>
      <c r="AN806" t="n">
        <v>100.266</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100.8592</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100.9846</v>
      </c>
      <c r="AN807" t="n">
        <v>100.4908</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101.2362</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101.3808</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101.4427</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101.6572</v>
      </c>
      <c r="AN809" t="n">
        <v>101.3858</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101.6636</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101.8914</v>
      </c>
      <c r="AN810" t="n">
        <v>101.7072</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101.7273</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101.9734</v>
      </c>
      <c r="AN811" t="n">
        <v>101.7765</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101.7565</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102.0159</v>
      </c>
      <c r="AN812" t="n">
        <v>101.8356</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101.9669</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102.197</v>
      </c>
      <c r="AN813" t="n">
        <v>102.0269</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102.0426</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102.2966</v>
      </c>
      <c r="AN814" t="n">
        <v>102.0378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102.1844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102.5185</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102.0711</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102.4697</v>
      </c>
      <c r="AN816" t="n">
        <v>102.1968</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102.1347</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102.5938</v>
      </c>
      <c r="AN817" t="n">
        <v>102.5597</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102.1288</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102.5807</v>
      </c>
      <c r="AN818" t="n">
        <v>101.9685</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102.4918</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102.9545</v>
      </c>
      <c r="AN819" t="n">
        <v>102.3149</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102.6843</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103.2451</v>
      </c>
      <c r="AN820" t="n">
        <v>102.9208</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102.9445</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103.6282</v>
      </c>
      <c r="AN821" t="n">
        <v>103.6029</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103.0403</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103.7574</v>
      </c>
      <c r="AN822" t="n">
        <v>103.7393</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103.1436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103.8614</v>
      </c>
      <c r="AN823" t="n">
        <v>103.9362</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103.1556</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103.8898</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103.4063</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104.0993</v>
      </c>
      <c r="AN825" t="n">
        <v>104.1998</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103.4701</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104.2099</v>
      </c>
      <c r="AN826" t="n">
        <v>104.2707</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103.6021</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104.4496</v>
      </c>
      <c r="AN827" t="n">
        <v>104.4405</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103.5004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104.4119</v>
      </c>
      <c r="AN828" t="n">
        <v>104.3737</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103.6105</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104.5533</v>
      </c>
      <c r="AN829" t="n">
        <v>104.6978</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103.649</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104.517</v>
      </c>
      <c r="AN830" t="n">
        <v>104.0738</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104.0423</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104.907</v>
      </c>
      <c r="AN831" t="n">
        <v>104.3963</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104.4581</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105.3355</v>
      </c>
      <c r="AN832" t="n">
        <v>105.0516</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104.6342</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105.6497</v>
      </c>
      <c r="AN833" t="n">
        <v>105.6076</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104.8402</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105.8983</v>
      </c>
      <c r="AN834" t="n">
        <v>106.0193</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104.897</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106.0219</v>
      </c>
      <c r="AN835" t="n">
        <v>106.2381</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103.3092</v>
      </c>
      <c r="N836" t="n">
        <v>103.18</v>
      </c>
      <c r="O836" t="n">
        <v>102.6349</v>
      </c>
      <c r="P836" t="n">
        <v>106.0762</v>
      </c>
      <c r="Q836" t="n">
        <v/>
      </c>
      <c r="R836" t="n">
        <v>102.39</v>
      </c>
      <c r="S836" t="n">
        <v>102.1396</v>
      </c>
      <c r="T836" t="n">
        <v/>
      </c>
      <c r="U836" t="n">
        <v>105.0013</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106.1242</v>
      </c>
      <c r="AN836" t="n">
        <v>106.3548</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105.1963</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106.3713</v>
      </c>
      <c r="AN837" t="n">
        <v>106.8443</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105.1861</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106.6371</v>
      </c>
      <c r="AN838" t="n">
        <v>107.3868</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105.3845</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106.9354</v>
      </c>
      <c r="AN839" t="n">
        <v>107.7524</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105.2526</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106.7654</v>
      </c>
      <c r="AN840" t="n">
        <v>107.2996</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105.3377</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106.8587</v>
      </c>
      <c r="AN841" t="n">
        <v>107.4905</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105.3846</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106.8112</v>
      </c>
      <c r="AN842" t="n">
        <v>106.8583</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105.7318</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107.1432</v>
      </c>
      <c r="AN843" t="n">
        <v>107.0865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106.0526</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107.4957</v>
      </c>
      <c r="AN844" t="n">
        <v>107.6369</v>
      </c>
      <c r="AO844" t="n">
        <v>102.1517</v>
      </c>
      <c r="AP844" t="n">
        <v>103.2597</v>
      </c>
      <c r="AQ844" t="n">
        <v/>
      </c>
      <c r="AR844" t="n">
        <v/>
      </c>
      <c r="AS844" t="n">
        <v>105.4979</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106.4079</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107.9676</v>
      </c>
      <c r="AN845" t="n">
        <v>108.4764</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106.4672</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108.0815</v>
      </c>
      <c r="AN846" t="n">
        <v>108.6194</v>
      </c>
      <c r="AO846" t="n">
        <v>102.8472</v>
      </c>
      <c r="AP846" t="n">
        <v>103.8046</v>
      </c>
      <c r="AQ846" t="n">
        <v/>
      </c>
      <c r="AR846" t="n">
        <v/>
      </c>
      <c r="AS846" t="n">
        <v>105.8916</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106.6692</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108.3071</v>
      </c>
      <c r="AN847" t="n">
        <v>108.9687</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106.8395</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108.4978</v>
      </c>
      <c r="AN848" t="n">
        <v>109.1743</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107.0911</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108.7666</v>
      </c>
      <c r="AN849" t="n">
        <v>109.5035</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107.0958</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108.8466</v>
      </c>
      <c r="AN850" t="n">
        <v>109.6107</v>
      </c>
      <c r="AO850" t="n">
        <v>103.7166</v>
      </c>
      <c r="AP850" t="n">
        <v>103.6362</v>
      </c>
      <c r="AQ850" t="n">
        <v/>
      </c>
      <c r="AR850" t="n">
        <v/>
      </c>
      <c r="AS850" t="n">
        <v>106.7557</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107.2907</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109.1169</v>
      </c>
      <c r="AN851" t="n">
        <v>109.9271</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107.1965</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109.0626</v>
      </c>
      <c r="AN852" t="n">
        <v>109.7512</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107.2432</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109.1604</v>
      </c>
      <c r="AN853" t="n">
        <v>110.0307</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107.3028</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109.1497</v>
      </c>
      <c r="AN854" t="n">
        <v>109.431</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107.7026</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109.5193</v>
      </c>
      <c r="AN855" t="n">
        <v>109.7211</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107.8437</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109.7404</v>
      </c>
      <c r="AN856" t="n">
        <v>110.2216</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107.6461</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109.6856</v>
      </c>
      <c r="AN857" t="n">
        <v>110.7883</v>
      </c>
      <c r="AO857" t="n">
        <v>106.7594</v>
      </c>
      <c r="AP857" t="n">
        <v>103.7452</v>
      </c>
      <c r="AQ857" t="n">
        <v/>
      </c>
      <c r="AR857" t="n">
        <v/>
      </c>
      <c r="AS857" t="n">
        <v>108.0527</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107.608</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109.7175</v>
      </c>
      <c r="AN858" t="n">
        <v>110.9862</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107.8117</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109.9908</v>
      </c>
      <c r="AN859" t="n">
        <v>111.4826</v>
      </c>
      <c r="AO859" t="n">
        <v>107.4549</v>
      </c>
      <c r="AP859" t="n">
        <v>104.2009</v>
      </c>
      <c r="AQ859" t="n">
        <v/>
      </c>
      <c r="AR859" t="n">
        <v/>
      </c>
      <c r="AS859" t="n">
        <v>108.328</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108.1816</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110.3265</v>
      </c>
      <c r="AN860" t="n">
        <v>111.6018</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108.38</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110.5151</v>
      </c>
      <c r="AN861" t="n">
        <v>111.6095</v>
      </c>
      <c r="AO861" t="n">
        <v>107.6288</v>
      </c>
      <c r="AP861" t="n">
        <v>102.1797</v>
      </c>
      <c r="AQ861" t="n">
        <v/>
      </c>
      <c r="AR861" t="n">
        <v/>
      </c>
      <c r="AS861" t="n">
        <v>108.6949</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108.4008</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110.6245</v>
      </c>
      <c r="AN862" t="n">
        <v>111.7273</v>
      </c>
      <c r="AO862" t="n">
        <v>108.0635</v>
      </c>
      <c r="AP862" t="n">
        <v>103.4479</v>
      </c>
      <c r="AQ862" t="n">
        <v/>
      </c>
      <c r="AR862" t="n">
        <v/>
      </c>
      <c r="AS862" t="n">
        <v>108.9634</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108.5021</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110.8095</v>
      </c>
      <c r="AN863" t="n">
        <v>112.0566</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108.4307</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110.8252</v>
      </c>
      <c r="AN864" t="n">
        <v>112.0011</v>
      </c>
      <c r="AO864" t="n">
        <v>108.5851</v>
      </c>
      <c r="AP864" t="n">
        <v>103.2597</v>
      </c>
      <c r="AQ864" t="n">
        <v/>
      </c>
      <c r="AR864" t="n">
        <v/>
      </c>
      <c r="AS864" t="n">
        <v>109.0887</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108.4495</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110.9202</v>
      </c>
      <c r="AN865" t="n">
        <v>112.3152</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108.6131</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111.0647</v>
      </c>
      <c r="AN866" t="n">
        <v>112.2432</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108.8935</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111.3403</v>
      </c>
      <c r="AN867" t="n">
        <v>112.4487</v>
      </c>
      <c r="AO867" t="n">
        <v>109.3675</v>
      </c>
      <c r="AP867" t="n">
        <v>101.8825</v>
      </c>
      <c r="AQ867" t="n">
        <v/>
      </c>
      <c r="AR867" t="n">
        <v/>
      </c>
      <c r="AS867" t="n">
        <v>109.9428</v>
      </c>
      <c r="AT867" t="n">
        <v>103.3317</v>
      </c>
      <c r="AU867" t="n">
        <v>106.6781</v>
      </c>
      <c r="AV867" t="n">
        <v>194.94</v>
      </c>
      <c r="AW867" t="n">
        <v>111.744</v>
      </c>
      <c r="AX867" t="n">
        <v>125.8478</v>
      </c>
    </row>
    <row r="868">
      <c r="A868" s="92"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109.2467</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111.7552</v>
      </c>
      <c r="AN868" t="n">
        <v>112.9767</v>
      </c>
      <c r="AO868" t="n">
        <v>110.15</v>
      </c>
      <c r="AP868" t="n">
        <v>103.4479</v>
      </c>
      <c r="AQ868" t="n">
        <v/>
      </c>
      <c r="AR868" t="n">
        <v/>
      </c>
      <c r="AS868" t="n">
        <v>110.6484</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109.7548</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112.3126</v>
      </c>
      <c r="AN869" t="n">
        <v>113.6131</v>
      </c>
      <c r="AO869" t="n">
        <v>110.6716</v>
      </c>
      <c r="AP869" t="n">
        <v>103.8343</v>
      </c>
      <c r="AQ869" t="n">
        <v/>
      </c>
      <c r="AR869" t="n">
        <v/>
      </c>
      <c r="AS869" t="n">
        <v>110.801</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110.338</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112.8328</v>
      </c>
      <c r="AN870" t="n">
        <v>114.0167</v>
      </c>
      <c r="AO870" t="n">
        <v>111.0193</v>
      </c>
      <c r="AP870" t="n">
        <v>103.9929</v>
      </c>
      <c r="AQ870" t="n">
        <v/>
      </c>
      <c r="AR870" t="n">
        <v/>
      </c>
      <c r="AS870" t="n">
        <v>111.6293</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110.982</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113.449</v>
      </c>
      <c r="AN871" t="n">
        <v>114.5491</v>
      </c>
      <c r="AO871" t="n">
        <v>111.0193</v>
      </c>
      <c r="AP871" t="n">
        <v>103.9334</v>
      </c>
      <c r="AQ871" t="n">
        <v/>
      </c>
      <c r="AR871" t="n">
        <v/>
      </c>
      <c r="AS871" t="n">
        <v>112.29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111.3454</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113.7703</v>
      </c>
      <c r="AN872" t="n">
        <v>114.7506</v>
      </c>
      <c r="AO872" t="n">
        <v>111.454</v>
      </c>
      <c r="AP872" t="n">
        <v>103.3489</v>
      </c>
      <c r="AQ872" t="n">
        <v/>
      </c>
      <c r="AR872" t="n">
        <v/>
      </c>
      <c r="AS872" t="n">
        <v>112.7825</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111.5168</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113.9653</v>
      </c>
      <c r="AN873" t="n">
        <v>115.0418</v>
      </c>
      <c r="AO873" t="n">
        <v>111.7148</v>
      </c>
      <c r="AP873" t="n">
        <v>103.121</v>
      </c>
      <c r="AQ873" t="n">
        <v/>
      </c>
      <c r="AR873" t="n">
        <v/>
      </c>
      <c r="AS873" t="n">
        <v>113.4257</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111.5829</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114.1731</v>
      </c>
      <c r="AN874" t="n">
        <v>115.3757</v>
      </c>
      <c r="AO874" t="n">
        <v>112.4973</v>
      </c>
      <c r="AP874" t="n">
        <v>104.3297</v>
      </c>
      <c r="AQ874" t="n">
        <v/>
      </c>
      <c r="AR874" t="n">
        <v/>
      </c>
      <c r="AS874" t="n">
        <v>114.689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112.0351</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114.7537</v>
      </c>
      <c r="AN875" t="n">
        <v>115.9794</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112.2864</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115.1157</v>
      </c>
      <c r="AN876" t="n">
        <v>116.3606</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112.6908</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116.0643</v>
      </c>
      <c r="AN877" t="n">
        <v>118.3206</v>
      </c>
      <c r="AO877" t="n">
        <v>114.1491</v>
      </c>
      <c r="AP877" t="n">
        <v>104.9737</v>
      </c>
      <c r="AQ877" t="n">
        <v/>
      </c>
      <c r="AR877" t="n">
        <v/>
      </c>
      <c r="AS877" t="n">
        <v>116.1253</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113.1115</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116.7808</v>
      </c>
      <c r="AN878" t="n">
        <v>119.0229</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113.7779</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117.574</v>
      </c>
      <c r="AN879" t="n">
        <v>119.9964</v>
      </c>
      <c r="AO879" t="n">
        <v>116.4095</v>
      </c>
      <c r="AP879" t="n">
        <v>105.1224</v>
      </c>
      <c r="AQ879" t="n">
        <v/>
      </c>
      <c r="AR879" t="n">
        <v/>
      </c>
      <c r="AS879" t="n">
        <v>117.9926</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114.3311</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118.3503</v>
      </c>
      <c r="AN880" t="n">
        <v>121.2961</v>
      </c>
      <c r="AO880" t="n">
        <v>117.5397</v>
      </c>
      <c r="AP880" t="n">
        <v>107.4012</v>
      </c>
      <c r="AQ880" t="n">
        <v/>
      </c>
      <c r="AR880" t="n">
        <v/>
      </c>
      <c r="AS880" t="n">
        <v>119.8576</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115.0009</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119.3426</v>
      </c>
      <c r="AN881" t="n">
        <v>122.8873</v>
      </c>
      <c r="AO881" t="n">
        <v>119.1045</v>
      </c>
      <c r="AP881" t="n">
        <v>108.9864</v>
      </c>
      <c r="AQ881" t="n">
        <v/>
      </c>
      <c r="AR881" t="n">
        <v/>
      </c>
      <c r="AS881" t="n">
        <v>121.2989</v>
      </c>
      <c r="AT881" t="n">
        <v>110.3018</v>
      </c>
      <c r="AU881" t="n">
        <v>111.7014</v>
      </c>
      <c r="AV881" t="n">
        <v>307.1938</v>
      </c>
      <c r="AW881" t="n">
        <v>120.062</v>
      </c>
      <c r="AX881" t="n">
        <v>131.9884</v>
      </c>
    </row>
    <row r="882">
      <c r="A882" s="92"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115.5742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120.0981</v>
      </c>
      <c r="AN882" t="n">
        <v>123.9634</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116.1495</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120.8391</v>
      </c>
      <c r="AN883" t="n">
        <v>124.8268</v>
      </c>
      <c r="AO883" t="n">
        <v>121.0172</v>
      </c>
      <c r="AP883" t="n">
        <v>110.1556</v>
      </c>
      <c r="AQ883" t="n">
        <v/>
      </c>
      <c r="AR883" t="n">
        <v/>
      </c>
      <c r="AS883" t="n">
        <v>123.5462</v>
      </c>
      <c r="AT883" t="n">
        <v>112.8919</v>
      </c>
      <c r="AU883" t="n">
        <v>113.4406</v>
      </c>
      <c r="AV883" t="n">
        <v>329.3268</v>
      </c>
      <c r="AW883" t="n">
        <v>121.6447</v>
      </c>
      <c r="AX883" t="n">
        <v>132.9412</v>
      </c>
    </row>
    <row r="884">
      <c r="A884" s="92"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116.636</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121.5364</v>
      </c>
      <c r="AN884" t="n">
        <v>125.8261</v>
      </c>
      <c r="AO884" t="n">
        <v>121.7127</v>
      </c>
      <c r="AP884" t="n">
        <v>109.789</v>
      </c>
      <c r="AQ884" t="n">
        <v/>
      </c>
      <c r="AR884" t="n">
        <v/>
      </c>
      <c r="AS884" t="n">
        <v>124.5543</v>
      </c>
      <c r="AT884" t="n">
        <v>113.3319</v>
      </c>
      <c r="AU884" t="n">
        <v>113.7187</v>
      </c>
      <c r="AV884" t="n">
        <v>341.4063</v>
      </c>
      <c r="AW884" t="n">
        <v>122.0435</v>
      </c>
      <c r="AX884" t="n">
        <v>134.1073</v>
      </c>
    </row>
    <row r="885">
      <c r="A885" s="92" t="n">
        <v>44774</v>
      </c>
      <c r="B885" t="n">
        <v>118.3835</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117.1793</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122.2188</v>
      </c>
      <c r="AN885" t="n">
        <v>126.7833</v>
      </c>
      <c r="AO885" t="n">
        <v>122.669</v>
      </c>
      <c r="AP885" t="n">
        <v>109.8187</v>
      </c>
      <c r="AQ885" t="n">
        <v/>
      </c>
      <c r="AR885" t="n">
        <v/>
      </c>
      <c r="AS885" t="n">
        <v>125.6667</v>
      </c>
      <c r="AT885" t="n">
        <v>113.6119</v>
      </c>
      <c r="AU885" t="n">
        <v>114.7676</v>
      </c>
      <c r="AV885" t="n">
        <v>351.2514</v>
      </c>
      <c r="AW885" t="n">
        <v>122.6759</v>
      </c>
      <c r="AX885" t="n">
        <v>134.4668</v>
      </c>
    </row>
    <row r="886">
      <c r="A886" s="92" t="n">
        <v>44805</v>
      </c>
      <c r="B886" t="n">
        <v>119.2563</v>
      </c>
      <c r="C886" t="n">
        <v>116.2161</v>
      </c>
      <c r="D886" t="n">
        <v/>
      </c>
      <c r="E886" t="n">
        <v>119.0532</v>
      </c>
      <c r="F886" t="n">
        <v>102.9954</v>
      </c>
      <c r="G886" t="n">
        <v>130.9738</v>
      </c>
      <c r="H886" t="n">
        <v/>
      </c>
      <c r="I886" t="n">
        <v>134.6633</v>
      </c>
      <c r="J886" t="n">
        <v/>
      </c>
      <c r="K886" t="n">
        <v>136.2</v>
      </c>
      <c r="L886" t="n">
        <v>114.8111</v>
      </c>
      <c r="M886" t="n">
        <v>110.8079</v>
      </c>
      <c r="N886" t="n">
        <v>111.98</v>
      </c>
      <c r="O886" t="n">
        <v>109.5681</v>
      </c>
      <c r="P886" t="n">
        <v>126.1676</v>
      </c>
      <c r="Q886" t="n">
        <v/>
      </c>
      <c r="R886" t="n">
        <v>110.97</v>
      </c>
      <c r="S886" t="n">
        <v>108.2303</v>
      </c>
      <c r="T886" t="n">
        <v/>
      </c>
      <c r="U886" t="n">
        <v>117.622</v>
      </c>
      <c r="V886" t="n">
        <v>119.3</v>
      </c>
      <c r="W886" t="n">
        <v>104.6407</v>
      </c>
      <c r="X886" t="n">
        <v>133.8843</v>
      </c>
      <c r="Y886" t="n">
        <v/>
      </c>
      <c r="Z886" t="n">
        <v/>
      </c>
      <c r="AA886" t="n">
        <v>110.8419</v>
      </c>
      <c r="AB886" t="n">
        <v>130.4387</v>
      </c>
      <c r="AC886" t="n">
        <v>108.0774</v>
      </c>
      <c r="AD886" t="n">
        <v>107.983</v>
      </c>
      <c r="AE886" t="n">
        <v/>
      </c>
      <c r="AF886" t="n">
        <v>111.8331</v>
      </c>
      <c r="AG886" t="n">
        <v>134.5207</v>
      </c>
      <c r="AH886" t="n">
        <v>113.7</v>
      </c>
      <c r="AI886" t="n">
        <v>122.2737</v>
      </c>
      <c r="AJ886" t="n">
        <v>132.7028</v>
      </c>
      <c r="AK886" t="n">
        <v>115.9598</v>
      </c>
      <c r="AL886" t="n">
        <v>119.7468</v>
      </c>
      <c r="AM886" t="n">
        <v>122.8465</v>
      </c>
      <c r="AN886" t="n">
        <v>127.7735</v>
      </c>
      <c r="AO886" t="n">
        <v>124.4077</v>
      </c>
      <c r="AP886" t="n">
        <v>111.5228</v>
      </c>
      <c r="AQ886" t="n">
        <v/>
      </c>
      <c r="AR886" t="n">
        <v/>
      </c>
      <c r="AS886" t="n">
        <v>126.5842</v>
      </c>
      <c r="AT886" t="n">
        <v>113.4919</v>
      </c>
      <c r="AU886" t="n">
        <v>115.9439</v>
      </c>
      <c r="AV886" t="n">
        <v>360.3816</v>
      </c>
      <c r="AW886" t="n">
        <v>123.1977</v>
      </c>
      <c r="AX886" t="n">
        <v>135.2011</v>
      </c>
    </row>
    <row r="887">
      <c r="A887" s="92" t="n">
        <v>44835</v>
      </c>
      <c r="B887" t="n">
        <v>120.2383</v>
      </c>
      <c r="C887" t="n">
        <v>116.9737</v>
      </c>
      <c r="D887" t="n">
        <v/>
      </c>
      <c r="E887" t="n">
        <v>119.3854</v>
      </c>
      <c r="F887" t="n">
        <v>102.9159</v>
      </c>
      <c r="G887" t="n">
        <v>131.5489</v>
      </c>
      <c r="H887" t="n">
        <v/>
      </c>
      <c r="I887" t="n">
        <v>135.3749</v>
      </c>
      <c r="J887" t="n">
        <v/>
      </c>
      <c r="K887" t="n">
        <v>137.4</v>
      </c>
      <c r="L887" t="n">
        <v>115.2902</v>
      </c>
      <c r="M887" t="n">
        <v>111.434</v>
      </c>
      <c r="N887" t="n">
        <v>112.6</v>
      </c>
      <c r="O887" t="n">
        <v>110.5897</v>
      </c>
      <c r="P887" t="n">
        <v>127.4163</v>
      </c>
      <c r="Q887" t="n">
        <v/>
      </c>
      <c r="R887" t="n">
        <v>111.79</v>
      </c>
      <c r="S887" t="n">
        <v>108.4706</v>
      </c>
      <c r="T887" t="n">
        <v/>
      </c>
      <c r="U887" t="n">
        <v>117.9972</v>
      </c>
      <c r="V887" t="n">
        <v>120</v>
      </c>
      <c r="W887" t="n">
        <v>105.3269</v>
      </c>
      <c r="X887" t="n">
        <v>135.5372</v>
      </c>
      <c r="Y887" t="n">
        <v/>
      </c>
      <c r="Z887" t="n">
        <v/>
      </c>
      <c r="AA887" t="n">
        <v>110.9862</v>
      </c>
      <c r="AB887" t="n">
        <v>131.0411</v>
      </c>
      <c r="AC887" t="n">
        <v>108.5399</v>
      </c>
      <c r="AD887" t="n">
        <v>108.0873</v>
      </c>
      <c r="AE887" t="n">
        <v/>
      </c>
      <c r="AF887" t="n">
        <v>112.2352</v>
      </c>
      <c r="AG887" t="n">
        <v>136.2324</v>
      </c>
      <c r="AH887" t="n">
        <v>113.77</v>
      </c>
      <c r="AI887" t="n">
        <v>123.2984</v>
      </c>
      <c r="AJ887" t="n">
        <v>133.3273</v>
      </c>
      <c r="AK887" t="n">
        <v>117.1528</v>
      </c>
      <c r="AL887" t="n">
        <v>120.1874</v>
      </c>
      <c r="AM887" t="n">
        <v>123.5269</v>
      </c>
      <c r="AN887" t="n">
        <v>128.8854</v>
      </c>
      <c r="AO887" t="n">
        <v>125.6249</v>
      </c>
      <c r="AP887" t="n">
        <v>112.1371</v>
      </c>
      <c r="AQ887" t="n">
        <v/>
      </c>
      <c r="AR887" t="n">
        <v/>
      </c>
      <c r="AS887" t="n">
        <v>127.6301</v>
      </c>
      <c r="AT887" t="n">
        <v>114.2719</v>
      </c>
      <c r="AU887" t="n">
        <v>117.3614</v>
      </c>
      <c r="AV887" t="n">
        <v>372.3345</v>
      </c>
      <c r="AW887" t="n">
        <v>123.558</v>
      </c>
      <c r="AX887" t="n">
        <v>135.7018</v>
      </c>
    </row>
    <row r="888">
      <c r="A888" s="92" t="n">
        <v>44866</v>
      </c>
      <c r="B888" t="n">
        <v/>
      </c>
      <c r="C888" t="n">
        <v>117.6147</v>
      </c>
      <c r="D888" t="n">
        <v/>
      </c>
      <c r="E888" t="n">
        <v/>
      </c>
      <c r="F888" t="n">
        <v>103.0148</v>
      </c>
      <c r="G888" t="n">
        <v>132.4713</v>
      </c>
      <c r="H888" t="n">
        <v/>
      </c>
      <c r="I888" t="n">
        <v/>
      </c>
      <c r="J888" t="n">
        <v/>
      </c>
      <c r="K888" t="n">
        <v/>
      </c>
      <c r="L888" t="n">
        <v/>
      </c>
      <c r="M888" t="n">
        <v/>
      </c>
      <c r="N888" t="n">
        <v/>
      </c>
      <c r="O888" t="n">
        <v/>
      </c>
      <c r="P888" t="n">
        <v>127.5298</v>
      </c>
      <c r="Q888" t="n">
        <v/>
      </c>
      <c r="R888" t="n">
        <v/>
      </c>
      <c r="S888" t="n">
        <v/>
      </c>
      <c r="T888" t="n">
        <v/>
      </c>
      <c r="U888" t="n">
        <v/>
      </c>
      <c r="V888" t="n">
        <v/>
      </c>
      <c r="W888" t="n">
        <v/>
      </c>
      <c r="X888" t="n">
        <v>137.1901</v>
      </c>
      <c r="Y888" t="n">
        <v/>
      </c>
      <c r="Z888" t="n">
        <v/>
      </c>
      <c r="AA888" t="n">
        <v/>
      </c>
      <c r="AB888" t="n">
        <v>131.2583</v>
      </c>
      <c r="AC888" t="n">
        <v/>
      </c>
      <c r="AD888" t="n">
        <v/>
      </c>
      <c r="AE888" t="n">
        <v/>
      </c>
      <c r="AF888" t="n">
        <v>112.5631</v>
      </c>
      <c r="AG888" t="n">
        <v/>
      </c>
      <c r="AH888" t="n">
        <v>113.92</v>
      </c>
      <c r="AI888" t="n">
        <v>124.537</v>
      </c>
      <c r="AJ888" t="n">
        <v/>
      </c>
      <c r="AK888" t="n">
        <v/>
      </c>
      <c r="AL888" t="n">
        <v/>
      </c>
      <c r="AM888" t="n">
        <v/>
      </c>
      <c r="AN888" t="n">
        <v/>
      </c>
      <c r="AO888" t="n">
        <v/>
      </c>
      <c r="AP888" t="n">
        <v/>
      </c>
      <c r="AQ888" t="n">
        <v/>
      </c>
      <c r="AR888" t="n">
        <v/>
      </c>
      <c r="AS888" t="n">
        <v/>
      </c>
      <c r="AT888" t="n">
        <v>114.8219</v>
      </c>
      <c r="AU888" t="n">
        <v/>
      </c>
      <c r="AV888" t="n">
        <v/>
      </c>
      <c r="AW888" t="n">
        <v/>
      </c>
      <c r="AX888" t="n">
        <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2"/>
  <sheetViews>
    <sheetView tabSelected="1" zoomScale="70" zoomScaleNormal="70" workbookViewId="0">
      <pane xSplit="1" ySplit="9" topLeftCell="B132" activePane="bottomRight" state="frozen"/>
      <selection activeCell="M12" sqref="M12"/>
      <selection pane="topRight" activeCell="M12" sqref="M12"/>
      <selection pane="bottomLeft" activeCell="M12" sqref="M12"/>
      <selection pane="bottomRight" activeCell="AC141" sqref="AC141"/>
    </sheetView>
  </sheetViews>
  <sheetFormatPr baseColWidth="8" defaultColWidth="8.81640625" defaultRowHeight="14.5"/>
  <cols>
    <col width="9.1796875" customWidth="1" style="78" min="1" max="1"/>
    <col width="13.6328125" customWidth="1" style="70" min="2" max="2"/>
    <col width="9.1796875" customWidth="1" style="70" min="3" max="3"/>
    <col width="7" customWidth="1" style="70" min="4" max="4"/>
    <col width="7.36328125" customWidth="1" style="70" min="5" max="5"/>
    <col width="7" customWidth="1" style="70" min="6" max="6"/>
    <col width="7.36328125" customWidth="1" style="70" min="7" max="9"/>
    <col width="7.1796875" customWidth="1" style="70" min="10" max="12"/>
    <col width="7.36328125" customWidth="1" style="70" min="13" max="13"/>
    <col hidden="1" width="7" customWidth="1" style="70" min="14" max="14"/>
    <col width="6.81640625" customWidth="1" style="70" min="15" max="15"/>
    <col width="6.1796875" customWidth="1" style="70" min="16" max="16"/>
    <col hidden="1" width="7.6328125" customWidth="1" style="70" min="17" max="17"/>
    <col width="6.6328125" customWidth="1" style="70" min="18" max="18"/>
    <col width="7.36328125" customWidth="1" style="70" min="19" max="19"/>
    <col width="7" customWidth="1" style="70" min="20" max="20"/>
    <col width="7.36328125" customWidth="1" style="70" min="21" max="21"/>
    <col hidden="1" width="7.1796875" customWidth="1" style="70" min="22" max="22"/>
    <col width="7" customWidth="1" style="70" min="23" max="23"/>
    <col width="6.1796875" customWidth="1" style="70" min="24" max="24"/>
    <col width="7" customWidth="1" style="70" min="25" max="25"/>
    <col hidden="1" width="6.36328125" customWidth="1" style="70" min="26" max="27"/>
    <col width="6.1796875" customWidth="1" style="70" min="28" max="28"/>
    <col width="15.36328125" customWidth="1" style="78" min="29" max="30"/>
    <col width="10.6328125" bestFit="1" customWidth="1" style="78" min="31" max="31"/>
    <col width="9.179687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8" thickBot="1">
      <c r="AD2" s="78" t="inlineStr">
        <is>
          <t>Last month</t>
        </is>
      </c>
      <c r="AE2" s="28" t="n">
        <v>44835</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1"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2"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2"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8"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8">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8">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8">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8">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8">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8">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8">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8">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8">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8">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8">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8">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8">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8">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8">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8">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8">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8">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8">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8">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8">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8">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8">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8">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8">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8">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8">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8">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8">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8">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8">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8">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8">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8">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8">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8">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8">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8">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8">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8">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8">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8">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8">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8">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8">
      <c r="B152" s="15" t="n">
        <v>44835</v>
      </c>
      <c r="C152" s="20">
        <f>IF(VLOOKUP(B152,Data!$A:$AX,MATCH($C$1,Data!$A$1:$AX$1,))=0,#N/A,(VLOOKUP(B152,Data!$A:$AX,MATCH($C$1,Data!$A$1:$AX$1,),)-VLOOKUP(EDATE(B152,-12),Data!$A:$AX,MATCH($C$1,Data!$A$1:$AX$1,),))/VLOOKUP(EDATE(B152,-12),Data!$A:$AX,MATCH($C$1,Data!$A$1:$AX$1,),))</f>
        <v/>
      </c>
      <c r="D152" s="20">
        <f>IF(VLOOKUP(B152,Data!$A:$AX,MATCH($D$1,Data!$A$1:$AX$1,))=0,#N/A,(VLOOKUP(B152,Data!$A:$AX,MATCH($D$1,Data!$A$1:$AX$1,),)-VLOOKUP(EDATE(B152,-12),Data!$A:$AX,MATCH($D$1,Data!$A$1:$AX$1,),))/VLOOKUP(EDATE(B152,-12),Data!$A:$AX,MATCH($D$1,Data!$A$1:$AX$1,),))</f>
        <v/>
      </c>
      <c r="E152" s="20">
        <f>IF(VLOOKUP(B152,Data!$A:$AX,MATCH($E$1,Data!$A$1:$AX$1,))=0,#N/A,(VLOOKUP(B152,Data!$A:$AX,MATCH($E$1,Data!$A$1:$AX$1,),)-VLOOKUP(EDATE(B152,-12),Data!$A:$AX,MATCH($E$1,Data!$A$1:$AX$1,),))/VLOOKUP(EDATE(B152,-12),Data!$A:$AX,MATCH($E$1,Data!$A$1:$AX$1,),))</f>
        <v/>
      </c>
      <c r="F152" s="20">
        <f>IF(VLOOKUP(B152,Data!$A:$AX,MATCH($F$1,Data!$A$1:$AX$1,))=0,#N/A,(VLOOKUP(B152,Data!$A:$AX,MATCH($F$1,Data!$A$1:$AX$1,),)-VLOOKUP(EDATE(B152,-12),Data!$A:$AX,MATCH($F$1,Data!$A$1:$AX$1,),))/VLOOKUP(EDATE(B152,-12),Data!$A:$AX,MATCH($F$1,Data!$A$1:$AX$1,),))</f>
        <v/>
      </c>
      <c r="G152" s="20">
        <f>IF(VLOOKUP(B152,Data!$A:$AX,MATCH($G$1,Data!$A$1:$AX$1,))=0,#N/A,(VLOOKUP(B152,Data!$A:$AX,MATCH($G$1,Data!$A$1:$AX$1,),)-VLOOKUP(EDATE(B152,-12),Data!$A:$AX,MATCH($G$1,Data!$A$1:$AX$1,),))/VLOOKUP(EDATE(B152,-12),Data!$A:$AX,MATCH($G$1,Data!$A$1:$AX$1,),))</f>
        <v/>
      </c>
      <c r="H152" s="20">
        <f>IF(VLOOKUP(B152,Data!$A:$AX,MATCH($H$1,Data!$A$1:$AX$1,))=0,#N/A,(VLOOKUP(B152,Data!$A:$AX,MATCH($H$1,Data!$A$1:$AX$1,),)-VLOOKUP(EDATE(B152,-12),Data!$A:$AX,MATCH($H$1,Data!$A$1:$AX$1,),))/VLOOKUP(EDATE(B152,-12),Data!$A:$AX,MATCH($H$1,Data!$A$1:$AX$1,),))</f>
        <v/>
      </c>
      <c r="I152" s="20">
        <f>IF(VLOOKUP(B152,Data!$A:$AX,MATCH($I$1,Data!$A$1:$AX$1,))=0,#N/A,(VLOOKUP(B152,Data!$A:$AX,MATCH($I$1,Data!$A$1:$AX$1,),)-VLOOKUP(EDATE(B152,-12),Data!$A:$AX,MATCH($I$1,Data!$A$1:$AX$1,),))/VLOOKUP(EDATE(B152,-12),Data!$A:$AX,MATCH($I$1,Data!$A$1:$AX$1,),))</f>
        <v/>
      </c>
      <c r="J152" s="20">
        <f>IF(VLOOKUP(B152,Data!$A:$AX,MATCH($J$1,Data!$A$1:$AX$1,))=0,#N/A,(VLOOKUP(B152,Data!$A:$AX,MATCH($J$1,Data!$A$1:$AX$1,),)-VLOOKUP(EDATE(B152,-12),Data!$A:$AX,MATCH($J$1,Data!$A$1:$AX$1,),))/VLOOKUP(EDATE(B152,-12),Data!$A:$AX,MATCH($J$1,Data!$A$1:$AX$1,),))</f>
        <v/>
      </c>
      <c r="K152" s="20">
        <f>IF(VLOOKUP(B152,Data!$A:$AX,MATCH($K$1,Data!$A$1:$AX$1,))=0,#N/A,(VLOOKUP(B152,Data!$A:$AX,MATCH($K$1,Data!$A$1:$AX$1,),)-VLOOKUP(EDATE(B152,-12),Data!$A:$AX,MATCH($K$1,Data!$A$1:$AX$1,),))/VLOOKUP(EDATE(B152,-12),Data!$A:$AX,MATCH($K$1,Data!$A$1:$AX$1,),))</f>
        <v/>
      </c>
      <c r="L152" s="20">
        <f>IF(VLOOKUP(B152,Data!$A:$AX,MATCH($L$1,Data!$A$1:$AX$1,))=0,#N/A,(VLOOKUP(B152,Data!$A:$AX,MATCH($L$1,Data!$A$1:$AX$1,),)-VLOOKUP(EDATE(B152,-12),Data!$A:$AX,MATCH($L$1,Data!$A$1:$AX$1,),))/VLOOKUP(EDATE(B152,-12),Data!$A:$AX,MATCH($L$1,Data!$A$1:$AX$1,),))</f>
        <v/>
      </c>
      <c r="M152" s="20">
        <f>IF(VLOOKUP(B152,Data!$A:$AX,MATCH($M$1,Data!$A$1:$AX$1,))=0,#N/A,(VLOOKUP(B152,Data!$A:$AX,MATCH($M$1,Data!$A$1:$AX$1,),)-VLOOKUP(EDATE(B152,-12),Data!$A:$AX,MATCH($M$1,Data!$A$1:$AX$1,),))/VLOOKUP(EDATE(B152,-12),Data!$A:$AX,MATCH($M$1,Data!$A$1:$AX$1,),))</f>
        <v/>
      </c>
      <c r="N152" s="20">
        <f>(VLOOKUP(B152,Data!$A:$AX,MATCH($N$1,Data!$A$1:$AX$1,),)-VLOOKUP(EDATE(B152,-12),Data!$A:$AX,MATCH($N$1,Data!$A$1:$AX$1,),))/VLOOKUP(EDATE(B152,-12),Data!$A:$AX,MATCH($N$1,Data!$A$1:$AX$1,),)</f>
        <v/>
      </c>
      <c r="O152" s="20">
        <f>IF(VLOOKUP(B152,Data!$A:$AX,MATCH($O$1,Data!$A$1:$AX$1,))=0,#N/A,(VLOOKUP(B152,Data!$A:$AX,MATCH($O$1,Data!$A$1:$AX$1,),)-VLOOKUP(EDATE(B152,-12),Data!$A:$AX,MATCH($O$1,Data!$A$1:$AX$1,),))/VLOOKUP(EDATE(B152,-12),Data!$A:$AX,MATCH($O$1,Data!$A$1:$AX$1,),))</f>
        <v/>
      </c>
      <c r="P152" s="20">
        <f>IF(VLOOKUP(B152,Data!$A:$AX,MATCH($P$1,Data!$A$1:$AX$1,))=0,#N/A,(VLOOKUP(B152,Data!$A:$AX,MATCH($P$1,Data!$A$1:$AX$1,),)-VLOOKUP(EDATE(B152,-12),Data!$A:$AX,MATCH($P$1,Data!$A$1:$AX$1,),))/VLOOKUP(EDATE(B152,-12),Data!$A:$AX,MATCH($P$1,Data!$A$1:$AX$1,),))</f>
        <v/>
      </c>
      <c r="Q152" s="20">
        <f>(VLOOKUP(B152,Data!$A:$AX,MATCH($Q$1,Data!$A$1:$AX$1,),)-VLOOKUP(EDATE(B152,-12),Data!$A:$AX,MATCH($Q$1,Data!$A$1:$AX$1,),))/VLOOKUP(EDATE(B152,-12),Data!$A:$AX,MATCH($Q$1,Data!$A$1:$AX$1,),)</f>
        <v/>
      </c>
      <c r="R152" s="20">
        <f>IF(VLOOKUP(B152,Data!$A:$AX,MATCH($R$1,Data!$A$1:$AX$1,))=0,#N/A,(VLOOKUP(B152,Data!$A:$AX,MATCH($R$1,Data!$A$1:$AX$1,),)-VLOOKUP(EDATE(B152,-12),Data!$A:$AX,MATCH($R$1,Data!$A$1:$AX$1,),))/VLOOKUP(EDATE(B152,-12),Data!$A:$AX,MATCH($R$1,Data!$A$1:$AX$1,),))</f>
        <v/>
      </c>
      <c r="S152" s="20">
        <f>IF(VLOOKUP(B152,Data!$A:$AX,MATCH($S$1,Data!$A$1:$AX$1,))=0,#N/A,(VLOOKUP(B152,Data!$A:$AX,MATCH($S$1,Data!$A$1:$AX$1,),)-VLOOKUP(EDATE(B152,-12),Data!$A:$AX,MATCH($S$1,Data!$A$1:$AX$1,),))/VLOOKUP(EDATE(B152,-12),Data!$A:$AX,MATCH($S$1,Data!$A$1:$AX$1,),))</f>
        <v/>
      </c>
      <c r="T152" s="20">
        <f>IF(VLOOKUP(B152,Data!$A:$AX,MATCH($T$1,Data!$A$1:$AX$1,))=0,#N/A,(VLOOKUP(B152,Data!$A:$AX,MATCH($T$1,Data!$A$1:$AX$1,),)-VLOOKUP(EDATE(B152,-12),Data!$A:$AX,MATCH($T$1,Data!$A$1:$AX$1,),))/VLOOKUP(EDATE(B152,-12),Data!$A:$AX,MATCH($T$1,Data!$A$1:$AX$1,),))</f>
        <v/>
      </c>
      <c r="U152" s="20">
        <f>IF(VLOOKUP(B152,Data!$A:$AX,MATCH($U$1,Data!$A$1:$AX$1,))=0,#N/A,(VLOOKUP(B152,Data!$A:$AX,MATCH($U$1,Data!$A$1:$AX$1,),)-VLOOKUP(EDATE(B152,-12),Data!$A:$AX,MATCH($U$1,Data!$A$1:$AX$1,),))/VLOOKUP(EDATE(B152,-12),Data!$A:$AX,MATCH($U$1,Data!$A$1:$AX$1,),))</f>
        <v/>
      </c>
      <c r="V152" s="20">
        <f>(VLOOKUP(B152,Data!$A:$AX,MATCH($V$1,Data!$A$1:$AX$1,),)-VLOOKUP(EDATE(B152,-12),Data!$A:$AX,MATCH($V$1,Data!$A$1:$AX$1,),))/VLOOKUP(EDATE(B152,-12),Data!$A:$AX,MATCH($V$1,Data!$A$1:$AX$1,),)</f>
        <v/>
      </c>
      <c r="W152" s="20">
        <f>IF(VLOOKUP(B152,Data!$A:$AX,MATCH($W$1,Data!$A$1:$AX$1,))=0,#N/A,(VLOOKUP(B152,Data!$A:$AX,MATCH($W$1,Data!$A$1:$AX$1,),)-VLOOKUP(EDATE(B152,-12),Data!$A:$AX,MATCH($W$1,Data!$A$1:$AX$1,),))/VLOOKUP(EDATE(B152,-12),Data!$A:$AX,MATCH($W$1,Data!$A$1:$AX$1,),))</f>
        <v/>
      </c>
      <c r="X152" s="20">
        <f>IF(VLOOKUP(B152,Data!$A:$AX,MATCH($X$1,Data!$A$1:$AX$1,))=0,#N/A,(VLOOKUP(B152,Data!$A:$AX,MATCH($X$1,Data!$A$1:$AX$1,),)-VLOOKUP(EDATE(B152,-12),Data!$A:$AX,MATCH($X$1,Data!$A$1:$AX$1,),))/VLOOKUP(EDATE(B152,-12),Data!$A:$AX,MATCH($X$1,Data!$A$1:$AX$1,),))</f>
        <v/>
      </c>
      <c r="Y152" s="20">
        <f>IF(VLOOKUP(B152,Data!$A:$AX,MATCH($Y$1,Data!$A$1:$AX$1,))=0,#N/A,(VLOOKUP(B152,Data!$A:$AX,MATCH($Y$1,Data!$A$1:$AX$1,),)-VLOOKUP(EDATE(B152,-12),Data!$A:$AX,MATCH($Y$1,Data!$A$1:$AX$1,),))/VLOOKUP(EDATE(B152,-12),Data!$A:$AX,MATCH($Y$1,Data!$A$1:$AX$1,),))</f>
        <v/>
      </c>
    </row>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row r="392" customFormat="1" s="78"/>
  </sheetData>
  <conditionalFormatting sqref="C24:C15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2">
    <cfRule type="colorScale" priority="1">
      <colorScale>
        <cfvo type="min"/>
        <cfvo type="percentile" val="50"/>
        <cfvo type="max"/>
        <color rgb="FFF8696B"/>
        <color rgb="FFFFEB84"/>
        <color rgb="FF63BE7B"/>
      </colorScale>
    </cfRule>
  </conditionalFormatting>
  <conditionalFormatting sqref="E59:AA59 Z60:AA106 E60:Y152">
    <cfRule type="colorScale" priority="24">
      <colorScale>
        <cfvo type="min"/>
        <cfvo type="percentile" val="50"/>
        <cfvo type="max"/>
        <color rgb="FFF8696B"/>
        <color rgb="FFFFEB84"/>
        <color rgb="FF63BE7B"/>
      </colorScale>
    </cfRule>
  </conditionalFormatting>
  <conditionalFormatting sqref="O15:O152">
    <cfRule type="colorScale" priority="23">
      <colorScale>
        <cfvo type="min"/>
        <cfvo type="percentile" val="50"/>
        <cfvo type="max"/>
        <color rgb="FFF8696B"/>
        <color rgb="FFFFEB84"/>
        <color rgb="FF63BE7B"/>
      </colorScale>
    </cfRule>
  </conditionalFormatting>
  <conditionalFormatting sqref="O59:O152">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2">
    <cfRule type="colorScale" priority="21">
      <colorScale>
        <cfvo type="min"/>
        <cfvo type="percentile" val="50"/>
        <cfvo type="max"/>
        <color rgb="FFF8696B"/>
        <color rgb="FFFFEB84"/>
        <color rgb="FF63BE7B"/>
      </colorScale>
    </cfRule>
  </conditionalFormatting>
  <conditionalFormatting sqref="F59:F152">
    <cfRule type="colorScale" priority="19">
      <colorScale>
        <cfvo type="min"/>
        <cfvo type="percentile" val="50"/>
        <cfvo type="max"/>
        <color rgb="FFF8696B"/>
        <color rgb="FFFFEB84"/>
        <color rgb="FF63BE7B"/>
      </colorScale>
    </cfRule>
  </conditionalFormatting>
  <conditionalFormatting sqref="G59:G152">
    <cfRule type="colorScale" priority="18">
      <colorScale>
        <cfvo type="min"/>
        <cfvo type="percentile" val="50"/>
        <cfvo type="max"/>
        <color rgb="FFF8696B"/>
        <color rgb="FFFFEB84"/>
        <color rgb="FF63BE7B"/>
      </colorScale>
    </cfRule>
  </conditionalFormatting>
  <conditionalFormatting sqref="H59:H152">
    <cfRule type="colorScale" priority="17">
      <colorScale>
        <cfvo type="min"/>
        <cfvo type="percentile" val="50"/>
        <cfvo type="max"/>
        <color rgb="FFF8696B"/>
        <color rgb="FFFFEB84"/>
        <color rgb="FF63BE7B"/>
      </colorScale>
    </cfRule>
  </conditionalFormatting>
  <conditionalFormatting sqref="I59:I152">
    <cfRule type="colorScale" priority="16">
      <colorScale>
        <cfvo type="min"/>
        <cfvo type="percentile" val="50"/>
        <cfvo type="max"/>
        <color rgb="FFF8696B"/>
        <color rgb="FFFFEB84"/>
        <color rgb="FF63BE7B"/>
      </colorScale>
    </cfRule>
  </conditionalFormatting>
  <conditionalFormatting sqref="J59:J152">
    <cfRule type="colorScale" priority="15">
      <colorScale>
        <cfvo type="min"/>
        <cfvo type="percentile" val="50"/>
        <cfvo type="max"/>
        <color rgb="FFF8696B"/>
        <color rgb="FFFFEB84"/>
        <color rgb="FF63BE7B"/>
      </colorScale>
    </cfRule>
  </conditionalFormatting>
  <conditionalFormatting sqref="K59:K152">
    <cfRule type="colorScale" priority="14">
      <colorScale>
        <cfvo type="min"/>
        <cfvo type="percentile" val="50"/>
        <cfvo type="max"/>
        <color rgb="FFF8696B"/>
        <color rgb="FFFFEB84"/>
        <color rgb="FF63BE7B"/>
      </colorScale>
    </cfRule>
  </conditionalFormatting>
  <conditionalFormatting sqref="L59:L152">
    <cfRule type="colorScale" priority="13">
      <colorScale>
        <cfvo type="min"/>
        <cfvo type="percentile" val="50"/>
        <cfvo type="max"/>
        <color rgb="FFF8696B"/>
        <color rgb="FFFFEB84"/>
        <color rgb="FF63BE7B"/>
      </colorScale>
    </cfRule>
  </conditionalFormatting>
  <conditionalFormatting sqref="M59:M152">
    <cfRule type="colorScale" priority="12">
      <colorScale>
        <cfvo type="min"/>
        <cfvo type="percentile" val="50"/>
        <cfvo type="max"/>
        <color rgb="FFF8696B"/>
        <color rgb="FFFFEB84"/>
        <color rgb="FF63BE7B"/>
      </colorScale>
    </cfRule>
  </conditionalFormatting>
  <conditionalFormatting sqref="P59:P152">
    <cfRule type="colorScale" priority="11">
      <colorScale>
        <cfvo type="min"/>
        <cfvo type="percentile" val="50"/>
        <cfvo type="max"/>
        <color rgb="FFF8696B"/>
        <color rgb="FFFFEB84"/>
        <color rgb="FF63BE7B"/>
      </colorScale>
    </cfRule>
  </conditionalFormatting>
  <conditionalFormatting sqref="R59:R152">
    <cfRule type="colorScale" priority="10">
      <colorScale>
        <cfvo type="min"/>
        <cfvo type="percentile" val="50"/>
        <cfvo type="max"/>
        <color rgb="FFF8696B"/>
        <color rgb="FFFFEB84"/>
        <color rgb="FF63BE7B"/>
      </colorScale>
    </cfRule>
  </conditionalFormatting>
  <conditionalFormatting sqref="S59:S152">
    <cfRule type="colorScale" priority="9">
      <colorScale>
        <cfvo type="min"/>
        <cfvo type="percentile" val="50"/>
        <cfvo type="max"/>
        <color rgb="FFF8696B"/>
        <color rgb="FFFFEB84"/>
        <color rgb="FF63BE7B"/>
      </colorScale>
    </cfRule>
  </conditionalFormatting>
  <conditionalFormatting sqref="T59:T152">
    <cfRule type="colorScale" priority="8">
      <colorScale>
        <cfvo type="min"/>
        <cfvo type="percentile" val="50"/>
        <cfvo type="max"/>
        <color rgb="FFF8696B"/>
        <color rgb="FFFFEB84"/>
        <color rgb="FF63BE7B"/>
      </colorScale>
    </cfRule>
  </conditionalFormatting>
  <conditionalFormatting sqref="U59:U152">
    <cfRule type="colorScale" priority="7">
      <colorScale>
        <cfvo type="min"/>
        <cfvo type="percentile" val="50"/>
        <cfvo type="max"/>
        <color rgb="FFF8696B"/>
        <color rgb="FFFFEB84"/>
        <color rgb="FF63BE7B"/>
      </colorScale>
    </cfRule>
  </conditionalFormatting>
  <conditionalFormatting sqref="W59:W152">
    <cfRule type="colorScale" priority="6">
      <colorScale>
        <cfvo type="min"/>
        <cfvo type="percentile" val="50"/>
        <cfvo type="max"/>
        <color rgb="FFF8696B"/>
        <color rgb="FFFFEB84"/>
        <color rgb="FF63BE7B"/>
      </colorScale>
    </cfRule>
  </conditionalFormatting>
  <conditionalFormatting sqref="X59:X152">
    <cfRule type="colorScale" priority="5">
      <colorScale>
        <cfvo type="min"/>
        <cfvo type="percentile" val="50"/>
        <cfvo type="max"/>
        <color rgb="FFF8696B"/>
        <color rgb="FFFFEB84"/>
        <color rgb="FF63BE7B"/>
      </colorScale>
    </cfRule>
  </conditionalFormatting>
  <conditionalFormatting sqref="Y59:Y152">
    <cfRule type="colorScale" priority="4">
      <colorScale>
        <cfvo type="min"/>
        <cfvo type="percentile" val="50"/>
        <cfvo type="max"/>
        <color rgb="FFF8696B"/>
        <color rgb="FFFFEB84"/>
        <color rgb="FF63BE7B"/>
      </colorScale>
    </cfRule>
  </conditionalFormatting>
  <conditionalFormatting sqref="C59:C152">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2"/>
  <sheetViews>
    <sheetView zoomScaleNormal="100" workbookViewId="0">
      <pane xSplit="2" ySplit="9" topLeftCell="C143" activePane="bottomRight" state="frozen"/>
      <selection activeCell="M12" sqref="M12"/>
      <selection pane="topRight" activeCell="M12" sqref="M12"/>
      <selection pane="bottomLeft" activeCell="M12" sqref="M12"/>
      <selection pane="bottomRight" activeCell="AC149" sqref="AC149"/>
    </sheetView>
  </sheetViews>
  <sheetFormatPr baseColWidth="8" defaultColWidth="8.81640625" defaultRowHeight="14.5"/>
  <cols>
    <col width="9.1796875" customWidth="1" style="78" min="1" max="1"/>
    <col width="13.6328125" customWidth="1" style="70" min="2" max="2"/>
    <col hidden="1" width="7" customWidth="1" style="70" min="4" max="4"/>
    <col width="7.36328125" customWidth="1" style="70" min="5" max="5"/>
    <col width="7" customWidth="1" style="70" min="6" max="6"/>
    <col width="7.36328125" customWidth="1" style="70" min="7" max="9"/>
    <col width="7.1796875" customWidth="1" style="70" min="10" max="11"/>
    <col width="6.36328125" customWidth="1" style="70" min="12" max="12"/>
    <col width="7.36328125" customWidth="1" style="70" min="13" max="13"/>
    <col hidden="1" width="7" customWidth="1" style="70" min="14" max="14"/>
    <col hidden="1" width="7.1796875" customWidth="1" style="70" min="15" max="15"/>
    <col width="6.1796875" customWidth="1" style="70" min="16" max="16"/>
    <col hidden="1" width="7.6328125" customWidth="1" style="70" min="17" max="17"/>
    <col width="6.6328125" customWidth="1" style="70" min="18" max="18"/>
    <col hidden="1" width="6.1796875" customWidth="1" style="70" min="19" max="19"/>
    <col hidden="1" width="7" customWidth="1" style="70" min="20" max="20"/>
    <col width="7.36328125" customWidth="1" style="70" min="21" max="21"/>
    <col hidden="1" width="7.1796875" customWidth="1" style="70" min="22" max="22"/>
    <col width="7" customWidth="1" style="70" min="23" max="23"/>
    <col width="6.1796875" customWidth="1" style="70" min="24" max="24"/>
    <col width="7" customWidth="1" style="70" min="25" max="25"/>
    <col hidden="1" width="6.36328125" customWidth="1" style="70" min="26" max="27"/>
    <col width="6.1796875" customWidth="1" style="70" min="28" max="28"/>
    <col width="15.36328125" customWidth="1" style="78" min="29" max="30"/>
    <col width="10.6328125" bestFit="1" customWidth="1" style="78" min="31" max="31"/>
    <col width="9.179687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8">
      <c r="AD2" s="78" t="inlineStr">
        <is>
          <t>Last month</t>
        </is>
      </c>
      <c r="AE2" s="28" t="n">
        <v>44835</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8">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8">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8">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8">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8">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8">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8">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8">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8">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8">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8">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8">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8">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8">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8">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8">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8">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8">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8">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8">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8">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8">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8">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8">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8">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8">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8">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8">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8">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8">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8">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8">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8">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8">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8">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8">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8">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8">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8">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8">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8">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8">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8">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8">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8">
      <c r="B152" s="15" t="n">
        <v>44835</v>
      </c>
      <c r="C152" s="20">
        <f>IF(VLOOKUP(B152,'Data Core CPI'!$A:$AX,MATCH($C$1,'Data Core CPI'!$A$1:$AX$1,),)=0,#N/A,(VLOOKUP(B152,'Data Core CPI'!$A:$AX,MATCH($C$1,'Data Core CPI'!$A$1:$AX$1,),)-VLOOKUP(EDATE(B152,-12),'Data Core CPI'!$A:$AX,MATCH($C$1,'Data Core CPI'!$A$1:$AX$1,),))/VLOOKUP(EDATE(B152,-12),'Data Core CPI'!$A:$AX,MATCH($C$1,'Data Core CPI'!$A$1:$AX$1,),))</f>
        <v/>
      </c>
      <c r="D152" s="20">
        <f>(VLOOKUP(B152,'Data Core CPI'!$A:$AX,MATCH($D$1,'Data Core CPI'!$A$1:$AX$1,),)-VLOOKUP(EDATE(B152,-12),'Data Core CPI'!$A:$AX,MATCH($D$1,'Data Core CPI'!$A$1:$AX$1,),))/VLOOKUP(EDATE(B152,-12),'Data Core CPI'!$A:$AX,MATCH($D$1,'Data Core CPI'!$A$1:$AX$1,),)</f>
        <v/>
      </c>
      <c r="E152" s="20">
        <f>IF(VLOOKUP(B152,'Data Core CPI'!$A:$AX,MATCH($E$1,'Data Core CPI'!$A$1:$AX$1,),)=0,#N/A,(VLOOKUP(B152,'Data Core CPI'!$A:$AX,MATCH($E$1,'Data Core CPI'!$A$1:$AX$1,),)-VLOOKUP(EDATE(B152,-12),'Data Core CPI'!$A:$AX,MATCH($E$1,'Data Core CPI'!$A$1:$AX$1,),))/VLOOKUP(EDATE(B152,-12),'Data Core CPI'!$A:$AX,MATCH($E$1,'Data Core CPI'!$A$1:$AX$1,),))</f>
        <v/>
      </c>
      <c r="F152" s="20">
        <f>IF(VLOOKUP(B152,'Data Core CPI'!$A:$AX,MATCH($F$1,'Data Core CPI'!$A$1:$AX$1,),)=0,#N/A,(VLOOKUP(B152,'Data Core CPI'!$A:$AX,MATCH($F$1,'Data Core CPI'!$A$1:$AX$1,),)-VLOOKUP(EDATE(B152,-12),'Data Core CPI'!$A:$AX,MATCH($F$1,'Data Core CPI'!$A$1:$AX$1,),))/VLOOKUP(EDATE(B152,-12),'Data Core CPI'!$A:$AX,MATCH($F$1,'Data Core CPI'!$A$1:$AX$1,),))</f>
        <v/>
      </c>
      <c r="G152" s="20">
        <f>IF(VLOOKUP(B152,'Data Core CPI'!$A:$AX,MATCH($G$1,'Data Core CPI'!$A$1:$AX$1,),)=0,#N/A,(VLOOKUP(B152,'Data Core CPI'!$A:$AX,MATCH($G$1,'Data Core CPI'!$A$1:$AX$1,),)-VLOOKUP(EDATE(B152,-12),'Data Core CPI'!$A:$AX,MATCH($G$1,'Data Core CPI'!$A$1:$AX$1,),))/VLOOKUP(EDATE(B152,-12),'Data Core CPI'!$A:$AX,MATCH($G$1,'Data Core CPI'!$A$1:$AX$1,),))</f>
        <v/>
      </c>
      <c r="H152" s="20">
        <f>IF(VLOOKUP(B152,'Data Core CPI'!$A:$AX,MATCH($H$1,'Data Core CPI'!$A$1:$AX$1,),)=0,#N/A,(VLOOKUP(B152,'Data Core CPI'!$A:$AX,MATCH($H$1,'Data Core CPI'!$A$1:$AX$1,),)-VLOOKUP(EDATE(B152,-12),'Data Core CPI'!$A:$AX,MATCH($H$1,'Data Core CPI'!$A$1:$AX$1,),))/VLOOKUP(EDATE(B152,-12),'Data Core CPI'!$A:$AX,MATCH($H$1,'Data Core CPI'!$A$1:$AX$1,),))</f>
        <v/>
      </c>
      <c r="I152" s="20">
        <f>IF(VLOOKUP(B152,'Data Core CPI'!$A:$AX,MATCH($I$1,'Data Core CPI'!$A$1:$AX$1,),)=0,#N/A,(VLOOKUP(B152,'Data Core CPI'!$A:$AX,MATCH($I$1,'Data Core CPI'!$A$1:$AX$1,),)-VLOOKUP(EDATE(B152,-12),'Data Core CPI'!$A:$AX,MATCH($I$1,'Data Core CPI'!$A$1:$AX$1,),))/VLOOKUP(EDATE(B152,-12),'Data Core CPI'!$A:$AX,MATCH($I$1,'Data Core CPI'!$A$1:$AX$1,),))</f>
        <v/>
      </c>
      <c r="J152" s="20">
        <f>IF(VLOOKUP(B152,'Data Core CPI'!$A:$AX,MATCH($J$1,'Data Core CPI'!$A$1:$AX$1,),)=0,#N/A,(VLOOKUP(B152,'Data Core CPI'!$A:$AX,MATCH($J$1,'Data Core CPI'!$A$1:$AX$1,),)-VLOOKUP(EDATE(B152,-12),'Data Core CPI'!$A:$AX,MATCH($J$1,'Data Core CPI'!$A$1:$AX$1,),))/VLOOKUP(EDATE(B152,-12),'Data Core CPI'!$A:$AX,MATCH($J$1,'Data Core CPI'!$A$1:$AX$1,),))</f>
        <v/>
      </c>
      <c r="K152" s="20">
        <f>IF(VLOOKUP(B152,'Data Core CPI'!$A:$AX,MATCH($K$1,'Data Core CPI'!$A$1:$AX$1,),)=0,#N/A,(VLOOKUP(B152,'Data Core CPI'!$A:$AX,MATCH($K$1,'Data Core CPI'!$A$1:$AX$1,),)-VLOOKUP(EDATE(B152,-12),'Data Core CPI'!$A:$AX,MATCH($K$1,'Data Core CPI'!$A$1:$AX$1,),))/VLOOKUP(EDATE(B152,-12),'Data Core CPI'!$A:$AX,MATCH($K$1,'Data Core CPI'!$A$1:$AX$1,),))</f>
        <v/>
      </c>
      <c r="L152" s="20">
        <f>IF(VLOOKUP(B152,'Data Core CPI'!$A:$AX,MATCH($L$1,'Data Core CPI'!$A$1:$AX$1,),)=0,#N/A,(VLOOKUP(B152,'Data Core CPI'!$A:$AX,MATCH($L$1,'Data Core CPI'!$A$1:$AX$1,),)-VLOOKUP(EDATE(B152,-12),'Data Core CPI'!$A:$AX,MATCH($L$1,'Data Core CPI'!$A$1:$AX$1,),))/VLOOKUP(EDATE(B152,-12),'Data Core CPI'!$A:$AX,MATCH($L$1,'Data Core CPI'!$A$1:$AX$1,),))</f>
        <v/>
      </c>
      <c r="M152" s="20">
        <f>IF(VLOOKUP(B152,'Data Core CPI'!$A:$AX,MATCH($M$1,'Data Core CPI'!$A$1:$AX$1,),)=0,#N/A,(VLOOKUP(B152,'Data Core CPI'!$A:$AX,MATCH($M$1,'Data Core CPI'!$A$1:$AX$1,),)-VLOOKUP(EDATE(B152,-12),'Data Core CPI'!$A:$AX,MATCH($M$1,'Data Core CPI'!$A$1:$AX$1,),))/VLOOKUP(EDATE(B152,-12),'Data Core CPI'!$A:$AX,MATCH($M$1,'Data Core CPI'!$A$1:$AX$1,),))</f>
        <v/>
      </c>
      <c r="N152" s="20">
        <f>(VLOOKUP(B152,'Data Core CPI'!$A:$AX,MATCH($N$1,'Data Core CPI'!$A$1:$AX$1,),)-VLOOKUP(EDATE(B152,-12),'Data Core CPI'!$A:$AX,MATCH($N$1,'Data Core CPI'!$A$1:$AX$1,),))/VLOOKUP(EDATE(B152,-12),'Data Core CPI'!$A:$AX,MATCH($N$1,'Data Core CPI'!$A$1:$AX$1,),)</f>
        <v/>
      </c>
      <c r="O152" s="20">
        <f>(VLOOKUP(B152,'Data Core CPI'!$A:$AX,MATCH($O$1,'Data Core CPI'!$A$1:$AX$1,),)-VLOOKUP(EDATE(B152,-12),'Data Core CPI'!$A:$AX,MATCH($O$1,'Data Core CPI'!$A$1:$AX$1,),))/VLOOKUP(EDATE(B152,-12),'Data Core CPI'!$A:$AX,MATCH($O$1,'Data Core CPI'!$A$1:$AX$1,),)</f>
        <v/>
      </c>
      <c r="P152" s="20">
        <f>IF(VLOOKUP(B152,'Data Core CPI'!$A:$AX,MATCH($P$1,'Data Core CPI'!$A$1:$AX$1,),)=0,#N/A,(VLOOKUP(B152,'Data Core CPI'!$A:$AX,MATCH($P$1,'Data Core CPI'!$A$1:$AX$1,),)-VLOOKUP(EDATE(B152,-12),'Data Core CPI'!$A:$AX,MATCH($P$1,'Data Core CPI'!$A$1:$AX$1,),))/VLOOKUP(EDATE(B152,-12),'Data Core CPI'!$A:$AX,MATCH($P$1,'Data Core CPI'!$A$1:$AX$1,),))</f>
        <v/>
      </c>
      <c r="Q152" s="20">
        <f>(VLOOKUP(B152,'Data Core CPI'!$A:$AX,MATCH($Q$1,'Data Core CPI'!$A$1:$AX$1,),)-VLOOKUP(EDATE(B152,-12),'Data Core CPI'!$A:$AX,MATCH($Q$1,'Data Core CPI'!$A$1:$AX$1,),))/VLOOKUP(EDATE(B152,-12),'Data Core CPI'!$A:$AX,MATCH($Q$1,'Data Core CPI'!$A$1:$AX$1,),)</f>
        <v/>
      </c>
      <c r="R152" s="20">
        <f>IF(VLOOKUP(B152,'Data Core CPI'!$A:$AX,MATCH($R$1,'Data Core CPI'!$A$1:$AX$1,),)=0,#N/A,(VLOOKUP(B152,'Data Core CPI'!$A:$AX,MATCH($R$1,'Data Core CPI'!$A$1:$AX$1,),)-VLOOKUP(EDATE(B152,-12),'Data Core CPI'!$A:$AX,MATCH($R$1,'Data Core CPI'!$A$1:$AX$1,),))/VLOOKUP(EDATE(B152,-12),'Data Core CPI'!$A:$AX,MATCH($R$1,'Data Core CPI'!$A$1:$AX$1,),))</f>
        <v/>
      </c>
      <c r="S152" s="20">
        <f>(VLOOKUP(B152,'Data Core CPI'!$A:$AX,MATCH($S$1,'Data Core CPI'!$A$1:$AX$1,),)-VLOOKUP(EDATE(B152,-12),'Data Core CPI'!$A:$AX,MATCH($S$1,'Data Core CPI'!$A$1:$AX$1,),))/VLOOKUP(EDATE(B152,-12),'Data Core CPI'!$A:$AX,MATCH($S$1,'Data Core CPI'!$A$1:$AX$1,),)</f>
        <v/>
      </c>
      <c r="T152" s="20">
        <f>(VLOOKUP(B152,'Data Core CPI'!$A:$AX,MATCH($T$1,'Data Core CPI'!$A$1:$AX$1,),)-VLOOKUP(EDATE(B152,-12),'Data Core CPI'!$A:$AX,MATCH($T$1,'Data Core CPI'!$A$1:$AX$1,),))/VLOOKUP(EDATE(B152,-12),'Data Core CPI'!$A:$AX,MATCH($T$1,'Data Core CPI'!$A$1:$AX$1,),)</f>
        <v/>
      </c>
      <c r="U152" s="20">
        <f>IF(VLOOKUP(B152,'Data Core CPI'!$A:$AX,MATCH($U$1,'Data Core CPI'!$A$1:$AX$1,),)=0,#N/A,(VLOOKUP(B152,'Data Core CPI'!$A:$AX,MATCH($U$1,'Data Core CPI'!$A$1:$AX$1,),)-VLOOKUP(EDATE(B152,-12),'Data Core CPI'!$A:$AX,MATCH($U$1,'Data Core CPI'!$A$1:$AX$1,),))/VLOOKUP(EDATE(B152,-12),'Data Core CPI'!$A:$AX,MATCH($U$1,'Data Core CPI'!$A$1:$AX$1,),))</f>
        <v/>
      </c>
      <c r="V152" s="20">
        <f>(VLOOKUP(B152,'Data Core CPI'!$A:$AX,MATCH($V$1,'Data Core CPI'!$A$1:$AX$1,),)-VLOOKUP(EDATE(B152,-12),'Data Core CPI'!$A:$AX,MATCH($V$1,'Data Core CPI'!$A$1:$AX$1,),))/VLOOKUP(EDATE(B152,-12),'Data Core CPI'!$A:$AX,MATCH($V$1,'Data Core CPI'!$A$1:$AX$1,),)</f>
        <v/>
      </c>
      <c r="W152" s="20">
        <f>IF(VLOOKUP(B152,'Data Core CPI'!$A:$AX,MATCH($W$1,'Data Core CPI'!$A$1:$AX$1,),)=0,#N/A,(VLOOKUP(B152,'Data Core CPI'!$A:$AX,MATCH($W$1,'Data Core CPI'!$A$1:$AX$1,),)-VLOOKUP(EDATE(B152,-12),'Data Core CPI'!$A:$AX,MATCH($W$1,'Data Core CPI'!$A$1:$AX$1,),))/VLOOKUP(EDATE(B152,-12),'Data Core CPI'!$A:$AX,MATCH($W$1,'Data Core CPI'!$A$1:$AX$1,),))</f>
        <v/>
      </c>
      <c r="X152" s="20">
        <f>IF(VLOOKUP(B152,'Data Core CPI'!$A:$AX,MATCH($X$1,'Data Core CPI'!$A$1:$AX$1,),)=0,#N/A,(VLOOKUP(B152,'Data Core CPI'!$A:$AX,MATCH($X$1,'Data Core CPI'!$A$1:$AX$1,),)-VLOOKUP(EDATE(B152,-12),'Data Core CPI'!$A:$AX,MATCH($X$1,'Data Core CPI'!$A$1:$AX$1,),))/VLOOKUP(EDATE(B152,-12),'Data Core CPI'!$A:$AX,MATCH($X$1,'Data Core CPI'!$A$1:$AX$1,),))</f>
        <v/>
      </c>
      <c r="Y152" s="20">
        <f>IF(VLOOKUP(B152,'Data Core CPI'!$A:$AX,MATCH($Y$1,'Data Core CPI'!$A$1:$AX$1,),)=0,#N/A,(VLOOKUP(B152,'Data Core CPI'!$A:$AX,MATCH($Y$1,'Data Core CPI'!$A$1:$AX$1,),)-VLOOKUP(EDATE(B152,-12),'Data Core CPI'!$A:$AX,MATCH($Y$1,'Data Core CPI'!$A$1:$AX$1,),))/VLOOKUP(EDATE(B152,-12),'Data Core CPI'!$A:$AX,MATCH($Y$1,'Data Core CPI'!$A$1:$AX$1,),))</f>
        <v/>
      </c>
    </row>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2">
    <cfRule type="colorScale" priority="44">
      <colorScale>
        <cfvo type="min"/>
        <cfvo type="percentile" val="50"/>
        <cfvo type="max"/>
        <color rgb="FFF8696B"/>
        <color rgb="FFFFEB84"/>
        <color rgb="FF63BE7B"/>
      </colorScale>
    </cfRule>
  </conditionalFormatting>
  <conditionalFormatting sqref="D59:D152">
    <cfRule type="colorScale" priority="45">
      <colorScale>
        <cfvo type="min"/>
        <cfvo type="percentile" val="50"/>
        <cfvo type="max"/>
        <color rgb="FFF8696B"/>
        <color rgb="FFFFEB84"/>
        <color rgb="FF63BE7B"/>
      </colorScale>
    </cfRule>
  </conditionalFormatting>
  <conditionalFormatting sqref="E59:AA59 Z60:AA106 E60:Y152">
    <cfRule type="colorScale" priority="46">
      <colorScale>
        <cfvo type="min"/>
        <cfvo type="percentile" val="50"/>
        <cfvo type="max"/>
        <color rgb="FFF8696B"/>
        <color rgb="FFFFEB84"/>
        <color rgb="FF63BE7B"/>
      </colorScale>
    </cfRule>
  </conditionalFormatting>
  <conditionalFormatting sqref="C59:C152">
    <cfRule type="colorScale" priority="16">
      <colorScale>
        <cfvo type="min"/>
        <cfvo type="percentile" val="50"/>
        <cfvo type="max"/>
        <color rgb="FFF8696B"/>
        <color rgb="FFFFEB84"/>
        <color rgb="FF63BE7B"/>
      </colorScale>
    </cfRule>
  </conditionalFormatting>
  <conditionalFormatting sqref="E59:E152">
    <cfRule type="colorScale" priority="15">
      <colorScale>
        <cfvo type="min"/>
        <cfvo type="percentile" val="50"/>
        <cfvo type="max"/>
        <color rgb="FFF8696B"/>
        <color rgb="FFFFEB84"/>
        <color rgb="FF63BE7B"/>
      </colorScale>
    </cfRule>
  </conditionalFormatting>
  <conditionalFormatting sqref="F59:F152">
    <cfRule type="colorScale" priority="14">
      <colorScale>
        <cfvo type="min"/>
        <cfvo type="percentile" val="50"/>
        <cfvo type="max"/>
        <color rgb="FFF8696B"/>
        <color rgb="FFFFEB84"/>
        <color rgb="FF63BE7B"/>
      </colorScale>
    </cfRule>
  </conditionalFormatting>
  <conditionalFormatting sqref="G59:G152">
    <cfRule type="colorScale" priority="13">
      <colorScale>
        <cfvo type="min"/>
        <cfvo type="percentile" val="50"/>
        <cfvo type="max"/>
        <color rgb="FFF8696B"/>
        <color rgb="FFFFEB84"/>
        <color rgb="FF63BE7B"/>
      </colorScale>
    </cfRule>
  </conditionalFormatting>
  <conditionalFormatting sqref="H59:H152">
    <cfRule type="colorScale" priority="12">
      <colorScale>
        <cfvo type="min"/>
        <cfvo type="percentile" val="50"/>
        <cfvo type="max"/>
        <color rgb="FFF8696B"/>
        <color rgb="FFFFEB84"/>
        <color rgb="FF63BE7B"/>
      </colorScale>
    </cfRule>
  </conditionalFormatting>
  <conditionalFormatting sqref="I59:I152">
    <cfRule type="colorScale" priority="11">
      <colorScale>
        <cfvo type="min"/>
        <cfvo type="percentile" val="50"/>
        <cfvo type="max"/>
        <color rgb="FFF8696B"/>
        <color rgb="FFFFEB84"/>
        <color rgb="FF63BE7B"/>
      </colorScale>
    </cfRule>
  </conditionalFormatting>
  <conditionalFormatting sqref="J59:J152">
    <cfRule type="colorScale" priority="10">
      <colorScale>
        <cfvo type="min"/>
        <cfvo type="percentile" val="50"/>
        <cfvo type="max"/>
        <color rgb="FFF8696B"/>
        <color rgb="FFFFEB84"/>
        <color rgb="FF63BE7B"/>
      </colorScale>
    </cfRule>
  </conditionalFormatting>
  <conditionalFormatting sqref="K59:K152">
    <cfRule type="colorScale" priority="9">
      <colorScale>
        <cfvo type="min"/>
        <cfvo type="percentile" val="50"/>
        <cfvo type="max"/>
        <color rgb="FFF8696B"/>
        <color rgb="FFFFEB84"/>
        <color rgb="FF63BE7B"/>
      </colorScale>
    </cfRule>
  </conditionalFormatting>
  <conditionalFormatting sqref="L59:L152">
    <cfRule type="colorScale" priority="8">
      <colorScale>
        <cfvo type="min"/>
        <cfvo type="percentile" val="50"/>
        <cfvo type="max"/>
        <color rgb="FFF8696B"/>
        <color rgb="FFFFEB84"/>
        <color rgb="FF63BE7B"/>
      </colorScale>
    </cfRule>
  </conditionalFormatting>
  <conditionalFormatting sqref="M59:M152">
    <cfRule type="colorScale" priority="7">
      <colorScale>
        <cfvo type="min"/>
        <cfvo type="percentile" val="50"/>
        <cfvo type="max"/>
        <color rgb="FFF8696B"/>
        <color rgb="FFFFEB84"/>
        <color rgb="FF63BE7B"/>
      </colorScale>
    </cfRule>
  </conditionalFormatting>
  <conditionalFormatting sqref="P59:P152">
    <cfRule type="colorScale" priority="6">
      <colorScale>
        <cfvo type="min"/>
        <cfvo type="percentile" val="50"/>
        <cfvo type="max"/>
        <color rgb="FFF8696B"/>
        <color rgb="FFFFEB84"/>
        <color rgb="FF63BE7B"/>
      </colorScale>
    </cfRule>
  </conditionalFormatting>
  <conditionalFormatting sqref="R59:R152">
    <cfRule type="colorScale" priority="5">
      <colorScale>
        <cfvo type="min"/>
        <cfvo type="percentile" val="50"/>
        <cfvo type="max"/>
        <color rgb="FFF8696B"/>
        <color rgb="FFFFEB84"/>
        <color rgb="FF63BE7B"/>
      </colorScale>
    </cfRule>
  </conditionalFormatting>
  <conditionalFormatting sqref="U59:U152">
    <cfRule type="colorScale" priority="4">
      <colorScale>
        <cfvo type="min"/>
        <cfvo type="percentile" val="50"/>
        <cfvo type="max"/>
        <color rgb="FFF8696B"/>
        <color rgb="FFFFEB84"/>
        <color rgb="FF63BE7B"/>
      </colorScale>
    </cfRule>
  </conditionalFormatting>
  <conditionalFormatting sqref="W59:W152">
    <cfRule type="colorScale" priority="3">
      <colorScale>
        <cfvo type="min"/>
        <cfvo type="percentile" val="50"/>
        <cfvo type="max"/>
        <color rgb="FFF8696B"/>
        <color rgb="FFFFEB84"/>
        <color rgb="FF63BE7B"/>
      </colorScale>
    </cfRule>
  </conditionalFormatting>
  <conditionalFormatting sqref="X59:X152">
    <cfRule type="colorScale" priority="2">
      <colorScale>
        <cfvo type="min"/>
        <cfvo type="percentile" val="50"/>
        <cfvo type="max"/>
        <color rgb="FFF8696B"/>
        <color rgb="FFFFEB84"/>
        <color rgb="FF63BE7B"/>
      </colorScale>
    </cfRule>
  </conditionalFormatting>
  <conditionalFormatting sqref="Y59:Y15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60" zoomScaleNormal="60" workbookViewId="0">
      <pane ySplit="2" topLeftCell="A824" activePane="bottomLeft" state="frozen"/>
      <selection activeCell="M12" sqref="M12"/>
      <selection pane="bottomLeft" activeCell="AC848" sqref="AC848"/>
    </sheetView>
  </sheetViews>
  <sheetFormatPr baseColWidth="8" defaultColWidth="8.81640625" defaultRowHeight="14.5"/>
  <cols>
    <col width="11.1796875" customWidth="1" style="32" min="1" max="1"/>
    <col width="12.6328125" customWidth="1" style="2" min="2" max="2"/>
    <col width="11" customWidth="1" style="1" min="3" max="5"/>
    <col width="9.1796875" customWidth="1" style="32" min="6" max="9"/>
    <col width="9.179687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Row],[USA]]-B846)/B846</f>
        <v/>
      </c>
      <c r="F858" s="34">
        <f>VLOOKUP(Table143454[[#This Row],[Date]],'Data Core CPI'!$A:$AX,MATCH($B$2,'Data Core CPI'!$B$1:$AX$1,0),FALSE)</f>
        <v/>
      </c>
      <c r="G858" s="35">
        <f>(F858/F857)-1</f>
        <v/>
      </c>
      <c r="H858" s="35">
        <f>((1+G858)^12)-1</f>
        <v/>
      </c>
      <c r="I858" s="35">
        <f>(Table143454[[#This Row],[Core CPI]]-F846)/F846</f>
        <v/>
      </c>
    </row>
    <row r="859" customFormat="1" s="26">
      <c r="A859" s="33">
        <f>IF(Data!A886="",#N/A,Data!A886)</f>
        <v/>
      </c>
      <c r="B859" s="34">
        <f>VLOOKUP(A859,Data!A:AX,MATCH($B$2,Data!$B$1:$AX$1,0),FALSE)</f>
        <v/>
      </c>
      <c r="C859" s="35">
        <f>(B859/B858)-1</f>
        <v/>
      </c>
      <c r="D859" s="35">
        <f>((1+C859)^12)-1</f>
        <v/>
      </c>
      <c r="E859" s="35">
        <f>(Table143454[[#This Row],[USA]]-B847)/B847</f>
        <v/>
      </c>
      <c r="F859" s="34">
        <f>VLOOKUP(Table143454[[#This Row],[Date]],'Data Core CPI'!$A:$AX,MATCH($B$2,'Data Core CPI'!$B$1:$AX$1,0),FALSE)</f>
        <v/>
      </c>
      <c r="G859" s="35">
        <f>(F859/F858)-1</f>
        <v/>
      </c>
      <c r="H859" s="35">
        <f>((1+G859)^12)-1</f>
        <v/>
      </c>
      <c r="I859" s="35">
        <f>(Table143454[[#This Row],[Core CPI]]-F847)/F847</f>
        <v/>
      </c>
    </row>
    <row r="860" customFormat="1" s="26">
      <c r="A860" s="33">
        <f>IF(Data!A887="",#N/A,Data!A887)</f>
        <v/>
      </c>
      <c r="B860" s="34">
        <f>VLOOKUP(A860,Data!A:AX,MATCH($B$2,Data!$B$1:$AX$1,0),FALSE)</f>
        <v/>
      </c>
      <c r="C860" s="35">
        <f>(B860/B859)-1</f>
        <v/>
      </c>
      <c r="D860" s="35">
        <f>((1+C860)^12)-1</f>
        <v/>
      </c>
      <c r="E860" s="35">
        <f>(Table143454[[#This Row],[USA]]-B848)/B848</f>
        <v/>
      </c>
      <c r="F860" s="34">
        <f>VLOOKUP(Table143454[[#This Row],[Date]],'Data Core CPI'!$A:$AX,MATCH($B$2,'Data Core CPI'!$B$1:$AX$1,0),FALSE)</f>
        <v/>
      </c>
      <c r="G860" s="35">
        <f>(F860/F859)-1</f>
        <v/>
      </c>
      <c r="H860" s="35">
        <f>((1+G860)^12)-1</f>
        <v/>
      </c>
      <c r="I860" s="35">
        <f>(Table143454[[#This Row],[Core CPI]]-F848)/F848</f>
        <v/>
      </c>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60">
    <cfRule type="colorScale" priority="2">
      <colorScale>
        <cfvo type="min"/>
        <cfvo type="percentile" val="50"/>
        <cfvo type="max"/>
        <color rgb="FFF8696B"/>
        <color rgb="FFFFEB84"/>
        <color rgb="FF63BE7B"/>
      </colorScale>
    </cfRule>
  </conditionalFormatting>
  <conditionalFormatting sqref="I707:I86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2022-12-03T12:29:44Z</dcterms:modified>
  <cp:lastModifiedBy>Mark Mukherjee</cp:lastModifiedBy>
</cp:coreProperties>
</file>