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164" fontId="0" fillId="2" borderId="0" applyAlignment="1" pivotButton="0" quotePrefix="0" xfId="0">
      <alignment horizontal="left" vertical="center" wrapText="1"/>
    </xf>
    <xf numFmtId="0" fontId="0" fillId="2" borderId="0" pivotButton="0" quotePrefix="0" xfId="0"/>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0" fontId="0" fillId="2" borderId="0" applyAlignment="1" pivotButton="0" quotePrefix="0" xfId="0">
      <alignment wrapText="1"/>
    </xf>
    <xf numFmtId="164" fontId="13" fillId="2" borderId="0" applyAlignment="1" pivotButton="0" quotePrefix="0" xfId="0">
      <alignment horizontal="left" vertical="center" wrapText="1"/>
    </xf>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United States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Country!$E$707:$E$950</f>
              <numCache>
                <formatCode>0.00%</formatCode>
                <ptCount val="244"/>
                <pt idx="0">
                  <v>0.0818520288622574</v>
                </pt>
                <pt idx="1">
                  <v>0.1012784348062929</v>
                </pt>
                <pt idx="2">
                  <v>0.09560827764102728</v>
                </pt>
                <pt idx="3">
                  <v>0.1019424871330638</v>
                </pt>
                <pt idx="4">
                  <v>0.09099828054460495</v>
                </pt>
                <pt idx="5">
                  <v>0.08367527441020634</v>
                </pt>
                <pt idx="6">
                  <v>0.07577251491585875</v>
                </pt>
                <pt idx="7">
                  <v>0.08334874650610381</v>
                </pt>
                <pt idx="8">
                  <v>0.09235659120515592</v>
                </pt>
                <pt idx="9">
                  <v>0.08619250381998844</v>
                </pt>
                <pt idx="10">
                  <v>0.07287796281119119</v>
                </pt>
                <pt idx="11">
                  <v>0.06401035936367919</v>
                </pt>
                <pt idx="12">
                  <v>0.04900321408629073</v>
                </pt>
                <pt idx="13">
                  <v>0.04156536944740598</v>
                </pt>
                <pt idx="14">
                  <v>0.03986032104095507</v>
                </pt>
                <pt idx="15">
                  <v>0.0426462243245068</v>
                </pt>
                <pt idx="16">
                  <v>0.07172541684230242</v>
                </pt>
                <pt idx="17">
                  <v>0.06235861491372117</v>
                </pt>
                <pt idx="18">
                  <v>0.06311365551668413</v>
                </pt>
                <pt idx="19">
                  <v>0.06653475870919526</v>
                </pt>
                <pt idx="20">
                  <v>0.06154023242080821</v>
                </pt>
                <pt idx="21">
                  <v>0.07655596818219422</v>
                </pt>
                <pt idx="22">
                  <v>0.09484651699695763</v>
                </pt>
                <pt idx="23">
                  <v>0.1044817611275958</v>
                </pt>
                <pt idx="24">
                  <v>0.1061337374827146</v>
                </pt>
                <pt idx="25">
                  <v>0.104333024007027</v>
                </pt>
                <pt idx="26">
                  <v>0.1042773188891827</v>
                </pt>
                <pt idx="27">
                  <v>0.1113794513280251</v>
                </pt>
                <pt idx="28">
                  <v>0.08280487290250667</v>
                </pt>
                <pt idx="29">
                  <v>0.08868577752789487</v>
                </pt>
                <pt idx="30">
                  <v>0.0906517448801889</v>
                </pt>
                <pt idx="31">
                  <v>0.08883231624110113</v>
                </pt>
                <pt idx="32">
                  <v>0.09185110204735163</v>
                </pt>
                <pt idx="33">
                  <v>0.07798900209386594</v>
                </pt>
                <pt idx="34">
                  <v>0.06369561478619622</v>
                </pt>
                <pt idx="35">
                  <v>0.06163791906698502</v>
                </pt>
                <pt idx="36">
                  <v>0.0730764278568684</v>
                </pt>
                <pt idx="37">
                  <v>0.07025416660840116</v>
                </pt>
                <pt idx="38">
                  <v>0.07290643100394083</v>
                </pt>
                <pt idx="39">
                  <v>0.0613378450218387</v>
                </pt>
                <pt idx="40">
                  <v>0.06514687970876434</v>
                </pt>
                <pt idx="41">
                  <v>0.08297511805291756</v>
                </pt>
                <pt idx="42">
                  <v>0.08884445106603998</v>
                </pt>
                <pt idx="43">
                  <v>0.08168235698839194</v>
                </pt>
                <pt idx="44">
                  <v>0.07882448848811842</v>
                </pt>
                <pt idx="45">
                  <v>0.07711934021585373</v>
                </pt>
                <pt idx="46">
                  <v>0.07315688745076322</v>
                </pt>
                <pt idx="47">
                  <v>0.07400465516326925</v>
                </pt>
                <pt idx="48">
                  <v>0.07751232079970771</v>
                </pt>
                <pt idx="49">
                  <v>0.07889039871576276</v>
                </pt>
                <pt idx="50">
                  <v>0.08385506696878312</v>
                </pt>
                <pt idx="51">
                  <v>0.09383384151854823</v>
                </pt>
                <pt idx="52">
                  <v>0.09656019984774836</v>
                </pt>
                <pt idx="53">
                  <v>0.09163485100941873</v>
                </pt>
                <pt idx="54">
                  <v>0.09319357056594052</v>
                </pt>
                <pt idx="55">
                  <v>0.09536020091582938</v>
                </pt>
                <pt idx="56">
                  <v>0.08856235430760699</v>
                </pt>
                <pt idx="57">
                  <v>0.08962882243340249</v>
                </pt>
                <pt idx="58">
                  <v>0.09150733612642589</v>
                </pt>
                <pt idx="59">
                  <v>0.08169950444357679</v>
                </pt>
                <pt idx="60">
                  <v>0.07240723563549471</v>
                </pt>
                <pt idx="61">
                  <v>0.07546687868409356</v>
                </pt>
                <pt idx="62">
                  <v>0.07610250643030103</v>
                </pt>
                <pt idx="63">
                  <v>0.07912810208315149</v>
                </pt>
                <pt idx="64">
                  <v>0.08092993382143154</v>
                </pt>
                <pt idx="65">
                  <v>0.07204512112836398</v>
                </pt>
                <pt idx="66">
                  <v>0.06814163256068358</v>
                </pt>
                <pt idx="67">
                  <v>0.07140478872594054</v>
                </pt>
                <pt idx="68">
                  <v>0.0794701915952945</v>
                </pt>
                <pt idx="69">
                  <v>0.07581410910870313</v>
                </pt>
                <pt idx="70">
                  <v>0.08102243322417853</v>
                </pt>
                <pt idx="71">
                  <v>0.08808334848994397</v>
                </pt>
                <pt idx="72">
                  <v>0.09578780378911109</v>
                </pt>
                <pt idx="73">
                  <v>0.08777398280267096</v>
                </pt>
                <pt idx="74">
                  <v>0.07459889993374855</v>
                </pt>
                <pt idx="75">
                  <v>0.06565387554246263</v>
                </pt>
                <pt idx="76">
                  <v>0.06582305795006492</v>
                </pt>
                <pt idx="77">
                  <v>0.07637447526023863</v>
                </pt>
                <pt idx="78">
                  <v>0.08793384307293262</v>
                </pt>
                <pt idx="79">
                  <v>0.0804508227845572</v>
                </pt>
                <pt idx="80">
                  <v>0.07282136101179583</v>
                </pt>
                <pt idx="81">
                  <v>0.07159457179498432</v>
                </pt>
                <pt idx="82">
                  <v>0.07000472769265347</v>
                </pt>
                <pt idx="83">
                  <v>0.08533061346816649</v>
                </pt>
                <pt idx="84">
                  <v>0.09218748368020707</v>
                </pt>
                <pt idx="85">
                  <v>0.101282220527495</v>
                </pt>
                <pt idx="86">
                  <v>0.1129179983962239</v>
                </pt>
                <pt idx="87">
                  <v>0.1186961887011944</v>
                </pt>
                <pt idx="88">
                  <v>0.1172220259122865</v>
                </pt>
                <pt idx="89">
                  <v>0.1090113757003696</v>
                </pt>
                <pt idx="90">
                  <v>0.09788400285501921</v>
                </pt>
                <pt idx="91">
                  <v>0.1067930995256456</v>
                </pt>
                <pt idx="92">
                  <v>0.1119849485375506</v>
                </pt>
                <pt idx="93">
                  <v>0.1189883117627733</v>
                </pt>
                <pt idx="94">
                  <v>0.1298434732850692</v>
                </pt>
                <pt idx="95">
                  <v>0.1191970982373502</v>
                </pt>
                <pt idx="96">
                  <v>0.1034567896941382</v>
                </pt>
                <pt idx="97">
                  <v>0.1025911901088582</v>
                </pt>
                <pt idx="98">
                  <v>0.1023456414914578</v>
                </pt>
                <pt idx="99">
                  <v>0.108495494979253</v>
                </pt>
                <pt idx="100">
                  <v>0.1214701352045182</v>
                </pt>
                <pt idx="101">
                  <v>0.1538509421788764</v>
                </pt>
                <pt idx="102">
                  <v>0.1584903473346816</v>
                </pt>
                <pt idx="103">
                  <v>0.1789643445054441</v>
                </pt>
                <pt idx="104">
                  <v>0.245188751379179</v>
                </pt>
                <pt idx="105">
                  <v>0.2524031325510903</v>
                </pt>
                <pt idx="106">
                  <v>0.2161873890622934</v>
                </pt>
                <pt idx="107">
                  <v>0.203017727837815</v>
                </pt>
                <pt idx="108">
                  <v>0.2035367064273671</v>
                </pt>
                <pt idx="109">
                  <v>0.1967164263155177</v>
                </pt>
                <pt idx="110">
                  <v>0.1971294437629334</v>
                </pt>
                <pt idx="111">
                  <v>0.1950229013436723</v>
                </pt>
                <pt idx="112">
                  <v>0.1871164703338892</v>
                </pt>
                <pt idx="113">
                  <v>0.1572010442646006</v>
                </pt>
                <pt idx="114">
                  <v>0.1664674027709403</v>
                </pt>
                <pt idx="115">
                  <v>0.1500848393439091</v>
                </pt>
                <pt idx="116">
                  <v>0.09262089160559406</v>
                </pt>
                <pt idx="117">
                  <v>0.08552868695697914</v>
                </pt>
                <pt idx="118">
                  <v>0.1056183787958057</v>
                </pt>
                <pt idx="119">
                  <v>0.1183608310034522</v>
                </pt>
                <pt idx="120">
                  <v>0.1215363174022536</v>
                </pt>
                <pt idx="121">
                  <v>0.1236738239163641</v>
                </pt>
                <pt idx="122">
                  <v>0.1185917112986166</v>
                </pt>
                <pt idx="123">
                  <v>0.1093670779782984</v>
                </pt>
                <pt idx="124">
                  <v>0.1139000725317618</v>
                </pt>
                <pt idx="125">
                  <v>0.1262240024494223</v>
                </pt>
                <pt idx="126">
                  <v>0.1176411356739817</v>
                </pt>
                <pt idx="127">
                  <v>0.1177038647107799</v>
                </pt>
                <pt idx="128">
                  <v>0.117483557830427</v>
                </pt>
                <pt idx="129">
                  <v>0.1188961374982426</v>
                </pt>
                <pt idx="130">
                  <v>0.1402629987097389</v>
                </pt>
                <pt idx="131">
                  <v>0.145993290452649</v>
                </pt>
                <pt idx="132">
                  <v>0.149737342843468</v>
                </pt>
                <pt idx="133">
                  <v>0.1561096618652521</v>
                </pt>
                <pt idx="134">
                  <v>0.1619030379229996</v>
                </pt>
                <pt idx="135">
                  <v>0.1714013088026497</v>
                </pt>
                <pt idx="136">
                  <v>0.1659287704835492</v>
                </pt>
                <pt idx="137">
                  <v>0.1752532626267711</v>
                </pt>
                <pt idx="138">
                  <v>0.1895169811824429</v>
                </pt>
                <pt idx="139">
                  <v>0.1925266727317839</v>
                </pt>
                <pt idx="140">
                  <v>0.195825595218268</v>
                </pt>
                <pt idx="141">
                  <v>0.1989001940833972</v>
                </pt>
                <pt idx="142">
                  <v>0.2131254213901564</v>
                </pt>
                <pt idx="143">
                  <v>0.3608091603526294</v>
                </pt>
                <pt idx="144">
                  <v>0.4869080550858237</v>
                </pt>
                <pt idx="145">
                  <v>0.544385369490693</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United States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pt idx="145">
                  <v>44593</v>
                </pt>
              </numCache>
            </numRef>
          </cat>
          <val>
            <numRef>
              <f>Country!$I$707:$I$950</f>
              <numCache>
                <formatCode>0.00%</formatCode>
                <ptCount val="244"/>
                <pt idx="0">
                  <v>0.07790615660074587</v>
                </pt>
                <pt idx="1">
                  <v>0.0817622391507869</v>
                </pt>
                <pt idx="2">
                  <v>0.08824677909756032</v>
                </pt>
                <pt idx="3">
                  <v>0.09197471719716517</v>
                </pt>
                <pt idx="4">
                  <v>0.09131256879476457</v>
                </pt>
                <pt idx="5">
                  <v>0.08696202810873586</v>
                </pt>
                <pt idx="6">
                  <v>0.07321499768507009</v>
                </pt>
                <pt idx="7">
                  <v>0.067780692275743</v>
                </pt>
                <pt idx="8">
                  <v>0.0606739143462792</v>
                </pt>
                <pt idx="9">
                  <v>0.04878498632846172</v>
                </pt>
                <pt idx="10">
                  <v>0.04890615162500272</v>
                </pt>
                <pt idx="11">
                  <v>0.05448463748855297</v>
                </pt>
                <pt idx="12">
                  <v>0.0365269776187061</v>
                </pt>
                <pt idx="13">
                  <v>0.03683291364016464</v>
                </pt>
                <pt idx="14">
                  <v>0.0365563483760653</v>
                </pt>
                <pt idx="15">
                  <v>0.04246790498541549</v>
                </pt>
                <pt idx="16">
                  <v>0.04450900515189708</v>
                </pt>
                <pt idx="17">
                  <v>0.04864048801422352</v>
                </pt>
                <pt idx="18">
                  <v>0.05115046438710122</v>
                </pt>
                <pt idx="19">
                  <v>0.06060589538525629</v>
                </pt>
                <pt idx="20">
                  <v>0.06959537861451896</v>
                </pt>
                <pt idx="21">
                  <v>0.08942188475318306</v>
                </pt>
                <pt idx="22">
                  <v>0.09746941285524244</v>
                </pt>
                <pt idx="23">
                  <v>0.09520781881821339</v>
                </pt>
                <pt idx="24">
                  <v>0.0977469255527048</v>
                </pt>
                <pt idx="25">
                  <v>0.09588724009090396</v>
                </pt>
                <pt idx="26">
                  <v>0.0935095039145843</v>
                </pt>
                <pt idx="27">
                  <v>0.09663907097649189</v>
                </pt>
                <pt idx="28">
                  <v>0.09095456193825785</v>
                </pt>
                <pt idx="29">
                  <v>0.0890645532805798</v>
                </pt>
                <pt idx="30">
                  <v>0.08701431219555998</v>
                </pt>
                <pt idx="31">
                  <v>0.08134850497480449</v>
                </pt>
                <pt idx="32">
                  <v>0.07648810543909761</v>
                </pt>
                <pt idx="33">
                  <v>0.06011858603046824</v>
                </pt>
                <pt idx="34">
                  <v>0.05243474315129622</v>
                </pt>
                <pt idx="35">
                  <v>0.05265376887265533</v>
                </pt>
                <pt idx="36">
                  <v>0.06373013421250409</v>
                </pt>
                <pt idx="37">
                  <v>0.06551757107000047</v>
                </pt>
                <pt idx="38">
                  <v>0.06539548496606673</v>
                </pt>
                <pt idx="39">
                  <v>0.06144878707816501</v>
                </pt>
                <pt idx="40">
                  <v>0.06200607720620775</v>
                </pt>
                <pt idx="41">
                  <v>0.06111992301417791</v>
                </pt>
                <pt idx="42">
                  <v>0.06735343102601278</v>
                </pt>
                <pt idx="43">
                  <v>0.0705780973576155</v>
                </pt>
                <pt idx="44">
                  <v>0.07503174321936244</v>
                </pt>
                <pt idx="45">
                  <v>0.07777993995295394</v>
                </pt>
                <pt idx="46">
                  <v>0.07498383636523943</v>
                </pt>
                <pt idx="47">
                  <v>0.0712285914501838</v>
                </pt>
                <pt idx="48">
                  <v>0.06995496882769375</v>
                </pt>
                <pt idx="49">
                  <v>0.0770714554371975</v>
                </pt>
                <pt idx="50">
                  <v>0.08509582398245658</v>
                </pt>
                <pt idx="51">
                  <v>0.08914603975711288</v>
                </pt>
                <pt idx="52">
                  <v>0.09041145191351238</v>
                </pt>
                <pt idx="53">
                  <v>0.08941297850812262</v>
                </pt>
                <pt idx="54">
                  <v>0.09324539296495778</v>
                </pt>
                <pt idx="55">
                  <v>0.09165551358160046</v>
                </pt>
                <pt idx="56">
                  <v>0.08654401988638175</v>
                </pt>
                <pt idx="57">
                  <v>0.08643193861080674</v>
                </pt>
                <pt idx="58">
                  <v>0.08673794264705301</v>
                </pt>
                <pt idx="59">
                  <v>0.08708428372294773</v>
                </pt>
                <pt idx="60">
                  <v>0.08498642696907992</v>
                </pt>
                <pt idx="61">
                  <v>0.07693018594423179</v>
                </pt>
                <pt idx="62">
                  <v>0.07142540153883135</v>
                </pt>
                <pt idx="63">
                  <v>0.071807898148848</v>
                </pt>
                <pt idx="64">
                  <v>0.07608987742331656</v>
                </pt>
                <pt idx="65">
                  <v>0.07667356693187385</v>
                </pt>
                <pt idx="66">
                  <v>0.07266455602035307</v>
                </pt>
                <pt idx="67">
                  <v>0.07665709173797905</v>
                </pt>
                <pt idx="68">
                  <v>0.08410521623589104</v>
                </pt>
                <pt idx="69">
                  <v>0.08971550797224942</v>
                </pt>
                <pt idx="70">
                  <v>0.09176113267811938</v>
                </pt>
                <pt idx="71">
                  <v>0.09445473310417543</v>
                </pt>
                <pt idx="72">
                  <v>0.0981033394024831</v>
                </pt>
                <pt idx="73">
                  <v>0.100392412659265</v>
                </pt>
                <pt idx="74">
                  <v>0.09842662075792605</v>
                </pt>
                <pt idx="75">
                  <v>0.09668551508680555</v>
                </pt>
                <pt idx="76">
                  <v>0.09125157828994263</v>
                </pt>
                <pt idx="77">
                  <v>0.09030032548573247</v>
                </pt>
                <pt idx="78">
                  <v>0.09715250397369093</v>
                </pt>
                <pt idx="79">
                  <v>0.09739636722288125</v>
                </pt>
                <pt idx="80">
                  <v>0.08954289354166289</v>
                </pt>
                <pt idx="81">
                  <v>0.08335622055285195</v>
                </pt>
                <pt idx="82">
                  <v>0.08412764552042493</v>
                </pt>
                <pt idx="83">
                  <v>0.09505532829015499</v>
                </pt>
                <pt idx="84">
                  <v>0.09419039675014872</v>
                </pt>
                <pt idx="85">
                  <v>0.1001857628610896</v>
                </pt>
                <pt idx="86">
                  <v>0.1078680334972408</v>
                </pt>
                <pt idx="87">
                  <v>0.1080564870511782</v>
                </pt>
                <pt idx="88">
                  <v>0.1062695461484163</v>
                </pt>
                <pt idx="89">
                  <v>0.1044813158697208</v>
                </pt>
                <pt idx="90">
                  <v>0.101136534048306</v>
                </pt>
                <pt idx="91">
                  <v>0.1028170404993173</v>
                </pt>
                <pt idx="92">
                  <v>0.1104289426076474</v>
                </pt>
                <pt idx="93">
                  <v>0.1184047146576973</v>
                </pt>
                <pt idx="94">
                  <v>0.1215182116140938</v>
                </pt>
                <pt idx="95">
                  <v>0.1159052446046258</v>
                </pt>
                <pt idx="96">
                  <v>0.1102716134706668</v>
                </pt>
                <pt idx="97">
                  <v>0.1078308530903365</v>
                </pt>
                <pt idx="98">
                  <v>0.1040567999767968</v>
                </pt>
                <pt idx="99">
                  <v>0.1119453375261807</v>
                </pt>
                <pt idx="100">
                  <v>0.1180255231583664</v>
                </pt>
                <pt idx="101">
                  <v>0.1360545684132329</v>
                </pt>
                <pt idx="102">
                  <v>0.1410743071083147</v>
                </pt>
                <pt idx="103">
                  <v>0.1636402622016691</v>
                </pt>
                <pt idx="104">
                  <v>0.22509645523939</v>
                </pt>
                <pt idx="105">
                  <v>0.2264094169179516</v>
                </pt>
                <pt idx="106">
                  <v>0.1917681012938098</v>
                </pt>
                <pt idx="107">
                  <v>0.1821688300456786</v>
                </pt>
                <pt idx="108">
                  <v>0.175894153049223</v>
                </pt>
                <pt idx="109">
                  <v>0.1671971510304162</v>
                </pt>
                <pt idx="110">
                  <v>0.1619528138243827</v>
                </pt>
                <pt idx="111">
                  <v>0.1560503572212555</v>
                </pt>
                <pt idx="112">
                  <v>0.1581983966418836</v>
                </pt>
                <pt idx="113">
                  <v>0.1480232693069783</v>
                </pt>
                <pt idx="114">
                  <v>0.1595656186888416</v>
                </pt>
                <pt idx="115">
                  <v>0.1491077145957517</v>
                </pt>
                <pt idx="116">
                  <v>0.09506208812482292</v>
                </pt>
                <pt idx="117">
                  <v>0.08813252451415859</v>
                </pt>
                <pt idx="118">
                  <v>0.1121367704848625</v>
                </pt>
                <pt idx="119">
                  <v>0.1172571021177998</v>
                </pt>
                <pt idx="120">
                  <v>0.1215187836217484</v>
                </pt>
                <pt idx="121">
                  <v>0.1229768671443024</v>
                </pt>
                <pt idx="122">
                  <v>0.1278626715608045</v>
                </pt>
                <pt idx="123">
                  <v>0.1200319474433237</v>
                </pt>
                <pt idx="124">
                  <v>0.1175330741992411</v>
                </pt>
                <pt idx="125">
                  <v>0.1298987121123988</v>
                </pt>
                <pt idx="126">
                  <v>0.1195651834888997</v>
                </pt>
                <pt idx="127">
                  <v>0.115553526687466</v>
                </pt>
                <pt idx="128">
                  <v>0.1158708982906076</v>
                </pt>
                <pt idx="129">
                  <v>0.118155578229909</v>
                </pt>
                <pt idx="130">
                  <v>0.1344400238782069</v>
                </pt>
                <pt idx="131">
                  <v>0.1419121306135666</v>
                </pt>
                <pt idx="132">
                  <v>0.1520278083161666</v>
                </pt>
                <pt idx="133">
                  <v>0.157691008029722</v>
                </pt>
                <pt idx="134">
                  <v>0.1631984670941115</v>
                </pt>
                <pt idx="135">
                  <v>0.16940368244558</v>
                </pt>
                <pt idx="136">
                  <v>0.1624894925579214</v>
                </pt>
                <pt idx="137">
                  <v>0.1664942215410688</v>
                </pt>
                <pt idx="138">
                  <v>0.161560628905166</v>
                </pt>
                <pt idx="139">
                  <v>0.152046461547782</v>
                </pt>
                <pt idx="140">
                  <v>0.1563695853964606</v>
                </pt>
                <pt idx="141">
                  <v>0.1597947298153125</v>
                </pt>
                <pt idx="142">
                  <v>0.1698664725671654</v>
                </pt>
                <pt idx="143">
                  <v>0.3107113237240487</v>
                </pt>
                <pt idx="144">
                  <v>0.3974089733176446</v>
                </pt>
                <pt idx="145">
                  <v>0.4410095413973529</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2" headerRowCount="1" totalsRowShown="0" headerRowDxfId="11" dataDxfId="9" headerRowBorderDxfId="10">
  <autoFilter ref="A2:I852"/>
  <tableColumns count="9">
    <tableColumn id="1" name="Date" dataDxfId="8">
      <calculatedColumnFormula>IF(Data!A30="",#N/A,Data!A30)</calculatedColumnFormula>
    </tableColumn>
    <tableColumn id="2" name="USA"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zoomScale="140" zoomScaleNormal="140" workbookViewId="0">
      <selection activeCell="M12" sqref="M12"/>
    </sheetView>
  </sheetViews>
  <sheetFormatPr baseColWidth="10" defaultColWidth="9.1640625" defaultRowHeight="15"/>
  <cols>
    <col width="9.1640625" customWidth="1" style="76" min="1" max="1"/>
    <col width="12.83203125" customWidth="1" style="76" min="2" max="10"/>
    <col width="9.1640625" customWidth="1" style="76" min="11" max="14"/>
    <col width="19.1640625" customWidth="1" style="76" min="15" max="16"/>
    <col width="9.1640625" customWidth="1" style="76" min="17" max="23"/>
    <col width="9.1640625" customWidth="1" style="76" min="24" max="16384"/>
  </cols>
  <sheetData>
    <row r="1">
      <c r="B1" s="77" t="n"/>
    </row>
    <row r="2" ht="16" customHeight="1" s="70" thickBot="1">
      <c r="B2" s="78" t="n"/>
      <c r="C2" s="78" t="n"/>
      <c r="D2" s="78" t="n"/>
      <c r="E2" s="78" t="n"/>
      <c r="F2" s="78" t="n"/>
      <c r="G2" s="78" t="n"/>
      <c r="H2" s="78" t="n"/>
      <c r="I2" s="78" t="n"/>
      <c r="J2" s="78" t="n"/>
    </row>
    <row r="3" ht="16" customHeight="1" s="70" thickBot="1">
      <c r="B3" s="79" t="inlineStr">
        <is>
          <t>Global Consumer Price Index</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9.5" customHeight="1" s="70">
      <c r="B7" s="85"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6" t="inlineStr">
        <is>
          <t>https://data.oecd.org/price/inflation-cpi.htm#indicator-chart</t>
        </is>
      </c>
    </row>
    <row r="9">
      <c r="B9" s="66" t="n"/>
      <c r="C9" s="66" t="n"/>
      <c r="D9" s="66" t="n"/>
      <c r="E9" s="66" t="n"/>
    </row>
    <row r="10">
      <c r="B10" s="82" t="inlineStr">
        <is>
          <t>Process / TO DO LIST</t>
        </is>
      </c>
      <c r="C10" s="83" t="n"/>
      <c r="D10" s="83" t="n"/>
      <c r="E10" s="83" t="n"/>
      <c r="F10" s="83" t="n"/>
      <c r="G10" s="83" t="n"/>
      <c r="H10" s="83" t="n"/>
      <c r="I10" s="83" t="n"/>
      <c r="J10" s="84" t="n"/>
    </row>
    <row r="12">
      <c r="B12" s="82" t="inlineStr">
        <is>
          <t>TO DO LIST</t>
        </is>
      </c>
      <c r="C12" s="83" t="n"/>
      <c r="D12" s="83" t="n"/>
      <c r="E12" s="83" t="n"/>
      <c r="F12" s="84" t="n"/>
      <c r="G12" s="82" t="inlineStr">
        <is>
          <t>Comments</t>
        </is>
      </c>
      <c r="H12" s="83" t="n"/>
      <c r="I12" s="83" t="n"/>
      <c r="J12" s="84" t="n"/>
      <c r="O12" s="82" t="inlineStr">
        <is>
          <t xml:space="preserve">Ticker </t>
        </is>
      </c>
      <c r="P12" s="82" t="inlineStr">
        <is>
          <t>Country</t>
        </is>
      </c>
    </row>
    <row r="13">
      <c r="O13" s="69" t="inlineStr">
        <is>
          <t>ABW</t>
        </is>
      </c>
      <c r="P13" s="69" t="inlineStr">
        <is>
          <t>Aruba</t>
        </is>
      </c>
    </row>
    <row r="14">
      <c r="B14" s="86" t="inlineStr">
        <is>
          <t>https://data.oecd.org/price/inflation-cpi.htm#indicator-chart</t>
        </is>
      </c>
      <c r="G14" s="76" t="inlineStr">
        <is>
          <t>CPI yoy</t>
        </is>
      </c>
      <c r="O14" s="69" t="inlineStr">
        <is>
          <t>AFG</t>
        </is>
      </c>
      <c r="P14" s="69" t="inlineStr">
        <is>
          <t>Afghanistan</t>
        </is>
      </c>
    </row>
    <row r="15">
      <c r="B15" s="76" t="inlineStr">
        <is>
          <t>Total</t>
        </is>
      </c>
      <c r="G15" s="76" t="inlineStr">
        <is>
          <t>In Data</t>
        </is>
      </c>
      <c r="O15" s="69" t="inlineStr">
        <is>
          <t>AFRI</t>
        </is>
      </c>
      <c r="P15" s="69" t="inlineStr">
        <is>
          <t>Africa</t>
        </is>
      </c>
    </row>
    <row r="16" ht="15.75" customHeight="1" s="70">
      <c r="B16" s="76" t="inlineStr">
        <is>
          <t>Select 2015 =100</t>
        </is>
      </c>
      <c r="G16" s="75" t="inlineStr">
        <is>
          <t>Manually or create macro</t>
        </is>
      </c>
      <c r="O16" s="69" t="inlineStr">
        <is>
          <t>AGO</t>
        </is>
      </c>
      <c r="P16" s="69" t="inlineStr">
        <is>
          <t>Angola</t>
        </is>
      </c>
    </row>
    <row r="17" ht="15.75" customHeight="1" s="70">
      <c r="B17" s="76" t="inlineStr">
        <is>
          <t>Countries</t>
        </is>
      </c>
      <c r="G17" s="75" t="n"/>
      <c r="O17" s="69" t="inlineStr">
        <is>
          <t>AIA</t>
        </is>
      </c>
      <c r="P17" s="69" t="inlineStr">
        <is>
          <t>Anguilla</t>
        </is>
      </c>
    </row>
    <row r="18" ht="15.75" customHeight="1" s="70">
      <c r="B18" s="76" t="inlineStr">
        <is>
          <t>Download</t>
        </is>
      </c>
      <c r="G18" s="88" t="n"/>
      <c r="O18" s="69" t="inlineStr">
        <is>
          <t>ALB</t>
        </is>
      </c>
      <c r="P18" s="69" t="inlineStr">
        <is>
          <t>Albania</t>
        </is>
      </c>
    </row>
    <row r="19" ht="15.75" customHeight="1" s="70">
      <c r="B19" s="76" t="inlineStr">
        <is>
          <t>Start Jan 1949</t>
        </is>
      </c>
      <c r="G19" s="75" t="n"/>
      <c r="O19" s="69" t="inlineStr">
        <is>
          <t>AND</t>
        </is>
      </c>
      <c r="P19" s="69" t="inlineStr">
        <is>
          <t>Andorra</t>
        </is>
      </c>
    </row>
    <row r="20" ht="15.75" customHeight="1" s="70">
      <c r="G20" s="75" t="n"/>
      <c r="O20" s="69" t="inlineStr">
        <is>
          <t>ANT</t>
        </is>
      </c>
      <c r="P20" s="69" t="inlineStr">
        <is>
          <t>Netherlands Antilles</t>
        </is>
      </c>
    </row>
    <row r="21" ht="15.75" customHeight="1" s="70">
      <c r="B21" s="86" t="inlineStr">
        <is>
          <t>https://data.oecd.org/price/inflation-cpi.htm#indicator-chart</t>
        </is>
      </c>
      <c r="G21" s="75" t="inlineStr">
        <is>
          <t>Core CPI</t>
        </is>
      </c>
      <c r="O21" s="69" t="inlineStr">
        <is>
          <t>ARE</t>
        </is>
      </c>
      <c r="P21" s="69" t="inlineStr">
        <is>
          <t>United Arab Emirates</t>
        </is>
      </c>
    </row>
    <row r="22" ht="15.75" customHeight="1" s="70">
      <c r="B22" s="76" t="inlineStr">
        <is>
          <t>Total less food, less energy</t>
        </is>
      </c>
      <c r="G22" s="75" t="inlineStr">
        <is>
          <t>In Data Core CPI</t>
        </is>
      </c>
      <c r="O22" s="69" t="inlineStr">
        <is>
          <t>ARG</t>
        </is>
      </c>
      <c r="P22" s="69" t="inlineStr">
        <is>
          <t>Argentina</t>
        </is>
      </c>
    </row>
    <row r="23" ht="15.75" customHeight="1" s="70">
      <c r="B23" s="76" t="inlineStr">
        <is>
          <t>Select 2015 =100</t>
        </is>
      </c>
      <c r="G23" s="75" t="inlineStr">
        <is>
          <t>Manually or create macro</t>
        </is>
      </c>
      <c r="O23" s="69" t="inlineStr">
        <is>
          <t>ASIA</t>
        </is>
      </c>
      <c r="P23" s="69" t="inlineStr">
        <is>
          <t>Asia</t>
        </is>
      </c>
    </row>
    <row r="24" ht="15.75" customHeight="1" s="70">
      <c r="B24" s="76" t="inlineStr">
        <is>
          <t>Countries</t>
        </is>
      </c>
      <c r="G24" s="75" t="n"/>
      <c r="O24" s="69" t="inlineStr">
        <is>
          <t>ASM</t>
        </is>
      </c>
      <c r="P24" s="69" t="inlineStr">
        <is>
          <t>American Samoa</t>
        </is>
      </c>
    </row>
    <row r="25" ht="15.75" customHeight="1" s="70">
      <c r="B25" s="76" t="inlineStr">
        <is>
          <t>Download</t>
        </is>
      </c>
      <c r="G25" s="75" t="n"/>
      <c r="O25" s="69" t="inlineStr">
        <is>
          <t>ATG</t>
        </is>
      </c>
      <c r="P25" s="69" t="inlineStr">
        <is>
          <t>Antigua and Barbuda</t>
        </is>
      </c>
    </row>
    <row r="26" ht="15.75" customHeight="1" s="70">
      <c r="B26" s="76" t="inlineStr">
        <is>
          <t>Start Janv 1955</t>
        </is>
      </c>
      <c r="G26" s="75" t="n"/>
      <c r="O26" s="69" t="inlineStr">
        <is>
          <t>AUS</t>
        </is>
      </c>
      <c r="P26" s="69" t="inlineStr">
        <is>
          <t>Australia</t>
        </is>
      </c>
    </row>
    <row r="27" ht="15.75" customHeight="1" s="70">
      <c r="B27" s="76" t="n"/>
      <c r="G27" s="75"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8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B27:F27"/>
    <mergeCell ref="G27:J27"/>
    <mergeCell ref="B31:J31"/>
    <mergeCell ref="G18:J18"/>
    <mergeCell ref="G19:J19"/>
    <mergeCell ref="G20:J20"/>
    <mergeCell ref="G21:J21"/>
    <mergeCell ref="G22:J22"/>
    <mergeCell ref="G23:J23"/>
    <mergeCell ref="G24:J24"/>
    <mergeCell ref="G25:J25"/>
    <mergeCell ref="G26:J26"/>
    <mergeCell ref="G17:J17"/>
    <mergeCell ref="B1:J2"/>
    <mergeCell ref="B3:J3"/>
    <mergeCell ref="B5:J5"/>
    <mergeCell ref="B7:J7"/>
    <mergeCell ref="B8:J8"/>
    <mergeCell ref="B10:J10"/>
    <mergeCell ref="B12:F12"/>
    <mergeCell ref="G12:J12"/>
    <mergeCell ref="G14:J14"/>
    <mergeCell ref="G15:J15"/>
    <mergeCell ref="G16:J1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04"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B878" t="n">
        <v>113.8627</v>
      </c>
      <c r="C878" t="n">
        <v>117.2617</v>
      </c>
      <c r="D878" t="n">
        <v>142.7594</v>
      </c>
      <c r="E878" t="n">
        <v>114.8012</v>
      </c>
      <c r="F878" t="n">
        <v>101.9498</v>
      </c>
      <c r="G878" t="n">
        <v>126.1374</v>
      </c>
      <c r="H878" t="n">
        <v>113.6655</v>
      </c>
      <c r="I878" t="n">
        <v>132.3762</v>
      </c>
      <c r="K878" t="n">
        <v>124.6</v>
      </c>
      <c r="L878" t="n">
        <v>111.5186</v>
      </c>
      <c r="M878" t="n">
        <v>108.1</v>
      </c>
      <c r="N878" t="n">
        <v>110.7</v>
      </c>
      <c r="O878" t="n">
        <v>110.8717</v>
      </c>
      <c r="P878" t="n">
        <v>122.0754</v>
      </c>
      <c r="Q878" t="n">
        <v>112.2</v>
      </c>
      <c r="R878" t="n">
        <v>108.8</v>
      </c>
      <c r="S878" t="n">
        <v>108.12</v>
      </c>
      <c r="T878" t="n">
        <v>124.1798</v>
      </c>
      <c r="U878" t="n">
        <v>114.4193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119.0712</v>
      </c>
      <c r="AN878" t="n">
        <v>122.6485</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115.3765</v>
      </c>
      <c r="C879" t="n">
        <v>118.005</v>
      </c>
      <c r="D879" t="n">
        <v>144.2002</v>
      </c>
      <c r="E879" t="n">
        <v>115.9863</v>
      </c>
      <c r="F879" t="n">
        <v>102.6218</v>
      </c>
      <c r="G879" t="n">
        <v>126.497</v>
      </c>
      <c r="H879" t="n">
        <v>114.3347</v>
      </c>
      <c r="I879" t="n">
        <v>134.5385</v>
      </c>
      <c r="K879" t="n">
        <v>126.2</v>
      </c>
      <c r="L879" t="n">
        <v>112.5188</v>
      </c>
      <c r="M879" t="n">
        <v>109.2</v>
      </c>
      <c r="N879" t="n">
        <v>111.74</v>
      </c>
      <c r="O879" t="n">
        <v>111.7667</v>
      </c>
      <c r="P879" t="n">
        <v>123.8699</v>
      </c>
      <c r="Q879" t="n">
        <v>113.18</v>
      </c>
      <c r="R879" t="n">
        <v>109.36</v>
      </c>
      <c r="S879" t="n">
        <v>108.94</v>
      </c>
      <c r="T879" t="n">
        <v>125.1864</v>
      </c>
      <c r="U879" t="n">
        <v>115.3776</v>
      </c>
      <c r="V879" t="n">
        <v>115.4</v>
      </c>
      <c r="W879" t="n">
        <v>105.7458</v>
      </c>
      <c r="X879" t="n">
        <v>125.0925</v>
      </c>
      <c r="Y879" t="n">
        <v>120.16</v>
      </c>
      <c r="Z879" t="n">
        <v>137.72</v>
      </c>
      <c r="AA879" t="n">
        <v>107.2514</v>
      </c>
      <c r="AB879" t="n">
        <v>122.3963</v>
      </c>
      <c r="AC879" t="n">
        <v>104.3347</v>
      </c>
      <c r="AD879" t="n">
        <v>109.3</v>
      </c>
      <c r="AE879" t="n">
        <v>102.5197</v>
      </c>
      <c r="AF879" t="n">
        <v>111.0046</v>
      </c>
      <c r="AG879" t="n">
        <v>127.9733</v>
      </c>
      <c r="AH879" t="n">
        <v>113.64</v>
      </c>
      <c r="AI879" t="n">
        <v>118.7128</v>
      </c>
      <c r="AJ879" t="n">
        <v>135.7385</v>
      </c>
      <c r="AK879" t="n">
        <v>115.27</v>
      </c>
      <c r="AL879" t="n">
        <v>119.1</v>
      </c>
      <c r="AM879" t="n">
        <v>120.187</v>
      </c>
      <c r="AN879" t="n">
        <v>124.1124</v>
      </c>
      <c r="AO879" t="n">
        <v>121.0419</v>
      </c>
      <c r="AP879" t="n">
        <v>106.8734</v>
      </c>
      <c r="AQ879" t="n">
        <v>139.7107</v>
      </c>
      <c r="AR879" t="n">
        <v>109.4567</v>
      </c>
      <c r="AS879" t="n">
        <v>118.7459</v>
      </c>
      <c r="AT879" t="n">
        <v>111.24</v>
      </c>
      <c r="AU879" t="n">
        <v>112.8338</v>
      </c>
      <c r="AV879" t="n">
        <v>306.9747</v>
      </c>
      <c r="AW879" t="n">
        <v>119.7028</v>
      </c>
      <c r="AX879" t="n">
        <v>136.1089</v>
      </c>
    </row>
    <row r="880">
      <c r="A880" s="90" t="n">
        <v>44621</v>
      </c>
      <c r="B880" t="n">
        <v>117.6473</v>
      </c>
      <c r="C880" t="n">
        <v>118.6195</v>
      </c>
      <c r="D880" t="n">
        <v>146.5372</v>
      </c>
      <c r="E880" t="n">
        <v>117.6455</v>
      </c>
      <c r="F880" t="n">
        <v>103.205</v>
      </c>
      <c r="G880" t="n">
        <v>128.8504</v>
      </c>
      <c r="H880" t="n">
        <v>114.3347</v>
      </c>
      <c r="I880" t="n">
        <v>135.8826</v>
      </c>
      <c r="K880" t="n">
        <v>128.3</v>
      </c>
      <c r="L880" t="n">
        <v>115.3192</v>
      </c>
      <c r="M880" t="n">
        <v>109.9</v>
      </c>
      <c r="N880" t="n">
        <v>114.46</v>
      </c>
      <c r="O880" t="n">
        <v>115.1527</v>
      </c>
      <c r="P880" t="n">
        <v>127.1512</v>
      </c>
      <c r="Q880" t="n">
        <v>115.88</v>
      </c>
      <c r="R880" t="n">
        <v>110.95</v>
      </c>
      <c r="S880" t="n">
        <v>110.49</v>
      </c>
      <c r="T880" t="n">
        <v>127.1057</v>
      </c>
      <c r="U880" t="n">
        <v>116.8857</v>
      </c>
      <c r="V880" t="n">
        <v>116.5</v>
      </c>
      <c r="W880" t="n">
        <v>108.6512</v>
      </c>
      <c r="X880" t="n">
        <v>126.3509</v>
      </c>
      <c r="Y880" t="n">
        <v>120.9482</v>
      </c>
      <c r="Z880" t="n">
        <v>138.8218</v>
      </c>
      <c r="AA880" t="n">
        <v>109.245</v>
      </c>
      <c r="AB880" t="n">
        <v>123.5553</v>
      </c>
      <c r="AC880" t="n">
        <v>104.9395</v>
      </c>
      <c r="AD880" t="n">
        <v>110.4</v>
      </c>
      <c r="AE880" t="n">
        <v>102.927</v>
      </c>
      <c r="AF880" t="n">
        <v>111.8058</v>
      </c>
      <c r="AG880" t="n">
        <v>130.981</v>
      </c>
      <c r="AH880" t="n">
        <v>114.78</v>
      </c>
      <c r="AI880" t="n">
        <v>122.6502</v>
      </c>
      <c r="AJ880" t="n">
        <v>137.0824</v>
      </c>
      <c r="AK880" t="n">
        <v>119.46</v>
      </c>
      <c r="AL880" t="n">
        <v>119.8</v>
      </c>
      <c r="AM880" t="n">
        <v>122.0415</v>
      </c>
      <c r="AN880" t="n">
        <v>126.8571</v>
      </c>
      <c r="AO880" t="n">
        <v>125.0305</v>
      </c>
      <c r="AP880" t="n">
        <v>109.5594</v>
      </c>
      <c r="AQ880" t="n">
        <v>150.347</v>
      </c>
      <c r="AR880" t="n">
        <v>109.7574</v>
      </c>
      <c r="AS880" t="n">
        <v>120.8259</v>
      </c>
      <c r="AT880" t="n">
        <v>110.01</v>
      </c>
      <c r="AU880" t="n">
        <v>114.8252</v>
      </c>
      <c r="AV880" t="n">
        <v>323.7485</v>
      </c>
      <c r="AW880" t="n">
        <v>121.301</v>
      </c>
      <c r="AX880" t="n">
        <v>137.5942</v>
      </c>
    </row>
    <row r="881">
      <c r="A881" s="90" t="n">
        <v>44652</v>
      </c>
      <c r="B881" t="n">
        <v>117.9717</v>
      </c>
      <c r="C881" t="n">
        <v>119.0159</v>
      </c>
      <c r="D881" t="n">
        <v>148.0906</v>
      </c>
      <c r="E881" t="n">
        <v>118.3566</v>
      </c>
      <c r="F881" t="n">
        <v>103.5838</v>
      </c>
      <c r="G881" t="n">
        <v>130.6482</v>
      </c>
      <c r="H881" t="n">
        <v>114.7809</v>
      </c>
      <c r="I881" t="n">
        <v>137.5773</v>
      </c>
      <c r="K881" t="n">
        <v>130.6</v>
      </c>
      <c r="L881" t="n">
        <v>116.2194</v>
      </c>
      <c r="M881" t="n">
        <v>111.7</v>
      </c>
      <c r="N881" t="n">
        <v>115.11</v>
      </c>
      <c r="O881" t="n">
        <v>114.9483</v>
      </c>
      <c r="P881" t="n">
        <v>131.7143</v>
      </c>
      <c r="Q881" t="n">
        <v>116.83</v>
      </c>
      <c r="R881" t="n">
        <v>111.3</v>
      </c>
      <c r="S881" t="n">
        <v>110.97</v>
      </c>
      <c r="U881" t="n">
        <v>117.6216</v>
      </c>
      <c r="V881" t="n">
        <v>119</v>
      </c>
      <c r="W881" t="n">
        <v>110.9716</v>
      </c>
      <c r="X881" t="n">
        <v>128.3494</v>
      </c>
      <c r="Y881" t="n">
        <v>122.0916</v>
      </c>
      <c r="AA881" t="n">
        <v>110.2417</v>
      </c>
      <c r="AB881" t="n">
        <v>125.0757</v>
      </c>
      <c r="AC881" t="n">
        <v>105.746</v>
      </c>
      <c r="AD881" t="n">
        <v>110.3</v>
      </c>
      <c r="AE881" t="n">
        <v>103.3342</v>
      </c>
      <c r="AF881" t="n">
        <v>112.6386</v>
      </c>
      <c r="AG881" t="n">
        <v>133.4713</v>
      </c>
      <c r="AH881" t="n">
        <v>115.72</v>
      </c>
      <c r="AI881" t="n">
        <v>125.3879</v>
      </c>
      <c r="AJ881" t="n">
        <v>137.824</v>
      </c>
      <c r="AK881" t="n">
        <v>119.81</v>
      </c>
      <c r="AL881" t="n">
        <v>121.2</v>
      </c>
      <c r="AM881" t="n">
        <v>123.2089</v>
      </c>
      <c r="AN881" t="n">
        <v>128.8454</v>
      </c>
      <c r="AO881" t="n">
        <v>127.5539</v>
      </c>
      <c r="AP881" t="n">
        <v>111.9707</v>
      </c>
      <c r="AR881" t="n">
        <v>110.2241</v>
      </c>
      <c r="AS881" t="n">
        <v>122.5389</v>
      </c>
      <c r="AT881" t="n">
        <v>112.83</v>
      </c>
      <c r="AU881" t="n">
        <v>115.5337</v>
      </c>
      <c r="AV881" t="n">
        <v>347.2149</v>
      </c>
      <c r="AW881" t="n">
        <v>121.9782</v>
      </c>
      <c r="AX881" t="n">
        <v>138.4044</v>
      </c>
    </row>
    <row r="882">
      <c r="A882" s="90" t="n">
        <v>44682</v>
      </c>
    </row>
    <row r="883">
      <c r="A883" s="90" t="n">
        <v>44713</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6" min="1" max="1"/>
    <col width="9.1640625" customWidth="1" style="76" min="2" max="4"/>
    <col width="10.6640625" bestFit="1" customWidth="1" style="76" min="5" max="5"/>
    <col width="9.1640625" customWidth="1" style="76" min="6" max="12"/>
    <col width="9.1640625" customWidth="1" style="76" min="13"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113.3644</v>
      </c>
      <c r="C878" t="n">
        <v>112.205</v>
      </c>
      <c r="D878" t="n">
        <v/>
      </c>
      <c r="E878" t="n">
        <v>114.2065</v>
      </c>
      <c r="F878" t="n">
        <v>101.2534</v>
      </c>
      <c r="G878" t="n">
        <v>123.519</v>
      </c>
      <c r="H878" t="n">
        <v/>
      </c>
      <c r="I878" t="n">
        <v>127.2453</v>
      </c>
      <c r="J878" t="n">
        <v/>
      </c>
      <c r="K878" t="n">
        <v>126.4</v>
      </c>
      <c r="L878" t="n">
        <v>109.437</v>
      </c>
      <c r="M878" t="n">
        <v>105.7558</v>
      </c>
      <c r="N878" t="n">
        <v>106.73</v>
      </c>
      <c r="O878" t="n">
        <v>105.7006</v>
      </c>
      <c r="P878" t="n">
        <v>114.5327</v>
      </c>
      <c r="Q878" t="n">
        <v/>
      </c>
      <c r="R878" t="n">
        <v>107.01</v>
      </c>
      <c r="S878" t="n">
        <v>104.6948</v>
      </c>
      <c r="T878" t="n">
        <v/>
      </c>
      <c r="U878" t="n">
        <v>113.0822</v>
      </c>
      <c r="V878" t="n">
        <v>114.2</v>
      </c>
      <c r="W878" t="n">
        <v>98.10992</v>
      </c>
      <c r="X878" t="n">
        <v>120.7215</v>
      </c>
      <c r="Y878" t="n">
        <v/>
      </c>
      <c r="Z878" t="n">
        <v/>
      </c>
      <c r="AA878" t="n">
        <v>105.8697</v>
      </c>
      <c r="AB878" t="n">
        <v>121.7366</v>
      </c>
      <c r="AC878" t="n">
        <v>103.6494</v>
      </c>
      <c r="AD878" t="n">
        <v>104.1436</v>
      </c>
      <c r="AE878" t="n">
        <v>99.62421999999999</v>
      </c>
      <c r="AF878" t="n">
        <v>109.1354</v>
      </c>
      <c r="AG878" t="n">
        <v>123.7222</v>
      </c>
      <c r="AH878" t="n">
        <v>108.79</v>
      </c>
      <c r="AI878" t="n">
        <v>113.8026</v>
      </c>
      <c r="AJ878" t="n">
        <v>127.0452</v>
      </c>
      <c r="AK878" t="n">
        <v>107.8628</v>
      </c>
      <c r="AL878" t="n">
        <v>114.6443</v>
      </c>
      <c r="AM878" t="n">
        <v>116.7717</v>
      </c>
      <c r="AN878" t="n">
        <v>118.8141</v>
      </c>
      <c r="AO878" t="n">
        <v>115.2793</v>
      </c>
      <c r="AP878" t="n">
        <v>104.9539</v>
      </c>
      <c r="AQ878" t="n">
        <v/>
      </c>
      <c r="AR878" t="n">
        <v/>
      </c>
      <c r="AS878" t="n">
        <v>117.2898</v>
      </c>
      <c r="AT878" t="n">
        <v>107.2318</v>
      </c>
      <c r="AU878" t="n">
        <v>108.91</v>
      </c>
      <c r="AV878" t="n">
        <v>271.4861</v>
      </c>
      <c r="AW878" t="n">
        <v>118.0599</v>
      </c>
      <c r="AX878" t="n">
        <v>129.7178</v>
      </c>
    </row>
    <row r="879">
      <c r="A879" s="90" t="n">
        <v>44593</v>
      </c>
      <c r="B879" t="n">
        <v>114.0191</v>
      </c>
      <c r="C879" t="n">
        <v>112.4964</v>
      </c>
      <c r="D879" t="n">
        <v/>
      </c>
      <c r="E879" t="n">
        <v>114.864</v>
      </c>
      <c r="F879" t="n">
        <v>101.7955</v>
      </c>
      <c r="G879" t="n">
        <v>123.1827</v>
      </c>
      <c r="H879" t="n">
        <v/>
      </c>
      <c r="I879" t="n">
        <v>128.8318</v>
      </c>
      <c r="J879" t="n">
        <v/>
      </c>
      <c r="K879" t="n">
        <v>126.7</v>
      </c>
      <c r="L879" t="n">
        <v>110.0593</v>
      </c>
      <c r="M879" t="n">
        <v>107.0452</v>
      </c>
      <c r="N879" t="n">
        <v>107.3</v>
      </c>
      <c r="O879" t="n">
        <v>106.0779</v>
      </c>
      <c r="P879" t="n">
        <v>115.6111</v>
      </c>
      <c r="Q879" t="n">
        <v/>
      </c>
      <c r="R879" t="n">
        <v>107.17</v>
      </c>
      <c r="S879" t="n">
        <v>105.1115</v>
      </c>
      <c r="T879" t="n">
        <v/>
      </c>
      <c r="U879" t="n">
        <v>113.7252</v>
      </c>
      <c r="V879" t="n">
        <v>114.9</v>
      </c>
      <c r="W879" t="n">
        <v>97.95552000000001</v>
      </c>
      <c r="X879" t="n">
        <v>121.5582</v>
      </c>
      <c r="Y879" t="n">
        <v/>
      </c>
      <c r="Z879" t="n">
        <v/>
      </c>
      <c r="AA879" t="n">
        <v>106.6158</v>
      </c>
      <c r="AB879" t="n">
        <v>123.1721</v>
      </c>
      <c r="AC879" t="n">
        <v>103.9706</v>
      </c>
      <c r="AD879" t="n">
        <v>104.1168</v>
      </c>
      <c r="AE879" t="n">
        <v>99.73193999999999</v>
      </c>
      <c r="AF879" t="n">
        <v>109.5903</v>
      </c>
      <c r="AG879" t="n">
        <v>124.873</v>
      </c>
      <c r="AH879" t="n">
        <v>110.89</v>
      </c>
      <c r="AI879" t="n">
        <v>114.2452</v>
      </c>
      <c r="AJ879" t="n">
        <v>127.9132</v>
      </c>
      <c r="AK879" t="n">
        <v>108.9774</v>
      </c>
      <c r="AL879" t="n">
        <v>115.7954</v>
      </c>
      <c r="AM879" t="n">
        <v>117.5378</v>
      </c>
      <c r="AN879" t="n">
        <v>119.7556</v>
      </c>
      <c r="AO879" t="n">
        <v>116.4095</v>
      </c>
      <c r="AP879" t="n">
        <v>105.1224</v>
      </c>
      <c r="AQ879" t="n">
        <v/>
      </c>
      <c r="AR879" t="n">
        <v/>
      </c>
      <c r="AS879" t="n">
        <v>117.9955</v>
      </c>
      <c r="AT879" t="n">
        <v>108.2118</v>
      </c>
      <c r="AU879" t="n">
        <v>109.9186</v>
      </c>
      <c r="AV879" t="n">
        <v>280.9104</v>
      </c>
      <c r="AW879" t="n">
        <v>118.9115</v>
      </c>
      <c r="AX879" t="n">
        <v>130.2225</v>
      </c>
    </row>
    <row r="880">
      <c r="A880" s="90" t="n">
        <v>44621</v>
      </c>
      <c r="B880" t="n">
        <v>115.1102</v>
      </c>
      <c r="C880" t="n">
        <v>112.9237</v>
      </c>
      <c r="D880" t="n">
        <v/>
      </c>
      <c r="E880" t="n">
        <v>115.8344</v>
      </c>
      <c r="F880" t="n">
        <v>101.9673</v>
      </c>
      <c r="G880" t="n">
        <v>124.6367</v>
      </c>
      <c r="H880" t="n">
        <v/>
      </c>
      <c r="I880" t="n">
        <v>129.6017</v>
      </c>
      <c r="J880" t="n">
        <v/>
      </c>
      <c r="K880" t="n">
        <v>127.8</v>
      </c>
      <c r="L880" t="n">
        <v>110.7493</v>
      </c>
      <c r="M880" t="n">
        <v>107.4139</v>
      </c>
      <c r="N880" t="n">
        <v>108.58</v>
      </c>
      <c r="O880" t="n">
        <v>106.8924</v>
      </c>
      <c r="P880" t="n">
        <v>116.9732</v>
      </c>
      <c r="Q880" t="n">
        <v/>
      </c>
      <c r="R880" t="n">
        <v>107.78</v>
      </c>
      <c r="S880" t="n">
        <v>106.43</v>
      </c>
      <c r="T880" t="n">
        <v/>
      </c>
      <c r="U880" t="n">
        <v>114.3385</v>
      </c>
      <c r="V880" t="n">
        <v>115.8</v>
      </c>
      <c r="W880" t="n">
        <v>100.004</v>
      </c>
      <c r="X880" t="n">
        <v>122.438</v>
      </c>
      <c r="Y880" t="n">
        <v/>
      </c>
      <c r="Z880" t="n">
        <v/>
      </c>
      <c r="AA880" t="n">
        <v>106.8811</v>
      </c>
      <c r="AB880" t="n">
        <v>124.0872</v>
      </c>
      <c r="AC880" t="n">
        <v>104.5664</v>
      </c>
      <c r="AD880" t="n">
        <v>105.1593</v>
      </c>
      <c r="AE880" t="n">
        <v>99.93179000000001</v>
      </c>
      <c r="AF880" t="n">
        <v>109.7279</v>
      </c>
      <c r="AG880" t="n">
        <v>126.3852</v>
      </c>
      <c r="AH880" t="n">
        <v>111.34</v>
      </c>
      <c r="AI880" t="n">
        <v>116.2091</v>
      </c>
      <c r="AJ880" t="n">
        <v>128.623</v>
      </c>
      <c r="AK880" t="n">
        <v>106.9536</v>
      </c>
      <c r="AL880" t="n">
        <v>116.1656</v>
      </c>
      <c r="AM880" t="n">
        <v>118.3511</v>
      </c>
      <c r="AN880" t="n">
        <v>121.2841</v>
      </c>
      <c r="AO880" t="n">
        <v>117.5397</v>
      </c>
      <c r="AP880" t="n">
        <v>107.4012</v>
      </c>
      <c r="AQ880" t="n">
        <v/>
      </c>
      <c r="AR880" t="n">
        <v/>
      </c>
      <c r="AS880" t="n">
        <v>119.8575</v>
      </c>
      <c r="AT880" t="n">
        <v>108.0318</v>
      </c>
      <c r="AU880" t="n">
        <v>110.7396</v>
      </c>
      <c r="AV880" t="n">
        <v>293.2801</v>
      </c>
      <c r="AW880" t="n">
        <v>119.4259</v>
      </c>
      <c r="AX880" t="n">
        <v>131.3542</v>
      </c>
    </row>
    <row r="881">
      <c r="A881" s="90" t="n">
        <v>44652</v>
      </c>
      <c r="B881" t="n">
        <v>115.3284</v>
      </c>
      <c r="C881" t="n">
        <v>113.3607</v>
      </c>
      <c r="D881" t="n">
        <v/>
      </c>
      <c r="E881" t="n">
        <v>116.5287</v>
      </c>
      <c r="F881" t="n">
        <v>103.4516</v>
      </c>
      <c r="G881" t="n">
        <v>125.9063</v>
      </c>
      <c r="H881" t="n">
        <v/>
      </c>
      <c r="I881" t="n">
        <v>130.7099</v>
      </c>
      <c r="J881" t="n">
        <v/>
      </c>
      <c r="K881" t="n">
        <v>129.4</v>
      </c>
      <c r="L881" t="n">
        <v>111.9172</v>
      </c>
      <c r="M881" t="n">
        <v>108.5769</v>
      </c>
      <c r="N881" t="n">
        <v>109.73</v>
      </c>
      <c r="O881" t="n">
        <v>108.6244</v>
      </c>
      <c r="P881" t="n">
        <v>119.1867</v>
      </c>
      <c r="Q881" t="n">
        <v/>
      </c>
      <c r="R881" t="n">
        <v>108.46</v>
      </c>
      <c r="S881" t="n">
        <v>107.0884</v>
      </c>
      <c r="T881" t="n">
        <v/>
      </c>
      <c r="U881" t="n">
        <v>114.9798</v>
      </c>
      <c r="V881" t="n">
        <v>116.6</v>
      </c>
      <c r="W881" t="n">
        <v>101.4073</v>
      </c>
      <c r="X881" t="n">
        <v>125.3193</v>
      </c>
      <c r="Y881" t="n">
        <v/>
      </c>
      <c r="Z881" t="n">
        <v/>
      </c>
      <c r="AA881" t="n">
        <v>108.8698</v>
      </c>
      <c r="AB881" t="n">
        <v>125.6603</v>
      </c>
      <c r="AC881" t="n">
        <v>105.2522</v>
      </c>
      <c r="AD881" t="n">
        <v>105.6519</v>
      </c>
      <c r="AE881" t="n">
        <v>100.3321</v>
      </c>
      <c r="AF881" t="n">
        <v>110.1405</v>
      </c>
      <c r="AG881" t="n">
        <v>128.1334</v>
      </c>
      <c r="AH881" t="n">
        <v>112.16</v>
      </c>
      <c r="AI881" t="n">
        <v>117.9183</v>
      </c>
      <c r="AJ881" t="n">
        <v>129.3655</v>
      </c>
      <c r="AK881" t="n">
        <v>113.1263</v>
      </c>
      <c r="AL881" t="n">
        <v>117.3604</v>
      </c>
      <c r="AM881" t="n">
        <v>119.3634</v>
      </c>
      <c r="AN881" t="n">
        <v>123.0366</v>
      </c>
      <c r="AO881" t="n">
        <v>119.1045</v>
      </c>
      <c r="AP881" t="n">
        <v>108.9864</v>
      </c>
      <c r="AQ881" t="n">
        <v/>
      </c>
      <c r="AR881" t="n">
        <v/>
      </c>
      <c r="AS881" t="n">
        <v>121.2988</v>
      </c>
      <c r="AT881" t="n">
        <v>110.3018</v>
      </c>
      <c r="AU881" t="n">
        <v>111.7014</v>
      </c>
      <c r="AV881" t="n">
        <v>310.2658</v>
      </c>
      <c r="AW881" t="n">
        <v>120.062</v>
      </c>
      <c r="AX881" t="n">
        <v>131.9884</v>
      </c>
    </row>
    <row r="882">
      <c r="A882" s="90" t="n">
        <v>44682</v>
      </c>
      <c r="B882" t="n">
        <v/>
      </c>
      <c r="C882" t="n">
        <v/>
      </c>
      <c r="D882" t="n">
        <v/>
      </c>
      <c r="E882" t="n">
        <v/>
      </c>
      <c r="F882" t="n">
        <v/>
      </c>
      <c r="G882" t="n">
        <v/>
      </c>
      <c r="H882" t="n">
        <v/>
      </c>
      <c r="I882" t="n">
        <v/>
      </c>
      <c r="J882" t="n">
        <v/>
      </c>
      <c r="K882" t="n">
        <v/>
      </c>
      <c r="L882" t="n">
        <v/>
      </c>
      <c r="M882" t="n">
        <v/>
      </c>
      <c r="N882" t="n">
        <v/>
      </c>
      <c r="O882" t="n">
        <v/>
      </c>
      <c r="P882" t="n">
        <v/>
      </c>
      <c r="Q882" t="n">
        <v/>
      </c>
      <c r="R882" t="n">
        <v/>
      </c>
      <c r="S882" t="n">
        <v/>
      </c>
      <c r="T882" t="n">
        <v/>
      </c>
      <c r="U882" t="n">
        <v/>
      </c>
      <c r="V882" t="n">
        <v/>
      </c>
      <c r="W882" t="n">
        <v/>
      </c>
      <c r="X882" t="n">
        <v/>
      </c>
      <c r="Y882" t="n">
        <v/>
      </c>
      <c r="Z882" t="n">
        <v/>
      </c>
      <c r="AA882" t="n">
        <v/>
      </c>
      <c r="AB882" t="n">
        <v/>
      </c>
      <c r="AC882" t="n">
        <v/>
      </c>
      <c r="AD882" t="n">
        <v/>
      </c>
      <c r="AE882" t="n">
        <v/>
      </c>
      <c r="AF882" t="n">
        <v/>
      </c>
      <c r="AG882" t="n">
        <v/>
      </c>
      <c r="AH882" t="n">
        <v/>
      </c>
      <c r="AI882" t="n">
        <v/>
      </c>
      <c r="AJ882" t="n">
        <v/>
      </c>
      <c r="AK882" t="n">
        <v/>
      </c>
      <c r="AL882" t="n">
        <v/>
      </c>
      <c r="AM882" t="n">
        <v/>
      </c>
      <c r="AN882" t="n">
        <v/>
      </c>
      <c r="AO882" t="n">
        <v/>
      </c>
      <c r="AP882" t="n">
        <v/>
      </c>
      <c r="AQ882" t="n">
        <v/>
      </c>
      <c r="AR882" t="n">
        <v/>
      </c>
      <c r="AS882" t="n">
        <v/>
      </c>
      <c r="AT882" t="n">
        <v/>
      </c>
      <c r="AU882" t="n">
        <v/>
      </c>
      <c r="AV882" t="n">
        <v/>
      </c>
      <c r="AW882" t="n">
        <v/>
      </c>
      <c r="AX882" t="n">
        <v/>
      </c>
    </row>
    <row r="883">
      <c r="A883" s="90" t="n">
        <v>44713</v>
      </c>
      <c r="B883" t="n">
        <v/>
      </c>
      <c r="C883" t="n">
        <v/>
      </c>
      <c r="D883" t="n">
        <v/>
      </c>
      <c r="E883" t="n">
        <v/>
      </c>
      <c r="F883" t="n">
        <v/>
      </c>
      <c r="G883" t="n">
        <v/>
      </c>
      <c r="H883" t="n">
        <v/>
      </c>
      <c r="I883" t="n">
        <v/>
      </c>
      <c r="J883" t="n">
        <v/>
      </c>
      <c r="K883" t="n">
        <v/>
      </c>
      <c r="L883" t="n">
        <v/>
      </c>
      <c r="M883" t="n">
        <v/>
      </c>
      <c r="N883" t="n">
        <v/>
      </c>
      <c r="O883" t="n">
        <v/>
      </c>
      <c r="P883" t="n">
        <v/>
      </c>
      <c r="Q883" t="n">
        <v/>
      </c>
      <c r="R883" t="n">
        <v/>
      </c>
      <c r="S883" t="n">
        <v/>
      </c>
      <c r="T883" t="n">
        <v/>
      </c>
      <c r="U883" t="n">
        <v/>
      </c>
      <c r="V883" t="n">
        <v/>
      </c>
      <c r="W883" t="n">
        <v/>
      </c>
      <c r="X883" t="n">
        <v/>
      </c>
      <c r="Y883" t="n">
        <v/>
      </c>
      <c r="Z883" t="n">
        <v/>
      </c>
      <c r="AA883" t="n">
        <v/>
      </c>
      <c r="AB883" t="n">
        <v/>
      </c>
      <c r="AC883" t="n">
        <v/>
      </c>
      <c r="AD883" t="n">
        <v/>
      </c>
      <c r="AE883" t="n">
        <v/>
      </c>
      <c r="AF883" t="n">
        <v/>
      </c>
      <c r="AG883" t="n">
        <v/>
      </c>
      <c r="AH883" t="n">
        <v/>
      </c>
      <c r="AI883" t="n">
        <v/>
      </c>
      <c r="AJ883" t="n">
        <v/>
      </c>
      <c r="AK883" t="n">
        <v/>
      </c>
      <c r="AL883" t="n">
        <v/>
      </c>
      <c r="AM883" t="n">
        <v/>
      </c>
      <c r="AN883" t="n">
        <v/>
      </c>
      <c r="AO883" t="n">
        <v/>
      </c>
      <c r="AP883" t="n">
        <v/>
      </c>
      <c r="AQ883" t="n">
        <v/>
      </c>
      <c r="AR883" t="n">
        <v/>
      </c>
      <c r="AS883" t="n">
        <v/>
      </c>
      <c r="AT883" t="n">
        <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4"/>
  <sheetViews>
    <sheetView zoomScale="150" zoomScaleNormal="150" workbookViewId="0">
      <pane xSplit="1" ySplit="9" topLeftCell="C129" activePane="bottomRight" state="frozen"/>
      <selection activeCell="M12" sqref="M12"/>
      <selection pane="topRight" activeCell="M12" sqref="M12"/>
      <selection pane="bottomLeft" activeCell="M12" sqref="M12"/>
      <selection pane="bottomRight" activeCell="AC65" sqref="AC65"/>
    </sheetView>
  </sheetViews>
  <sheetFormatPr baseColWidth="10" defaultColWidth="8.83203125" defaultRowHeight="15"/>
  <cols>
    <col width="9.1640625" customWidth="1" style="76"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6" thickBot="1">
      <c r="AD2" s="76" t="inlineStr">
        <is>
          <t>Last month</t>
        </is>
      </c>
      <c r="AE2" s="28" t="n">
        <v>44593</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6"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6">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6">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6">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6">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6">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6">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6">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6">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6">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6">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6">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6">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6">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6">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6">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6">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6">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6">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6">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6">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6">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6">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6">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6">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6">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6">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6">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6">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6">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6">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6">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6">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6">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6">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6">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6">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6">
      <c r="B144" s="15" t="n">
        <v>44593</v>
      </c>
      <c r="C144" s="20">
        <f>IF(VLOOKUP(B144,Data!$A:$AX,MATCH($C$1,Data!$A$1:$AX$1,))=0,#N/A,(VLOOKUP(B144,Data!$A:$AX,MATCH($C$1,Data!$A$1:$AX$1,),)-VLOOKUP(EDATE(B144,-12),Data!$A:$AX,MATCH($C$1,Data!$A$1:$AX$1,),))/VLOOKUP(EDATE(B144,-12),Data!$A:$AX,MATCH($C$1,Data!$A$1:$AX$1,),))</f>
        <v/>
      </c>
      <c r="D144" s="20">
        <f>IF(VLOOKUP(B144,Data!$A:$AX,MATCH($D$1,Data!$A$1:$AX$1,))=0,#N/A,(VLOOKUP(B144,Data!$A:$AX,MATCH($D$1,Data!$A$1:$AX$1,),)-VLOOKUP(EDATE(B144,-12),Data!$A:$AX,MATCH($D$1,Data!$A$1:$AX$1,),))/VLOOKUP(EDATE(B144,-12),Data!$A:$AX,MATCH($D$1,Data!$A$1:$AX$1,),))</f>
        <v/>
      </c>
      <c r="E144" s="20">
        <f>IF(VLOOKUP(B144,Data!$A:$AX,MATCH($E$1,Data!$A$1:$AX$1,))=0,#N/A,(VLOOKUP(B144,Data!$A:$AX,MATCH($E$1,Data!$A$1:$AX$1,),)-VLOOKUP(EDATE(B144,-12),Data!$A:$AX,MATCH($E$1,Data!$A$1:$AX$1,),))/VLOOKUP(EDATE(B144,-12),Data!$A:$AX,MATCH($E$1,Data!$A$1:$AX$1,),))</f>
        <v/>
      </c>
      <c r="F144" s="20">
        <f>IF(VLOOKUP(B144,Data!$A:$AX,MATCH($F$1,Data!$A$1:$AX$1,))=0,#N/A,(VLOOKUP(B144,Data!$A:$AX,MATCH($F$1,Data!$A$1:$AX$1,),)-VLOOKUP(EDATE(B144,-12),Data!$A:$AX,MATCH($F$1,Data!$A$1:$AX$1,),))/VLOOKUP(EDATE(B144,-12),Data!$A:$AX,MATCH($F$1,Data!$A$1:$AX$1,),))</f>
        <v/>
      </c>
      <c r="G144" s="20">
        <f>IF(VLOOKUP(B144,Data!$A:$AX,MATCH($G$1,Data!$A$1:$AX$1,))=0,#N/A,(VLOOKUP(B144,Data!$A:$AX,MATCH($G$1,Data!$A$1:$AX$1,),)-VLOOKUP(EDATE(B144,-12),Data!$A:$AX,MATCH($G$1,Data!$A$1:$AX$1,),))/VLOOKUP(EDATE(B144,-12),Data!$A:$AX,MATCH($G$1,Data!$A$1:$AX$1,),))</f>
        <v/>
      </c>
      <c r="H144" s="20">
        <f>IF(VLOOKUP(B144,Data!$A:$AX,MATCH($H$1,Data!$A$1:$AX$1,))=0,#N/A,(VLOOKUP(B144,Data!$A:$AX,MATCH($H$1,Data!$A$1:$AX$1,),)-VLOOKUP(EDATE(B144,-12),Data!$A:$AX,MATCH($H$1,Data!$A$1:$AX$1,),))/VLOOKUP(EDATE(B144,-12),Data!$A:$AX,MATCH($H$1,Data!$A$1:$AX$1,),))</f>
        <v/>
      </c>
      <c r="I144" s="20">
        <f>IF(VLOOKUP(B144,Data!$A:$AX,MATCH($I$1,Data!$A$1:$AX$1,))=0,#N/A,(VLOOKUP(B144,Data!$A:$AX,MATCH($I$1,Data!$A$1:$AX$1,),)-VLOOKUP(EDATE(B144,-12),Data!$A:$AX,MATCH($I$1,Data!$A$1:$AX$1,),))/VLOOKUP(EDATE(B144,-12),Data!$A:$AX,MATCH($I$1,Data!$A$1:$AX$1,),))</f>
        <v/>
      </c>
      <c r="J144" s="20">
        <f>IF(VLOOKUP(B144,Data!$A:$AX,MATCH($J$1,Data!$A$1:$AX$1,))=0,#N/A,(VLOOKUP(B144,Data!$A:$AX,MATCH($J$1,Data!$A$1:$AX$1,),)-VLOOKUP(EDATE(B144,-12),Data!$A:$AX,MATCH($J$1,Data!$A$1:$AX$1,),))/VLOOKUP(EDATE(B144,-12),Data!$A:$AX,MATCH($J$1,Data!$A$1:$AX$1,),))</f>
        <v/>
      </c>
      <c r="K144" s="20">
        <f>IF(VLOOKUP(B144,Data!$A:$AX,MATCH($K$1,Data!$A$1:$AX$1,))=0,#N/A,(VLOOKUP(B144,Data!$A:$AX,MATCH($K$1,Data!$A$1:$AX$1,),)-VLOOKUP(EDATE(B144,-12),Data!$A:$AX,MATCH($K$1,Data!$A$1:$AX$1,),))/VLOOKUP(EDATE(B144,-12),Data!$A:$AX,MATCH($K$1,Data!$A$1:$AX$1,),))</f>
        <v/>
      </c>
      <c r="L144" s="20">
        <f>IF(VLOOKUP(B144,Data!$A:$AX,MATCH($L$1,Data!$A$1:$AX$1,))=0,#N/A,(VLOOKUP(B144,Data!$A:$AX,MATCH($L$1,Data!$A$1:$AX$1,),)-VLOOKUP(EDATE(B144,-12),Data!$A:$AX,MATCH($L$1,Data!$A$1:$AX$1,),))/VLOOKUP(EDATE(B144,-12),Data!$A:$AX,MATCH($L$1,Data!$A$1:$AX$1,),))</f>
        <v/>
      </c>
      <c r="M144" s="20">
        <f>IF(VLOOKUP(B144,Data!$A:$AX,MATCH($M$1,Data!$A$1:$AX$1,))=0,#N/A,(VLOOKUP(B144,Data!$A:$AX,MATCH($M$1,Data!$A$1:$AX$1,),)-VLOOKUP(EDATE(B144,-12),Data!$A:$AX,MATCH($M$1,Data!$A$1:$AX$1,),))/VLOOKUP(EDATE(B144,-12),Data!$A:$AX,MATCH($M$1,Data!$A$1:$AX$1,),))</f>
        <v/>
      </c>
      <c r="N144" s="20">
        <f>(VLOOKUP(B144,Data!$A:$AX,MATCH($N$1,Data!$A$1:$AX$1,),)-VLOOKUP(EDATE(B144,-12),Data!$A:$AX,MATCH($N$1,Data!$A$1:$AX$1,),))/VLOOKUP(EDATE(B144,-12),Data!$A:$AX,MATCH($N$1,Data!$A$1:$AX$1,),)</f>
        <v/>
      </c>
      <c r="O144" s="20">
        <f>IF(VLOOKUP(B144,Data!$A:$AX,MATCH($O$1,Data!$A$1:$AX$1,))=0,#N/A,(VLOOKUP(B144,Data!$A:$AX,MATCH($O$1,Data!$A$1:$AX$1,),)-VLOOKUP(EDATE(B144,-12),Data!$A:$AX,MATCH($O$1,Data!$A$1:$AX$1,),))/VLOOKUP(EDATE(B144,-12),Data!$A:$AX,MATCH($O$1,Data!$A$1:$AX$1,),))</f>
        <v/>
      </c>
      <c r="P144" s="20">
        <f>IF(VLOOKUP(B144,Data!$A:$AX,MATCH($P$1,Data!$A$1:$AX$1,))=0,#N/A,(VLOOKUP(B144,Data!$A:$AX,MATCH($P$1,Data!$A$1:$AX$1,),)-VLOOKUP(EDATE(B144,-12),Data!$A:$AX,MATCH($P$1,Data!$A$1:$AX$1,),))/VLOOKUP(EDATE(B144,-12),Data!$A:$AX,MATCH($P$1,Data!$A$1:$AX$1,),))</f>
        <v/>
      </c>
      <c r="Q144" s="20">
        <f>(VLOOKUP(B144,Data!$A:$AX,MATCH($Q$1,Data!$A$1:$AX$1,),)-VLOOKUP(EDATE(B144,-12),Data!$A:$AX,MATCH($Q$1,Data!$A$1:$AX$1,),))/VLOOKUP(EDATE(B144,-12),Data!$A:$AX,MATCH($Q$1,Data!$A$1:$AX$1,),)</f>
        <v/>
      </c>
      <c r="R144" s="20">
        <f>IF(VLOOKUP(B144,Data!$A:$AX,MATCH($R$1,Data!$A$1:$AX$1,))=0,#N/A,(VLOOKUP(B144,Data!$A:$AX,MATCH($R$1,Data!$A$1:$AX$1,),)-VLOOKUP(EDATE(B144,-12),Data!$A:$AX,MATCH($R$1,Data!$A$1:$AX$1,),))/VLOOKUP(EDATE(B144,-12),Data!$A:$AX,MATCH($R$1,Data!$A$1:$AX$1,),))</f>
        <v/>
      </c>
      <c r="S144" s="20">
        <f>IF(VLOOKUP(B144,Data!$A:$AX,MATCH($S$1,Data!$A$1:$AX$1,))=0,#N/A,(VLOOKUP(B144,Data!$A:$AX,MATCH($S$1,Data!$A$1:$AX$1,),)-VLOOKUP(EDATE(B144,-12),Data!$A:$AX,MATCH($S$1,Data!$A$1:$AX$1,),))/VLOOKUP(EDATE(B144,-12),Data!$A:$AX,MATCH($S$1,Data!$A$1:$AX$1,),))</f>
        <v/>
      </c>
      <c r="T144" s="20">
        <f>IF(VLOOKUP(B144,Data!$A:$AX,MATCH($T$1,Data!$A$1:$AX$1,))=0,#N/A,(VLOOKUP(B144,Data!$A:$AX,MATCH($T$1,Data!$A$1:$AX$1,),)-VLOOKUP(EDATE(B144,-12),Data!$A:$AX,MATCH($T$1,Data!$A$1:$AX$1,),))/VLOOKUP(EDATE(B144,-12),Data!$A:$AX,MATCH($T$1,Data!$A$1:$AX$1,),))</f>
        <v/>
      </c>
      <c r="U144" s="20">
        <f>IF(VLOOKUP(B144,Data!$A:$AX,MATCH($U$1,Data!$A$1:$AX$1,))=0,#N/A,(VLOOKUP(B144,Data!$A:$AX,MATCH($U$1,Data!$A$1:$AX$1,),)-VLOOKUP(EDATE(B144,-12),Data!$A:$AX,MATCH($U$1,Data!$A$1:$AX$1,),))/VLOOKUP(EDATE(B144,-12),Data!$A:$AX,MATCH($U$1,Data!$A$1:$AX$1,),))</f>
        <v/>
      </c>
      <c r="V144" s="20">
        <f>(VLOOKUP(B144,Data!$A:$AX,MATCH($V$1,Data!$A$1:$AX$1,),)-VLOOKUP(EDATE(B144,-12),Data!$A:$AX,MATCH($V$1,Data!$A$1:$AX$1,),))/VLOOKUP(EDATE(B144,-12),Data!$A:$AX,MATCH($V$1,Data!$A$1:$AX$1,),)</f>
        <v/>
      </c>
      <c r="W144" s="20">
        <f>IF(VLOOKUP(B144,Data!$A:$AX,MATCH($W$1,Data!$A$1:$AX$1,))=0,#N/A,(VLOOKUP(B144,Data!$A:$AX,MATCH($W$1,Data!$A$1:$AX$1,),)-VLOOKUP(EDATE(B144,-12),Data!$A:$AX,MATCH($W$1,Data!$A$1:$AX$1,),))/VLOOKUP(EDATE(B144,-12),Data!$A:$AX,MATCH($W$1,Data!$A$1:$AX$1,),))</f>
        <v/>
      </c>
      <c r="X144" s="20">
        <f>IF(VLOOKUP(B144,Data!$A:$AX,MATCH($X$1,Data!$A$1:$AX$1,))=0,#N/A,(VLOOKUP(B144,Data!$A:$AX,MATCH($X$1,Data!$A$1:$AX$1,),)-VLOOKUP(EDATE(B144,-12),Data!$A:$AX,MATCH($X$1,Data!$A$1:$AX$1,),))/VLOOKUP(EDATE(B144,-12),Data!$A:$AX,MATCH($X$1,Data!$A$1:$AX$1,),))</f>
        <v/>
      </c>
      <c r="Y144" s="20">
        <f>IF(VLOOKUP(B144,Data!$A:$AX,MATCH($Y$1,Data!$A$1:$AX$1,))=0,#N/A,(VLOOKUP(B144,Data!$A:$AX,MATCH($Y$1,Data!$A$1:$AX$1,),)-VLOOKUP(EDATE(B144,-12),Data!$A:$AX,MATCH($Y$1,Data!$A$1:$AX$1,),))/VLOOKUP(EDATE(B144,-12),Data!$A:$AX,MATCH($Y$1,Data!$A$1:$AX$1,),))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row r="392" customFormat="1" s="76"/>
  </sheetData>
  <conditionalFormatting sqref="C24:C144">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4">
    <cfRule type="colorScale" priority="1">
      <colorScale>
        <cfvo type="min"/>
        <cfvo type="percentile" val="50"/>
        <cfvo type="max"/>
        <color rgb="FFF8696B"/>
        <color rgb="FFFFEB84"/>
        <color rgb="FF63BE7B"/>
      </colorScale>
    </cfRule>
  </conditionalFormatting>
  <conditionalFormatting sqref="E59:AA59 Z60:AA106 E60:Y144">
    <cfRule type="colorScale" priority="24">
      <colorScale>
        <cfvo type="min"/>
        <cfvo type="percentile" val="50"/>
        <cfvo type="max"/>
        <color rgb="FFF8696B"/>
        <color rgb="FFFFEB84"/>
        <color rgb="FF63BE7B"/>
      </colorScale>
    </cfRule>
  </conditionalFormatting>
  <conditionalFormatting sqref="O15:O144">
    <cfRule type="colorScale" priority="23">
      <colorScale>
        <cfvo type="min"/>
        <cfvo type="percentile" val="50"/>
        <cfvo type="max"/>
        <color rgb="FFF8696B"/>
        <color rgb="FFFFEB84"/>
        <color rgb="FF63BE7B"/>
      </colorScale>
    </cfRule>
  </conditionalFormatting>
  <conditionalFormatting sqref="O59:O144">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4">
    <cfRule type="colorScale" priority="21">
      <colorScale>
        <cfvo type="min"/>
        <cfvo type="percentile" val="50"/>
        <cfvo type="max"/>
        <color rgb="FFF8696B"/>
        <color rgb="FFFFEB84"/>
        <color rgb="FF63BE7B"/>
      </colorScale>
    </cfRule>
  </conditionalFormatting>
  <conditionalFormatting sqref="F59:F144">
    <cfRule type="colorScale" priority="19">
      <colorScale>
        <cfvo type="min"/>
        <cfvo type="percentile" val="50"/>
        <cfvo type="max"/>
        <color rgb="FFF8696B"/>
        <color rgb="FFFFEB84"/>
        <color rgb="FF63BE7B"/>
      </colorScale>
    </cfRule>
  </conditionalFormatting>
  <conditionalFormatting sqref="G59:G144">
    <cfRule type="colorScale" priority="18">
      <colorScale>
        <cfvo type="min"/>
        <cfvo type="percentile" val="50"/>
        <cfvo type="max"/>
        <color rgb="FFF8696B"/>
        <color rgb="FFFFEB84"/>
        <color rgb="FF63BE7B"/>
      </colorScale>
    </cfRule>
  </conditionalFormatting>
  <conditionalFormatting sqref="H59:H144">
    <cfRule type="colorScale" priority="17">
      <colorScale>
        <cfvo type="min"/>
        <cfvo type="percentile" val="50"/>
        <cfvo type="max"/>
        <color rgb="FFF8696B"/>
        <color rgb="FFFFEB84"/>
        <color rgb="FF63BE7B"/>
      </colorScale>
    </cfRule>
  </conditionalFormatting>
  <conditionalFormatting sqref="I59:I144">
    <cfRule type="colorScale" priority="16">
      <colorScale>
        <cfvo type="min"/>
        <cfvo type="percentile" val="50"/>
        <cfvo type="max"/>
        <color rgb="FFF8696B"/>
        <color rgb="FFFFEB84"/>
        <color rgb="FF63BE7B"/>
      </colorScale>
    </cfRule>
  </conditionalFormatting>
  <conditionalFormatting sqref="J59:J144">
    <cfRule type="colorScale" priority="15">
      <colorScale>
        <cfvo type="min"/>
        <cfvo type="percentile" val="50"/>
        <cfvo type="max"/>
        <color rgb="FFF8696B"/>
        <color rgb="FFFFEB84"/>
        <color rgb="FF63BE7B"/>
      </colorScale>
    </cfRule>
  </conditionalFormatting>
  <conditionalFormatting sqref="K59:K144">
    <cfRule type="colorScale" priority="14">
      <colorScale>
        <cfvo type="min"/>
        <cfvo type="percentile" val="50"/>
        <cfvo type="max"/>
        <color rgb="FFF8696B"/>
        <color rgb="FFFFEB84"/>
        <color rgb="FF63BE7B"/>
      </colorScale>
    </cfRule>
  </conditionalFormatting>
  <conditionalFormatting sqref="L59:L144">
    <cfRule type="colorScale" priority="13">
      <colorScale>
        <cfvo type="min"/>
        <cfvo type="percentile" val="50"/>
        <cfvo type="max"/>
        <color rgb="FFF8696B"/>
        <color rgb="FFFFEB84"/>
        <color rgb="FF63BE7B"/>
      </colorScale>
    </cfRule>
  </conditionalFormatting>
  <conditionalFormatting sqref="M59:M144">
    <cfRule type="colorScale" priority="12">
      <colorScale>
        <cfvo type="min"/>
        <cfvo type="percentile" val="50"/>
        <cfvo type="max"/>
        <color rgb="FFF8696B"/>
        <color rgb="FFFFEB84"/>
        <color rgb="FF63BE7B"/>
      </colorScale>
    </cfRule>
  </conditionalFormatting>
  <conditionalFormatting sqref="P59:P144">
    <cfRule type="colorScale" priority="11">
      <colorScale>
        <cfvo type="min"/>
        <cfvo type="percentile" val="50"/>
        <cfvo type="max"/>
        <color rgb="FFF8696B"/>
        <color rgb="FFFFEB84"/>
        <color rgb="FF63BE7B"/>
      </colorScale>
    </cfRule>
  </conditionalFormatting>
  <conditionalFormatting sqref="R59:R144">
    <cfRule type="colorScale" priority="10">
      <colorScale>
        <cfvo type="min"/>
        <cfvo type="percentile" val="50"/>
        <cfvo type="max"/>
        <color rgb="FFF8696B"/>
        <color rgb="FFFFEB84"/>
        <color rgb="FF63BE7B"/>
      </colorScale>
    </cfRule>
  </conditionalFormatting>
  <conditionalFormatting sqref="S59:S144">
    <cfRule type="colorScale" priority="9">
      <colorScale>
        <cfvo type="min"/>
        <cfvo type="percentile" val="50"/>
        <cfvo type="max"/>
        <color rgb="FFF8696B"/>
        <color rgb="FFFFEB84"/>
        <color rgb="FF63BE7B"/>
      </colorScale>
    </cfRule>
  </conditionalFormatting>
  <conditionalFormatting sqref="T59:T144">
    <cfRule type="colorScale" priority="8">
      <colorScale>
        <cfvo type="min"/>
        <cfvo type="percentile" val="50"/>
        <cfvo type="max"/>
        <color rgb="FFF8696B"/>
        <color rgb="FFFFEB84"/>
        <color rgb="FF63BE7B"/>
      </colorScale>
    </cfRule>
  </conditionalFormatting>
  <conditionalFormatting sqref="U59:U144">
    <cfRule type="colorScale" priority="7">
      <colorScale>
        <cfvo type="min"/>
        <cfvo type="percentile" val="50"/>
        <cfvo type="max"/>
        <color rgb="FFF8696B"/>
        <color rgb="FFFFEB84"/>
        <color rgb="FF63BE7B"/>
      </colorScale>
    </cfRule>
  </conditionalFormatting>
  <conditionalFormatting sqref="W59:W144">
    <cfRule type="colorScale" priority="6">
      <colorScale>
        <cfvo type="min"/>
        <cfvo type="percentile" val="50"/>
        <cfvo type="max"/>
        <color rgb="FFF8696B"/>
        <color rgb="FFFFEB84"/>
        <color rgb="FF63BE7B"/>
      </colorScale>
    </cfRule>
  </conditionalFormatting>
  <conditionalFormatting sqref="X59:X144">
    <cfRule type="colorScale" priority="5">
      <colorScale>
        <cfvo type="min"/>
        <cfvo type="percentile" val="50"/>
        <cfvo type="max"/>
        <color rgb="FFF8696B"/>
        <color rgb="FFFFEB84"/>
        <color rgb="FF63BE7B"/>
      </colorScale>
    </cfRule>
  </conditionalFormatting>
  <conditionalFormatting sqref="Y59:Y144">
    <cfRule type="colorScale" priority="4">
      <colorScale>
        <cfvo type="min"/>
        <cfvo type="percentile" val="50"/>
        <cfvo type="max"/>
        <color rgb="FFF8696B"/>
        <color rgb="FFFFEB84"/>
        <color rgb="FF63BE7B"/>
      </colorScale>
    </cfRule>
  </conditionalFormatting>
  <conditionalFormatting sqref="C59:C144">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4"/>
  <sheetViews>
    <sheetView zoomScale="150" zoomScaleNormal="150" workbookViewId="0">
      <pane xSplit="2" ySplit="9" topLeftCell="C130" activePane="bottomRight" state="frozen"/>
      <selection activeCell="AC102" sqref="AC102"/>
      <selection pane="topRight" activeCell="AC102" sqref="AC102"/>
      <selection pane="bottomLeft" activeCell="AC102" sqref="AC102"/>
      <selection pane="bottomRight" activeCell="AC135" sqref="AC135"/>
    </sheetView>
  </sheetViews>
  <sheetFormatPr baseColWidth="10" defaultColWidth="8.83203125" defaultRowHeight="15"/>
  <cols>
    <col width="9.1640625" customWidth="1" style="76"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6" min="29" max="30"/>
    <col width="10.6640625" bestFit="1" customWidth="1" style="76" min="31" max="31"/>
    <col width="9.1640625" customWidth="1" style="76"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6">
      <c r="AD2" s="76" t="inlineStr">
        <is>
          <t>Last month</t>
        </is>
      </c>
      <c r="AE2" s="28" t="n">
        <v>44593</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6">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6">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6">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6">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6">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6">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6">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6">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6">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6">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6">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6">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6">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6">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6">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6">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6">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6">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6">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6">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6">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6">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6">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6">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6">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6">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6">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6">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6">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6">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6">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6">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6">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6">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6">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6">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6">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6">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6">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6">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6">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6">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6">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6">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6">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6">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6">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6">
      <c r="B144" s="15" t="n">
        <v>44593</v>
      </c>
      <c r="C144" s="20">
        <f>IF(VLOOKUP(B144,'Data Core CPI'!$A:$AX,MATCH($C$1,'Data Core CPI'!$A$1:$AX$1,),)=0,#N/A,(VLOOKUP(B144,'Data Core CPI'!$A:$AX,MATCH($C$1,'Data Core CPI'!$A$1:$AX$1,),)-VLOOKUP(EDATE(B144,-12),'Data Core CPI'!$A:$AX,MATCH($C$1,'Data Core CPI'!$A$1:$AX$1,),))/VLOOKUP(EDATE(B144,-12),'Data Core CPI'!$A:$AX,MATCH($C$1,'Data Core CPI'!$A$1:$AX$1,),))</f>
        <v/>
      </c>
      <c r="D144" s="20">
        <f>(VLOOKUP(B144,'Data Core CPI'!$A:$AX,MATCH($D$1,'Data Core CPI'!$A$1:$AX$1,),)-VLOOKUP(EDATE(B144,-12),'Data Core CPI'!$A:$AX,MATCH($D$1,'Data Core CPI'!$A$1:$AX$1,),))/VLOOKUP(EDATE(B144,-12),'Data Core CPI'!$A:$AX,MATCH($D$1,'Data Core CPI'!$A$1:$AX$1,),)</f>
        <v/>
      </c>
      <c r="E144" s="20">
        <f>IF(VLOOKUP(B144,'Data Core CPI'!$A:$AX,MATCH($E$1,'Data Core CPI'!$A$1:$AX$1,),)=0,#N/A,(VLOOKUP(B144,'Data Core CPI'!$A:$AX,MATCH($E$1,'Data Core CPI'!$A$1:$AX$1,),)-VLOOKUP(EDATE(B144,-12),'Data Core CPI'!$A:$AX,MATCH($E$1,'Data Core CPI'!$A$1:$AX$1,),))/VLOOKUP(EDATE(B144,-12),'Data Core CPI'!$A:$AX,MATCH($E$1,'Data Core CPI'!$A$1:$AX$1,),))</f>
        <v/>
      </c>
      <c r="F144" s="20">
        <f>IF(VLOOKUP(B144,'Data Core CPI'!$A:$AX,MATCH($F$1,'Data Core CPI'!$A$1:$AX$1,),)=0,#N/A,(VLOOKUP(B144,'Data Core CPI'!$A:$AX,MATCH($F$1,'Data Core CPI'!$A$1:$AX$1,),)-VLOOKUP(EDATE(B144,-12),'Data Core CPI'!$A:$AX,MATCH($F$1,'Data Core CPI'!$A$1:$AX$1,),))/VLOOKUP(EDATE(B144,-12),'Data Core CPI'!$A:$AX,MATCH($F$1,'Data Core CPI'!$A$1:$AX$1,),))</f>
        <v/>
      </c>
      <c r="G144" s="20">
        <f>IF(VLOOKUP(B144,'Data Core CPI'!$A:$AX,MATCH($G$1,'Data Core CPI'!$A$1:$AX$1,),)=0,#N/A,(VLOOKUP(B144,'Data Core CPI'!$A:$AX,MATCH($G$1,'Data Core CPI'!$A$1:$AX$1,),)-VLOOKUP(EDATE(B144,-12),'Data Core CPI'!$A:$AX,MATCH($G$1,'Data Core CPI'!$A$1:$AX$1,),))/VLOOKUP(EDATE(B144,-12),'Data Core CPI'!$A:$AX,MATCH($G$1,'Data Core CPI'!$A$1:$AX$1,),))</f>
        <v/>
      </c>
      <c r="H144" s="20">
        <f>IF(VLOOKUP(B144,'Data Core CPI'!$A:$AX,MATCH($H$1,'Data Core CPI'!$A$1:$AX$1,),)=0,#N/A,(VLOOKUP(B144,'Data Core CPI'!$A:$AX,MATCH($H$1,'Data Core CPI'!$A$1:$AX$1,),)-VLOOKUP(EDATE(B144,-12),'Data Core CPI'!$A:$AX,MATCH($H$1,'Data Core CPI'!$A$1:$AX$1,),))/VLOOKUP(EDATE(B144,-12),'Data Core CPI'!$A:$AX,MATCH($H$1,'Data Core CPI'!$A$1:$AX$1,),))</f>
        <v/>
      </c>
      <c r="I144" s="20">
        <f>IF(VLOOKUP(B144,'Data Core CPI'!$A:$AX,MATCH($I$1,'Data Core CPI'!$A$1:$AX$1,),)=0,#N/A,(VLOOKUP(B144,'Data Core CPI'!$A:$AX,MATCH($I$1,'Data Core CPI'!$A$1:$AX$1,),)-VLOOKUP(EDATE(B144,-12),'Data Core CPI'!$A:$AX,MATCH($I$1,'Data Core CPI'!$A$1:$AX$1,),))/VLOOKUP(EDATE(B144,-12),'Data Core CPI'!$A:$AX,MATCH($I$1,'Data Core CPI'!$A$1:$AX$1,),))</f>
        <v/>
      </c>
      <c r="J144" s="20">
        <f>IF(VLOOKUP(B144,'Data Core CPI'!$A:$AX,MATCH($J$1,'Data Core CPI'!$A$1:$AX$1,),)=0,#N/A,(VLOOKUP(B144,'Data Core CPI'!$A:$AX,MATCH($J$1,'Data Core CPI'!$A$1:$AX$1,),)-VLOOKUP(EDATE(B144,-12),'Data Core CPI'!$A:$AX,MATCH($J$1,'Data Core CPI'!$A$1:$AX$1,),))/VLOOKUP(EDATE(B144,-12),'Data Core CPI'!$A:$AX,MATCH($J$1,'Data Core CPI'!$A$1:$AX$1,),))</f>
        <v/>
      </c>
      <c r="K144" s="20">
        <f>IF(VLOOKUP(B144,'Data Core CPI'!$A:$AX,MATCH($K$1,'Data Core CPI'!$A$1:$AX$1,),)=0,#N/A,(VLOOKUP(B144,'Data Core CPI'!$A:$AX,MATCH($K$1,'Data Core CPI'!$A$1:$AX$1,),)-VLOOKUP(EDATE(B144,-12),'Data Core CPI'!$A:$AX,MATCH($K$1,'Data Core CPI'!$A$1:$AX$1,),))/VLOOKUP(EDATE(B144,-12),'Data Core CPI'!$A:$AX,MATCH($K$1,'Data Core CPI'!$A$1:$AX$1,),))</f>
        <v/>
      </c>
      <c r="L144" s="20">
        <f>IF(VLOOKUP(B144,'Data Core CPI'!$A:$AX,MATCH($L$1,'Data Core CPI'!$A$1:$AX$1,),)=0,#N/A,(VLOOKUP(B144,'Data Core CPI'!$A:$AX,MATCH($L$1,'Data Core CPI'!$A$1:$AX$1,),)-VLOOKUP(EDATE(B144,-12),'Data Core CPI'!$A:$AX,MATCH($L$1,'Data Core CPI'!$A$1:$AX$1,),))/VLOOKUP(EDATE(B144,-12),'Data Core CPI'!$A:$AX,MATCH($L$1,'Data Core CPI'!$A$1:$AX$1,),))</f>
        <v/>
      </c>
      <c r="M144" s="20">
        <f>IF(VLOOKUP(B144,'Data Core CPI'!$A:$AX,MATCH($M$1,'Data Core CPI'!$A$1:$AX$1,),)=0,#N/A,(VLOOKUP(B144,'Data Core CPI'!$A:$AX,MATCH($M$1,'Data Core CPI'!$A$1:$AX$1,),)-VLOOKUP(EDATE(B144,-12),'Data Core CPI'!$A:$AX,MATCH($M$1,'Data Core CPI'!$A$1:$AX$1,),))/VLOOKUP(EDATE(B144,-12),'Data Core CPI'!$A:$AX,MATCH($M$1,'Data Core CPI'!$A$1:$AX$1,),))</f>
        <v/>
      </c>
      <c r="N144" s="20">
        <f>(VLOOKUP(B144,'Data Core CPI'!$A:$AX,MATCH($N$1,'Data Core CPI'!$A$1:$AX$1,),)-VLOOKUP(EDATE(B144,-12),'Data Core CPI'!$A:$AX,MATCH($N$1,'Data Core CPI'!$A$1:$AX$1,),))/VLOOKUP(EDATE(B144,-12),'Data Core CPI'!$A:$AX,MATCH($N$1,'Data Core CPI'!$A$1:$AX$1,),)</f>
        <v/>
      </c>
      <c r="O144" s="20">
        <f>(VLOOKUP(B144,'Data Core CPI'!$A:$AX,MATCH($O$1,'Data Core CPI'!$A$1:$AX$1,),)-VLOOKUP(EDATE(B144,-12),'Data Core CPI'!$A:$AX,MATCH($O$1,'Data Core CPI'!$A$1:$AX$1,),))/VLOOKUP(EDATE(B144,-12),'Data Core CPI'!$A:$AX,MATCH($O$1,'Data Core CPI'!$A$1:$AX$1,),)</f>
        <v/>
      </c>
      <c r="P144" s="20">
        <f>IF(VLOOKUP(B144,'Data Core CPI'!$A:$AX,MATCH($P$1,'Data Core CPI'!$A$1:$AX$1,),)=0,#N/A,(VLOOKUP(B144,'Data Core CPI'!$A:$AX,MATCH($P$1,'Data Core CPI'!$A$1:$AX$1,),)-VLOOKUP(EDATE(B144,-12),'Data Core CPI'!$A:$AX,MATCH($P$1,'Data Core CPI'!$A$1:$AX$1,),))/VLOOKUP(EDATE(B144,-12),'Data Core CPI'!$A:$AX,MATCH($P$1,'Data Core CPI'!$A$1:$AX$1,),))</f>
        <v/>
      </c>
      <c r="Q144" s="20">
        <f>(VLOOKUP(B144,'Data Core CPI'!$A:$AX,MATCH($Q$1,'Data Core CPI'!$A$1:$AX$1,),)-VLOOKUP(EDATE(B144,-12),'Data Core CPI'!$A:$AX,MATCH($Q$1,'Data Core CPI'!$A$1:$AX$1,),))/VLOOKUP(EDATE(B144,-12),'Data Core CPI'!$A:$AX,MATCH($Q$1,'Data Core CPI'!$A$1:$AX$1,),)</f>
        <v/>
      </c>
      <c r="R144" s="20">
        <f>IF(VLOOKUP(B144,'Data Core CPI'!$A:$AX,MATCH($R$1,'Data Core CPI'!$A$1:$AX$1,),)=0,#N/A,(VLOOKUP(B144,'Data Core CPI'!$A:$AX,MATCH($R$1,'Data Core CPI'!$A$1:$AX$1,),)-VLOOKUP(EDATE(B144,-12),'Data Core CPI'!$A:$AX,MATCH($R$1,'Data Core CPI'!$A$1:$AX$1,),))/VLOOKUP(EDATE(B144,-12),'Data Core CPI'!$A:$AX,MATCH($R$1,'Data Core CPI'!$A$1:$AX$1,),))</f>
        <v/>
      </c>
      <c r="S144" s="20">
        <f>(VLOOKUP(B144,'Data Core CPI'!$A:$AX,MATCH($S$1,'Data Core CPI'!$A$1:$AX$1,),)-VLOOKUP(EDATE(B144,-12),'Data Core CPI'!$A:$AX,MATCH($S$1,'Data Core CPI'!$A$1:$AX$1,),))/VLOOKUP(EDATE(B144,-12),'Data Core CPI'!$A:$AX,MATCH($S$1,'Data Core CPI'!$A$1:$AX$1,),)</f>
        <v/>
      </c>
      <c r="T144" s="20">
        <f>(VLOOKUP(B144,'Data Core CPI'!$A:$AX,MATCH($T$1,'Data Core CPI'!$A$1:$AX$1,),)-VLOOKUP(EDATE(B144,-12),'Data Core CPI'!$A:$AX,MATCH($T$1,'Data Core CPI'!$A$1:$AX$1,),))/VLOOKUP(EDATE(B144,-12),'Data Core CPI'!$A:$AX,MATCH($T$1,'Data Core CPI'!$A$1:$AX$1,),)</f>
        <v/>
      </c>
      <c r="U144" s="20">
        <f>IF(VLOOKUP(B144,'Data Core CPI'!$A:$AX,MATCH($U$1,'Data Core CPI'!$A$1:$AX$1,),)=0,#N/A,(VLOOKUP(B144,'Data Core CPI'!$A:$AX,MATCH($U$1,'Data Core CPI'!$A$1:$AX$1,),)-VLOOKUP(EDATE(B144,-12),'Data Core CPI'!$A:$AX,MATCH($U$1,'Data Core CPI'!$A$1:$AX$1,),))/VLOOKUP(EDATE(B144,-12),'Data Core CPI'!$A:$AX,MATCH($U$1,'Data Core CPI'!$A$1:$AX$1,),))</f>
        <v/>
      </c>
      <c r="V144" s="20">
        <f>(VLOOKUP(B144,'Data Core CPI'!$A:$AX,MATCH($V$1,'Data Core CPI'!$A$1:$AX$1,),)-VLOOKUP(EDATE(B144,-12),'Data Core CPI'!$A:$AX,MATCH($V$1,'Data Core CPI'!$A$1:$AX$1,),))/VLOOKUP(EDATE(B144,-12),'Data Core CPI'!$A:$AX,MATCH($V$1,'Data Core CPI'!$A$1:$AX$1,),)</f>
        <v/>
      </c>
      <c r="W144" s="20">
        <f>IF(VLOOKUP(B144,'Data Core CPI'!$A:$AX,MATCH($W$1,'Data Core CPI'!$A$1:$AX$1,),)=0,#N/A,(VLOOKUP(B144,'Data Core CPI'!$A:$AX,MATCH($W$1,'Data Core CPI'!$A$1:$AX$1,),)-VLOOKUP(EDATE(B144,-12),'Data Core CPI'!$A:$AX,MATCH($W$1,'Data Core CPI'!$A$1:$AX$1,),))/VLOOKUP(EDATE(B144,-12),'Data Core CPI'!$A:$AX,MATCH($W$1,'Data Core CPI'!$A$1:$AX$1,),))</f>
        <v/>
      </c>
      <c r="X144" s="20">
        <f>IF(VLOOKUP(B144,'Data Core CPI'!$A:$AX,MATCH($X$1,'Data Core CPI'!$A$1:$AX$1,),)=0,#N/A,(VLOOKUP(B144,'Data Core CPI'!$A:$AX,MATCH($X$1,'Data Core CPI'!$A$1:$AX$1,),)-VLOOKUP(EDATE(B144,-12),'Data Core CPI'!$A:$AX,MATCH($X$1,'Data Core CPI'!$A$1:$AX$1,),))/VLOOKUP(EDATE(B144,-12),'Data Core CPI'!$A:$AX,MATCH($X$1,'Data Core CPI'!$A$1:$AX$1,),))</f>
        <v/>
      </c>
      <c r="Y144" s="20">
        <f>IF(VLOOKUP(B144,'Data Core CPI'!$A:$AX,MATCH($Y$1,'Data Core CPI'!$A$1:$AX$1,),)=0,#N/A,(VLOOKUP(B144,'Data Core CPI'!$A:$AX,MATCH($Y$1,'Data Core CPI'!$A$1:$AX$1,),)-VLOOKUP(EDATE(B144,-12),'Data Core CPI'!$A:$AX,MATCH($Y$1,'Data Core CPI'!$A$1:$AX$1,),))/VLOOKUP(EDATE(B144,-12),'Data Core CPI'!$A:$AX,MATCH($Y$1,'Data Core CPI'!$A$1:$AX$1,),))</f>
        <v/>
      </c>
    </row>
    <row r="145" customFormat="1" s="76"/>
    <row r="146" customFormat="1" s="76"/>
    <row r="147" customFormat="1" s="76"/>
    <row r="148" customFormat="1" s="76"/>
    <row r="149" customFormat="1" s="76"/>
    <row r="150" customFormat="1" s="76"/>
    <row r="151" customFormat="1" s="76"/>
    <row r="152" customFormat="1" s="76"/>
    <row r="153" customFormat="1" s="76"/>
    <row r="154" customFormat="1" s="76"/>
    <row r="155" customFormat="1" s="76"/>
    <row r="156" customFormat="1" s="76"/>
    <row r="157" customFormat="1" s="76"/>
    <row r="158" customFormat="1" s="76"/>
    <row r="159" customFormat="1" s="76"/>
    <row r="160" customFormat="1" s="76"/>
    <row r="161" customFormat="1" s="76"/>
    <row r="162" customFormat="1" s="76"/>
    <row r="163" customFormat="1" s="76"/>
    <row r="164" customFormat="1" s="76"/>
    <row r="165" customFormat="1" s="76"/>
    <row r="166" customFormat="1" s="76"/>
    <row r="167" customFormat="1" s="76"/>
    <row r="168" customFormat="1" s="76"/>
    <row r="169" customFormat="1" s="76"/>
    <row r="170" customFormat="1" s="76"/>
    <row r="171" customFormat="1" s="76"/>
    <row r="172" customFormat="1" s="76"/>
    <row r="173" customFormat="1" s="76"/>
    <row r="174" customFormat="1" s="76"/>
    <row r="175" customFormat="1" s="76"/>
    <row r="176" customFormat="1" s="76"/>
    <row r="177" customFormat="1" s="76"/>
    <row r="178" customFormat="1" s="76"/>
    <row r="179" customFormat="1" s="76"/>
    <row r="180" customFormat="1" s="76"/>
    <row r="181" customFormat="1" s="76"/>
    <row r="182" customFormat="1" s="76"/>
    <row r="183" customFormat="1" s="76"/>
    <row r="184" customFormat="1" s="76"/>
    <row r="185" customFormat="1" s="76"/>
    <row r="186" customFormat="1" s="76"/>
    <row r="187" customFormat="1" s="76"/>
    <row r="188" customFormat="1" s="76"/>
    <row r="189" customFormat="1" s="76"/>
    <row r="190" customFormat="1" s="76"/>
    <row r="191" customFormat="1" s="76"/>
    <row r="192" customFormat="1" s="76"/>
    <row r="193" customFormat="1" s="76"/>
    <row r="194" customFormat="1" s="76"/>
    <row r="195" customFormat="1" s="76"/>
    <row r="196" customFormat="1" s="76"/>
    <row r="197" customFormat="1" s="76"/>
    <row r="198" customFormat="1" s="76"/>
    <row r="199" customFormat="1" s="76"/>
    <row r="200" customFormat="1" s="76"/>
    <row r="201" customFormat="1" s="76"/>
    <row r="202" customFormat="1" s="76"/>
    <row r="203" customFormat="1" s="76"/>
    <row r="204" customFormat="1" s="76"/>
    <row r="205" customFormat="1" s="76"/>
    <row r="206" customFormat="1" s="76"/>
    <row r="207" customFormat="1" s="76"/>
    <row r="208" customFormat="1" s="76"/>
    <row r="209" customFormat="1" s="76"/>
    <row r="210" customFormat="1" s="76"/>
    <row r="211" customFormat="1" s="76"/>
    <row r="212" customFormat="1" s="76"/>
    <row r="213" customFormat="1" s="76"/>
    <row r="214" customFormat="1" s="76"/>
    <row r="215" customFormat="1" s="76"/>
    <row r="216" customFormat="1" s="76"/>
    <row r="217" customFormat="1" s="76"/>
    <row r="218" customFormat="1" s="76"/>
    <row r="219" customFormat="1" s="76"/>
    <row r="220" customFormat="1" s="76"/>
    <row r="221" customFormat="1" s="76"/>
    <row r="222" customFormat="1" s="76"/>
    <row r="223" customFormat="1" s="76"/>
    <row r="224" customFormat="1" s="76"/>
    <row r="225" customFormat="1" s="76"/>
    <row r="226" customFormat="1" s="76"/>
    <row r="227" customFormat="1" s="76"/>
    <row r="228" customFormat="1" s="76"/>
    <row r="229" customFormat="1" s="76"/>
    <row r="230" customFormat="1" s="76"/>
    <row r="231" customFormat="1" s="76"/>
    <row r="232" customFormat="1" s="76"/>
    <row r="233" customFormat="1" s="76"/>
    <row r="234" customFormat="1" s="76"/>
    <row r="235" customFormat="1" s="76"/>
    <row r="236" customFormat="1" s="76"/>
    <row r="237" customFormat="1" s="76"/>
    <row r="238" customFormat="1" s="76"/>
    <row r="239" customFormat="1" s="76"/>
    <row r="240" customFormat="1" s="76"/>
    <row r="241" customFormat="1" s="76"/>
    <row r="242" customFormat="1" s="76"/>
    <row r="243" customFormat="1" s="76"/>
    <row r="244" customFormat="1" s="76"/>
    <row r="245" customFormat="1" s="76"/>
    <row r="246" customFormat="1" s="76"/>
    <row r="247" customFormat="1" s="76"/>
    <row r="248" customFormat="1" s="76"/>
    <row r="249" customFormat="1" s="76"/>
    <row r="250" customFormat="1" s="76"/>
    <row r="251" customFormat="1" s="76"/>
    <row r="252" customFormat="1" s="76"/>
    <row r="253" customFormat="1" s="76"/>
    <row r="254" customFormat="1" s="76"/>
    <row r="255" customFormat="1" s="76"/>
    <row r="256" customFormat="1" s="76"/>
    <row r="257" customFormat="1" s="76"/>
    <row r="258" customFormat="1" s="76"/>
    <row r="259" customFormat="1" s="76"/>
    <row r="260" customFormat="1" s="76"/>
    <row r="261" customFormat="1" s="76"/>
    <row r="262" customFormat="1" s="76"/>
    <row r="263" customFormat="1" s="76"/>
    <row r="264" customFormat="1" s="76"/>
    <row r="265" customFormat="1" s="76"/>
    <row r="266" customFormat="1" s="76"/>
    <row r="267" customFormat="1" s="76"/>
    <row r="268" customFormat="1" s="76"/>
    <row r="269" customFormat="1" s="76"/>
    <row r="270" customFormat="1" s="76"/>
    <row r="271" customFormat="1" s="76"/>
    <row r="272" customFormat="1" s="76"/>
    <row r="273" customFormat="1" s="76"/>
    <row r="274" customFormat="1" s="76"/>
    <row r="275" customFormat="1" s="76"/>
    <row r="276" customFormat="1" s="76"/>
    <row r="277" customFormat="1" s="76"/>
    <row r="278" customFormat="1" s="76"/>
    <row r="279" customFormat="1" s="76"/>
    <row r="280" customFormat="1" s="76"/>
    <row r="281" customFormat="1" s="76"/>
    <row r="282" customFormat="1" s="76"/>
    <row r="283" customFormat="1" s="76"/>
    <row r="284" customFormat="1" s="76"/>
    <row r="285" customFormat="1" s="76"/>
    <row r="286" customFormat="1" s="76"/>
    <row r="287" customFormat="1" s="76"/>
    <row r="288" customFormat="1" s="76"/>
    <row r="289" customFormat="1" s="76"/>
    <row r="290" customFormat="1" s="76"/>
    <row r="291" customFormat="1" s="76"/>
    <row r="292" customFormat="1" s="76"/>
    <row r="293" customFormat="1" s="76"/>
    <row r="294" customFormat="1" s="76"/>
    <row r="295" customFormat="1" s="76"/>
    <row r="296" customFormat="1" s="76"/>
    <row r="297" customFormat="1" s="76"/>
    <row r="298" customFormat="1" s="76"/>
    <row r="299" customFormat="1" s="76"/>
    <row r="300" customFormat="1" s="76"/>
    <row r="301" customFormat="1" s="76"/>
    <row r="302" customFormat="1" s="76"/>
    <row r="303" customFormat="1" s="76"/>
    <row r="304" customFormat="1" s="76"/>
    <row r="305" customFormat="1" s="76"/>
    <row r="306" customFormat="1" s="76"/>
    <row r="307" customFormat="1" s="76"/>
    <row r="308" customFormat="1" s="76"/>
    <row r="309" customFormat="1" s="76"/>
    <row r="310" customFormat="1" s="76"/>
    <row r="311" customFormat="1" s="76"/>
    <row r="312" customFormat="1" s="76"/>
    <row r="313" customFormat="1" s="76"/>
    <row r="314" customFormat="1" s="76"/>
    <row r="315" customFormat="1" s="76"/>
    <row r="316" customFormat="1" s="76"/>
    <row r="317" customFormat="1" s="76"/>
    <row r="318" customFormat="1" s="76"/>
    <row r="319" customFormat="1" s="76"/>
    <row r="320" customFormat="1" s="76"/>
    <row r="321" customFormat="1" s="76"/>
    <row r="322" customFormat="1" s="76"/>
    <row r="323" customFormat="1" s="76"/>
    <row r="324" customFormat="1" s="76"/>
    <row r="325" customFormat="1" s="76"/>
    <row r="326" customFormat="1" s="76"/>
    <row r="327" customFormat="1" s="76"/>
    <row r="328" customFormat="1" s="76"/>
    <row r="329" customFormat="1" s="76"/>
    <row r="330" customFormat="1" s="76"/>
    <row r="331" customFormat="1" s="76"/>
    <row r="332" customFormat="1" s="76"/>
    <row r="333" customFormat="1" s="76"/>
    <row r="334" customFormat="1" s="76"/>
    <row r="335" customFormat="1" s="76"/>
    <row r="336" customFormat="1" s="76"/>
    <row r="337" customFormat="1" s="76"/>
    <row r="338" customFormat="1" s="76"/>
    <row r="339" customFormat="1" s="76"/>
    <row r="340" customFormat="1" s="76"/>
    <row r="341" customFormat="1" s="76"/>
    <row r="342" customFormat="1" s="76"/>
    <row r="343" customFormat="1" s="76"/>
    <row r="344" customFormat="1" s="76"/>
    <row r="345" customFormat="1" s="76"/>
    <row r="346" customFormat="1" s="76"/>
    <row r="347" customFormat="1" s="76"/>
    <row r="348" customFormat="1" s="76"/>
    <row r="349" customFormat="1" s="76"/>
    <row r="350" customFormat="1" s="76"/>
    <row r="351" customFormat="1" s="76"/>
    <row r="352" customFormat="1" s="76"/>
    <row r="353" customFormat="1" s="76"/>
    <row r="354" customFormat="1" s="76"/>
    <row r="355" customFormat="1" s="76"/>
    <row r="356" customFormat="1" s="76"/>
    <row r="357" customFormat="1" s="76"/>
    <row r="358" customFormat="1" s="76"/>
    <row r="359" customFormat="1" s="76"/>
    <row r="360" customFormat="1" s="76"/>
    <row r="361" customFormat="1" s="76"/>
    <row r="362" customFormat="1" s="76"/>
    <row r="363" customFormat="1" s="76"/>
    <row r="364" customFormat="1" s="76"/>
    <row r="365" customFormat="1" s="76"/>
    <row r="366" customFormat="1" s="76"/>
    <row r="367" customFormat="1" s="76"/>
    <row r="368" customFormat="1" s="76"/>
    <row r="369" customFormat="1" s="76"/>
    <row r="370" customFormat="1" s="76"/>
    <row r="371" customFormat="1" s="76"/>
    <row r="372" customFormat="1" s="76"/>
    <row r="373" customFormat="1" s="76"/>
    <row r="374" customFormat="1" s="76"/>
    <row r="375" customFormat="1" s="76"/>
    <row r="376" customFormat="1" s="76"/>
    <row r="377" customFormat="1" s="76"/>
    <row r="378" customFormat="1" s="76"/>
    <row r="379" customFormat="1" s="76"/>
    <row r="380" customFormat="1" s="76"/>
    <row r="381" customFormat="1" s="76"/>
    <row r="382" customFormat="1" s="76"/>
    <row r="383" customFormat="1" s="76"/>
    <row r="384" customFormat="1" s="76"/>
    <row r="385" customFormat="1" s="76"/>
    <row r="386" customFormat="1" s="76"/>
    <row r="387" customFormat="1" s="76"/>
    <row r="388" customFormat="1" s="76"/>
    <row r="389" customFormat="1" s="76"/>
    <row r="390" customFormat="1" s="76"/>
    <row r="391" customFormat="1" s="76"/>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4">
    <cfRule type="colorScale" priority="44">
      <colorScale>
        <cfvo type="min"/>
        <cfvo type="percentile" val="50"/>
        <cfvo type="max"/>
        <color rgb="FFF8696B"/>
        <color rgb="FFFFEB84"/>
        <color rgb="FF63BE7B"/>
      </colorScale>
    </cfRule>
  </conditionalFormatting>
  <conditionalFormatting sqref="D59:D144">
    <cfRule type="colorScale" priority="45">
      <colorScale>
        <cfvo type="min"/>
        <cfvo type="percentile" val="50"/>
        <cfvo type="max"/>
        <color rgb="FFF8696B"/>
        <color rgb="FFFFEB84"/>
        <color rgb="FF63BE7B"/>
      </colorScale>
    </cfRule>
  </conditionalFormatting>
  <conditionalFormatting sqref="E59:AA59 Z60:AA106 E60:Y144">
    <cfRule type="colorScale" priority="46">
      <colorScale>
        <cfvo type="min"/>
        <cfvo type="percentile" val="50"/>
        <cfvo type="max"/>
        <color rgb="FFF8696B"/>
        <color rgb="FFFFEB84"/>
        <color rgb="FF63BE7B"/>
      </colorScale>
    </cfRule>
  </conditionalFormatting>
  <conditionalFormatting sqref="C59:C144">
    <cfRule type="colorScale" priority="16">
      <colorScale>
        <cfvo type="min"/>
        <cfvo type="percentile" val="50"/>
        <cfvo type="max"/>
        <color rgb="FFF8696B"/>
        <color rgb="FFFFEB84"/>
        <color rgb="FF63BE7B"/>
      </colorScale>
    </cfRule>
  </conditionalFormatting>
  <conditionalFormatting sqref="E59:E144">
    <cfRule type="colorScale" priority="15">
      <colorScale>
        <cfvo type="min"/>
        <cfvo type="percentile" val="50"/>
        <cfvo type="max"/>
        <color rgb="FFF8696B"/>
        <color rgb="FFFFEB84"/>
        <color rgb="FF63BE7B"/>
      </colorScale>
    </cfRule>
  </conditionalFormatting>
  <conditionalFormatting sqref="F59:F144">
    <cfRule type="colorScale" priority="14">
      <colorScale>
        <cfvo type="min"/>
        <cfvo type="percentile" val="50"/>
        <cfvo type="max"/>
        <color rgb="FFF8696B"/>
        <color rgb="FFFFEB84"/>
        <color rgb="FF63BE7B"/>
      </colorScale>
    </cfRule>
  </conditionalFormatting>
  <conditionalFormatting sqref="G59:G144">
    <cfRule type="colorScale" priority="13">
      <colorScale>
        <cfvo type="min"/>
        <cfvo type="percentile" val="50"/>
        <cfvo type="max"/>
        <color rgb="FFF8696B"/>
        <color rgb="FFFFEB84"/>
        <color rgb="FF63BE7B"/>
      </colorScale>
    </cfRule>
  </conditionalFormatting>
  <conditionalFormatting sqref="H59:H144">
    <cfRule type="colorScale" priority="12">
      <colorScale>
        <cfvo type="min"/>
        <cfvo type="percentile" val="50"/>
        <cfvo type="max"/>
        <color rgb="FFF8696B"/>
        <color rgb="FFFFEB84"/>
        <color rgb="FF63BE7B"/>
      </colorScale>
    </cfRule>
  </conditionalFormatting>
  <conditionalFormatting sqref="I59:I144">
    <cfRule type="colorScale" priority="11">
      <colorScale>
        <cfvo type="min"/>
        <cfvo type="percentile" val="50"/>
        <cfvo type="max"/>
        <color rgb="FFF8696B"/>
        <color rgb="FFFFEB84"/>
        <color rgb="FF63BE7B"/>
      </colorScale>
    </cfRule>
  </conditionalFormatting>
  <conditionalFormatting sqref="J59:J144">
    <cfRule type="colorScale" priority="10">
      <colorScale>
        <cfvo type="min"/>
        <cfvo type="percentile" val="50"/>
        <cfvo type="max"/>
        <color rgb="FFF8696B"/>
        <color rgb="FFFFEB84"/>
        <color rgb="FF63BE7B"/>
      </colorScale>
    </cfRule>
  </conditionalFormatting>
  <conditionalFormatting sqref="K59:K144">
    <cfRule type="colorScale" priority="9">
      <colorScale>
        <cfvo type="min"/>
        <cfvo type="percentile" val="50"/>
        <cfvo type="max"/>
        <color rgb="FFF8696B"/>
        <color rgb="FFFFEB84"/>
        <color rgb="FF63BE7B"/>
      </colorScale>
    </cfRule>
  </conditionalFormatting>
  <conditionalFormatting sqref="L59:L144">
    <cfRule type="colorScale" priority="8">
      <colorScale>
        <cfvo type="min"/>
        <cfvo type="percentile" val="50"/>
        <cfvo type="max"/>
        <color rgb="FFF8696B"/>
        <color rgb="FFFFEB84"/>
        <color rgb="FF63BE7B"/>
      </colorScale>
    </cfRule>
  </conditionalFormatting>
  <conditionalFormatting sqref="M59:M144">
    <cfRule type="colorScale" priority="7">
      <colorScale>
        <cfvo type="min"/>
        <cfvo type="percentile" val="50"/>
        <cfvo type="max"/>
        <color rgb="FFF8696B"/>
        <color rgb="FFFFEB84"/>
        <color rgb="FF63BE7B"/>
      </colorScale>
    </cfRule>
  </conditionalFormatting>
  <conditionalFormatting sqref="P59:P144">
    <cfRule type="colorScale" priority="6">
      <colorScale>
        <cfvo type="min"/>
        <cfvo type="percentile" val="50"/>
        <cfvo type="max"/>
        <color rgb="FFF8696B"/>
        <color rgb="FFFFEB84"/>
        <color rgb="FF63BE7B"/>
      </colorScale>
    </cfRule>
  </conditionalFormatting>
  <conditionalFormatting sqref="R59:R144">
    <cfRule type="colorScale" priority="5">
      <colorScale>
        <cfvo type="min"/>
        <cfvo type="percentile" val="50"/>
        <cfvo type="max"/>
        <color rgb="FFF8696B"/>
        <color rgb="FFFFEB84"/>
        <color rgb="FF63BE7B"/>
      </colorScale>
    </cfRule>
  </conditionalFormatting>
  <conditionalFormatting sqref="U59:U144">
    <cfRule type="colorScale" priority="4">
      <colorScale>
        <cfvo type="min"/>
        <cfvo type="percentile" val="50"/>
        <cfvo type="max"/>
        <color rgb="FFF8696B"/>
        <color rgb="FFFFEB84"/>
        <color rgb="FF63BE7B"/>
      </colorScale>
    </cfRule>
  </conditionalFormatting>
  <conditionalFormatting sqref="W59:W144">
    <cfRule type="colorScale" priority="3">
      <colorScale>
        <cfvo type="min"/>
        <cfvo type="percentile" val="50"/>
        <cfvo type="max"/>
        <color rgb="FFF8696B"/>
        <color rgb="FFFFEB84"/>
        <color rgb="FF63BE7B"/>
      </colorScale>
    </cfRule>
  </conditionalFormatting>
  <conditionalFormatting sqref="X59:X144">
    <cfRule type="colorScale" priority="2">
      <colorScale>
        <cfvo type="min"/>
        <cfvo type="percentile" val="50"/>
        <cfvo type="max"/>
        <color rgb="FFF8696B"/>
        <color rgb="FFFFEB84"/>
        <color rgb="FF63BE7B"/>
      </colorScale>
    </cfRule>
  </conditionalFormatting>
  <conditionalFormatting sqref="Y59:Y144">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tabSelected="1" topLeftCell="C1" zoomScale="140" zoomScaleNormal="140" workbookViewId="0">
      <pane ySplit="2" topLeftCell="A821" activePane="bottomLeft" state="frozen"/>
      <selection activeCell="M12" sqref="M12"/>
      <selection pane="bottomLeft" activeCell="B2" sqref="B2"/>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USA</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Table143454[[#Headers],[USA]]</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Row],[USA]]-#REF!)/#REF!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Row],[USA]]-#REF!)/#REF!</f>
        <v/>
      </c>
      <c r="E4" s="35">
        <f>(Table143454[[#This Row],[USA]]-#REF!)/#REF!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Row],[USA]]-#REF!)/#REF!</f>
        <v/>
      </c>
      <c r="E5" s="35">
        <f>(Table143454[[#This Row],[USA]]-#REF!)/#REF!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Row],[USA]]-#REF!)/#REF!</f>
        <v/>
      </c>
      <c r="E6" s="35">
        <f>(Table143454[[#This Row],[USA]]-#REF!)/#REF!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Row],[USA]]-#REF!)/#REF!</f>
        <v/>
      </c>
      <c r="E7" s="35">
        <f>(Table143454[[#This Row],[USA]]-#REF!)/#REF!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Row],[USA]]-#REF!)/#REF!</f>
        <v/>
      </c>
      <c r="E8" s="35">
        <f>(Table143454[[#This Row],[USA]]-#REF!)/#REF!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Row],[USA]]-#REF!)/#REF!</f>
        <v/>
      </c>
      <c r="E9" s="35">
        <f>(Table143454[[#This Row],[USA]]-#REF!)/#REF!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Row],[USA]]-#REF!)/#REF!</f>
        <v/>
      </c>
      <c r="E10" s="35">
        <f>(Table143454[[#This Row],[USA]]-#REF!)/#REF!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Row],[USA]]-#REF!)/#REF!</f>
        <v/>
      </c>
      <c r="E11" s="35">
        <f>(Table143454[[#This Row],[USA]]-#REF!)/#REF!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Row],[USA]]-#REF!)/#REF!</f>
        <v/>
      </c>
      <c r="E12" s="35">
        <f>(Table143454[[#This Row],[USA]]-#REF!)/#REF!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Row],[USA]]-#REF!)/#REF!</f>
        <v/>
      </c>
      <c r="E13" s="35">
        <f>(Table143454[[#This Row],[USA]]-#REF!)/#REF!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Row],[USA]]-B2)/B2</f>
        <v/>
      </c>
      <c r="E14" s="35">
        <f>(Table143454[[#This Row],[USA]]-B2)/B2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Row],[USA]]-B3)/B3</f>
        <v/>
      </c>
      <c r="E15" s="35">
        <f>(Table143454[[#This Row],[USA]]-B3)/B3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Row],[USA]]-B4)/B4</f>
        <v/>
      </c>
      <c r="E16" s="35">
        <f>(Table143454[[#This Row],[USA]]-B4)/B4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Row],[USA]]-B5)/B5</f>
        <v/>
      </c>
      <c r="E17" s="35">
        <f>(Table143454[[#This Row],[USA]]-B5)/B5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Row],[USA]]-B6)/B6</f>
        <v/>
      </c>
      <c r="E18" s="35">
        <f>(Table143454[[#This Row],[USA]]-B6)/B6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Row],[USA]]-B7)/B7</f>
        <v/>
      </c>
      <c r="E19" s="35">
        <f>(Table143454[[#This Row],[USA]]-B7)/B7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Row],[USA]]-B8)/B8</f>
        <v/>
      </c>
      <c r="E20" s="35">
        <f>(Table143454[[#This Row],[USA]]-B8)/B8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Row],[USA]]-B9)/B9</f>
        <v/>
      </c>
      <c r="E21" s="35">
        <f>(Table143454[[#This Row],[USA]]-B9)/B9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Row],[USA]]-B10)/B10</f>
        <v/>
      </c>
      <c r="E22" s="35">
        <f>(Table143454[[#This Row],[USA]]-B10)/B10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Row],[USA]]-B11)/B11</f>
        <v/>
      </c>
      <c r="E23" s="35">
        <f>(Table143454[[#This Row],[USA]]-B11)/B11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Row],[USA]]-B12)/B12</f>
        <v/>
      </c>
      <c r="E24" s="35">
        <f>(Table143454[[#This Row],[USA]]-B12)/B12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Row],[USA]]-B13)/B13</f>
        <v/>
      </c>
      <c r="E25" s="35">
        <f>(Table143454[[#This Row],[USA]]-B13)/B13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Row],[USA]]-B14)/B14</f>
        <v/>
      </c>
      <c r="E26" s="35">
        <f>(Table143454[[#This Row],[USA]]-B14)/B14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Row],[USA]]-B15)/B15</f>
        <v/>
      </c>
      <c r="E27" s="35">
        <f>(Table143454[[#This Row],[USA]]-B15)/B15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Row],[USA]]-B16)/B16</f>
        <v/>
      </c>
      <c r="E28" s="35">
        <f>(Table143454[[#This Row],[USA]]-B16)/B16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Row],[USA]]-B17)/B17</f>
        <v/>
      </c>
      <c r="E29" s="35">
        <f>(Table143454[[#This Row],[USA]]-B17)/B17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Row],[USA]]-B18)/B18</f>
        <v/>
      </c>
      <c r="E30" s="35">
        <f>(Table143454[[#This Row],[USA]]-B18)/B18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Row],[USA]]-B19)/B19</f>
        <v/>
      </c>
      <c r="E31" s="35">
        <f>(Table143454[[#This Row],[USA]]-B19)/B19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Row],[USA]]-B20)/B20</f>
        <v/>
      </c>
      <c r="E32" s="35">
        <f>(Table143454[[#This Row],[USA]]-B20)/B20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Row],[USA]]-B21)/B21</f>
        <v/>
      </c>
      <c r="E33" s="35">
        <f>(Table143454[[#This Row],[USA]]-B21)/B21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Row],[USA]]-B22)/B22</f>
        <v/>
      </c>
      <c r="E34" s="35">
        <f>(Table143454[[#This Row],[USA]]-B22)/B22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Row],[USA]]-B23)/B23</f>
        <v/>
      </c>
      <c r="E35" s="35">
        <f>(Table143454[[#This Row],[USA]]-B23)/B23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Row],[USA]]-B24)/B24</f>
        <v/>
      </c>
      <c r="E36" s="35">
        <f>(Table143454[[#This Row],[USA]]-B24)/B24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Row],[USA]]-B25)/B25</f>
        <v/>
      </c>
      <c r="E37" s="35">
        <f>(Table143454[[#This Row],[USA]]-B25)/B25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Row],[USA]]-B26)/B26</f>
        <v/>
      </c>
      <c r="E38" s="35">
        <f>(Table143454[[#This Row],[USA]]-B26)/B26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Row],[USA]]-B27)/B27</f>
        <v/>
      </c>
      <c r="E39" s="35">
        <f>(Table143454[[#This Row],[USA]]-B27)/B27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Row],[USA]]-B28)/B28</f>
        <v/>
      </c>
      <c r="E40" s="35">
        <f>(Table143454[[#This Row],[USA]]-B28)/B28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Row],[USA]]-B29)/B29</f>
        <v/>
      </c>
      <c r="E41" s="35">
        <f>(Table143454[[#This Row],[USA]]-B29)/B29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Row],[USA]]-B30)/B30</f>
        <v/>
      </c>
      <c r="E42" s="35">
        <f>(Table143454[[#This Row],[USA]]-B30)/B30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Row],[USA]]-B31)/B31</f>
        <v/>
      </c>
      <c r="E43" s="35">
        <f>(Table143454[[#This Row],[USA]]-B31)/B31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Row],[USA]]-B32)/B32</f>
        <v/>
      </c>
      <c r="E44" s="35">
        <f>(Table143454[[#This Row],[USA]]-B32)/B32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Row],[USA]]-B33)/B33</f>
        <v/>
      </c>
      <c r="E45" s="35">
        <f>(Table143454[[#This Row],[USA]]-B33)/B33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Row],[USA]]-B34)/B34</f>
        <v/>
      </c>
      <c r="E46" s="35">
        <f>(Table143454[[#This Row],[USA]]-B34)/B34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Row],[USA]]-B35)/B35</f>
        <v/>
      </c>
      <c r="E47" s="35">
        <f>(Table143454[[#This Row],[USA]]-B35)/B35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Row],[USA]]-B36)/B36</f>
        <v/>
      </c>
      <c r="E48" s="35">
        <f>(Table143454[[#This Row],[USA]]-B36)/B36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Row],[USA]]-B37)/B37</f>
        <v/>
      </c>
      <c r="E49" s="35">
        <f>(Table143454[[#This Row],[USA]]-B37)/B37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Row],[USA]]-B38)/B38</f>
        <v/>
      </c>
      <c r="E50" s="35">
        <f>(Table143454[[#This Row],[USA]]-B38)/B38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Row],[USA]]-B39)/B39</f>
        <v/>
      </c>
      <c r="E51" s="35">
        <f>(Table143454[[#This Row],[USA]]-B39)/B39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Row],[USA]]-B40)/B40</f>
        <v/>
      </c>
      <c r="E52" s="35">
        <f>(Table143454[[#This Row],[USA]]-B40)/B40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Row],[USA]]-B41)/B41</f>
        <v/>
      </c>
      <c r="E53" s="35">
        <f>(Table143454[[#This Row],[USA]]-B41)/B41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Row],[USA]]-B42)/B42</f>
        <v/>
      </c>
      <c r="E54" s="35">
        <f>(Table143454[[#This Row],[USA]]-B42)/B42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Row],[USA]]-B43)/B43</f>
        <v/>
      </c>
      <c r="E55" s="35">
        <f>(Table143454[[#This Row],[USA]]-B43)/B43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Row],[USA]]-B44)/B44</f>
        <v/>
      </c>
      <c r="E56" s="35">
        <f>(Table143454[[#This Row],[USA]]-B44)/B44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Row],[USA]]-B45)/B45</f>
        <v/>
      </c>
      <c r="E57" s="35">
        <f>(Table143454[[#This Row],[USA]]-B45)/B45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Row],[USA]]-B46)/B46</f>
        <v/>
      </c>
      <c r="E58" s="35">
        <f>(Table143454[[#This Row],[USA]]-B46)/B46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Row],[USA]]-B47)/B47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Row],[USA]]-B48)/B48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Row],[USA]]-B49)/B49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Row],[USA]]-B50)/B50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Row],[USA]]-B51)/B51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Row],[USA]]-B52)/B52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Row],[USA]]-B53)/B53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Row],[USA]]-B54)/B54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Row],[USA]]-B55)/B55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Row],[USA]]-B56)/B56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Row],[USA]]-B57)/B57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Row],[USA]]-B58)/B58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Row],[USA]]-B59)/B59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Row],[USA]]-B60)/B60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Row],[USA]]-B61)/B61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Row],[USA]]-B62)/B62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Row],[USA]]-B63)/B63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Row],[USA]]-B64)/B64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Row],[USA]]-B65)/B65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Row],[USA]]-B66)/B66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Row],[USA]]-B67)/B67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Row],[USA]]-B68)/B68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Row],[USA]]-B69)/B69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Row],[USA]]-B70)/B70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Row],[USA]]-B71)/B71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Row],[USA]]-B72)/B72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Row],[USA]]-B73)/B73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Row],[USA]]-B74)/B74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Row],[USA]]-B75)/B75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Row],[USA]]-B76)/B76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Row],[USA]]-B77)/B77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Row],[USA]]-B78)/B78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Row],[USA]]-B79)/B79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Row],[USA]]-B80)/B80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Row],[USA]]-B81)/B81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Row],[USA]]-B82)/B82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Row],[USA]]-B83)/B83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Row],[USA]]-B84)/B84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Row],[USA]]-B85)/B85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Row],[USA]]-B86)/B86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Row],[USA]]-B87)/B87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Row],[USA]]-B88)/B88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Row],[USA]]-B89)/B89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Row],[USA]]-B90)/B90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Row],[USA]]-B91)/B91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Row],[USA]]-B92)/B92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Row],[USA]]-B93)/B93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Row],[USA]]-B94)/B94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Row],[USA]]-B95)/B95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Row],[USA]]-B96)/B96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Row],[USA]]-B97)/B97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Row],[USA]]-B98)/B98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Row],[USA]]-B99)/B99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Row],[USA]]-B100)/B100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Row],[USA]]-B101)/B101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Row],[USA]]-B102)/B102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Row],[USA]]-B103)/B103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Row],[USA]]-B104)/B104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Row],[USA]]-B105)/B105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Row],[USA]]-B106)/B106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Row],[USA]]-B107)/B107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Row],[USA]]-B108)/B108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Row],[USA]]-B109)/B109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Row],[USA]]-B110)/B110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Row],[USA]]-B111)/B111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Row],[USA]]-B112)/B112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Row],[USA]]-B113)/B113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Row],[USA]]-B114)/B114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Row],[USA]]-B115)/B115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Row],[USA]]-B116)/B116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Row],[USA]]-B117)/B117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Row],[USA]]-B118)/B118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Row],[USA]]-B119)/B119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Row],[USA]]-B120)/B120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Row],[USA]]-B121)/B121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Row],[USA]]-B122)/B122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Row],[USA]]-B123)/B123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Row],[USA]]-B124)/B124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Row],[USA]]-B125)/B125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Row],[USA]]-B126)/B126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Row],[USA]]-B127)/B127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Row],[USA]]-B128)/B128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Row],[USA]]-B129)/B129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Row],[USA]]-B130)/B130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Row],[USA]]-B131)/B131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Row],[USA]]-B132)/B132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Row],[USA]]-B133)/B133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Row],[USA]]-B134)/B134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Row],[USA]]-B135)/B135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Row],[USA]]-B136)/B136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Row],[USA]]-B137)/B137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Row],[USA]]-B138)/B138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Row],[USA]]-B139)/B139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Row],[USA]]-B140)/B140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Row],[USA]]-B141)/B141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Row],[USA]]-B142)/B142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Row],[USA]]-B143)/B143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Row],[USA]]-B144)/B144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Row],[USA]]-B145)/B145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Row],[USA]]-B146)/B146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Row],[USA]]-B147)/B147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Row],[USA]]-B148)/B148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Row],[USA]]-B149)/B149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Row],[USA]]-B150)/B150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Row],[USA]]-B151)/B151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Row],[USA]]-B152)/B152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Row],[USA]]-B153)/B153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Row],[USA]]-B154)/B154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Row],[USA]]-B155)/B155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Row],[USA]]-B156)/B156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Row],[USA]]-B157)/B157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Row],[USA]]-B158)/B158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Row],[USA]]-B159)/B159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Row],[USA]]-B160)/B160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Row],[USA]]-B161)/B161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Row],[USA]]-B162)/B162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Row],[USA]]-B163)/B163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Row],[USA]]-B164)/B164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Row],[USA]]-B165)/B165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Row],[USA]]-B166)/B166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Row],[USA]]-B167)/B167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Row],[USA]]-B168)/B168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Row],[USA]]-B169)/B169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Row],[USA]]-B170)/B170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Row],[USA]]-B171)/B171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Row],[USA]]-B172)/B172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Row],[USA]]-B173)/B173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Row],[USA]]-B174)/B174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Row],[USA]]-B175)/B175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Row],[USA]]-B176)/B176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Row],[USA]]-B177)/B177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Row],[USA]]-B178)/B178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Row],[USA]]-B179)/B179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Row],[USA]]-B180)/B180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Row],[USA]]-B181)/B181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Row],[USA]]-B182)/B182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Row],[USA]]-B183)/B183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Row],[USA]]-B184)/B184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Row],[USA]]-B185)/B185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Row],[USA]]-B186)/B186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Row],[USA]]-B187)/B187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Row],[USA]]-B188)/B188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Row],[USA]]-B189)/B189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Row],[USA]]-B190)/B190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Row],[USA]]-B191)/B191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Row],[USA]]-B192)/B192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Row],[USA]]-B193)/B193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Row],[USA]]-B194)/B194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Row],[USA]]-B195)/B195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Row],[USA]]-B196)/B196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Row],[USA]]-B197)/B197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Row],[USA]]-B198)/B198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Row],[USA]]-B199)/B199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Row],[USA]]-B200)/B200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Row],[USA]]-B201)/B201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Row],[USA]]-B202)/B202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Row],[USA]]-B203)/B203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Row],[USA]]-B204)/B204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Row],[USA]]-B205)/B205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Row],[USA]]-B206)/B206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Row],[USA]]-B207)/B207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Row],[USA]]-B208)/B208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Row],[USA]]-B209)/B209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Row],[USA]]-B210)/B210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Row],[USA]]-B211)/B211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Row],[USA]]-B212)/B212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Row],[USA]]-B213)/B213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Row],[USA]]-B214)/B214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Row],[USA]]-B215)/B215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Row],[USA]]-B216)/B216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Row],[USA]]-B217)/B217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Row],[USA]]-B218)/B218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Row],[USA]]-B219)/B219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Row],[USA]]-B220)/B220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Row],[USA]]-B221)/B221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Row],[USA]]-B222)/B222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Row],[USA]]-B223)/B223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Row],[USA]]-B224)/B224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Row],[USA]]-B225)/B225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Row],[USA]]-B226)/B226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Row],[USA]]-B227)/B227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Row],[USA]]-B228)/B228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Row],[USA]]-B229)/B229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Row],[USA]]-B230)/B230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Row],[USA]]-B231)/B231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Row],[USA]]-B232)/B232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Row],[USA]]-B233)/B233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Row],[USA]]-B234)/B234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Row],[USA]]-B235)/B235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Row],[USA]]-B236)/B236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Row],[USA]]-B237)/B237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Row],[USA]]-B238)/B238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Row],[USA]]-B239)/B239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Row],[USA]]-B240)/B240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Row],[USA]]-B241)/B241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Row],[USA]]-B242)/B242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Row],[USA]]-B243)/B243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Row],[USA]]-B244)/B244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Row],[USA]]-B245)/B245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Row],[USA]]-B246)/B246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Row],[USA]]-B247)/B247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Row],[USA]]-B248)/B248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Row],[USA]]-B249)/B249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Row],[USA]]-B250)/B250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Row],[USA]]-B251)/B251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Row],[USA]]-B252)/B252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Row],[USA]]-B253)/B253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Row],[USA]]-B254)/B254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Row],[USA]]-B255)/B255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Row],[USA]]-B256)/B256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Row],[USA]]-B257)/B257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Row],[USA]]-B258)/B258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Row],[USA]]-B259)/B259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Row],[USA]]-B260)/B260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Row],[USA]]-B261)/B261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Row],[USA]]-B262)/B262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Row],[USA]]-B263)/B263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Row],[USA]]-B264)/B264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Row],[USA]]-B265)/B265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Row],[USA]]-B266)/B266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Row],[USA]]-B267)/B267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Row],[USA]]-B268)/B268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Row],[USA]]-B269)/B269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Row],[USA]]-B270)/B270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Row],[USA]]-B271)/B271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Row],[USA]]-B272)/B272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Row],[USA]]-B273)/B273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Row],[USA]]-B274)/B274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Row],[USA]]-B275)/B275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Row],[USA]]-B276)/B276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Row],[USA]]-B277)/B277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Row],[USA]]-B278)/B278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Row],[USA]]-B279)/B279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Row],[USA]]-B280)/B280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Row],[USA]]-B281)/B281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Row],[USA]]-B282)/B282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Row],[USA]]-B283)/B283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Row],[USA]]-B284)/B284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Row],[USA]]-B285)/B285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Row],[USA]]-B286)/B286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Row],[USA]]-B287)/B287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Row],[USA]]-B288)/B288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Row],[USA]]-B289)/B289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Row],[USA]]-B290)/B290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Row],[USA]]-B291)/B291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Row],[USA]]-B292)/B292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Row],[USA]]-B293)/B293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Row],[USA]]-B294)/B294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Row],[USA]]-B295)/B295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Row],[USA]]-B296)/B296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Row],[USA]]-B297)/B297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Row],[USA]]-B298)/B298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Row],[USA]]-B299)/B299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Row],[USA]]-B300)/B300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Row],[USA]]-B301)/B301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Row],[USA]]-B302)/B302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Row],[USA]]-B303)/B303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Row],[USA]]-B304)/B304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Row],[USA]]-B305)/B305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Row],[USA]]-B306)/B306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Row],[USA]]-B307)/B307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Row],[USA]]-B308)/B308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Row],[USA]]-B309)/B309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Row],[USA]]-B310)/B310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Row],[USA]]-B311)/B311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Row],[USA]]-B312)/B312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Row],[USA]]-B313)/B313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Row],[USA]]-B314)/B314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Row],[USA]]-B315)/B315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Row],[USA]]-B316)/B316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Row],[USA]]-B317)/B317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Row],[USA]]-B318)/B318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Row],[USA]]-B319)/B319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Row],[USA]]-B320)/B320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Row],[USA]]-B321)/B321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Row],[USA]]-B322)/B322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Row],[USA]]-B323)/B323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Row],[USA]]-B324)/B324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Row],[USA]]-B325)/B325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Row],[USA]]-B326)/B326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Row],[USA]]-B327)/B327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Row],[USA]]-B328)/B328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Row],[USA]]-B329)/B329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Row],[USA]]-B330)/B330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Row],[USA]]-B331)/B331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Row],[USA]]-B332)/B332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Row],[USA]]-B333)/B333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Row],[USA]]-B334)/B334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Row],[USA]]-B335)/B335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Row],[USA]]-B336)/B336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Row],[USA]]-B337)/B337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Row],[USA]]-B338)/B338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Row],[USA]]-B339)/B339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Row],[USA]]-B340)/B340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Row],[USA]]-B341)/B341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Row],[USA]]-B342)/B342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Row],[USA]]-B343)/B343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Row],[USA]]-B344)/B344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Row],[USA]]-B345)/B345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Row],[USA]]-B346)/B346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Row],[USA]]-B347)/B347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Row],[USA]]-B348)/B348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Row],[USA]]-B349)/B349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Row],[USA]]-B350)/B350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Row],[USA]]-B351)/B351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Row],[USA]]-B352)/B352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Row],[USA]]-B353)/B353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Row],[USA]]-B354)/B354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Row],[USA]]-B355)/B355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Row],[USA]]-B356)/B356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Row],[USA]]-B357)/B357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Row],[USA]]-B358)/B358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Row],[USA]]-B359)/B359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Row],[USA]]-B360)/B360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Row],[USA]]-B361)/B361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Row],[USA]]-B362)/B362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Row],[USA]]-B363)/B363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Row],[USA]]-B364)/B364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Row],[USA]]-B365)/B365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Row],[USA]]-B366)/B366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Row],[USA]]-B367)/B367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Row],[USA]]-B368)/B368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Row],[USA]]-B369)/B369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Row],[USA]]-B370)/B370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Row],[USA]]-B371)/B371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Row],[USA]]-B372)/B372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Row],[USA]]-B373)/B373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Row],[USA]]-B374)/B374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Row],[USA]]-B375)/B375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Row],[USA]]-B376)/B376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Row],[USA]]-B377)/B377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Row],[USA]]-B378)/B378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Row],[USA]]-B379)/B379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Row],[USA]]-B380)/B380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Row],[USA]]-B381)/B381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Row],[USA]]-B382)/B382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Row],[USA]]-B383)/B383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Row],[USA]]-B384)/B384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Row],[USA]]-B385)/B385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Row],[USA]]-B386)/B386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Row],[USA]]-B387)/B387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Row],[USA]]-B388)/B388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Row],[USA]]-B389)/B389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Row],[USA]]-B390)/B390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Row],[USA]]-B391)/B391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Row],[USA]]-B392)/B392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Row],[USA]]-B393)/B393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Row],[USA]]-B394)/B394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Row],[USA]]-B395)/B395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Row],[USA]]-B396)/B396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Row],[USA]]-B397)/B397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Row],[USA]]-B398)/B398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Row],[USA]]-B399)/B399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Row],[USA]]-B400)/B400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Row],[USA]]-B401)/B401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Row],[USA]]-B402)/B402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Row],[USA]]-B403)/B403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Row],[USA]]-B404)/B404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Row],[USA]]-B405)/B405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Row],[USA]]-B406)/B406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Row],[USA]]-B407)/B407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Row],[USA]]-B408)/B408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Row],[USA]]-B409)/B409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Row],[USA]]-B410)/B410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Row],[USA]]-B411)/B411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Row],[USA]]-B412)/B412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Row],[USA]]-B413)/B413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Row],[USA]]-B414)/B414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Row],[USA]]-B415)/B415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Row],[USA]]-B416)/B416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Row],[USA]]-B417)/B417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Row],[USA]]-B418)/B418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Row],[USA]]-B419)/B419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Row],[USA]]-B420)/B420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Row],[USA]]-B421)/B421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Row],[USA]]-B422)/B422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Row],[USA]]-B423)/B423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Row],[USA]]-B424)/B424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Row],[USA]]-B425)/B425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Row],[USA]]-B426)/B426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Row],[USA]]-B427)/B427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Row],[USA]]-B428)/B428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Row],[USA]]-B429)/B429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Row],[USA]]-B430)/B430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Row],[USA]]-B431)/B431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Row],[USA]]-B432)/B432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Row],[USA]]-B433)/B433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Row],[USA]]-B434)/B434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Row],[USA]]-B435)/B435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Row],[USA]]-B436)/B436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Row],[USA]]-B437)/B437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Row],[USA]]-B438)/B438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Row],[USA]]-B439)/B439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Row],[USA]]-B440)/B440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Row],[USA]]-B441)/B441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Row],[USA]]-B442)/B442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Row],[USA]]-B443)/B443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Row],[USA]]-B444)/B444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Row],[USA]]-B445)/B445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Row],[USA]]-B446)/B446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Row],[USA]]-B447)/B447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Row],[USA]]-B448)/B448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Row],[USA]]-B449)/B449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Row],[USA]]-B450)/B450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Row],[USA]]-B451)/B451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Row],[USA]]-B452)/B452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Row],[USA]]-B453)/B453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Row],[USA]]-B454)/B454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Row],[USA]]-B455)/B455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Row],[USA]]-B456)/B456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Row],[USA]]-B457)/B457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Row],[USA]]-B458)/B458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Row],[USA]]-B459)/B459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Row],[USA]]-B460)/B460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Row],[USA]]-B461)/B461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Row],[USA]]-B462)/B462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Row],[USA]]-B463)/B463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Row],[USA]]-B464)/B464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Row],[USA]]-B465)/B465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Row],[USA]]-B466)/B466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Row],[USA]]-B467)/B467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Row],[USA]]-B468)/B468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Row],[USA]]-B469)/B469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Row],[USA]]-B470)/B470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Row],[USA]]-B471)/B471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Row],[USA]]-B472)/B472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Row],[USA]]-B473)/B473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Row],[USA]]-B474)/B474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Row],[USA]]-B475)/B475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Row],[USA]]-B476)/B476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Row],[USA]]-B477)/B477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Row],[USA]]-B478)/B478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Row],[USA]]-B479)/B479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Row],[USA]]-B480)/B480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Row],[USA]]-B481)/B481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Row],[USA]]-B482)/B482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Row],[USA]]-B483)/B483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Row],[USA]]-B484)/B484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Row],[USA]]-B485)/B485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Row],[USA]]-B486)/B486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Row],[USA]]-B487)/B487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Row],[USA]]-B488)/B488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Row],[USA]]-B489)/B489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Row],[USA]]-B490)/B490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Row],[USA]]-B491)/B491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Row],[USA]]-B492)/B492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Row],[USA]]-B493)/B493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Row],[USA]]-B494)/B494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Row],[USA]]-B495)/B495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Row],[USA]]-B496)/B496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Row],[USA]]-B497)/B497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Row],[USA]]-B498)/B498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Row],[USA]]-B499)/B499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Row],[USA]]-B500)/B500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Row],[USA]]-B501)/B501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Row],[USA]]-B502)/B502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Row],[USA]]-B503)/B503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Row],[USA]]-B504)/B504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Row],[USA]]-B505)/B505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Row],[USA]]-B506)/B506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Row],[USA]]-B507)/B507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Row],[USA]]-B508)/B508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Row],[USA]]-B509)/B509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Row],[USA]]-B510)/B510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Row],[USA]]-B511)/B511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Row],[USA]]-B512)/B512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Row],[USA]]-B513)/B513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Row],[USA]]-B514)/B514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Row],[USA]]-B515)/B515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Row],[USA]]-B516)/B516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Row],[USA]]-B517)/B517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Row],[USA]]-B518)/B518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Row],[USA]]-B519)/B519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Row],[USA]]-B520)/B520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Row],[USA]]-B521)/B521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Row],[USA]]-B522)/B522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Row],[USA]]-B523)/B523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Row],[USA]]-B524)/B524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Row],[USA]]-B525)/B525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Row],[USA]]-B526)/B526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Row],[USA]]-B527)/B527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Row],[USA]]-B528)/B528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Row],[USA]]-B529)/B529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Row],[USA]]-B530)/B530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Row],[USA]]-B531)/B531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Row],[USA]]-B532)/B532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Row],[USA]]-B533)/B533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Row],[USA]]-B534)/B534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Row],[USA]]-B535)/B535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Row],[USA]]-B536)/B536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Row],[USA]]-B537)/B537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Row],[USA]]-B538)/B538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Row],[USA]]-B539)/B539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Row],[USA]]-B540)/B540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Row],[USA]]-B541)/B541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Row],[USA]]-B542)/B542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Row],[USA]]-B543)/B543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Row],[USA]]-B544)/B544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Row],[USA]]-B545)/B545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Row],[USA]]-B546)/B546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Row],[USA]]-B547)/B547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Row],[USA]]-B548)/B548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Row],[USA]]-B549)/B549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Row],[USA]]-B550)/B550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Row],[USA]]-B551)/B551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Row],[USA]]-B552)/B552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Row],[USA]]-B553)/B553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Row],[USA]]-B554)/B554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Row],[USA]]-B555)/B555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Row],[USA]]-B556)/B556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Row],[USA]]-B557)/B557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Row],[USA]]-B558)/B558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Row],[USA]]-B559)/B559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Row],[USA]]-B560)/B560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Row],[USA]]-B561)/B561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Row],[USA]]-B562)/B562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Row],[USA]]-B563)/B563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Row],[USA]]-B564)/B564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Row],[USA]]-B565)/B565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Row],[USA]]-B566)/B566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Row],[USA]]-B567)/B567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Row],[USA]]-B568)/B568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Row],[USA]]-B569)/B569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Row],[USA]]-B570)/B570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Row],[USA]]-B571)/B571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Row],[USA]]-B572)/B572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Row],[USA]]-B573)/B573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Row],[USA]]-B574)/B574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Row],[USA]]-B575)/B575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Row],[USA]]-B576)/B576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Row],[USA]]-B577)/B577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Row],[USA]]-B578)/B578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Row],[USA]]-B579)/B579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Row],[USA]]-B580)/B580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Row],[USA]]-B581)/B581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Row],[USA]]-B582)/B582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Row],[USA]]-B583)/B583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Row],[USA]]-B584)/B584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Row],[USA]]-B585)/B585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Row],[USA]]-B586)/B586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Row],[USA]]-B587)/B587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Row],[USA]]-B588)/B588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Row],[USA]]-B589)/B589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Row],[USA]]-B590)/B590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Row],[USA]]-B591)/B591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Row],[USA]]-B592)/B592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Row],[USA]]-B593)/B593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Row],[USA]]-B594)/B594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Row],[USA]]-B595)/B595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Row],[USA]]-B596)/B596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Row],[USA]]-B597)/B597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Row],[USA]]-B598)/B598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Row],[USA]]-B599)/B599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Row],[USA]]-B600)/B600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Row],[USA]]-B601)/B601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Row],[USA]]-B602)/B602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Row],[USA]]-B603)/B603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Row],[USA]]-B604)/B604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Row],[USA]]-B605)/B605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Row],[USA]]-B606)/B606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Row],[USA]]-B607)/B607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Row],[USA]]-B608)/B608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Row],[USA]]-B609)/B609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Row],[USA]]-B610)/B610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Row],[USA]]-B611)/B611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Row],[USA]]-B612)/B612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Row],[USA]]-B613)/B613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Row],[USA]]-B614)/B614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Row],[USA]]-B615)/B615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Row],[USA]]-B616)/B616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Row],[USA]]-B617)/B617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Row],[USA]]-B618)/B618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Row],[USA]]-B619)/B619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Row],[USA]]-B620)/B620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Row],[USA]]-B621)/B621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Row],[USA]]-B622)/B622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Row],[USA]]-B623)/B623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Row],[USA]]-B624)/B624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Row],[USA]]-B625)/B625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Row],[USA]]-B626)/B626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Row],[USA]]-B627)/B627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Row],[USA]]-B628)/B628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Row],[USA]]-B629)/B629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Row],[USA]]-B630)/B630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Row],[USA]]-B631)/B631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Row],[USA]]-B632)/B632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Row],[USA]]-B633)/B633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Row],[USA]]-B634)/B634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Row],[USA]]-B635)/B635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Row],[USA]]-B636)/B636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Row],[USA]]-B637)/B637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Row],[USA]]-B638)/B638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Row],[USA]]-B639)/B639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Row],[USA]]-B640)/B640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Row],[USA]]-B641)/B641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Row],[USA]]-B642)/B642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Row],[USA]]-B643)/B643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Row],[USA]]-B644)/B644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Row],[USA]]-B645)/B645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Row],[USA]]-B646)/B646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Row],[USA]]-B647)/B647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Row],[USA]]-B648)/B648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Row],[USA]]-B649)/B649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Row],[USA]]-B650)/B650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Row],[USA]]-B651)/B651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Row],[USA]]-B652)/B652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Row],[USA]]-B653)/B653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Row],[USA]]-B654)/B654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Row],[USA]]-B655)/B655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Row],[USA]]-B656)/B656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Row],[USA]]-B657)/B657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Row],[USA]]-B658)/B658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Row],[USA]]-B659)/B659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Row],[USA]]-B660)/B660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Row],[USA]]-B661)/B661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Row],[USA]]-B662)/B662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Row],[USA]]-B663)/B663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Row],[USA]]-B664)/B664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Row],[USA]]-B665)/B665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Row],[USA]]-B666)/B666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Row],[USA]]-B667)/B667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Row],[USA]]-B668)/B668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Row],[USA]]-B669)/B669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Row],[USA]]-B670)/B670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Row],[USA]]-B671)/B671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Row],[USA]]-B672)/B672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Row],[USA]]-B673)/B673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Row],[USA]]-B674)/B674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Row],[USA]]-B675)/B675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Row],[USA]]-B676)/B676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Row],[USA]]-B677)/B677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Row],[USA]]-B678)/B678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Row],[USA]]-B679)/B679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Row],[USA]]-B680)/B680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Row],[USA]]-B681)/B681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Row],[USA]]-B682)/B682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Row],[USA]]-B683)/B683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Row],[USA]]-B684)/B684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Row],[USA]]-B685)/B685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Row],[USA]]-B686)/B686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Row],[USA]]-B687)/B687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Row],[USA]]-B688)/B688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Row],[USA]]-B689)/B689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Row],[USA]]-B690)/B690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Row],[USA]]-B691)/B691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Row],[USA]]-B692)/B692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Row],[USA]]-B693)/B693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Row],[USA]]-B694)/B694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Row],[USA]]-B695)/B695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Row],[USA]]-B696)/B696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Row],[USA]]-B697)/B697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Row],[USA]]-B698)/B698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Row],[USA]]-B699)/B699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Row],[USA]]-B700)/B700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Row],[USA]]-B701)/B701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Row],[USA]]-B702)/B702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Row],[USA]]-B703)/B703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Row],[USA]]-B704)/B704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Row],[USA]]-B705)/B705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Row],[USA]]-B706)/B706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Row],[USA]]-B707)/B707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Row],[USA]]-B708)/B708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Row],[USA]]-B709)/B709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Row],[USA]]-B710)/B710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Row],[USA]]-B711)/B711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Row],[USA]]-B712)/B712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Row],[USA]]-B713)/B713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Row],[USA]]-B714)/B714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Row],[USA]]-B715)/B715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Row],[USA]]-B716)/B716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Row],[USA]]-B717)/B717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Row],[USA]]-B718)/B718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Row],[USA]]-B719)/B719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Row],[USA]]-B720)/B720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Row],[USA]]-B721)/B721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Row],[USA]]-B722)/B722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Row],[USA]]-B723)/B723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Row],[USA]]-B724)/B724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Row],[USA]]-B725)/B725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Row],[USA]]-B726)/B726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Row],[USA]]-B727)/B727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Row],[USA]]-B728)/B728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Row],[USA]]-B729)/B729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Row],[USA]]-B730)/B730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Row],[USA]]-B731)/B731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Row],[USA]]-B732)/B732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Row],[USA]]-B733)/B733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Row],[USA]]-B734)/B734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Row],[USA]]-B735)/B735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Row],[USA]]-B736)/B736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Row],[USA]]-B737)/B737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Row],[USA]]-B738)/B738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Row],[USA]]-B739)/B739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Row],[USA]]-B740)/B740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Row],[USA]]-B741)/B741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Row],[USA]]-B742)/B742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Row],[USA]]-B743)/B743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Row],[USA]]-B744)/B744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Row],[USA]]-B745)/B745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Row],[USA]]-B746)/B746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Row],[USA]]-B747)/B747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Row],[USA]]-B748)/B748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Row],[USA]]-B749)/B749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Row],[USA]]-B750)/B750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Row],[USA]]-B751)/B751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Row],[USA]]-B752)/B752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Row],[USA]]-B753)/B753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Row],[USA]]-B754)/B754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Row],[USA]]-B755)/B755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Row],[USA]]-B756)/B756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Row],[USA]]-B757)/B757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Row],[USA]]-B758)/B758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Row],[USA]]-B759)/B759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Row],[USA]]-B760)/B760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Row],[USA]]-B761)/B761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Row],[USA]]-B762)/B762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Row],[USA]]-B763)/B763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Row],[USA]]-B764)/B764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Row],[USA]]-B765)/B765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Row],[USA]]-B766)/B766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Row],[USA]]-B767)/B767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Row],[USA]]-B768)/B768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Row],[USA]]-B769)/B769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Row],[USA]]-B770)/B770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Row],[USA]]-B771)/B771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Row],[USA]]-B772)/B772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Row],[USA]]-B773)/B773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Row],[USA]]-B774)/B774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Row],[USA]]-B775)/B775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Row],[USA]]-B776)/B776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Row],[USA]]-B777)/B777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Row],[USA]]-B778)/B778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Row],[USA]]-B779)/B779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Row],[USA]]-B780)/B780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Row],[USA]]-B781)/B781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Row],[USA]]-B782)/B782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Row],[USA]]-B783)/B783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Row],[USA]]-B784)/B784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Row],[USA]]-B785)/B785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Row],[USA]]-B786)/B786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Row],[USA]]-B787)/B787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Row],[USA]]-B788)/B788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Row],[USA]]-B789)/B789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Row],[USA]]-B790)/B790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Row],[USA]]-B791)/B791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Row],[USA]]-B792)/B792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Row],[USA]]-B793)/B793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Row],[USA]]-B794)/B794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Row],[USA]]-B795)/B795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Row],[USA]]-B796)/B796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Row],[USA]]-B797)/B797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Row],[USA]]-B798)/B798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Row],[USA]]-B799)/B799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Row],[USA]]-B800)/B800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Row],[USA]]-B801)/B801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Row],[USA]]-B802)/B802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Row],[USA]]-B803)/B803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Row],[USA]]-B804)/B804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Row],[USA]]-B805)/B805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Row],[USA]]-B806)/B806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Row],[USA]]-B807)/B807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Row],[USA]]-B808)/B808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Row],[USA]]-B809)/B809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Row],[USA]]-B810)/B810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Row],[USA]]-B811)/B811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Row],[USA]]-B812)/B812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Row],[USA]]-B813)/B813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Row],[USA]]-B814)/B814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Row],[USA]]-B815)/B815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Row],[USA]]-B816)/B816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Row],[USA]]-B817)/B817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Row],[USA]]-B818)/B818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Row],[USA]]-B819)/B819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Row],[USA]]-B820)/B820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Row],[USA]]-B821)/B821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Row],[USA]]-B822)/B822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Row],[USA]]-B823)/B823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Row],[USA]]-B824)/B824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Row],[USA]]-B825)/B825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Row],[USA]]-B826)/B826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Row],[USA]]-B827)/B827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Row],[USA]]-B828)/B828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Row],[USA]]-B829)/B829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Row],[USA]]-B830)/B830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Row],[USA]]-B831)/B831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Row],[USA]]-B832)/B832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Row],[USA]]-B833)/B833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Row],[USA]]-B834)/B834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Row],[USA]]-B835)/B835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Row],[USA]]-B836)/B836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Row],[USA]]-B837)/B837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Row],[USA]]-B838)/B838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Row],[USA]]-B839)/B839</f>
        <v/>
      </c>
      <c r="F851" s="34">
        <f>VLOOKUP(Table143454[[#This Row],[Date]],'Data Core CPI'!$A:$AX,MATCH($B$2,'Data Core CPI'!$B$1:$AX$1,0),FALSE)</f>
        <v/>
      </c>
      <c r="G851" s="35">
        <f>(F851/F850)-1</f>
        <v/>
      </c>
      <c r="H851" s="35">
        <f>((1+G851)^12)-1</f>
        <v/>
      </c>
      <c r="I851" s="35">
        <f>(Table143454[[#This Row],[Core CPI]]-F839)/F839</f>
        <v/>
      </c>
    </row>
    <row r="852" customFormat="1" s="26">
      <c r="A852" s="33">
        <f>IF(Data!A879="",#N/A,Data!A879)</f>
        <v/>
      </c>
      <c r="B852" s="34">
        <f>VLOOKUP(A852,Data!A:AX,MATCH($B$2,Data!$B$1:$AX$1,0),FALSE)</f>
        <v/>
      </c>
      <c r="C852" s="35">
        <f>(B852/B851)-1</f>
        <v/>
      </c>
      <c r="D852" s="35">
        <f>((1+C852)^12)-1</f>
        <v/>
      </c>
      <c r="E852" s="35">
        <f>(Table143454[[#This Row],[USA]]-B840)/B840</f>
        <v/>
      </c>
      <c r="F852" s="34">
        <f>VLOOKUP(Table143454[[#This Row],[Date]],'Data Core CPI'!$A:$AX,MATCH($B$2,'Data Core CPI'!$B$1:$AX$1,0),FALSE)</f>
        <v/>
      </c>
      <c r="G852" s="35">
        <f>(F852/F851)-1</f>
        <v/>
      </c>
      <c r="H852" s="35">
        <f>((1+G852)^12)-1</f>
        <v/>
      </c>
      <c r="I852" s="35">
        <f>(Table143454[[#This Row],[Core CPI]]-F840)/F840</f>
        <v/>
      </c>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2">
    <cfRule type="colorScale" priority="2">
      <colorScale>
        <cfvo type="min"/>
        <cfvo type="percentile" val="50"/>
        <cfvo type="max"/>
        <color rgb="FFF8696B"/>
        <color rgb="FFFFEB84"/>
        <color rgb="FF63BE7B"/>
      </colorScale>
    </cfRule>
  </conditionalFormatting>
  <conditionalFormatting sqref="I707:I85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2022-04-02T12:43:15Z</dcterms:modified>
  <cp:lastModifiedBy>Mark Mukherjee</cp:lastModifiedBy>
</cp:coreProperties>
</file>